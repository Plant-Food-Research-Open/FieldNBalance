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5DB1FDD8-B539-4ECC-9152-DB58B49DE4A2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4" i="3" s="1"/>
  <c r="D24" i="1"/>
  <c r="B7" i="3" s="1"/>
  <c r="D22" i="1"/>
  <c r="B2" i="3" s="1"/>
  <c r="D19" i="1"/>
  <c r="B5" i="3" s="1"/>
  <c r="D21" i="1"/>
  <c r="B3" i="3" s="1"/>
  <c r="D9" i="1"/>
  <c r="D25" i="1"/>
  <c r="B6" i="3" s="1"/>
  <c r="G4" i="1"/>
  <c r="B8" i="3" s="1"/>
  <c r="G5" i="1"/>
  <c r="B9" i="3" s="1"/>
  <c r="G6" i="1"/>
  <c r="B10" i="3" s="1"/>
  <c r="C25" i="1"/>
  <c r="B1" i="1"/>
  <c r="G55" i="1"/>
  <c r="B23" i="3" s="1"/>
  <c r="G66" i="1"/>
  <c r="B49" i="3" s="1"/>
  <c r="G15" i="1"/>
  <c r="B36" i="3" s="1"/>
  <c r="G65" i="1"/>
  <c r="B48" i="3" s="1"/>
  <c r="G54" i="1"/>
  <c r="B22" i="3" s="1"/>
  <c r="G14" i="1"/>
  <c r="B35" i="3" s="1"/>
  <c r="D7" i="1"/>
  <c r="D8" i="1" s="1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10" i="1" l="1"/>
  <c r="B33" i="3" s="1"/>
  <c r="P3" i="3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4" i="3"/>
  <c r="J3" i="3"/>
  <c r="B44" i="1"/>
  <c r="D44" i="1"/>
  <c r="B31" i="3"/>
  <c r="D52" i="1"/>
  <c r="R14" i="1" s="1"/>
  <c r="D51" i="1"/>
  <c r="D61" i="1"/>
  <c r="D50" i="1"/>
  <c r="G52" i="1" s="1"/>
  <c r="B24" i="3"/>
  <c r="D13" i="3"/>
  <c r="D4" i="3"/>
  <c r="D62" i="1" l="1"/>
  <c r="B44" i="3" s="1"/>
  <c r="G58" i="1"/>
  <c r="G63" i="1"/>
  <c r="D13" i="1"/>
  <c r="G11" i="1"/>
  <c r="G10" i="1"/>
  <c r="D12" i="1"/>
  <c r="B25" i="3" s="1"/>
  <c r="G13" i="1"/>
  <c r="G12" i="1"/>
  <c r="D55" i="1"/>
  <c r="D53" i="1" s="1"/>
  <c r="B50" i="1" s="1"/>
  <c r="D54" i="1"/>
  <c r="B12" i="3" s="1"/>
  <c r="G51" i="1"/>
  <c r="G49" i="1"/>
  <c r="G48" i="1"/>
  <c r="G47" i="1"/>
  <c r="G59" i="1"/>
  <c r="G62" i="1"/>
  <c r="G60" i="1"/>
  <c r="D65" i="1"/>
  <c r="B38" i="3" s="1"/>
  <c r="D66" i="1"/>
  <c r="D64" i="1" s="1"/>
  <c r="H4" i="3"/>
  <c r="D63" i="1" l="1"/>
  <c r="B46" i="3" s="1"/>
  <c r="B39" i="3"/>
  <c r="B40" i="3"/>
  <c r="B13" i="3"/>
  <c r="B14" i="3"/>
  <c r="D11" i="1"/>
  <c r="B26" i="3" s="1"/>
  <c r="B27" i="3"/>
  <c r="C12" i="1"/>
  <c r="B30" i="3"/>
  <c r="B32" i="3"/>
  <c r="B29" i="3"/>
  <c r="B34" i="3"/>
  <c r="B28" i="3"/>
  <c r="B61" i="1" l="1"/>
  <c r="C67" i="1" s="1"/>
  <c r="C56" i="1"/>
  <c r="B14" i="1"/>
  <c r="C14" i="1" s="1"/>
  <c r="B37" i="3"/>
  <c r="B43" i="3"/>
  <c r="B42" i="3"/>
  <c r="B41" i="3"/>
  <c r="B47" i="3"/>
  <c r="B45" i="3"/>
  <c r="B11" i="3"/>
  <c r="B21" i="3"/>
  <c r="B17" i="3"/>
  <c r="B16" i="3"/>
  <c r="B15" i="3"/>
  <c r="B19" i="3"/>
  <c r="B20" i="3"/>
  <c r="P2" i="3" s="1"/>
  <c r="B18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V54" i="3"/>
  <c r="Q55" i="3"/>
  <c r="Y55" i="3"/>
  <c r="T56" i="3"/>
  <c r="AB56" i="3"/>
  <c r="U5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AE37" i="3" s="1"/>
  <c r="P38" i="3"/>
  <c r="X38" i="3"/>
  <c r="S39" i="3"/>
  <c r="AA39" i="3"/>
  <c r="V40" i="3"/>
  <c r="Q41" i="3"/>
  <c r="Y41" i="3"/>
  <c r="T42" i="3"/>
  <c r="AB42" i="3"/>
  <c r="W43" i="3"/>
  <c r="R44" i="3"/>
  <c r="Z44" i="3"/>
  <c r="U45" i="3"/>
  <c r="P46" i="3"/>
  <c r="X46" i="3"/>
  <c r="S47" i="3"/>
  <c r="AA47" i="3"/>
  <c r="V48" i="3"/>
  <c r="Q49" i="3"/>
  <c r="Y49" i="3"/>
  <c r="T50" i="3"/>
  <c r="AB50" i="3"/>
  <c r="W51" i="3"/>
  <c r="R52" i="3"/>
  <c r="Z52" i="3"/>
  <c r="U53" i="3"/>
  <c r="P54" i="3"/>
  <c r="X54" i="3"/>
  <c r="S55" i="3"/>
  <c r="AA55" i="3"/>
  <c r="V56" i="3"/>
  <c r="P5" i="3"/>
  <c r="R17" i="1" s="1"/>
  <c r="Y6" i="3"/>
  <c r="U8" i="3"/>
  <c r="AB9" i="3"/>
  <c r="X11" i="3"/>
  <c r="T13" i="3"/>
  <c r="AA14" i="3"/>
  <c r="W16" i="3"/>
  <c r="S18" i="3"/>
  <c r="Z19" i="3"/>
  <c r="V21" i="3"/>
  <c r="R23" i="3"/>
  <c r="Y24" i="3"/>
  <c r="U26" i="3"/>
  <c r="Q28" i="3"/>
  <c r="X29" i="3"/>
  <c r="T31" i="3"/>
  <c r="P33" i="3"/>
  <c r="W34" i="3"/>
  <c r="S36" i="3"/>
  <c r="AB37" i="3"/>
  <c r="V39" i="3"/>
  <c r="R41" i="3"/>
  <c r="AA42" i="3"/>
  <c r="U44" i="3"/>
  <c r="AE44" i="3" s="1"/>
  <c r="Q46" i="3"/>
  <c r="Z47" i="3"/>
  <c r="T49" i="3"/>
  <c r="P51" i="3"/>
  <c r="Y52" i="3"/>
  <c r="S54" i="3"/>
  <c r="AB55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AE71" i="3" s="1"/>
  <c r="P72" i="3"/>
  <c r="V5" i="3"/>
  <c r="R7" i="3"/>
  <c r="Y8" i="3"/>
  <c r="U10" i="3"/>
  <c r="Q12" i="3"/>
  <c r="X13" i="3"/>
  <c r="T15" i="3"/>
  <c r="P17" i="3"/>
  <c r="W18" i="3"/>
  <c r="S20" i="3"/>
  <c r="AB21" i="3"/>
  <c r="V23" i="3"/>
  <c r="R25" i="3"/>
  <c r="AA26" i="3"/>
  <c r="U28" i="3"/>
  <c r="AE28" i="3" s="1"/>
  <c r="Q30" i="3"/>
  <c r="Z31" i="3"/>
  <c r="T33" i="3"/>
  <c r="P35" i="3"/>
  <c r="Y36" i="3"/>
  <c r="S38" i="3"/>
  <c r="AB39" i="3"/>
  <c r="X41" i="3"/>
  <c r="R43" i="3"/>
  <c r="AA44" i="3"/>
  <c r="W46" i="3"/>
  <c r="Q48" i="3"/>
  <c r="Z49" i="3"/>
  <c r="V51" i="3"/>
  <c r="P53" i="3"/>
  <c r="Y54" i="3"/>
  <c r="U56" i="3"/>
  <c r="AE56" i="3" s="1"/>
  <c r="U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X138" i="3"/>
  <c r="S139" i="3"/>
  <c r="AA139" i="3"/>
  <c r="V140" i="3"/>
  <c r="Q141" i="3"/>
  <c r="Y141" i="3"/>
  <c r="X5" i="3"/>
  <c r="T7" i="3"/>
  <c r="P9" i="3"/>
  <c r="W10" i="3"/>
  <c r="S12" i="3"/>
  <c r="AB13" i="3"/>
  <c r="V15" i="3"/>
  <c r="R17" i="3"/>
  <c r="AA18" i="3"/>
  <c r="U20" i="3"/>
  <c r="Q22" i="3"/>
  <c r="Z23" i="3"/>
  <c r="T25" i="3"/>
  <c r="P27" i="3"/>
  <c r="Y28" i="3"/>
  <c r="S30" i="3"/>
  <c r="AB31" i="3"/>
  <c r="X33" i="3"/>
  <c r="R35" i="3"/>
  <c r="AA36" i="3"/>
  <c r="W38" i="3"/>
  <c r="Q40" i="3"/>
  <c r="Z41" i="3"/>
  <c r="V43" i="3"/>
  <c r="P45" i="3"/>
  <c r="Y46" i="3"/>
  <c r="U48" i="3"/>
  <c r="AB49" i="3"/>
  <c r="X51" i="3"/>
  <c r="T53" i="3"/>
  <c r="AA54" i="3"/>
  <c r="W56" i="3"/>
  <c r="V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X79" i="3"/>
  <c r="S80" i="3"/>
  <c r="AA80" i="3"/>
  <c r="V81" i="3"/>
  <c r="Q82" i="3"/>
  <c r="Y82" i="3"/>
  <c r="T83" i="3"/>
  <c r="AB83" i="3"/>
  <c r="W84" i="3"/>
  <c r="R85" i="3"/>
  <c r="Z85" i="3"/>
  <c r="U86" i="3"/>
  <c r="P87" i="3"/>
  <c r="X87" i="3"/>
  <c r="S88" i="3"/>
  <c r="AA88" i="3"/>
  <c r="V89" i="3"/>
  <c r="Q90" i="3"/>
  <c r="Y90" i="3"/>
  <c r="T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AB5" i="3"/>
  <c r="V7" i="3"/>
  <c r="R9" i="3"/>
  <c r="AA10" i="3"/>
  <c r="U12" i="3"/>
  <c r="AE12" i="3" s="1"/>
  <c r="Q14" i="3"/>
  <c r="Z15" i="3"/>
  <c r="T17" i="3"/>
  <c r="P19" i="3"/>
  <c r="Y20" i="3"/>
  <c r="S22" i="3"/>
  <c r="AB23" i="3"/>
  <c r="X25" i="3"/>
  <c r="R27" i="3"/>
  <c r="AA28" i="3"/>
  <c r="W30" i="3"/>
  <c r="Q32" i="3"/>
  <c r="Z33" i="3"/>
  <c r="V35" i="3"/>
  <c r="P37" i="3"/>
  <c r="Y38" i="3"/>
  <c r="U40" i="3"/>
  <c r="AB41" i="3"/>
  <c r="X43" i="3"/>
  <c r="T45" i="3"/>
  <c r="AA46" i="3"/>
  <c r="W48" i="3"/>
  <c r="S50" i="3"/>
  <c r="Z51" i="3"/>
  <c r="V53" i="3"/>
  <c r="R55" i="3"/>
  <c r="Y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P68" i="3"/>
  <c r="X68" i="3"/>
  <c r="S69" i="3"/>
  <c r="AA69" i="3"/>
  <c r="V70" i="3"/>
  <c r="S6" i="3"/>
  <c r="AB7" i="3"/>
  <c r="X9" i="3"/>
  <c r="R11" i="3"/>
  <c r="AA12" i="3"/>
  <c r="W14" i="3"/>
  <c r="Q16" i="3"/>
  <c r="Z17" i="3"/>
  <c r="V19" i="3"/>
  <c r="P21" i="3"/>
  <c r="Y22" i="3"/>
  <c r="U24" i="3"/>
  <c r="AB25" i="3"/>
  <c r="X27" i="3"/>
  <c r="T29" i="3"/>
  <c r="AA30" i="3"/>
  <c r="W32" i="3"/>
  <c r="S34" i="3"/>
  <c r="Z35" i="3"/>
  <c r="V37" i="3"/>
  <c r="R39" i="3"/>
  <c r="Y40" i="3"/>
  <c r="U42" i="3"/>
  <c r="AE42" i="3" s="1"/>
  <c r="Q44" i="3"/>
  <c r="X45" i="3"/>
  <c r="T47" i="3"/>
  <c r="P49" i="3"/>
  <c r="W50" i="3"/>
  <c r="S52" i="3"/>
  <c r="AB53" i="3"/>
  <c r="V55" i="3"/>
  <c r="Q57" i="3"/>
  <c r="Y57" i="3"/>
  <c r="T58" i="3"/>
  <c r="AB58" i="3"/>
  <c r="W59" i="3"/>
  <c r="R60" i="3"/>
  <c r="Z60" i="3"/>
  <c r="U61" i="3"/>
  <c r="AE61" i="3" s="1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W6" i="3"/>
  <c r="Q8" i="3"/>
  <c r="Z9" i="3"/>
  <c r="V11" i="3"/>
  <c r="P13" i="3"/>
  <c r="Y14" i="3"/>
  <c r="U16" i="3"/>
  <c r="AB17" i="3"/>
  <c r="X19" i="3"/>
  <c r="T21" i="3"/>
  <c r="AA22" i="3"/>
  <c r="W24" i="3"/>
  <c r="S26" i="3"/>
  <c r="Z27" i="3"/>
  <c r="V29" i="3"/>
  <c r="R31" i="3"/>
  <c r="Y32" i="3"/>
  <c r="U34" i="3"/>
  <c r="Q36" i="3"/>
  <c r="X37" i="3"/>
  <c r="T39" i="3"/>
  <c r="P41" i="3"/>
  <c r="W42" i="3"/>
  <c r="S44" i="3"/>
  <c r="AB45" i="3"/>
  <c r="V47" i="3"/>
  <c r="R49" i="3"/>
  <c r="AA50" i="3"/>
  <c r="U52" i="3"/>
  <c r="Q54" i="3"/>
  <c r="Z55" i="3"/>
  <c r="R57" i="3"/>
  <c r="Z57" i="3"/>
  <c r="U58" i="3"/>
  <c r="T5" i="3"/>
  <c r="Z11" i="3"/>
  <c r="U18" i="3"/>
  <c r="P25" i="3"/>
  <c r="V31" i="3"/>
  <c r="Q38" i="3"/>
  <c r="Y44" i="3"/>
  <c r="R51" i="3"/>
  <c r="T57" i="3"/>
  <c r="V59" i="3"/>
  <c r="P61" i="3"/>
  <c r="Y62" i="3"/>
  <c r="U64" i="3"/>
  <c r="AB65" i="3"/>
  <c r="X67" i="3"/>
  <c r="T69" i="3"/>
  <c r="AA70" i="3"/>
  <c r="Q72" i="3"/>
  <c r="R73" i="3"/>
  <c r="R74" i="3"/>
  <c r="Q75" i="3"/>
  <c r="Q76" i="3"/>
  <c r="P77" i="3"/>
  <c r="Q78" i="3"/>
  <c r="Q79" i="3"/>
  <c r="P80" i="3"/>
  <c r="P81" i="3"/>
  <c r="AB81" i="3"/>
  <c r="P83" i="3"/>
  <c r="P84" i="3"/>
  <c r="Z84" i="3"/>
  <c r="W85" i="3"/>
  <c r="V86" i="3"/>
  <c r="S87" i="3"/>
  <c r="P88" i="3"/>
  <c r="AB88" i="3"/>
  <c r="Y89" i="3"/>
  <c r="V90" i="3"/>
  <c r="U91" i="3"/>
  <c r="R92" i="3"/>
  <c r="AB92" i="3"/>
  <c r="AA93" i="3"/>
  <c r="X94" i="3"/>
  <c r="U95" i="3"/>
  <c r="T96" i="3"/>
  <c r="Q97" i="3"/>
  <c r="AA97" i="3"/>
  <c r="Z98" i="3"/>
  <c r="W99" i="3"/>
  <c r="T100" i="3"/>
  <c r="S101" i="3"/>
  <c r="P102" i="3"/>
  <c r="Z102" i="3"/>
  <c r="Y103" i="3"/>
  <c r="V104" i="3"/>
  <c r="S105" i="3"/>
  <c r="R106" i="3"/>
  <c r="AB106" i="3"/>
  <c r="Y107" i="3"/>
  <c r="X108" i="3"/>
  <c r="U109" i="3"/>
  <c r="R110" i="3"/>
  <c r="Q111" i="3"/>
  <c r="AA111" i="3"/>
  <c r="X112" i="3"/>
  <c r="W113" i="3"/>
  <c r="T114" i="3"/>
  <c r="Q115" i="3"/>
  <c r="P116" i="3"/>
  <c r="Z116" i="3"/>
  <c r="V117" i="3"/>
  <c r="R118" i="3"/>
  <c r="AA118" i="3"/>
  <c r="X119" i="3"/>
  <c r="T120" i="3"/>
  <c r="P121" i="3"/>
  <c r="Y121" i="3"/>
  <c r="U122" i="3"/>
  <c r="Q123" i="3"/>
  <c r="Z123" i="3"/>
  <c r="W124" i="3"/>
  <c r="S125" i="3"/>
  <c r="AB125" i="3"/>
  <c r="X126" i="3"/>
  <c r="T127" i="3"/>
  <c r="P128" i="3"/>
  <c r="Y128" i="3"/>
  <c r="V129" i="3"/>
  <c r="R130" i="3"/>
  <c r="AA130" i="3"/>
  <c r="W131" i="3"/>
  <c r="S132" i="3"/>
  <c r="AB132" i="3"/>
  <c r="X133" i="3"/>
  <c r="U134" i="3"/>
  <c r="Q135" i="3"/>
  <c r="Z135" i="3"/>
  <c r="V136" i="3"/>
  <c r="R137" i="3"/>
  <c r="AA137" i="3"/>
  <c r="W138" i="3"/>
  <c r="T139" i="3"/>
  <c r="P140" i="3"/>
  <c r="Y140" i="3"/>
  <c r="U141" i="3"/>
  <c r="AE141" i="3" s="1"/>
  <c r="Q142" i="3"/>
  <c r="Y142" i="3"/>
  <c r="T143" i="3"/>
  <c r="AB143" i="3"/>
  <c r="W144" i="3"/>
  <c r="R145" i="3"/>
  <c r="Z145" i="3"/>
  <c r="U146" i="3"/>
  <c r="AE146" i="3" s="1"/>
  <c r="P147" i="3"/>
  <c r="X147" i="3"/>
  <c r="Q6" i="3"/>
  <c r="Y12" i="3"/>
  <c r="R19" i="3"/>
  <c r="Z25" i="3"/>
  <c r="U32" i="3"/>
  <c r="AA38" i="3"/>
  <c r="V45" i="3"/>
  <c r="Q52" i="3"/>
  <c r="X57" i="3"/>
  <c r="X59" i="3"/>
  <c r="T61" i="3"/>
  <c r="AA62" i="3"/>
  <c r="W64" i="3"/>
  <c r="S66" i="3"/>
  <c r="Z67" i="3"/>
  <c r="V69" i="3"/>
  <c r="Q71" i="3"/>
  <c r="T72" i="3"/>
  <c r="S73" i="3"/>
  <c r="S74" i="3"/>
  <c r="R75" i="3"/>
  <c r="S76" i="3"/>
  <c r="S77" i="3"/>
  <c r="R78" i="3"/>
  <c r="R79" i="3"/>
  <c r="Q80" i="3"/>
  <c r="R81" i="3"/>
  <c r="R82" i="3"/>
  <c r="Q83" i="3"/>
  <c r="Q84" i="3"/>
  <c r="AA84" i="3"/>
  <c r="X85" i="3"/>
  <c r="W86" i="3"/>
  <c r="T87" i="3"/>
  <c r="Q88" i="3"/>
  <c r="P89" i="3"/>
  <c r="Z89" i="3"/>
  <c r="W90" i="3"/>
  <c r="V91" i="3"/>
  <c r="S92" i="3"/>
  <c r="P93" i="3"/>
  <c r="AB93" i="3"/>
  <c r="Y94" i="3"/>
  <c r="V95" i="3"/>
  <c r="U96" i="3"/>
  <c r="R97" i="3"/>
  <c r="AB97" i="3"/>
  <c r="AA98" i="3"/>
  <c r="X99" i="3"/>
  <c r="U100" i="3"/>
  <c r="T101" i="3"/>
  <c r="Q102" i="3"/>
  <c r="AA102" i="3"/>
  <c r="Z103" i="3"/>
  <c r="W104" i="3"/>
  <c r="T105" i="3"/>
  <c r="S106" i="3"/>
  <c r="P107" i="3"/>
  <c r="Z107" i="3"/>
  <c r="Y108" i="3"/>
  <c r="V109" i="3"/>
  <c r="S110" i="3"/>
  <c r="R111" i="3"/>
  <c r="AB111" i="3"/>
  <c r="Y112" i="3"/>
  <c r="X113" i="3"/>
  <c r="U114" i="3"/>
  <c r="R115" i="3"/>
  <c r="Q116" i="3"/>
  <c r="AA116" i="3"/>
  <c r="W117" i="3"/>
  <c r="S118" i="3"/>
  <c r="P119" i="3"/>
  <c r="Y119" i="3"/>
  <c r="U120" i="3"/>
  <c r="Q121" i="3"/>
  <c r="Z121" i="3"/>
  <c r="V122" i="3"/>
  <c r="R123" i="3"/>
  <c r="AB123" i="3"/>
  <c r="X124" i="3"/>
  <c r="T125" i="3"/>
  <c r="P126" i="3"/>
  <c r="Y126" i="3"/>
  <c r="U127" i="3"/>
  <c r="AA6" i="3"/>
  <c r="V13" i="3"/>
  <c r="Q20" i="3"/>
  <c r="W26" i="3"/>
  <c r="R33" i="3"/>
  <c r="Z39" i="3"/>
  <c r="S46" i="3"/>
  <c r="AA52" i="3"/>
  <c r="AB57" i="3"/>
  <c r="Z59" i="3"/>
  <c r="V61" i="3"/>
  <c r="R63" i="3"/>
  <c r="Y64" i="3"/>
  <c r="U66" i="3"/>
  <c r="Q68" i="3"/>
  <c r="X69" i="3"/>
  <c r="R71" i="3"/>
  <c r="U72" i="3"/>
  <c r="AE72" i="3" s="1"/>
  <c r="T73" i="3"/>
  <c r="U74" i="3"/>
  <c r="U75" i="3"/>
  <c r="T76" i="3"/>
  <c r="T77" i="3"/>
  <c r="S78" i="3"/>
  <c r="T79" i="3"/>
  <c r="T80" i="3"/>
  <c r="S81" i="3"/>
  <c r="S82" i="3"/>
  <c r="R83" i="3"/>
  <c r="R84" i="3"/>
  <c r="AB84" i="3"/>
  <c r="AA85" i="3"/>
  <c r="X86" i="3"/>
  <c r="U87" i="3"/>
  <c r="AE87" i="3" s="1"/>
  <c r="T88" i="3"/>
  <c r="Q89" i="3"/>
  <c r="AA89" i="3"/>
  <c r="Z90" i="3"/>
  <c r="W91" i="3"/>
  <c r="T92" i="3"/>
  <c r="S93" i="3"/>
  <c r="P94" i="3"/>
  <c r="Z94" i="3"/>
  <c r="Y95" i="3"/>
  <c r="V96" i="3"/>
  <c r="S97" i="3"/>
  <c r="R98" i="3"/>
  <c r="AB98" i="3"/>
  <c r="Y99" i="3"/>
  <c r="X100" i="3"/>
  <c r="U101" i="3"/>
  <c r="R102" i="3"/>
  <c r="Q103" i="3"/>
  <c r="AA103" i="3"/>
  <c r="X104" i="3"/>
  <c r="W105" i="3"/>
  <c r="T106" i="3"/>
  <c r="Q107" i="3"/>
  <c r="P108" i="3"/>
  <c r="Z108" i="3"/>
  <c r="W109" i="3"/>
  <c r="V110" i="3"/>
  <c r="S111" i="3"/>
  <c r="P112" i="3"/>
  <c r="AB112" i="3"/>
  <c r="Y113" i="3"/>
  <c r="V114" i="3"/>
  <c r="U115" i="3"/>
  <c r="R116" i="3"/>
  <c r="AB116" i="3"/>
  <c r="X117" i="3"/>
  <c r="U118" i="3"/>
  <c r="Q119" i="3"/>
  <c r="Z119" i="3"/>
  <c r="V120" i="3"/>
  <c r="R121" i="3"/>
  <c r="AA121" i="3"/>
  <c r="W122" i="3"/>
  <c r="T123" i="3"/>
  <c r="P124" i="3"/>
  <c r="Y124" i="3"/>
  <c r="U125" i="3"/>
  <c r="AE125" i="3" s="1"/>
  <c r="Q126" i="3"/>
  <c r="Z126" i="3"/>
  <c r="V127" i="3"/>
  <c r="S128" i="3"/>
  <c r="AB128" i="3"/>
  <c r="X129" i="3"/>
  <c r="Z7" i="3"/>
  <c r="S14" i="3"/>
  <c r="AA20" i="3"/>
  <c r="V27" i="3"/>
  <c r="AB33" i="3"/>
  <c r="W40" i="3"/>
  <c r="R47" i="3"/>
  <c r="X53" i="3"/>
  <c r="S58" i="3"/>
  <c r="Q60" i="3"/>
  <c r="X61" i="3"/>
  <c r="T63" i="3"/>
  <c r="P65" i="3"/>
  <c r="W66" i="3"/>
  <c r="S68" i="3"/>
  <c r="AB69" i="3"/>
  <c r="T71" i="3"/>
  <c r="W72" i="3"/>
  <c r="W73" i="3"/>
  <c r="V74" i="3"/>
  <c r="V75" i="3"/>
  <c r="U76" i="3"/>
  <c r="V77" i="3"/>
  <c r="V78" i="3"/>
  <c r="U79" i="3"/>
  <c r="AE79" i="3" s="1"/>
  <c r="U80" i="3"/>
  <c r="AE80" i="3" s="1"/>
  <c r="T81" i="3"/>
  <c r="U82" i="3"/>
  <c r="U83" i="3"/>
  <c r="S84" i="3"/>
  <c r="P85" i="3"/>
  <c r="AB85" i="3"/>
  <c r="Y86" i="3"/>
  <c r="V87" i="3"/>
  <c r="U88" i="3"/>
  <c r="R89" i="3"/>
  <c r="AB89" i="3"/>
  <c r="AA90" i="3"/>
  <c r="X91" i="3"/>
  <c r="U92" i="3"/>
  <c r="T93" i="3"/>
  <c r="Q94" i="3"/>
  <c r="AA94" i="3"/>
  <c r="Z95" i="3"/>
  <c r="W96" i="3"/>
  <c r="T97" i="3"/>
  <c r="S98" i="3"/>
  <c r="P99" i="3"/>
  <c r="Z99" i="3"/>
  <c r="Y100" i="3"/>
  <c r="V101" i="3"/>
  <c r="S102" i="3"/>
  <c r="R103" i="3"/>
  <c r="AB103" i="3"/>
  <c r="Y104" i="3"/>
  <c r="X105" i="3"/>
  <c r="U106" i="3"/>
  <c r="AE106" i="3" s="1"/>
  <c r="R107" i="3"/>
  <c r="Q108" i="3"/>
  <c r="AA108" i="3"/>
  <c r="X109" i="3"/>
  <c r="W110" i="3"/>
  <c r="T111" i="3"/>
  <c r="Q112" i="3"/>
  <c r="P113" i="3"/>
  <c r="Z113" i="3"/>
  <c r="W114" i="3"/>
  <c r="V115" i="3"/>
  <c r="S116" i="3"/>
  <c r="P117" i="3"/>
  <c r="Z117" i="3"/>
  <c r="V118" i="3"/>
  <c r="R119" i="3"/>
  <c r="AA119" i="3"/>
  <c r="W120" i="3"/>
  <c r="S121" i="3"/>
  <c r="AB121" i="3"/>
  <c r="W8" i="3"/>
  <c r="R15" i="3"/>
  <c r="X21" i="3"/>
  <c r="S28" i="3"/>
  <c r="AA34" i="3"/>
  <c r="T41" i="3"/>
  <c r="AB47" i="3"/>
  <c r="W54" i="3"/>
  <c r="W58" i="3"/>
  <c r="S60" i="3"/>
  <c r="AB61" i="3"/>
  <c r="V63" i="3"/>
  <c r="R65" i="3"/>
  <c r="AA66" i="3"/>
  <c r="U68" i="3"/>
  <c r="Q70" i="3"/>
  <c r="V71" i="3"/>
  <c r="X72" i="3"/>
  <c r="X73" i="3"/>
  <c r="W74" i="3"/>
  <c r="X75" i="3"/>
  <c r="X76" i="3"/>
  <c r="W77" i="3"/>
  <c r="W78" i="3"/>
  <c r="V79" i="3"/>
  <c r="W80" i="3"/>
  <c r="W81" i="3"/>
  <c r="V82" i="3"/>
  <c r="V83" i="3"/>
  <c r="T84" i="3"/>
  <c r="S85" i="3"/>
  <c r="P86" i="3"/>
  <c r="Z86" i="3"/>
  <c r="Y87" i="3"/>
  <c r="V88" i="3"/>
  <c r="S89" i="3"/>
  <c r="R90" i="3"/>
  <c r="AB90" i="3"/>
  <c r="Y91" i="3"/>
  <c r="X92" i="3"/>
  <c r="U93" i="3"/>
  <c r="R94" i="3"/>
  <c r="Q95" i="3"/>
  <c r="AA95" i="3"/>
  <c r="X96" i="3"/>
  <c r="W97" i="3"/>
  <c r="T98" i="3"/>
  <c r="T9" i="3"/>
  <c r="AB15" i="3"/>
  <c r="W22" i="3"/>
  <c r="P29" i="3"/>
  <c r="X35" i="3"/>
  <c r="S42" i="3"/>
  <c r="Y48" i="3"/>
  <c r="T55" i="3"/>
  <c r="AA58" i="3"/>
  <c r="U60" i="3"/>
  <c r="Q62" i="3"/>
  <c r="Z63" i="3"/>
  <c r="T65" i="3"/>
  <c r="P67" i="3"/>
  <c r="Y68" i="3"/>
  <c r="S10" i="3"/>
  <c r="Y16" i="3"/>
  <c r="T23" i="3"/>
  <c r="AB29" i="3"/>
  <c r="U36" i="3"/>
  <c r="P43" i="3"/>
  <c r="X49" i="3"/>
  <c r="Q56" i="3"/>
  <c r="P59" i="3"/>
  <c r="Y60" i="3"/>
  <c r="S62" i="3"/>
  <c r="AB63" i="3"/>
  <c r="X65" i="3"/>
  <c r="R67" i="3"/>
  <c r="AA68" i="3"/>
  <c r="W70" i="3"/>
  <c r="Z71" i="3"/>
  <c r="AB72" i="3"/>
  <c r="AA73" i="3"/>
  <c r="AA74" i="3"/>
  <c r="Z75" i="3"/>
  <c r="AA76" i="3"/>
  <c r="AA77" i="3"/>
  <c r="Z78" i="3"/>
  <c r="Z79" i="3"/>
  <c r="Y80" i="3"/>
  <c r="Z81" i="3"/>
  <c r="Z82" i="3"/>
  <c r="Y83" i="3"/>
  <c r="X84" i="3"/>
  <c r="U85" i="3"/>
  <c r="AE85" i="3" s="1"/>
  <c r="R86" i="3"/>
  <c r="Q87" i="3"/>
  <c r="AA87" i="3"/>
  <c r="X88" i="3"/>
  <c r="W89" i="3"/>
  <c r="T90" i="3"/>
  <c r="P11" i="3"/>
  <c r="X17" i="3"/>
  <c r="Q24" i="3"/>
  <c r="Y30" i="3"/>
  <c r="T37" i="3"/>
  <c r="Z43" i="3"/>
  <c r="U50" i="3"/>
  <c r="P57" i="3"/>
  <c r="R59" i="3"/>
  <c r="AA60" i="3"/>
  <c r="W62" i="3"/>
  <c r="Q64" i="3"/>
  <c r="Z65" i="3"/>
  <c r="V67" i="3"/>
  <c r="P69" i="3"/>
  <c r="S70" i="3"/>
  <c r="Z74" i="3"/>
  <c r="Y78" i="3"/>
  <c r="W82" i="3"/>
  <c r="Q86" i="3"/>
  <c r="T89" i="3"/>
  <c r="P92" i="3"/>
  <c r="S94" i="3"/>
  <c r="Q96" i="3"/>
  <c r="V98" i="3"/>
  <c r="R100" i="3"/>
  <c r="AA101" i="3"/>
  <c r="U103" i="3"/>
  <c r="Q105" i="3"/>
  <c r="Z106" i="3"/>
  <c r="T108" i="3"/>
  <c r="P110" i="3"/>
  <c r="Y111" i="3"/>
  <c r="S113" i="3"/>
  <c r="AB114" i="3"/>
  <c r="X116" i="3"/>
  <c r="P118" i="3"/>
  <c r="U119" i="3"/>
  <c r="AA120" i="3"/>
  <c r="S122" i="3"/>
  <c r="V123" i="3"/>
  <c r="U124" i="3"/>
  <c r="AE124" i="3" s="1"/>
  <c r="X125" i="3"/>
  <c r="AA126" i="3"/>
  <c r="AA127" i="3"/>
  <c r="AA128" i="3"/>
  <c r="Z129" i="3"/>
  <c r="W130" i="3"/>
  <c r="U131" i="3"/>
  <c r="AE131" i="3" s="1"/>
  <c r="R132" i="3"/>
  <c r="P133" i="3"/>
  <c r="AA133" i="3"/>
  <c r="X134" i="3"/>
  <c r="U135" i="3"/>
  <c r="S136" i="3"/>
  <c r="P137" i="3"/>
  <c r="Z137" i="3"/>
  <c r="Y138" i="3"/>
  <c r="V139" i="3"/>
  <c r="S140" i="3"/>
  <c r="P141" i="3"/>
  <c r="AA141" i="3"/>
  <c r="W142" i="3"/>
  <c r="S143" i="3"/>
  <c r="P144" i="3"/>
  <c r="Y144" i="3"/>
  <c r="U145" i="3"/>
  <c r="Q146" i="3"/>
  <c r="Z146" i="3"/>
  <c r="V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AE189" i="3" s="1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P206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Y70" i="3"/>
  <c r="P75" i="3"/>
  <c r="AA78" i="3"/>
  <c r="AA82" i="3"/>
  <c r="S86" i="3"/>
  <c r="X89" i="3"/>
  <c r="Q92" i="3"/>
  <c r="V94" i="3"/>
  <c r="Y96" i="3"/>
  <c r="W98" i="3"/>
  <c r="S100" i="3"/>
  <c r="AB101" i="3"/>
  <c r="V103" i="3"/>
  <c r="R105" i="3"/>
  <c r="AA106" i="3"/>
  <c r="U108" i="3"/>
  <c r="Q110" i="3"/>
  <c r="Z111" i="3"/>
  <c r="T113" i="3"/>
  <c r="P115" i="3"/>
  <c r="Y116" i="3"/>
  <c r="Q118" i="3"/>
  <c r="V119" i="3"/>
  <c r="AB120" i="3"/>
  <c r="T122" i="3"/>
  <c r="W123" i="3"/>
  <c r="Z124" i="3"/>
  <c r="Z125" i="3"/>
  <c r="P127" i="3"/>
  <c r="AB127" i="3"/>
  <c r="P129" i="3"/>
  <c r="AA129" i="3"/>
  <c r="Y130" i="3"/>
  <c r="V131" i="3"/>
  <c r="T132" i="3"/>
  <c r="R133" i="3"/>
  <c r="AB133" i="3"/>
  <c r="Y134" i="3"/>
  <c r="V135" i="3"/>
  <c r="T136" i="3"/>
  <c r="Q137" i="3"/>
  <c r="AB137" i="3"/>
  <c r="Z138" i="3"/>
  <c r="W139" i="3"/>
  <c r="T140" i="3"/>
  <c r="R141" i="3"/>
  <c r="AB141" i="3"/>
  <c r="X142" i="3"/>
  <c r="U143" i="3"/>
  <c r="AE143" i="3" s="1"/>
  <c r="Q144" i="3"/>
  <c r="Z144" i="3"/>
  <c r="V145" i="3"/>
  <c r="R146" i="3"/>
  <c r="AA146" i="3"/>
  <c r="W147" i="3"/>
  <c r="S148" i="3"/>
  <c r="AA148" i="3"/>
  <c r="V149" i="3"/>
  <c r="Q150" i="3"/>
  <c r="Y150" i="3"/>
  <c r="T151" i="3"/>
  <c r="AB151" i="3"/>
  <c r="W152" i="3"/>
  <c r="R153" i="3"/>
  <c r="Z153" i="3"/>
  <c r="U154" i="3"/>
  <c r="AE154" i="3" s="1"/>
  <c r="P155" i="3"/>
  <c r="X155" i="3"/>
  <c r="S156" i="3"/>
  <c r="AA156" i="3"/>
  <c r="V157" i="3"/>
  <c r="Q158" i="3"/>
  <c r="Y158" i="3"/>
  <c r="T159" i="3"/>
  <c r="AB159" i="3"/>
  <c r="W160" i="3"/>
  <c r="R161" i="3"/>
  <c r="Z161" i="3"/>
  <c r="U162" i="3"/>
  <c r="P163" i="3"/>
  <c r="X163" i="3"/>
  <c r="S164" i="3"/>
  <c r="AA164" i="3"/>
  <c r="V165" i="3"/>
  <c r="Q166" i="3"/>
  <c r="Y166" i="3"/>
  <c r="T167" i="3"/>
  <c r="AB167" i="3"/>
  <c r="W168" i="3"/>
  <c r="R169" i="3"/>
  <c r="Z169" i="3"/>
  <c r="U170" i="3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P211" i="3"/>
  <c r="X211" i="3"/>
  <c r="S212" i="3"/>
  <c r="AA212" i="3"/>
  <c r="V213" i="3"/>
  <c r="Q214" i="3"/>
  <c r="Y214" i="3"/>
  <c r="T215" i="3"/>
  <c r="AB215" i="3"/>
  <c r="W216" i="3"/>
  <c r="R217" i="3"/>
  <c r="Y71" i="3"/>
  <c r="Y75" i="3"/>
  <c r="Y79" i="3"/>
  <c r="X83" i="3"/>
  <c r="AA86" i="3"/>
  <c r="S90" i="3"/>
  <c r="Y92" i="3"/>
  <c r="W94" i="3"/>
  <c r="AB96" i="3"/>
  <c r="Q99" i="3"/>
  <c r="Z100" i="3"/>
  <c r="V102" i="3"/>
  <c r="P104" i="3"/>
  <c r="Y105" i="3"/>
  <c r="U107" i="3"/>
  <c r="AB108" i="3"/>
  <c r="X110" i="3"/>
  <c r="T112" i="3"/>
  <c r="AA113" i="3"/>
  <c r="W115" i="3"/>
  <c r="R117" i="3"/>
  <c r="W118" i="3"/>
  <c r="AB119" i="3"/>
  <c r="T121" i="3"/>
  <c r="Y122" i="3"/>
  <c r="X123" i="3"/>
  <c r="AA124" i="3"/>
  <c r="AA125" i="3"/>
  <c r="Q127" i="3"/>
  <c r="Q128" i="3"/>
  <c r="Q129" i="3"/>
  <c r="AB129" i="3"/>
  <c r="Z130" i="3"/>
  <c r="X131" i="3"/>
  <c r="U132" i="3"/>
  <c r="S133" i="3"/>
  <c r="P134" i="3"/>
  <c r="Z134" i="3"/>
  <c r="X135" i="3"/>
  <c r="U136" i="3"/>
  <c r="S137" i="3"/>
  <c r="Q138" i="3"/>
  <c r="AA138" i="3"/>
  <c r="X139" i="3"/>
  <c r="U140" i="3"/>
  <c r="S141" i="3"/>
  <c r="P142" i="3"/>
  <c r="Z142" i="3"/>
  <c r="V143" i="3"/>
  <c r="R144" i="3"/>
  <c r="AA144" i="3"/>
  <c r="W145" i="3"/>
  <c r="S146" i="3"/>
  <c r="AB146" i="3"/>
  <c r="Y147" i="3"/>
  <c r="T148" i="3"/>
  <c r="AB148" i="3"/>
  <c r="W149" i="3"/>
  <c r="R150" i="3"/>
  <c r="Z150" i="3"/>
  <c r="U151" i="3"/>
  <c r="P152" i="3"/>
  <c r="X152" i="3"/>
  <c r="S153" i="3"/>
  <c r="AA153" i="3"/>
  <c r="V154" i="3"/>
  <c r="Q155" i="3"/>
  <c r="Y155" i="3"/>
  <c r="T156" i="3"/>
  <c r="AB156" i="3"/>
  <c r="W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Z166" i="3"/>
  <c r="U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X184" i="3"/>
  <c r="S185" i="3"/>
  <c r="AA185" i="3"/>
  <c r="V186" i="3"/>
  <c r="Q187" i="3"/>
  <c r="Y187" i="3"/>
  <c r="T188" i="3"/>
  <c r="AB188" i="3"/>
  <c r="W189" i="3"/>
  <c r="R190" i="3"/>
  <c r="Z190" i="3"/>
  <c r="U191" i="3"/>
  <c r="P192" i="3"/>
  <c r="X192" i="3"/>
  <c r="S193" i="3"/>
  <c r="AA193" i="3"/>
  <c r="V194" i="3"/>
  <c r="Q195" i="3"/>
  <c r="Y195" i="3"/>
  <c r="T196" i="3"/>
  <c r="AB196" i="3"/>
  <c r="W197" i="3"/>
  <c r="R198" i="3"/>
  <c r="Z198" i="3"/>
  <c r="U199" i="3"/>
  <c r="P200" i="3"/>
  <c r="X200" i="3"/>
  <c r="AB71" i="3"/>
  <c r="P76" i="3"/>
  <c r="AB79" i="3"/>
  <c r="Z83" i="3"/>
  <c r="R87" i="3"/>
  <c r="U90" i="3"/>
  <c r="Z92" i="3"/>
  <c r="R95" i="3"/>
  <c r="P97" i="3"/>
  <c r="R99" i="3"/>
  <c r="AA100" i="3"/>
  <c r="W102" i="3"/>
  <c r="Q104" i="3"/>
  <c r="Z105" i="3"/>
  <c r="V107" i="3"/>
  <c r="P109" i="3"/>
  <c r="Y110" i="3"/>
  <c r="U112" i="3"/>
  <c r="AB113" i="3"/>
  <c r="X115" i="3"/>
  <c r="S117" i="3"/>
  <c r="X118" i="3"/>
  <c r="P120" i="3"/>
  <c r="V121" i="3"/>
  <c r="Z122" i="3"/>
  <c r="Y123" i="3"/>
  <c r="AB124" i="3"/>
  <c r="R126" i="3"/>
  <c r="R127" i="3"/>
  <c r="T128" i="3"/>
  <c r="R129" i="3"/>
  <c r="Q130" i="3"/>
  <c r="AB130" i="3"/>
  <c r="Y131" i="3"/>
  <c r="W132" i="3"/>
  <c r="T133" i="3"/>
  <c r="Q134" i="3"/>
  <c r="AA134" i="3"/>
  <c r="Y135" i="3"/>
  <c r="W136" i="3"/>
  <c r="T137" i="3"/>
  <c r="R138" i="3"/>
  <c r="AB138" i="3"/>
  <c r="Y139" i="3"/>
  <c r="W140" i="3"/>
  <c r="T141" i="3"/>
  <c r="R142" i="3"/>
  <c r="AA142" i="3"/>
  <c r="W143" i="3"/>
  <c r="S144" i="3"/>
  <c r="AB144" i="3"/>
  <c r="X145" i="3"/>
  <c r="T146" i="3"/>
  <c r="Q147" i="3"/>
  <c r="Z147" i="3"/>
  <c r="U148" i="3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AE156" i="3" s="1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P189" i="3"/>
  <c r="X189" i="3"/>
  <c r="S190" i="3"/>
  <c r="AA190" i="3"/>
  <c r="V191" i="3"/>
  <c r="Q192" i="3"/>
  <c r="Y192" i="3"/>
  <c r="T193" i="3"/>
  <c r="AB193" i="3"/>
  <c r="Y72" i="3"/>
  <c r="Y76" i="3"/>
  <c r="X80" i="3"/>
  <c r="U84" i="3"/>
  <c r="Z87" i="3"/>
  <c r="P91" i="3"/>
  <c r="AA92" i="3"/>
  <c r="S95" i="3"/>
  <c r="X97" i="3"/>
  <c r="U99" i="3"/>
  <c r="AE99" i="3" s="1"/>
  <c r="AB100" i="3"/>
  <c r="X102" i="3"/>
  <c r="T104" i="3"/>
  <c r="AA105" i="3"/>
  <c r="W107" i="3"/>
  <c r="S109" i="3"/>
  <c r="Z110" i="3"/>
  <c r="V112" i="3"/>
  <c r="R114" i="3"/>
  <c r="Y115" i="3"/>
  <c r="T117" i="3"/>
  <c r="Y118" i="3"/>
  <c r="Q120" i="3"/>
  <c r="W121" i="3"/>
  <c r="AA122" i="3"/>
  <c r="Q124" i="3"/>
  <c r="P125" i="3"/>
  <c r="S126" i="3"/>
  <c r="S127" i="3"/>
  <c r="U128" i="3"/>
  <c r="S129" i="3"/>
  <c r="S130" i="3"/>
  <c r="P131" i="3"/>
  <c r="Z131" i="3"/>
  <c r="X132" i="3"/>
  <c r="U133" i="3"/>
  <c r="R134" i="3"/>
  <c r="P135" i="3"/>
  <c r="AA135" i="3"/>
  <c r="X136" i="3"/>
  <c r="V137" i="3"/>
  <c r="S138" i="3"/>
  <c r="P139" i="3"/>
  <c r="Z139" i="3"/>
  <c r="X140" i="3"/>
  <c r="V141" i="3"/>
  <c r="S142" i="3"/>
  <c r="AB142" i="3"/>
  <c r="X143" i="3"/>
  <c r="T144" i="3"/>
  <c r="P145" i="3"/>
  <c r="Y145" i="3"/>
  <c r="V146" i="3"/>
  <c r="R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P73" i="3"/>
  <c r="AB76" i="3"/>
  <c r="AB80" i="3"/>
  <c r="Y84" i="3"/>
  <c r="AB87" i="3"/>
  <c r="Q91" i="3"/>
  <c r="V93" i="3"/>
  <c r="T95" i="3"/>
  <c r="Y97" i="3"/>
  <c r="V99" i="3"/>
  <c r="P101" i="3"/>
  <c r="Y102" i="3"/>
  <c r="U104" i="3"/>
  <c r="AE104" i="3" s="1"/>
  <c r="AB105" i="3"/>
  <c r="X107" i="3"/>
  <c r="T109" i="3"/>
  <c r="AA110" i="3"/>
  <c r="W112" i="3"/>
  <c r="S114" i="3"/>
  <c r="Z115" i="3"/>
  <c r="U117" i="3"/>
  <c r="AE117" i="3" s="1"/>
  <c r="Z118" i="3"/>
  <c r="S120" i="3"/>
  <c r="X121" i="3"/>
  <c r="AB122" i="3"/>
  <c r="R124" i="3"/>
  <c r="R125" i="3"/>
  <c r="U126" i="3"/>
  <c r="X127" i="3"/>
  <c r="V128" i="3"/>
  <c r="T129" i="3"/>
  <c r="T130" i="3"/>
  <c r="Q131" i="3"/>
  <c r="AB131" i="3"/>
  <c r="Y132" i="3"/>
  <c r="V133" i="3"/>
  <c r="S134" i="3"/>
  <c r="R135" i="3"/>
  <c r="AB135" i="3"/>
  <c r="Y136" i="3"/>
  <c r="W137" i="3"/>
  <c r="T138" i="3"/>
  <c r="Q139" i="3"/>
  <c r="AB139" i="3"/>
  <c r="Z140" i="3"/>
  <c r="W141" i="3"/>
  <c r="T142" i="3"/>
  <c r="P143" i="3"/>
  <c r="Y143" i="3"/>
  <c r="U144" i="3"/>
  <c r="Q145" i="3"/>
  <c r="AA145" i="3"/>
  <c r="W146" i="3"/>
  <c r="S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T155" i="3"/>
  <c r="AB155" i="3"/>
  <c r="W156" i="3"/>
  <c r="R157" i="3"/>
  <c r="Z157" i="3"/>
  <c r="U158" i="3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AE166" i="3" s="1"/>
  <c r="Z73" i="3"/>
  <c r="X77" i="3"/>
  <c r="X81" i="3"/>
  <c r="T85" i="3"/>
  <c r="W88" i="3"/>
  <c r="R91" i="3"/>
  <c r="W93" i="3"/>
  <c r="AB95" i="3"/>
  <c r="Z97" i="3"/>
  <c r="P100" i="3"/>
  <c r="W101" i="3"/>
  <c r="S103" i="3"/>
  <c r="AB104" i="3"/>
  <c r="V106" i="3"/>
  <c r="R108" i="3"/>
  <c r="AA109" i="3"/>
  <c r="U111" i="3"/>
  <c r="AE111" i="3" s="1"/>
  <c r="Q113" i="3"/>
  <c r="Z114" i="3"/>
  <c r="T116" i="3"/>
  <c r="AA117" i="3"/>
  <c r="S119" i="3"/>
  <c r="X120" i="3"/>
  <c r="Q122" i="3"/>
  <c r="P123" i="3"/>
  <c r="S124" i="3"/>
  <c r="V125" i="3"/>
  <c r="V126" i="3"/>
  <c r="Y127" i="3"/>
  <c r="W128" i="3"/>
  <c r="W129" i="3"/>
  <c r="U130" i="3"/>
  <c r="AE130" i="3" s="1"/>
  <c r="R131" i="3"/>
  <c r="P132" i="3"/>
  <c r="Z132" i="3"/>
  <c r="W133" i="3"/>
  <c r="V134" i="3"/>
  <c r="S135" i="3"/>
  <c r="P136" i="3"/>
  <c r="AA136" i="3"/>
  <c r="X137" i="3"/>
  <c r="U138" i="3"/>
  <c r="R139" i="3"/>
  <c r="Q140" i="3"/>
  <c r="AA140" i="3"/>
  <c r="X141" i="3"/>
  <c r="U142" i="3"/>
  <c r="Q143" i="3"/>
  <c r="Z143" i="3"/>
  <c r="V144" i="3"/>
  <c r="S145" i="3"/>
  <c r="AB145" i="3"/>
  <c r="X146" i="3"/>
  <c r="T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P156" i="3"/>
  <c r="X156" i="3"/>
  <c r="S157" i="3"/>
  <c r="AA157" i="3"/>
  <c r="V158" i="3"/>
  <c r="Q159" i="3"/>
  <c r="Y159" i="3"/>
  <c r="T160" i="3"/>
  <c r="AB160" i="3"/>
  <c r="W161" i="3"/>
  <c r="R162" i="3"/>
  <c r="Z162" i="3"/>
  <c r="AB73" i="3"/>
  <c r="U98" i="3"/>
  <c r="AE98" i="3" s="1"/>
  <c r="V111" i="3"/>
  <c r="U123" i="3"/>
  <c r="T131" i="3"/>
  <c r="Y137" i="3"/>
  <c r="AA143" i="3"/>
  <c r="T149" i="3"/>
  <c r="S154" i="3"/>
  <c r="R159" i="3"/>
  <c r="V163" i="3"/>
  <c r="AB165" i="3"/>
  <c r="Z167" i="3"/>
  <c r="W169" i="3"/>
  <c r="T171" i="3"/>
  <c r="Y172" i="3"/>
  <c r="V174" i="3"/>
  <c r="S176" i="3"/>
  <c r="X177" i="3"/>
  <c r="U179" i="3"/>
  <c r="R181" i="3"/>
  <c r="W182" i="3"/>
  <c r="T184" i="3"/>
  <c r="Q186" i="3"/>
  <c r="T187" i="3"/>
  <c r="W188" i="3"/>
  <c r="Z189" i="3"/>
  <c r="P191" i="3"/>
  <c r="S192" i="3"/>
  <c r="V193" i="3"/>
  <c r="X194" i="3"/>
  <c r="V195" i="3"/>
  <c r="W196" i="3"/>
  <c r="X197" i="3"/>
  <c r="V198" i="3"/>
  <c r="W199" i="3"/>
  <c r="U200" i="3"/>
  <c r="U201" i="3"/>
  <c r="R202" i="3"/>
  <c r="Q203" i="3"/>
  <c r="AA203" i="3"/>
  <c r="X204" i="3"/>
  <c r="W205" i="3"/>
  <c r="T206" i="3"/>
  <c r="Q207" i="3"/>
  <c r="P208" i="3"/>
  <c r="Z208" i="3"/>
  <c r="W209" i="3"/>
  <c r="V210" i="3"/>
  <c r="S211" i="3"/>
  <c r="P212" i="3"/>
  <c r="AB212" i="3"/>
  <c r="Y213" i="3"/>
  <c r="V214" i="3"/>
  <c r="U215" i="3"/>
  <c r="R216" i="3"/>
  <c r="AB216" i="3"/>
  <c r="Z217" i="3"/>
  <c r="U218" i="3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AB77" i="3"/>
  <c r="Q100" i="3"/>
  <c r="R113" i="3"/>
  <c r="T124" i="3"/>
  <c r="Q132" i="3"/>
  <c r="V138" i="3"/>
  <c r="X144" i="3"/>
  <c r="AB149" i="3"/>
  <c r="AA154" i="3"/>
  <c r="Z159" i="3"/>
  <c r="P164" i="3"/>
  <c r="V166" i="3"/>
  <c r="S168" i="3"/>
  <c r="X169" i="3"/>
  <c r="U171" i="3"/>
  <c r="R173" i="3"/>
  <c r="W174" i="3"/>
  <c r="T176" i="3"/>
  <c r="Q178" i="3"/>
  <c r="V179" i="3"/>
  <c r="S181" i="3"/>
  <c r="P183" i="3"/>
  <c r="U184" i="3"/>
  <c r="R186" i="3"/>
  <c r="U187" i="3"/>
  <c r="AE187" i="3" s="1"/>
  <c r="X188" i="3"/>
  <c r="AA189" i="3"/>
  <c r="Q191" i="3"/>
  <c r="T192" i="3"/>
  <c r="W193" i="3"/>
  <c r="Y194" i="3"/>
  <c r="Z195" i="3"/>
  <c r="X196" i="3"/>
  <c r="Y197" i="3"/>
  <c r="W198" i="3"/>
  <c r="X199" i="3"/>
  <c r="Y200" i="3"/>
  <c r="V201" i="3"/>
  <c r="S202" i="3"/>
  <c r="R203" i="3"/>
  <c r="AB203" i="3"/>
  <c r="Y204" i="3"/>
  <c r="X205" i="3"/>
  <c r="U206" i="3"/>
  <c r="R207" i="3"/>
  <c r="Q208" i="3"/>
  <c r="AA208" i="3"/>
  <c r="X209" i="3"/>
  <c r="W210" i="3"/>
  <c r="T211" i="3"/>
  <c r="Q212" i="3"/>
  <c r="P213" i="3"/>
  <c r="Z213" i="3"/>
  <c r="W214" i="3"/>
  <c r="V215" i="3"/>
  <c r="S216" i="3"/>
  <c r="P217" i="3"/>
  <c r="AA217" i="3"/>
  <c r="V218" i="3"/>
  <c r="Q219" i="3"/>
  <c r="Y219" i="3"/>
  <c r="T220" i="3"/>
  <c r="AB220" i="3"/>
  <c r="W221" i="3"/>
  <c r="R222" i="3"/>
  <c r="Z222" i="3"/>
  <c r="U223" i="3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AE247" i="3" s="1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AE279" i="3" s="1"/>
  <c r="P280" i="3"/>
  <c r="X280" i="3"/>
  <c r="AA81" i="3"/>
  <c r="X101" i="3"/>
  <c r="AA114" i="3"/>
  <c r="W125" i="3"/>
  <c r="AA132" i="3"/>
  <c r="U139" i="3"/>
  <c r="AE139" i="3" s="1"/>
  <c r="T145" i="3"/>
  <c r="W150" i="3"/>
  <c r="V155" i="3"/>
  <c r="U160" i="3"/>
  <c r="AE160" i="3" s="1"/>
  <c r="Q164" i="3"/>
  <c r="W166" i="3"/>
  <c r="T168" i="3"/>
  <c r="Q170" i="3"/>
  <c r="V171" i="3"/>
  <c r="S173" i="3"/>
  <c r="P175" i="3"/>
  <c r="U176" i="3"/>
  <c r="AE176" i="3" s="1"/>
  <c r="R178" i="3"/>
  <c r="AB179" i="3"/>
  <c r="T181" i="3"/>
  <c r="Q183" i="3"/>
  <c r="AA184" i="3"/>
  <c r="S186" i="3"/>
  <c r="V187" i="3"/>
  <c r="Y188" i="3"/>
  <c r="AB189" i="3"/>
  <c r="R191" i="3"/>
  <c r="U192" i="3"/>
  <c r="X193" i="3"/>
  <c r="Z194" i="3"/>
  <c r="AA195" i="3"/>
  <c r="Y196" i="3"/>
  <c r="Z197" i="3"/>
  <c r="AA198" i="3"/>
  <c r="Y199" i="3"/>
  <c r="Z200" i="3"/>
  <c r="W201" i="3"/>
  <c r="V202" i="3"/>
  <c r="S203" i="3"/>
  <c r="P204" i="3"/>
  <c r="AB204" i="3"/>
  <c r="Y205" i="3"/>
  <c r="V206" i="3"/>
  <c r="U207" i="3"/>
  <c r="R208" i="3"/>
  <c r="AB208" i="3"/>
  <c r="AA209" i="3"/>
  <c r="X210" i="3"/>
  <c r="U211" i="3"/>
  <c r="AE211" i="3" s="1"/>
  <c r="T212" i="3"/>
  <c r="Q213" i="3"/>
  <c r="AA213" i="3"/>
  <c r="Z214" i="3"/>
  <c r="W215" i="3"/>
  <c r="T216" i="3"/>
  <c r="S217" i="3"/>
  <c r="AB217" i="3"/>
  <c r="W218" i="3"/>
  <c r="R219" i="3"/>
  <c r="Z219" i="3"/>
  <c r="U220" i="3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P269" i="3"/>
  <c r="X269" i="3"/>
  <c r="S270" i="3"/>
  <c r="AA270" i="3"/>
  <c r="V271" i="3"/>
  <c r="Q272" i="3"/>
  <c r="Y272" i="3"/>
  <c r="T273" i="3"/>
  <c r="AB273" i="3"/>
  <c r="W274" i="3"/>
  <c r="R275" i="3"/>
  <c r="Z275" i="3"/>
  <c r="V85" i="3"/>
  <c r="T103" i="3"/>
  <c r="U116" i="3"/>
  <c r="W126" i="3"/>
  <c r="Z133" i="3"/>
  <c r="R140" i="3"/>
  <c r="P146" i="3"/>
  <c r="R151" i="3"/>
  <c r="Q156" i="3"/>
  <c r="P161" i="3"/>
  <c r="X164" i="3"/>
  <c r="P167" i="3"/>
  <c r="U168" i="3"/>
  <c r="R170" i="3"/>
  <c r="AB171" i="3"/>
  <c r="T173" i="3"/>
  <c r="Q175" i="3"/>
  <c r="AA176" i="3"/>
  <c r="S178" i="3"/>
  <c r="P180" i="3"/>
  <c r="Z181" i="3"/>
  <c r="R183" i="3"/>
  <c r="AB184" i="3"/>
  <c r="X186" i="3"/>
  <c r="AA187" i="3"/>
  <c r="Q189" i="3"/>
  <c r="T190" i="3"/>
  <c r="W191" i="3"/>
  <c r="Z192" i="3"/>
  <c r="P194" i="3"/>
  <c r="AA194" i="3"/>
  <c r="AB195" i="3"/>
  <c r="P197" i="3"/>
  <c r="AA197" i="3"/>
  <c r="AB198" i="3"/>
  <c r="Z199" i="3"/>
  <c r="AA200" i="3"/>
  <c r="X201" i="3"/>
  <c r="W202" i="3"/>
  <c r="T203" i="3"/>
  <c r="Q204" i="3"/>
  <c r="P205" i="3"/>
  <c r="Z205" i="3"/>
  <c r="W206" i="3"/>
  <c r="V207" i="3"/>
  <c r="S208" i="3"/>
  <c r="P209" i="3"/>
  <c r="AB209" i="3"/>
  <c r="Y210" i="3"/>
  <c r="V211" i="3"/>
  <c r="U212" i="3"/>
  <c r="R213" i="3"/>
  <c r="AB213" i="3"/>
  <c r="AA214" i="3"/>
  <c r="X215" i="3"/>
  <c r="U216" i="3"/>
  <c r="T217" i="3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AE225" i="3" s="1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Y88" i="3"/>
  <c r="P105" i="3"/>
  <c r="AB117" i="3"/>
  <c r="Z127" i="3"/>
  <c r="W134" i="3"/>
  <c r="AB140" i="3"/>
  <c r="Y146" i="3"/>
  <c r="Z151" i="3"/>
  <c r="Y156" i="3"/>
  <c r="X161" i="3"/>
  <c r="Y164" i="3"/>
  <c r="Q167" i="3"/>
  <c r="AA168" i="3"/>
  <c r="S170" i="3"/>
  <c r="P172" i="3"/>
  <c r="Z173" i="3"/>
  <c r="R175" i="3"/>
  <c r="AB176" i="3"/>
  <c r="Y178" i="3"/>
  <c r="Q180" i="3"/>
  <c r="AA181" i="3"/>
  <c r="X183" i="3"/>
  <c r="P185" i="3"/>
  <c r="Y186" i="3"/>
  <c r="AB187" i="3"/>
  <c r="R189" i="3"/>
  <c r="U190" i="3"/>
  <c r="X191" i="3"/>
  <c r="AA192" i="3"/>
  <c r="Q194" i="3"/>
  <c r="R195" i="3"/>
  <c r="P196" i="3"/>
  <c r="Q197" i="3"/>
  <c r="AB197" i="3"/>
  <c r="P199" i="3"/>
  <c r="Q200" i="3"/>
  <c r="AB200" i="3"/>
  <c r="AA201" i="3"/>
  <c r="X202" i="3"/>
  <c r="U203" i="3"/>
  <c r="AE203" i="3" s="1"/>
  <c r="T204" i="3"/>
  <c r="Q205" i="3"/>
  <c r="AA205" i="3"/>
  <c r="Z206" i="3"/>
  <c r="W207" i="3"/>
  <c r="T208" i="3"/>
  <c r="S209" i="3"/>
  <c r="P210" i="3"/>
  <c r="Z210" i="3"/>
  <c r="Y211" i="3"/>
  <c r="V212" i="3"/>
  <c r="S213" i="3"/>
  <c r="R214" i="3"/>
  <c r="AB214" i="3"/>
  <c r="Y215" i="3"/>
  <c r="X216" i="3"/>
  <c r="U217" i="3"/>
  <c r="Q218" i="3"/>
  <c r="Y218" i="3"/>
  <c r="T219" i="3"/>
  <c r="AB219" i="3"/>
  <c r="W220" i="3"/>
  <c r="R221" i="3"/>
  <c r="Z221" i="3"/>
  <c r="U222" i="3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Z91" i="3"/>
  <c r="W106" i="3"/>
  <c r="T119" i="3"/>
  <c r="X128" i="3"/>
  <c r="T135" i="3"/>
  <c r="Z141" i="3"/>
  <c r="U147" i="3"/>
  <c r="AE147" i="3" s="1"/>
  <c r="U152" i="3"/>
  <c r="AE152" i="3" s="1"/>
  <c r="T157" i="3"/>
  <c r="S162" i="3"/>
  <c r="S165" i="3"/>
  <c r="R167" i="3"/>
  <c r="AB168" i="3"/>
  <c r="Y170" i="3"/>
  <c r="Q172" i="3"/>
  <c r="AA173" i="3"/>
  <c r="X175" i="3"/>
  <c r="P177" i="3"/>
  <c r="Z178" i="3"/>
  <c r="W180" i="3"/>
  <c r="AB181" i="3"/>
  <c r="Y183" i="3"/>
  <c r="V185" i="3"/>
  <c r="Z186" i="3"/>
  <c r="P188" i="3"/>
  <c r="S189" i="3"/>
  <c r="V190" i="3"/>
  <c r="Y191" i="3"/>
  <c r="AB192" i="3"/>
  <c r="R194" i="3"/>
  <c r="S195" i="3"/>
  <c r="Q196" i="3"/>
  <c r="R197" i="3"/>
  <c r="S198" i="3"/>
  <c r="Q199" i="3"/>
  <c r="R200" i="3"/>
  <c r="P201" i="3"/>
  <c r="AB201" i="3"/>
  <c r="Y202" i="3"/>
  <c r="V203" i="3"/>
  <c r="U204" i="3"/>
  <c r="R205" i="3"/>
  <c r="AB205" i="3"/>
  <c r="AA206" i="3"/>
  <c r="X207" i="3"/>
  <c r="U208" i="3"/>
  <c r="T209" i="3"/>
  <c r="Q210" i="3"/>
  <c r="AA210" i="3"/>
  <c r="Z211" i="3"/>
  <c r="W212" i="3"/>
  <c r="T213" i="3"/>
  <c r="S214" i="3"/>
  <c r="P215" i="3"/>
  <c r="Z215" i="3"/>
  <c r="Y216" i="3"/>
  <c r="V217" i="3"/>
  <c r="R218" i="3"/>
  <c r="Z218" i="3"/>
  <c r="U219" i="3"/>
  <c r="AE219" i="3" s="1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P236" i="3"/>
  <c r="X236" i="3"/>
  <c r="X93" i="3"/>
  <c r="S108" i="3"/>
  <c r="Y120" i="3"/>
  <c r="Y129" i="3"/>
  <c r="Q136" i="3"/>
  <c r="V142" i="3"/>
  <c r="Q148" i="3"/>
  <c r="P153" i="3"/>
  <c r="AB157" i="3"/>
  <c r="AA162" i="3"/>
  <c r="T165" i="3"/>
  <c r="X167" i="3"/>
  <c r="P169" i="3"/>
  <c r="Z170" i="3"/>
  <c r="W172" i="3"/>
  <c r="AB173" i="3"/>
  <c r="Y175" i="3"/>
  <c r="V177" i="3"/>
  <c r="AA178" i="3"/>
  <c r="X180" i="3"/>
  <c r="U182" i="3"/>
  <c r="Z183" i="3"/>
  <c r="W185" i="3"/>
  <c r="AA186" i="3"/>
  <c r="Q188" i="3"/>
  <c r="T189" i="3"/>
  <c r="W190" i="3"/>
  <c r="Z191" i="3"/>
  <c r="P193" i="3"/>
  <c r="S194" i="3"/>
  <c r="T195" i="3"/>
  <c r="U196" i="3"/>
  <c r="AE196" i="3" s="1"/>
  <c r="S197" i="3"/>
  <c r="T198" i="3"/>
  <c r="R199" i="3"/>
  <c r="S200" i="3"/>
  <c r="S201" i="3"/>
  <c r="P202" i="3"/>
  <c r="Z202" i="3"/>
  <c r="Y203" i="3"/>
  <c r="V204" i="3"/>
  <c r="S205" i="3"/>
  <c r="R206" i="3"/>
  <c r="AB206" i="3"/>
  <c r="Y207" i="3"/>
  <c r="X208" i="3"/>
  <c r="U209" i="3"/>
  <c r="AE209" i="3" s="1"/>
  <c r="R210" i="3"/>
  <c r="Q211" i="3"/>
  <c r="AA211" i="3"/>
  <c r="X212" i="3"/>
  <c r="W213" i="3"/>
  <c r="T214" i="3"/>
  <c r="Q215" i="3"/>
  <c r="P216" i="3"/>
  <c r="Z216" i="3"/>
  <c r="W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P96" i="3"/>
  <c r="AB109" i="3"/>
  <c r="R122" i="3"/>
  <c r="V130" i="3"/>
  <c r="AB136" i="3"/>
  <c r="R143" i="3"/>
  <c r="Y148" i="3"/>
  <c r="X153" i="3"/>
  <c r="W158" i="3"/>
  <c r="U163" i="3"/>
  <c r="AE163" i="3" s="1"/>
  <c r="AA165" i="3"/>
  <c r="Y167" i="3"/>
  <c r="V169" i="3"/>
  <c r="AA170" i="3"/>
  <c r="X172" i="3"/>
  <c r="U174" i="3"/>
  <c r="Z175" i="3"/>
  <c r="W177" i="3"/>
  <c r="T179" i="3"/>
  <c r="Y180" i="3"/>
  <c r="V182" i="3"/>
  <c r="S184" i="3"/>
  <c r="X185" i="3"/>
  <c r="S187" i="3"/>
  <c r="V188" i="3"/>
  <c r="Y189" i="3"/>
  <c r="AB190" i="3"/>
  <c r="R192" i="3"/>
  <c r="U193" i="3"/>
  <c r="W194" i="3"/>
  <c r="U195" i="3"/>
  <c r="V196" i="3"/>
  <c r="T197" i="3"/>
  <c r="U198" i="3"/>
  <c r="AE198" i="3" s="1"/>
  <c r="V199" i="3"/>
  <c r="T200" i="3"/>
  <c r="T201" i="3"/>
  <c r="Q202" i="3"/>
  <c r="AA202" i="3"/>
  <c r="Z203" i="3"/>
  <c r="W204" i="3"/>
  <c r="T205" i="3"/>
  <c r="S206" i="3"/>
  <c r="P207" i="3"/>
  <c r="Z207" i="3"/>
  <c r="Y208" i="3"/>
  <c r="V209" i="3"/>
  <c r="S210" i="3"/>
  <c r="R211" i="3"/>
  <c r="AB211" i="3"/>
  <c r="Y212" i="3"/>
  <c r="X213" i="3"/>
  <c r="U214" i="3"/>
  <c r="R215" i="3"/>
  <c r="Q216" i="3"/>
  <c r="AA216" i="3"/>
  <c r="X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P230" i="3"/>
  <c r="X230" i="3"/>
  <c r="S231" i="3"/>
  <c r="AA231" i="3"/>
  <c r="V232" i="3"/>
  <c r="Q233" i="3"/>
  <c r="Y233" i="3"/>
  <c r="T234" i="3"/>
  <c r="AB234" i="3"/>
  <c r="R231" i="3"/>
  <c r="W235" i="3"/>
  <c r="AA237" i="3"/>
  <c r="S239" i="3"/>
  <c r="P241" i="3"/>
  <c r="Z242" i="3"/>
  <c r="R244" i="3"/>
  <c r="AB245" i="3"/>
  <c r="Y247" i="3"/>
  <c r="Q249" i="3"/>
  <c r="AA250" i="3"/>
  <c r="R252" i="3"/>
  <c r="U253" i="3"/>
  <c r="AE253" i="3" s="1"/>
  <c r="X254" i="3"/>
  <c r="AA255" i="3"/>
  <c r="Q257" i="3"/>
  <c r="T258" i="3"/>
  <c r="W259" i="3"/>
  <c r="Z260" i="3"/>
  <c r="P262" i="3"/>
  <c r="R263" i="3"/>
  <c r="S264" i="3"/>
  <c r="Q265" i="3"/>
  <c r="R266" i="3"/>
  <c r="S267" i="3"/>
  <c r="Q268" i="3"/>
  <c r="R269" i="3"/>
  <c r="P270" i="3"/>
  <c r="Q271" i="3"/>
  <c r="R272" i="3"/>
  <c r="P273" i="3"/>
  <c r="Q274" i="3"/>
  <c r="AB274" i="3"/>
  <c r="P276" i="3"/>
  <c r="Z276" i="3"/>
  <c r="Y277" i="3"/>
  <c r="V278" i="3"/>
  <c r="S279" i="3"/>
  <c r="R280" i="3"/>
  <c r="AB280" i="3"/>
  <c r="W281" i="3"/>
  <c r="R282" i="3"/>
  <c r="Z282" i="3"/>
  <c r="U283" i="3"/>
  <c r="AE283" i="3" s="1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X332" i="3"/>
  <c r="S333" i="3"/>
  <c r="AA333" i="3"/>
  <c r="V334" i="3"/>
  <c r="Q335" i="3"/>
  <c r="Y335" i="3"/>
  <c r="T336" i="3"/>
  <c r="AB336" i="3"/>
  <c r="W337" i="3"/>
  <c r="R338" i="3"/>
  <c r="Z338" i="3"/>
  <c r="U339" i="3"/>
  <c r="P340" i="3"/>
  <c r="X340" i="3"/>
  <c r="S341" i="3"/>
  <c r="AA341" i="3"/>
  <c r="V342" i="3"/>
  <c r="Q343" i="3"/>
  <c r="Y343" i="3"/>
  <c r="T344" i="3"/>
  <c r="AB344" i="3"/>
  <c r="W345" i="3"/>
  <c r="R346" i="3"/>
  <c r="Z346" i="3"/>
  <c r="U347" i="3"/>
  <c r="AE347" i="3" s="1"/>
  <c r="P348" i="3"/>
  <c r="X348" i="3"/>
  <c r="S349" i="3"/>
  <c r="AA349" i="3"/>
  <c r="V350" i="3"/>
  <c r="Q351" i="3"/>
  <c r="Y351" i="3"/>
  <c r="T352" i="3"/>
  <c r="AB352" i="3"/>
  <c r="W353" i="3"/>
  <c r="R354" i="3"/>
  <c r="Z354" i="3"/>
  <c r="U355" i="3"/>
  <c r="AE355" i="3" s="1"/>
  <c r="P356" i="3"/>
  <c r="X356" i="3"/>
  <c r="S357" i="3"/>
  <c r="AA357" i="3"/>
  <c r="V358" i="3"/>
  <c r="Q359" i="3"/>
  <c r="Y359" i="3"/>
  <c r="T360" i="3"/>
  <c r="AB360" i="3"/>
  <c r="Z231" i="3"/>
  <c r="Q236" i="3"/>
  <c r="AB237" i="3"/>
  <c r="Y239" i="3"/>
  <c r="Q241" i="3"/>
  <c r="AA242" i="3"/>
  <c r="X244" i="3"/>
  <c r="P246" i="3"/>
  <c r="Z247" i="3"/>
  <c r="W249" i="3"/>
  <c r="AB250" i="3"/>
  <c r="W252" i="3"/>
  <c r="Z253" i="3"/>
  <c r="P255" i="3"/>
  <c r="S256" i="3"/>
  <c r="V257" i="3"/>
  <c r="Y258" i="3"/>
  <c r="AB259" i="3"/>
  <c r="R261" i="3"/>
  <c r="U262" i="3"/>
  <c r="S263" i="3"/>
  <c r="T264" i="3"/>
  <c r="U265" i="3"/>
  <c r="AE265" i="3" s="1"/>
  <c r="S266" i="3"/>
  <c r="T267" i="3"/>
  <c r="R268" i="3"/>
  <c r="S269" i="3"/>
  <c r="T270" i="3"/>
  <c r="R271" i="3"/>
  <c r="S272" i="3"/>
  <c r="Q273" i="3"/>
  <c r="R274" i="3"/>
  <c r="S275" i="3"/>
  <c r="Q276" i="3"/>
  <c r="P277" i="3"/>
  <c r="Z277" i="3"/>
  <c r="W278" i="3"/>
  <c r="V279" i="3"/>
  <c r="S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P353" i="3"/>
  <c r="X353" i="3"/>
  <c r="S354" i="3"/>
  <c r="AA354" i="3"/>
  <c r="V355" i="3"/>
  <c r="Q356" i="3"/>
  <c r="Y356" i="3"/>
  <c r="T357" i="3"/>
  <c r="AB357" i="3"/>
  <c r="W358" i="3"/>
  <c r="R359" i="3"/>
  <c r="U232" i="3"/>
  <c r="R236" i="3"/>
  <c r="P238" i="3"/>
  <c r="Z239" i="3"/>
  <c r="W241" i="3"/>
  <c r="AB242" i="3"/>
  <c r="Y244" i="3"/>
  <c r="V246" i="3"/>
  <c r="AA247" i="3"/>
  <c r="X249" i="3"/>
  <c r="U251" i="3"/>
  <c r="AE251" i="3" s="1"/>
  <c r="X252" i="3"/>
  <c r="AA253" i="3"/>
  <c r="Q255" i="3"/>
  <c r="T256" i="3"/>
  <c r="W257" i="3"/>
  <c r="Z258" i="3"/>
  <c r="P260" i="3"/>
  <c r="S261" i="3"/>
  <c r="V262" i="3"/>
  <c r="W263" i="3"/>
  <c r="U264" i="3"/>
  <c r="V265" i="3"/>
  <c r="T266" i="3"/>
  <c r="U267" i="3"/>
  <c r="V268" i="3"/>
  <c r="T269" i="3"/>
  <c r="U270" i="3"/>
  <c r="AE270" i="3" s="1"/>
  <c r="S271" i="3"/>
  <c r="T272" i="3"/>
  <c r="U273" i="3"/>
  <c r="S274" i="3"/>
  <c r="T275" i="3"/>
  <c r="R276" i="3"/>
  <c r="Q277" i="3"/>
  <c r="AA277" i="3"/>
  <c r="X278" i="3"/>
  <c r="W279" i="3"/>
  <c r="T280" i="3"/>
  <c r="Q281" i="3"/>
  <c r="Y281" i="3"/>
  <c r="T282" i="3"/>
  <c r="AB282" i="3"/>
  <c r="W283" i="3"/>
  <c r="R284" i="3"/>
  <c r="Z284" i="3"/>
  <c r="U285" i="3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233" i="3"/>
  <c r="Y236" i="3"/>
  <c r="V238" i="3"/>
  <c r="AA239" i="3"/>
  <c r="X241" i="3"/>
  <c r="U243" i="3"/>
  <c r="AE243" i="3" s="1"/>
  <c r="Z244" i="3"/>
  <c r="W246" i="3"/>
  <c r="T248" i="3"/>
  <c r="Y249" i="3"/>
  <c r="V251" i="3"/>
  <c r="Y252" i="3"/>
  <c r="AB253" i="3"/>
  <c r="R255" i="3"/>
  <c r="U256" i="3"/>
  <c r="AE256" i="3" s="1"/>
  <c r="X257" i="3"/>
  <c r="AA258" i="3"/>
  <c r="Q260" i="3"/>
  <c r="T261" i="3"/>
  <c r="W262" i="3"/>
  <c r="X263" i="3"/>
  <c r="V264" i="3"/>
  <c r="W265" i="3"/>
  <c r="X266" i="3"/>
  <c r="V267" i="3"/>
  <c r="W268" i="3"/>
  <c r="U269" i="3"/>
  <c r="AE269" i="3" s="1"/>
  <c r="V270" i="3"/>
  <c r="W271" i="3"/>
  <c r="U272" i="3"/>
  <c r="AE272" i="3" s="1"/>
  <c r="V273" i="3"/>
  <c r="T274" i="3"/>
  <c r="U275" i="3"/>
  <c r="U276" i="3"/>
  <c r="R277" i="3"/>
  <c r="AB277" i="3"/>
  <c r="AA278" i="3"/>
  <c r="X279" i="3"/>
  <c r="U280" i="3"/>
  <c r="AE280" i="3" s="1"/>
  <c r="R281" i="3"/>
  <c r="Z281" i="3"/>
  <c r="U282" i="3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AE290" i="3" s="1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P323" i="3"/>
  <c r="X323" i="3"/>
  <c r="S324" i="3"/>
  <c r="AA324" i="3"/>
  <c r="X233" i="3"/>
  <c r="Z236" i="3"/>
  <c r="W238" i="3"/>
  <c r="T240" i="3"/>
  <c r="Y241" i="3"/>
  <c r="V243" i="3"/>
  <c r="S245" i="3"/>
  <c r="X246" i="3"/>
  <c r="U248" i="3"/>
  <c r="R250" i="3"/>
  <c r="W251" i="3"/>
  <c r="Z252" i="3"/>
  <c r="P254" i="3"/>
  <c r="S255" i="3"/>
  <c r="V256" i="3"/>
  <c r="Y257" i="3"/>
  <c r="AB258" i="3"/>
  <c r="R260" i="3"/>
  <c r="U261" i="3"/>
  <c r="X262" i="3"/>
  <c r="Y263" i="3"/>
  <c r="Z264" i="3"/>
  <c r="X265" i="3"/>
  <c r="Y266" i="3"/>
  <c r="W267" i="3"/>
  <c r="X268" i="3"/>
  <c r="Y269" i="3"/>
  <c r="W270" i="3"/>
  <c r="X271" i="3"/>
  <c r="V272" i="3"/>
  <c r="W273" i="3"/>
  <c r="X274" i="3"/>
  <c r="V275" i="3"/>
  <c r="V276" i="3"/>
  <c r="S277" i="3"/>
  <c r="P278" i="3"/>
  <c r="AB278" i="3"/>
  <c r="Y279" i="3"/>
  <c r="V280" i="3"/>
  <c r="S281" i="3"/>
  <c r="AA281" i="3"/>
  <c r="V282" i="3"/>
  <c r="Q283" i="3"/>
  <c r="Y283" i="3"/>
  <c r="T284" i="3"/>
  <c r="AB284" i="3"/>
  <c r="W285" i="3"/>
  <c r="R286" i="3"/>
  <c r="Z286" i="3"/>
  <c r="U287" i="3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AE295" i="3" s="1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P312" i="3"/>
  <c r="X312" i="3"/>
  <c r="S313" i="3"/>
  <c r="AA313" i="3"/>
  <c r="V314" i="3"/>
  <c r="Q315" i="3"/>
  <c r="Y315" i="3"/>
  <c r="T316" i="3"/>
  <c r="AB316" i="3"/>
  <c r="W317" i="3"/>
  <c r="S234" i="3"/>
  <c r="S237" i="3"/>
  <c r="X238" i="3"/>
  <c r="U240" i="3"/>
  <c r="AE240" i="3" s="1"/>
  <c r="R242" i="3"/>
  <c r="W243" i="3"/>
  <c r="T245" i="3"/>
  <c r="Q247" i="3"/>
  <c r="V248" i="3"/>
  <c r="S250" i="3"/>
  <c r="AB251" i="3"/>
  <c r="R253" i="3"/>
  <c r="U254" i="3"/>
  <c r="AE254" i="3" s="1"/>
  <c r="X255" i="3"/>
  <c r="AA256" i="3"/>
  <c r="Q258" i="3"/>
  <c r="T259" i="3"/>
  <c r="W260" i="3"/>
  <c r="Z261" i="3"/>
  <c r="AB262" i="3"/>
  <c r="Z263" i="3"/>
  <c r="AA264" i="3"/>
  <c r="Y265" i="3"/>
  <c r="Z266" i="3"/>
  <c r="AA267" i="3"/>
  <c r="Y268" i="3"/>
  <c r="Z269" i="3"/>
  <c r="X270" i="3"/>
  <c r="Y271" i="3"/>
  <c r="Z272" i="3"/>
  <c r="X273" i="3"/>
  <c r="Y274" i="3"/>
  <c r="W275" i="3"/>
  <c r="W276" i="3"/>
  <c r="T277" i="3"/>
  <c r="S278" i="3"/>
  <c r="P279" i="3"/>
  <c r="Z279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AA234" i="3"/>
  <c r="T237" i="3"/>
  <c r="Q239" i="3"/>
  <c r="V240" i="3"/>
  <c r="S242" i="3"/>
  <c r="P244" i="3"/>
  <c r="U245" i="3"/>
  <c r="R247" i="3"/>
  <c r="AB248" i="3"/>
  <c r="T250" i="3"/>
  <c r="P252" i="3"/>
  <c r="S253" i="3"/>
  <c r="V254" i="3"/>
  <c r="Y255" i="3"/>
  <c r="AB256" i="3"/>
  <c r="R258" i="3"/>
  <c r="U259" i="3"/>
  <c r="AE259" i="3" s="1"/>
  <c r="X260" i="3"/>
  <c r="AA261" i="3"/>
  <c r="P263" i="3"/>
  <c r="AA263" i="3"/>
  <c r="AB264" i="3"/>
  <c r="P266" i="3"/>
  <c r="AA266" i="3"/>
  <c r="AB267" i="3"/>
  <c r="Z268" i="3"/>
  <c r="AA269" i="3"/>
  <c r="AB270" i="3"/>
  <c r="Z271" i="3"/>
  <c r="AA272" i="3"/>
  <c r="Y273" i="3"/>
  <c r="Z274" i="3"/>
  <c r="AA275" i="3"/>
  <c r="X276" i="3"/>
  <c r="U277" i="3"/>
  <c r="T278" i="3"/>
  <c r="Q279" i="3"/>
  <c r="AA279" i="3"/>
  <c r="Z280" i="3"/>
  <c r="U281" i="3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P290" i="3"/>
  <c r="X290" i="3"/>
  <c r="S291" i="3"/>
  <c r="V235" i="3"/>
  <c r="U237" i="3"/>
  <c r="AE237" i="3" s="1"/>
  <c r="R239" i="3"/>
  <c r="AB240" i="3"/>
  <c r="T242" i="3"/>
  <c r="Q244" i="3"/>
  <c r="AA245" i="3"/>
  <c r="S247" i="3"/>
  <c r="P249" i="3"/>
  <c r="Z250" i="3"/>
  <c r="Q252" i="3"/>
  <c r="T253" i="3"/>
  <c r="W254" i="3"/>
  <c r="Z255" i="3"/>
  <c r="P257" i="3"/>
  <c r="S258" i="3"/>
  <c r="V259" i="3"/>
  <c r="Y260" i="3"/>
  <c r="AB261" i="3"/>
  <c r="Q263" i="3"/>
  <c r="R264" i="3"/>
  <c r="P265" i="3"/>
  <c r="Q266" i="3"/>
  <c r="AB266" i="3"/>
  <c r="P268" i="3"/>
  <c r="Q269" i="3"/>
  <c r="AB269" i="3"/>
  <c r="P271" i="3"/>
  <c r="AA271" i="3"/>
  <c r="AB272" i="3"/>
  <c r="P274" i="3"/>
  <c r="AA274" i="3"/>
  <c r="AB275" i="3"/>
  <c r="Y276" i="3"/>
  <c r="X277" i="3"/>
  <c r="U278" i="3"/>
  <c r="R279" i="3"/>
  <c r="Q280" i="3"/>
  <c r="AA280" i="3"/>
  <c r="V281" i="3"/>
  <c r="Q282" i="3"/>
  <c r="Y282" i="3"/>
  <c r="T283" i="3"/>
  <c r="AB283" i="3"/>
  <c r="W284" i="3"/>
  <c r="R285" i="3"/>
  <c r="Z285" i="3"/>
  <c r="U286" i="3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P295" i="3"/>
  <c r="AA291" i="3"/>
  <c r="R296" i="3"/>
  <c r="X298" i="3"/>
  <c r="Q301" i="3"/>
  <c r="W303" i="3"/>
  <c r="P306" i="3"/>
  <c r="U308" i="3"/>
  <c r="Z309" i="3"/>
  <c r="W311" i="3"/>
  <c r="T313" i="3"/>
  <c r="Y314" i="3"/>
  <c r="V316" i="3"/>
  <c r="R318" i="3"/>
  <c r="U319" i="3"/>
  <c r="X320" i="3"/>
  <c r="AA321" i="3"/>
  <c r="Q323" i="3"/>
  <c r="T324" i="3"/>
  <c r="V325" i="3"/>
  <c r="T326" i="3"/>
  <c r="U327" i="3"/>
  <c r="S328" i="3"/>
  <c r="T329" i="3"/>
  <c r="U330" i="3"/>
  <c r="AE330" i="3" s="1"/>
  <c r="S331" i="3"/>
  <c r="T332" i="3"/>
  <c r="R333" i="3"/>
  <c r="R334" i="3"/>
  <c r="AB334" i="3"/>
  <c r="AA335" i="3"/>
  <c r="X336" i="3"/>
  <c r="U337" i="3"/>
  <c r="AE337" i="3" s="1"/>
  <c r="T338" i="3"/>
  <c r="Q339" i="3"/>
  <c r="AA339" i="3"/>
  <c r="Z340" i="3"/>
  <c r="W341" i="3"/>
  <c r="T342" i="3"/>
  <c r="S343" i="3"/>
  <c r="P344" i="3"/>
  <c r="Z344" i="3"/>
  <c r="Y345" i="3"/>
  <c r="V346" i="3"/>
  <c r="S347" i="3"/>
  <c r="R348" i="3"/>
  <c r="AB348" i="3"/>
  <c r="Y349" i="3"/>
  <c r="X350" i="3"/>
  <c r="U351" i="3"/>
  <c r="R352" i="3"/>
  <c r="Q353" i="3"/>
  <c r="AA353" i="3"/>
  <c r="X354" i="3"/>
  <c r="W355" i="3"/>
  <c r="T356" i="3"/>
  <c r="Q357" i="3"/>
  <c r="P358" i="3"/>
  <c r="Z358" i="3"/>
  <c r="W359" i="3"/>
  <c r="S360" i="3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P441" i="3"/>
  <c r="X441" i="3"/>
  <c r="S442" i="3"/>
  <c r="AA442" i="3"/>
  <c r="V443" i="3"/>
  <c r="Q444" i="3"/>
  <c r="V292" i="3"/>
  <c r="S296" i="3"/>
  <c r="Y298" i="3"/>
  <c r="R301" i="3"/>
  <c r="X303" i="3"/>
  <c r="Q306" i="3"/>
  <c r="V308" i="3"/>
  <c r="S310" i="3"/>
  <c r="X311" i="3"/>
  <c r="U313" i="3"/>
  <c r="R315" i="3"/>
  <c r="W316" i="3"/>
  <c r="S318" i="3"/>
  <c r="V319" i="3"/>
  <c r="Y320" i="3"/>
  <c r="AB321" i="3"/>
  <c r="R323" i="3"/>
  <c r="U324" i="3"/>
  <c r="W325" i="3"/>
  <c r="U326" i="3"/>
  <c r="AE326" i="3" s="1"/>
  <c r="V327" i="3"/>
  <c r="W328" i="3"/>
  <c r="U329" i="3"/>
  <c r="AE329" i="3" s="1"/>
  <c r="V330" i="3"/>
  <c r="T331" i="3"/>
  <c r="U332" i="3"/>
  <c r="V333" i="3"/>
  <c r="S334" i="3"/>
  <c r="P335" i="3"/>
  <c r="AB335" i="3"/>
  <c r="Y336" i="3"/>
  <c r="V337" i="3"/>
  <c r="U338" i="3"/>
  <c r="R339" i="3"/>
  <c r="AB339" i="3"/>
  <c r="AA340" i="3"/>
  <c r="X341" i="3"/>
  <c r="U342" i="3"/>
  <c r="T343" i="3"/>
  <c r="Q344" i="3"/>
  <c r="AA344" i="3"/>
  <c r="Z345" i="3"/>
  <c r="W346" i="3"/>
  <c r="T347" i="3"/>
  <c r="S348" i="3"/>
  <c r="P349" i="3"/>
  <c r="Z349" i="3"/>
  <c r="Y350" i="3"/>
  <c r="V351" i="3"/>
  <c r="S352" i="3"/>
  <c r="R353" i="3"/>
  <c r="AB353" i="3"/>
  <c r="Y354" i="3"/>
  <c r="X355" i="3"/>
  <c r="U356" i="3"/>
  <c r="AE356" i="3" s="1"/>
  <c r="R357" i="3"/>
  <c r="Q358" i="3"/>
  <c r="AA358" i="3"/>
  <c r="X359" i="3"/>
  <c r="U360" i="3"/>
  <c r="AE360" i="3" s="1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Q293" i="3"/>
  <c r="Z296" i="3"/>
  <c r="S299" i="3"/>
  <c r="Y301" i="3"/>
  <c r="R304" i="3"/>
  <c r="X306" i="3"/>
  <c r="W308" i="3"/>
  <c r="T310" i="3"/>
  <c r="Q312" i="3"/>
  <c r="V313" i="3"/>
  <c r="S315" i="3"/>
  <c r="P317" i="3"/>
  <c r="T318" i="3"/>
  <c r="W319" i="3"/>
  <c r="Z320" i="3"/>
  <c r="P322" i="3"/>
  <c r="S323" i="3"/>
  <c r="V324" i="3"/>
  <c r="X325" i="3"/>
  <c r="Y326" i="3"/>
  <c r="W327" i="3"/>
  <c r="X328" i="3"/>
  <c r="V329" i="3"/>
  <c r="W330" i="3"/>
  <c r="X331" i="3"/>
  <c r="V332" i="3"/>
  <c r="W333" i="3"/>
  <c r="T334" i="3"/>
  <c r="S335" i="3"/>
  <c r="P336" i="3"/>
  <c r="Z336" i="3"/>
  <c r="Y337" i="3"/>
  <c r="V338" i="3"/>
  <c r="S339" i="3"/>
  <c r="R340" i="3"/>
  <c r="AB340" i="3"/>
  <c r="Y341" i="3"/>
  <c r="X342" i="3"/>
  <c r="U343" i="3"/>
  <c r="AE343" i="3" s="1"/>
  <c r="R344" i="3"/>
  <c r="Q345" i="3"/>
  <c r="AA345" i="3"/>
  <c r="X346" i="3"/>
  <c r="W347" i="3"/>
  <c r="T348" i="3"/>
  <c r="Q349" i="3"/>
  <c r="P350" i="3"/>
  <c r="Z350" i="3"/>
  <c r="W351" i="3"/>
  <c r="V352" i="3"/>
  <c r="S353" i="3"/>
  <c r="P354" i="3"/>
  <c r="AB354" i="3"/>
  <c r="Y355" i="3"/>
  <c r="V356" i="3"/>
  <c r="U357" i="3"/>
  <c r="R358" i="3"/>
  <c r="AB358" i="3"/>
  <c r="Z359" i="3"/>
  <c r="V360" i="3"/>
  <c r="R361" i="3"/>
  <c r="Z361" i="3"/>
  <c r="U362" i="3"/>
  <c r="AE362" i="3" s="1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P411" i="3"/>
  <c r="X411" i="3"/>
  <c r="S412" i="3"/>
  <c r="AA412" i="3"/>
  <c r="V413" i="3"/>
  <c r="Q414" i="3"/>
  <c r="Y414" i="3"/>
  <c r="T415" i="3"/>
  <c r="AB415" i="3"/>
  <c r="W416" i="3"/>
  <c r="R417" i="3"/>
  <c r="Z417" i="3"/>
  <c r="Y293" i="3"/>
  <c r="AA296" i="3"/>
  <c r="T299" i="3"/>
  <c r="Z301" i="3"/>
  <c r="S304" i="3"/>
  <c r="Y306" i="3"/>
  <c r="P309" i="3"/>
  <c r="U310" i="3"/>
  <c r="R312" i="3"/>
  <c r="AB313" i="3"/>
  <c r="T315" i="3"/>
  <c r="Q317" i="3"/>
  <c r="U318" i="3"/>
  <c r="X319" i="3"/>
  <c r="AA320" i="3"/>
  <c r="Q322" i="3"/>
  <c r="T323" i="3"/>
  <c r="W324" i="3"/>
  <c r="Y325" i="3"/>
  <c r="Z326" i="3"/>
  <c r="X327" i="3"/>
  <c r="Y328" i="3"/>
  <c r="Z329" i="3"/>
  <c r="X330" i="3"/>
  <c r="Y331" i="3"/>
  <c r="W332" i="3"/>
  <c r="X333" i="3"/>
  <c r="U334" i="3"/>
  <c r="T335" i="3"/>
  <c r="Q336" i="3"/>
  <c r="AA336" i="3"/>
  <c r="Z337" i="3"/>
  <c r="W338" i="3"/>
  <c r="T339" i="3"/>
  <c r="S340" i="3"/>
  <c r="P341" i="3"/>
  <c r="Z341" i="3"/>
  <c r="Y342" i="3"/>
  <c r="V343" i="3"/>
  <c r="S344" i="3"/>
  <c r="R345" i="3"/>
  <c r="AB345" i="3"/>
  <c r="Y346" i="3"/>
  <c r="X347" i="3"/>
  <c r="U348" i="3"/>
  <c r="R349" i="3"/>
  <c r="Q350" i="3"/>
  <c r="AA350" i="3"/>
  <c r="X351" i="3"/>
  <c r="W352" i="3"/>
  <c r="T353" i="3"/>
  <c r="Q354" i="3"/>
  <c r="P355" i="3"/>
  <c r="Z355" i="3"/>
  <c r="W356" i="3"/>
  <c r="V357" i="3"/>
  <c r="S358" i="3"/>
  <c r="P359" i="3"/>
  <c r="AA359" i="3"/>
  <c r="W360" i="3"/>
  <c r="S361" i="3"/>
  <c r="AA361" i="3"/>
  <c r="V362" i="3"/>
  <c r="Q363" i="3"/>
  <c r="Y363" i="3"/>
  <c r="T364" i="3"/>
  <c r="AB364" i="3"/>
  <c r="W365" i="3"/>
  <c r="R366" i="3"/>
  <c r="Z366" i="3"/>
  <c r="U367" i="3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P408" i="3"/>
  <c r="X408" i="3"/>
  <c r="S409" i="3"/>
  <c r="AA409" i="3"/>
  <c r="V410" i="3"/>
  <c r="Q411" i="3"/>
  <c r="Y411" i="3"/>
  <c r="T412" i="3"/>
  <c r="AB412" i="3"/>
  <c r="T294" i="3"/>
  <c r="U297" i="3"/>
  <c r="AA299" i="3"/>
  <c r="T302" i="3"/>
  <c r="Z304" i="3"/>
  <c r="S307" i="3"/>
  <c r="Q309" i="3"/>
  <c r="AA310" i="3"/>
  <c r="S312" i="3"/>
  <c r="P314" i="3"/>
  <c r="Z315" i="3"/>
  <c r="R317" i="3"/>
  <c r="Z318" i="3"/>
  <c r="P320" i="3"/>
  <c r="S321" i="3"/>
  <c r="V322" i="3"/>
  <c r="Y323" i="3"/>
  <c r="AB324" i="3"/>
  <c r="Z325" i="3"/>
  <c r="AA326" i="3"/>
  <c r="AB327" i="3"/>
  <c r="Z328" i="3"/>
  <c r="AA329" i="3"/>
  <c r="Y330" i="3"/>
  <c r="Z331" i="3"/>
  <c r="AA332" i="3"/>
  <c r="Y333" i="3"/>
  <c r="X334" i="3"/>
  <c r="U335" i="3"/>
  <c r="AE335" i="3" s="1"/>
  <c r="R336" i="3"/>
  <c r="Q337" i="3"/>
  <c r="AA337" i="3"/>
  <c r="X338" i="3"/>
  <c r="W339" i="3"/>
  <c r="T340" i="3"/>
  <c r="Q341" i="3"/>
  <c r="P342" i="3"/>
  <c r="Z342" i="3"/>
  <c r="W343" i="3"/>
  <c r="V344" i="3"/>
  <c r="S345" i="3"/>
  <c r="P346" i="3"/>
  <c r="AB346" i="3"/>
  <c r="Y347" i="3"/>
  <c r="V348" i="3"/>
  <c r="U349" i="3"/>
  <c r="R350" i="3"/>
  <c r="AB350" i="3"/>
  <c r="AA351" i="3"/>
  <c r="X352" i="3"/>
  <c r="U353" i="3"/>
  <c r="T354" i="3"/>
  <c r="Q355" i="3"/>
  <c r="AA355" i="3"/>
  <c r="Z356" i="3"/>
  <c r="W357" i="3"/>
  <c r="T358" i="3"/>
  <c r="S359" i="3"/>
  <c r="AB359" i="3"/>
  <c r="X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B294" i="3"/>
  <c r="V297" i="3"/>
  <c r="AB299" i="3"/>
  <c r="U302" i="3"/>
  <c r="AE302" i="3" s="1"/>
  <c r="AA304" i="3"/>
  <c r="T307" i="3"/>
  <c r="R309" i="3"/>
  <c r="AB310" i="3"/>
  <c r="Y312" i="3"/>
  <c r="Q314" i="3"/>
  <c r="AA315" i="3"/>
  <c r="X317" i="3"/>
  <c r="AA318" i="3"/>
  <c r="Q320" i="3"/>
  <c r="T321" i="3"/>
  <c r="W322" i="3"/>
  <c r="Z323" i="3"/>
  <c r="P325" i="3"/>
  <c r="Q326" i="3"/>
  <c r="AB326" i="3"/>
  <c r="P328" i="3"/>
  <c r="AA328" i="3"/>
  <c r="AB329" i="3"/>
  <c r="P331" i="3"/>
  <c r="AA331" i="3"/>
  <c r="AB332" i="3"/>
  <c r="Z333" i="3"/>
  <c r="Y334" i="3"/>
  <c r="V335" i="3"/>
  <c r="S336" i="3"/>
  <c r="R337" i="3"/>
  <c r="AB337" i="3"/>
  <c r="Y338" i="3"/>
  <c r="X339" i="3"/>
  <c r="U340" i="3"/>
  <c r="R341" i="3"/>
  <c r="Q342" i="3"/>
  <c r="AA342" i="3"/>
  <c r="X343" i="3"/>
  <c r="W344" i="3"/>
  <c r="T345" i="3"/>
  <c r="Q346" i="3"/>
  <c r="P347" i="3"/>
  <c r="Z347" i="3"/>
  <c r="W348" i="3"/>
  <c r="V349" i="3"/>
  <c r="S350" i="3"/>
  <c r="P351" i="3"/>
  <c r="AB351" i="3"/>
  <c r="Y352" i="3"/>
  <c r="V353" i="3"/>
  <c r="U354" i="3"/>
  <c r="R355" i="3"/>
  <c r="AB355" i="3"/>
  <c r="AA356" i="3"/>
  <c r="X357" i="3"/>
  <c r="U358" i="3"/>
  <c r="T359" i="3"/>
  <c r="P360" i="3"/>
  <c r="Y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W295" i="3"/>
  <c r="P298" i="3"/>
  <c r="V300" i="3"/>
  <c r="AB302" i="3"/>
  <c r="U305" i="3"/>
  <c r="AA307" i="3"/>
  <c r="X309" i="3"/>
  <c r="P311" i="3"/>
  <c r="Z312" i="3"/>
  <c r="W314" i="3"/>
  <c r="AB315" i="3"/>
  <c r="Y317" i="3"/>
  <c r="AB318" i="3"/>
  <c r="R320" i="3"/>
  <c r="U321" i="3"/>
  <c r="AE321" i="3" s="1"/>
  <c r="X322" i="3"/>
  <c r="AA323" i="3"/>
  <c r="Q325" i="3"/>
  <c r="R326" i="3"/>
  <c r="P327" i="3"/>
  <c r="Q328" i="3"/>
  <c r="R329" i="3"/>
  <c r="P330" i="3"/>
  <c r="Q331" i="3"/>
  <c r="AB331" i="3"/>
  <c r="P333" i="3"/>
  <c r="P334" i="3"/>
  <c r="Z334" i="3"/>
  <c r="W335" i="3"/>
  <c r="V336" i="3"/>
  <c r="S337" i="3"/>
  <c r="P338" i="3"/>
  <c r="AB338" i="3"/>
  <c r="Y339" i="3"/>
  <c r="V340" i="3"/>
  <c r="U341" i="3"/>
  <c r="R342" i="3"/>
  <c r="AB342" i="3"/>
  <c r="AA343" i="3"/>
  <c r="X344" i="3"/>
  <c r="U345" i="3"/>
  <c r="T346" i="3"/>
  <c r="Q347" i="3"/>
  <c r="AA347" i="3"/>
  <c r="Z348" i="3"/>
  <c r="W349" i="3"/>
  <c r="T350" i="3"/>
  <c r="S351" i="3"/>
  <c r="P352" i="3"/>
  <c r="Z352" i="3"/>
  <c r="Y353" i="3"/>
  <c r="V354" i="3"/>
  <c r="S355" i="3"/>
  <c r="R356" i="3"/>
  <c r="AB356" i="3"/>
  <c r="Y357" i="3"/>
  <c r="X358" i="3"/>
  <c r="U359" i="3"/>
  <c r="Q360" i="3"/>
  <c r="Z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P375" i="3"/>
  <c r="X375" i="3"/>
  <c r="S376" i="3"/>
  <c r="X295" i="3"/>
  <c r="Q298" i="3"/>
  <c r="W300" i="3"/>
  <c r="P303" i="3"/>
  <c r="V305" i="3"/>
  <c r="AB307" i="3"/>
  <c r="Y309" i="3"/>
  <c r="V311" i="3"/>
  <c r="AA312" i="3"/>
  <c r="X314" i="3"/>
  <c r="U316" i="3"/>
  <c r="Z317" i="3"/>
  <c r="P319" i="3"/>
  <c r="S320" i="3"/>
  <c r="V321" i="3"/>
  <c r="Y322" i="3"/>
  <c r="AB323" i="3"/>
  <c r="R325" i="3"/>
  <c r="S326" i="3"/>
  <c r="T327" i="3"/>
  <c r="R328" i="3"/>
  <c r="S329" i="3"/>
  <c r="Q330" i="3"/>
  <c r="R331" i="3"/>
  <c r="S332" i="3"/>
  <c r="Q333" i="3"/>
  <c r="Q334" i="3"/>
  <c r="AA334" i="3"/>
  <c r="X335" i="3"/>
  <c r="W336" i="3"/>
  <c r="T337" i="3"/>
  <c r="Q338" i="3"/>
  <c r="P339" i="3"/>
  <c r="Z339" i="3"/>
  <c r="W340" i="3"/>
  <c r="V341" i="3"/>
  <c r="S342" i="3"/>
  <c r="P343" i="3"/>
  <c r="AB343" i="3"/>
  <c r="Y344" i="3"/>
  <c r="V345" i="3"/>
  <c r="U346" i="3"/>
  <c r="AE346" i="3" s="1"/>
  <c r="R347" i="3"/>
  <c r="AB347" i="3"/>
  <c r="AA348" i="3"/>
  <c r="X349" i="3"/>
  <c r="U350" i="3"/>
  <c r="T351" i="3"/>
  <c r="Q352" i="3"/>
  <c r="AA352" i="3"/>
  <c r="Z353" i="3"/>
  <c r="W354" i="3"/>
  <c r="T355" i="3"/>
  <c r="S356" i="3"/>
  <c r="P357" i="3"/>
  <c r="Z357" i="3"/>
  <c r="Y358" i="3"/>
  <c r="V359" i="3"/>
  <c r="R360" i="3"/>
  <c r="AA360" i="3"/>
  <c r="W361" i="3"/>
  <c r="R362" i="3"/>
  <c r="Z362" i="3"/>
  <c r="U363" i="3"/>
  <c r="P364" i="3"/>
  <c r="X364" i="3"/>
  <c r="S365" i="3"/>
  <c r="AA365" i="3"/>
  <c r="V366" i="3"/>
  <c r="Q367" i="3"/>
  <c r="Y367" i="3"/>
  <c r="T368" i="3"/>
  <c r="AB368" i="3"/>
  <c r="W369" i="3"/>
  <c r="R370" i="3"/>
  <c r="Z370" i="3"/>
  <c r="U371" i="3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X380" i="3"/>
  <c r="S381" i="3"/>
  <c r="AA381" i="3"/>
  <c r="V382" i="3"/>
  <c r="Q383" i="3"/>
  <c r="Y383" i="3"/>
  <c r="T384" i="3"/>
  <c r="AB384" i="3"/>
  <c r="W385" i="3"/>
  <c r="R386" i="3"/>
  <c r="Z386" i="3"/>
  <c r="U387" i="3"/>
  <c r="P388" i="3"/>
  <c r="X388" i="3"/>
  <c r="S389" i="3"/>
  <c r="AA376" i="3"/>
  <c r="Z381" i="3"/>
  <c r="U385" i="3"/>
  <c r="AA387" i="3"/>
  <c r="AA389" i="3"/>
  <c r="X391" i="3"/>
  <c r="U393" i="3"/>
  <c r="AE393" i="3" s="1"/>
  <c r="Z394" i="3"/>
  <c r="W396" i="3"/>
  <c r="T398" i="3"/>
  <c r="W399" i="3"/>
  <c r="Z400" i="3"/>
  <c r="P402" i="3"/>
  <c r="S403" i="3"/>
  <c r="V404" i="3"/>
  <c r="Y405" i="3"/>
  <c r="AB406" i="3"/>
  <c r="R408" i="3"/>
  <c r="U409" i="3"/>
  <c r="X410" i="3"/>
  <c r="AA411" i="3"/>
  <c r="Q413" i="3"/>
  <c r="R414" i="3"/>
  <c r="P415" i="3"/>
  <c r="Q416" i="3"/>
  <c r="AB416" i="3"/>
  <c r="P418" i="3"/>
  <c r="Z418" i="3"/>
  <c r="Y419" i="3"/>
  <c r="V420" i="3"/>
  <c r="S421" i="3"/>
  <c r="R422" i="3"/>
  <c r="AB422" i="3"/>
  <c r="Y423" i="3"/>
  <c r="X424" i="3"/>
  <c r="U425" i="3"/>
  <c r="AE425" i="3" s="1"/>
  <c r="Q426" i="3"/>
  <c r="Z426" i="3"/>
  <c r="W427" i="3"/>
  <c r="S428" i="3"/>
  <c r="AB428" i="3"/>
  <c r="X429" i="3"/>
  <c r="T430" i="3"/>
  <c r="P431" i="3"/>
  <c r="Y431" i="3"/>
  <c r="V432" i="3"/>
  <c r="R433" i="3"/>
  <c r="AA433" i="3"/>
  <c r="W434" i="3"/>
  <c r="S435" i="3"/>
  <c r="AB435" i="3"/>
  <c r="X436" i="3"/>
  <c r="U437" i="3"/>
  <c r="Q438" i="3"/>
  <c r="Z438" i="3"/>
  <c r="V439" i="3"/>
  <c r="R440" i="3"/>
  <c r="AA440" i="3"/>
  <c r="W441" i="3"/>
  <c r="T442" i="3"/>
  <c r="P443" i="3"/>
  <c r="Y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P461" i="3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X469" i="3"/>
  <c r="S470" i="3"/>
  <c r="AA470" i="3"/>
  <c r="V471" i="3"/>
  <c r="Q472" i="3"/>
  <c r="Y472" i="3"/>
  <c r="T473" i="3"/>
  <c r="AB473" i="3"/>
  <c r="W474" i="3"/>
  <c r="R475" i="3"/>
  <c r="Z475" i="3"/>
  <c r="U476" i="3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AE508" i="3" s="1"/>
  <c r="P509" i="3"/>
  <c r="X509" i="3"/>
  <c r="S510" i="3"/>
  <c r="AA510" i="3"/>
  <c r="V511" i="3"/>
  <c r="Q512" i="3"/>
  <c r="V377" i="3"/>
  <c r="U382" i="3"/>
  <c r="AE382" i="3" s="1"/>
  <c r="V385" i="3"/>
  <c r="AB387" i="3"/>
  <c r="T390" i="3"/>
  <c r="Y391" i="3"/>
  <c r="V393" i="3"/>
  <c r="S395" i="3"/>
  <c r="X396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S414" i="3"/>
  <c r="Q415" i="3"/>
  <c r="R416" i="3"/>
  <c r="S417" i="3"/>
  <c r="Q418" i="3"/>
  <c r="P419" i="3"/>
  <c r="Z419" i="3"/>
  <c r="W420" i="3"/>
  <c r="V421" i="3"/>
  <c r="S422" i="3"/>
  <c r="P423" i="3"/>
  <c r="AB423" i="3"/>
  <c r="Y424" i="3"/>
  <c r="V425" i="3"/>
  <c r="R426" i="3"/>
  <c r="AB426" i="3"/>
  <c r="X427" i="3"/>
  <c r="T428" i="3"/>
  <c r="P429" i="3"/>
  <c r="Y429" i="3"/>
  <c r="U430" i="3"/>
  <c r="AE430" i="3" s="1"/>
  <c r="Q431" i="3"/>
  <c r="AA431" i="3"/>
  <c r="W432" i="3"/>
  <c r="S433" i="3"/>
  <c r="AB433" i="3"/>
  <c r="X434" i="3"/>
  <c r="T435" i="3"/>
  <c r="P436" i="3"/>
  <c r="Z436" i="3"/>
  <c r="V437" i="3"/>
  <c r="R438" i="3"/>
  <c r="AA438" i="3"/>
  <c r="W439" i="3"/>
  <c r="S440" i="3"/>
  <c r="AB440" i="3"/>
  <c r="Y441" i="3"/>
  <c r="U442" i="3"/>
  <c r="Q443" i="3"/>
  <c r="Z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Z472" i="3"/>
  <c r="U473" i="3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Q378" i="3"/>
  <c r="P383" i="3"/>
  <c r="P386" i="3"/>
  <c r="V388" i="3"/>
  <c r="U390" i="3"/>
  <c r="AE390" i="3" s="1"/>
  <c r="R392" i="3"/>
  <c r="W393" i="3"/>
  <c r="T395" i="3"/>
  <c r="Q397" i="3"/>
  <c r="V398" i="3"/>
  <c r="Y399" i="3"/>
  <c r="AB400" i="3"/>
  <c r="R402" i="3"/>
  <c r="U403" i="3"/>
  <c r="X404" i="3"/>
  <c r="AA405" i="3"/>
  <c r="Q407" i="3"/>
  <c r="T408" i="3"/>
  <c r="W409" i="3"/>
  <c r="Z410" i="3"/>
  <c r="P412" i="3"/>
  <c r="S413" i="3"/>
  <c r="T414" i="3"/>
  <c r="U415" i="3"/>
  <c r="AE415" i="3" s="1"/>
  <c r="S416" i="3"/>
  <c r="T417" i="3"/>
  <c r="R418" i="3"/>
  <c r="Q419" i="3"/>
  <c r="AA419" i="3"/>
  <c r="X420" i="3"/>
  <c r="W421" i="3"/>
  <c r="T422" i="3"/>
  <c r="Q423" i="3"/>
  <c r="P424" i="3"/>
  <c r="Z424" i="3"/>
  <c r="W425" i="3"/>
  <c r="T426" i="3"/>
  <c r="P427" i="3"/>
  <c r="Y427" i="3"/>
  <c r="U428" i="3"/>
  <c r="AE428" i="3" s="1"/>
  <c r="Q429" i="3"/>
  <c r="Z429" i="3"/>
  <c r="V430" i="3"/>
  <c r="S431" i="3"/>
  <c r="AB431" i="3"/>
  <c r="X432" i="3"/>
  <c r="T433" i="3"/>
  <c r="P434" i="3"/>
  <c r="Y434" i="3"/>
  <c r="U435" i="3"/>
  <c r="R436" i="3"/>
  <c r="AA436" i="3"/>
  <c r="W437" i="3"/>
  <c r="S438" i="3"/>
  <c r="AB438" i="3"/>
  <c r="X439" i="3"/>
  <c r="T440" i="3"/>
  <c r="Q441" i="3"/>
  <c r="Z441" i="3"/>
  <c r="V442" i="3"/>
  <c r="R443" i="3"/>
  <c r="AA443" i="3"/>
  <c r="W444" i="3"/>
  <c r="R445" i="3"/>
  <c r="Z445" i="3"/>
  <c r="U446" i="3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AE470" i="3" s="1"/>
  <c r="P471" i="3"/>
  <c r="X471" i="3"/>
  <c r="S472" i="3"/>
  <c r="AA472" i="3"/>
  <c r="V473" i="3"/>
  <c r="Q474" i="3"/>
  <c r="Y474" i="3"/>
  <c r="T475" i="3"/>
  <c r="AB475" i="3"/>
  <c r="W476" i="3"/>
  <c r="R477" i="3"/>
  <c r="Z477" i="3"/>
  <c r="U478" i="3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Y378" i="3"/>
  <c r="X383" i="3"/>
  <c r="Q386" i="3"/>
  <c r="W388" i="3"/>
  <c r="V390" i="3"/>
  <c r="S392" i="3"/>
  <c r="P394" i="3"/>
  <c r="U395" i="3"/>
  <c r="AE395" i="3" s="1"/>
  <c r="R397" i="3"/>
  <c r="AA398" i="3"/>
  <c r="Q400" i="3"/>
  <c r="T401" i="3"/>
  <c r="W402" i="3"/>
  <c r="Z403" i="3"/>
  <c r="P405" i="3"/>
  <c r="S406" i="3"/>
  <c r="V407" i="3"/>
  <c r="Y408" i="3"/>
  <c r="AB409" i="3"/>
  <c r="R411" i="3"/>
  <c r="U412" i="3"/>
  <c r="W413" i="3"/>
  <c r="U414" i="3"/>
  <c r="V415" i="3"/>
  <c r="T416" i="3"/>
  <c r="U417" i="3"/>
  <c r="U418" i="3"/>
  <c r="AE418" i="3" s="1"/>
  <c r="R419" i="3"/>
  <c r="AB419" i="3"/>
  <c r="AA420" i="3"/>
  <c r="X421" i="3"/>
  <c r="U422" i="3"/>
  <c r="AE422" i="3" s="1"/>
  <c r="T423" i="3"/>
  <c r="Q424" i="3"/>
  <c r="AA424" i="3"/>
  <c r="Y425" i="3"/>
  <c r="U426" i="3"/>
  <c r="Q427" i="3"/>
  <c r="Z427" i="3"/>
  <c r="V428" i="3"/>
  <c r="R429" i="3"/>
  <c r="AA429" i="3"/>
  <c r="X430" i="3"/>
  <c r="T431" i="3"/>
  <c r="P432" i="3"/>
  <c r="Y432" i="3"/>
  <c r="U433" i="3"/>
  <c r="Q434" i="3"/>
  <c r="Z434" i="3"/>
  <c r="W435" i="3"/>
  <c r="S436" i="3"/>
  <c r="AB436" i="3"/>
  <c r="X437" i="3"/>
  <c r="T438" i="3"/>
  <c r="P439" i="3"/>
  <c r="Y439" i="3"/>
  <c r="V440" i="3"/>
  <c r="R441" i="3"/>
  <c r="AA441" i="3"/>
  <c r="W442" i="3"/>
  <c r="S443" i="3"/>
  <c r="AB443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AE467" i="3" s="1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379" i="3"/>
  <c r="R384" i="3"/>
  <c r="X386" i="3"/>
  <c r="Q389" i="3"/>
  <c r="AB390" i="3"/>
  <c r="T392" i="3"/>
  <c r="Q394" i="3"/>
  <c r="AA395" i="3"/>
  <c r="S397" i="3"/>
  <c r="AB398" i="3"/>
  <c r="R400" i="3"/>
  <c r="U401" i="3"/>
  <c r="AE401" i="3" s="1"/>
  <c r="X402" i="3"/>
  <c r="AA403" i="3"/>
  <c r="Q405" i="3"/>
  <c r="T406" i="3"/>
  <c r="W407" i="3"/>
  <c r="Z408" i="3"/>
  <c r="P410" i="3"/>
  <c r="S411" i="3"/>
  <c r="V412" i="3"/>
  <c r="X413" i="3"/>
  <c r="V414" i="3"/>
  <c r="W415" i="3"/>
  <c r="X416" i="3"/>
  <c r="V417" i="3"/>
  <c r="V418" i="3"/>
  <c r="S419" i="3"/>
  <c r="P420" i="3"/>
  <c r="AB420" i="3"/>
  <c r="Y421" i="3"/>
  <c r="V422" i="3"/>
  <c r="U423" i="3"/>
  <c r="R424" i="3"/>
  <c r="AB424" i="3"/>
  <c r="Z425" i="3"/>
  <c r="V426" i="3"/>
  <c r="R427" i="3"/>
  <c r="AA427" i="3"/>
  <c r="W428" i="3"/>
  <c r="S429" i="3"/>
  <c r="P430" i="3"/>
  <c r="Y430" i="3"/>
  <c r="U431" i="3"/>
  <c r="AE431" i="3" s="1"/>
  <c r="Q432" i="3"/>
  <c r="Z432" i="3"/>
  <c r="V433" i="3"/>
  <c r="R434" i="3"/>
  <c r="AB434" i="3"/>
  <c r="X435" i="3"/>
  <c r="T436" i="3"/>
  <c r="P437" i="3"/>
  <c r="Y437" i="3"/>
  <c r="U438" i="3"/>
  <c r="Q439" i="3"/>
  <c r="AA439" i="3"/>
  <c r="W440" i="3"/>
  <c r="S441" i="3"/>
  <c r="AB441" i="3"/>
  <c r="X442" i="3"/>
  <c r="T443" i="3"/>
  <c r="P444" i="3"/>
  <c r="Y444" i="3"/>
  <c r="T445" i="3"/>
  <c r="AB445" i="3"/>
  <c r="W446" i="3"/>
  <c r="R447" i="3"/>
  <c r="Z447" i="3"/>
  <c r="U448" i="3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P457" i="3"/>
  <c r="X457" i="3"/>
  <c r="S458" i="3"/>
  <c r="AA458" i="3"/>
  <c r="AB379" i="3"/>
  <c r="S384" i="3"/>
  <c r="Y386" i="3"/>
  <c r="R389" i="3"/>
  <c r="P391" i="3"/>
  <c r="Z392" i="3"/>
  <c r="R394" i="3"/>
  <c r="AB395" i="3"/>
  <c r="Y397" i="3"/>
  <c r="P399" i="3"/>
  <c r="S400" i="3"/>
  <c r="V401" i="3"/>
  <c r="Y402" i="3"/>
  <c r="AB403" i="3"/>
  <c r="R405" i="3"/>
  <c r="U406" i="3"/>
  <c r="X407" i="3"/>
  <c r="AA408" i="3"/>
  <c r="Q410" i="3"/>
  <c r="T411" i="3"/>
  <c r="W412" i="3"/>
  <c r="Y413" i="3"/>
  <c r="Z414" i="3"/>
  <c r="X415" i="3"/>
  <c r="Y416" i="3"/>
  <c r="W417" i="3"/>
  <c r="W418" i="3"/>
  <c r="T419" i="3"/>
  <c r="S420" i="3"/>
  <c r="P421" i="3"/>
  <c r="Z421" i="3"/>
  <c r="Y422" i="3"/>
  <c r="V423" i="3"/>
  <c r="S424" i="3"/>
  <c r="R425" i="3"/>
  <c r="AA425" i="3"/>
  <c r="W426" i="3"/>
  <c r="S427" i="3"/>
  <c r="AB427" i="3"/>
  <c r="X428" i="3"/>
  <c r="U429" i="3"/>
  <c r="Q430" i="3"/>
  <c r="Z430" i="3"/>
  <c r="V431" i="3"/>
  <c r="R432" i="3"/>
  <c r="AA432" i="3"/>
  <c r="W433" i="3"/>
  <c r="T434" i="3"/>
  <c r="P435" i="3"/>
  <c r="Y435" i="3"/>
  <c r="U436" i="3"/>
  <c r="Q437" i="3"/>
  <c r="Z437" i="3"/>
  <c r="V438" i="3"/>
  <c r="S439" i="3"/>
  <c r="AB439" i="3"/>
  <c r="X440" i="3"/>
  <c r="T441" i="3"/>
  <c r="P442" i="3"/>
  <c r="Y442" i="3"/>
  <c r="U443" i="3"/>
  <c r="AE443" i="3" s="1"/>
  <c r="R444" i="3"/>
  <c r="Z444" i="3"/>
  <c r="U445" i="3"/>
  <c r="P446" i="3"/>
  <c r="X446" i="3"/>
  <c r="S447" i="3"/>
  <c r="AA447" i="3"/>
  <c r="V448" i="3"/>
  <c r="Q449" i="3"/>
  <c r="Y449" i="3"/>
  <c r="T450" i="3"/>
  <c r="W380" i="3"/>
  <c r="Z384" i="3"/>
  <c r="S387" i="3"/>
  <c r="Y389" i="3"/>
  <c r="Q391" i="3"/>
  <c r="AA392" i="3"/>
  <c r="X394" i="3"/>
  <c r="P396" i="3"/>
  <c r="Z397" i="3"/>
  <c r="Q399" i="3"/>
  <c r="T400" i="3"/>
  <c r="W401" i="3"/>
  <c r="Z402" i="3"/>
  <c r="P404" i="3"/>
  <c r="S405" i="3"/>
  <c r="V406" i="3"/>
  <c r="Y407" i="3"/>
  <c r="AB408" i="3"/>
  <c r="R410" i="3"/>
  <c r="U411" i="3"/>
  <c r="X412" i="3"/>
  <c r="Z413" i="3"/>
  <c r="AA414" i="3"/>
  <c r="Y415" i="3"/>
  <c r="Z416" i="3"/>
  <c r="AA417" i="3"/>
  <c r="X418" i="3"/>
  <c r="U419" i="3"/>
  <c r="T420" i="3"/>
  <c r="Q421" i="3"/>
  <c r="AA421" i="3"/>
  <c r="Z422" i="3"/>
  <c r="W423" i="3"/>
  <c r="T424" i="3"/>
  <c r="S425" i="3"/>
  <c r="AB425" i="3"/>
  <c r="X426" i="3"/>
  <c r="T427" i="3"/>
  <c r="P428" i="3"/>
  <c r="Z428" i="3"/>
  <c r="V429" i="3"/>
  <c r="R430" i="3"/>
  <c r="AA430" i="3"/>
  <c r="W431" i="3"/>
  <c r="S432" i="3"/>
  <c r="AB432" i="3"/>
  <c r="Y433" i="3"/>
  <c r="U434" i="3"/>
  <c r="Q435" i="3"/>
  <c r="Z435" i="3"/>
  <c r="V436" i="3"/>
  <c r="R437" i="3"/>
  <c r="AA437" i="3"/>
  <c r="X438" i="3"/>
  <c r="T439" i="3"/>
  <c r="P440" i="3"/>
  <c r="Y440" i="3"/>
  <c r="U441" i="3"/>
  <c r="AE441" i="3" s="1"/>
  <c r="Q442" i="3"/>
  <c r="Z442" i="3"/>
  <c r="W443" i="3"/>
  <c r="S444" i="3"/>
  <c r="AA444" i="3"/>
  <c r="V445" i="3"/>
  <c r="Q446" i="3"/>
  <c r="Y446" i="3"/>
  <c r="T447" i="3"/>
  <c r="AB447" i="3"/>
  <c r="W448" i="3"/>
  <c r="R449" i="3"/>
  <c r="Z449" i="3"/>
  <c r="R381" i="3"/>
  <c r="AA384" i="3"/>
  <c r="T387" i="3"/>
  <c r="Z389" i="3"/>
  <c r="W391" i="3"/>
  <c r="AB392" i="3"/>
  <c r="Y394" i="3"/>
  <c r="V396" i="3"/>
  <c r="AA397" i="3"/>
  <c r="V399" i="3"/>
  <c r="Y400" i="3"/>
  <c r="AB401" i="3"/>
  <c r="R403" i="3"/>
  <c r="U404" i="3"/>
  <c r="AE404" i="3" s="1"/>
  <c r="X405" i="3"/>
  <c r="AA406" i="3"/>
  <c r="Q408" i="3"/>
  <c r="T409" i="3"/>
  <c r="W410" i="3"/>
  <c r="Z411" i="3"/>
  <c r="P413" i="3"/>
  <c r="AA413" i="3"/>
  <c r="AB414" i="3"/>
  <c r="P416" i="3"/>
  <c r="AA416" i="3"/>
  <c r="AB417" i="3"/>
  <c r="Y418" i="3"/>
  <c r="X419" i="3"/>
  <c r="U420" i="3"/>
  <c r="R421" i="3"/>
  <c r="Q422" i="3"/>
  <c r="AA422" i="3"/>
  <c r="X423" i="3"/>
  <c r="W424" i="3"/>
  <c r="T425" i="3"/>
  <c r="P426" i="3"/>
  <c r="Y426" i="3"/>
  <c r="U427" i="3"/>
  <c r="AE427" i="3" s="1"/>
  <c r="R428" i="3"/>
  <c r="AA428" i="3"/>
  <c r="W429" i="3"/>
  <c r="S430" i="3"/>
  <c r="AB430" i="3"/>
  <c r="X431" i="3"/>
  <c r="T432" i="3"/>
  <c r="Q433" i="3"/>
  <c r="Z433" i="3"/>
  <c r="V434" i="3"/>
  <c r="R435" i="3"/>
  <c r="AA435" i="3"/>
  <c r="W436" i="3"/>
  <c r="S437" i="3"/>
  <c r="P438" i="3"/>
  <c r="Y438" i="3"/>
  <c r="U439" i="3"/>
  <c r="AE439" i="3" s="1"/>
  <c r="Q440" i="3"/>
  <c r="Z440" i="3"/>
  <c r="V441" i="3"/>
  <c r="R442" i="3"/>
  <c r="AB442" i="3"/>
  <c r="X443" i="3"/>
  <c r="T444" i="3"/>
  <c r="S449" i="3"/>
  <c r="X451" i="3"/>
  <c r="U453" i="3"/>
  <c r="Z454" i="3"/>
  <c r="W456" i="3"/>
  <c r="T458" i="3"/>
  <c r="X459" i="3"/>
  <c r="AA460" i="3"/>
  <c r="Q462" i="3"/>
  <c r="T463" i="3"/>
  <c r="W464" i="3"/>
  <c r="Z465" i="3"/>
  <c r="P467" i="3"/>
  <c r="S468" i="3"/>
  <c r="V469" i="3"/>
  <c r="Y470" i="3"/>
  <c r="AB471" i="3"/>
  <c r="R473" i="3"/>
  <c r="U474" i="3"/>
  <c r="X475" i="3"/>
  <c r="AA476" i="3"/>
  <c r="Q478" i="3"/>
  <c r="T479" i="3"/>
  <c r="V480" i="3"/>
  <c r="W481" i="3"/>
  <c r="U482" i="3"/>
  <c r="V483" i="3"/>
  <c r="T484" i="3"/>
  <c r="U485" i="3"/>
  <c r="AE485" i="3" s="1"/>
  <c r="V486" i="3"/>
  <c r="T487" i="3"/>
  <c r="U488" i="3"/>
  <c r="AE488" i="3" s="1"/>
  <c r="S489" i="3"/>
  <c r="T490" i="3"/>
  <c r="U491" i="3"/>
  <c r="S492" i="3"/>
  <c r="S493" i="3"/>
  <c r="P494" i="3"/>
  <c r="Z494" i="3"/>
  <c r="Y495" i="3"/>
  <c r="V496" i="3"/>
  <c r="S497" i="3"/>
  <c r="R498" i="3"/>
  <c r="AB498" i="3"/>
  <c r="Y499" i="3"/>
  <c r="X500" i="3"/>
  <c r="U501" i="3"/>
  <c r="R502" i="3"/>
  <c r="Q503" i="3"/>
  <c r="AA503" i="3"/>
  <c r="X504" i="3"/>
  <c r="W505" i="3"/>
  <c r="T506" i="3"/>
  <c r="Q507" i="3"/>
  <c r="P508" i="3"/>
  <c r="Z508" i="3"/>
  <c r="W509" i="3"/>
  <c r="V510" i="3"/>
  <c r="R511" i="3"/>
  <c r="AA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AB444" i="3"/>
  <c r="AA449" i="3"/>
  <c r="Y451" i="3"/>
  <c r="V453" i="3"/>
  <c r="S455" i="3"/>
  <c r="X456" i="3"/>
  <c r="U458" i="3"/>
  <c r="AE458" i="3" s="1"/>
  <c r="Y459" i="3"/>
  <c r="AB460" i="3"/>
  <c r="R462" i="3"/>
  <c r="U463" i="3"/>
  <c r="X464" i="3"/>
  <c r="AA465" i="3"/>
  <c r="Q467" i="3"/>
  <c r="T468" i="3"/>
  <c r="W469" i="3"/>
  <c r="Z470" i="3"/>
  <c r="P472" i="3"/>
  <c r="S473" i="3"/>
  <c r="V474" i="3"/>
  <c r="Y475" i="3"/>
  <c r="AB476" i="3"/>
  <c r="R478" i="3"/>
  <c r="U479" i="3"/>
  <c r="AE479" i="3" s="1"/>
  <c r="W480" i="3"/>
  <c r="X481" i="3"/>
  <c r="V482" i="3"/>
  <c r="W483" i="3"/>
  <c r="X484" i="3"/>
  <c r="V485" i="3"/>
  <c r="W486" i="3"/>
  <c r="U487" i="3"/>
  <c r="AE487" i="3" s="1"/>
  <c r="V488" i="3"/>
  <c r="W489" i="3"/>
  <c r="U490" i="3"/>
  <c r="V491" i="3"/>
  <c r="T492" i="3"/>
  <c r="T493" i="3"/>
  <c r="Q494" i="3"/>
  <c r="P495" i="3"/>
  <c r="Z495" i="3"/>
  <c r="W496" i="3"/>
  <c r="V497" i="3"/>
  <c r="S498" i="3"/>
  <c r="P499" i="3"/>
  <c r="AB499" i="3"/>
  <c r="Y500" i="3"/>
  <c r="V501" i="3"/>
  <c r="U502" i="3"/>
  <c r="R503" i="3"/>
  <c r="AB503" i="3"/>
  <c r="AA504" i="3"/>
  <c r="X505" i="3"/>
  <c r="U506" i="3"/>
  <c r="T507" i="3"/>
  <c r="Q508" i="3"/>
  <c r="AA508" i="3"/>
  <c r="Z509" i="3"/>
  <c r="W510" i="3"/>
  <c r="S511" i="3"/>
  <c r="AB511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P520" i="3"/>
  <c r="X520" i="3"/>
  <c r="S521" i="3"/>
  <c r="AA521" i="3"/>
  <c r="V522" i="3"/>
  <c r="Q523" i="3"/>
  <c r="Y523" i="3"/>
  <c r="T524" i="3"/>
  <c r="AB524" i="3"/>
  <c r="W525" i="3"/>
  <c r="R526" i="3"/>
  <c r="Z526" i="3"/>
  <c r="U527" i="3"/>
  <c r="P528" i="3"/>
  <c r="X528" i="3"/>
  <c r="S529" i="3"/>
  <c r="AA529" i="3"/>
  <c r="V530" i="3"/>
  <c r="Q531" i="3"/>
  <c r="Y531" i="3"/>
  <c r="T532" i="3"/>
  <c r="AB532" i="3"/>
  <c r="W533" i="3"/>
  <c r="R534" i="3"/>
  <c r="Z534" i="3"/>
  <c r="U535" i="3"/>
  <c r="P536" i="3"/>
  <c r="X536" i="3"/>
  <c r="S537" i="3"/>
  <c r="AA537" i="3"/>
  <c r="V538" i="3"/>
  <c r="Q539" i="3"/>
  <c r="Y539" i="3"/>
  <c r="T540" i="3"/>
  <c r="AB540" i="3"/>
  <c r="W541" i="3"/>
  <c r="R542" i="3"/>
  <c r="Z542" i="3"/>
  <c r="U543" i="3"/>
  <c r="AE543" i="3" s="1"/>
  <c r="P544" i="3"/>
  <c r="X544" i="3"/>
  <c r="S545" i="3"/>
  <c r="AA545" i="3"/>
  <c r="V546" i="3"/>
  <c r="Q547" i="3"/>
  <c r="Y547" i="3"/>
  <c r="T548" i="3"/>
  <c r="AB548" i="3"/>
  <c r="W549" i="3"/>
  <c r="R550" i="3"/>
  <c r="Z550" i="3"/>
  <c r="U551" i="3"/>
  <c r="P552" i="3"/>
  <c r="X552" i="3"/>
  <c r="S553" i="3"/>
  <c r="AA553" i="3"/>
  <c r="V554" i="3"/>
  <c r="Q555" i="3"/>
  <c r="Y555" i="3"/>
  <c r="T556" i="3"/>
  <c r="AB556" i="3"/>
  <c r="W557" i="3"/>
  <c r="R558" i="3"/>
  <c r="Z558" i="3"/>
  <c r="U559" i="3"/>
  <c r="P560" i="3"/>
  <c r="X560" i="3"/>
  <c r="S561" i="3"/>
  <c r="AA561" i="3"/>
  <c r="V562" i="3"/>
  <c r="Q563" i="3"/>
  <c r="Y563" i="3"/>
  <c r="T564" i="3"/>
  <c r="AB564" i="3"/>
  <c r="W565" i="3"/>
  <c r="R566" i="3"/>
  <c r="Z566" i="3"/>
  <c r="U567" i="3"/>
  <c r="AE567" i="3" s="1"/>
  <c r="P568" i="3"/>
  <c r="X568" i="3"/>
  <c r="S569" i="3"/>
  <c r="AA569" i="3"/>
  <c r="V570" i="3"/>
  <c r="Q571" i="3"/>
  <c r="Y571" i="3"/>
  <c r="T572" i="3"/>
  <c r="AB572" i="3"/>
  <c r="W573" i="3"/>
  <c r="R574" i="3"/>
  <c r="Z574" i="3"/>
  <c r="U575" i="3"/>
  <c r="AE575" i="3" s="1"/>
  <c r="P576" i="3"/>
  <c r="X576" i="3"/>
  <c r="S577" i="3"/>
  <c r="AA577" i="3"/>
  <c r="V578" i="3"/>
  <c r="Q579" i="3"/>
  <c r="Y579" i="3"/>
  <c r="T580" i="3"/>
  <c r="AB580" i="3"/>
  <c r="W581" i="3"/>
  <c r="R582" i="3"/>
  <c r="Z582" i="3"/>
  <c r="U583" i="3"/>
  <c r="P584" i="3"/>
  <c r="X584" i="3"/>
  <c r="S585" i="3"/>
  <c r="AA585" i="3"/>
  <c r="V586" i="3"/>
  <c r="Q587" i="3"/>
  <c r="Y587" i="3"/>
  <c r="T588" i="3"/>
  <c r="AB588" i="3"/>
  <c r="W589" i="3"/>
  <c r="R590" i="3"/>
  <c r="Z590" i="3"/>
  <c r="U591" i="3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W445" i="3"/>
  <c r="U450" i="3"/>
  <c r="R452" i="3"/>
  <c r="W453" i="3"/>
  <c r="T455" i="3"/>
  <c r="Q457" i="3"/>
  <c r="V458" i="3"/>
  <c r="Q460" i="3"/>
  <c r="T461" i="3"/>
  <c r="W462" i="3"/>
  <c r="Z463" i="3"/>
  <c r="P465" i="3"/>
  <c r="S466" i="3"/>
  <c r="V467" i="3"/>
  <c r="Y468" i="3"/>
  <c r="AB469" i="3"/>
  <c r="R471" i="3"/>
  <c r="U472" i="3"/>
  <c r="X473" i="3"/>
  <c r="AA474" i="3"/>
  <c r="Q476" i="3"/>
  <c r="T477" i="3"/>
  <c r="W478" i="3"/>
  <c r="Z479" i="3"/>
  <c r="X480" i="3"/>
  <c r="Y481" i="3"/>
  <c r="Z482" i="3"/>
  <c r="X483" i="3"/>
  <c r="Y484" i="3"/>
  <c r="W485" i="3"/>
  <c r="X486" i="3"/>
  <c r="Y487" i="3"/>
  <c r="W488" i="3"/>
  <c r="X489" i="3"/>
  <c r="V490" i="3"/>
  <c r="W491" i="3"/>
  <c r="X492" i="3"/>
  <c r="U493" i="3"/>
  <c r="R494" i="3"/>
  <c r="Q495" i="3"/>
  <c r="AA495" i="3"/>
  <c r="X496" i="3"/>
  <c r="W497" i="3"/>
  <c r="T498" i="3"/>
  <c r="Q499" i="3"/>
  <c r="P500" i="3"/>
  <c r="Z500" i="3"/>
  <c r="W501" i="3"/>
  <c r="V502" i="3"/>
  <c r="S503" i="3"/>
  <c r="P504" i="3"/>
  <c r="AB504" i="3"/>
  <c r="Y505" i="3"/>
  <c r="V506" i="3"/>
  <c r="U507" i="3"/>
  <c r="R508" i="3"/>
  <c r="AB508" i="3"/>
  <c r="AA509" i="3"/>
  <c r="X510" i="3"/>
  <c r="T511" i="3"/>
  <c r="P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AE524" i="3" s="1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U572" i="3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AE580" i="3" s="1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R446" i="3"/>
  <c r="V450" i="3"/>
  <c r="S452" i="3"/>
  <c r="P454" i="3"/>
  <c r="U455" i="3"/>
  <c r="AE455" i="3" s="1"/>
  <c r="R457" i="3"/>
  <c r="AB458" i="3"/>
  <c r="R460" i="3"/>
  <c r="U461" i="3"/>
  <c r="X462" i="3"/>
  <c r="AA463" i="3"/>
  <c r="Q465" i="3"/>
  <c r="T466" i="3"/>
  <c r="W467" i="3"/>
  <c r="Z468" i="3"/>
  <c r="P470" i="3"/>
  <c r="S471" i="3"/>
  <c r="V472" i="3"/>
  <c r="Y473" i="3"/>
  <c r="AB474" i="3"/>
  <c r="R476" i="3"/>
  <c r="U477" i="3"/>
  <c r="AE477" i="3" s="1"/>
  <c r="X478" i="3"/>
  <c r="AA479" i="3"/>
  <c r="AB480" i="3"/>
  <c r="Z481" i="3"/>
  <c r="AA482" i="3"/>
  <c r="Y483" i="3"/>
  <c r="Z484" i="3"/>
  <c r="AA485" i="3"/>
  <c r="Y486" i="3"/>
  <c r="Z487" i="3"/>
  <c r="X488" i="3"/>
  <c r="Y489" i="3"/>
  <c r="Z490" i="3"/>
  <c r="X491" i="3"/>
  <c r="Y492" i="3"/>
  <c r="V493" i="3"/>
  <c r="U494" i="3"/>
  <c r="R495" i="3"/>
  <c r="AB495" i="3"/>
  <c r="AA496" i="3"/>
  <c r="X497" i="3"/>
  <c r="U498" i="3"/>
  <c r="T499" i="3"/>
  <c r="Q500" i="3"/>
  <c r="AA500" i="3"/>
  <c r="Z501" i="3"/>
  <c r="W502" i="3"/>
  <c r="T503" i="3"/>
  <c r="S504" i="3"/>
  <c r="P505" i="3"/>
  <c r="Z505" i="3"/>
  <c r="Y506" i="3"/>
  <c r="V507" i="3"/>
  <c r="S508" i="3"/>
  <c r="R509" i="3"/>
  <c r="AB509" i="3"/>
  <c r="Y510" i="3"/>
  <c r="U511" i="3"/>
  <c r="R512" i="3"/>
  <c r="Z512" i="3"/>
  <c r="U513" i="3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Z446" i="3"/>
  <c r="AB450" i="3"/>
  <c r="T452" i="3"/>
  <c r="Q454" i="3"/>
  <c r="AA455" i="3"/>
  <c r="S457" i="3"/>
  <c r="P459" i="3"/>
  <c r="S460" i="3"/>
  <c r="V461" i="3"/>
  <c r="Y462" i="3"/>
  <c r="AB463" i="3"/>
  <c r="R465" i="3"/>
  <c r="U466" i="3"/>
  <c r="X467" i="3"/>
  <c r="AA468" i="3"/>
  <c r="Q470" i="3"/>
  <c r="T471" i="3"/>
  <c r="W472" i="3"/>
  <c r="Z473" i="3"/>
  <c r="P475" i="3"/>
  <c r="S476" i="3"/>
  <c r="V477" i="3"/>
  <c r="Y478" i="3"/>
  <c r="AB479" i="3"/>
  <c r="P481" i="3"/>
  <c r="AA481" i="3"/>
  <c r="AB482" i="3"/>
  <c r="P484" i="3"/>
  <c r="AA484" i="3"/>
  <c r="AB485" i="3"/>
  <c r="Z486" i="3"/>
  <c r="AA487" i="3"/>
  <c r="AB488" i="3"/>
  <c r="Z489" i="3"/>
  <c r="AA490" i="3"/>
  <c r="Y491" i="3"/>
  <c r="Z492" i="3"/>
  <c r="W493" i="3"/>
  <c r="V494" i="3"/>
  <c r="S495" i="3"/>
  <c r="P496" i="3"/>
  <c r="AB496" i="3"/>
  <c r="Y497" i="3"/>
  <c r="V498" i="3"/>
  <c r="U499" i="3"/>
  <c r="R500" i="3"/>
  <c r="AB500" i="3"/>
  <c r="AA501" i="3"/>
  <c r="X502" i="3"/>
  <c r="U503" i="3"/>
  <c r="T504" i="3"/>
  <c r="Q505" i="3"/>
  <c r="AA505" i="3"/>
  <c r="Z506" i="3"/>
  <c r="W507" i="3"/>
  <c r="T508" i="3"/>
  <c r="S509" i="3"/>
  <c r="P510" i="3"/>
  <c r="Z510" i="3"/>
  <c r="W511" i="3"/>
  <c r="S512" i="3"/>
  <c r="AA512" i="3"/>
  <c r="V513" i="3"/>
  <c r="Q514" i="3"/>
  <c r="Y514" i="3"/>
  <c r="T515" i="3"/>
  <c r="AB515" i="3"/>
  <c r="W516" i="3"/>
  <c r="R517" i="3"/>
  <c r="Z517" i="3"/>
  <c r="U518" i="3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P575" i="3"/>
  <c r="X575" i="3"/>
  <c r="S576" i="3"/>
  <c r="AA576" i="3"/>
  <c r="V577" i="3"/>
  <c r="U447" i="3"/>
  <c r="AE447" i="3" s="1"/>
  <c r="P451" i="3"/>
  <c r="Z452" i="3"/>
  <c r="R454" i="3"/>
  <c r="AB455" i="3"/>
  <c r="Y457" i="3"/>
  <c r="Q459" i="3"/>
  <c r="T460" i="3"/>
  <c r="W461" i="3"/>
  <c r="Z462" i="3"/>
  <c r="P464" i="3"/>
  <c r="S465" i="3"/>
  <c r="V466" i="3"/>
  <c r="Y467" i="3"/>
  <c r="AB468" i="3"/>
  <c r="R470" i="3"/>
  <c r="U471" i="3"/>
  <c r="AE471" i="3" s="1"/>
  <c r="X472" i="3"/>
  <c r="AA473" i="3"/>
  <c r="Q475" i="3"/>
  <c r="T476" i="3"/>
  <c r="W477" i="3"/>
  <c r="Z478" i="3"/>
  <c r="P480" i="3"/>
  <c r="Q481" i="3"/>
  <c r="R482" i="3"/>
  <c r="P483" i="3"/>
  <c r="Q484" i="3"/>
  <c r="AB484" i="3"/>
  <c r="P486" i="3"/>
  <c r="Q487" i="3"/>
  <c r="AB487" i="3"/>
  <c r="P489" i="3"/>
  <c r="AA489" i="3"/>
  <c r="AB490" i="3"/>
  <c r="P492" i="3"/>
  <c r="AA492" i="3"/>
  <c r="Z493" i="3"/>
  <c r="W494" i="3"/>
  <c r="T495" i="3"/>
  <c r="S496" i="3"/>
  <c r="P497" i="3"/>
  <c r="Z497" i="3"/>
  <c r="Y498" i="3"/>
  <c r="V499" i="3"/>
  <c r="S500" i="3"/>
  <c r="R501" i="3"/>
  <c r="AB501" i="3"/>
  <c r="Y502" i="3"/>
  <c r="X503" i="3"/>
  <c r="U504" i="3"/>
  <c r="R505" i="3"/>
  <c r="Q506" i="3"/>
  <c r="AA506" i="3"/>
  <c r="X507" i="3"/>
  <c r="W508" i="3"/>
  <c r="T509" i="3"/>
  <c r="Q510" i="3"/>
  <c r="AB510" i="3"/>
  <c r="X511" i="3"/>
  <c r="T512" i="3"/>
  <c r="AB512" i="3"/>
  <c r="W513" i="3"/>
  <c r="R514" i="3"/>
  <c r="Z514" i="3"/>
  <c r="U515" i="3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AE531" i="3" s="1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AE539" i="3" s="1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P556" i="3"/>
  <c r="X556" i="3"/>
  <c r="S557" i="3"/>
  <c r="AA557" i="3"/>
  <c r="V558" i="3"/>
  <c r="Q559" i="3"/>
  <c r="Y559" i="3"/>
  <c r="T560" i="3"/>
  <c r="AB560" i="3"/>
  <c r="W561" i="3"/>
  <c r="R562" i="3"/>
  <c r="Z562" i="3"/>
  <c r="U563" i="3"/>
  <c r="P564" i="3"/>
  <c r="X564" i="3"/>
  <c r="S565" i="3"/>
  <c r="AA565" i="3"/>
  <c r="V566" i="3"/>
  <c r="Q567" i="3"/>
  <c r="Y567" i="3"/>
  <c r="T568" i="3"/>
  <c r="AB568" i="3"/>
  <c r="W569" i="3"/>
  <c r="R570" i="3"/>
  <c r="Z570" i="3"/>
  <c r="P448" i="3"/>
  <c r="Q451" i="3"/>
  <c r="AA452" i="3"/>
  <c r="X454" i="3"/>
  <c r="P456" i="3"/>
  <c r="Z457" i="3"/>
  <c r="V459" i="3"/>
  <c r="Y460" i="3"/>
  <c r="AB461" i="3"/>
  <c r="R463" i="3"/>
  <c r="U464" i="3"/>
  <c r="X465" i="3"/>
  <c r="AA466" i="3"/>
  <c r="Q468" i="3"/>
  <c r="T469" i="3"/>
  <c r="W470" i="3"/>
  <c r="Z471" i="3"/>
  <c r="P473" i="3"/>
  <c r="S474" i="3"/>
  <c r="V475" i="3"/>
  <c r="Y476" i="3"/>
  <c r="AB477" i="3"/>
  <c r="R479" i="3"/>
  <c r="T480" i="3"/>
  <c r="R481" i="3"/>
  <c r="S482" i="3"/>
  <c r="Q483" i="3"/>
  <c r="R484" i="3"/>
  <c r="S485" i="3"/>
  <c r="Q486" i="3"/>
  <c r="R487" i="3"/>
  <c r="P488" i="3"/>
  <c r="Q489" i="3"/>
  <c r="R490" i="3"/>
  <c r="P491" i="3"/>
  <c r="Q492" i="3"/>
  <c r="AB492" i="3"/>
  <c r="AA493" i="3"/>
  <c r="X494" i="3"/>
  <c r="U495" i="3"/>
  <c r="AE495" i="3" s="1"/>
  <c r="T496" i="3"/>
  <c r="Q497" i="3"/>
  <c r="AA497" i="3"/>
  <c r="Z498" i="3"/>
  <c r="W499" i="3"/>
  <c r="T500" i="3"/>
  <c r="S501" i="3"/>
  <c r="P502" i="3"/>
  <c r="Z502" i="3"/>
  <c r="Y503" i="3"/>
  <c r="V504" i="3"/>
  <c r="S505" i="3"/>
  <c r="R506" i="3"/>
  <c r="AB506" i="3"/>
  <c r="Y507" i="3"/>
  <c r="X508" i="3"/>
  <c r="U509" i="3"/>
  <c r="AE509" i="3" s="1"/>
  <c r="R510" i="3"/>
  <c r="P511" i="3"/>
  <c r="Y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P561" i="3"/>
  <c r="X561" i="3"/>
  <c r="S562" i="3"/>
  <c r="AA562" i="3"/>
  <c r="V563" i="3"/>
  <c r="Q564" i="3"/>
  <c r="Y564" i="3"/>
  <c r="T565" i="3"/>
  <c r="AB565" i="3"/>
  <c r="W566" i="3"/>
  <c r="R567" i="3"/>
  <c r="X448" i="3"/>
  <c r="W451" i="3"/>
  <c r="AB452" i="3"/>
  <c r="Y454" i="3"/>
  <c r="V456" i="3"/>
  <c r="AA457" i="3"/>
  <c r="W459" i="3"/>
  <c r="Z460" i="3"/>
  <c r="P462" i="3"/>
  <c r="S463" i="3"/>
  <c r="V464" i="3"/>
  <c r="Y465" i="3"/>
  <c r="AB466" i="3"/>
  <c r="R468" i="3"/>
  <c r="U469" i="3"/>
  <c r="X470" i="3"/>
  <c r="AA471" i="3"/>
  <c r="Q473" i="3"/>
  <c r="T474" i="3"/>
  <c r="W475" i="3"/>
  <c r="Z476" i="3"/>
  <c r="P478" i="3"/>
  <c r="S479" i="3"/>
  <c r="U480" i="3"/>
  <c r="S481" i="3"/>
  <c r="T482" i="3"/>
  <c r="U483" i="3"/>
  <c r="AE483" i="3" s="1"/>
  <c r="S484" i="3"/>
  <c r="T485" i="3"/>
  <c r="R486" i="3"/>
  <c r="S487" i="3"/>
  <c r="T488" i="3"/>
  <c r="R489" i="3"/>
  <c r="S490" i="3"/>
  <c r="Q491" i="3"/>
  <c r="R492" i="3"/>
  <c r="R493" i="3"/>
  <c r="AB493" i="3"/>
  <c r="Y494" i="3"/>
  <c r="X495" i="3"/>
  <c r="U496" i="3"/>
  <c r="R497" i="3"/>
  <c r="Q498" i="3"/>
  <c r="AA498" i="3"/>
  <c r="X499" i="3"/>
  <c r="W500" i="3"/>
  <c r="T501" i="3"/>
  <c r="Q502" i="3"/>
  <c r="P503" i="3"/>
  <c r="Z503" i="3"/>
  <c r="W504" i="3"/>
  <c r="V505" i="3"/>
  <c r="S506" i="3"/>
  <c r="P507" i="3"/>
  <c r="AB507" i="3"/>
  <c r="Y508" i="3"/>
  <c r="V509" i="3"/>
  <c r="U510" i="3"/>
  <c r="AE510" i="3" s="1"/>
  <c r="Q511" i="3"/>
  <c r="Z511" i="3"/>
  <c r="V512" i="3"/>
  <c r="Q513" i="3"/>
  <c r="Y513" i="3"/>
  <c r="T514" i="3"/>
  <c r="AB514" i="3"/>
  <c r="W515" i="3"/>
  <c r="R516" i="3"/>
  <c r="Z516" i="3"/>
  <c r="U517" i="3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P550" i="3"/>
  <c r="X550" i="3"/>
  <c r="S551" i="3"/>
  <c r="AA551" i="3"/>
  <c r="V552" i="3"/>
  <c r="Q553" i="3"/>
  <c r="Y553" i="3"/>
  <c r="T554" i="3"/>
  <c r="S559" i="3"/>
  <c r="R564" i="3"/>
  <c r="U568" i="3"/>
  <c r="AA570" i="3"/>
  <c r="X572" i="3"/>
  <c r="P574" i="3"/>
  <c r="Z575" i="3"/>
  <c r="W577" i="3"/>
  <c r="Z578" i="3"/>
  <c r="AB579" i="3"/>
  <c r="Z580" i="3"/>
  <c r="AA581" i="3"/>
  <c r="AB582" i="3"/>
  <c r="Z583" i="3"/>
  <c r="AA584" i="3"/>
  <c r="Y585" i="3"/>
  <c r="Z586" i="3"/>
  <c r="AA587" i="3"/>
  <c r="Y588" i="3"/>
  <c r="Z589" i="3"/>
  <c r="X590" i="3"/>
  <c r="Y591" i="3"/>
  <c r="Y592" i="3"/>
  <c r="V593" i="3"/>
  <c r="S594" i="3"/>
  <c r="R595" i="3"/>
  <c r="AB595" i="3"/>
  <c r="Y596" i="3"/>
  <c r="X597" i="3"/>
  <c r="U598" i="3"/>
  <c r="AE598" i="3" s="1"/>
  <c r="R599" i="3"/>
  <c r="P600" i="3"/>
  <c r="Y600" i="3"/>
  <c r="U601" i="3"/>
  <c r="AE601" i="3" s="1"/>
  <c r="Q602" i="3"/>
  <c r="Z602" i="3"/>
  <c r="V603" i="3"/>
  <c r="R604" i="3"/>
  <c r="AB604" i="3"/>
  <c r="X605" i="3"/>
  <c r="T606" i="3"/>
  <c r="P607" i="3"/>
  <c r="Y607" i="3"/>
  <c r="U608" i="3"/>
  <c r="Q609" i="3"/>
  <c r="AA609" i="3"/>
  <c r="W610" i="3"/>
  <c r="S611" i="3"/>
  <c r="AB611" i="3"/>
  <c r="X612" i="3"/>
  <c r="T613" i="3"/>
  <c r="P614" i="3"/>
  <c r="Z614" i="3"/>
  <c r="V615" i="3"/>
  <c r="R616" i="3"/>
  <c r="AA616" i="3"/>
  <c r="W617" i="3"/>
  <c r="S618" i="3"/>
  <c r="AB618" i="3"/>
  <c r="W619" i="3"/>
  <c r="R620" i="3"/>
  <c r="Z620" i="3"/>
  <c r="U621" i="3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AB554" i="3"/>
  <c r="AA559" i="3"/>
  <c r="Z564" i="3"/>
  <c r="V568" i="3"/>
  <c r="AB570" i="3"/>
  <c r="Y572" i="3"/>
  <c r="V574" i="3"/>
  <c r="AA575" i="3"/>
  <c r="X577" i="3"/>
  <c r="AA578" i="3"/>
  <c r="P580" i="3"/>
  <c r="Q581" i="3"/>
  <c r="AB581" i="3"/>
  <c r="P583" i="3"/>
  <c r="AA583" i="3"/>
  <c r="AB584" i="3"/>
  <c r="P586" i="3"/>
  <c r="AA586" i="3"/>
  <c r="AB587" i="3"/>
  <c r="Z588" i="3"/>
  <c r="AA589" i="3"/>
  <c r="AB590" i="3"/>
  <c r="Z591" i="3"/>
  <c r="Z592" i="3"/>
  <c r="W593" i="3"/>
  <c r="T594" i="3"/>
  <c r="S595" i="3"/>
  <c r="P596" i="3"/>
  <c r="Z596" i="3"/>
  <c r="Y597" i="3"/>
  <c r="V598" i="3"/>
  <c r="S599" i="3"/>
  <c r="Q600" i="3"/>
  <c r="Z600" i="3"/>
  <c r="V601" i="3"/>
  <c r="R602" i="3"/>
  <c r="AA602" i="3"/>
  <c r="W603" i="3"/>
  <c r="T604" i="3"/>
  <c r="P605" i="3"/>
  <c r="Y605" i="3"/>
  <c r="U606" i="3"/>
  <c r="Q607" i="3"/>
  <c r="Z607" i="3"/>
  <c r="V608" i="3"/>
  <c r="S609" i="3"/>
  <c r="AB609" i="3"/>
  <c r="X610" i="3"/>
  <c r="T611" i="3"/>
  <c r="P612" i="3"/>
  <c r="Y612" i="3"/>
  <c r="U613" i="3"/>
  <c r="R614" i="3"/>
  <c r="AA614" i="3"/>
  <c r="W615" i="3"/>
  <c r="S616" i="3"/>
  <c r="AB616" i="3"/>
  <c r="X617" i="3"/>
  <c r="T618" i="3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AE698" i="3" s="1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P715" i="3"/>
  <c r="X715" i="3"/>
  <c r="W555" i="3"/>
  <c r="V560" i="3"/>
  <c r="U565" i="3"/>
  <c r="P569" i="3"/>
  <c r="U571" i="3"/>
  <c r="Z572" i="3"/>
  <c r="W574" i="3"/>
  <c r="T576" i="3"/>
  <c r="Y577" i="3"/>
  <c r="AB578" i="3"/>
  <c r="Q580" i="3"/>
  <c r="R581" i="3"/>
  <c r="P582" i="3"/>
  <c r="Q583" i="3"/>
  <c r="R584" i="3"/>
  <c r="P585" i="3"/>
  <c r="Q586" i="3"/>
  <c r="AB586" i="3"/>
  <c r="P588" i="3"/>
  <c r="Q589" i="3"/>
  <c r="AB589" i="3"/>
  <c r="P591" i="3"/>
  <c r="AA591" i="3"/>
  <c r="AA592" i="3"/>
  <c r="X593" i="3"/>
  <c r="W594" i="3"/>
  <c r="T595" i="3"/>
  <c r="Q596" i="3"/>
  <c r="P597" i="3"/>
  <c r="Z597" i="3"/>
  <c r="W598" i="3"/>
  <c r="V599" i="3"/>
  <c r="R600" i="3"/>
  <c r="AA600" i="3"/>
  <c r="W601" i="3"/>
  <c r="S602" i="3"/>
  <c r="AB602" i="3"/>
  <c r="Y603" i="3"/>
  <c r="U604" i="3"/>
  <c r="AE604" i="3" s="1"/>
  <c r="Q605" i="3"/>
  <c r="Z605" i="3"/>
  <c r="V606" i="3"/>
  <c r="R607" i="3"/>
  <c r="AA607" i="3"/>
  <c r="X608" i="3"/>
  <c r="T609" i="3"/>
  <c r="P610" i="3"/>
  <c r="Y610" i="3"/>
  <c r="U611" i="3"/>
  <c r="Q612" i="3"/>
  <c r="Z612" i="3"/>
  <c r="W613" i="3"/>
  <c r="S614" i="3"/>
  <c r="AB614" i="3"/>
  <c r="X615" i="3"/>
  <c r="T616" i="3"/>
  <c r="P617" i="3"/>
  <c r="Y617" i="3"/>
  <c r="V618" i="3"/>
  <c r="Q619" i="3"/>
  <c r="Y619" i="3"/>
  <c r="T620" i="3"/>
  <c r="AB620" i="3"/>
  <c r="W621" i="3"/>
  <c r="R622" i="3"/>
  <c r="Z622" i="3"/>
  <c r="U623" i="3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AE695" i="3" s="1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P704" i="3"/>
  <c r="X704" i="3"/>
  <c r="S705" i="3"/>
  <c r="AA705" i="3"/>
  <c r="V706" i="3"/>
  <c r="Q707" i="3"/>
  <c r="Y707" i="3"/>
  <c r="T708" i="3"/>
  <c r="R556" i="3"/>
  <c r="Q561" i="3"/>
  <c r="P566" i="3"/>
  <c r="Q569" i="3"/>
  <c r="V571" i="3"/>
  <c r="S573" i="3"/>
  <c r="X574" i="3"/>
  <c r="U576" i="3"/>
  <c r="Q578" i="3"/>
  <c r="T579" i="3"/>
  <c r="R580" i="3"/>
  <c r="S581" i="3"/>
  <c r="T582" i="3"/>
  <c r="R583" i="3"/>
  <c r="S584" i="3"/>
  <c r="Q585" i="3"/>
  <c r="R586" i="3"/>
  <c r="S587" i="3"/>
  <c r="Q588" i="3"/>
  <c r="R589" i="3"/>
  <c r="P590" i="3"/>
  <c r="Q591" i="3"/>
  <c r="R592" i="3"/>
  <c r="AB592" i="3"/>
  <c r="Y593" i="3"/>
  <c r="X594" i="3"/>
  <c r="U595" i="3"/>
  <c r="AE595" i="3" s="1"/>
  <c r="R596" i="3"/>
  <c r="Q597" i="3"/>
  <c r="AA597" i="3"/>
  <c r="X598" i="3"/>
  <c r="W599" i="3"/>
  <c r="S600" i="3"/>
  <c r="AB600" i="3"/>
  <c r="X601" i="3"/>
  <c r="T602" i="3"/>
  <c r="Q603" i="3"/>
  <c r="Z603" i="3"/>
  <c r="V604" i="3"/>
  <c r="R605" i="3"/>
  <c r="AA605" i="3"/>
  <c r="W606" i="3"/>
  <c r="S607" i="3"/>
  <c r="P608" i="3"/>
  <c r="Y608" i="3"/>
  <c r="U609" i="3"/>
  <c r="Q610" i="3"/>
  <c r="Z610" i="3"/>
  <c r="V611" i="3"/>
  <c r="R612" i="3"/>
  <c r="AB612" i="3"/>
  <c r="X613" i="3"/>
  <c r="T614" i="3"/>
  <c r="P615" i="3"/>
  <c r="Y615" i="3"/>
  <c r="U616" i="3"/>
  <c r="Q617" i="3"/>
  <c r="AA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Z556" i="3"/>
  <c r="Y561" i="3"/>
  <c r="X566" i="3"/>
  <c r="X569" i="3"/>
  <c r="W571" i="3"/>
  <c r="T573" i="3"/>
  <c r="Q575" i="3"/>
  <c r="V576" i="3"/>
  <c r="R578" i="3"/>
  <c r="U579" i="3"/>
  <c r="V580" i="3"/>
  <c r="T581" i="3"/>
  <c r="U582" i="3"/>
  <c r="S583" i="3"/>
  <c r="T584" i="3"/>
  <c r="U585" i="3"/>
  <c r="S586" i="3"/>
  <c r="T587" i="3"/>
  <c r="R588" i="3"/>
  <c r="S589" i="3"/>
  <c r="T590" i="3"/>
  <c r="R591" i="3"/>
  <c r="S592" i="3"/>
  <c r="P593" i="3"/>
  <c r="AB593" i="3"/>
  <c r="Y594" i="3"/>
  <c r="V595" i="3"/>
  <c r="U596" i="3"/>
  <c r="R597" i="3"/>
  <c r="AB597" i="3"/>
  <c r="AA598" i="3"/>
  <c r="X599" i="3"/>
  <c r="T600" i="3"/>
  <c r="P601" i="3"/>
  <c r="Y601" i="3"/>
  <c r="V602" i="3"/>
  <c r="R603" i="3"/>
  <c r="AA603" i="3"/>
  <c r="W604" i="3"/>
  <c r="S605" i="3"/>
  <c r="AB605" i="3"/>
  <c r="X606" i="3"/>
  <c r="U607" i="3"/>
  <c r="AE607" i="3" s="1"/>
  <c r="Q608" i="3"/>
  <c r="Z608" i="3"/>
  <c r="V609" i="3"/>
  <c r="R610" i="3"/>
  <c r="AA610" i="3"/>
  <c r="W611" i="3"/>
  <c r="T612" i="3"/>
  <c r="P613" i="3"/>
  <c r="Y613" i="3"/>
  <c r="U614" i="3"/>
  <c r="Q615" i="3"/>
  <c r="Z615" i="3"/>
  <c r="V616" i="3"/>
  <c r="S617" i="3"/>
  <c r="AB617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P682" i="3"/>
  <c r="X682" i="3"/>
  <c r="S683" i="3"/>
  <c r="AA683" i="3"/>
  <c r="V684" i="3"/>
  <c r="Q685" i="3"/>
  <c r="Y685" i="3"/>
  <c r="T686" i="3"/>
  <c r="AB686" i="3"/>
  <c r="U557" i="3"/>
  <c r="AE557" i="3" s="1"/>
  <c r="T562" i="3"/>
  <c r="S567" i="3"/>
  <c r="Y569" i="3"/>
  <c r="P572" i="3"/>
  <c r="U573" i="3"/>
  <c r="R575" i="3"/>
  <c r="AB576" i="3"/>
  <c r="S578" i="3"/>
  <c r="V579" i="3"/>
  <c r="W580" i="3"/>
  <c r="U581" i="3"/>
  <c r="AE581" i="3" s="1"/>
  <c r="V582" i="3"/>
  <c r="W583" i="3"/>
  <c r="U584" i="3"/>
  <c r="V585" i="3"/>
  <c r="T586" i="3"/>
  <c r="U587" i="3"/>
  <c r="V588" i="3"/>
  <c r="T589" i="3"/>
  <c r="U590" i="3"/>
  <c r="AE590" i="3" s="1"/>
  <c r="S591" i="3"/>
  <c r="T592" i="3"/>
  <c r="Q593" i="3"/>
  <c r="P594" i="3"/>
  <c r="Z594" i="3"/>
  <c r="W595" i="3"/>
  <c r="V596" i="3"/>
  <c r="S597" i="3"/>
  <c r="P598" i="3"/>
  <c r="AB598" i="3"/>
  <c r="Y599" i="3"/>
  <c r="U600" i="3"/>
  <c r="Q601" i="3"/>
  <c r="AA601" i="3"/>
  <c r="W602" i="3"/>
  <c r="S603" i="3"/>
  <c r="AB603" i="3"/>
  <c r="X604" i="3"/>
  <c r="T605" i="3"/>
  <c r="P606" i="3"/>
  <c r="Z606" i="3"/>
  <c r="V607" i="3"/>
  <c r="R608" i="3"/>
  <c r="AA608" i="3"/>
  <c r="W609" i="3"/>
  <c r="S610" i="3"/>
  <c r="AB610" i="3"/>
  <c r="Y611" i="3"/>
  <c r="U612" i="3"/>
  <c r="Q613" i="3"/>
  <c r="Z613" i="3"/>
  <c r="V614" i="3"/>
  <c r="R615" i="3"/>
  <c r="AA615" i="3"/>
  <c r="X616" i="3"/>
  <c r="T617" i="3"/>
  <c r="P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P558" i="3"/>
  <c r="AB562" i="3"/>
  <c r="Z567" i="3"/>
  <c r="S570" i="3"/>
  <c r="Q572" i="3"/>
  <c r="AA573" i="3"/>
  <c r="S575" i="3"/>
  <c r="P577" i="3"/>
  <c r="T578" i="3"/>
  <c r="W579" i="3"/>
  <c r="X580" i="3"/>
  <c r="Y581" i="3"/>
  <c r="W582" i="3"/>
  <c r="X583" i="3"/>
  <c r="V584" i="3"/>
  <c r="W585" i="3"/>
  <c r="X586" i="3"/>
  <c r="V587" i="3"/>
  <c r="W588" i="3"/>
  <c r="U589" i="3"/>
  <c r="AE589" i="3" s="1"/>
  <c r="V590" i="3"/>
  <c r="W591" i="3"/>
  <c r="U592" i="3"/>
  <c r="T593" i="3"/>
  <c r="Q594" i="3"/>
  <c r="AA594" i="3"/>
  <c r="Z595" i="3"/>
  <c r="W596" i="3"/>
  <c r="T597" i="3"/>
  <c r="S598" i="3"/>
  <c r="P599" i="3"/>
  <c r="Z599" i="3"/>
  <c r="V600" i="3"/>
  <c r="S601" i="3"/>
  <c r="AB601" i="3"/>
  <c r="X602" i="3"/>
  <c r="T603" i="3"/>
  <c r="P604" i="3"/>
  <c r="Y604" i="3"/>
  <c r="U605" i="3"/>
  <c r="AE605" i="3" s="1"/>
  <c r="R606" i="3"/>
  <c r="AA606" i="3"/>
  <c r="W607" i="3"/>
  <c r="S608" i="3"/>
  <c r="AB608" i="3"/>
  <c r="X609" i="3"/>
  <c r="T610" i="3"/>
  <c r="Q611" i="3"/>
  <c r="Z611" i="3"/>
  <c r="V612" i="3"/>
  <c r="R613" i="3"/>
  <c r="AA613" i="3"/>
  <c r="W614" i="3"/>
  <c r="S615" i="3"/>
  <c r="P616" i="3"/>
  <c r="Y616" i="3"/>
  <c r="U617" i="3"/>
  <c r="Q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P668" i="3"/>
  <c r="X558" i="3"/>
  <c r="W563" i="3"/>
  <c r="AA567" i="3"/>
  <c r="T570" i="3"/>
  <c r="R572" i="3"/>
  <c r="AB573" i="3"/>
  <c r="Y575" i="3"/>
  <c r="Q577" i="3"/>
  <c r="Y578" i="3"/>
  <c r="AA579" i="3"/>
  <c r="Y580" i="3"/>
  <c r="Z581" i="3"/>
  <c r="X582" i="3"/>
  <c r="Y583" i="3"/>
  <c r="Z584" i="3"/>
  <c r="X585" i="3"/>
  <c r="Y586" i="3"/>
  <c r="W587" i="3"/>
  <c r="X588" i="3"/>
  <c r="Y589" i="3"/>
  <c r="W590" i="3"/>
  <c r="X591" i="3"/>
  <c r="V592" i="3"/>
  <c r="U593" i="3"/>
  <c r="AE593" i="3" s="1"/>
  <c r="R594" i="3"/>
  <c r="AB594" i="3"/>
  <c r="AA595" i="3"/>
  <c r="X596" i="3"/>
  <c r="U597" i="3"/>
  <c r="AE597" i="3" s="1"/>
  <c r="T598" i="3"/>
  <c r="Q599" i="3"/>
  <c r="AA599" i="3"/>
  <c r="X600" i="3"/>
  <c r="T601" i="3"/>
  <c r="P602" i="3"/>
  <c r="Y602" i="3"/>
  <c r="U603" i="3"/>
  <c r="AE603" i="3" s="1"/>
  <c r="Q604" i="3"/>
  <c r="Z604" i="3"/>
  <c r="W605" i="3"/>
  <c r="S606" i="3"/>
  <c r="AB606" i="3"/>
  <c r="X607" i="3"/>
  <c r="T608" i="3"/>
  <c r="P609" i="3"/>
  <c r="Y609" i="3"/>
  <c r="V610" i="3"/>
  <c r="R611" i="3"/>
  <c r="AA611" i="3"/>
  <c r="W612" i="3"/>
  <c r="S613" i="3"/>
  <c r="AB613" i="3"/>
  <c r="X614" i="3"/>
  <c r="U615" i="3"/>
  <c r="Q616" i="3"/>
  <c r="Z616" i="3"/>
  <c r="V617" i="3"/>
  <c r="R618" i="3"/>
  <c r="AA618" i="3"/>
  <c r="V619" i="3"/>
  <c r="Q620" i="3"/>
  <c r="Y620" i="3"/>
  <c r="T621" i="3"/>
  <c r="AB621" i="3"/>
  <c r="W622" i="3"/>
  <c r="R623" i="3"/>
  <c r="Z623" i="3"/>
  <c r="U624" i="3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P649" i="3"/>
  <c r="X649" i="3"/>
  <c r="S650" i="3"/>
  <c r="AA650" i="3"/>
  <c r="V651" i="3"/>
  <c r="Q652" i="3"/>
  <c r="Y652" i="3"/>
  <c r="T653" i="3"/>
  <c r="AB653" i="3"/>
  <c r="W654" i="3"/>
  <c r="R655" i="3"/>
  <c r="Z655" i="3"/>
  <c r="U656" i="3"/>
  <c r="AE656" i="3" s="1"/>
  <c r="P657" i="3"/>
  <c r="X657" i="3"/>
  <c r="S658" i="3"/>
  <c r="AA658" i="3"/>
  <c r="V659" i="3"/>
  <c r="Q660" i="3"/>
  <c r="Y660" i="3"/>
  <c r="T661" i="3"/>
  <c r="AB661" i="3"/>
  <c r="W662" i="3"/>
  <c r="R663" i="3"/>
  <c r="Z663" i="3"/>
  <c r="U664" i="3"/>
  <c r="AE664" i="3" s="1"/>
  <c r="P665" i="3"/>
  <c r="X665" i="3"/>
  <c r="S666" i="3"/>
  <c r="AA666" i="3"/>
  <c r="V667" i="3"/>
  <c r="Q668" i="3"/>
  <c r="Y668" i="3"/>
  <c r="T669" i="3"/>
  <c r="AB669" i="3"/>
  <c r="W670" i="3"/>
  <c r="R671" i="3"/>
  <c r="Z671" i="3"/>
  <c r="U672" i="3"/>
  <c r="P673" i="3"/>
  <c r="X673" i="3"/>
  <c r="S674" i="3"/>
  <c r="AA674" i="3"/>
  <c r="V675" i="3"/>
  <c r="X668" i="3"/>
  <c r="W673" i="3"/>
  <c r="S677" i="3"/>
  <c r="Y679" i="3"/>
  <c r="Q682" i="3"/>
  <c r="V683" i="3"/>
  <c r="S685" i="3"/>
  <c r="P687" i="3"/>
  <c r="S688" i="3"/>
  <c r="V689" i="3"/>
  <c r="Y690" i="3"/>
  <c r="AB691" i="3"/>
  <c r="R693" i="3"/>
  <c r="S694" i="3"/>
  <c r="Q695" i="3"/>
  <c r="R696" i="3"/>
  <c r="P697" i="3"/>
  <c r="Q698" i="3"/>
  <c r="R699" i="3"/>
  <c r="P700" i="3"/>
  <c r="Q701" i="3"/>
  <c r="AB701" i="3"/>
  <c r="P703" i="3"/>
  <c r="Q704" i="3"/>
  <c r="AB704" i="3"/>
  <c r="P706" i="3"/>
  <c r="AA706" i="3"/>
  <c r="AB707" i="3"/>
  <c r="AB708" i="3"/>
  <c r="Y709" i="3"/>
  <c r="V710" i="3"/>
  <c r="U711" i="3"/>
  <c r="R712" i="3"/>
  <c r="AB712" i="3"/>
  <c r="AA713" i="3"/>
  <c r="X714" i="3"/>
  <c r="U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AE802" i="3" s="1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P843" i="3"/>
  <c r="X843" i="3"/>
  <c r="S844" i="3"/>
  <c r="AA844" i="3"/>
  <c r="V845" i="3"/>
  <c r="S669" i="3"/>
  <c r="R674" i="3"/>
  <c r="T677" i="3"/>
  <c r="Z679" i="3"/>
  <c r="R682" i="3"/>
  <c r="AB683" i="3"/>
  <c r="T685" i="3"/>
  <c r="Q687" i="3"/>
  <c r="T688" i="3"/>
  <c r="W689" i="3"/>
  <c r="Z690" i="3"/>
  <c r="P692" i="3"/>
  <c r="S693" i="3"/>
  <c r="T694" i="3"/>
  <c r="R695" i="3"/>
  <c r="S696" i="3"/>
  <c r="T697" i="3"/>
  <c r="R698" i="3"/>
  <c r="S699" i="3"/>
  <c r="Q700" i="3"/>
  <c r="R701" i="3"/>
  <c r="S702" i="3"/>
  <c r="Q703" i="3"/>
  <c r="R704" i="3"/>
  <c r="P705" i="3"/>
  <c r="Q706" i="3"/>
  <c r="R707" i="3"/>
  <c r="P708" i="3"/>
  <c r="P709" i="3"/>
  <c r="Z709" i="3"/>
  <c r="W710" i="3"/>
  <c r="V711" i="3"/>
  <c r="S712" i="3"/>
  <c r="P713" i="3"/>
  <c r="AB713" i="3"/>
  <c r="Y714" i="3"/>
  <c r="V715" i="3"/>
  <c r="T716" i="3"/>
  <c r="AB716" i="3"/>
  <c r="W717" i="3"/>
  <c r="R718" i="3"/>
  <c r="Z718" i="3"/>
  <c r="U719" i="3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AE775" i="3" s="1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AA669" i="3"/>
  <c r="Z674" i="3"/>
  <c r="AA677" i="3"/>
  <c r="T680" i="3"/>
  <c r="S682" i="3"/>
  <c r="P684" i="3"/>
  <c r="Z685" i="3"/>
  <c r="R687" i="3"/>
  <c r="U688" i="3"/>
  <c r="X689" i="3"/>
  <c r="AA690" i="3"/>
  <c r="Q692" i="3"/>
  <c r="T693" i="3"/>
  <c r="U694" i="3"/>
  <c r="AE694" i="3" s="1"/>
  <c r="V695" i="3"/>
  <c r="T696" i="3"/>
  <c r="U697" i="3"/>
  <c r="S698" i="3"/>
  <c r="T699" i="3"/>
  <c r="U700" i="3"/>
  <c r="AE700" i="3" s="1"/>
  <c r="S701" i="3"/>
  <c r="T702" i="3"/>
  <c r="R703" i="3"/>
  <c r="S704" i="3"/>
  <c r="T705" i="3"/>
  <c r="R706" i="3"/>
  <c r="S707" i="3"/>
  <c r="Q708" i="3"/>
  <c r="Q709" i="3"/>
  <c r="AA709" i="3"/>
  <c r="Z710" i="3"/>
  <c r="W711" i="3"/>
  <c r="T712" i="3"/>
  <c r="S713" i="3"/>
  <c r="P714" i="3"/>
  <c r="Z714" i="3"/>
  <c r="Y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V670" i="3"/>
  <c r="U675" i="3"/>
  <c r="AE675" i="3" s="1"/>
  <c r="AB677" i="3"/>
  <c r="U680" i="3"/>
  <c r="Y682" i="3"/>
  <c r="Q684" i="3"/>
  <c r="AA685" i="3"/>
  <c r="W687" i="3"/>
  <c r="Z688" i="3"/>
  <c r="P690" i="3"/>
  <c r="S691" i="3"/>
  <c r="V692" i="3"/>
  <c r="X693" i="3"/>
  <c r="V694" i="3"/>
  <c r="W695" i="3"/>
  <c r="U696" i="3"/>
  <c r="V697" i="3"/>
  <c r="W698" i="3"/>
  <c r="U699" i="3"/>
  <c r="V700" i="3"/>
  <c r="T701" i="3"/>
  <c r="U702" i="3"/>
  <c r="AE702" i="3" s="1"/>
  <c r="V703" i="3"/>
  <c r="T704" i="3"/>
  <c r="U705" i="3"/>
  <c r="AE705" i="3" s="1"/>
  <c r="S706" i="3"/>
  <c r="T707" i="3"/>
  <c r="U708" i="3"/>
  <c r="R709" i="3"/>
  <c r="AB709" i="3"/>
  <c r="AA710" i="3"/>
  <c r="X711" i="3"/>
  <c r="U712" i="3"/>
  <c r="AE712" i="3" s="1"/>
  <c r="T713" i="3"/>
  <c r="Q714" i="3"/>
  <c r="AA714" i="3"/>
  <c r="Z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Q671" i="3"/>
  <c r="P676" i="3"/>
  <c r="V678" i="3"/>
  <c r="AB680" i="3"/>
  <c r="Z682" i="3"/>
  <c r="W684" i="3"/>
  <c r="AB685" i="3"/>
  <c r="X687" i="3"/>
  <c r="AA688" i="3"/>
  <c r="Q690" i="3"/>
  <c r="T691" i="3"/>
  <c r="W692" i="3"/>
  <c r="Y693" i="3"/>
  <c r="W694" i="3"/>
  <c r="X695" i="3"/>
  <c r="Y696" i="3"/>
  <c r="W697" i="3"/>
  <c r="X698" i="3"/>
  <c r="V699" i="3"/>
  <c r="W700" i="3"/>
  <c r="X701" i="3"/>
  <c r="V702" i="3"/>
  <c r="W703" i="3"/>
  <c r="U704" i="3"/>
  <c r="V705" i="3"/>
  <c r="W706" i="3"/>
  <c r="U707" i="3"/>
  <c r="V708" i="3"/>
  <c r="S709" i="3"/>
  <c r="R710" i="3"/>
  <c r="AB710" i="3"/>
  <c r="Y711" i="3"/>
  <c r="X712" i="3"/>
  <c r="U713" i="3"/>
  <c r="AE713" i="3" s="1"/>
  <c r="R714" i="3"/>
  <c r="Q715" i="3"/>
  <c r="AA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P799" i="3"/>
  <c r="X799" i="3"/>
  <c r="S800" i="3"/>
  <c r="AA800" i="3"/>
  <c r="V801" i="3"/>
  <c r="Y671" i="3"/>
  <c r="Q676" i="3"/>
  <c r="W678" i="3"/>
  <c r="P681" i="3"/>
  <c r="AA682" i="3"/>
  <c r="X684" i="3"/>
  <c r="U686" i="3"/>
  <c r="Y687" i="3"/>
  <c r="AB688" i="3"/>
  <c r="R690" i="3"/>
  <c r="U691" i="3"/>
  <c r="X692" i="3"/>
  <c r="Z693" i="3"/>
  <c r="AA694" i="3"/>
  <c r="Y695" i="3"/>
  <c r="Z696" i="3"/>
  <c r="X697" i="3"/>
  <c r="Y698" i="3"/>
  <c r="Z699" i="3"/>
  <c r="X700" i="3"/>
  <c r="Y701" i="3"/>
  <c r="W702" i="3"/>
  <c r="X703" i="3"/>
  <c r="Y704" i="3"/>
  <c r="W705" i="3"/>
  <c r="X706" i="3"/>
  <c r="V707" i="3"/>
  <c r="W708" i="3"/>
  <c r="T709" i="3"/>
  <c r="S710" i="3"/>
  <c r="P711" i="3"/>
  <c r="Z711" i="3"/>
  <c r="Y712" i="3"/>
  <c r="V713" i="3"/>
  <c r="S714" i="3"/>
  <c r="R715" i="3"/>
  <c r="AB715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W793" i="3"/>
  <c r="R794" i="3"/>
  <c r="Z794" i="3"/>
  <c r="U795" i="3"/>
  <c r="AE795" i="3" s="1"/>
  <c r="P796" i="3"/>
  <c r="X796" i="3"/>
  <c r="S797" i="3"/>
  <c r="AA797" i="3"/>
  <c r="T672" i="3"/>
  <c r="X676" i="3"/>
  <c r="Q679" i="3"/>
  <c r="W681" i="3"/>
  <c r="T683" i="3"/>
  <c r="Y684" i="3"/>
  <c r="V686" i="3"/>
  <c r="Z687" i="3"/>
  <c r="P689" i="3"/>
  <c r="S690" i="3"/>
  <c r="V691" i="3"/>
  <c r="Y692" i="3"/>
  <c r="AA693" i="3"/>
  <c r="AB694" i="3"/>
  <c r="Z695" i="3"/>
  <c r="AA696" i="3"/>
  <c r="AB697" i="3"/>
  <c r="Z698" i="3"/>
  <c r="AA699" i="3"/>
  <c r="Y700" i="3"/>
  <c r="Z701" i="3"/>
  <c r="AA702" i="3"/>
  <c r="Y703" i="3"/>
  <c r="Z704" i="3"/>
  <c r="X705" i="3"/>
  <c r="Y706" i="3"/>
  <c r="Z707" i="3"/>
  <c r="X708" i="3"/>
  <c r="W709" i="3"/>
  <c r="T710" i="3"/>
  <c r="Q711" i="3"/>
  <c r="P712" i="3"/>
  <c r="Z712" i="3"/>
  <c r="W713" i="3"/>
  <c r="V714" i="3"/>
  <c r="S715" i="3"/>
  <c r="P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AB672" i="3"/>
  <c r="Y676" i="3"/>
  <c r="R679" i="3"/>
  <c r="X681" i="3"/>
  <c r="U683" i="3"/>
  <c r="R685" i="3"/>
  <c r="W686" i="3"/>
  <c r="R688" i="3"/>
  <c r="U689" i="3"/>
  <c r="X690" i="3"/>
  <c r="AA691" i="3"/>
  <c r="Q693" i="3"/>
  <c r="AB693" i="3"/>
  <c r="P695" i="3"/>
  <c r="Q696" i="3"/>
  <c r="AB696" i="3"/>
  <c r="P698" i="3"/>
  <c r="AA698" i="3"/>
  <c r="AB699" i="3"/>
  <c r="P701" i="3"/>
  <c r="AA701" i="3"/>
  <c r="AB702" i="3"/>
  <c r="Z703" i="3"/>
  <c r="AA704" i="3"/>
  <c r="AB705" i="3"/>
  <c r="Z706" i="3"/>
  <c r="AA707" i="3"/>
  <c r="Y708" i="3"/>
  <c r="X709" i="3"/>
  <c r="U710" i="3"/>
  <c r="AE710" i="3" s="1"/>
  <c r="R711" i="3"/>
  <c r="Q712" i="3"/>
  <c r="AA712" i="3"/>
  <c r="X713" i="3"/>
  <c r="W714" i="3"/>
  <c r="T715" i="3"/>
  <c r="Q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P790" i="3"/>
  <c r="X790" i="3"/>
  <c r="S791" i="3"/>
  <c r="AA791" i="3"/>
  <c r="V792" i="3"/>
  <c r="Q793" i="3"/>
  <c r="R783" i="3"/>
  <c r="Q788" i="3"/>
  <c r="P793" i="3"/>
  <c r="W795" i="3"/>
  <c r="P798" i="3"/>
  <c r="Z799" i="3"/>
  <c r="W801" i="3"/>
  <c r="Z802" i="3"/>
  <c r="P804" i="3"/>
  <c r="S805" i="3"/>
  <c r="V806" i="3"/>
  <c r="Y807" i="3"/>
  <c r="AB808" i="3"/>
  <c r="R810" i="3"/>
  <c r="U811" i="3"/>
  <c r="X812" i="3"/>
  <c r="AA813" i="3"/>
  <c r="Q815" i="3"/>
  <c r="T816" i="3"/>
  <c r="W817" i="3"/>
  <c r="Z818" i="3"/>
  <c r="P820" i="3"/>
  <c r="S821" i="3"/>
  <c r="T822" i="3"/>
  <c r="R823" i="3"/>
  <c r="S824" i="3"/>
  <c r="Q825" i="3"/>
  <c r="R826" i="3"/>
  <c r="S827" i="3"/>
  <c r="Q828" i="3"/>
  <c r="Q829" i="3"/>
  <c r="AA829" i="3"/>
  <c r="X830" i="3"/>
  <c r="W831" i="3"/>
  <c r="T832" i="3"/>
  <c r="Q833" i="3"/>
  <c r="P834" i="3"/>
  <c r="Z834" i="3"/>
  <c r="W835" i="3"/>
  <c r="V836" i="3"/>
  <c r="S837" i="3"/>
  <c r="P838" i="3"/>
  <c r="AB838" i="3"/>
  <c r="Y839" i="3"/>
  <c r="V840" i="3"/>
  <c r="U841" i="3"/>
  <c r="R842" i="3"/>
  <c r="AB842" i="3"/>
  <c r="Z843" i="3"/>
  <c r="V844" i="3"/>
  <c r="R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P924" i="3"/>
  <c r="X924" i="3"/>
  <c r="S925" i="3"/>
  <c r="AA925" i="3"/>
  <c r="V926" i="3"/>
  <c r="Q927" i="3"/>
  <c r="Y927" i="3"/>
  <c r="T928" i="3"/>
  <c r="AB928" i="3"/>
  <c r="W929" i="3"/>
  <c r="R930" i="3"/>
  <c r="Z930" i="3"/>
  <c r="U931" i="3"/>
  <c r="P932" i="3"/>
  <c r="X932" i="3"/>
  <c r="S933" i="3"/>
  <c r="AA933" i="3"/>
  <c r="V934" i="3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P972" i="3"/>
  <c r="X972" i="3"/>
  <c r="S973" i="3"/>
  <c r="AA973" i="3"/>
  <c r="V974" i="3"/>
  <c r="Q975" i="3"/>
  <c r="Y975" i="3"/>
  <c r="T976" i="3"/>
  <c r="AB976" i="3"/>
  <c r="W977" i="3"/>
  <c r="Z783" i="3"/>
  <c r="Y788" i="3"/>
  <c r="X793" i="3"/>
  <c r="Q796" i="3"/>
  <c r="V798" i="3"/>
  <c r="AA799" i="3"/>
  <c r="X801" i="3"/>
  <c r="AA802" i="3"/>
  <c r="Q804" i="3"/>
  <c r="T805" i="3"/>
  <c r="W806" i="3"/>
  <c r="Z807" i="3"/>
  <c r="P809" i="3"/>
  <c r="S810" i="3"/>
  <c r="V811" i="3"/>
  <c r="Y812" i="3"/>
  <c r="AB813" i="3"/>
  <c r="R815" i="3"/>
  <c r="U816" i="3"/>
  <c r="AE816" i="3" s="1"/>
  <c r="X817" i="3"/>
  <c r="AA818" i="3"/>
  <c r="Q820" i="3"/>
  <c r="T821" i="3"/>
  <c r="U822" i="3"/>
  <c r="S823" i="3"/>
  <c r="T824" i="3"/>
  <c r="U825" i="3"/>
  <c r="AE825" i="3" s="1"/>
  <c r="S826" i="3"/>
  <c r="T827" i="3"/>
  <c r="R828" i="3"/>
  <c r="R829" i="3"/>
  <c r="AB829" i="3"/>
  <c r="AA830" i="3"/>
  <c r="X831" i="3"/>
  <c r="U832" i="3"/>
  <c r="AE832" i="3" s="1"/>
  <c r="T833" i="3"/>
  <c r="Q834" i="3"/>
  <c r="AA834" i="3"/>
  <c r="Z835" i="3"/>
  <c r="W836" i="3"/>
  <c r="T837" i="3"/>
  <c r="S838" i="3"/>
  <c r="P839" i="3"/>
  <c r="Z839" i="3"/>
  <c r="Y840" i="3"/>
  <c r="V841" i="3"/>
  <c r="S842" i="3"/>
  <c r="R843" i="3"/>
  <c r="AA843" i="3"/>
  <c r="W844" i="3"/>
  <c r="S845" i="3"/>
  <c r="AB845" i="3"/>
  <c r="W846" i="3"/>
  <c r="R847" i="3"/>
  <c r="Z847" i="3"/>
  <c r="U848" i="3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AE928" i="3" s="1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P961" i="3"/>
  <c r="X961" i="3"/>
  <c r="S962" i="3"/>
  <c r="AA962" i="3"/>
  <c r="V963" i="3"/>
  <c r="U784" i="3"/>
  <c r="T789" i="3"/>
  <c r="Y793" i="3"/>
  <c r="R796" i="3"/>
  <c r="W798" i="3"/>
  <c r="T800" i="3"/>
  <c r="Y801" i="3"/>
  <c r="AB802" i="3"/>
  <c r="R804" i="3"/>
  <c r="U805" i="3"/>
  <c r="X806" i="3"/>
  <c r="AA807" i="3"/>
  <c r="Q809" i="3"/>
  <c r="T810" i="3"/>
  <c r="W811" i="3"/>
  <c r="Z812" i="3"/>
  <c r="P814" i="3"/>
  <c r="S815" i="3"/>
  <c r="V816" i="3"/>
  <c r="Y817" i="3"/>
  <c r="AB818" i="3"/>
  <c r="R820" i="3"/>
  <c r="U821" i="3"/>
  <c r="AE821" i="3" s="1"/>
  <c r="V822" i="3"/>
  <c r="W823" i="3"/>
  <c r="U824" i="3"/>
  <c r="V825" i="3"/>
  <c r="T826" i="3"/>
  <c r="U827" i="3"/>
  <c r="V828" i="3"/>
  <c r="S829" i="3"/>
  <c r="P830" i="3"/>
  <c r="AB830" i="3"/>
  <c r="Y831" i="3"/>
  <c r="V832" i="3"/>
  <c r="U833" i="3"/>
  <c r="AE833" i="3" s="1"/>
  <c r="R834" i="3"/>
  <c r="AB834" i="3"/>
  <c r="AA835" i="3"/>
  <c r="X836" i="3"/>
  <c r="U837" i="3"/>
  <c r="T838" i="3"/>
  <c r="Q839" i="3"/>
  <c r="AA839" i="3"/>
  <c r="Z840" i="3"/>
  <c r="W841" i="3"/>
  <c r="T842" i="3"/>
  <c r="S843" i="3"/>
  <c r="AB843" i="3"/>
  <c r="X844" i="3"/>
  <c r="T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785" i="3"/>
  <c r="AB789" i="3"/>
  <c r="S794" i="3"/>
  <c r="Y796" i="3"/>
  <c r="X798" i="3"/>
  <c r="U800" i="3"/>
  <c r="Q802" i="3"/>
  <c r="T803" i="3"/>
  <c r="W804" i="3"/>
  <c r="Z805" i="3"/>
  <c r="P807" i="3"/>
  <c r="S808" i="3"/>
  <c r="V809" i="3"/>
  <c r="Y810" i="3"/>
  <c r="AB811" i="3"/>
  <c r="R813" i="3"/>
  <c r="U814" i="3"/>
  <c r="X815" i="3"/>
  <c r="AA816" i="3"/>
  <c r="Q818" i="3"/>
  <c r="T819" i="3"/>
  <c r="W820" i="3"/>
  <c r="Y821" i="3"/>
  <c r="W822" i="3"/>
  <c r="X823" i="3"/>
  <c r="V824" i="3"/>
  <c r="W825" i="3"/>
  <c r="X826" i="3"/>
  <c r="V827" i="3"/>
  <c r="W828" i="3"/>
  <c r="T829" i="3"/>
  <c r="S830" i="3"/>
  <c r="P831" i="3"/>
  <c r="Z831" i="3"/>
  <c r="Y832" i="3"/>
  <c r="V833" i="3"/>
  <c r="S834" i="3"/>
  <c r="R835" i="3"/>
  <c r="AB835" i="3"/>
  <c r="Y836" i="3"/>
  <c r="X837" i="3"/>
  <c r="U838" i="3"/>
  <c r="AE838" i="3" s="1"/>
  <c r="R839" i="3"/>
  <c r="Q840" i="3"/>
  <c r="AA840" i="3"/>
  <c r="X841" i="3"/>
  <c r="W842" i="3"/>
  <c r="T843" i="3"/>
  <c r="P844" i="3"/>
  <c r="Y844" i="3"/>
  <c r="U845" i="3"/>
  <c r="AE845" i="3" s="1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AE890" i="3" s="1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P939" i="3"/>
  <c r="X939" i="3"/>
  <c r="S940" i="3"/>
  <c r="AA940" i="3"/>
  <c r="V941" i="3"/>
  <c r="Q942" i="3"/>
  <c r="Y942" i="3"/>
  <c r="T943" i="3"/>
  <c r="X785" i="3"/>
  <c r="W790" i="3"/>
  <c r="T794" i="3"/>
  <c r="Z796" i="3"/>
  <c r="Q799" i="3"/>
  <c r="V800" i="3"/>
  <c r="R802" i="3"/>
  <c r="U803" i="3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X820" i="3"/>
  <c r="Z821" i="3"/>
  <c r="X822" i="3"/>
  <c r="Y823" i="3"/>
  <c r="Z824" i="3"/>
  <c r="X825" i="3"/>
  <c r="Y826" i="3"/>
  <c r="W827" i="3"/>
  <c r="X828" i="3"/>
  <c r="U829" i="3"/>
  <c r="T830" i="3"/>
  <c r="Q831" i="3"/>
  <c r="AA831" i="3"/>
  <c r="Z832" i="3"/>
  <c r="W833" i="3"/>
  <c r="T834" i="3"/>
  <c r="S835" i="3"/>
  <c r="P836" i="3"/>
  <c r="Z836" i="3"/>
  <c r="Y837" i="3"/>
  <c r="V838" i="3"/>
  <c r="S839" i="3"/>
  <c r="R840" i="3"/>
  <c r="AB840" i="3"/>
  <c r="Y841" i="3"/>
  <c r="X842" i="3"/>
  <c r="U843" i="3"/>
  <c r="AE843" i="3" s="1"/>
  <c r="Q844" i="3"/>
  <c r="Z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P920" i="3"/>
  <c r="X920" i="3"/>
  <c r="S921" i="3"/>
  <c r="AA921" i="3"/>
  <c r="S786" i="3"/>
  <c r="R791" i="3"/>
  <c r="AA794" i="3"/>
  <c r="T797" i="3"/>
  <c r="R799" i="3"/>
  <c r="AB800" i="3"/>
  <c r="S802" i="3"/>
  <c r="V803" i="3"/>
  <c r="Y804" i="3"/>
  <c r="AB805" i="3"/>
  <c r="R807" i="3"/>
  <c r="U808" i="3"/>
  <c r="X809" i="3"/>
  <c r="AA810" i="3"/>
  <c r="Q812" i="3"/>
  <c r="T813" i="3"/>
  <c r="W814" i="3"/>
  <c r="Z815" i="3"/>
  <c r="P817" i="3"/>
  <c r="S818" i="3"/>
  <c r="V819" i="3"/>
  <c r="Y820" i="3"/>
  <c r="AA821" i="3"/>
  <c r="AB822" i="3"/>
  <c r="Z823" i="3"/>
  <c r="AA824" i="3"/>
  <c r="Y825" i="3"/>
  <c r="Z826" i="3"/>
  <c r="AA827" i="3"/>
  <c r="Y828" i="3"/>
  <c r="X829" i="3"/>
  <c r="U830" i="3"/>
  <c r="R831" i="3"/>
  <c r="Q832" i="3"/>
  <c r="AA832" i="3"/>
  <c r="X833" i="3"/>
  <c r="W834" i="3"/>
  <c r="T835" i="3"/>
  <c r="Q836" i="3"/>
  <c r="P837" i="3"/>
  <c r="Z837" i="3"/>
  <c r="W838" i="3"/>
  <c r="V839" i="3"/>
  <c r="S840" i="3"/>
  <c r="P841" i="3"/>
  <c r="AB841" i="3"/>
  <c r="Y842" i="3"/>
  <c r="V843" i="3"/>
  <c r="R844" i="3"/>
  <c r="AB844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P901" i="3"/>
  <c r="X901" i="3"/>
  <c r="S902" i="3"/>
  <c r="AA902" i="3"/>
  <c r="V903" i="3"/>
  <c r="Q904" i="3"/>
  <c r="Y904" i="3"/>
  <c r="T905" i="3"/>
  <c r="AB905" i="3"/>
  <c r="W906" i="3"/>
  <c r="R907" i="3"/>
  <c r="Z907" i="3"/>
  <c r="U908" i="3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P917" i="3"/>
  <c r="X917" i="3"/>
  <c r="S918" i="3"/>
  <c r="AA918" i="3"/>
  <c r="AA786" i="3"/>
  <c r="Z791" i="3"/>
  <c r="AB794" i="3"/>
  <c r="U797" i="3"/>
  <c r="S799" i="3"/>
  <c r="P801" i="3"/>
  <c r="T802" i="3"/>
  <c r="W803" i="3"/>
  <c r="Z804" i="3"/>
  <c r="P806" i="3"/>
  <c r="S807" i="3"/>
  <c r="V808" i="3"/>
  <c r="Y809" i="3"/>
  <c r="AB810" i="3"/>
  <c r="R812" i="3"/>
  <c r="U813" i="3"/>
  <c r="AE813" i="3" s="1"/>
  <c r="X814" i="3"/>
  <c r="AA815" i="3"/>
  <c r="Q817" i="3"/>
  <c r="T818" i="3"/>
  <c r="W819" i="3"/>
  <c r="Z820" i="3"/>
  <c r="AB821" i="3"/>
  <c r="P823" i="3"/>
  <c r="AA823" i="3"/>
  <c r="AB824" i="3"/>
  <c r="P826" i="3"/>
  <c r="AA826" i="3"/>
  <c r="AB827" i="3"/>
  <c r="Z828" i="3"/>
  <c r="Y829" i="3"/>
  <c r="V830" i="3"/>
  <c r="S831" i="3"/>
  <c r="R832" i="3"/>
  <c r="AB832" i="3"/>
  <c r="Y833" i="3"/>
  <c r="X834" i="3"/>
  <c r="U835" i="3"/>
  <c r="R836" i="3"/>
  <c r="Q837" i="3"/>
  <c r="AA837" i="3"/>
  <c r="X838" i="3"/>
  <c r="W839" i="3"/>
  <c r="T840" i="3"/>
  <c r="Q841" i="3"/>
  <c r="P842" i="3"/>
  <c r="Z842" i="3"/>
  <c r="W843" i="3"/>
  <c r="T844" i="3"/>
  <c r="P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V787" i="3"/>
  <c r="U792" i="3"/>
  <c r="V795" i="3"/>
  <c r="AB797" i="3"/>
  <c r="Y799" i="3"/>
  <c r="Q801" i="3"/>
  <c r="Y802" i="3"/>
  <c r="AB803" i="3"/>
  <c r="R805" i="3"/>
  <c r="U806" i="3"/>
  <c r="X807" i="3"/>
  <c r="AA808" i="3"/>
  <c r="Q810" i="3"/>
  <c r="T811" i="3"/>
  <c r="W812" i="3"/>
  <c r="Z813" i="3"/>
  <c r="P815" i="3"/>
  <c r="S816" i="3"/>
  <c r="V817" i="3"/>
  <c r="Y818" i="3"/>
  <c r="AB819" i="3"/>
  <c r="R821" i="3"/>
  <c r="P822" i="3"/>
  <c r="Q823" i="3"/>
  <c r="R824" i="3"/>
  <c r="P825" i="3"/>
  <c r="Q826" i="3"/>
  <c r="AB826" i="3"/>
  <c r="P828" i="3"/>
  <c r="P829" i="3"/>
  <c r="Z829" i="3"/>
  <c r="W830" i="3"/>
  <c r="V831" i="3"/>
  <c r="S832" i="3"/>
  <c r="P833" i="3"/>
  <c r="AB833" i="3"/>
  <c r="Y834" i="3"/>
  <c r="V835" i="3"/>
  <c r="U836" i="3"/>
  <c r="R837" i="3"/>
  <c r="AB837" i="3"/>
  <c r="AA838" i="3"/>
  <c r="X839" i="3"/>
  <c r="U840" i="3"/>
  <c r="T841" i="3"/>
  <c r="Q842" i="3"/>
  <c r="AA842" i="3"/>
  <c r="Y843" i="3"/>
  <c r="U844" i="3"/>
  <c r="AE844" i="3" s="1"/>
  <c r="Q845" i="3"/>
  <c r="Z845" i="3"/>
  <c r="U846" i="3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AA883" i="3"/>
  <c r="Z888" i="3"/>
  <c r="Y893" i="3"/>
  <c r="X898" i="3"/>
  <c r="W903" i="3"/>
  <c r="V908" i="3"/>
  <c r="U913" i="3"/>
  <c r="AE913" i="3" s="1"/>
  <c r="T918" i="3"/>
  <c r="Y920" i="3"/>
  <c r="Q922" i="3"/>
  <c r="T923" i="3"/>
  <c r="W924" i="3"/>
  <c r="Z925" i="3"/>
  <c r="P927" i="3"/>
  <c r="S928" i="3"/>
  <c r="V929" i="3"/>
  <c r="Y930" i="3"/>
  <c r="AB931" i="3"/>
  <c r="R933" i="3"/>
  <c r="U934" i="3"/>
  <c r="X935" i="3"/>
  <c r="AA936" i="3"/>
  <c r="Q938" i="3"/>
  <c r="T939" i="3"/>
  <c r="W940" i="3"/>
  <c r="Z941" i="3"/>
  <c r="P943" i="3"/>
  <c r="R944" i="3"/>
  <c r="S945" i="3"/>
  <c r="Q946" i="3"/>
  <c r="R947" i="3"/>
  <c r="S948" i="3"/>
  <c r="Q949" i="3"/>
  <c r="Q950" i="3"/>
  <c r="AA950" i="3"/>
  <c r="X951" i="3"/>
  <c r="W952" i="3"/>
  <c r="T953" i="3"/>
  <c r="Q954" i="3"/>
  <c r="P955" i="3"/>
  <c r="Z955" i="3"/>
  <c r="W956" i="3"/>
  <c r="V957" i="3"/>
  <c r="S958" i="3"/>
  <c r="P959" i="3"/>
  <c r="AB959" i="3"/>
  <c r="Y960" i="3"/>
  <c r="V961" i="3"/>
  <c r="U962" i="3"/>
  <c r="R963" i="3"/>
  <c r="AB963" i="3"/>
  <c r="Y964" i="3"/>
  <c r="U965" i="3"/>
  <c r="Q966" i="3"/>
  <c r="Z966" i="3"/>
  <c r="V967" i="3"/>
  <c r="R968" i="3"/>
  <c r="AA968" i="3"/>
  <c r="X969" i="3"/>
  <c r="T970" i="3"/>
  <c r="P971" i="3"/>
  <c r="Y971" i="3"/>
  <c r="U972" i="3"/>
  <c r="AE972" i="3" s="1"/>
  <c r="Q973" i="3"/>
  <c r="Z973" i="3"/>
  <c r="W974" i="3"/>
  <c r="S975" i="3"/>
  <c r="AB975" i="3"/>
  <c r="X976" i="3"/>
  <c r="T977" i="3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P994" i="3"/>
  <c r="X994" i="3"/>
  <c r="S995" i="3"/>
  <c r="AA995" i="3"/>
  <c r="V996" i="3"/>
  <c r="Q997" i="3"/>
  <c r="Y997" i="3"/>
  <c r="T998" i="3"/>
  <c r="AB998" i="3"/>
  <c r="W999" i="3"/>
  <c r="V884" i="3"/>
  <c r="U889" i="3"/>
  <c r="T894" i="3"/>
  <c r="S899" i="3"/>
  <c r="R904" i="3"/>
  <c r="Q909" i="3"/>
  <c r="P914" i="3"/>
  <c r="AB918" i="3"/>
  <c r="Z920" i="3"/>
  <c r="V922" i="3"/>
  <c r="Y923" i="3"/>
  <c r="AB924" i="3"/>
  <c r="R926" i="3"/>
  <c r="U927" i="3"/>
  <c r="X928" i="3"/>
  <c r="AA929" i="3"/>
  <c r="Q931" i="3"/>
  <c r="T932" i="3"/>
  <c r="W933" i="3"/>
  <c r="Z934" i="3"/>
  <c r="P936" i="3"/>
  <c r="S937" i="3"/>
  <c r="V938" i="3"/>
  <c r="Y939" i="3"/>
  <c r="AB940" i="3"/>
  <c r="R942" i="3"/>
  <c r="U943" i="3"/>
  <c r="S944" i="3"/>
  <c r="T945" i="3"/>
  <c r="U946" i="3"/>
  <c r="S947" i="3"/>
  <c r="T948" i="3"/>
  <c r="R949" i="3"/>
  <c r="R950" i="3"/>
  <c r="AB950" i="3"/>
  <c r="AA951" i="3"/>
  <c r="X952" i="3"/>
  <c r="U953" i="3"/>
  <c r="T954" i="3"/>
  <c r="Q955" i="3"/>
  <c r="AA955" i="3"/>
  <c r="Z956" i="3"/>
  <c r="W957" i="3"/>
  <c r="T958" i="3"/>
  <c r="S959" i="3"/>
  <c r="P960" i="3"/>
  <c r="Z960" i="3"/>
  <c r="Y961" i="3"/>
  <c r="V962" i="3"/>
  <c r="S963" i="3"/>
  <c r="Q964" i="3"/>
  <c r="Z964" i="3"/>
  <c r="V965" i="3"/>
  <c r="R966" i="3"/>
  <c r="AA966" i="3"/>
  <c r="W967" i="3"/>
  <c r="S968" i="3"/>
  <c r="P969" i="3"/>
  <c r="Y969" i="3"/>
  <c r="U970" i="3"/>
  <c r="AE970" i="3" s="1"/>
  <c r="Q971" i="3"/>
  <c r="Z971" i="3"/>
  <c r="V972" i="3"/>
  <c r="R973" i="3"/>
  <c r="AB973" i="3"/>
  <c r="X974" i="3"/>
  <c r="T975" i="3"/>
  <c r="P976" i="3"/>
  <c r="Y976" i="3"/>
  <c r="U977" i="3"/>
  <c r="Q978" i="3"/>
  <c r="Y978" i="3"/>
  <c r="T979" i="3"/>
  <c r="AB979" i="3"/>
  <c r="W980" i="3"/>
  <c r="R981" i="3"/>
  <c r="Z981" i="3"/>
  <c r="U982" i="3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P999" i="3"/>
  <c r="X999" i="3"/>
  <c r="P990" i="3"/>
  <c r="V992" i="3"/>
  <c r="R996" i="3"/>
  <c r="P998" i="3"/>
  <c r="AA999" i="3"/>
  <c r="AB996" i="3"/>
  <c r="T993" i="3"/>
  <c r="X997" i="3"/>
  <c r="Q885" i="3"/>
  <c r="P890" i="3"/>
  <c r="AB894" i="3"/>
  <c r="AA899" i="3"/>
  <c r="Z904" i="3"/>
  <c r="Y909" i="3"/>
  <c r="X914" i="3"/>
  <c r="V919" i="3"/>
  <c r="AA920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W944" i="3"/>
  <c r="U945" i="3"/>
  <c r="V946" i="3"/>
  <c r="T947" i="3"/>
  <c r="U948" i="3"/>
  <c r="V949" i="3"/>
  <c r="S950" i="3"/>
  <c r="P951" i="3"/>
  <c r="AB951" i="3"/>
  <c r="Y952" i="3"/>
  <c r="V953" i="3"/>
  <c r="U954" i="3"/>
  <c r="AE954" i="3" s="1"/>
  <c r="R955" i="3"/>
  <c r="AB955" i="3"/>
  <c r="AA956" i="3"/>
  <c r="X957" i="3"/>
  <c r="U958" i="3"/>
  <c r="T959" i="3"/>
  <c r="Q960" i="3"/>
  <c r="AA960" i="3"/>
  <c r="Z961" i="3"/>
  <c r="W962" i="3"/>
  <c r="T963" i="3"/>
  <c r="R964" i="3"/>
  <c r="AA964" i="3"/>
  <c r="W965" i="3"/>
  <c r="S966" i="3"/>
  <c r="AB966" i="3"/>
  <c r="X967" i="3"/>
  <c r="U968" i="3"/>
  <c r="AE968" i="3" s="1"/>
  <c r="Q969" i="3"/>
  <c r="Z969" i="3"/>
  <c r="V970" i="3"/>
  <c r="R971" i="3"/>
  <c r="AA971" i="3"/>
  <c r="W972" i="3"/>
  <c r="T973" i="3"/>
  <c r="P974" i="3"/>
  <c r="Y974" i="3"/>
  <c r="U975" i="3"/>
  <c r="AE975" i="3" s="1"/>
  <c r="Q976" i="3"/>
  <c r="Z976" i="3"/>
  <c r="V977" i="3"/>
  <c r="R978" i="3"/>
  <c r="Z978" i="3"/>
  <c r="U979" i="3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X990" i="3"/>
  <c r="Y993" i="3"/>
  <c r="AB994" i="3"/>
  <c r="Z996" i="3"/>
  <c r="X998" i="3"/>
  <c r="T999" i="3"/>
  <c r="T996" i="3"/>
  <c r="V991" i="3"/>
  <c r="Z995" i="3"/>
  <c r="Y885" i="3"/>
  <c r="X890" i="3"/>
  <c r="W895" i="3"/>
  <c r="V900" i="3"/>
  <c r="U905" i="3"/>
  <c r="T910" i="3"/>
  <c r="S915" i="3"/>
  <c r="W919" i="3"/>
  <c r="T921" i="3"/>
  <c r="X922" i="3"/>
  <c r="AA923" i="3"/>
  <c r="Q925" i="3"/>
  <c r="T926" i="3"/>
  <c r="W927" i="3"/>
  <c r="Z928" i="3"/>
  <c r="P930" i="3"/>
  <c r="S931" i="3"/>
  <c r="V932" i="3"/>
  <c r="Y933" i="3"/>
  <c r="AB934" i="3"/>
  <c r="R936" i="3"/>
  <c r="U937" i="3"/>
  <c r="X938" i="3"/>
  <c r="AA939" i="3"/>
  <c r="Q941" i="3"/>
  <c r="T942" i="3"/>
  <c r="W943" i="3"/>
  <c r="X944" i="3"/>
  <c r="V945" i="3"/>
  <c r="W946" i="3"/>
  <c r="X947" i="3"/>
  <c r="V948" i="3"/>
  <c r="W949" i="3"/>
  <c r="T950" i="3"/>
  <c r="S951" i="3"/>
  <c r="P952" i="3"/>
  <c r="Z952" i="3"/>
  <c r="Y953" i="3"/>
  <c r="V954" i="3"/>
  <c r="S955" i="3"/>
  <c r="R956" i="3"/>
  <c r="AB956" i="3"/>
  <c r="Y957" i="3"/>
  <c r="X958" i="3"/>
  <c r="U959" i="3"/>
  <c r="R960" i="3"/>
  <c r="Q961" i="3"/>
  <c r="AA961" i="3"/>
  <c r="X962" i="3"/>
  <c r="W963" i="3"/>
  <c r="S964" i="3"/>
  <c r="AB964" i="3"/>
  <c r="X965" i="3"/>
  <c r="T966" i="3"/>
  <c r="P967" i="3"/>
  <c r="Z967" i="3"/>
  <c r="V968" i="3"/>
  <c r="R969" i="3"/>
  <c r="AA969" i="3"/>
  <c r="W970" i="3"/>
  <c r="S971" i="3"/>
  <c r="AB971" i="3"/>
  <c r="Y972" i="3"/>
  <c r="U973" i="3"/>
  <c r="AE973" i="3" s="1"/>
  <c r="Q974" i="3"/>
  <c r="Z974" i="3"/>
  <c r="V975" i="3"/>
  <c r="R976" i="3"/>
  <c r="AA976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P993" i="3"/>
  <c r="X993" i="3"/>
  <c r="S994" i="3"/>
  <c r="AA994" i="3"/>
  <c r="V995" i="3"/>
  <c r="Q996" i="3"/>
  <c r="Y996" i="3"/>
  <c r="T997" i="3"/>
  <c r="AB997" i="3"/>
  <c r="W998" i="3"/>
  <c r="R999" i="3"/>
  <c r="Z999" i="3"/>
  <c r="W995" i="3"/>
  <c r="AB999" i="3"/>
  <c r="R998" i="3"/>
  <c r="U999" i="3"/>
  <c r="AE999" i="3" s="1"/>
  <c r="Y992" i="3"/>
  <c r="S998" i="3"/>
  <c r="T886" i="3"/>
  <c r="S891" i="3"/>
  <c r="R896" i="3"/>
  <c r="Q901" i="3"/>
  <c r="P906" i="3"/>
  <c r="AB910" i="3"/>
  <c r="AA915" i="3"/>
  <c r="X919" i="3"/>
  <c r="U921" i="3"/>
  <c r="Y922" i="3"/>
  <c r="AB923" i="3"/>
  <c r="R925" i="3"/>
  <c r="U926" i="3"/>
  <c r="X927" i="3"/>
  <c r="AA928" i="3"/>
  <c r="Q930" i="3"/>
  <c r="T931" i="3"/>
  <c r="W932" i="3"/>
  <c r="Z933" i="3"/>
  <c r="P935" i="3"/>
  <c r="S936" i="3"/>
  <c r="V937" i="3"/>
  <c r="Y938" i="3"/>
  <c r="AB939" i="3"/>
  <c r="R941" i="3"/>
  <c r="U942" i="3"/>
  <c r="X943" i="3"/>
  <c r="Y944" i="3"/>
  <c r="Z945" i="3"/>
  <c r="X946" i="3"/>
  <c r="Y947" i="3"/>
  <c r="W948" i="3"/>
  <c r="X949" i="3"/>
  <c r="U950" i="3"/>
  <c r="T951" i="3"/>
  <c r="Q952" i="3"/>
  <c r="AA952" i="3"/>
  <c r="Z953" i="3"/>
  <c r="W954" i="3"/>
  <c r="T955" i="3"/>
  <c r="S956" i="3"/>
  <c r="P957" i="3"/>
  <c r="Z957" i="3"/>
  <c r="Y958" i="3"/>
  <c r="V959" i="3"/>
  <c r="S960" i="3"/>
  <c r="R961" i="3"/>
  <c r="AB961" i="3"/>
  <c r="Y962" i="3"/>
  <c r="X963" i="3"/>
  <c r="T964" i="3"/>
  <c r="P965" i="3"/>
  <c r="Y965" i="3"/>
  <c r="U966" i="3"/>
  <c r="AE966" i="3" s="1"/>
  <c r="R967" i="3"/>
  <c r="AA967" i="3"/>
  <c r="W968" i="3"/>
  <c r="S969" i="3"/>
  <c r="AB969" i="3"/>
  <c r="X970" i="3"/>
  <c r="T971" i="3"/>
  <c r="Q972" i="3"/>
  <c r="Z972" i="3"/>
  <c r="V973" i="3"/>
  <c r="R974" i="3"/>
  <c r="AA974" i="3"/>
  <c r="W975" i="3"/>
  <c r="S976" i="3"/>
  <c r="P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S991" i="3"/>
  <c r="AA991" i="3"/>
  <c r="Q993" i="3"/>
  <c r="T994" i="3"/>
  <c r="U997" i="3"/>
  <c r="S999" i="3"/>
  <c r="Q992" i="3"/>
  <c r="P997" i="3"/>
  <c r="AB886" i="3"/>
  <c r="AA891" i="3"/>
  <c r="Z896" i="3"/>
  <c r="Y901" i="3"/>
  <c r="X906" i="3"/>
  <c r="W911" i="3"/>
  <c r="V916" i="3"/>
  <c r="Q920" i="3"/>
  <c r="V921" i="3"/>
  <c r="Q923" i="3"/>
  <c r="T924" i="3"/>
  <c r="W925" i="3"/>
  <c r="Z926" i="3"/>
  <c r="P928" i="3"/>
  <c r="S929" i="3"/>
  <c r="V930" i="3"/>
  <c r="Y931" i="3"/>
  <c r="AB932" i="3"/>
  <c r="R934" i="3"/>
  <c r="U935" i="3"/>
  <c r="X936" i="3"/>
  <c r="AA937" i="3"/>
  <c r="Q939" i="3"/>
  <c r="T940" i="3"/>
  <c r="W941" i="3"/>
  <c r="Z942" i="3"/>
  <c r="AB943" i="3"/>
  <c r="Z944" i="3"/>
  <c r="AA945" i="3"/>
  <c r="Y946" i="3"/>
  <c r="Z947" i="3"/>
  <c r="AA948" i="3"/>
  <c r="Y949" i="3"/>
  <c r="X950" i="3"/>
  <c r="U951" i="3"/>
  <c r="AE951" i="3" s="1"/>
  <c r="R952" i="3"/>
  <c r="Q953" i="3"/>
  <c r="AA953" i="3"/>
  <c r="X954" i="3"/>
  <c r="W955" i="3"/>
  <c r="T956" i="3"/>
  <c r="Q957" i="3"/>
  <c r="P958" i="3"/>
  <c r="Z958" i="3"/>
  <c r="W959" i="3"/>
  <c r="V960" i="3"/>
  <c r="S961" i="3"/>
  <c r="P962" i="3"/>
  <c r="AB962" i="3"/>
  <c r="Y963" i="3"/>
  <c r="U964" i="3"/>
  <c r="Q965" i="3"/>
  <c r="Z965" i="3"/>
  <c r="W966" i="3"/>
  <c r="S967" i="3"/>
  <c r="AB967" i="3"/>
  <c r="X968" i="3"/>
  <c r="T969" i="3"/>
  <c r="P970" i="3"/>
  <c r="Y970" i="3"/>
  <c r="V971" i="3"/>
  <c r="R972" i="3"/>
  <c r="AA972" i="3"/>
  <c r="W973" i="3"/>
  <c r="S974" i="3"/>
  <c r="AB974" i="3"/>
  <c r="X975" i="3"/>
  <c r="U976" i="3"/>
  <c r="Q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P995" i="3"/>
  <c r="X995" i="3"/>
  <c r="S996" i="3"/>
  <c r="AA996" i="3"/>
  <c r="V997" i="3"/>
  <c r="Q998" i="3"/>
  <c r="Y998" i="3"/>
  <c r="AB993" i="3"/>
  <c r="AA998" i="3"/>
  <c r="W887" i="3"/>
  <c r="V892" i="3"/>
  <c r="U897" i="3"/>
  <c r="T902" i="3"/>
  <c r="S907" i="3"/>
  <c r="R912" i="3"/>
  <c r="Q917" i="3"/>
  <c r="R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AE940" i="3" s="1"/>
  <c r="X941" i="3"/>
  <c r="AA942" i="3"/>
  <c r="P944" i="3"/>
  <c r="AA944" i="3"/>
  <c r="AB945" i="3"/>
  <c r="P947" i="3"/>
  <c r="AA947" i="3"/>
  <c r="AB948" i="3"/>
  <c r="Z949" i="3"/>
  <c r="Y950" i="3"/>
  <c r="V951" i="3"/>
  <c r="S952" i="3"/>
  <c r="R953" i="3"/>
  <c r="AB953" i="3"/>
  <c r="Y954" i="3"/>
  <c r="X955" i="3"/>
  <c r="U956" i="3"/>
  <c r="AE956" i="3" s="1"/>
  <c r="R957" i="3"/>
  <c r="Q958" i="3"/>
  <c r="AA958" i="3"/>
  <c r="X959" i="3"/>
  <c r="W960" i="3"/>
  <c r="T961" i="3"/>
  <c r="Q962" i="3"/>
  <c r="P963" i="3"/>
  <c r="Z963" i="3"/>
  <c r="V964" i="3"/>
  <c r="R965" i="3"/>
  <c r="AB965" i="3"/>
  <c r="X966" i="3"/>
  <c r="T967" i="3"/>
  <c r="P968" i="3"/>
  <c r="Y968" i="3"/>
  <c r="U969" i="3"/>
  <c r="Q970" i="3"/>
  <c r="AA970" i="3"/>
  <c r="W971" i="3"/>
  <c r="S972" i="3"/>
  <c r="AB972" i="3"/>
  <c r="X973" i="3"/>
  <c r="T974" i="3"/>
  <c r="P975" i="3"/>
  <c r="Z975" i="3"/>
  <c r="V976" i="3"/>
  <c r="R977" i="3"/>
  <c r="AA977" i="3"/>
  <c r="V978" i="3"/>
  <c r="Q979" i="3"/>
  <c r="Y979" i="3"/>
  <c r="T980" i="3"/>
  <c r="AB980" i="3"/>
  <c r="W981" i="3"/>
  <c r="R982" i="3"/>
  <c r="Z982" i="3"/>
  <c r="U983" i="3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W997" i="3"/>
  <c r="Z998" i="3"/>
  <c r="R995" i="3"/>
  <c r="V999" i="3"/>
  <c r="R888" i="3"/>
  <c r="Q893" i="3"/>
  <c r="P898" i="3"/>
  <c r="AB902" i="3"/>
  <c r="AA907" i="3"/>
  <c r="Z912" i="3"/>
  <c r="Y917" i="3"/>
  <c r="S920" i="3"/>
  <c r="P922" i="3"/>
  <c r="S923" i="3"/>
  <c r="V924" i="3"/>
  <c r="Y925" i="3"/>
  <c r="AB926" i="3"/>
  <c r="R928" i="3"/>
  <c r="U929" i="3"/>
  <c r="X930" i="3"/>
  <c r="AA931" i="3"/>
  <c r="Q933" i="3"/>
  <c r="T934" i="3"/>
  <c r="W935" i="3"/>
  <c r="Z936" i="3"/>
  <c r="P938" i="3"/>
  <c r="S939" i="3"/>
  <c r="V940" i="3"/>
  <c r="Y941" i="3"/>
  <c r="AB942" i="3"/>
  <c r="Q944" i="3"/>
  <c r="R945" i="3"/>
  <c r="P946" i="3"/>
  <c r="Q947" i="3"/>
  <c r="AB947" i="3"/>
  <c r="P949" i="3"/>
  <c r="P950" i="3"/>
  <c r="Z950" i="3"/>
  <c r="W951" i="3"/>
  <c r="V952" i="3"/>
  <c r="S953" i="3"/>
  <c r="P954" i="3"/>
  <c r="AB954" i="3"/>
  <c r="Y955" i="3"/>
  <c r="V956" i="3"/>
  <c r="U957" i="3"/>
  <c r="AE957" i="3" s="1"/>
  <c r="R958" i="3"/>
  <c r="AB958" i="3"/>
  <c r="AA959" i="3"/>
  <c r="X960" i="3"/>
  <c r="U961" i="3"/>
  <c r="T962" i="3"/>
  <c r="Q963" i="3"/>
  <c r="AA963" i="3"/>
  <c r="W964" i="3"/>
  <c r="T965" i="3"/>
  <c r="P966" i="3"/>
  <c r="Y966" i="3"/>
  <c r="U967" i="3"/>
  <c r="Q968" i="3"/>
  <c r="Z968" i="3"/>
  <c r="V969" i="3"/>
  <c r="S970" i="3"/>
  <c r="AB970" i="3"/>
  <c r="X971" i="3"/>
  <c r="T972" i="3"/>
  <c r="P973" i="3"/>
  <c r="Y973" i="3"/>
  <c r="U974" i="3"/>
  <c r="AE974" i="3" s="1"/>
  <c r="R975" i="3"/>
  <c r="AA975" i="3"/>
  <c r="W976" i="3"/>
  <c r="S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P989" i="3"/>
  <c r="X989" i="3"/>
  <c r="S990" i="3"/>
  <c r="AA990" i="3"/>
  <c r="W994" i="3"/>
  <c r="U996" i="3"/>
  <c r="AE996" i="3" s="1"/>
  <c r="AE15" i="3"/>
  <c r="AE17" i="3"/>
  <c r="AE25" i="3"/>
  <c r="AE49" i="3"/>
  <c r="AE14" i="3"/>
  <c r="AE22" i="3"/>
  <c r="AE46" i="3"/>
  <c r="AE54" i="3"/>
  <c r="AE11" i="3"/>
  <c r="AE19" i="3"/>
  <c r="AE43" i="3"/>
  <c r="O44" i="3" a="1"/>
  <c r="O44" i="3" s="1"/>
  <c r="AE51" i="3"/>
  <c r="AE16" i="3"/>
  <c r="AE32" i="3"/>
  <c r="AE40" i="3"/>
  <c r="AE48" i="3"/>
  <c r="AE10" i="3"/>
  <c r="AE18" i="3"/>
  <c r="AE34" i="3"/>
  <c r="AE50" i="3"/>
  <c r="AE69" i="3"/>
  <c r="AE77" i="3"/>
  <c r="AE93" i="3"/>
  <c r="AE21" i="3"/>
  <c r="AE47" i="3"/>
  <c r="AE60" i="3"/>
  <c r="AE76" i="3"/>
  <c r="AE57" i="3"/>
  <c r="AE65" i="3"/>
  <c r="AE58" i="3"/>
  <c r="AE105" i="3"/>
  <c r="AE113" i="3"/>
  <c r="AE121" i="3"/>
  <c r="AE129" i="3"/>
  <c r="AE145" i="3"/>
  <c r="AE161" i="3"/>
  <c r="AE29" i="3"/>
  <c r="AE62" i="3"/>
  <c r="AE90" i="3"/>
  <c r="AE102" i="3"/>
  <c r="AE110" i="3"/>
  <c r="AE118" i="3"/>
  <c r="AE126" i="3"/>
  <c r="AE142" i="3"/>
  <c r="AE67" i="3"/>
  <c r="AE96" i="3"/>
  <c r="AE107" i="3"/>
  <c r="AE115" i="3"/>
  <c r="AE82" i="3"/>
  <c r="AE91" i="3"/>
  <c r="AE120" i="3"/>
  <c r="AE128" i="3"/>
  <c r="AE55" i="3"/>
  <c r="AE66" i="3"/>
  <c r="AE74" i="3"/>
  <c r="AE75" i="3"/>
  <c r="AE92" i="3"/>
  <c r="AE101" i="3"/>
  <c r="AE109" i="3"/>
  <c r="AE83" i="3"/>
  <c r="AE84" i="3"/>
  <c r="AE88" i="3"/>
  <c r="AE95" i="3"/>
  <c r="AE119" i="3"/>
  <c r="AE116" i="3"/>
  <c r="AE172" i="3"/>
  <c r="AE188" i="3"/>
  <c r="AE204" i="3"/>
  <c r="AE64" i="3"/>
  <c r="AE177" i="3"/>
  <c r="AE185" i="3"/>
  <c r="AE193" i="3"/>
  <c r="AE100" i="3"/>
  <c r="AE157" i="3"/>
  <c r="AE164" i="3"/>
  <c r="AE174" i="3"/>
  <c r="AE182" i="3"/>
  <c r="AE190" i="3"/>
  <c r="AE89" i="3"/>
  <c r="AE162" i="3"/>
  <c r="AE171" i="3"/>
  <c r="AE179" i="3"/>
  <c r="AE151" i="3"/>
  <c r="AE168" i="3"/>
  <c r="AE133" i="3"/>
  <c r="AE136" i="3"/>
  <c r="AE158" i="3"/>
  <c r="AE165" i="3"/>
  <c r="AE173" i="3"/>
  <c r="AE108" i="3"/>
  <c r="AE140" i="3"/>
  <c r="AE144" i="3"/>
  <c r="AE148" i="3"/>
  <c r="AE175" i="3"/>
  <c r="AE186" i="3"/>
  <c r="AE217" i="3"/>
  <c r="AE233" i="3"/>
  <c r="AE241" i="3"/>
  <c r="AE273" i="3"/>
  <c r="AE281" i="3"/>
  <c r="AE214" i="3"/>
  <c r="AE222" i="3"/>
  <c r="AE230" i="3"/>
  <c r="AE238" i="3"/>
  <c r="AE262" i="3"/>
  <c r="AE278" i="3"/>
  <c r="AE135" i="3"/>
  <c r="AE192" i="3"/>
  <c r="AE195" i="3"/>
  <c r="AE227" i="3"/>
  <c r="AE235" i="3"/>
  <c r="AE267" i="3"/>
  <c r="AE275" i="3"/>
  <c r="AE191" i="3"/>
  <c r="AE194" i="3"/>
  <c r="AE197" i="3"/>
  <c r="AE200" i="3"/>
  <c r="AE216" i="3"/>
  <c r="AE248" i="3"/>
  <c r="AE264" i="3"/>
  <c r="AE199" i="3"/>
  <c r="AE202" i="3"/>
  <c r="AE205" i="3"/>
  <c r="AE221" i="3"/>
  <c r="AE229" i="3"/>
  <c r="AE245" i="3"/>
  <c r="AE138" i="3"/>
  <c r="AE210" i="3"/>
  <c r="AE218" i="3"/>
  <c r="AE226" i="3"/>
  <c r="AE234" i="3"/>
  <c r="AE250" i="3"/>
  <c r="AE258" i="3"/>
  <c r="AE122" i="3"/>
  <c r="AE215" i="3"/>
  <c r="AE231" i="3"/>
  <c r="AE239" i="3"/>
  <c r="AE132" i="3"/>
  <c r="AE170" i="3"/>
  <c r="AE208" i="3"/>
  <c r="AE220" i="3"/>
  <c r="AE228" i="3"/>
  <c r="AE236" i="3"/>
  <c r="AE244" i="3"/>
  <c r="AE289" i="3"/>
  <c r="AE297" i="3"/>
  <c r="AE305" i="3"/>
  <c r="AE313" i="3"/>
  <c r="AE345" i="3"/>
  <c r="AE353" i="3"/>
  <c r="AE361" i="3"/>
  <c r="AE369" i="3"/>
  <c r="AE385" i="3"/>
  <c r="AE255" i="3"/>
  <c r="AE260" i="3"/>
  <c r="AE274" i="3"/>
  <c r="AE287" i="3"/>
  <c r="AE294" i="3"/>
  <c r="AE310" i="3"/>
  <c r="AE318" i="3"/>
  <c r="AE334" i="3"/>
  <c r="AE342" i="3"/>
  <c r="AE350" i="3"/>
  <c r="AE358" i="3"/>
  <c r="AE366" i="3"/>
  <c r="AE276" i="3"/>
  <c r="AE299" i="3"/>
  <c r="AE307" i="3"/>
  <c r="AE331" i="3"/>
  <c r="AE339" i="3"/>
  <c r="AE263" i="3"/>
  <c r="AE277" i="3"/>
  <c r="AE296" i="3"/>
  <c r="AE304" i="3"/>
  <c r="AE320" i="3"/>
  <c r="AE328" i="3"/>
  <c r="AE352" i="3"/>
  <c r="AE268" i="3"/>
  <c r="AE301" i="3"/>
  <c r="AE309" i="3"/>
  <c r="AE261" i="3"/>
  <c r="AE286" i="3"/>
  <c r="AE298" i="3"/>
  <c r="AE322" i="3"/>
  <c r="AE311" i="3"/>
  <c r="AE292" i="3"/>
  <c r="AE300" i="3"/>
  <c r="AE308" i="3"/>
  <c r="AE316" i="3"/>
  <c r="AE324" i="3"/>
  <c r="AE332" i="3"/>
  <c r="AE351" i="3"/>
  <c r="AE363" i="3"/>
  <c r="AE386" i="3"/>
  <c r="AE399" i="3"/>
  <c r="AE407" i="3"/>
  <c r="AE423" i="3"/>
  <c r="AE463" i="3"/>
  <c r="AE340" i="3"/>
  <c r="AE368" i="3"/>
  <c r="AE372" i="3"/>
  <c r="AE396" i="3"/>
  <c r="AE412" i="3"/>
  <c r="AE420" i="3"/>
  <c r="AE436" i="3"/>
  <c r="AE460" i="3"/>
  <c r="AE333" i="3"/>
  <c r="AE349" i="3"/>
  <c r="AE409" i="3"/>
  <c r="AE433" i="3"/>
  <c r="AE327" i="3"/>
  <c r="AE338" i="3"/>
  <c r="AE364" i="3"/>
  <c r="AE375" i="3"/>
  <c r="AE406" i="3"/>
  <c r="AE414" i="3"/>
  <c r="AE438" i="3"/>
  <c r="AE365" i="3"/>
  <c r="AE373" i="3"/>
  <c r="AE380" i="3"/>
  <c r="AE387" i="3"/>
  <c r="AE403" i="3"/>
  <c r="AE411" i="3"/>
  <c r="AE348" i="3"/>
  <c r="AE354" i="3"/>
  <c r="AE357" i="3"/>
  <c r="AE370" i="3"/>
  <c r="AE378" i="3"/>
  <c r="AE400" i="3"/>
  <c r="AE408" i="3"/>
  <c r="AE416" i="3"/>
  <c r="AE341" i="3"/>
  <c r="AE359" i="3"/>
  <c r="AE371" i="3"/>
  <c r="AE376" i="3"/>
  <c r="AE389" i="3"/>
  <c r="AE413" i="3"/>
  <c r="AE374" i="3"/>
  <c r="AE381" i="3"/>
  <c r="AE402" i="3"/>
  <c r="AE434" i="3"/>
  <c r="AE445" i="3"/>
  <c r="AE448" i="3"/>
  <c r="AE451" i="3"/>
  <c r="AE462" i="3"/>
  <c r="AE486" i="3"/>
  <c r="AE494" i="3"/>
  <c r="AE502" i="3"/>
  <c r="AE518" i="3"/>
  <c r="AE534" i="3"/>
  <c r="AE542" i="3"/>
  <c r="AE566" i="3"/>
  <c r="AE574" i="3"/>
  <c r="AE450" i="3"/>
  <c r="AE453" i="3"/>
  <c r="AE468" i="3"/>
  <c r="AE475" i="3"/>
  <c r="AE491" i="3"/>
  <c r="AE499" i="3"/>
  <c r="AE507" i="3"/>
  <c r="AE515" i="3"/>
  <c r="AE523" i="3"/>
  <c r="AE555" i="3"/>
  <c r="AE432" i="3"/>
  <c r="AE454" i="3"/>
  <c r="AE473" i="3"/>
  <c r="AE480" i="3"/>
  <c r="AE496" i="3"/>
  <c r="AE504" i="3"/>
  <c r="AE520" i="3"/>
  <c r="AE528" i="3"/>
  <c r="AE536" i="3"/>
  <c r="AE552" i="3"/>
  <c r="AE437" i="3"/>
  <c r="AE459" i="3"/>
  <c r="AE466" i="3"/>
  <c r="AE478" i="3"/>
  <c r="AE493" i="3"/>
  <c r="AE501" i="3"/>
  <c r="AE517" i="3"/>
  <c r="AE541" i="3"/>
  <c r="AE426" i="3"/>
  <c r="AE442" i="3"/>
  <c r="AE464" i="3"/>
  <c r="AE476" i="3"/>
  <c r="AE482" i="3"/>
  <c r="AE490" i="3"/>
  <c r="AE498" i="3"/>
  <c r="AE506" i="3"/>
  <c r="AE435" i="3"/>
  <c r="AE469" i="3"/>
  <c r="AE503" i="3"/>
  <c r="AE511" i="3"/>
  <c r="AE519" i="3"/>
  <c r="AE440" i="3"/>
  <c r="AE456" i="3"/>
  <c r="AE474" i="3"/>
  <c r="AE492" i="3"/>
  <c r="AE500" i="3"/>
  <c r="AE419" i="3"/>
  <c r="AE429" i="3"/>
  <c r="AE446" i="3"/>
  <c r="AE457" i="3"/>
  <c r="AE461" i="3"/>
  <c r="AE465" i="3"/>
  <c r="AE472" i="3"/>
  <c r="AE489" i="3"/>
  <c r="AE497" i="3"/>
  <c r="AE513" i="3"/>
  <c r="AE521" i="3"/>
  <c r="AE573" i="3"/>
  <c r="AE596" i="3"/>
  <c r="AE612" i="3"/>
  <c r="AE620" i="3"/>
  <c r="AE636" i="3"/>
  <c r="AE644" i="3"/>
  <c r="AE668" i="3"/>
  <c r="AE676" i="3"/>
  <c r="AE684" i="3"/>
  <c r="AE527" i="3"/>
  <c r="AE530" i="3"/>
  <c r="AE571" i="3"/>
  <c r="AE585" i="3"/>
  <c r="AE609" i="3"/>
  <c r="AE617" i="3"/>
  <c r="AE633" i="3"/>
  <c r="AE641" i="3"/>
  <c r="AE649" i="3"/>
  <c r="AE657" i="3"/>
  <c r="AE673" i="3"/>
  <c r="AE681" i="3"/>
  <c r="AE535" i="3"/>
  <c r="AE564" i="3"/>
  <c r="AE576" i="3"/>
  <c r="AE583" i="3"/>
  <c r="AE606" i="3"/>
  <c r="AE614" i="3"/>
  <c r="AE630" i="3"/>
  <c r="AE638" i="3"/>
  <c r="AE646" i="3"/>
  <c r="AE662" i="3"/>
  <c r="AE670" i="3"/>
  <c r="AE540" i="3"/>
  <c r="AE546" i="3"/>
  <c r="AE549" i="3"/>
  <c r="AE569" i="3"/>
  <c r="AE587" i="3"/>
  <c r="AE611" i="3"/>
  <c r="AE627" i="3"/>
  <c r="AE635" i="3"/>
  <c r="AE659" i="3"/>
  <c r="AE667" i="3"/>
  <c r="AE529" i="3"/>
  <c r="AE545" i="3"/>
  <c r="AE548" i="3"/>
  <c r="AE551" i="3"/>
  <c r="AE562" i="3"/>
  <c r="AE579" i="3"/>
  <c r="AE592" i="3"/>
  <c r="AE600" i="3"/>
  <c r="AE608" i="3"/>
  <c r="AE616" i="3"/>
  <c r="AE624" i="3"/>
  <c r="AE538" i="3"/>
  <c r="AE553" i="3"/>
  <c r="AE565" i="3"/>
  <c r="AE572" i="3"/>
  <c r="AE584" i="3"/>
  <c r="AE613" i="3"/>
  <c r="AE621" i="3"/>
  <c r="AE629" i="3"/>
  <c r="AE563" i="3"/>
  <c r="AE570" i="3"/>
  <c r="AE577" i="3"/>
  <c r="AE586" i="3"/>
  <c r="AE594" i="3"/>
  <c r="AE602" i="3"/>
  <c r="AE610" i="3"/>
  <c r="AE532" i="3"/>
  <c r="AE559" i="3"/>
  <c r="AE568" i="3"/>
  <c r="AE591" i="3"/>
  <c r="AE599" i="3"/>
  <c r="AE615" i="3"/>
  <c r="AE623" i="3"/>
  <c r="AE639" i="3"/>
  <c r="AE647" i="3"/>
  <c r="AE688" i="3"/>
  <c r="AE729" i="3"/>
  <c r="AE737" i="3"/>
  <c r="AE745" i="3"/>
  <c r="AE761" i="3"/>
  <c r="AE769" i="3"/>
  <c r="AE793" i="3"/>
  <c r="AE801" i="3"/>
  <c r="AE809" i="3"/>
  <c r="AE679" i="3"/>
  <c r="AE686" i="3"/>
  <c r="AE693" i="3"/>
  <c r="AE734" i="3"/>
  <c r="AE742" i="3"/>
  <c r="AE750" i="3"/>
  <c r="AE766" i="3"/>
  <c r="AE774" i="3"/>
  <c r="AE798" i="3"/>
  <c r="AE661" i="3"/>
  <c r="AE680" i="3"/>
  <c r="AE691" i="3"/>
  <c r="AE707" i="3"/>
  <c r="AE715" i="3"/>
  <c r="AE739" i="3"/>
  <c r="AE747" i="3"/>
  <c r="AE755" i="3"/>
  <c r="AE771" i="3"/>
  <c r="AE779" i="3"/>
  <c r="AE650" i="3"/>
  <c r="AE689" i="3"/>
  <c r="AE696" i="3"/>
  <c r="AE704" i="3"/>
  <c r="AE728" i="3"/>
  <c r="AE736" i="3"/>
  <c r="AE744" i="3"/>
  <c r="AE760" i="3"/>
  <c r="AE768" i="3"/>
  <c r="AE784" i="3"/>
  <c r="AE642" i="3"/>
  <c r="AE725" i="3"/>
  <c r="AE733" i="3"/>
  <c r="AE648" i="3"/>
  <c r="AE671" i="3"/>
  <c r="AE674" i="3"/>
  <c r="AE687" i="3"/>
  <c r="AE699" i="3"/>
  <c r="AE706" i="3"/>
  <c r="AE714" i="3"/>
  <c r="AE722" i="3"/>
  <c r="AE730" i="3"/>
  <c r="AE746" i="3"/>
  <c r="AE754" i="3"/>
  <c r="AE640" i="3"/>
  <c r="AE653" i="3"/>
  <c r="AE669" i="3"/>
  <c r="AE682" i="3"/>
  <c r="AE685" i="3"/>
  <c r="AE697" i="3"/>
  <c r="AE703" i="3"/>
  <c r="AE711" i="3"/>
  <c r="AE719" i="3"/>
  <c r="AE727" i="3"/>
  <c r="AE735" i="3"/>
  <c r="AE751" i="3"/>
  <c r="AE759" i="3"/>
  <c r="AE658" i="3"/>
  <c r="AE683" i="3"/>
  <c r="AE708" i="3"/>
  <c r="AE724" i="3"/>
  <c r="AE732" i="3"/>
  <c r="AE756" i="3"/>
  <c r="AE764" i="3"/>
  <c r="AE778" i="3"/>
  <c r="AE794" i="3"/>
  <c r="AE819" i="3"/>
  <c r="AE830" i="3"/>
  <c r="AE846" i="3"/>
  <c r="AE862" i="3"/>
  <c r="AE870" i="3"/>
  <c r="AE886" i="3"/>
  <c r="AE894" i="3"/>
  <c r="AE910" i="3"/>
  <c r="AE926" i="3"/>
  <c r="AE934" i="3"/>
  <c r="AE942" i="3"/>
  <c r="AE757" i="3"/>
  <c r="AE783" i="3"/>
  <c r="AE799" i="3"/>
  <c r="AE827" i="3"/>
  <c r="AE835" i="3"/>
  <c r="AE859" i="3"/>
  <c r="AE867" i="3"/>
  <c r="AE891" i="3"/>
  <c r="AE899" i="3"/>
  <c r="AE907" i="3"/>
  <c r="AE923" i="3"/>
  <c r="AE772" i="3"/>
  <c r="AE800" i="3"/>
  <c r="AE810" i="3"/>
  <c r="AE822" i="3"/>
  <c r="AE824" i="3"/>
  <c r="AE840" i="3"/>
  <c r="AE848" i="3"/>
  <c r="AE856" i="3"/>
  <c r="AE880" i="3"/>
  <c r="AE888" i="3"/>
  <c r="AE896" i="3"/>
  <c r="AE912" i="3"/>
  <c r="AE765" i="3"/>
  <c r="AE805" i="3"/>
  <c r="AE808" i="3"/>
  <c r="AE815" i="3"/>
  <c r="AE829" i="3"/>
  <c r="AE837" i="3"/>
  <c r="AE861" i="3"/>
  <c r="AE869" i="3"/>
  <c r="AE893" i="3"/>
  <c r="AE901" i="3"/>
  <c r="AE909" i="3"/>
  <c r="AE770" i="3"/>
  <c r="AE796" i="3"/>
  <c r="AE820" i="3"/>
  <c r="AE842" i="3"/>
  <c r="AE866" i="3"/>
  <c r="AE874" i="3"/>
  <c r="AE882" i="3"/>
  <c r="AE786" i="3"/>
  <c r="AE789" i="3"/>
  <c r="AE792" i="3"/>
  <c r="AE797" i="3"/>
  <c r="AE811" i="3"/>
  <c r="AE818" i="3"/>
  <c r="AE855" i="3"/>
  <c r="AE863" i="3"/>
  <c r="AE871" i="3"/>
  <c r="AE887" i="3"/>
  <c r="AE895" i="3"/>
  <c r="AE788" i="3"/>
  <c r="AE791" i="3"/>
  <c r="AE823" i="3"/>
  <c r="AE828" i="3"/>
  <c r="AE836" i="3"/>
  <c r="AE852" i="3"/>
  <c r="AE868" i="3"/>
  <c r="AE876" i="3"/>
  <c r="AE773" i="3"/>
  <c r="AE803" i="3"/>
  <c r="AE814" i="3"/>
  <c r="AE841" i="3"/>
  <c r="AE857" i="3"/>
  <c r="AE865" i="3"/>
  <c r="AE889" i="3"/>
  <c r="AE935" i="3"/>
  <c r="AE952" i="3"/>
  <c r="AE960" i="3"/>
  <c r="AE976" i="3"/>
  <c r="AE984" i="3"/>
  <c r="AE992" i="3"/>
  <c r="AE908" i="3"/>
  <c r="AE921" i="3"/>
  <c r="AE933" i="3"/>
  <c r="AE965" i="3"/>
  <c r="AE989" i="3"/>
  <c r="AE997" i="3"/>
  <c r="AE897" i="3"/>
  <c r="AE931" i="3"/>
  <c r="AE938" i="3"/>
  <c r="AE945" i="3"/>
  <c r="AE962" i="3"/>
  <c r="AE986" i="3"/>
  <c r="AE994" i="3"/>
  <c r="AE906" i="3"/>
  <c r="AE943" i="3"/>
  <c r="AE959" i="3"/>
  <c r="AE967" i="3"/>
  <c r="AE983" i="3"/>
  <c r="AE988" i="3"/>
  <c r="AE998" i="3"/>
  <c r="AE929" i="3"/>
  <c r="AE948" i="3"/>
  <c r="AE964" i="3"/>
  <c r="AE900" i="3"/>
  <c r="AE927" i="3"/>
  <c r="AE946" i="3"/>
  <c r="AE953" i="3"/>
  <c r="AE961" i="3"/>
  <c r="AE969" i="3"/>
  <c r="AE977" i="3"/>
  <c r="AE993" i="3"/>
  <c r="AE905" i="3"/>
  <c r="AE916" i="3"/>
  <c r="AE919" i="3"/>
  <c r="AE920" i="3"/>
  <c r="AE944" i="3"/>
  <c r="AE950" i="3"/>
  <c r="AE958" i="3"/>
  <c r="AE982" i="3"/>
  <c r="AE990" i="3"/>
  <c r="AE892" i="3"/>
  <c r="AE898" i="3"/>
  <c r="AE925" i="3"/>
  <c r="AE930" i="3"/>
  <c r="AE937" i="3"/>
  <c r="AE955" i="3"/>
  <c r="AE963" i="3"/>
  <c r="AE971" i="3"/>
  <c r="AE979" i="3"/>
  <c r="AE987" i="3"/>
  <c r="AE52" i="3"/>
  <c r="AE26" i="3"/>
  <c r="AE24" i="3"/>
  <c r="AE8" i="3"/>
  <c r="AE53" i="3"/>
  <c r="AE13" i="3"/>
  <c r="AE6" i="3"/>
  <c r="AE30" i="3"/>
  <c r="AE23" i="3"/>
  <c r="AE68" i="3"/>
  <c r="AE86" i="3"/>
  <c r="AE63" i="3"/>
  <c r="AE127" i="3"/>
  <c r="AE137" i="3"/>
  <c r="AE134" i="3"/>
  <c r="AE150" i="3"/>
  <c r="AE103" i="3"/>
  <c r="AE123" i="3"/>
  <c r="AE114" i="3"/>
  <c r="AE153" i="3"/>
  <c r="AE167" i="3"/>
  <c r="AE206" i="3"/>
  <c r="AE201" i="3"/>
  <c r="AE232" i="3"/>
  <c r="AE223" i="3"/>
  <c r="AE288" i="3"/>
  <c r="AE207" i="3"/>
  <c r="AE282" i="3"/>
  <c r="AE306" i="3"/>
  <c r="AE249" i="3"/>
  <c r="AE405" i="3"/>
  <c r="AE410" i="3"/>
  <c r="AE367" i="3"/>
  <c r="AE417" i="3"/>
  <c r="AE315" i="3"/>
  <c r="AE547" i="3"/>
  <c r="AE512" i="3"/>
  <c r="AE560" i="3"/>
  <c r="AE582" i="3"/>
  <c r="AE806" i="3"/>
  <c r="AE672" i="3"/>
  <c r="AE36" i="3"/>
  <c r="AE33" i="3"/>
  <c r="AE27" i="3"/>
  <c r="AE31" i="3"/>
  <c r="AE73" i="3"/>
  <c r="AE78" i="3"/>
  <c r="AE155" i="3"/>
  <c r="AE112" i="3"/>
  <c r="AE319" i="3"/>
  <c r="AE285" i="3"/>
  <c r="AE9" i="3"/>
  <c r="AE97" i="3"/>
  <c r="AE45" i="3"/>
  <c r="AE184" i="3"/>
  <c r="AE181" i="3"/>
  <c r="AE212" i="3"/>
  <c r="AE7" i="3"/>
  <c r="AE20" i="3"/>
  <c r="W3" i="3" l="1"/>
  <c r="V3" i="3" s="1"/>
  <c r="D14" i="1" s="1"/>
  <c r="Q2" i="3"/>
  <c r="W2" i="3"/>
  <c r="V2" i="3" s="1"/>
  <c r="AG7" i="3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O6" i="3"/>
  <c r="Q3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G723" i="3"/>
  <c r="AG911" i="3"/>
  <c r="AH910" i="3"/>
  <c r="AI910" i="3" s="1"/>
  <c r="AD964" i="3"/>
  <c r="O964" i="3"/>
  <c r="N964" i="3"/>
  <c r="AG960" i="3"/>
  <c r="AH959" i="3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H318" i="3"/>
  <c r="AG319" i="3"/>
  <c r="AH444" i="3"/>
  <c r="AG445" i="3"/>
  <c r="N385" i="3"/>
  <c r="O385" i="3"/>
  <c r="AD385" i="3"/>
  <c r="AG381" i="3"/>
  <c r="AH380" i="3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D884" i="3"/>
  <c r="O884" i="3"/>
  <c r="N884" i="3"/>
  <c r="AH879" i="3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G977" i="3"/>
  <c r="AD917" i="3"/>
  <c r="N917" i="3"/>
  <c r="O917" i="3"/>
  <c r="AH912" i="3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N833" i="3"/>
  <c r="O833" i="3"/>
  <c r="AG829" i="3"/>
  <c r="AH828" i="3"/>
  <c r="AD769" i="3"/>
  <c r="N769" i="3"/>
  <c r="O769" i="3"/>
  <c r="AG765" i="3"/>
  <c r="AH764" i="3"/>
  <c r="AD705" i="3"/>
  <c r="O705" i="3"/>
  <c r="N705" i="3"/>
  <c r="AH700" i="3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D741" i="3"/>
  <c r="O741" i="3"/>
  <c r="N741" i="3"/>
  <c r="AH736" i="3"/>
  <c r="AG737" i="3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G423" i="3"/>
  <c r="O402" i="3"/>
  <c r="N402" i="3"/>
  <c r="AD402" i="3"/>
  <c r="AG398" i="3"/>
  <c r="AH397" i="3"/>
  <c r="AH226" i="3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678" i="3" l="1"/>
  <c r="AI461" i="3"/>
  <c r="AI226" i="3"/>
  <c r="AI189" i="3"/>
  <c r="AI380" i="3"/>
  <c r="AI722" i="3"/>
  <c r="AI336" i="3"/>
  <c r="AI878" i="3"/>
  <c r="AI345" i="3"/>
  <c r="AI369" i="3"/>
  <c r="AI943" i="3"/>
  <c r="AI737" i="3"/>
  <c r="AI69" i="3"/>
  <c r="AI800" i="3"/>
  <c r="AI879" i="3"/>
  <c r="AI532" i="3"/>
  <c r="AI787" i="3"/>
  <c r="AI679" i="3"/>
  <c r="AI64" i="3"/>
  <c r="AI60" i="3"/>
  <c r="AI422" i="3"/>
  <c r="U2" i="3"/>
  <c r="X3" i="3"/>
  <c r="AD3" i="3" s="1"/>
  <c r="S2" i="3"/>
  <c r="T2" i="3"/>
  <c r="F19" i="1" s="1"/>
  <c r="AI77" i="3"/>
  <c r="AI126" i="3"/>
  <c r="AI517" i="3"/>
  <c r="AI887" i="3"/>
  <c r="AI436" i="3"/>
  <c r="AI872" i="3"/>
  <c r="AI665" i="3"/>
  <c r="AI912" i="3"/>
  <c r="AI697" i="3"/>
  <c r="AI700" i="3"/>
  <c r="AI764" i="3"/>
  <c r="AI503" i="3"/>
  <c r="AI533" i="3"/>
  <c r="AI739" i="3"/>
  <c r="AI603" i="3"/>
  <c r="AI976" i="3"/>
  <c r="AI591" i="3"/>
  <c r="AI853" i="3"/>
  <c r="AI155" i="3"/>
  <c r="AI228" i="3"/>
  <c r="AI725" i="3"/>
  <c r="AI467" i="3"/>
  <c r="AI110" i="3"/>
  <c r="AI599" i="3"/>
  <c r="AI813" i="3"/>
  <c r="AI145" i="3"/>
  <c r="AI234" i="3"/>
  <c r="AI922" i="3"/>
  <c r="AI107" i="3"/>
  <c r="AI959" i="3"/>
  <c r="AI850" i="3"/>
  <c r="AI773" i="3"/>
  <c r="AI209" i="3"/>
  <c r="AI775" i="3"/>
  <c r="AI334" i="3"/>
  <c r="AI544" i="3"/>
  <c r="AI542" i="3"/>
  <c r="AI166" i="3"/>
  <c r="AI524" i="3"/>
  <c r="AI485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D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R218" i="1"/>
  <c r="R226" i="1"/>
  <c r="R234" i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R282" i="1"/>
  <c r="R290" i="1"/>
  <c r="R298" i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R147" i="1"/>
  <c r="R155" i="1"/>
  <c r="R163" i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R211" i="1"/>
  <c r="R219" i="1"/>
  <c r="S219" i="1" s="1"/>
  <c r="Z219" i="1" s="1"/>
  <c r="R227" i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R76" i="1"/>
  <c r="S76" i="1" s="1"/>
  <c r="Z76" i="1" s="1"/>
  <c r="R84" i="1"/>
  <c r="S84" i="1" s="1"/>
  <c r="Z84" i="1" s="1"/>
  <c r="R92" i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R268" i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R340" i="1"/>
  <c r="S340" i="1" s="1"/>
  <c r="Z340" i="1" s="1"/>
  <c r="R348" i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R293" i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2" i="3"/>
  <c r="AC3" i="3" s="1"/>
  <c r="S154" i="1"/>
  <c r="Z154" i="1" s="1"/>
  <c r="S90" i="1"/>
  <c r="Z90" i="1" s="1"/>
  <c r="S18" i="1"/>
  <c r="Z18" i="1" s="1"/>
  <c r="S157" i="1"/>
  <c r="Z157" i="1" s="1"/>
  <c r="S290" i="1"/>
  <c r="Z290" i="1" s="1"/>
  <c r="S106" i="1"/>
  <c r="Z106" i="1" s="1"/>
  <c r="S210" i="1"/>
  <c r="Z210" i="1" s="1"/>
  <c r="S42" i="1"/>
  <c r="Z42" i="1" s="1"/>
  <c r="S146" i="1"/>
  <c r="Z146" i="1" s="1"/>
  <c r="S156" i="1"/>
  <c r="Z156" i="1" s="1"/>
  <c r="S274" i="1"/>
  <c r="Z274" i="1" s="1"/>
  <c r="S174" i="1"/>
  <c r="Z174" i="1" s="1"/>
  <c r="S170" i="1"/>
  <c r="Z170" i="1" s="1"/>
  <c r="S348" i="1"/>
  <c r="Z348" i="1" s="1"/>
  <c r="S196" i="1"/>
  <c r="Z196" i="1" s="1"/>
  <c r="S285" i="1"/>
  <c r="Z285" i="1" s="1"/>
  <c r="S35" i="1"/>
  <c r="Z35" i="1" s="1"/>
  <c r="S40" i="1"/>
  <c r="Z40" i="1" s="1"/>
  <c r="S139" i="1"/>
  <c r="Z139" i="1" s="1"/>
  <c r="S93" i="1"/>
  <c r="Z93" i="1" s="1"/>
  <c r="S366" i="1"/>
  <c r="Z366" i="1" s="1"/>
  <c r="S68" i="1"/>
  <c r="Z68" i="1" s="1"/>
  <c r="S338" i="1"/>
  <c r="Z338" i="1" s="1"/>
  <c r="S203" i="1"/>
  <c r="Z203" i="1" s="1"/>
  <c r="S75" i="1"/>
  <c r="Z75" i="1" s="1"/>
  <c r="S260" i="1"/>
  <c r="Z260" i="1" s="1"/>
  <c r="S98" i="1"/>
  <c r="Z98" i="1" s="1"/>
  <c r="S92" i="1"/>
  <c r="Z92" i="1" s="1"/>
  <c r="S86" i="1"/>
  <c r="Z86" i="1" s="1"/>
  <c r="S22" i="1"/>
  <c r="Z22" i="1" s="1"/>
  <c r="S155" i="1"/>
  <c r="Z155" i="1" s="1"/>
  <c r="S388" i="1"/>
  <c r="Z388" i="1" s="1"/>
  <c r="S298" i="1"/>
  <c r="Z298" i="1" s="1"/>
  <c r="S26" i="1"/>
  <c r="Z26" i="1" s="1"/>
  <c r="S332" i="1"/>
  <c r="Z332" i="1" s="1"/>
  <c r="S218" i="1"/>
  <c r="Z218" i="1" s="1"/>
  <c r="S268" i="1"/>
  <c r="Z268" i="1" s="1"/>
  <c r="S222" i="1"/>
  <c r="Z222" i="1" s="1"/>
  <c r="S234" i="1"/>
  <c r="Z234" i="1" s="1"/>
  <c r="S293" i="1"/>
  <c r="Z293" i="1" s="1"/>
  <c r="S227" i="1"/>
  <c r="Z227" i="1" s="1"/>
  <c r="S163" i="1"/>
  <c r="Z163" i="1" s="1"/>
  <c r="S302" i="1"/>
  <c r="Z302" i="1" s="1"/>
  <c r="S282" i="1"/>
  <c r="Z282" i="1" s="1"/>
  <c r="S20" i="1"/>
  <c r="Z20" i="1" s="1"/>
  <c r="S355" i="1"/>
  <c r="Z355" i="1" s="1"/>
  <c r="S49" i="1"/>
  <c r="Z49" i="1" s="1"/>
  <c r="S211" i="1"/>
  <c r="Z211" i="1" s="1"/>
  <c r="S34" i="1"/>
  <c r="Z34" i="1" s="1"/>
  <c r="S147" i="1"/>
  <c r="Z147" i="1" s="1"/>
  <c r="S29" i="1"/>
  <c r="Z29" i="1" s="1"/>
  <c r="S226" i="1"/>
  <c r="Z226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F42" i="1"/>
  <c r="G42" i="1" s="1"/>
  <c r="AC2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B42" i="1"/>
  <c r="H42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B41" i="1"/>
  <c r="H41" i="1"/>
  <c r="G41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H43" i="1" l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<sst xmlns="http://schemas.openxmlformats.org/spreadsheetml/2006/main" count="450" uniqueCount="259">
  <si>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</si>
  <si>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</si>
  <si>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</si>
  <si>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</si>
  <si>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</si>
  <si>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</si>
  <si>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</si>
  <si>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</si>
  <si>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</si>
  <si>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</si>
  <si>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</si>
  <si>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</si>
  <si>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</si>
  <si>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</si>
  <si>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</si>
  <si>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</si>
  <si>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</si>
  <si>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</si>
  <si>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</si>
  <si>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</si>
  <si>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</si>
  <si>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</si>
  <si>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</si>
  <si>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</si>
  <si>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</si>
  <si>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</si>
  <si>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</si>
  <si>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</si>
  <si>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</si>
  <si>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</si>
  <si>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</si>
  <si>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</si>
  <si>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</si>
  <si>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</si>
  <si>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</si>
  <si>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</si>
  <si>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</si>
  <si>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</si>
  <si>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</si>
  <si>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</si>
  <si>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</si>
  <si>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</si>
  <si>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</si>
  <si>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</si>
  <si>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</si>
  <si>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</si>
  <si>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</si>
  <si>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</si>
  <si>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</si>
  <si>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</si>
  <si>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</si>
  <si>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</si>
  <si>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</si>
  <si>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</si>
  <si>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</si>
  <si>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</si>
  <si>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</si>
  <si>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</si>
  <si>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</si>
  <si>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</si>
  <si>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</si>
  <si>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</si>
  <si>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</si>
  <si>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</si>
  <si>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</si>
  <si>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</si>
  <si>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</si>
  <si>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</si>
  <si>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</si>
  <si>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</si>
  <si>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</si>
  <si>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</si>
  <si>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</si>
  <si>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</si>
  <si>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</si>
  <si>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</si>
  <si>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</si>
  <si>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</si>
  <si>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</si>
  <si>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</si>
  <si>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</si>
  <si>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</si>
  <si>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</si>
  <si>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</si>
  <si>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</si>
  <si>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</si>
  <si>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</si>
  <si>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</si>
  <si>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</si>
  <si>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</si>
  <si>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</si>
  <si>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</si>
  <si>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</si>
  <si>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</si>
  <si>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</si>
  <si>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</si>
  <si>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</si>
  <si>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</si>
  <si>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</si>
  <si>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</si>
  <si>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</si>
  <si>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</si>
  <si>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</si>
  <si>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</si>
  <si>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</si>
  <si>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</si>
  <si>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</si>
  <si>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</si>
  <si>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</si>
  <si>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</si>
  <si>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</si>
  <si>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</si>
  <si>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</si>
  <si>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</si>
  <si>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</si>
  <si>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</si>
  <si>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</si>
  <si>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</si>
  <si>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</si>
  <si>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</si>
  <si>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</si>
  <si>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</si>
  <si>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</si>
  <si>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</si>
  <si>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</si>
  <si>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</si>
  <si>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</si>
  <si>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</si>
  <si>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</si>
  <si>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</si>
  <si>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</si>
  <si>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</si>
  <si>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</si>
  <si>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</si>
  <si>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</si>
  <si>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</si>
  <si>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</si>
  <si>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</si>
  <si>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</si>
  <si>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</si>
  <si>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</si>
  <si>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</si>
  <si>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</si>
  <si>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</si>
  <si>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</si>
  <si>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</si>
  <si>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</si>
  <si>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</si>
  <si>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</si>
  <si>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</si>
  <si>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</si>
  <si>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</si>
  <si>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</si>
  <si>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</si>
  <si>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</si>
  <si>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</si>
  <si>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</si>
  <si>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</si>
  <si>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</si>
  <si>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</si>
  <si>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</si>
  <si>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</si>
  <si>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</si>
  <si>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</si>
  <si>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</si>
  <si>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</si>
  <si>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</si>
  <si>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</si>
  <si>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</si>
  <si>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</si>
  <si>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</si>
  <si>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</si>
  <si>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</si>
  <si>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</si>
  <si>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</si>
  <si>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</si>
  <si>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</si>
  <si>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</si>
  <si>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</si>
  <si>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</si>
  <si>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</si>
  <si>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</si>
  <si>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</si>
  <si>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</si>
  <si>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</si>
  <si>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</si>
  <si>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</si>
  <si>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</si>
  <si>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</si>
  <si>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</si>
  <si>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</si>
  <si>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</si>
  <si>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</si>
  <si>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</si>
  <si>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</si>
  <si>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</si>
  <si>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</si>
  <si>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</si>
  <si>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</si>
  <si>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</si>
  <si>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</si>
  <si>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</si>
  <si>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</si>
  <si>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</si>
  <si>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</si>
  <si>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</si>
  <si>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</si>
  <si>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</si>
  <si>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</si>
  <si>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</si>
  <si>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</si>
  <si>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</si>
  <si>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</si>
  <si>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</si>
  <si>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</si>
  <si>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</si>
  <si>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</si>
  <si>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</si>
  <si>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</si>
  <si>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</si>
  <si>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</si>
  <si>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</si>
  <si>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</si>
  <si>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</si>
  <si>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</si>
  <si>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</si>
  <si>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</si>
  <si>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</si>
  <si>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</si>
  <si>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</si>
  <si>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</si>
  <si>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</si>
  <si>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</si>
  <si>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Sedementary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</si>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</sst>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8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60.707273535258977</c:v>
                </c:pt>
                <c:pt idx="1">
                  <c:v>28.195636605953919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86.91825754871715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90.128634437916062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162.37582513229728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131.00926646367444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0" formatCode="General">
                  <c:v>1.9902135207094371</c:v>
                </c:pt>
                <c:pt idx="1">
                  <c:v>60.545614050640623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0">
                  <c:v>5.8345575863533057</c:v>
                </c:pt>
                <c:pt idx="1">
                  <c:v>177.49697110572419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10.707273535259048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238.04258515636482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7.8247711070627428</c:v>
                </c:pt>
                <c:pt idx="16">
                  <c:v>8.2088663356969178</c:v>
                </c:pt>
                <c:pt idx="17">
                  <c:v>8.6170707212190649</c:v>
                </c:pt>
                <c:pt idx="18">
                  <c:v>9.0315155590743537</c:v>
                </c:pt>
                <c:pt idx="19">
                  <c:v>9.4585437681493545</c:v>
                </c:pt>
                <c:pt idx="20">
                  <c:v>9.8890825188025495</c:v>
                </c:pt>
                <c:pt idx="21">
                  <c:v>10.367787561572158</c:v>
                </c:pt>
                <c:pt idx="22">
                  <c:v>10.860902156763839</c:v>
                </c:pt>
                <c:pt idx="23">
                  <c:v>11.337326075850424</c:v>
                </c:pt>
                <c:pt idx="24">
                  <c:v>11.816071347122127</c:v>
                </c:pt>
                <c:pt idx="25">
                  <c:v>12.277985404043744</c:v>
                </c:pt>
                <c:pt idx="26">
                  <c:v>12.779811451039546</c:v>
                </c:pt>
                <c:pt idx="27">
                  <c:v>13.322100751992012</c:v>
                </c:pt>
                <c:pt idx="28">
                  <c:v>13.892105504451957</c:v>
                </c:pt>
                <c:pt idx="29">
                  <c:v>14.4746921736626</c:v>
                </c:pt>
                <c:pt idx="30">
                  <c:v>15.119259336384676</c:v>
                </c:pt>
                <c:pt idx="31">
                  <c:v>15.769165794333738</c:v>
                </c:pt>
                <c:pt idx="32">
                  <c:v>16.390863966440136</c:v>
                </c:pt>
                <c:pt idx="33">
                  <c:v>17.049414620307548</c:v>
                </c:pt>
                <c:pt idx="34">
                  <c:v>17.740412851350648</c:v>
                </c:pt>
                <c:pt idx="35">
                  <c:v>18.44345709784233</c:v>
                </c:pt>
                <c:pt idx="36">
                  <c:v>19.175288465837884</c:v>
                </c:pt>
                <c:pt idx="37">
                  <c:v>19.893050755222802</c:v>
                </c:pt>
                <c:pt idx="38">
                  <c:v>20.714794236350944</c:v>
                </c:pt>
                <c:pt idx="39">
                  <c:v>21.567868821041472</c:v>
                </c:pt>
                <c:pt idx="40">
                  <c:v>22.411144460393519</c:v>
                </c:pt>
                <c:pt idx="41">
                  <c:v>23.306181754468057</c:v>
                </c:pt>
                <c:pt idx="42">
                  <c:v>24.296576659822524</c:v>
                </c:pt>
                <c:pt idx="43">
                  <c:v>25.297722866295068</c:v>
                </c:pt>
                <c:pt idx="44">
                  <c:v>26.302156990997815</c:v>
                </c:pt>
                <c:pt idx="45">
                  <c:v>27.409718208880864</c:v>
                </c:pt>
                <c:pt idx="46">
                  <c:v>28.505446569463018</c:v>
                </c:pt>
                <c:pt idx="47">
                  <c:v>29.619369080985884</c:v>
                </c:pt>
                <c:pt idx="48">
                  <c:v>30.757093599072196</c:v>
                </c:pt>
                <c:pt idx="49">
                  <c:v>31.780480555741565</c:v>
                </c:pt>
                <c:pt idx="50">
                  <c:v>32.83238341913642</c:v>
                </c:pt>
                <c:pt idx="51">
                  <c:v>34.030620543219975</c:v>
                </c:pt>
                <c:pt idx="52">
                  <c:v>35.273361119541043</c:v>
                </c:pt>
                <c:pt idx="53">
                  <c:v>36.602258199678097</c:v>
                </c:pt>
                <c:pt idx="54">
                  <c:v>37.943255384952856</c:v>
                </c:pt>
                <c:pt idx="55">
                  <c:v>39.265576461019876</c:v>
                </c:pt>
                <c:pt idx="56">
                  <c:v>40.64221166082541</c:v>
                </c:pt>
                <c:pt idx="57">
                  <c:v>42.208313771512906</c:v>
                </c:pt>
                <c:pt idx="58">
                  <c:v>43.785877167038663</c:v>
                </c:pt>
                <c:pt idx="59">
                  <c:v>45.337971740551701</c:v>
                </c:pt>
                <c:pt idx="60">
                  <c:v>46.996032838641312</c:v>
                </c:pt>
                <c:pt idx="61">
                  <c:v>48.619835949821642</c:v>
                </c:pt>
                <c:pt idx="62">
                  <c:v>50.306894491714004</c:v>
                </c:pt>
                <c:pt idx="63">
                  <c:v>52.10805603267756</c:v>
                </c:pt>
                <c:pt idx="64">
                  <c:v>53.879730240940091</c:v>
                </c:pt>
                <c:pt idx="65">
                  <c:v>55.612074567802253</c:v>
                </c:pt>
                <c:pt idx="66">
                  <c:v>57.296803449209989</c:v>
                </c:pt>
                <c:pt idx="67">
                  <c:v>59.070710846899978</c:v>
                </c:pt>
                <c:pt idx="68">
                  <c:v>60.86827102293627</c:v>
                </c:pt>
                <c:pt idx="69">
                  <c:v>62.68711536235044</c:v>
                </c:pt>
                <c:pt idx="70">
                  <c:v>64.31732522784813</c:v>
                </c:pt>
                <c:pt idx="71">
                  <c:v>66.075722067053718</c:v>
                </c:pt>
                <c:pt idx="72">
                  <c:v>67.9137743542218</c:v>
                </c:pt>
                <c:pt idx="73">
                  <c:v>69.755270813823316</c:v>
                </c:pt>
                <c:pt idx="74">
                  <c:v>71.709999167382733</c:v>
                </c:pt>
                <c:pt idx="75">
                  <c:v>73.596525393936204</c:v>
                </c:pt>
                <c:pt idx="76">
                  <c:v>75.469638787093572</c:v>
                </c:pt>
                <c:pt idx="77">
                  <c:v>77.476565406958528</c:v>
                </c:pt>
                <c:pt idx="78">
                  <c:v>79.306753662664192</c:v>
                </c:pt>
                <c:pt idx="79">
                  <c:v>81.180320599680158</c:v>
                </c:pt>
                <c:pt idx="80">
                  <c:v>83.144129569221391</c:v>
                </c:pt>
                <c:pt idx="81">
                  <c:v>85.141654153572219</c:v>
                </c:pt>
                <c:pt idx="82">
                  <c:v>87.154910962188481</c:v>
                </c:pt>
                <c:pt idx="83">
                  <c:v>89.422155569434054</c:v>
                </c:pt>
                <c:pt idx="84">
                  <c:v>91.676019509147878</c:v>
                </c:pt>
                <c:pt idx="85">
                  <c:v>93.943237247494551</c:v>
                </c:pt>
                <c:pt idx="86">
                  <c:v>96.227820880670947</c:v>
                </c:pt>
                <c:pt idx="87">
                  <c:v>98.355161108879315</c:v>
                </c:pt>
                <c:pt idx="88">
                  <c:v>100.49201981408488</c:v>
                </c:pt>
                <c:pt idx="89">
                  <c:v>102.98574132323054</c:v>
                </c:pt>
                <c:pt idx="90">
                  <c:v>105.51952904207521</c:v>
                </c:pt>
                <c:pt idx="91">
                  <c:v>108.31857422324742</c:v>
                </c:pt>
                <c:pt idx="92">
                  <c:v>110.83919222164054</c:v>
                </c:pt>
                <c:pt idx="93">
                  <c:v>113.3088328919177</c:v>
                </c:pt>
                <c:pt idx="94">
                  <c:v>115.53810366307087</c:v>
                </c:pt>
                <c:pt idx="95">
                  <c:v>118.0697262464719</c:v>
                </c:pt>
                <c:pt idx="96">
                  <c:v>120.66104476237918</c:v>
                </c:pt>
                <c:pt idx="97">
                  <c:v>123.30822912113612</c:v>
                </c:pt>
                <c:pt idx="98">
                  <c:v>126.08015629833109</c:v>
                </c:pt>
                <c:pt idx="99">
                  <c:v>128.87404383305983</c:v>
                </c:pt>
                <c:pt idx="100">
                  <c:v>131.54462583264893</c:v>
                </c:pt>
                <c:pt idx="101">
                  <c:v>133.95818921749549</c:v>
                </c:pt>
                <c:pt idx="102">
                  <c:v>136.40838204330845</c:v>
                </c:pt>
                <c:pt idx="103">
                  <c:v>139.24941127558222</c:v>
                </c:pt>
                <c:pt idx="104">
                  <c:v>141.88287933887236</c:v>
                </c:pt>
                <c:pt idx="105">
                  <c:v>144.43292122276736</c:v>
                </c:pt>
                <c:pt idx="106">
                  <c:v>146.9038771685594</c:v>
                </c:pt>
                <c:pt idx="107">
                  <c:v>149.41190969898818</c:v>
                </c:pt>
                <c:pt idx="108">
                  <c:v>151.90329465766976</c:v>
                </c:pt>
                <c:pt idx="109">
                  <c:v>154.35879841175779</c:v>
                </c:pt>
                <c:pt idx="110">
                  <c:v>156.91514476280838</c:v>
                </c:pt>
                <c:pt idx="111">
                  <c:v>159.31364786988973</c:v>
                </c:pt>
                <c:pt idx="112">
                  <c:v>161.90479313721053</c:v>
                </c:pt>
                <c:pt idx="113">
                  <c:v>164.44195564698114</c:v>
                </c:pt>
                <c:pt idx="114">
                  <c:v>167.2306004656848</c:v>
                </c:pt>
                <c:pt idx="115">
                  <c:v>169.95098542824377</c:v>
                </c:pt>
                <c:pt idx="116">
                  <c:v>172.84630958979625</c:v>
                </c:pt>
                <c:pt idx="117">
                  <c:v>175.41479271186853</c:v>
                </c:pt>
                <c:pt idx="118">
                  <c:v>177.88109535459628</c:v>
                </c:pt>
                <c:pt idx="119">
                  <c:v>180.38131171599423</c:v>
                </c:pt>
                <c:pt idx="120">
                  <c:v>182.82608783215952</c:v>
                </c:pt>
                <c:pt idx="121">
                  <c:v>185.38099987756735</c:v>
                </c:pt>
                <c:pt idx="122">
                  <c:v>187.85720055137233</c:v>
                </c:pt>
                <c:pt idx="123">
                  <c:v>190.28502962062205</c:v>
                </c:pt>
                <c:pt idx="124">
                  <c:v>193.00786547219107</c:v>
                </c:pt>
                <c:pt idx="125">
                  <c:v>195.73575291001424</c:v>
                </c:pt>
                <c:pt idx="126">
                  <c:v>198.69358942882064</c:v>
                </c:pt>
                <c:pt idx="127">
                  <c:v>201.42462672888874</c:v>
                </c:pt>
                <c:pt idx="128">
                  <c:v>204.20313549995313</c:v>
                </c:pt>
                <c:pt idx="129">
                  <c:v>207.14002277947782</c:v>
                </c:pt>
                <c:pt idx="130">
                  <c:v>210.18013387488659</c:v>
                </c:pt>
                <c:pt idx="131">
                  <c:v>213.27963635169243</c:v>
                </c:pt>
                <c:pt idx="132">
                  <c:v>216.19013491130036</c:v>
                </c:pt>
                <c:pt idx="133">
                  <c:v>219.08954468804191</c:v>
                </c:pt>
                <c:pt idx="134">
                  <c:v>221.83958274111595</c:v>
                </c:pt>
                <c:pt idx="135">
                  <c:v>224.53341944974764</c:v>
                </c:pt>
                <c:pt idx="136">
                  <c:v>227.3964199702599</c:v>
                </c:pt>
                <c:pt idx="137">
                  <c:v>230.14618102124746</c:v>
                </c:pt>
                <c:pt idx="138">
                  <c:v>232.90318441490268</c:v>
                </c:pt>
                <c:pt idx="139">
                  <c:v>235.39057977972351</c:v>
                </c:pt>
                <c:pt idx="140">
                  <c:v>238.04258515636482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68.196562403028807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94.179262729268459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60.707273535258977</c:v>
                </c:pt>
                <c:pt idx="2">
                  <c:v>70.663569774838805</c:v>
                </c:pt>
                <c:pt idx="3">
                  <c:v>80.163851406118113</c:v>
                </c:pt>
                <c:pt idx="4">
                  <c:v>87.473438248484584</c:v>
                </c:pt>
                <c:pt idx="5">
                  <c:v>93.935690214098415</c:v>
                </c:pt>
                <c:pt idx="6">
                  <c:v>99.805855460618659</c:v>
                </c:pt>
                <c:pt idx="7">
                  <c:v>105.01259903138816</c:v>
                </c:pt>
                <c:pt idx="8">
                  <c:v>109.74516834982498</c:v>
                </c:pt>
                <c:pt idx="9">
                  <c:v>114.10678691501434</c:v>
                </c:pt>
                <c:pt idx="10">
                  <c:v>118.1406333069328</c:v>
                </c:pt>
                <c:pt idx="11">
                  <c:v>121.84552966722653</c:v>
                </c:pt>
                <c:pt idx="12">
                  <c:v>125.47083627847996</c:v>
                </c:pt>
                <c:pt idx="13">
                  <c:v>128.93831846901435</c:v>
                </c:pt>
                <c:pt idx="14">
                  <c:v>132.12054825007021</c:v>
                </c:pt>
                <c:pt idx="15">
                  <c:v>134.69665760620771</c:v>
                </c:pt>
                <c:pt idx="16">
                  <c:v>136.78174976946914</c:v>
                </c:pt>
                <c:pt idx="17">
                  <c:v>138.6891077320843</c:v>
                </c:pt>
                <c:pt idx="18">
                  <c:v>140.32612465593033</c:v>
                </c:pt>
                <c:pt idx="19">
                  <c:v>141.739020924904</c:v>
                </c:pt>
                <c:pt idx="20">
                  <c:v>142.89797203021956</c:v>
                </c:pt>
                <c:pt idx="21">
                  <c:v>144.13238202848885</c:v>
                </c:pt>
                <c:pt idx="22">
                  <c:v>145.35002396236874</c:v>
                </c:pt>
                <c:pt idx="23">
                  <c:v>146.39161803144063</c:v>
                </c:pt>
                <c:pt idx="24">
                  <c:v>147.25625965906079</c:v>
                </c:pt>
                <c:pt idx="25">
                  <c:v>147.9481006872505</c:v>
                </c:pt>
                <c:pt idx="26">
                  <c:v>148.66831250973763</c:v>
                </c:pt>
                <c:pt idx="27">
                  <c:v>147.89904282051995</c:v>
                </c:pt>
                <c:pt idx="28">
                  <c:v>145.98721126490199</c:v>
                </c:pt>
                <c:pt idx="29">
                  <c:v>146.52027491560921</c:v>
                </c:pt>
                <c:pt idx="30">
                  <c:v>145.40652918335962</c:v>
                </c:pt>
                <c:pt idx="31">
                  <c:v>142.99570578224728</c:v>
                </c:pt>
                <c:pt idx="32">
                  <c:v>140.54880380285613</c:v>
                </c:pt>
                <c:pt idx="33">
                  <c:v>140.83689731928851</c:v>
                </c:pt>
                <c:pt idx="34">
                  <c:v>136.52908356168626</c:v>
                </c:pt>
                <c:pt idx="35">
                  <c:v>134.84401868780827</c:v>
                </c:pt>
                <c:pt idx="36">
                  <c:v>134.26531005726363</c:v>
                </c:pt>
                <c:pt idx="37">
                  <c:v>134.36390729144114</c:v>
                </c:pt>
                <c:pt idx="38">
                  <c:v>134.44649625119717</c:v>
                </c:pt>
                <c:pt idx="39">
                  <c:v>134.48492654513177</c:v>
                </c:pt>
                <c:pt idx="40">
                  <c:v>134.47317029593395</c:v>
                </c:pt>
                <c:pt idx="41">
                  <c:v>134.42061881122822</c:v>
                </c:pt>
                <c:pt idx="42">
                  <c:v>134.33572225136604</c:v>
                </c:pt>
                <c:pt idx="43">
                  <c:v>130.02600664693449</c:v>
                </c:pt>
                <c:pt idx="44">
                  <c:v>129.84933754365281</c:v>
                </c:pt>
                <c:pt idx="45">
                  <c:v>127.63700218536965</c:v>
                </c:pt>
                <c:pt idx="46">
                  <c:v>123.65348274465211</c:v>
                </c:pt>
                <c:pt idx="47">
                  <c:v>120.65124839119919</c:v>
                </c:pt>
                <c:pt idx="48">
                  <c:v>117.17423197585674</c:v>
                </c:pt>
                <c:pt idx="49">
                  <c:v>116.8250697976394</c:v>
                </c:pt>
                <c:pt idx="50">
                  <c:v>116.43456281820741</c:v>
                </c:pt>
                <c:pt idx="51">
                  <c:v>115.98434662501785</c:v>
                </c:pt>
                <c:pt idx="52">
                  <c:v>115.49135383707372</c:v>
                </c:pt>
                <c:pt idx="53">
                  <c:v>112.29945651395576</c:v>
                </c:pt>
                <c:pt idx="54">
                  <c:v>110.88019807944752</c:v>
                </c:pt>
                <c:pt idx="55">
                  <c:v>107.17490886541387</c:v>
                </c:pt>
                <c:pt idx="56">
                  <c:v>105.85451893655755</c:v>
                </c:pt>
                <c:pt idx="57">
                  <c:v>105.0978097800991</c:v>
                </c:pt>
                <c:pt idx="58">
                  <c:v>104.12663870083178</c:v>
                </c:pt>
                <c:pt idx="59">
                  <c:v>101.43470539203918</c:v>
                </c:pt>
                <c:pt idx="60">
                  <c:v>97.174641842765368</c:v>
                </c:pt>
                <c:pt idx="61">
                  <c:v>93.750024055934233</c:v>
                </c:pt>
                <c:pt idx="62">
                  <c:v>90.456338937300785</c:v>
                </c:pt>
                <c:pt idx="63">
                  <c:v>84.87118848498001</c:v>
                </c:pt>
                <c:pt idx="64">
                  <c:v>81.73679004883499</c:v>
                </c:pt>
                <c:pt idx="65">
                  <c:v>79.343473326322965</c:v>
                </c:pt>
                <c:pt idx="66">
                  <c:v>77.602140832830074</c:v>
                </c:pt>
                <c:pt idx="67">
                  <c:v>75.928597964283924</c:v>
                </c:pt>
                <c:pt idx="68">
                  <c:v>74.785792699276357</c:v>
                </c:pt>
                <c:pt idx="69">
                  <c:v>73.612610804191718</c:v>
                </c:pt>
                <c:pt idx="70">
                  <c:v>71.630028061956992</c:v>
                </c:pt>
                <c:pt idx="71">
                  <c:v>69.560354592484359</c:v>
                </c:pt>
                <c:pt idx="72">
                  <c:v>66.160899315818298</c:v>
                </c:pt>
                <c:pt idx="73">
                  <c:v>63.934361305887748</c:v>
                </c:pt>
                <c:pt idx="74">
                  <c:v>60.420819000674385</c:v>
                </c:pt>
                <c:pt idx="75">
                  <c:v>58.41542231457958</c:v>
                </c:pt>
                <c:pt idx="76">
                  <c:v>56.408355475507236</c:v>
                </c:pt>
                <c:pt idx="77">
                  <c:v>54.181473300704837</c:v>
                </c:pt>
                <c:pt idx="78">
                  <c:v>52.566607252410151</c:v>
                </c:pt>
                <c:pt idx="79">
                  <c:v>49.965978972253133</c:v>
                </c:pt>
                <c:pt idx="80">
                  <c:v>48.105163494431295</c:v>
                </c:pt>
                <c:pt idx="81">
                  <c:v>46.091436855366425</c:v>
                </c:pt>
                <c:pt idx="82">
                  <c:v>44.372472304679086</c:v>
                </c:pt>
                <c:pt idx="83">
                  <c:v>42.26882881912428</c:v>
                </c:pt>
                <c:pt idx="84">
                  <c:v>39.68767200765901</c:v>
                </c:pt>
                <c:pt idx="85">
                  <c:v>36.871696580657868</c:v>
                </c:pt>
                <c:pt idx="86">
                  <c:v>34.810572224333335</c:v>
                </c:pt>
                <c:pt idx="87">
                  <c:v>33.063319653311552</c:v>
                </c:pt>
                <c:pt idx="88">
                  <c:v>31.319175511539573</c:v>
                </c:pt>
                <c:pt idx="89">
                  <c:v>94.933575488972423</c:v>
                </c:pt>
                <c:pt idx="90">
                  <c:v>89.009174204613927</c:v>
                </c:pt>
                <c:pt idx="91">
                  <c:v>86.869235125323925</c:v>
                </c:pt>
                <c:pt idx="92">
                  <c:v>82.288317791807103</c:v>
                </c:pt>
                <c:pt idx="93">
                  <c:v>80.319918879033196</c:v>
                </c:pt>
                <c:pt idx="94">
                  <c:v>77.887680034876325</c:v>
                </c:pt>
                <c:pt idx="95">
                  <c:v>74.947336785276448</c:v>
                </c:pt>
                <c:pt idx="96">
                  <c:v>72.101318184157051</c:v>
                </c:pt>
                <c:pt idx="97">
                  <c:v>67.759819173301153</c:v>
                </c:pt>
                <c:pt idx="98">
                  <c:v>60.801907506542044</c:v>
                </c:pt>
                <c:pt idx="99">
                  <c:v>55.402938111193016</c:v>
                </c:pt>
                <c:pt idx="100">
                  <c:v>52.913709027786837</c:v>
                </c:pt>
                <c:pt idx="101">
                  <c:v>50.620039310993171</c:v>
                </c:pt>
                <c:pt idx="102">
                  <c:v>47.93311597329113</c:v>
                </c:pt>
                <c:pt idx="103">
                  <c:v>44.764705728569936</c:v>
                </c:pt>
                <c:pt idx="104">
                  <c:v>42.028014052193249</c:v>
                </c:pt>
                <c:pt idx="105">
                  <c:v>39.914565524796792</c:v>
                </c:pt>
                <c:pt idx="106">
                  <c:v>37.382384708201165</c:v>
                </c:pt>
                <c:pt idx="107">
                  <c:v>35.366441563883001</c:v>
                </c:pt>
                <c:pt idx="108">
                  <c:v>33.170091692584194</c:v>
                </c:pt>
                <c:pt idx="109">
                  <c:v>30.810331080231325</c:v>
                </c:pt>
                <c:pt idx="110">
                  <c:v>121.79016160106401</c:v>
                </c:pt>
                <c:pt idx="111">
                  <c:v>119.85343799712987</c:v>
                </c:pt>
                <c:pt idx="112">
                  <c:v>115.72327221260407</c:v>
                </c:pt>
                <c:pt idx="113">
                  <c:v>113.6662330975073</c:v>
                </c:pt>
                <c:pt idx="114">
                  <c:v>111.39847767364682</c:v>
                </c:pt>
                <c:pt idx="115">
                  <c:v>108.93655781609344</c:v>
                </c:pt>
                <c:pt idx="116">
                  <c:v>103.82978719896286</c:v>
                </c:pt>
                <c:pt idx="117">
                  <c:v>99.848836906505284</c:v>
                </c:pt>
                <c:pt idx="118">
                  <c:v>95.624955120218573</c:v>
                </c:pt>
                <c:pt idx="119">
                  <c:v>92.802159442297622</c:v>
                </c:pt>
                <c:pt idx="120">
                  <c:v>88.556510875248563</c:v>
                </c:pt>
                <c:pt idx="121">
                  <c:v>86.098971441770701</c:v>
                </c:pt>
                <c:pt idx="122">
                  <c:v>81.668824490159594</c:v>
                </c:pt>
                <c:pt idx="123">
                  <c:v>77.844779826039272</c:v>
                </c:pt>
                <c:pt idx="124">
                  <c:v>75.039975175641473</c:v>
                </c:pt>
                <c:pt idx="125">
                  <c:v>70.197299739950935</c:v>
                </c:pt>
                <c:pt idx="126">
                  <c:v>66.070555006325222</c:v>
                </c:pt>
                <c:pt idx="127">
                  <c:v>63.797389203006908</c:v>
                </c:pt>
                <c:pt idx="128">
                  <c:v>61.436873028393961</c:v>
                </c:pt>
                <c:pt idx="129">
                  <c:v>58.286002140706692</c:v>
                </c:pt>
                <c:pt idx="130">
                  <c:v>54.805098778588686</c:v>
                </c:pt>
                <c:pt idx="131">
                  <c:v>50.966121979829957</c:v>
                </c:pt>
                <c:pt idx="132">
                  <c:v>47.122450826581776</c:v>
                </c:pt>
                <c:pt idx="133">
                  <c:v>44.400851047242703</c:v>
                </c:pt>
                <c:pt idx="134">
                  <c:v>42.146795294209547</c:v>
                </c:pt>
                <c:pt idx="135">
                  <c:v>39.940504329189153</c:v>
                </c:pt>
                <c:pt idx="136">
                  <c:v>37.594168806052501</c:v>
                </c:pt>
                <c:pt idx="137">
                  <c:v>35.343241478711185</c:v>
                </c:pt>
                <c:pt idx="138">
                  <c:v>32.737201758416894</c:v>
                </c:pt>
                <c:pt idx="139">
                  <c:v>30.668802844001927</c:v>
                </c:pt>
                <c:pt idx="140">
                  <c:v>28.195636605953919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-1.4500008835432625</c:v>
                </c:pt>
                <c:pt idx="28">
                  <c:v>-3.9775329281312697</c:v>
                </c:pt>
                <c:pt idx="29">
                  <c:v>-3.9775329281312697</c:v>
                </c:pt>
                <c:pt idx="30">
                  <c:v>-5.6057048609960898</c:v>
                </c:pt>
                <c:pt idx="31">
                  <c:v>-8.4429023193602184</c:v>
                </c:pt>
                <c:pt idx="32">
                  <c:v>-11.215133607635906</c:v>
                </c:pt>
                <c:pt idx="33">
                  <c:v>-11.215133607635906</c:v>
                </c:pt>
                <c:pt idx="34">
                  <c:v>-15.769112374258462</c:v>
                </c:pt>
                <c:pt idx="35">
                  <c:v>-17.647976250852299</c:v>
                </c:pt>
                <c:pt idx="36">
                  <c:v>-18.379198569458953</c:v>
                </c:pt>
                <c:pt idx="37">
                  <c:v>-18.379198569458953</c:v>
                </c:pt>
                <c:pt idx="38">
                  <c:v>-18.379198569458953</c:v>
                </c:pt>
                <c:pt idx="39">
                  <c:v>-18.379198569458953</c:v>
                </c:pt>
                <c:pt idx="40">
                  <c:v>-18.379198569458953</c:v>
                </c:pt>
                <c:pt idx="41">
                  <c:v>-18.379198569458953</c:v>
                </c:pt>
                <c:pt idx="42">
                  <c:v>-18.379198569458953</c:v>
                </c:pt>
                <c:pt idx="43">
                  <c:v>-22.555945936478153</c:v>
                </c:pt>
                <c:pt idx="44">
                  <c:v>-22.555945936478153</c:v>
                </c:pt>
                <c:pt idx="45">
                  <c:v>-24.546099549585346</c:v>
                </c:pt>
                <c:pt idx="46">
                  <c:v>-28.264390978759966</c:v>
                </c:pt>
                <c:pt idx="47">
                  <c:v>-30.960511250574704</c:v>
                </c:pt>
                <c:pt idx="48">
                  <c:v>-34.091359948055697</c:v>
                </c:pt>
                <c:pt idx="49">
                  <c:v>-34.091359948055697</c:v>
                </c:pt>
                <c:pt idx="50">
                  <c:v>-34.091359948055697</c:v>
                </c:pt>
                <c:pt idx="51">
                  <c:v>-34.091359948055697</c:v>
                </c:pt>
                <c:pt idx="52">
                  <c:v>-34.091359948055697</c:v>
                </c:pt>
                <c:pt idx="53">
                  <c:v>-36.733050318544478</c:v>
                </c:pt>
                <c:pt idx="54">
                  <c:v>-37.56727297356899</c:v>
                </c:pt>
                <c:pt idx="55">
                  <c:v>-40.666613556818405</c:v>
                </c:pt>
                <c:pt idx="56">
                  <c:v>-41.333705127918016</c:v>
                </c:pt>
                <c:pt idx="57">
                  <c:v>-41.333705127918016</c:v>
                </c:pt>
                <c:pt idx="58">
                  <c:v>-41.511469515588708</c:v>
                </c:pt>
                <c:pt idx="59">
                  <c:v>-43.392191805231725</c:v>
                </c:pt>
                <c:pt idx="60">
                  <c:v>-46.765522826979932</c:v>
                </c:pt>
                <c:pt idx="61">
                  <c:v>-49.292598630665097</c:v>
                </c:pt>
                <c:pt idx="62">
                  <c:v>-51.632475119712936</c:v>
                </c:pt>
                <c:pt idx="63">
                  <c:v>-56.180425588869404</c:v>
                </c:pt>
                <c:pt idx="64">
                  <c:v>-58.267315905289351</c:v>
                </c:pt>
                <c:pt idx="65">
                  <c:v>-59.612462839994635</c:v>
                </c:pt>
                <c:pt idx="66">
                  <c:v>-60.313942370385277</c:v>
                </c:pt>
                <c:pt idx="67">
                  <c:v>-60.877012677948642</c:v>
                </c:pt>
                <c:pt idx="68">
                  <c:v>-60.877012677948642</c:v>
                </c:pt>
                <c:pt idx="69">
                  <c:v>-60.877012677948642</c:v>
                </c:pt>
                <c:pt idx="70">
                  <c:v>-61.79237314302317</c:v>
                </c:pt>
                <c:pt idx="71">
                  <c:v>-62.698332209701121</c:v>
                </c:pt>
                <c:pt idx="72">
                  <c:v>-64.868259282215931</c:v>
                </c:pt>
                <c:pt idx="73">
                  <c:v>-65.849369487894222</c:v>
                </c:pt>
                <c:pt idx="74">
                  <c:v>-68.028304693832865</c:v>
                </c:pt>
                <c:pt idx="75">
                  <c:v>-68.731886944048242</c:v>
                </c:pt>
                <c:pt idx="76">
                  <c:v>-69.434721679100903</c:v>
                </c:pt>
                <c:pt idx="77">
                  <c:v>-70.252623834591219</c:v>
                </c:pt>
                <c:pt idx="78">
                  <c:v>-70.572461598887088</c:v>
                </c:pt>
                <c:pt idx="79">
                  <c:v>-71.837573699377302</c:v>
                </c:pt>
                <c:pt idx="80">
                  <c:v>-72.288137601530096</c:v>
                </c:pt>
                <c:pt idx="81">
                  <c:v>-72.857445908413581</c:v>
                </c:pt>
                <c:pt idx="82">
                  <c:v>-73.111065433326019</c:v>
                </c:pt>
                <c:pt idx="83">
                  <c:v>-73.554032635615627</c:v>
                </c:pt>
                <c:pt idx="84">
                  <c:v>-74.472877534453019</c:v>
                </c:pt>
                <c:pt idx="85">
                  <c:v>-75.606120602259494</c:v>
                </c:pt>
                <c:pt idx="86">
                  <c:v>-75.961531550783249</c:v>
                </c:pt>
                <c:pt idx="87">
                  <c:v>-76.112632579524231</c:v>
                </c:pt>
                <c:pt idx="88">
                  <c:v>-76.24582209037213</c:v>
                </c:pt>
                <c:pt idx="89">
                  <c:v>-78.937953553222144</c:v>
                </c:pt>
                <c:pt idx="90">
                  <c:v>-82.931992468727671</c:v>
                </c:pt>
                <c:pt idx="91">
                  <c:v>-82.931992468727671</c:v>
                </c:pt>
                <c:pt idx="92">
                  <c:v>-85.572776667771564</c:v>
                </c:pt>
                <c:pt idx="93">
                  <c:v>-85.632134575899798</c:v>
                </c:pt>
                <c:pt idx="94">
                  <c:v>-86.337190433981149</c:v>
                </c:pt>
                <c:pt idx="95">
                  <c:v>-87.306035386909414</c:v>
                </c:pt>
                <c:pt idx="96">
                  <c:v>-88.126577613947362</c:v>
                </c:pt>
                <c:pt idx="97">
                  <c:v>-90.39156235639382</c:v>
                </c:pt>
                <c:pt idx="98">
                  <c:v>-95.167829310888877</c:v>
                </c:pt>
                <c:pt idx="99">
                  <c:v>-98.360431697211922</c:v>
                </c:pt>
                <c:pt idx="100">
                  <c:v>-98.734034278435985</c:v>
                </c:pt>
                <c:pt idx="101">
                  <c:v>-99.113256564107857</c:v>
                </c:pt>
                <c:pt idx="102">
                  <c:v>-99.851637236985908</c:v>
                </c:pt>
                <c:pt idx="103">
                  <c:v>-100.75193590026225</c:v>
                </c:pt>
                <c:pt idx="104">
                  <c:v>-101.38201480268407</c:v>
                </c:pt>
                <c:pt idx="105">
                  <c:v>-101.4523720762389</c:v>
                </c:pt>
                <c:pt idx="106">
                  <c:v>-102.00250227656886</c:v>
                </c:pt>
                <c:pt idx="107">
                  <c:v>-102.00250227656886</c:v>
                </c:pt>
                <c:pt idx="108">
                  <c:v>-102.1933683145127</c:v>
                </c:pt>
                <c:pt idx="109">
                  <c:v>-102.57432981600965</c:v>
                </c:pt>
                <c:pt idx="110">
                  <c:v>-103.7086570029148</c:v>
                </c:pt>
                <c:pt idx="111">
                  <c:v>-103.7086570029148</c:v>
                </c:pt>
                <c:pt idx="112">
                  <c:v>-105.73950286516047</c:v>
                </c:pt>
                <c:pt idx="113">
                  <c:v>-105.73950286516047</c:v>
                </c:pt>
                <c:pt idx="114">
                  <c:v>-105.73950286516047</c:v>
                </c:pt>
                <c:pt idx="115">
                  <c:v>-105.98742104069423</c:v>
                </c:pt>
                <c:pt idx="116">
                  <c:v>-108.73332711317481</c:v>
                </c:pt>
                <c:pt idx="117">
                  <c:v>-110.62230131564074</c:v>
                </c:pt>
                <c:pt idx="118">
                  <c:v>-112.83826595440745</c:v>
                </c:pt>
                <c:pt idx="119">
                  <c:v>-113.62323226596428</c:v>
                </c:pt>
                <c:pt idx="120">
                  <c:v>-115.87644264363736</c:v>
                </c:pt>
                <c:pt idx="121">
                  <c:v>-116.24769084522747</c:v>
                </c:pt>
                <c:pt idx="122">
                  <c:v>-118.65671489070986</c:v>
                </c:pt>
                <c:pt idx="123">
                  <c:v>-120.49959105761417</c:v>
                </c:pt>
                <c:pt idx="124">
                  <c:v>-121.07435329536284</c:v>
                </c:pt>
                <c:pt idx="125">
                  <c:v>-123.68190280963563</c:v>
                </c:pt>
                <c:pt idx="126">
                  <c:v>-125.38137872710044</c:v>
                </c:pt>
                <c:pt idx="127">
                  <c:v>-125.41549011596189</c:v>
                </c:pt>
                <c:pt idx="128">
                  <c:v>-125.49687894118205</c:v>
                </c:pt>
                <c:pt idx="129">
                  <c:v>-126.23652238372354</c:v>
                </c:pt>
                <c:pt idx="130">
                  <c:v>-127.22066124616305</c:v>
                </c:pt>
                <c:pt idx="131">
                  <c:v>-128.51402877212689</c:v>
                </c:pt>
                <c:pt idx="132">
                  <c:v>-129.96880438914042</c:v>
                </c:pt>
                <c:pt idx="133">
                  <c:v>-130.31125040858751</c:v>
                </c:pt>
                <c:pt idx="134">
                  <c:v>-130.31125040858751</c:v>
                </c:pt>
                <c:pt idx="135">
                  <c:v>-130.31125040858751</c:v>
                </c:pt>
                <c:pt idx="136">
                  <c:v>-130.31125040858751</c:v>
                </c:pt>
                <c:pt idx="137">
                  <c:v>-130.31125040858751</c:v>
                </c:pt>
                <c:pt idx="138">
                  <c:v>-130.66163046718503</c:v>
                </c:pt>
                <c:pt idx="139">
                  <c:v>-130.70136587245273</c:v>
                </c:pt>
                <c:pt idx="140">
                  <c:v>-131.00926646367444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0.81482646361782263</c:v>
                </c:pt>
                <c:pt idx="1">
                  <c:v>1.6208121980356547</c:v>
                </c:pt>
                <c:pt idx="2">
                  <c:v>2.4576078303495743</c:v>
                </c:pt>
                <c:pt idx="3">
                  <c:v>3.3541004605061708</c:v>
                </c:pt>
                <c:pt idx="4">
                  <c:v>4.1248347820096711</c:v>
                </c:pt>
                <c:pt idx="5">
                  <c:v>4.878371947941587</c:v>
                </c:pt>
                <c:pt idx="6">
                  <c:v>5.6339609173464051</c:v>
                </c:pt>
                <c:pt idx="7">
                  <c:v>6.3723539356167667</c:v>
                </c:pt>
                <c:pt idx="8">
                  <c:v>7.1101419008084816</c:v>
                </c:pt>
                <c:pt idx="9">
                  <c:v>7.8571013777491538</c:v>
                </c:pt>
                <c:pt idx="10">
                  <c:v>8.6159290344118382</c:v>
                </c:pt>
                <c:pt idx="11">
                  <c:v>9.3811022502907981</c:v>
                </c:pt>
                <c:pt idx="12">
                  <c:v>10.204744939894098</c:v>
                </c:pt>
                <c:pt idx="13">
                  <c:v>11.074707715922543</c:v>
                </c:pt>
                <c:pt idx="14">
                  <c:v>11.956878803996661</c:v>
                </c:pt>
                <c:pt idx="15">
                  <c:v>12.739799578315228</c:v>
                </c:pt>
                <c:pt idx="16">
                  <c:v>13.556985954263062</c:v>
                </c:pt>
                <c:pt idx="17">
                  <c:v>14.391058869791495</c:v>
                </c:pt>
                <c:pt idx="18">
                  <c:v>15.191883345322317</c:v>
                </c:pt>
                <c:pt idx="19">
                  <c:v>15.965288862496516</c:v>
                </c:pt>
                <c:pt idx="20">
                  <c:v>16.679524186755348</c:v>
                </c:pt>
                <c:pt idx="21">
                  <c:v>17.501304668208689</c:v>
                </c:pt>
                <c:pt idx="22">
                  <c:v>18.379968595517642</c:v>
                </c:pt>
                <c:pt idx="23">
                  <c:v>19.211483138824363</c:v>
                </c:pt>
                <c:pt idx="24">
                  <c:v>19.99015193956151</c:v>
                </c:pt>
                <c:pt idx="25">
                  <c:v>20.692171887882026</c:v>
                </c:pt>
                <c:pt idx="26">
                  <c:v>21.470084633219816</c:v>
                </c:pt>
                <c:pt idx="27">
                  <c:v>22.284481061238097</c:v>
                </c:pt>
                <c:pt idx="28">
                  <c:v>23.108374561392488</c:v>
                </c:pt>
                <c:pt idx="29">
                  <c:v>23.914195343341138</c:v>
                </c:pt>
                <c:pt idx="30">
                  <c:v>24.782102371549424</c:v>
                </c:pt>
                <c:pt idx="31">
                  <c:v>25.61526910946786</c:v>
                </c:pt>
                <c:pt idx="32">
                  <c:v>26.369151551834133</c:v>
                </c:pt>
                <c:pt idx="33">
                  <c:v>27.141221548354096</c:v>
                </c:pt>
                <c:pt idx="34">
                  <c:v>27.922764749459837</c:v>
                </c:pt>
                <c:pt idx="35">
                  <c:v>28.685707731304749</c:v>
                </c:pt>
                <c:pt idx="36">
                  <c:v>29.451409451498304</c:v>
                </c:pt>
                <c:pt idx="37">
                  <c:v>30.169181834678767</c:v>
                </c:pt>
                <c:pt idx="38">
                  <c:v>30.975572607314202</c:v>
                </c:pt>
                <c:pt idx="39">
                  <c:v>31.781108485980461</c:v>
                </c:pt>
                <c:pt idx="40">
                  <c:v>32.541023905970725</c:v>
                </c:pt>
                <c:pt idx="41">
                  <c:v>33.318582413214173</c:v>
                </c:pt>
                <c:pt idx="42">
                  <c:v>34.161963931839225</c:v>
                </c:pt>
                <c:pt idx="43">
                  <c:v>34.977220964517343</c:v>
                </c:pt>
                <c:pt idx="44">
                  <c:v>35.759883309271984</c:v>
                </c:pt>
                <c:pt idx="45">
                  <c:v>36.602120213154585</c:v>
                </c:pt>
                <c:pt idx="46">
                  <c:v>37.396361613268965</c:v>
                </c:pt>
                <c:pt idx="47">
                  <c:v>38.172323779624456</c:v>
                </c:pt>
                <c:pt idx="48">
                  <c:v>38.935542360574566</c:v>
                </c:pt>
                <c:pt idx="49">
                  <c:v>39.587599289289372</c:v>
                </c:pt>
                <c:pt idx="50">
                  <c:v>40.228806377537246</c:v>
                </c:pt>
                <c:pt idx="51">
                  <c:v>40.955637699097181</c:v>
                </c:pt>
                <c:pt idx="52">
                  <c:v>41.685683046133633</c:v>
                </c:pt>
                <c:pt idx="53">
                  <c:v>42.445323599377055</c:v>
                </c:pt>
                <c:pt idx="54">
                  <c:v>43.183982460334505</c:v>
                </c:pt>
                <c:pt idx="55">
                  <c:v>43.88489277667184</c:v>
                </c:pt>
                <c:pt idx="56">
                  <c:v>44.593412991878132</c:v>
                </c:pt>
                <c:pt idx="57">
                  <c:v>45.387038325818594</c:v>
                </c:pt>
                <c:pt idx="58">
                  <c:v>46.156612539225165</c:v>
                </c:pt>
                <c:pt idx="59">
                  <c:v>46.884246547280149</c:v>
                </c:pt>
                <c:pt idx="60">
                  <c:v>47.642239181270995</c:v>
                </c:pt>
                <c:pt idx="61">
                  <c:v>48.356301790974641</c:v>
                </c:pt>
                <c:pt idx="62">
                  <c:v>49.077529604267141</c:v>
                </c:pt>
                <c:pt idx="63">
                  <c:v>49.829225553756906</c:v>
                </c:pt>
                <c:pt idx="64">
                  <c:v>50.541966122918673</c:v>
                </c:pt>
                <c:pt idx="65">
                  <c:v>51.215493005735659</c:v>
                </c:pt>
                <c:pt idx="66">
                  <c:v>51.850439688872981</c:v>
                </c:pt>
                <c:pt idx="67">
                  <c:v>52.503747558500997</c:v>
                </c:pt>
                <c:pt idx="68">
                  <c:v>53.148578545699323</c:v>
                </c:pt>
                <c:pt idx="69">
                  <c:v>53.784509359301516</c:v>
                </c:pt>
                <c:pt idx="70">
                  <c:v>54.339046269653444</c:v>
                </c:pt>
                <c:pt idx="71">
                  <c:v>54.924829771462591</c:v>
                </c:pt>
                <c:pt idx="72">
                  <c:v>55.524270174591891</c:v>
                </c:pt>
                <c:pt idx="73">
                  <c:v>56.111457249494443</c:v>
                </c:pt>
                <c:pt idx="74">
                  <c:v>56.7223504124198</c:v>
                </c:pt>
                <c:pt idx="75">
                  <c:v>57.298368288254807</c:v>
                </c:pt>
                <c:pt idx="76">
                  <c:v>57.858794944940854</c:v>
                </c:pt>
                <c:pt idx="77">
                  <c:v>58.447856753714547</c:v>
                </c:pt>
                <c:pt idx="78">
                  <c:v>58.975064924234999</c:v>
                </c:pt>
                <c:pt idx="79">
                  <c:v>59.505119941474319</c:v>
                </c:pt>
                <c:pt idx="80">
                  <c:v>60.050449410803786</c:v>
                </c:pt>
                <c:pt idx="81">
                  <c:v>60.595332244640602</c:v>
                </c:pt>
                <c:pt idx="82">
                  <c:v>61.135095513077736</c:v>
                </c:pt>
                <c:pt idx="83">
                  <c:v>61.732640387572026</c:v>
                </c:pt>
                <c:pt idx="84">
                  <c:v>62.315390094712164</c:v>
                </c:pt>
                <c:pt idx="85">
                  <c:v>62.891176720989634</c:v>
                </c:pt>
                <c:pt idx="86">
                  <c:v>63.461430988596462</c:v>
                </c:pt>
                <c:pt idx="87">
                  <c:v>63.984713532464049</c:v>
                </c:pt>
                <c:pt idx="88">
                  <c:v>64.502791062379202</c:v>
                </c:pt>
                <c:pt idx="89">
                  <c:v>65.097499740289805</c:v>
                </c:pt>
                <c:pt idx="90">
                  <c:v>65.691951004229779</c:v>
                </c:pt>
                <c:pt idx="91">
                  <c:v>66.341261133138516</c:v>
                </c:pt>
                <c:pt idx="92">
                  <c:v>66.913125509958604</c:v>
                </c:pt>
                <c:pt idx="93">
                  <c:v>67.465407655759449</c:v>
                </c:pt>
                <c:pt idx="94">
                  <c:v>67.960053582108984</c:v>
                </c:pt>
                <c:pt idx="95">
                  <c:v>68.511885475895397</c:v>
                </c:pt>
                <c:pt idx="96">
                  <c:v>69.069362317118021</c:v>
                </c:pt>
                <c:pt idx="97">
                  <c:v>69.631609161660933</c:v>
                </c:pt>
                <c:pt idx="98">
                  <c:v>70.213194676127571</c:v>
                </c:pt>
                <c:pt idx="99">
                  <c:v>70.792076496302712</c:v>
                </c:pt>
                <c:pt idx="100">
                  <c:v>71.33888965349631</c:v>
                </c:pt>
                <c:pt idx="101">
                  <c:v>71.830698236914486</c:v>
                </c:pt>
                <c:pt idx="102">
                  <c:v>72.325019908788789</c:v>
                </c:pt>
                <c:pt idx="103">
                  <c:v>72.889588777790863</c:v>
                </c:pt>
                <c:pt idx="104">
                  <c:v>73.408787299697693</c:v>
                </c:pt>
                <c:pt idx="105">
                  <c:v>73.908390263442456</c:v>
                </c:pt>
                <c:pt idx="106">
                  <c:v>74.390228785145212</c:v>
                </c:pt>
                <c:pt idx="107">
                  <c:v>74.875225334315559</c:v>
                </c:pt>
                <c:pt idx="108">
                  <c:v>75.354143303160058</c:v>
                </c:pt>
                <c:pt idx="109">
                  <c:v>75.82401748817874</c:v>
                </c:pt>
                <c:pt idx="110">
                  <c:v>76.308242101348483</c:v>
                </c:pt>
                <c:pt idx="111">
                  <c:v>76.763446771154577</c:v>
                </c:pt>
                <c:pt idx="112">
                  <c:v>77.248292636435764</c:v>
                </c:pt>
                <c:pt idx="113">
                  <c:v>77.721626318472772</c:v>
                </c:pt>
                <c:pt idx="114">
                  <c:v>78.235176751265783</c:v>
                </c:pt>
                <c:pt idx="115">
                  <c:v>78.734453374955336</c:v>
                </c:pt>
                <c:pt idx="116">
                  <c:v>79.261442962910635</c:v>
                </c:pt>
                <c:pt idx="117">
                  <c:v>79.731317147929317</c:v>
                </c:pt>
                <c:pt idx="118">
                  <c:v>80.183346766779977</c:v>
                </c:pt>
                <c:pt idx="119">
                  <c:v>80.639347452389984</c:v>
                </c:pt>
                <c:pt idx="120">
                  <c:v>81.085462658678836</c:v>
                </c:pt>
                <c:pt idx="121">
                  <c:v>81.547663069595743</c:v>
                </c:pt>
                <c:pt idx="122">
                  <c:v>81.996532041798744</c:v>
                </c:pt>
                <c:pt idx="123">
                  <c:v>82.437124016509145</c:v>
                </c:pt>
                <c:pt idx="124">
                  <c:v>82.923251656832335</c:v>
                </c:pt>
                <c:pt idx="125">
                  <c:v>83.409379297155525</c:v>
                </c:pt>
                <c:pt idx="126">
                  <c:v>83.932839871747021</c:v>
                </c:pt>
                <c:pt idx="127">
                  <c:v>84.41826603556072</c:v>
                </c:pt>
                <c:pt idx="128">
                  <c:v>84.911025576861974</c:v>
                </c:pt>
                <c:pt idx="129">
                  <c:v>85.429751913093781</c:v>
                </c:pt>
                <c:pt idx="130">
                  <c:v>85.965971896797214</c:v>
                </c:pt>
                <c:pt idx="131">
                  <c:v>86.512642671271863</c:v>
                </c:pt>
                <c:pt idx="132">
                  <c:v>87.027483963861599</c:v>
                </c:pt>
                <c:pt idx="133">
                  <c:v>87.541034396654609</c:v>
                </c:pt>
                <c:pt idx="134">
                  <c:v>88.03066026143712</c:v>
                </c:pt>
                <c:pt idx="135">
                  <c:v>88.511992483119741</c:v>
                </c:pt>
                <c:pt idx="136">
                  <c:v>89.022110768950625</c:v>
                </c:pt>
                <c:pt idx="137">
                  <c:v>89.514660998091102</c:v>
                </c:pt>
                <c:pt idx="138">
                  <c:v>90.009726750910175</c:v>
                </c:pt>
                <c:pt idx="139">
                  <c:v>90.462747024885843</c:v>
                </c:pt>
                <c:pt idx="140">
                  <c:v>90.943460901533882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9.9012878008411462</c:v>
                </c:pt>
                <c:pt idx="2">
                  <c:v>19.020788408107055</c:v>
                </c:pt>
                <c:pt idx="3">
                  <c:v>27.624577409229765</c:v>
                </c:pt>
                <c:pt idx="4">
                  <c:v>34.163429930092747</c:v>
                </c:pt>
                <c:pt idx="5">
                  <c:v>39.872144729774654</c:v>
                </c:pt>
                <c:pt idx="6">
                  <c:v>44.986721006890079</c:v>
                </c:pt>
                <c:pt idx="7">
                  <c:v>49.455071559389225</c:v>
                </c:pt>
                <c:pt idx="8">
                  <c:v>53.449852912634327</c:v>
                </c:pt>
                <c:pt idx="9">
                  <c:v>57.06451200088302</c:v>
                </c:pt>
                <c:pt idx="10">
                  <c:v>60.339530736138784</c:v>
                </c:pt>
                <c:pt idx="11">
                  <c:v>63.279253880553547</c:v>
                </c:pt>
                <c:pt idx="12">
                  <c:v>66.080917802203686</c:v>
                </c:pt>
                <c:pt idx="13">
                  <c:v>68.678437216709611</c:v>
                </c:pt>
                <c:pt idx="14">
                  <c:v>70.978495909691361</c:v>
                </c:pt>
                <c:pt idx="15">
                  <c:v>72.7716844915103</c:v>
                </c:pt>
                <c:pt idx="16">
                  <c:v>74.423685507458075</c:v>
                </c:pt>
                <c:pt idx="17">
                  <c:v>75.905174940066956</c:v>
                </c:pt>
                <c:pt idx="18">
                  <c:v>77.155812226237458</c:v>
                </c:pt>
                <c:pt idx="19">
                  <c:v>78.222331187111891</c:v>
                </c:pt>
                <c:pt idx="20">
                  <c:v>79.097585718821819</c:v>
                </c:pt>
                <c:pt idx="21">
                  <c:v>79.988920278407377</c:v>
                </c:pt>
                <c:pt idx="22">
                  <c:v>80.821012880170002</c:v>
                </c:pt>
                <c:pt idx="23">
                  <c:v>81.507516325021754</c:v>
                </c:pt>
                <c:pt idx="24">
                  <c:v>82.072234423176482</c:v>
                </c:pt>
                <c:pt idx="25">
                  <c:v>82.523969559967284</c:v>
                </c:pt>
                <c:pt idx="26">
                  <c:v>82.968094684112401</c:v>
                </c:pt>
                <c:pt idx="27">
                  <c:v>83.376718751372152</c:v>
                </c:pt>
                <c:pt idx="28">
                  <c:v>83.738530492647754</c:v>
                </c:pt>
                <c:pt idx="29">
                  <c:v>84.048360030616962</c:v>
                </c:pt>
                <c:pt idx="30">
                  <c:v>84.339446365745971</c:v>
                </c:pt>
                <c:pt idx="31">
                  <c:v>84.582560143028402</c:v>
                </c:pt>
                <c:pt idx="32">
                  <c:v>84.77570518165308</c:v>
                </c:pt>
                <c:pt idx="33">
                  <c:v>84.950279355432926</c:v>
                </c:pt>
                <c:pt idx="34">
                  <c:v>85.105899394390605</c:v>
                </c:pt>
                <c:pt idx="35">
                  <c:v>85.239799661753239</c:v>
                </c:pt>
                <c:pt idx="36">
                  <c:v>85.358442997617232</c:v>
                </c:pt>
                <c:pt idx="37">
                  <c:v>85.457030137999197</c:v>
                </c:pt>
                <c:pt idx="38">
                  <c:v>85.554971806247949</c:v>
                </c:pt>
                <c:pt idx="39">
                  <c:v>85.6409408062068</c:v>
                </c:pt>
                <c:pt idx="40">
                  <c:v>85.712544776370777</c:v>
                </c:pt>
                <c:pt idx="41">
                  <c:v>85.777472078496146</c:v>
                </c:pt>
                <c:pt idx="42">
                  <c:v>85.839588905363385</c:v>
                </c:pt>
                <c:pt idx="43">
                  <c:v>85.892509841745479</c:v>
                </c:pt>
                <c:pt idx="44">
                  <c:v>85.93761251841191</c:v>
                </c:pt>
                <c:pt idx="45">
                  <c:v>85.980755087236389</c:v>
                </c:pt>
                <c:pt idx="46">
                  <c:v>86.017014036161228</c:v>
                </c:pt>
                <c:pt idx="47">
                  <c:v>86.048860299690418</c:v>
                </c:pt>
                <c:pt idx="48">
                  <c:v>86.077198518965162</c:v>
                </c:pt>
                <c:pt idx="49">
                  <c:v>86.099366368702377</c:v>
                </c:pt>
                <c:pt idx="50">
                  <c:v>86.119555164417378</c:v>
                </c:pt>
                <c:pt idx="51">
                  <c:v>86.140744773751436</c:v>
                </c:pt>
                <c:pt idx="52">
                  <c:v>86.160447215091921</c:v>
                </c:pt>
                <c:pt idx="53">
                  <c:v>86.179496789356378</c:v>
                </c:pt>
                <c:pt idx="54">
                  <c:v>86.196799334189947</c:v>
                </c:pt>
                <c:pt idx="55">
                  <c:v>86.212261463135405</c:v>
                </c:pt>
                <c:pt idx="56">
                  <c:v>86.227078089977951</c:v>
                </c:pt>
                <c:pt idx="57">
                  <c:v>86.242845710266522</c:v>
                </c:pt>
                <c:pt idx="58">
                  <c:v>86.257428200789079</c:v>
                </c:pt>
                <c:pt idx="59">
                  <c:v>86.270677747097551</c:v>
                </c:pt>
                <c:pt idx="60">
                  <c:v>86.284013683670736</c:v>
                </c:pt>
                <c:pt idx="61">
                  <c:v>86.296212202001456</c:v>
                </c:pt>
                <c:pt idx="62">
                  <c:v>86.308234301015716</c:v>
                </c:pt>
                <c:pt idx="63">
                  <c:v>86.320499909325193</c:v>
                </c:pt>
                <c:pt idx="64">
                  <c:v>86.331925428700885</c:v>
                </c:pt>
                <c:pt idx="65">
                  <c:v>86.342573084939318</c:v>
                </c:pt>
                <c:pt idx="66">
                  <c:v>86.35250232010749</c:v>
                </c:pt>
                <c:pt idx="67">
                  <c:v>86.362629287186678</c:v>
                </c:pt>
                <c:pt idx="68">
                  <c:v>86.372553211017078</c:v>
                </c:pt>
                <c:pt idx="69">
                  <c:v>86.382284841744422</c:v>
                </c:pt>
                <c:pt idx="70">
                  <c:v>86.390735519729986</c:v>
                </c:pt>
                <c:pt idx="71">
                  <c:v>86.399634454331746</c:v>
                </c:pt>
                <c:pt idx="72">
                  <c:v>86.408718134219271</c:v>
                </c:pt>
                <c:pt idx="73">
                  <c:v>86.417599714665968</c:v>
                </c:pt>
                <c:pt idx="74">
                  <c:v>86.426827806025315</c:v>
                </c:pt>
                <c:pt idx="75">
                  <c:v>86.435521720864344</c:v>
                </c:pt>
                <c:pt idx="76">
                  <c:v>86.443976353315975</c:v>
                </c:pt>
                <c:pt idx="77">
                  <c:v>86.452861145095156</c:v>
                </c:pt>
                <c:pt idx="78">
                  <c:v>86.46081294628155</c:v>
                </c:pt>
                <c:pt idx="79">
                  <c:v>86.468808686391384</c:v>
                </c:pt>
                <c:pt idx="80">
                  <c:v>86.477036610934107</c:v>
                </c:pt>
                <c:pt idx="81">
                  <c:v>86.48526002926674</c:v>
                </c:pt>
                <c:pt idx="82">
                  <c:v>86.493408543670967</c:v>
                </c:pt>
                <c:pt idx="83">
                  <c:v>86.50243199315706</c:v>
                </c:pt>
                <c:pt idx="84">
                  <c:v>86.511234313102861</c:v>
                </c:pt>
                <c:pt idx="85">
                  <c:v>86.519933065977398</c:v>
                </c:pt>
                <c:pt idx="86">
                  <c:v>86.52854902374618</c:v>
                </c:pt>
                <c:pt idx="87">
                  <c:v>86.53645516580616</c:v>
                </c:pt>
                <c:pt idx="88">
                  <c:v>86.544281710172498</c:v>
                </c:pt>
                <c:pt idx="89">
                  <c:v>86.553263578661628</c:v>
                </c:pt>
                <c:pt idx="90">
                  <c:v>86.562237664713351</c:v>
                </c:pt>
                <c:pt idx="91">
                  <c:v>86.572033637686829</c:v>
                </c:pt>
                <c:pt idx="92">
                  <c:v>86.580654124786932</c:v>
                </c:pt>
                <c:pt idx="93">
                  <c:v>86.588971644617573</c:v>
                </c:pt>
                <c:pt idx="94">
                  <c:v>86.596413503345687</c:v>
                </c:pt>
                <c:pt idx="95">
                  <c:v>86.604705896288692</c:v>
                </c:pt>
                <c:pt idx="96">
                  <c:v>86.613071196891894</c:v>
                </c:pt>
                <c:pt idx="97">
                  <c:v>86.621494442696488</c:v>
                </c:pt>
                <c:pt idx="98">
                  <c:v>86.630191393160771</c:v>
                </c:pt>
                <c:pt idx="99">
                  <c:v>86.638830098688388</c:v>
                </c:pt>
                <c:pt idx="100">
                  <c:v>86.646972438901784</c:v>
                </c:pt>
                <c:pt idx="101">
                  <c:v>86.654279809208361</c:v>
                </c:pt>
                <c:pt idx="102">
                  <c:v>86.661608298323017</c:v>
                </c:pt>
                <c:pt idx="103">
                  <c:v>86.669957080149857</c:v>
                </c:pt>
                <c:pt idx="104">
                  <c:v>86.6776138475783</c:v>
                </c:pt>
                <c:pt idx="105">
                  <c:v>86.684961513886918</c:v>
                </c:pt>
                <c:pt idx="106">
                  <c:v>86.692028321710538</c:v>
                </c:pt>
                <c:pt idx="107">
                  <c:v>86.699121158650811</c:v>
                </c:pt>
                <c:pt idx="108">
                  <c:v>86.706104315132919</c:v>
                </c:pt>
                <c:pt idx="109">
                  <c:v>86.712934773346348</c:v>
                </c:pt>
                <c:pt idx="110">
                  <c:v>86.719951489696584</c:v>
                </c:pt>
                <c:pt idx="111">
                  <c:v>86.726526323037703</c:v>
                </c:pt>
                <c:pt idx="112">
                  <c:v>86.733505802797183</c:v>
                </c:pt>
                <c:pt idx="113">
                  <c:v>86.740295515434013</c:v>
                </c:pt>
                <c:pt idx="114">
                  <c:v>86.747634477484183</c:v>
                </c:pt>
                <c:pt idx="115">
                  <c:v>86.754741134333969</c:v>
                </c:pt>
                <c:pt idx="116">
                  <c:v>86.762211163281151</c:v>
                </c:pt>
                <c:pt idx="117">
                  <c:v>86.768844010343102</c:v>
                </c:pt>
                <c:pt idx="118">
                  <c:v>86.775199886700193</c:v>
                </c:pt>
                <c:pt idx="119">
                  <c:v>86.78158619612401</c:v>
                </c:pt>
                <c:pt idx="120">
                  <c:v>86.787808916624471</c:v>
                </c:pt>
                <c:pt idx="121">
                  <c:v>86.79422931922764</c:v>
                </c:pt>
                <c:pt idx="122">
                  <c:v>86.80043811470091</c:v>
                </c:pt>
                <c:pt idx="123">
                  <c:v>86.806506712024216</c:v>
                </c:pt>
                <c:pt idx="124">
                  <c:v>86.813172510620916</c:v>
                </c:pt>
                <c:pt idx="125">
                  <c:v>86.819806386703149</c:v>
                </c:pt>
                <c:pt idx="126">
                  <c:v>86.826913514757152</c:v>
                </c:pt>
                <c:pt idx="127">
                  <c:v>86.833470236554689</c:v>
                </c:pt>
                <c:pt idx="128">
                  <c:v>86.840092116925035</c:v>
                </c:pt>
                <c:pt idx="129">
                  <c:v>86.847025615072127</c:v>
                </c:pt>
                <c:pt idx="130">
                  <c:v>86.854152227098979</c:v>
                </c:pt>
                <c:pt idx="131">
                  <c:v>86.861374656635277</c:v>
                </c:pt>
                <c:pt idx="132">
                  <c:v>86.868136387418815</c:v>
                </c:pt>
                <c:pt idx="133">
                  <c:v>86.874841971475391</c:v>
                </c:pt>
                <c:pt idx="134">
                  <c:v>86.881198406733759</c:v>
                </c:pt>
                <c:pt idx="135">
                  <c:v>86.887411928662445</c:v>
                </c:pt>
                <c:pt idx="136">
                  <c:v>86.89395864020716</c:v>
                </c:pt>
                <c:pt idx="137">
                  <c:v>86.900242134712926</c:v>
                </c:pt>
                <c:pt idx="138">
                  <c:v>86.906520113852309</c:v>
                </c:pt>
                <c:pt idx="139">
                  <c:v>86.912231695550176</c:v>
                </c:pt>
                <c:pt idx="140">
                  <c:v>86.91825754871715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45504</c:v>
                </c:pt>
                <c:pt idx="1">
                  <c:v>45505</c:v>
                </c:pt>
                <c:pt idx="2">
                  <c:v>45506</c:v>
                </c:pt>
                <c:pt idx="3">
                  <c:v>45507</c:v>
                </c:pt>
                <c:pt idx="4">
                  <c:v>45508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45514</c:v>
                </c:pt>
                <c:pt idx="11">
                  <c:v>45515</c:v>
                </c:pt>
                <c:pt idx="12">
                  <c:v>45516</c:v>
                </c:pt>
                <c:pt idx="13">
                  <c:v>45517</c:v>
                </c:pt>
                <c:pt idx="14">
                  <c:v>45518</c:v>
                </c:pt>
                <c:pt idx="15">
                  <c:v>45519</c:v>
                </c:pt>
                <c:pt idx="16">
                  <c:v>45520</c:v>
                </c:pt>
                <c:pt idx="17">
                  <c:v>45521</c:v>
                </c:pt>
                <c:pt idx="18">
                  <c:v>45522</c:v>
                </c:pt>
                <c:pt idx="19">
                  <c:v>45523</c:v>
                </c:pt>
                <c:pt idx="20">
                  <c:v>45524</c:v>
                </c:pt>
                <c:pt idx="21">
                  <c:v>45525</c:v>
                </c:pt>
                <c:pt idx="22">
                  <c:v>45526</c:v>
                </c:pt>
                <c:pt idx="23">
                  <c:v>45527</c:v>
                </c:pt>
                <c:pt idx="24">
                  <c:v>45528</c:v>
                </c:pt>
                <c:pt idx="25">
                  <c:v>45529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45535</c:v>
                </c:pt>
                <c:pt idx="32">
                  <c:v>45536</c:v>
                </c:pt>
                <c:pt idx="33">
                  <c:v>45537</c:v>
                </c:pt>
                <c:pt idx="34">
                  <c:v>45538</c:v>
                </c:pt>
                <c:pt idx="35">
                  <c:v>45539</c:v>
                </c:pt>
                <c:pt idx="36">
                  <c:v>45540</c:v>
                </c:pt>
                <c:pt idx="37">
                  <c:v>45541</c:v>
                </c:pt>
                <c:pt idx="38">
                  <c:v>45542</c:v>
                </c:pt>
                <c:pt idx="39">
                  <c:v>45543</c:v>
                </c:pt>
                <c:pt idx="40">
                  <c:v>45544</c:v>
                </c:pt>
                <c:pt idx="41">
                  <c:v>45545</c:v>
                </c:pt>
                <c:pt idx="42">
                  <c:v>45546</c:v>
                </c:pt>
                <c:pt idx="43">
                  <c:v>45547</c:v>
                </c:pt>
                <c:pt idx="44">
                  <c:v>45548</c:v>
                </c:pt>
                <c:pt idx="45">
                  <c:v>45549</c:v>
                </c:pt>
                <c:pt idx="46">
                  <c:v>45550</c:v>
                </c:pt>
                <c:pt idx="47">
                  <c:v>45551</c:v>
                </c:pt>
                <c:pt idx="48">
                  <c:v>45552</c:v>
                </c:pt>
                <c:pt idx="49">
                  <c:v>45553</c:v>
                </c:pt>
                <c:pt idx="50">
                  <c:v>45554</c:v>
                </c:pt>
                <c:pt idx="51">
                  <c:v>45555</c:v>
                </c:pt>
                <c:pt idx="52">
                  <c:v>45556</c:v>
                </c:pt>
                <c:pt idx="53">
                  <c:v>45557</c:v>
                </c:pt>
                <c:pt idx="54">
                  <c:v>45558</c:v>
                </c:pt>
                <c:pt idx="55">
                  <c:v>45559</c:v>
                </c:pt>
                <c:pt idx="56">
                  <c:v>45560</c:v>
                </c:pt>
                <c:pt idx="57">
                  <c:v>45561</c:v>
                </c:pt>
                <c:pt idx="58">
                  <c:v>45562</c:v>
                </c:pt>
                <c:pt idx="59">
                  <c:v>45563</c:v>
                </c:pt>
                <c:pt idx="60">
                  <c:v>45564</c:v>
                </c:pt>
                <c:pt idx="61">
                  <c:v>45565</c:v>
                </c:pt>
                <c:pt idx="62">
                  <c:v>45566</c:v>
                </c:pt>
                <c:pt idx="63">
                  <c:v>45567</c:v>
                </c:pt>
                <c:pt idx="64">
                  <c:v>45568</c:v>
                </c:pt>
                <c:pt idx="65">
                  <c:v>45569</c:v>
                </c:pt>
                <c:pt idx="66">
                  <c:v>45570</c:v>
                </c:pt>
                <c:pt idx="67">
                  <c:v>45571</c:v>
                </c:pt>
                <c:pt idx="68">
                  <c:v>45572</c:v>
                </c:pt>
                <c:pt idx="69">
                  <c:v>45573</c:v>
                </c:pt>
                <c:pt idx="70">
                  <c:v>45574</c:v>
                </c:pt>
                <c:pt idx="71">
                  <c:v>45575</c:v>
                </c:pt>
                <c:pt idx="72">
                  <c:v>45576</c:v>
                </c:pt>
                <c:pt idx="73">
                  <c:v>45577</c:v>
                </c:pt>
                <c:pt idx="74">
                  <c:v>45578</c:v>
                </c:pt>
                <c:pt idx="75">
                  <c:v>45579</c:v>
                </c:pt>
                <c:pt idx="76">
                  <c:v>45580</c:v>
                </c:pt>
                <c:pt idx="77">
                  <c:v>45581</c:v>
                </c:pt>
                <c:pt idx="78">
                  <c:v>45582</c:v>
                </c:pt>
                <c:pt idx="79">
                  <c:v>45583</c:v>
                </c:pt>
                <c:pt idx="80">
                  <c:v>45584</c:v>
                </c:pt>
                <c:pt idx="81">
                  <c:v>45585</c:v>
                </c:pt>
                <c:pt idx="82">
                  <c:v>45586</c:v>
                </c:pt>
                <c:pt idx="83">
                  <c:v>45587</c:v>
                </c:pt>
                <c:pt idx="84">
                  <c:v>45588</c:v>
                </c:pt>
                <c:pt idx="85">
                  <c:v>45589</c:v>
                </c:pt>
                <c:pt idx="86">
                  <c:v>45590</c:v>
                </c:pt>
                <c:pt idx="87">
                  <c:v>45591</c:v>
                </c:pt>
                <c:pt idx="88">
                  <c:v>45592</c:v>
                </c:pt>
                <c:pt idx="89">
                  <c:v>45593</c:v>
                </c:pt>
                <c:pt idx="90">
                  <c:v>45594</c:v>
                </c:pt>
                <c:pt idx="91">
                  <c:v>45595</c:v>
                </c:pt>
                <c:pt idx="92">
                  <c:v>45596</c:v>
                </c:pt>
                <c:pt idx="93">
                  <c:v>45597</c:v>
                </c:pt>
                <c:pt idx="94">
                  <c:v>45598</c:v>
                </c:pt>
                <c:pt idx="95">
                  <c:v>45599</c:v>
                </c:pt>
                <c:pt idx="96">
                  <c:v>45600</c:v>
                </c:pt>
                <c:pt idx="97">
                  <c:v>45601</c:v>
                </c:pt>
                <c:pt idx="98">
                  <c:v>45602</c:v>
                </c:pt>
                <c:pt idx="99">
                  <c:v>45603</c:v>
                </c:pt>
                <c:pt idx="100">
                  <c:v>45604</c:v>
                </c:pt>
                <c:pt idx="101">
                  <c:v>45605</c:v>
                </c:pt>
                <c:pt idx="102">
                  <c:v>45606</c:v>
                </c:pt>
                <c:pt idx="103">
                  <c:v>45607</c:v>
                </c:pt>
                <c:pt idx="104">
                  <c:v>45608</c:v>
                </c:pt>
                <c:pt idx="105">
                  <c:v>45609</c:v>
                </c:pt>
                <c:pt idx="106">
                  <c:v>45610</c:v>
                </c:pt>
                <c:pt idx="107">
                  <c:v>45611</c:v>
                </c:pt>
                <c:pt idx="108">
                  <c:v>45612</c:v>
                </c:pt>
                <c:pt idx="109">
                  <c:v>45613</c:v>
                </c:pt>
                <c:pt idx="110">
                  <c:v>45614</c:v>
                </c:pt>
                <c:pt idx="111">
                  <c:v>45615</c:v>
                </c:pt>
                <c:pt idx="112">
                  <c:v>45616</c:v>
                </c:pt>
                <c:pt idx="113">
                  <c:v>45617</c:v>
                </c:pt>
                <c:pt idx="114">
                  <c:v>45618</c:v>
                </c:pt>
                <c:pt idx="115">
                  <c:v>45619</c:v>
                </c:pt>
                <c:pt idx="116">
                  <c:v>45620</c:v>
                </c:pt>
                <c:pt idx="117">
                  <c:v>45621</c:v>
                </c:pt>
                <c:pt idx="118">
                  <c:v>45622</c:v>
                </c:pt>
                <c:pt idx="119">
                  <c:v>45623</c:v>
                </c:pt>
                <c:pt idx="120">
                  <c:v>45624</c:v>
                </c:pt>
                <c:pt idx="121">
                  <c:v>45625</c:v>
                </c:pt>
                <c:pt idx="122">
                  <c:v>45626</c:v>
                </c:pt>
                <c:pt idx="123">
                  <c:v>45627</c:v>
                </c:pt>
                <c:pt idx="124">
                  <c:v>45628</c:v>
                </c:pt>
                <c:pt idx="125">
                  <c:v>45629</c:v>
                </c:pt>
                <c:pt idx="126">
                  <c:v>45630</c:v>
                </c:pt>
                <c:pt idx="127">
                  <c:v>45631</c:v>
                </c:pt>
                <c:pt idx="128">
                  <c:v>45632</c:v>
                </c:pt>
                <c:pt idx="129">
                  <c:v>45633</c:v>
                </c:pt>
                <c:pt idx="130">
                  <c:v>45634</c:v>
                </c:pt>
                <c:pt idx="131">
                  <c:v>45635</c:v>
                </c:pt>
                <c:pt idx="132">
                  <c:v>45636</c:v>
                </c:pt>
                <c:pt idx="133">
                  <c:v>45637</c:v>
                </c:pt>
                <c:pt idx="134">
                  <c:v>45638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2.2995005421189183</c:v>
                </c:pt>
                <c:pt idx="15">
                  <c:v>2.361999260311241</c:v>
                </c:pt>
                <c:pt idx="16">
                  <c:v>2.4256044926253555</c:v>
                </c:pt>
                <c:pt idx="17">
                  <c:v>2.4855061405566277</c:v>
                </c:pt>
                <c:pt idx="18">
                  <c:v>2.5514288086155954</c:v>
                </c:pt>
                <c:pt idx="19">
                  <c:v>2.6174376176838097</c:v>
                </c:pt>
                <c:pt idx="20">
                  <c:v>2.6889125682515975</c:v>
                </c:pt>
                <c:pt idx="21">
                  <c:v>2.7603933204722804</c:v>
                </c:pt>
                <c:pt idx="22">
                  <c:v>2.8341852395901346</c:v>
                </c:pt>
                <c:pt idx="23">
                  <c:v>2.912372368643088</c:v>
                </c:pt>
                <c:pt idx="24">
                  <c:v>2.9912922908529005</c:v>
                </c:pt>
                <c:pt idx="25">
                  <c:v>3.0807149083152252</c:v>
                </c:pt>
                <c:pt idx="26">
                  <c:v>3.1730676569599283</c:v>
                </c:pt>
                <c:pt idx="27">
                  <c:v>3.271066942141156</c:v>
                </c:pt>
                <c:pt idx="28">
                  <c:v>3.3673520565974986</c:v>
                </c:pt>
                <c:pt idx="29">
                  <c:v>3.4715366865372261</c:v>
                </c:pt>
                <c:pt idx="30">
                  <c:v>3.5744045910940874</c:v>
                </c:pt>
                <c:pt idx="31">
                  <c:v>3.6747398335248929</c:v>
                </c:pt>
                <c:pt idx="32">
                  <c:v>3.7730762737090533</c:v>
                </c:pt>
                <c:pt idx="33">
                  <c:v>3.8749293333398986</c:v>
                </c:pt>
                <c:pt idx="34">
                  <c:v>3.9827437673303696</c:v>
                </c:pt>
                <c:pt idx="35">
                  <c:v>4.0902972578243517</c:v>
                </c:pt>
                <c:pt idx="36">
                  <c:v>4.2070434631817974</c:v>
                </c:pt>
                <c:pt idx="37">
                  <c:v>4.3321531755414853</c:v>
                </c:pt>
                <c:pt idx="38">
                  <c:v>4.4585235854725624</c:v>
                </c:pt>
                <c:pt idx="39">
                  <c:v>4.576418975623346</c:v>
                </c:pt>
                <c:pt idx="40">
                  <c:v>4.7033626042960677</c:v>
                </c:pt>
                <c:pt idx="41">
                  <c:v>4.8409445777429969</c:v>
                </c:pt>
                <c:pt idx="42">
                  <c:v>4.9798577519210854</c:v>
                </c:pt>
                <c:pt idx="43">
                  <c:v>5.133148658001871</c:v>
                </c:pt>
                <c:pt idx="44">
                  <c:v>5.289284470136284</c:v>
                </c:pt>
                <c:pt idx="45">
                  <c:v>5.4539305988196176</c:v>
                </c:pt>
                <c:pt idx="46">
                  <c:v>5.6222627289319238</c:v>
                </c:pt>
                <c:pt idx="47">
                  <c:v>5.8098899450446133</c:v>
                </c:pt>
                <c:pt idx="48">
                  <c:v>5.9895930475149743</c:v>
                </c:pt>
                <c:pt idx="49">
                  <c:v>6.1605960718014039</c:v>
                </c:pt>
                <c:pt idx="50">
                  <c:v>6.3342439457426636</c:v>
                </c:pt>
                <c:pt idx="51">
                  <c:v>6.5031772531876912</c:v>
                </c:pt>
                <c:pt idx="52">
                  <c:v>6.6818523445224365</c:v>
                </c:pt>
                <c:pt idx="53">
                  <c:v>6.8798621393365824</c:v>
                </c:pt>
                <c:pt idx="54">
                  <c:v>7.0962592099393831</c:v>
                </c:pt>
                <c:pt idx="55">
                  <c:v>7.3281018646238012</c:v>
                </c:pt>
                <c:pt idx="56">
                  <c:v>7.5585256143899153</c:v>
                </c:pt>
                <c:pt idx="57">
                  <c:v>7.8032653705314781</c:v>
                </c:pt>
                <c:pt idx="58">
                  <c:v>8.0612233195056291</c:v>
                </c:pt>
                <c:pt idx="59">
                  <c:v>8.3341268279317795</c:v>
                </c:pt>
                <c:pt idx="60">
                  <c:v>8.6126679883894859</c:v>
                </c:pt>
                <c:pt idx="61">
                  <c:v>8.8795523015837468</c:v>
                </c:pt>
                <c:pt idx="62">
                  <c:v>9.1628188202409344</c:v>
                </c:pt>
                <c:pt idx="63">
                  <c:v>9.4771763861887823</c:v>
                </c:pt>
                <c:pt idx="64">
                  <c:v>9.7762039860883085</c:v>
                </c:pt>
                <c:pt idx="65">
                  <c:v>10.082425699197985</c:v>
                </c:pt>
                <c:pt idx="66">
                  <c:v>10.395692520355979</c:v>
                </c:pt>
                <c:pt idx="67">
                  <c:v>10.72606337734724</c:v>
                </c:pt>
                <c:pt idx="68">
                  <c:v>11.058461202146567</c:v>
                </c:pt>
                <c:pt idx="69">
                  <c:v>11.390163076071014</c:v>
                </c:pt>
                <c:pt idx="70">
                  <c:v>11.724426116240524</c:v>
                </c:pt>
                <c:pt idx="71">
                  <c:v>12.102808065590867</c:v>
                </c:pt>
                <c:pt idx="72">
                  <c:v>12.495216276076967</c:v>
                </c:pt>
                <c:pt idx="73">
                  <c:v>12.884778374105325</c:v>
                </c:pt>
                <c:pt idx="74">
                  <c:v>13.306097323623796</c:v>
                </c:pt>
                <c:pt idx="75">
                  <c:v>13.736484846365855</c:v>
                </c:pt>
                <c:pt idx="76">
                  <c:v>14.165897156085087</c:v>
                </c:pt>
                <c:pt idx="77">
                  <c:v>14.631804936458082</c:v>
                </c:pt>
                <c:pt idx="78">
                  <c:v>15.101745006146484</c:v>
                </c:pt>
                <c:pt idx="79">
                  <c:v>15.562084999746965</c:v>
                </c:pt>
                <c:pt idx="80">
                  <c:v>16.054583584474024</c:v>
                </c:pt>
                <c:pt idx="81">
                  <c:v>16.553222396929314</c:v>
                </c:pt>
                <c:pt idx="82">
                  <c:v>17.082899550582617</c:v>
                </c:pt>
                <c:pt idx="83">
                  <c:v>17.597115369851803</c:v>
                </c:pt>
                <c:pt idx="84">
                  <c:v>18.126017407274396</c:v>
                </c:pt>
                <c:pt idx="85">
                  <c:v>18.694324444611887</c:v>
                </c:pt>
                <c:pt idx="86">
                  <c:v>19.319147036908486</c:v>
                </c:pt>
                <c:pt idx="87">
                  <c:v>19.967015807110609</c:v>
                </c:pt>
                <c:pt idx="88">
                  <c:v>20.609324651886041</c:v>
                </c:pt>
                <c:pt idx="89">
                  <c:v>21.294814106902475</c:v>
                </c:pt>
                <c:pt idx="90">
                  <c:v>21.951540149858282</c:v>
                </c:pt>
                <c:pt idx="91">
                  <c:v>22.601704695581454</c:v>
                </c:pt>
                <c:pt idx="92">
                  <c:v>23.25943064372419</c:v>
                </c:pt>
                <c:pt idx="93">
                  <c:v>23.977227114564251</c:v>
                </c:pt>
                <c:pt idx="94">
                  <c:v>24.769722466814059</c:v>
                </c:pt>
                <c:pt idx="95">
                  <c:v>25.554557012471452</c:v>
                </c:pt>
                <c:pt idx="96">
                  <c:v>26.325018610338361</c:v>
                </c:pt>
                <c:pt idx="97">
                  <c:v>27.102118052890347</c:v>
                </c:pt>
                <c:pt idx="98">
                  <c:v>27.912186939598719</c:v>
                </c:pt>
                <c:pt idx="99">
                  <c:v>28.767625442194486</c:v>
                </c:pt>
                <c:pt idx="100">
                  <c:v>29.659538836612715</c:v>
                </c:pt>
                <c:pt idx="101">
                  <c:v>30.538338973245963</c:v>
                </c:pt>
                <c:pt idx="102">
                  <c:v>31.449727655661178</c:v>
                </c:pt>
                <c:pt idx="103">
                  <c:v>32.322723913543555</c:v>
                </c:pt>
                <c:pt idx="104">
                  <c:v>33.176154378369233</c:v>
                </c:pt>
                <c:pt idx="105">
                  <c:v>34.046704998570988</c:v>
                </c:pt>
                <c:pt idx="106">
                  <c:v>34.993065493289208</c:v>
                </c:pt>
                <c:pt idx="107">
                  <c:v>36.047822384235246</c:v>
                </c:pt>
                <c:pt idx="108">
                  <c:v>37.135878544897587</c:v>
                </c:pt>
                <c:pt idx="109">
                  <c:v>38.20557657796661</c:v>
                </c:pt>
                <c:pt idx="110">
                  <c:v>39.253728026939257</c:v>
                </c:pt>
                <c:pt idx="111">
                  <c:v>40.330973237222693</c:v>
                </c:pt>
                <c:pt idx="112">
                  <c:v>41.429591585693572</c:v>
                </c:pt>
                <c:pt idx="113">
                  <c:v>42.550254235732339</c:v>
                </c:pt>
                <c:pt idx="114">
                  <c:v>43.731257737009955</c:v>
                </c:pt>
                <c:pt idx="115">
                  <c:v>44.927756167764734</c:v>
                </c:pt>
                <c:pt idx="116">
                  <c:v>46.215049820488701</c:v>
                </c:pt>
                <c:pt idx="117">
                  <c:v>47.528257207214168</c:v>
                </c:pt>
                <c:pt idx="118">
                  <c:v>48.883395104504196</c:v>
                </c:pt>
                <c:pt idx="119">
                  <c:v>50.234369415533571</c:v>
                </c:pt>
                <c:pt idx="120">
                  <c:v>51.508904320622491</c:v>
                </c:pt>
                <c:pt idx="121">
                  <c:v>52.885660038276662</c:v>
                </c:pt>
                <c:pt idx="122">
                  <c:v>54.252102284238283</c:v>
                </c:pt>
                <c:pt idx="123">
                  <c:v>55.648852202977544</c:v>
                </c:pt>
                <c:pt idx="124">
                  <c:v>57.045120301990536</c:v>
                </c:pt>
                <c:pt idx="125">
                  <c:v>58.492954099219304</c:v>
                </c:pt>
                <c:pt idx="126">
                  <c:v>59.931764677396792</c:v>
                </c:pt>
                <c:pt idx="127">
                  <c:v>61.374183079528883</c:v>
                </c:pt>
                <c:pt idx="128">
                  <c:v>62.767131668136678</c:v>
                </c:pt>
                <c:pt idx="129">
                  <c:v>64.105241197242378</c:v>
                </c:pt>
                <c:pt idx="130">
                  <c:v>65.498833755827349</c:v>
                </c:pt>
                <c:pt idx="131">
                  <c:v>66.95971566635275</c:v>
                </c:pt>
                <c:pt idx="132">
                  <c:v>68.4856482899106</c:v>
                </c:pt>
                <c:pt idx="133">
                  <c:v>69.95873656707073</c:v>
                </c:pt>
                <c:pt idx="134">
                  <c:v>71.412775546909458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45504</c:v>
                </c:pt>
                <c:pt idx="1">
                  <c:v>45505</c:v>
                </c:pt>
                <c:pt idx="2">
                  <c:v>45506</c:v>
                </c:pt>
                <c:pt idx="3">
                  <c:v>45507</c:v>
                </c:pt>
                <c:pt idx="4">
                  <c:v>45508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45514</c:v>
                </c:pt>
                <c:pt idx="11">
                  <c:v>45515</c:v>
                </c:pt>
                <c:pt idx="12">
                  <c:v>45516</c:v>
                </c:pt>
                <c:pt idx="13">
                  <c:v>45517</c:v>
                </c:pt>
                <c:pt idx="14">
                  <c:v>45518</c:v>
                </c:pt>
                <c:pt idx="15">
                  <c:v>45519</c:v>
                </c:pt>
                <c:pt idx="16">
                  <c:v>45520</c:v>
                </c:pt>
                <c:pt idx="17">
                  <c:v>45521</c:v>
                </c:pt>
                <c:pt idx="18">
                  <c:v>45522</c:v>
                </c:pt>
                <c:pt idx="19">
                  <c:v>45523</c:v>
                </c:pt>
                <c:pt idx="20">
                  <c:v>45524</c:v>
                </c:pt>
                <c:pt idx="21">
                  <c:v>45525</c:v>
                </c:pt>
                <c:pt idx="22">
                  <c:v>45526</c:v>
                </c:pt>
                <c:pt idx="23">
                  <c:v>45527</c:v>
                </c:pt>
                <c:pt idx="24">
                  <c:v>45528</c:v>
                </c:pt>
                <c:pt idx="25">
                  <c:v>45529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45535</c:v>
                </c:pt>
                <c:pt idx="32">
                  <c:v>45536</c:v>
                </c:pt>
                <c:pt idx="33">
                  <c:v>45537</c:v>
                </c:pt>
                <c:pt idx="34">
                  <c:v>45538</c:v>
                </c:pt>
                <c:pt idx="35">
                  <c:v>45539</c:v>
                </c:pt>
                <c:pt idx="36">
                  <c:v>45540</c:v>
                </c:pt>
                <c:pt idx="37">
                  <c:v>45541</c:v>
                </c:pt>
                <c:pt idx="38">
                  <c:v>45542</c:v>
                </c:pt>
                <c:pt idx="39">
                  <c:v>45543</c:v>
                </c:pt>
                <c:pt idx="40">
                  <c:v>45544</c:v>
                </c:pt>
                <c:pt idx="41">
                  <c:v>45545</c:v>
                </c:pt>
                <c:pt idx="42">
                  <c:v>45546</c:v>
                </c:pt>
                <c:pt idx="43">
                  <c:v>45547</c:v>
                </c:pt>
                <c:pt idx="44">
                  <c:v>45548</c:v>
                </c:pt>
                <c:pt idx="45">
                  <c:v>45549</c:v>
                </c:pt>
                <c:pt idx="46">
                  <c:v>45550</c:v>
                </c:pt>
                <c:pt idx="47">
                  <c:v>45551</c:v>
                </c:pt>
                <c:pt idx="48">
                  <c:v>45552</c:v>
                </c:pt>
                <c:pt idx="49">
                  <c:v>45553</c:v>
                </c:pt>
                <c:pt idx="50">
                  <c:v>45554</c:v>
                </c:pt>
                <c:pt idx="51">
                  <c:v>45555</c:v>
                </c:pt>
                <c:pt idx="52">
                  <c:v>45556</c:v>
                </c:pt>
                <c:pt idx="53">
                  <c:v>45557</c:v>
                </c:pt>
                <c:pt idx="54">
                  <c:v>45558</c:v>
                </c:pt>
                <c:pt idx="55">
                  <c:v>45559</c:v>
                </c:pt>
                <c:pt idx="56">
                  <c:v>45560</c:v>
                </c:pt>
                <c:pt idx="57">
                  <c:v>45561</c:v>
                </c:pt>
                <c:pt idx="58">
                  <c:v>45562</c:v>
                </c:pt>
                <c:pt idx="59">
                  <c:v>45563</c:v>
                </c:pt>
                <c:pt idx="60">
                  <c:v>45564</c:v>
                </c:pt>
                <c:pt idx="61">
                  <c:v>45565</c:v>
                </c:pt>
                <c:pt idx="62">
                  <c:v>45566</c:v>
                </c:pt>
                <c:pt idx="63">
                  <c:v>45567</c:v>
                </c:pt>
                <c:pt idx="64">
                  <c:v>45568</c:v>
                </c:pt>
                <c:pt idx="65">
                  <c:v>45569</c:v>
                </c:pt>
                <c:pt idx="66">
                  <c:v>45570</c:v>
                </c:pt>
                <c:pt idx="67">
                  <c:v>45571</c:v>
                </c:pt>
                <c:pt idx="68">
                  <c:v>45572</c:v>
                </c:pt>
                <c:pt idx="69">
                  <c:v>45573</c:v>
                </c:pt>
                <c:pt idx="70">
                  <c:v>45574</c:v>
                </c:pt>
                <c:pt idx="71">
                  <c:v>45575</c:v>
                </c:pt>
                <c:pt idx="72">
                  <c:v>45576</c:v>
                </c:pt>
                <c:pt idx="73">
                  <c:v>45577</c:v>
                </c:pt>
                <c:pt idx="74">
                  <c:v>45578</c:v>
                </c:pt>
                <c:pt idx="75">
                  <c:v>45579</c:v>
                </c:pt>
                <c:pt idx="76">
                  <c:v>45580</c:v>
                </c:pt>
                <c:pt idx="77">
                  <c:v>45581</c:v>
                </c:pt>
                <c:pt idx="78">
                  <c:v>45582</c:v>
                </c:pt>
                <c:pt idx="79">
                  <c:v>45583</c:v>
                </c:pt>
                <c:pt idx="80">
                  <c:v>45584</c:v>
                </c:pt>
                <c:pt idx="81">
                  <c:v>45585</c:v>
                </c:pt>
                <c:pt idx="82">
                  <c:v>45586</c:v>
                </c:pt>
                <c:pt idx="83">
                  <c:v>45587</c:v>
                </c:pt>
                <c:pt idx="84">
                  <c:v>45588</c:v>
                </c:pt>
                <c:pt idx="85">
                  <c:v>45589</c:v>
                </c:pt>
                <c:pt idx="86">
                  <c:v>45590</c:v>
                </c:pt>
                <c:pt idx="87">
                  <c:v>45591</c:v>
                </c:pt>
                <c:pt idx="88">
                  <c:v>45592</c:v>
                </c:pt>
                <c:pt idx="89">
                  <c:v>45593</c:v>
                </c:pt>
                <c:pt idx="90">
                  <c:v>45594</c:v>
                </c:pt>
                <c:pt idx="91">
                  <c:v>45595</c:v>
                </c:pt>
                <c:pt idx="92">
                  <c:v>45596</c:v>
                </c:pt>
                <c:pt idx="93">
                  <c:v>45597</c:v>
                </c:pt>
                <c:pt idx="94">
                  <c:v>45598</c:v>
                </c:pt>
                <c:pt idx="95">
                  <c:v>45599</c:v>
                </c:pt>
                <c:pt idx="96">
                  <c:v>45600</c:v>
                </c:pt>
                <c:pt idx="97">
                  <c:v>45601</c:v>
                </c:pt>
                <c:pt idx="98">
                  <c:v>45602</c:v>
                </c:pt>
                <c:pt idx="99">
                  <c:v>45603</c:v>
                </c:pt>
                <c:pt idx="100">
                  <c:v>45604</c:v>
                </c:pt>
                <c:pt idx="101">
                  <c:v>45605</c:v>
                </c:pt>
                <c:pt idx="102">
                  <c:v>45606</c:v>
                </c:pt>
                <c:pt idx="103">
                  <c:v>45607</c:v>
                </c:pt>
                <c:pt idx="104">
                  <c:v>45608</c:v>
                </c:pt>
                <c:pt idx="105">
                  <c:v>45609</c:v>
                </c:pt>
                <c:pt idx="106">
                  <c:v>45610</c:v>
                </c:pt>
                <c:pt idx="107">
                  <c:v>45611</c:v>
                </c:pt>
                <c:pt idx="108">
                  <c:v>45612</c:v>
                </c:pt>
                <c:pt idx="109">
                  <c:v>45613</c:v>
                </c:pt>
                <c:pt idx="110">
                  <c:v>45614</c:v>
                </c:pt>
                <c:pt idx="111">
                  <c:v>45615</c:v>
                </c:pt>
                <c:pt idx="112">
                  <c:v>45616</c:v>
                </c:pt>
                <c:pt idx="113">
                  <c:v>45617</c:v>
                </c:pt>
                <c:pt idx="114">
                  <c:v>45618</c:v>
                </c:pt>
                <c:pt idx="115">
                  <c:v>45619</c:v>
                </c:pt>
                <c:pt idx="116">
                  <c:v>45620</c:v>
                </c:pt>
                <c:pt idx="117">
                  <c:v>45621</c:v>
                </c:pt>
                <c:pt idx="118">
                  <c:v>45622</c:v>
                </c:pt>
                <c:pt idx="119">
                  <c:v>45623</c:v>
                </c:pt>
                <c:pt idx="120">
                  <c:v>45624</c:v>
                </c:pt>
                <c:pt idx="121">
                  <c:v>45625</c:v>
                </c:pt>
                <c:pt idx="122">
                  <c:v>45626</c:v>
                </c:pt>
                <c:pt idx="123">
                  <c:v>45627</c:v>
                </c:pt>
                <c:pt idx="124">
                  <c:v>45628</c:v>
                </c:pt>
                <c:pt idx="125">
                  <c:v>45629</c:v>
                </c:pt>
                <c:pt idx="126">
                  <c:v>45630</c:v>
                </c:pt>
                <c:pt idx="127">
                  <c:v>45631</c:v>
                </c:pt>
                <c:pt idx="128">
                  <c:v>45632</c:v>
                </c:pt>
                <c:pt idx="129">
                  <c:v>45633</c:v>
                </c:pt>
                <c:pt idx="130">
                  <c:v>45634</c:v>
                </c:pt>
                <c:pt idx="131">
                  <c:v>45635</c:v>
                </c:pt>
                <c:pt idx="132">
                  <c:v>45636</c:v>
                </c:pt>
                <c:pt idx="133">
                  <c:v>45637</c:v>
                </c:pt>
                <c:pt idx="134">
                  <c:v>45638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34.751250157746227</c:v>
                </c:pt>
                <c:pt idx="1">
                  <c:v>41.01852143046515</c:v>
                </c:pt>
                <c:pt idx="2">
                  <c:v>47.179763292432973</c:v>
                </c:pt>
                <c:pt idx="3">
                  <c:v>51.371308655334438</c:v>
                </c:pt>
                <c:pt idx="4">
                  <c:v>56.067177241065394</c:v>
                </c:pt>
                <c:pt idx="5">
                  <c:v>59.646448968812798</c:v>
                </c:pt>
                <c:pt idx="6">
                  <c:v>63.887300226245785</c:v>
                </c:pt>
                <c:pt idx="7">
                  <c:v>66.897782313523621</c:v>
                </c:pt>
                <c:pt idx="8">
                  <c:v>69.421448668113172</c:v>
                </c:pt>
                <c:pt idx="9">
                  <c:v>72.509940112224214</c:v>
                </c:pt>
                <c:pt idx="10">
                  <c:v>73.989687787042016</c:v>
                </c:pt>
                <c:pt idx="11">
                  <c:v>75.203331945150879</c:v>
                </c:pt>
                <c:pt idx="12">
                  <c:v>77.251047083230091</c:v>
                </c:pt>
                <c:pt idx="13">
                  <c:v>77.20160313978586</c:v>
                </c:pt>
                <c:pt idx="14">
                  <c:v>78.762888198165015</c:v>
                </c:pt>
                <c:pt idx="15">
                  <c:v>81.123838013512895</c:v>
                </c:pt>
                <c:pt idx="16">
                  <c:v>80.511881010335671</c:v>
                </c:pt>
                <c:pt idx="17">
                  <c:v>81.456247109691674</c:v>
                </c:pt>
                <c:pt idx="18">
                  <c:v>83.170786045777717</c:v>
                </c:pt>
                <c:pt idx="19">
                  <c:v>83.753337823428268</c:v>
                </c:pt>
                <c:pt idx="20">
                  <c:v>85.220130483946093</c:v>
                </c:pt>
                <c:pt idx="21">
                  <c:v>85.255276831418769</c:v>
                </c:pt>
                <c:pt idx="22">
                  <c:v>86.849287492339485</c:v>
                </c:pt>
                <c:pt idx="23">
                  <c:v>88.420780054078861</c:v>
                </c:pt>
                <c:pt idx="24">
                  <c:v>89.877204785210552</c:v>
                </c:pt>
                <c:pt idx="25">
                  <c:v>90.464626427573208</c:v>
                </c:pt>
                <c:pt idx="26">
                  <c:v>91.888517801412362</c:v>
                </c:pt>
                <c:pt idx="27">
                  <c:v>93.26940025335071</c:v>
                </c:pt>
                <c:pt idx="28">
                  <c:v>93.734813386930398</c:v>
                </c:pt>
                <c:pt idx="29">
                  <c:v>94.965744281807162</c:v>
                </c:pt>
                <c:pt idx="30">
                  <c:v>96.07896803932627</c:v>
                </c:pt>
                <c:pt idx="31">
                  <c:v>97.080398735499884</c:v>
                </c:pt>
                <c:pt idx="32">
                  <c:v>97.727544211000762</c:v>
                </c:pt>
                <c:pt idx="33">
                  <c:v>98.605553364424537</c:v>
                </c:pt>
                <c:pt idx="34">
                  <c:v>99.469469494752147</c:v>
                </c:pt>
                <c:pt idx="35">
                  <c:v>99.092186128523807</c:v>
                </c:pt>
                <c:pt idx="36">
                  <c:v>96.864380527789095</c:v>
                </c:pt>
                <c:pt idx="37">
                  <c:v>97.674718848513649</c:v>
                </c:pt>
                <c:pt idx="38">
                  <c:v>98.436397768724163</c:v>
                </c:pt>
                <c:pt idx="39">
                  <c:v>98.444370704560185</c:v>
                </c:pt>
                <c:pt idx="40">
                  <c:v>97.894501450493124</c:v>
                </c:pt>
                <c:pt idx="41">
                  <c:v>95.382855099890492</c:v>
                </c:pt>
                <c:pt idx="42">
                  <c:v>95.965209830843193</c:v>
                </c:pt>
                <c:pt idx="43">
                  <c:v>96.635529803587133</c:v>
                </c:pt>
                <c:pt idx="44">
                  <c:v>97.007076820799867</c:v>
                </c:pt>
                <c:pt idx="45">
                  <c:v>97.640135805386279</c:v>
                </c:pt>
                <c:pt idx="46">
                  <c:v>98.100233158367573</c:v>
                </c:pt>
                <c:pt idx="47">
                  <c:v>96.991723301203038</c:v>
                </c:pt>
                <c:pt idx="48">
                  <c:v>96.257740409347079</c:v>
                </c:pt>
                <c:pt idx="49">
                  <c:v>92.352530347723103</c:v>
                </c:pt>
                <c:pt idx="50">
                  <c:v>91.705301603577453</c:v>
                </c:pt>
                <c:pt idx="51">
                  <c:v>92.159267265597521</c:v>
                </c:pt>
                <c:pt idx="52">
                  <c:v>91.78806494987677</c:v>
                </c:pt>
                <c:pt idx="53">
                  <c:v>92.268717719472917</c:v>
                </c:pt>
                <c:pt idx="54">
                  <c:v>90.536672291121334</c:v>
                </c:pt>
                <c:pt idx="55">
                  <c:v>91.044602738807029</c:v>
                </c:pt>
                <c:pt idx="56">
                  <c:v>91.519032801546359</c:v>
                </c:pt>
                <c:pt idx="57">
                  <c:v>91.98046526804518</c:v>
                </c:pt>
                <c:pt idx="58">
                  <c:v>92.458277960744908</c:v>
                </c:pt>
                <c:pt idx="59">
                  <c:v>92.937364456100468</c:v>
                </c:pt>
                <c:pt idx="60">
                  <c:v>91.540725954072158</c:v>
                </c:pt>
                <c:pt idx="61">
                  <c:v>91.95218760836778</c:v>
                </c:pt>
                <c:pt idx="62">
                  <c:v>92.337261600650038</c:v>
                </c:pt>
                <c:pt idx="63">
                  <c:v>91.720630482638143</c:v>
                </c:pt>
                <c:pt idx="64">
                  <c:v>92.109793773713832</c:v>
                </c:pt>
                <c:pt idx="65">
                  <c:v>92.486034201303156</c:v>
                </c:pt>
                <c:pt idx="66">
                  <c:v>92.846221967971971</c:v>
                </c:pt>
                <c:pt idx="67">
                  <c:v>93.190579743787467</c:v>
                </c:pt>
                <c:pt idx="68">
                  <c:v>93.5336531776653</c:v>
                </c:pt>
                <c:pt idx="69">
                  <c:v>93.855031627665056</c:v>
                </c:pt>
                <c:pt idx="70">
                  <c:v>94.159855817692858</c:v>
                </c:pt>
                <c:pt idx="71">
                  <c:v>94.378923581925363</c:v>
                </c:pt>
                <c:pt idx="72">
                  <c:v>94.701077314802944</c:v>
                </c:pt>
                <c:pt idx="73">
                  <c:v>94.997666339053566</c:v>
                </c:pt>
                <c:pt idx="74">
                  <c:v>94.392571083577764</c:v>
                </c:pt>
                <c:pt idx="75">
                  <c:v>93.473668367081473</c:v>
                </c:pt>
                <c:pt idx="76">
                  <c:v>93.739000338794511</c:v>
                </c:pt>
                <c:pt idx="77">
                  <c:v>94.011157337670511</c:v>
                </c:pt>
                <c:pt idx="78">
                  <c:v>94.262816791573684</c:v>
                </c:pt>
                <c:pt idx="79">
                  <c:v>94.484163674181914</c:v>
                </c:pt>
                <c:pt idx="80">
                  <c:v>94.679656270021312</c:v>
                </c:pt>
                <c:pt idx="81">
                  <c:v>94.830507162619199</c:v>
                </c:pt>
                <c:pt idx="82">
                  <c:v>94.998234255276969</c:v>
                </c:pt>
                <c:pt idx="83">
                  <c:v>95.140756945361787</c:v>
                </c:pt>
                <c:pt idx="84">
                  <c:v>95.239211251475538</c:v>
                </c:pt>
                <c:pt idx="85">
                  <c:v>95.306765464689391</c:v>
                </c:pt>
                <c:pt idx="86">
                  <c:v>95.38056177518925</c:v>
                </c:pt>
                <c:pt idx="87">
                  <c:v>95.478295095469278</c:v>
                </c:pt>
                <c:pt idx="88">
                  <c:v>95.600099313278349</c:v>
                </c:pt>
                <c:pt idx="89">
                  <c:v>95.714990359713426</c:v>
                </c:pt>
                <c:pt idx="90">
                  <c:v>95.76864221178019</c:v>
                </c:pt>
                <c:pt idx="91">
                  <c:v>95.806695574302381</c:v>
                </c:pt>
                <c:pt idx="92">
                  <c:v>95.822100693585668</c:v>
                </c:pt>
                <c:pt idx="93">
                  <c:v>95.798872952883244</c:v>
                </c:pt>
                <c:pt idx="94">
                  <c:v>95.811847243852895</c:v>
                </c:pt>
                <c:pt idx="95">
                  <c:v>95.784885780356319</c:v>
                </c:pt>
                <c:pt idx="96">
                  <c:v>95.698750978839541</c:v>
                </c:pt>
                <c:pt idx="97">
                  <c:v>95.551908043214482</c:v>
                </c:pt>
                <c:pt idx="98">
                  <c:v>95.370662659344873</c:v>
                </c:pt>
                <c:pt idx="99">
                  <c:v>95.165634566534322</c:v>
                </c:pt>
                <c:pt idx="100">
                  <c:v>94.938928700702036</c:v>
                </c:pt>
                <c:pt idx="101">
                  <c:v>94.68848844369731</c:v>
                </c:pt>
                <c:pt idx="102">
                  <c:v>94.434803960380805</c:v>
                </c:pt>
                <c:pt idx="103">
                  <c:v>94.175936904661697</c:v>
                </c:pt>
                <c:pt idx="104">
                  <c:v>93.880519594513117</c:v>
                </c:pt>
                <c:pt idx="105">
                  <c:v>93.543371027803062</c:v>
                </c:pt>
                <c:pt idx="106">
                  <c:v>93.154750454889211</c:v>
                </c:pt>
                <c:pt idx="107">
                  <c:v>92.750650283970018</c:v>
                </c:pt>
                <c:pt idx="108">
                  <c:v>92.365047156918138</c:v>
                </c:pt>
                <c:pt idx="109">
                  <c:v>92.016384085976284</c:v>
                </c:pt>
                <c:pt idx="110">
                  <c:v>91.616689936194604</c:v>
                </c:pt>
                <c:pt idx="111">
                  <c:v>91.183835980880019</c:v>
                </c:pt>
                <c:pt idx="112">
                  <c:v>90.706016899626036</c:v>
                </c:pt>
                <c:pt idx="113">
                  <c:v>90.181123934002983</c:v>
                </c:pt>
                <c:pt idx="114">
                  <c:v>89.571960181831813</c:v>
                </c:pt>
                <c:pt idx="115">
                  <c:v>88.926717906100777</c:v>
                </c:pt>
                <c:pt idx="116">
                  <c:v>88.216526123981964</c:v>
                </c:pt>
                <c:pt idx="117">
                  <c:v>87.526564310159259</c:v>
                </c:pt>
                <c:pt idx="118">
                  <c:v>86.785007653761738</c:v>
                </c:pt>
                <c:pt idx="119">
                  <c:v>86.107037536540687</c:v>
                </c:pt>
                <c:pt idx="120">
                  <c:v>85.405795793054381</c:v>
                </c:pt>
                <c:pt idx="121">
                  <c:v>84.683522004960224</c:v>
                </c:pt>
                <c:pt idx="122">
                  <c:v>84.017280988173454</c:v>
                </c:pt>
                <c:pt idx="123">
                  <c:v>83.288133362556522</c:v>
                </c:pt>
                <c:pt idx="124">
                  <c:v>82.537280604081758</c:v>
                </c:pt>
                <c:pt idx="125">
                  <c:v>81.753528627169402</c:v>
                </c:pt>
                <c:pt idx="126">
                  <c:v>80.934794677126803</c:v>
                </c:pt>
                <c:pt idx="127">
                  <c:v>80.108958745099059</c:v>
                </c:pt>
                <c:pt idx="128">
                  <c:v>79.302473172825756</c:v>
                </c:pt>
                <c:pt idx="129">
                  <c:v>78.567731647351081</c:v>
                </c:pt>
                <c:pt idx="130">
                  <c:v>77.782914673875496</c:v>
                </c:pt>
                <c:pt idx="131">
                  <c:v>77.028268161157996</c:v>
                </c:pt>
                <c:pt idx="132">
                  <c:v>76.235178851248222</c:v>
                </c:pt>
                <c:pt idx="133">
                  <c:v>75.446314413034756</c:v>
                </c:pt>
                <c:pt idx="134">
                  <c:v>74.640819437688549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-1.0569572506437914</c:v>
                </c:pt>
                <c:pt idx="1">
                  <c:v>-2.0191400378806832</c:v>
                </c:pt>
                <c:pt idx="2">
                  <c:v>-2.248722241436274</c:v>
                </c:pt>
                <c:pt idx="3">
                  <c:v>-4.0393071999349885</c:v>
                </c:pt>
                <c:pt idx="4">
                  <c:v>-4.6864053355450315</c:v>
                </c:pt>
                <c:pt idx="5">
                  <c:v>-6.1375733960772116</c:v>
                </c:pt>
                <c:pt idx="6">
                  <c:v>-6.6307828609175283</c:v>
                </c:pt>
                <c:pt idx="7">
                  <c:v>-7.8118144399899165</c:v>
                </c:pt>
                <c:pt idx="8">
                  <c:v>-8.8259722486312366</c:v>
                </c:pt>
                <c:pt idx="9">
                  <c:v>-8.8745005294894082</c:v>
                </c:pt>
                <c:pt idx="10">
                  <c:v>-10.660350033868447</c:v>
                </c:pt>
                <c:pt idx="11">
                  <c:v>-12.644876321744956</c:v>
                </c:pt>
                <c:pt idx="12">
                  <c:v>-13.684541763685575</c:v>
                </c:pt>
                <c:pt idx="13">
                  <c:v>-16.707446020387582</c:v>
                </c:pt>
                <c:pt idx="14">
                  <c:v>-17.8394029382513</c:v>
                </c:pt>
                <c:pt idx="15">
                  <c:v>-18.009760245904452</c:v>
                </c:pt>
                <c:pt idx="16">
                  <c:v>-20.97211120590147</c:v>
                </c:pt>
                <c:pt idx="17">
                  <c:v>-22.068101398979458</c:v>
                </c:pt>
                <c:pt idx="18">
                  <c:v>-22.403117449953747</c:v>
                </c:pt>
                <c:pt idx="19">
                  <c:v>-23.704294664250217</c:v>
                </c:pt>
                <c:pt idx="20">
                  <c:v>-24.101305284833877</c:v>
                </c:pt>
                <c:pt idx="21">
                  <c:v>-25.775380622624684</c:v>
                </c:pt>
                <c:pt idx="22">
                  <c:v>-25.800189923975569</c:v>
                </c:pt>
                <c:pt idx="23">
                  <c:v>-25.800189923975569</c:v>
                </c:pt>
                <c:pt idx="24">
                  <c:v>-25.800189923975569</c:v>
                </c:pt>
                <c:pt idx="25">
                  <c:v>-26.723074628328483</c:v>
                </c:pt>
                <c:pt idx="26">
                  <c:v>-26.723074628328483</c:v>
                </c:pt>
                <c:pt idx="27">
                  <c:v>-26.723074628328483</c:v>
                </c:pt>
                <c:pt idx="28">
                  <c:v>-27.496826698308031</c:v>
                </c:pt>
                <c:pt idx="29">
                  <c:v>-27.496826698308031</c:v>
                </c:pt>
                <c:pt idx="30">
                  <c:v>-27.496826698308031</c:v>
                </c:pt>
                <c:pt idx="31">
                  <c:v>-27.496826698308031</c:v>
                </c:pt>
                <c:pt idx="32">
                  <c:v>-27.761260872137623</c:v>
                </c:pt>
                <c:pt idx="33">
                  <c:v>-27.761260872137623</c:v>
                </c:pt>
                <c:pt idx="34">
                  <c:v>-27.761260872137623</c:v>
                </c:pt>
                <c:pt idx="35">
                  <c:v>-28.941961939642514</c:v>
                </c:pt>
                <c:pt idx="36">
                  <c:v>-31.981909582446914</c:v>
                </c:pt>
                <c:pt idx="37">
                  <c:v>-31.981909582446914</c:v>
                </c:pt>
                <c:pt idx="38">
                  <c:v>-31.981909582446914</c:v>
                </c:pt>
                <c:pt idx="39">
                  <c:v>-32.639949706384257</c:v>
                </c:pt>
                <c:pt idx="40">
                  <c:v>-33.862103125505804</c:v>
                </c:pt>
                <c:pt idx="41">
                  <c:v>-37.056826891888861</c:v>
                </c:pt>
                <c:pt idx="42">
                  <c:v>-37.120765355551264</c:v>
                </c:pt>
                <c:pt idx="43">
                  <c:v>-37.120765355551264</c:v>
                </c:pt>
                <c:pt idx="44">
                  <c:v>-37.388341285870652</c:v>
                </c:pt>
                <c:pt idx="45">
                  <c:v>-37.388341285870652</c:v>
                </c:pt>
                <c:pt idx="46">
                  <c:v>-37.535324002346172</c:v>
                </c:pt>
                <c:pt idx="47">
                  <c:v>-39.283789158267716</c:v>
                </c:pt>
                <c:pt idx="48">
                  <c:v>-40.588323644283086</c:v>
                </c:pt>
                <c:pt idx="49">
                  <c:v>-45.00403917178626</c:v>
                </c:pt>
                <c:pt idx="50">
                  <c:v>-46.142289546848701</c:v>
                </c:pt>
                <c:pt idx="51">
                  <c:v>-46.142289546848701</c:v>
                </c:pt>
                <c:pt idx="52">
                  <c:v>-46.969734102436568</c:v>
                </c:pt>
                <c:pt idx="53">
                  <c:v>-46.969734102436568</c:v>
                </c:pt>
                <c:pt idx="54">
                  <c:v>-49.201333949325324</c:v>
                </c:pt>
                <c:pt idx="55">
                  <c:v>-49.201333949325324</c:v>
                </c:pt>
                <c:pt idx="56">
                  <c:v>-49.201333949325324</c:v>
                </c:pt>
                <c:pt idx="57">
                  <c:v>-49.201333949325324</c:v>
                </c:pt>
                <c:pt idx="58">
                  <c:v>-49.201333949325324</c:v>
                </c:pt>
                <c:pt idx="59">
                  <c:v>-49.201333949325324</c:v>
                </c:pt>
                <c:pt idx="60">
                  <c:v>-51.058001240656189</c:v>
                </c:pt>
                <c:pt idx="61">
                  <c:v>-51.058001240656189</c:v>
                </c:pt>
                <c:pt idx="62">
                  <c:v>-51.087989059589816</c:v>
                </c:pt>
                <c:pt idx="63">
                  <c:v>-52.145918697037857</c:v>
                </c:pt>
                <c:pt idx="64">
                  <c:v>-52.145918697037857</c:v>
                </c:pt>
                <c:pt idx="65">
                  <c:v>-52.145918697037857</c:v>
                </c:pt>
                <c:pt idx="66">
                  <c:v>-52.145918697037857</c:v>
                </c:pt>
                <c:pt idx="67">
                  <c:v>-52.145918697037857</c:v>
                </c:pt>
                <c:pt idx="68">
                  <c:v>-52.145918697037857</c:v>
                </c:pt>
                <c:pt idx="69">
                  <c:v>-52.145918697037857</c:v>
                </c:pt>
                <c:pt idx="70">
                  <c:v>-52.145918697037857</c:v>
                </c:pt>
                <c:pt idx="71">
                  <c:v>-52.257715330570186</c:v>
                </c:pt>
                <c:pt idx="72">
                  <c:v>-52.257715330570186</c:v>
                </c:pt>
                <c:pt idx="73">
                  <c:v>-52.257715330570186</c:v>
                </c:pt>
                <c:pt idx="74">
                  <c:v>-53.166890296060679</c:v>
                </c:pt>
                <c:pt idx="75">
                  <c:v>-54.374400579369883</c:v>
                </c:pt>
                <c:pt idx="76">
                  <c:v>-54.374400579369883</c:v>
                </c:pt>
                <c:pt idx="77">
                  <c:v>-54.374400579369883</c:v>
                </c:pt>
                <c:pt idx="78">
                  <c:v>-54.374400579369883</c:v>
                </c:pt>
                <c:pt idx="79">
                  <c:v>-54.374400579369883</c:v>
                </c:pt>
                <c:pt idx="80">
                  <c:v>-54.374400579369883</c:v>
                </c:pt>
                <c:pt idx="81">
                  <c:v>-54.374400579369883</c:v>
                </c:pt>
                <c:pt idx="82">
                  <c:v>-54.374400579369883</c:v>
                </c:pt>
                <c:pt idx="83">
                  <c:v>-54.374400579369883</c:v>
                </c:pt>
                <c:pt idx="84">
                  <c:v>-54.374400579369883</c:v>
                </c:pt>
                <c:pt idx="85">
                  <c:v>-54.374400579369883</c:v>
                </c:pt>
                <c:pt idx="86">
                  <c:v>-54.374400579369883</c:v>
                </c:pt>
                <c:pt idx="87">
                  <c:v>-54.374400579369883</c:v>
                </c:pt>
                <c:pt idx="88">
                  <c:v>-54.374400579369883</c:v>
                </c:pt>
                <c:pt idx="89">
                  <c:v>-54.374400579369883</c:v>
                </c:pt>
                <c:pt idx="90">
                  <c:v>-54.374400579369883</c:v>
                </c:pt>
                <c:pt idx="91">
                  <c:v>-54.374400579369883</c:v>
                </c:pt>
                <c:pt idx="92">
                  <c:v>-54.374400579369883</c:v>
                </c:pt>
                <c:pt idx="93">
                  <c:v>-54.374400579369883</c:v>
                </c:pt>
                <c:pt idx="94">
                  <c:v>-54.374400579369883</c:v>
                </c:pt>
                <c:pt idx="95">
                  <c:v>-54.374400579369883</c:v>
                </c:pt>
                <c:pt idx="96">
                  <c:v>-54.374400579369883</c:v>
                </c:pt>
                <c:pt idx="97">
                  <c:v>-54.374400579369883</c:v>
                </c:pt>
                <c:pt idx="98">
                  <c:v>-54.374400579369883</c:v>
                </c:pt>
                <c:pt idx="99">
                  <c:v>-54.374400579369883</c:v>
                </c:pt>
                <c:pt idx="100">
                  <c:v>-54.374400579369883</c:v>
                </c:pt>
                <c:pt idx="101">
                  <c:v>-54.374400579369883</c:v>
                </c:pt>
                <c:pt idx="102">
                  <c:v>-54.374400579369883</c:v>
                </c:pt>
                <c:pt idx="103">
                  <c:v>-54.374400579369883</c:v>
                </c:pt>
                <c:pt idx="104">
                  <c:v>-54.374400579369883</c:v>
                </c:pt>
                <c:pt idx="105">
                  <c:v>-54.374400579369883</c:v>
                </c:pt>
                <c:pt idx="106">
                  <c:v>-54.374400579369883</c:v>
                </c:pt>
                <c:pt idx="107">
                  <c:v>-54.374400579369883</c:v>
                </c:pt>
                <c:pt idx="108">
                  <c:v>-54.374400579369883</c:v>
                </c:pt>
                <c:pt idx="109">
                  <c:v>-54.374400579369883</c:v>
                </c:pt>
                <c:pt idx="110">
                  <c:v>-54.374400579369883</c:v>
                </c:pt>
                <c:pt idx="111">
                  <c:v>-54.374400579369883</c:v>
                </c:pt>
                <c:pt idx="112">
                  <c:v>-54.374400579369883</c:v>
                </c:pt>
                <c:pt idx="113">
                  <c:v>-54.374400579369883</c:v>
                </c:pt>
                <c:pt idx="114">
                  <c:v>-54.374400579369883</c:v>
                </c:pt>
                <c:pt idx="115">
                  <c:v>-54.374400579369883</c:v>
                </c:pt>
                <c:pt idx="116">
                  <c:v>-54.374400579369883</c:v>
                </c:pt>
                <c:pt idx="117">
                  <c:v>-54.374400579369883</c:v>
                </c:pt>
                <c:pt idx="118">
                  <c:v>-54.374400579369883</c:v>
                </c:pt>
                <c:pt idx="119">
                  <c:v>-54.374400579369883</c:v>
                </c:pt>
                <c:pt idx="120">
                  <c:v>-54.374400579369883</c:v>
                </c:pt>
                <c:pt idx="121">
                  <c:v>-54.374400579369883</c:v>
                </c:pt>
                <c:pt idx="122">
                  <c:v>-54.374400579369883</c:v>
                </c:pt>
                <c:pt idx="123">
                  <c:v>-54.374400579369883</c:v>
                </c:pt>
                <c:pt idx="124">
                  <c:v>-54.374400579369883</c:v>
                </c:pt>
                <c:pt idx="125">
                  <c:v>-54.374400579369883</c:v>
                </c:pt>
                <c:pt idx="126">
                  <c:v>-54.374400579369883</c:v>
                </c:pt>
                <c:pt idx="127">
                  <c:v>-54.374400579369883</c:v>
                </c:pt>
                <c:pt idx="128">
                  <c:v>-54.374400579369883</c:v>
                </c:pt>
                <c:pt idx="129">
                  <c:v>-54.374400579369883</c:v>
                </c:pt>
                <c:pt idx="130">
                  <c:v>-54.374400579369883</c:v>
                </c:pt>
                <c:pt idx="131">
                  <c:v>-54.374400579369883</c:v>
                </c:pt>
                <c:pt idx="132">
                  <c:v>-54.374400579369883</c:v>
                </c:pt>
                <c:pt idx="133">
                  <c:v>-54.374400579369883</c:v>
                </c:pt>
                <c:pt idx="134">
                  <c:v>-54.374400579369883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0.56338636539166709</c:v>
                </c:pt>
                <c:pt idx="1">
                  <c:v>1.1410035722505842</c:v>
                </c:pt>
                <c:pt idx="2">
                  <c:v>1.6917108577441269</c:v>
                </c:pt>
                <c:pt idx="3">
                  <c:v>2.2466994221253742</c:v>
                </c:pt>
                <c:pt idx="4">
                  <c:v>2.7796110858979937</c:v>
                </c:pt>
                <c:pt idx="5">
                  <c:v>3.3182654789699964</c:v>
                </c:pt>
                <c:pt idx="6">
                  <c:v>3.8627019103711993</c:v>
                </c:pt>
                <c:pt idx="7">
                  <c:v>4.3794833868554299</c:v>
                </c:pt>
                <c:pt idx="8">
                  <c:v>4.8445014683806242</c:v>
                </c:pt>
                <c:pt idx="9">
                  <c:v>5.2816459520439407</c:v>
                </c:pt>
                <c:pt idx="10">
                  <c:v>5.7644229729327652</c:v>
                </c:pt>
                <c:pt idx="11">
                  <c:v>6.2679334131126598</c:v>
                </c:pt>
                <c:pt idx="12">
                  <c:v>6.7864434228124892</c:v>
                </c:pt>
                <c:pt idx="13">
                  <c:v>7.3197954410610109</c:v>
                </c:pt>
                <c:pt idx="14">
                  <c:v>7.8352829422715331</c:v>
                </c:pt>
                <c:pt idx="15">
                  <c:v>8.3644609633363576</c:v>
                </c:pt>
                <c:pt idx="16">
                  <c:v>8.889267910980216</c:v>
                </c:pt>
                <c:pt idx="17">
                  <c:v>9.374113776261396</c:v>
                </c:pt>
                <c:pt idx="18">
                  <c:v>9.8919751529152133</c:v>
                </c:pt>
                <c:pt idx="19">
                  <c:v>10.398249895414397</c:v>
                </c:pt>
                <c:pt idx="20">
                  <c:v>10.931161559187016</c:v>
                </c:pt>
                <c:pt idx="21">
                  <c:v>11.450970394647813</c:v>
                </c:pt>
                <c:pt idx="22">
                  <c:v>11.973817915344492</c:v>
                </c:pt>
                <c:pt idx="23">
                  <c:v>12.51291568408498</c:v>
                </c:pt>
                <c:pt idx="24">
                  <c:v>13.043190095325143</c:v>
                </c:pt>
                <c:pt idx="25">
                  <c:v>13.62757214656407</c:v>
                </c:pt>
                <c:pt idx="26">
                  <c:v>14.214057169554646</c:v>
                </c:pt>
                <c:pt idx="27">
                  <c:v>14.819206887125981</c:v>
                </c:pt>
                <c:pt idx="28">
                  <c:v>15.395918864460315</c:v>
                </c:pt>
                <c:pt idx="29">
                  <c:v>16.00321837170722</c:v>
                </c:pt>
                <c:pt idx="30">
                  <c:v>16.584803886173852</c:v>
                </c:pt>
                <c:pt idx="31">
                  <c:v>17.136410741539038</c:v>
                </c:pt>
                <c:pt idx="32">
                  <c:v>17.663618912059491</c:v>
                </c:pt>
                <c:pt idx="33">
                  <c:v>18.195650563346138</c:v>
                </c:pt>
                <c:pt idx="34">
                  <c:v>18.743888846385751</c:v>
                </c:pt>
                <c:pt idx="35">
                  <c:v>19.277020658373427</c:v>
                </c:pt>
                <c:pt idx="36">
                  <c:v>19.840179002429434</c:v>
                </c:pt>
                <c:pt idx="37">
                  <c:v>20.427600212593315</c:v>
                </c:pt>
                <c:pt idx="38">
                  <c:v>21.004312189927649</c:v>
                </c:pt>
                <c:pt idx="39">
                  <c:v>21.528901191980953</c:v>
                </c:pt>
                <c:pt idx="40">
                  <c:v>22.078709841511536</c:v>
                </c:pt>
                <c:pt idx="41">
                  <c:v>22.658900268168694</c:v>
                </c:pt>
                <c:pt idx="42">
                  <c:v>23.228695032989634</c:v>
                </c:pt>
                <c:pt idx="43">
                  <c:v>23.841510270736652</c:v>
                </c:pt>
                <c:pt idx="44">
                  <c:v>24.447614857681842</c:v>
                </c:pt>
                <c:pt idx="45">
                  <c:v>25.069369142204554</c:v>
                </c:pt>
                <c:pt idx="46">
                  <c:v>25.686522942868024</c:v>
                </c:pt>
                <c:pt idx="47">
                  <c:v>26.358520064551545</c:v>
                </c:pt>
                <c:pt idx="48">
                  <c:v>26.979061614098587</c:v>
                </c:pt>
                <c:pt idx="49">
                  <c:v>27.551616918650463</c:v>
                </c:pt>
                <c:pt idx="50">
                  <c:v>28.117744111261469</c:v>
                </c:pt>
                <c:pt idx="51">
                  <c:v>28.654848520988438</c:v>
                </c:pt>
                <c:pt idx="52">
                  <c:v>29.20848282449645</c:v>
                </c:pt>
                <c:pt idx="53">
                  <c:v>29.806738078571048</c:v>
                </c:pt>
                <c:pt idx="54">
                  <c:v>30.444640018274921</c:v>
                </c:pt>
                <c:pt idx="55">
                  <c:v>31.110539738136715</c:v>
                </c:pt>
                <c:pt idx="56">
                  <c:v>31.750910959815425</c:v>
                </c:pt>
                <c:pt idx="57">
                  <c:v>32.397785203864736</c:v>
                </c:pt>
                <c:pt idx="58">
                  <c:v>33.076939743261086</c:v>
                </c:pt>
                <c:pt idx="59">
                  <c:v>33.776020807679572</c:v>
                </c:pt>
                <c:pt idx="60">
                  <c:v>34.467036484453814</c:v>
                </c:pt>
                <c:pt idx="61">
                  <c:v>35.105185083593888</c:v>
                </c:pt>
                <c:pt idx="62">
                  <c:v>35.765273925408479</c:v>
                </c:pt>
                <c:pt idx="63">
                  <c:v>36.482780930758089</c:v>
                </c:pt>
                <c:pt idx="64">
                  <c:v>37.138846143079498</c:v>
                </c:pt>
                <c:pt idx="65">
                  <c:v>37.791653456632268</c:v>
                </c:pt>
                <c:pt idx="66">
                  <c:v>38.437771452914788</c:v>
                </c:pt>
                <c:pt idx="67">
                  <c:v>39.086828259914299</c:v>
                </c:pt>
                <c:pt idx="68">
                  <c:v>39.73813534284578</c:v>
                </c:pt>
                <c:pt idx="69">
                  <c:v>40.369155049802636</c:v>
                </c:pt>
                <c:pt idx="70">
                  <c:v>40.987759316002283</c:v>
                </c:pt>
                <c:pt idx="71">
                  <c:v>41.675409998837175</c:v>
                </c:pt>
                <c:pt idx="72">
                  <c:v>42.369280944339565</c:v>
                </c:pt>
                <c:pt idx="73">
                  <c:v>43.036448101798676</c:v>
                </c:pt>
                <c:pt idx="74">
                  <c:v>43.74260117902022</c:v>
                </c:pt>
                <c:pt idx="75">
                  <c:v>44.443249992303414</c:v>
                </c:pt>
                <c:pt idx="76">
                  <c:v>45.120866827060169</c:v>
                </c:pt>
                <c:pt idx="77">
                  <c:v>45.841296323647889</c:v>
                </c:pt>
                <c:pt idx="78">
                  <c:v>46.546136442278588</c:v>
                </c:pt>
                <c:pt idx="79">
                  <c:v>47.212369159739886</c:v>
                </c:pt>
                <c:pt idx="80">
                  <c:v>47.885085319910615</c:v>
                </c:pt>
                <c:pt idx="81">
                  <c:v>48.520412201640106</c:v>
                </c:pt>
                <c:pt idx="82">
                  <c:v>49.20284935544688</c:v>
                </c:pt>
                <c:pt idx="83">
                  <c:v>49.845690475670821</c:v>
                </c:pt>
                <c:pt idx="84">
                  <c:v>50.45992550657359</c:v>
                </c:pt>
                <c:pt idx="85">
                  <c:v>51.082621120203271</c:v>
                </c:pt>
                <c:pt idx="86">
                  <c:v>51.766909084385638</c:v>
                </c:pt>
                <c:pt idx="87">
                  <c:v>52.497349331461592</c:v>
                </c:pt>
                <c:pt idx="88">
                  <c:v>53.24604522189081</c:v>
                </c:pt>
                <c:pt idx="89">
                  <c:v>54.030388118210269</c:v>
                </c:pt>
                <c:pt idx="90">
                  <c:v>54.726613231746995</c:v>
                </c:pt>
                <c:pt idx="91">
                  <c:v>55.401182918074582</c:v>
                </c:pt>
                <c:pt idx="92">
                  <c:v>56.061017763136114</c:v>
                </c:pt>
                <c:pt idx="93">
                  <c:v>56.741915570774836</c:v>
                </c:pt>
                <c:pt idx="94">
                  <c:v>57.531587185184229</c:v>
                </c:pt>
                <c:pt idx="95">
                  <c:v>58.274645578992839</c:v>
                </c:pt>
                <c:pt idx="96">
                  <c:v>58.94563398140042</c:v>
                </c:pt>
                <c:pt idx="97">
                  <c:v>59.563636958389843</c:v>
                </c:pt>
                <c:pt idx="98">
                  <c:v>60.180263608676853</c:v>
                </c:pt>
                <c:pt idx="99">
                  <c:v>60.818088404328428</c:v>
                </c:pt>
                <c:pt idx="100">
                  <c:v>61.470455547185516</c:v>
                </c:pt>
                <c:pt idx="101">
                  <c:v>62.086716005547423</c:v>
                </c:pt>
                <c:pt idx="102">
                  <c:v>62.731787361326219</c:v>
                </c:pt>
                <c:pt idx="103">
                  <c:v>63.334150751173695</c:v>
                </c:pt>
                <c:pt idx="104">
                  <c:v>63.881499218105937</c:v>
                </c:pt>
                <c:pt idx="105">
                  <c:v>64.404730913018867</c:v>
                </c:pt>
                <c:pt idx="106">
                  <c:v>64.951862368874387</c:v>
                </c:pt>
                <c:pt idx="107">
                  <c:v>65.590178125106689</c:v>
                </c:pt>
                <c:pt idx="108">
                  <c:v>66.279351708012271</c:v>
                </c:pt>
                <c:pt idx="109">
                  <c:v>66.986805626907866</c:v>
                </c:pt>
                <c:pt idx="110">
                  <c:v>67.623093918284539</c:v>
                </c:pt>
                <c:pt idx="111">
                  <c:v>68.255436554341117</c:v>
                </c:pt>
                <c:pt idx="112">
                  <c:v>68.864671574004106</c:v>
                </c:pt>
                <c:pt idx="113">
                  <c:v>69.449384702962305</c:v>
                </c:pt>
                <c:pt idx="114">
                  <c:v>70.010651520424588</c:v>
                </c:pt>
                <c:pt idx="115">
                  <c:v>70.551753157634465</c:v>
                </c:pt>
                <c:pt idx="116">
                  <c:v>71.118265435907276</c:v>
                </c:pt>
                <c:pt idx="117">
                  <c:v>71.730123253304711</c:v>
                </c:pt>
                <c:pt idx="118">
                  <c:v>72.332544049941035</c:v>
                </c:pt>
                <c:pt idx="119">
                  <c:v>72.993366560434794</c:v>
                </c:pt>
                <c:pt idx="120">
                  <c:v>73.556333391551235</c:v>
                </c:pt>
                <c:pt idx="121">
                  <c:v>74.199084939683488</c:v>
                </c:pt>
                <c:pt idx="122">
                  <c:v>74.886806973034396</c:v>
                </c:pt>
                <c:pt idx="123">
                  <c:v>75.542580741552356</c:v>
                </c:pt>
                <c:pt idx="124">
                  <c:v>76.1766268402028</c:v>
                </c:pt>
                <c:pt idx="125">
                  <c:v>76.829079962075852</c:v>
                </c:pt>
                <c:pt idx="126">
                  <c:v>77.438363216605552</c:v>
                </c:pt>
                <c:pt idx="127">
                  <c:v>78.044276256906628</c:v>
                </c:pt>
                <c:pt idx="128">
                  <c:v>78.620650386048368</c:v>
                </c:pt>
                <c:pt idx="129">
                  <c:v>79.213699983977307</c:v>
                </c:pt>
                <c:pt idx="130">
                  <c:v>79.812128572243125</c:v>
                </c:pt>
                <c:pt idx="131">
                  <c:v>80.506442025407338</c:v>
                </c:pt>
                <c:pt idx="132">
                  <c:v>81.227008067558586</c:v>
                </c:pt>
                <c:pt idx="133">
                  <c:v>81.899856559054527</c:v>
                </c:pt>
                <c:pt idx="134">
                  <c:v>82.537697230176732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7.0491844370444312</c:v>
                </c:pt>
                <c:pt idx="2">
                  <c:v>13.701021290141327</c:v>
                </c:pt>
                <c:pt idx="3">
                  <c:v>19.541138070171201</c:v>
                </c:pt>
                <c:pt idx="4">
                  <c:v>24.968279827190131</c:v>
                </c:pt>
                <c:pt idx="5">
                  <c:v>29.778334884758507</c:v>
                </c:pt>
                <c:pt idx="6">
                  <c:v>34.270120279966093</c:v>
                </c:pt>
                <c:pt idx="7">
                  <c:v>38.459744570838197</c:v>
                </c:pt>
                <c:pt idx="8">
                  <c:v>42.134476760704189</c:v>
                </c:pt>
                <c:pt idx="9">
                  <c:v>45.207282842409853</c:v>
                </c:pt>
                <c:pt idx="10">
                  <c:v>47.907158083715757</c:v>
                </c:pt>
                <c:pt idx="11">
                  <c:v>50.689978242023784</c:v>
                </c:pt>
                <c:pt idx="12">
                  <c:v>53.384638247829258</c:v>
                </c:pt>
                <c:pt idx="13">
                  <c:v>55.95350881814926</c:v>
                </c:pt>
                <c:pt idx="14">
                  <c:v>58.393617113158513</c:v>
                </c:pt>
                <c:pt idx="15">
                  <c:v>60.571371588190857</c:v>
                </c:pt>
                <c:pt idx="16">
                  <c:v>62.635999408319378</c:v>
                </c:pt>
                <c:pt idx="17">
                  <c:v>64.525191649809443</c:v>
                </c:pt>
                <c:pt idx="18">
                  <c:v>66.140603724893509</c:v>
                </c:pt>
                <c:pt idx="19">
                  <c:v>67.738220003359004</c:v>
                </c:pt>
                <c:pt idx="20">
                  <c:v>69.181683061875049</c:v>
                </c:pt>
                <c:pt idx="21">
                  <c:v>70.584049629771698</c:v>
                </c:pt>
                <c:pt idx="22">
                  <c:v>71.844943231795071</c:v>
                </c:pt>
                <c:pt idx="23">
                  <c:v>73.014707592487838</c:v>
                </c:pt>
                <c:pt idx="24">
                  <c:v>74.125289514539674</c:v>
                </c:pt>
                <c:pt idx="25">
                  <c:v>75.130359756641013</c:v>
                </c:pt>
                <c:pt idx="26">
                  <c:v>76.145706669579965</c:v>
                </c:pt>
                <c:pt idx="27">
                  <c:v>77.075465769073247</c:v>
                </c:pt>
                <c:pt idx="28">
                  <c:v>77.94919778862149</c:v>
                </c:pt>
                <c:pt idx="29">
                  <c:v>78.707936129302738</c:v>
                </c:pt>
                <c:pt idx="30">
                  <c:v>79.435752146872318</c:v>
                </c:pt>
                <c:pt idx="31">
                  <c:v>80.070258294481647</c:v>
                </c:pt>
                <c:pt idx="32">
                  <c:v>80.620417377720884</c:v>
                </c:pt>
                <c:pt idx="33">
                  <c:v>81.103125296715064</c:v>
                </c:pt>
                <c:pt idx="34">
                  <c:v>81.550955858483036</c:v>
                </c:pt>
                <c:pt idx="35">
                  <c:v>81.974448139761506</c:v>
                </c:pt>
                <c:pt idx="36">
                  <c:v>82.352287519544376</c:v>
                </c:pt>
                <c:pt idx="37">
                  <c:v>82.718017422915494</c:v>
                </c:pt>
                <c:pt idx="38">
                  <c:v>83.066044245835855</c:v>
                </c:pt>
                <c:pt idx="39">
                  <c:v>83.377381598643126</c:v>
                </c:pt>
                <c:pt idx="40">
                  <c:v>83.636701046513963</c:v>
                </c:pt>
                <c:pt idx="41">
                  <c:v>83.886120190710585</c:v>
                </c:pt>
                <c:pt idx="42">
                  <c:v>84.126589153280776</c:v>
                </c:pt>
                <c:pt idx="43">
                  <c:v>84.342000757253032</c:v>
                </c:pt>
                <c:pt idx="44">
                  <c:v>84.552796398330742</c:v>
                </c:pt>
                <c:pt idx="45">
                  <c:v>84.741950571052087</c:v>
                </c:pt>
                <c:pt idx="46">
                  <c:v>84.917901399799121</c:v>
                </c:pt>
                <c:pt idx="47">
                  <c:v>85.076159798704765</c:v>
                </c:pt>
                <c:pt idx="48">
                  <c:v>85.231745191890951</c:v>
                </c:pt>
                <c:pt idx="49">
                  <c:v>85.361458338973677</c:v>
                </c:pt>
                <c:pt idx="50">
                  <c:v>85.470411524587433</c:v>
                </c:pt>
                <c:pt idx="51">
                  <c:v>85.568953836834481</c:v>
                </c:pt>
                <c:pt idx="52">
                  <c:v>85.654748396572614</c:v>
                </c:pt>
                <c:pt idx="53">
                  <c:v>85.736031424266457</c:v>
                </c:pt>
                <c:pt idx="54">
                  <c:v>85.816438734602144</c:v>
                </c:pt>
                <c:pt idx="55">
                  <c:v>85.894488284038232</c:v>
                </c:pt>
                <c:pt idx="56">
                  <c:v>85.968361666546542</c:v>
                </c:pt>
                <c:pt idx="57">
                  <c:v>86.032844257373284</c:v>
                </c:pt>
                <c:pt idx="58">
                  <c:v>86.09214223596436</c:v>
                </c:pt>
                <c:pt idx="59">
                  <c:v>86.14875833824189</c:v>
                </c:pt>
                <c:pt idx="60">
                  <c:v>86.201667277605111</c:v>
                </c:pt>
                <c:pt idx="61">
                  <c:v>86.24922155059113</c:v>
                </c:pt>
                <c:pt idx="62">
                  <c:v>86.289418918940925</c:v>
                </c:pt>
                <c:pt idx="63">
                  <c:v>86.327658406999404</c:v>
                </c:pt>
                <c:pt idx="64">
                  <c:v>86.365807487033777</c:v>
                </c:pt>
                <c:pt idx="65">
                  <c:v>86.39793316568759</c:v>
                </c:pt>
                <c:pt idx="66">
                  <c:v>86.427587992833821</c:v>
                </c:pt>
                <c:pt idx="67">
                  <c:v>86.454924584378119</c:v>
                </c:pt>
                <c:pt idx="68">
                  <c:v>86.48059641018537</c:v>
                </c:pt>
                <c:pt idx="69">
                  <c:v>86.504760585931052</c:v>
                </c:pt>
                <c:pt idx="70">
                  <c:v>86.52682120289839</c:v>
                </c:pt>
                <c:pt idx="71">
                  <c:v>86.547304166896055</c:v>
                </c:pt>
                <c:pt idx="72">
                  <c:v>86.568899831176338</c:v>
                </c:pt>
                <c:pt idx="73">
                  <c:v>86.589590829037633</c:v>
                </c:pt>
                <c:pt idx="74">
                  <c:v>86.608574793857514</c:v>
                </c:pt>
                <c:pt idx="75">
                  <c:v>86.627820376169126</c:v>
                </c:pt>
                <c:pt idx="76">
                  <c:v>86.646166652440911</c:v>
                </c:pt>
                <c:pt idx="77">
                  <c:v>86.663294099116428</c:v>
                </c:pt>
                <c:pt idx="78">
                  <c:v>86.680929381777702</c:v>
                </c:pt>
                <c:pt idx="79">
                  <c:v>86.697688786738581</c:v>
                </c:pt>
                <c:pt idx="80">
                  <c:v>86.713142945485998</c:v>
                </c:pt>
                <c:pt idx="81">
                  <c:v>86.728417965881732</c:v>
                </c:pt>
                <c:pt idx="82">
                  <c:v>86.742580789205419</c:v>
                </c:pt>
                <c:pt idx="83">
                  <c:v>86.757547881709712</c:v>
                </c:pt>
                <c:pt idx="84">
                  <c:v>86.771445270839763</c:v>
                </c:pt>
                <c:pt idx="85">
                  <c:v>86.78456658347335</c:v>
                </c:pt>
                <c:pt idx="86">
                  <c:v>86.797732220395005</c:v>
                </c:pt>
                <c:pt idx="87">
                  <c:v>86.812063159009085</c:v>
                </c:pt>
                <c:pt idx="88">
                  <c:v>86.827225002415275</c:v>
                </c:pt>
                <c:pt idx="89">
                  <c:v>86.842642174570557</c:v>
                </c:pt>
                <c:pt idx="90">
                  <c:v>86.858679779702612</c:v>
                </c:pt>
                <c:pt idx="91">
                  <c:v>86.87283256118846</c:v>
                </c:pt>
                <c:pt idx="92">
                  <c:v>86.886480783106236</c:v>
                </c:pt>
                <c:pt idx="93">
                  <c:v>86.899777005470725</c:v>
                </c:pt>
                <c:pt idx="94">
                  <c:v>86.913447927969628</c:v>
                </c:pt>
                <c:pt idx="95">
                  <c:v>86.929245956779681</c:v>
                </c:pt>
                <c:pt idx="96">
                  <c:v>86.944060645131884</c:v>
                </c:pt>
                <c:pt idx="97">
                  <c:v>86.957399039074431</c:v>
                </c:pt>
                <c:pt idx="98">
                  <c:v>86.969652569011942</c:v>
                </c:pt>
                <c:pt idx="99">
                  <c:v>86.981849421563709</c:v>
                </c:pt>
                <c:pt idx="100">
                  <c:v>86.994435035697364</c:v>
                </c:pt>
                <c:pt idx="101">
                  <c:v>87.007275421426215</c:v>
                </c:pt>
                <c:pt idx="102">
                  <c:v>87.019374842692827</c:v>
                </c:pt>
                <c:pt idx="103">
                  <c:v>87.032007686012747</c:v>
                </c:pt>
                <c:pt idx="104">
                  <c:v>87.043773498328534</c:v>
                </c:pt>
                <c:pt idx="105">
                  <c:v>87.054438186073384</c:v>
                </c:pt>
                <c:pt idx="106">
                  <c:v>87.064608544652145</c:v>
                </c:pt>
                <c:pt idx="107">
                  <c:v>87.075217010600994</c:v>
                </c:pt>
                <c:pt idx="108">
                  <c:v>87.087557974395537</c:v>
                </c:pt>
                <c:pt idx="109">
                  <c:v>87.100837425100423</c:v>
                </c:pt>
                <c:pt idx="110">
                  <c:v>87.114418468331991</c:v>
                </c:pt>
                <c:pt idx="111">
                  <c:v>87.126587476146284</c:v>
                </c:pt>
                <c:pt idx="112">
                  <c:v>87.138636095058558</c:v>
                </c:pt>
                <c:pt idx="113">
                  <c:v>87.150200342612465</c:v>
                </c:pt>
                <c:pt idx="114">
                  <c:v>87.161256898069979</c:v>
                </c:pt>
                <c:pt idx="115">
                  <c:v>87.171829829714142</c:v>
                </c:pt>
                <c:pt idx="116">
                  <c:v>87.181984347528015</c:v>
                </c:pt>
                <c:pt idx="117">
                  <c:v>87.192573939860353</c:v>
                </c:pt>
                <c:pt idx="118">
                  <c:v>87.203961695365678</c:v>
                </c:pt>
                <c:pt idx="119">
                  <c:v>87.215122139621855</c:v>
                </c:pt>
                <c:pt idx="120">
                  <c:v>87.22730382293642</c:v>
                </c:pt>
                <c:pt idx="121">
                  <c:v>87.2376301534226</c:v>
                </c:pt>
                <c:pt idx="122">
                  <c:v>87.249360534850354</c:v>
                </c:pt>
                <c:pt idx="123">
                  <c:v>87.261839730674296</c:v>
                </c:pt>
                <c:pt idx="124">
                  <c:v>87.273668255278665</c:v>
                </c:pt>
                <c:pt idx="125">
                  <c:v>87.285037497166456</c:v>
                </c:pt>
                <c:pt idx="126">
                  <c:v>87.296666195609816</c:v>
                </c:pt>
                <c:pt idx="127">
                  <c:v>87.307459569215013</c:v>
                </c:pt>
                <c:pt idx="128">
                  <c:v>87.318128999018285</c:v>
                </c:pt>
                <c:pt idx="129">
                  <c:v>87.328217886211036</c:v>
                </c:pt>
                <c:pt idx="130">
                  <c:v>87.33853629191313</c:v>
                </c:pt>
                <c:pt idx="131">
                  <c:v>87.348883288756696</c:v>
                </c:pt>
                <c:pt idx="132">
                  <c:v>87.360805233400384</c:v>
                </c:pt>
                <c:pt idx="133">
                  <c:v>87.373082504897212</c:v>
                </c:pt>
                <c:pt idx="134">
                  <c:v>87.384457852347936</c:v>
                </c:pt>
                <c:pt idx="135">
                  <c:v>87.395161185718251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103.08890582380474</c:v>
                </c:pt>
                <c:pt idx="2">
                  <c:v>98.232334839198899</c:v>
                </c:pt>
                <c:pt idx="3">
                  <c:v>98.923639852112871</c:v>
                </c:pt>
                <c:pt idx="4">
                  <c:v>96.94947488183513</c:v>
                </c:pt>
                <c:pt idx="5">
                  <c:v>100.2580492751553</c:v>
                </c:pt>
                <c:pt idx="6">
                  <c:v>96.90825767152981</c:v>
                </c:pt>
                <c:pt idx="7">
                  <c:v>92.158213678248131</c:v>
                </c:pt>
                <c:pt idx="8">
                  <c:v>90.152485617227967</c:v>
                </c:pt>
                <c:pt idx="9">
                  <c:v>89.873224820811231</c:v>
                </c:pt>
                <c:pt idx="10">
                  <c:v>90.447212648298986</c:v>
                </c:pt>
                <c:pt idx="11">
                  <c:v>95.272385918263268</c:v>
                </c:pt>
                <c:pt idx="12">
                  <c:v>97.428150307943909</c:v>
                </c:pt>
                <c:pt idx="13">
                  <c:v>101.41838841562426</c:v>
                </c:pt>
                <c:pt idx="14">
                  <c:v>100.73733690845071</c:v>
                </c:pt>
                <c:pt idx="15">
                  <c:v>99.263954447168985</c:v>
                </c:pt>
                <c:pt idx="16">
                  <c:v>100.12535129876115</c:v>
                </c:pt>
                <c:pt idx="17">
                  <c:v>100.37622130813236</c:v>
                </c:pt>
                <c:pt idx="18">
                  <c:v>100.40193615750069</c:v>
                </c:pt>
                <c:pt idx="19">
                  <c:v>99.031331576038369</c:v>
                </c:pt>
                <c:pt idx="20">
                  <c:v>95.905659059433333</c:v>
                </c:pt>
                <c:pt idx="21">
                  <c:v>101.66147816358057</c:v>
                </c:pt>
                <c:pt idx="22">
                  <c:v>109.89721436477831</c:v>
                </c:pt>
                <c:pt idx="23">
                  <c:v>114.00314905550232</c:v>
                </c:pt>
                <c:pt idx="24">
                  <c:v>111.94367026556392</c:v>
                </c:pt>
                <c:pt idx="25">
                  <c:v>110.49942048295837</c:v>
                </c:pt>
                <c:pt idx="26">
                  <c:v>117.58645304354026</c:v>
                </c:pt>
                <c:pt idx="27">
                  <c:v>120</c:v>
                </c:pt>
                <c:pt idx="28">
                  <c:v>120</c:v>
                </c:pt>
                <c:pt idx="29">
                  <c:v>119.32214779439225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117.41124636941518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119.77015895675956</c:v>
                </c:pt>
                <c:pt idx="38">
                  <c:v>118.57861100435463</c:v>
                </c:pt>
                <c:pt idx="39">
                  <c:v>119.84646021090536</c:v>
                </c:pt>
                <c:pt idx="40">
                  <c:v>117.87247873758062</c:v>
                </c:pt>
                <c:pt idx="41">
                  <c:v>114.84289610607506</c:v>
                </c:pt>
                <c:pt idx="42">
                  <c:v>116.98160181639915</c:v>
                </c:pt>
                <c:pt idx="43">
                  <c:v>120</c:v>
                </c:pt>
                <c:pt idx="44">
                  <c:v>118.22992830627587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116.82582325791905</c:v>
                </c:pt>
                <c:pt idx="50">
                  <c:v>113.91043490768241</c:v>
                </c:pt>
                <c:pt idx="51">
                  <c:v>115.47019474870427</c:v>
                </c:pt>
                <c:pt idx="52">
                  <c:v>119.55046799935462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119.719956319178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117.89040104912043</c:v>
                </c:pt>
                <c:pt idx="69">
                  <c:v>119.97772432387507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119.9928001720567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119.91056647581226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119.59647708716939</c:v>
                </c:pt>
                <c:pt idx="112">
                  <c:v>120</c:v>
                </c:pt>
                <c:pt idx="113">
                  <c:v>119.69131659023442</c:v>
                </c:pt>
                <c:pt idx="114">
                  <c:v>117.75933140072807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119.78499876293199</c:v>
                </c:pt>
                <c:pt idx="135">
                  <c:v>117.86276146332133</c:v>
                </c:pt>
                <c:pt idx="136">
                  <c:v>119.85632571700627</c:v>
                </c:pt>
                <c:pt idx="137">
                  <c:v>119.81524314795145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1.3931987199210383</c:v>
                </c:pt>
                <c:pt idx="28">
                  <c:v>3.8535211223022046</c:v>
                </c:pt>
                <c:pt idx="29">
                  <c:v>3.8535211223022046</c:v>
                </c:pt>
                <c:pt idx="30">
                  <c:v>5.44472753019528</c:v>
                </c:pt>
                <c:pt idx="31">
                  <c:v>8.2642575940260414</c:v>
                </c:pt>
                <c:pt idx="32">
                  <c:v>11.067189003585007</c:v>
                </c:pt>
                <c:pt idx="33">
                  <c:v>11.067189003585007</c:v>
                </c:pt>
                <c:pt idx="34">
                  <c:v>15.807163331135314</c:v>
                </c:pt>
                <c:pt idx="35">
                  <c:v>17.787202551409379</c:v>
                </c:pt>
                <c:pt idx="36">
                  <c:v>18.561122039385886</c:v>
                </c:pt>
                <c:pt idx="37">
                  <c:v>18.561122039385886</c:v>
                </c:pt>
                <c:pt idx="38">
                  <c:v>18.561122039385886</c:v>
                </c:pt>
                <c:pt idx="39">
                  <c:v>18.561122039385886</c:v>
                </c:pt>
                <c:pt idx="40">
                  <c:v>18.561122039385886</c:v>
                </c:pt>
                <c:pt idx="41">
                  <c:v>18.561122039385886</c:v>
                </c:pt>
                <c:pt idx="42">
                  <c:v>18.561122039385886</c:v>
                </c:pt>
                <c:pt idx="43">
                  <c:v>23.125884113068324</c:v>
                </c:pt>
                <c:pt idx="44">
                  <c:v>23.125884113068324</c:v>
                </c:pt>
                <c:pt idx="45">
                  <c:v>25.341631099232259</c:v>
                </c:pt>
                <c:pt idx="46">
                  <c:v>29.614772221603566</c:v>
                </c:pt>
                <c:pt idx="47">
                  <c:v>32.790312349371654</c:v>
                </c:pt>
                <c:pt idx="48">
                  <c:v>36.587308246513615</c:v>
                </c:pt>
                <c:pt idx="49">
                  <c:v>36.587308246513615</c:v>
                </c:pt>
                <c:pt idx="50">
                  <c:v>36.587308246513615</c:v>
                </c:pt>
                <c:pt idx="51">
                  <c:v>36.587308246513615</c:v>
                </c:pt>
                <c:pt idx="52">
                  <c:v>36.587308246513615</c:v>
                </c:pt>
                <c:pt idx="53">
                  <c:v>39.930139253298883</c:v>
                </c:pt>
                <c:pt idx="54">
                  <c:v>40.999288046121151</c:v>
                </c:pt>
                <c:pt idx="55">
                  <c:v>45.108763051615945</c:v>
                </c:pt>
                <c:pt idx="56">
                  <c:v>46.004305577470127</c:v>
                </c:pt>
                <c:pt idx="57">
                  <c:v>46.004305577470127</c:v>
                </c:pt>
                <c:pt idx="58">
                  <c:v>46.24690685035501</c:v>
                </c:pt>
                <c:pt idx="59">
                  <c:v>48.881710538734573</c:v>
                </c:pt>
                <c:pt idx="60">
                  <c:v>53.814768005927164</c:v>
                </c:pt>
                <c:pt idx="61">
                  <c:v>57.645281925458228</c:v>
                </c:pt>
                <c:pt idx="62">
                  <c:v>61.321185329680567</c:v>
                </c:pt>
                <c:pt idx="63">
                  <c:v>68.936109896960858</c:v>
                </c:pt>
                <c:pt idx="64">
                  <c:v>72.564318166692715</c:v>
                </c:pt>
                <c:pt idx="65">
                  <c:v>74.973495016767828</c:v>
                </c:pt>
                <c:pt idx="66">
                  <c:v>76.258046347391257</c:v>
                </c:pt>
                <c:pt idx="67">
                  <c:v>77.311868706528287</c:v>
                </c:pt>
                <c:pt idx="68">
                  <c:v>77.311868706528287</c:v>
                </c:pt>
                <c:pt idx="69">
                  <c:v>77.311868706528287</c:v>
                </c:pt>
                <c:pt idx="70">
                  <c:v>79.127832531940129</c:v>
                </c:pt>
                <c:pt idx="71">
                  <c:v>80.978621711132462</c:v>
                </c:pt>
                <c:pt idx="72">
                  <c:v>85.639351248698361</c:v>
                </c:pt>
                <c:pt idx="73">
                  <c:v>87.820039709755548</c:v>
                </c:pt>
                <c:pt idx="74">
                  <c:v>92.944732919234497</c:v>
                </c:pt>
                <c:pt idx="75">
                  <c:v>94.656314156833886</c:v>
                </c:pt>
                <c:pt idx="76">
                  <c:v>96.426912043250439</c:v>
                </c:pt>
                <c:pt idx="77">
                  <c:v>98.572077059312278</c:v>
                </c:pt>
                <c:pt idx="78">
                  <c:v>99.436706375122156</c:v>
                </c:pt>
                <c:pt idx="79">
                  <c:v>103.03473630793368</c:v>
                </c:pt>
                <c:pt idx="80">
                  <c:v>104.3657265225763</c:v>
                </c:pt>
                <c:pt idx="81">
                  <c:v>106.12097027905803</c:v>
                </c:pt>
                <c:pt idx="82">
                  <c:v>106.93320064301415</c:v>
                </c:pt>
                <c:pt idx="83">
                  <c:v>108.42242976552065</c:v>
                </c:pt>
                <c:pt idx="84">
                  <c:v>111.71243619687237</c:v>
                </c:pt>
                <c:pt idx="85">
                  <c:v>116.08000859811027</c:v>
                </c:pt>
                <c:pt idx="86">
                  <c:v>117.53088294868644</c:v>
                </c:pt>
                <c:pt idx="87">
                  <c:v>118.18031112703682</c:v>
                </c:pt>
                <c:pt idx="88">
                  <c:v>118.78463516110786</c:v>
                </c:pt>
                <c:pt idx="89">
                  <c:v>122.84950619912561</c:v>
                </c:pt>
                <c:pt idx="90">
                  <c:v>129.22608430158107</c:v>
                </c:pt>
                <c:pt idx="91">
                  <c:v>129.22608430158107</c:v>
                </c:pt>
                <c:pt idx="92">
                  <c:v>133.78650482807413</c:v>
                </c:pt>
                <c:pt idx="93">
                  <c:v>133.89152325031341</c:v>
                </c:pt>
                <c:pt idx="94">
                  <c:v>135.17789033954759</c:v>
                </c:pt>
                <c:pt idx="95">
                  <c:v>137.0148864610978</c:v>
                </c:pt>
                <c:pt idx="96">
                  <c:v>138.63210195787374</c:v>
                </c:pt>
                <c:pt idx="97">
                  <c:v>143.38220691389159</c:v>
                </c:pt>
                <c:pt idx="98">
                  <c:v>154.54522301511915</c:v>
                </c:pt>
                <c:pt idx="99">
                  <c:v>162.73405952332774</c:v>
                </c:pt>
                <c:pt idx="100">
                  <c:v>163.73740807130866</c:v>
                </c:pt>
                <c:pt idx="101">
                  <c:v>164.80199599803191</c:v>
                </c:pt>
                <c:pt idx="102">
                  <c:v>166.99104166509233</c:v>
                </c:pt>
                <c:pt idx="103">
                  <c:v>169.8490338351142</c:v>
                </c:pt>
                <c:pt idx="104">
                  <c:v>171.97945874949858</c:v>
                </c:pt>
                <c:pt idx="105">
                  <c:v>172.22994723013528</c:v>
                </c:pt>
                <c:pt idx="106">
                  <c:v>174.32121020062851</c:v>
                </c:pt>
                <c:pt idx="107">
                  <c:v>174.32121020062851</c:v>
                </c:pt>
                <c:pt idx="108">
                  <c:v>175.13890672077338</c:v>
                </c:pt>
                <c:pt idx="109">
                  <c:v>176.89600028404203</c:v>
                </c:pt>
                <c:pt idx="110">
                  <c:v>178.22243312919696</c:v>
                </c:pt>
                <c:pt idx="111">
                  <c:v>178.22243312919696</c:v>
                </c:pt>
                <c:pt idx="112">
                  <c:v>180.71626069015068</c:v>
                </c:pt>
                <c:pt idx="113">
                  <c:v>180.71626069015068</c:v>
                </c:pt>
                <c:pt idx="114">
                  <c:v>180.71626069015068</c:v>
                </c:pt>
                <c:pt idx="115">
                  <c:v>181.03966431407761</c:v>
                </c:pt>
                <c:pt idx="116">
                  <c:v>184.79781229418452</c:v>
                </c:pt>
                <c:pt idx="117">
                  <c:v>187.48620791757318</c:v>
                </c:pt>
                <c:pt idx="118">
                  <c:v>190.7792838488993</c:v>
                </c:pt>
                <c:pt idx="119">
                  <c:v>191.98128006261049</c:v>
                </c:pt>
                <c:pt idx="120">
                  <c:v>195.59697190169385</c:v>
                </c:pt>
                <c:pt idx="121">
                  <c:v>196.20971236189246</c:v>
                </c:pt>
                <c:pt idx="122">
                  <c:v>200.40145869929961</c:v>
                </c:pt>
                <c:pt idx="123">
                  <c:v>203.76562008880552</c:v>
                </c:pt>
                <c:pt idx="124">
                  <c:v>204.85406313342702</c:v>
                </c:pt>
                <c:pt idx="125">
                  <c:v>210.13270649001885</c:v>
                </c:pt>
                <c:pt idx="126">
                  <c:v>213.78795764476882</c:v>
                </c:pt>
                <c:pt idx="127">
                  <c:v>213.86393893415064</c:v>
                </c:pt>
                <c:pt idx="128">
                  <c:v>214.05219363944263</c:v>
                </c:pt>
                <c:pt idx="129">
                  <c:v>215.85549498427724</c:v>
                </c:pt>
                <c:pt idx="130">
                  <c:v>218.40728879813156</c:v>
                </c:pt>
                <c:pt idx="131">
                  <c:v>222.01349475411354</c:v>
                </c:pt>
                <c:pt idx="132">
                  <c:v>226.40060256079786</c:v>
                </c:pt>
                <c:pt idx="133">
                  <c:v>227.49660366354982</c:v>
                </c:pt>
                <c:pt idx="134">
                  <c:v>227.49660366354982</c:v>
                </c:pt>
                <c:pt idx="135">
                  <c:v>227.49660366354982</c:v>
                </c:pt>
                <c:pt idx="136">
                  <c:v>227.49660366354982</c:v>
                </c:pt>
                <c:pt idx="137">
                  <c:v>227.49660366354982</c:v>
                </c:pt>
                <c:pt idx="138">
                  <c:v>229.01752933092087</c:v>
                </c:pt>
                <c:pt idx="139">
                  <c:v>229.2016450999964</c:v>
                </c:pt>
                <c:pt idx="140">
                  <c:v>230.75345594057137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0.99999999967495001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8.9915606120256064E-3</c:v>
                </c:pt>
                <c:pt idx="16">
                  <c:v>1.2163968455098022E-2</c:v>
                </c:pt>
                <c:pt idx="17">
                  <c:v>1.6504960469102666E-2</c:v>
                </c:pt>
                <c:pt idx="18">
                  <c:v>2.2150763510275836E-2</c:v>
                </c:pt>
                <c:pt idx="19">
                  <c:v>2.9535848729884906E-2</c:v>
                </c:pt>
                <c:pt idx="20">
                  <c:v>3.8890885156881494E-2</c:v>
                </c:pt>
                <c:pt idx="21">
                  <c:v>5.1932061319698589E-2</c:v>
                </c:pt>
                <c:pt idx="22">
                  <c:v>6.8723756590464799E-2</c:v>
                </c:pt>
                <c:pt idx="23">
                  <c:v>8.8606241583936041E-2</c:v>
                </c:pt>
                <c:pt idx="24">
                  <c:v>0.11255960770658582</c:v>
                </c:pt>
                <c:pt idx="25">
                  <c:v>0.13967082678716655</c:v>
                </c:pt>
                <c:pt idx="26">
                  <c:v>0.17366537592269427</c:v>
                </c:pt>
                <c:pt idx="27">
                  <c:v>0.21556425732800003</c:v>
                </c:pt>
                <c:pt idx="28">
                  <c:v>0.26483618283235288</c:v>
                </c:pt>
                <c:pt idx="29">
                  <c:v>0.31970122941069817</c:v>
                </c:pt>
                <c:pt idx="30">
                  <c:v>0.38395710399220839</c:v>
                </c:pt>
                <c:pt idx="31">
                  <c:v>0.45027002128307586</c:v>
                </c:pt>
                <c:pt idx="32">
                  <c:v>0.51295427882625955</c:v>
                </c:pt>
                <c:pt idx="33">
                  <c:v>0.5764841464227094</c:v>
                </c:pt>
                <c:pt idx="34">
                  <c:v>0.63819130682260539</c:v>
                </c:pt>
                <c:pt idx="35">
                  <c:v>0.69455270767511657</c:v>
                </c:pt>
                <c:pt idx="36">
                  <c:v>0.74578080376573164</c:v>
                </c:pt>
                <c:pt idx="37">
                  <c:v>0.78872361109410027</c:v>
                </c:pt>
                <c:pt idx="38">
                  <c:v>0.82966298385733139</c:v>
                </c:pt>
                <c:pt idx="39">
                  <c:v>0.86400962650755686</c:v>
                </c:pt>
                <c:pt idx="40">
                  <c:v>0.89110856137274452</c:v>
                </c:pt>
                <c:pt idx="41">
                  <c:v>0.91381447349346467</c:v>
                </c:pt>
                <c:pt idx="42">
                  <c:v>0.93320809376687219</c:v>
                </c:pt>
                <c:pt idx="43">
                  <c:v>0.94811484324941675</c:v>
                </c:pt>
                <c:pt idx="44">
                  <c:v>0.95949255496942609</c:v>
                </c:pt>
                <c:pt idx="45">
                  <c:v>0.96894766312236291</c:v>
                </c:pt>
                <c:pt idx="46">
                  <c:v>0.9759483706470603</c:v>
                </c:pt>
                <c:pt idx="47">
                  <c:v>0.98130855701415798</c:v>
                </c:pt>
                <c:pt idx="48">
                  <c:v>0.98544081517728255</c:v>
                </c:pt>
                <c:pt idx="49">
                  <c:v>0.98829656309712866</c:v>
                </c:pt>
                <c:pt idx="50">
                  <c:v>0.99059244887330256</c:v>
                </c:pt>
                <c:pt idx="51">
                  <c:v>0.9926116998831187</c:v>
                </c:pt>
                <c:pt idx="52">
                  <c:v>0.99420543855940979</c:v>
                </c:pt>
                <c:pt idx="53">
                  <c:v>0.99549504184028115</c:v>
                </c:pt>
                <c:pt idx="54">
                  <c:v>0.99647774719600313</c:v>
                </c:pt>
                <c:pt idx="55">
                  <c:v>0.99721626853816403</c:v>
                </c:pt>
                <c:pt idx="56">
                  <c:v>0.9978052157126609</c:v>
                </c:pt>
                <c:pt idx="57">
                  <c:v>0.99831107969769994</c:v>
                </c:pt>
                <c:pt idx="58">
                  <c:v>0.99869181494683945</c:v>
                </c:pt>
                <c:pt idx="59">
                  <c:v>0.99897464405123171</c:v>
                </c:pt>
                <c:pt idx="60">
                  <c:v>0.99920332091748976</c:v>
                </c:pt>
                <c:pt idx="61">
                  <c:v>0.99937315834004847</c:v>
                </c:pt>
                <c:pt idx="62">
                  <c:v>0.99950783876416449</c:v>
                </c:pt>
                <c:pt idx="63">
                  <c:v>0.99961696451015314</c:v>
                </c:pt>
                <c:pt idx="64">
                  <c:v>0.99969853040318479</c:v>
                </c:pt>
                <c:pt idx="65">
                  <c:v>0.99975993642477679</c:v>
                </c:pt>
                <c:pt idx="66">
                  <c:v>0.99980654023365523</c:v>
                </c:pt>
                <c:pt idx="67">
                  <c:v>0.99984499042112329</c:v>
                </c:pt>
                <c:pt idx="68">
                  <c:v>0.99987547161086909</c:v>
                </c:pt>
                <c:pt idx="69">
                  <c:v>0.99989967982643702</c:v>
                </c:pt>
                <c:pt idx="70">
                  <c:v>0.99991699049767668</c:v>
                </c:pt>
                <c:pt idx="71">
                  <c:v>0.99993203509911732</c:v>
                </c:pt>
                <c:pt idx="72">
                  <c:v>0.9999446029624085</c:v>
                </c:pt>
                <c:pt idx="73">
                  <c:v>0.99995466442568592</c:v>
                </c:pt>
                <c:pt idx="74">
                  <c:v>0.99996318522453498</c:v>
                </c:pt>
                <c:pt idx="75">
                  <c:v>0.99996975940838795</c:v>
                </c:pt>
                <c:pt idx="76">
                  <c:v>0.99997502826715612</c:v>
                </c:pt>
                <c:pt idx="77">
                  <c:v>0.99997957653826219</c:v>
                </c:pt>
                <c:pt idx="78">
                  <c:v>0.99998293891871748</c:v>
                </c:pt>
                <c:pt idx="79">
                  <c:v>0.99998576211240997</c:v>
                </c:pt>
                <c:pt idx="80">
                  <c:v>0.99998818156783265</c:v>
                </c:pt>
                <c:pt idx="81">
                  <c:v>0.99999018836525944</c:v>
                </c:pt>
                <c:pt idx="82">
                  <c:v>0.99999183986083928</c:v>
                </c:pt>
                <c:pt idx="83">
                  <c:v>0.99999334475383894</c:v>
                </c:pt>
                <c:pt idx="84">
                  <c:v>0.99999454552516231</c:v>
                </c:pt>
                <c:pt idx="85">
                  <c:v>0.99999551923336039</c:v>
                </c:pt>
                <c:pt idx="86">
                  <c:v>0.9999963122611214</c:v>
                </c:pt>
                <c:pt idx="87">
                  <c:v>0.99999691508958077</c:v>
                </c:pt>
                <c:pt idx="88">
                  <c:v>0.99999741456610325</c:v>
                </c:pt>
                <c:pt idx="89">
                  <c:v>0.99999788941029821</c:v>
                </c:pt>
                <c:pt idx="90">
                  <c:v>0.99999827689832521</c:v>
                </c:pt>
                <c:pt idx="91">
                  <c:v>0.99999861770337128</c:v>
                </c:pt>
                <c:pt idx="92">
                  <c:v>0.9999988629671156</c:v>
                </c:pt>
                <c:pt idx="93">
                  <c:v>0.9999990584529771</c:v>
                </c:pt>
                <c:pt idx="94">
                  <c:v>0.99999920413664778</c:v>
                </c:pt>
                <c:pt idx="95">
                  <c:v>0.99999934086427922</c:v>
                </c:pt>
                <c:pt idx="96">
                  <c:v>0.99999945516002997</c:v>
                </c:pt>
                <c:pt idx="97">
                  <c:v>0.99999955036966892</c:v>
                </c:pt>
                <c:pt idx="98">
                  <c:v>0.99999963135158021</c:v>
                </c:pt>
                <c:pt idx="99">
                  <c:v>0.99999969747507511</c:v>
                </c:pt>
                <c:pt idx="100">
                  <c:v>0.99999974901320698</c:v>
                </c:pt>
                <c:pt idx="101">
                  <c:v>0.99999978762487629</c:v>
                </c:pt>
                <c:pt idx="102">
                  <c:v>0.99999982046374858</c:v>
                </c:pt>
                <c:pt idx="103">
                  <c:v>0.99999985195431551</c:v>
                </c:pt>
                <c:pt idx="104">
                  <c:v>0.99999987597425133</c:v>
                </c:pt>
                <c:pt idx="105">
                  <c:v>0.99999989535582035</c:v>
                </c:pt>
                <c:pt idx="106">
                  <c:v>0.9999999111239174</c:v>
                </c:pt>
                <c:pt idx="107">
                  <c:v>0.99999992460540532</c:v>
                </c:pt>
                <c:pt idx="108">
                  <c:v>0.99999993589560521</c:v>
                </c:pt>
                <c:pt idx="109">
                  <c:v>0.99999994530761149</c:v>
                </c:pt>
                <c:pt idx="110">
                  <c:v>0.99999995359040683</c:v>
                </c:pt>
                <c:pt idx="111">
                  <c:v>0.99999996017955328</c:v>
                </c:pt>
                <c:pt idx="112">
                  <c:v>0.9999999662179555</c:v>
                </c:pt>
                <c:pt idx="113">
                  <c:v>0.99999997121592321</c:v>
                </c:pt>
                <c:pt idx="114">
                  <c:v>0.99999997583702316</c:v>
                </c:pt>
                <c:pt idx="115">
                  <c:v>0.99999997961054055</c:v>
                </c:pt>
                <c:pt idx="116">
                  <c:v>0.99999998296605896</c:v>
                </c:pt>
                <c:pt idx="117">
                  <c:v>0.99999998546703517</c:v>
                </c:pt>
                <c:pt idx="118">
                  <c:v>0.99999998751491204</c:v>
                </c:pt>
                <c:pt idx="119">
                  <c:v>0.99999998929084477</c:v>
                </c:pt>
                <c:pt idx="120">
                  <c:v>0.99999999077846413</c:v>
                </c:pt>
                <c:pt idx="121">
                  <c:v>0.99999999210917323</c:v>
                </c:pt>
                <c:pt idx="122">
                  <c:v>0.99999999321267063</c:v>
                </c:pt>
                <c:pt idx="123">
                  <c:v>0.99999999414268381</c:v>
                </c:pt>
                <c:pt idx="124">
                  <c:v>0.99999999503327386</c:v>
                </c:pt>
                <c:pt idx="125">
                  <c:v>0.999999995788452</c:v>
                </c:pt>
                <c:pt idx="126">
                  <c:v>0.99999999647713222</c:v>
                </c:pt>
                <c:pt idx="127">
                  <c:v>0.99999999701199171</c:v>
                </c:pt>
                <c:pt idx="128">
                  <c:v>0.99999999747255663</c:v>
                </c:pt>
                <c:pt idx="129">
                  <c:v>0.99999999788226779</c:v>
                </c:pt>
                <c:pt idx="130">
                  <c:v>0.9999999982365404</c:v>
                </c:pt>
                <c:pt idx="131">
                  <c:v>0.99999999853689103</c:v>
                </c:pt>
                <c:pt idx="132">
                  <c:v>0.99999999877235535</c:v>
                </c:pt>
                <c:pt idx="133">
                  <c:v>0.99999999896944591</c:v>
                </c:pt>
                <c:pt idx="134">
                  <c:v>0.99999999912727833</c:v>
                </c:pt>
                <c:pt idx="135">
                  <c:v>0.99999999925864147</c:v>
                </c:pt>
                <c:pt idx="136">
                  <c:v>0.9999999993768891</c:v>
                </c:pt>
                <c:pt idx="137">
                  <c:v>0.9999999994728932</c:v>
                </c:pt>
                <c:pt idx="138">
                  <c:v>0.99999999955452057</c:v>
                </c:pt>
                <c:pt idx="139">
                  <c:v>0.99999999961744246</c:v>
                </c:pt>
                <c:pt idx="140">
                  <c:v>0.99999999967495001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E1" zoomScale="110" zoomScaleNormal="110" workbookViewId="0">
      <selection activeCell="Q70" sqref="Q70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7" t="s">
        <v>153</v>
      </c>
      <c r="E1" s="138"/>
      <c r="F1" s="138"/>
      <c r="G1" s="138"/>
      <c r="H1" s="139"/>
      <c r="Z1"/>
      <c r="AA1"/>
      <c r="AB1"/>
      <c r="AC1"/>
    </row>
    <row r="2" spans="2:34" s="55" customFormat="1" ht="47.25" customHeight="1">
      <c r="C2" s="106"/>
      <c r="D2" s="140" t="s">
        <v>154</v>
      </c>
      <c r="E2" s="141"/>
      <c r="F2" s="141"/>
      <c r="G2" s="141"/>
      <c r="H2" s="142"/>
      <c r="Z2"/>
      <c r="AA2"/>
      <c r="AB2"/>
      <c r="AC2"/>
    </row>
    <row r="3" spans="2:34" s="54" customFormat="1" ht="15.75" thickBot="1">
      <c r="B3" s="55"/>
      <c r="C3" s="127" t="s">
        <v>185</v>
      </c>
      <c r="D3" s="127"/>
      <c r="E3" s="127"/>
      <c r="F3" s="127"/>
      <c r="G3" s="128"/>
      <c r="H3" s="128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10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66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77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Broccoli Vegetable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45378</v>
      </c>
      <c r="E9" s="67"/>
      <c r="F9" s="57" t="s">
        <v>147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45503</v>
      </c>
      <c r="E10" s="67"/>
      <c r="F10" s="57" t="s">
        <v>148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20</v>
      </c>
      <c r="E12" s="69"/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89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20</v>
      </c>
      <c r="C14" s="64" t="str">
        <f>"Yield "&amp;CurrentYield_tperHa&amp;" (t/ha)"</f>
        <v>Yield 20 (t/ha)</v>
      </c>
      <c r="D14" s="90" t="str">
        <f ca="1">"requires "&amp;ROUND(SUM('Model Interface'!V3:W3),0)&amp;" kg N/ha from all sources"</f>
        <v>requires 238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 ca="1">PriorHarvestDate</f>
        <v>45363</v>
      </c>
      <c r="Z14"/>
      <c r="AA14"/>
      <c r="AB14"/>
      <c r="AC14"/>
    </row>
    <row r="15" spans="2:34" s="55" customFormat="1" ht="16.5" thickBot="1">
      <c r="B15" s="55">
        <f ca="1">SUMIF(B29:B43,1,G29:G43)</f>
        <v>162.37582513229728</v>
      </c>
      <c r="C15" s="111" t="s">
        <v>225</v>
      </c>
      <c r="D15" s="112" t="str">
        <f ca="1">SUMIF(B29:B43,1,G29:G43)&amp;" Kg/ha"</f>
        <v>162.375825132297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6" t="s">
        <v>228</v>
      </c>
      <c r="S15" s="136"/>
      <c r="T15" s="136"/>
      <c r="U15" s="136"/>
      <c r="V15" s="136"/>
      <c r="W15" s="125"/>
      <c r="X15" s="125"/>
      <c r="Y15" s="125"/>
      <c r="Z15" s="134" t="s">
        <v>227</v>
      </c>
      <c r="AA15" s="134"/>
      <c r="AB15" s="134"/>
      <c r="AC15" s="134"/>
      <c r="AD15" s="135" t="s">
        <v>229</v>
      </c>
      <c r="AE15" s="135"/>
      <c r="AF15" s="135"/>
      <c r="AG15" s="135"/>
      <c r="AH15" s="135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7" t="s">
        <v>186</v>
      </c>
      <c r="D17" s="127"/>
      <c r="E17" s="127"/>
      <c r="F17" s="127"/>
      <c r="G17" s="127"/>
      <c r="H17" s="127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Interface'!P5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257</v>
      </c>
      <c r="Y17" s="55" t="s">
        <v>258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257</v>
      </c>
      <c r="AK17" s="55" t="s">
        <v>258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Interface'!AD6:AD495,('Model Interface'!AD6:AD495&gt;=StartGraphDate)*('Model Interface'!AD6:AD495&lt;=CurrentHarvestDate),"")</f>
        <v>45363</v>
      </c>
      <c r="S18" s="55">
        <f ca="1">IF(R18&gt;1,R18,"")</f>
        <v>45363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238.04258515636482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0.81482646361782263</v>
      </c>
      <c r="Y18" s="55">
        <f ca="1">VLOOKUP(S18,ModelOutputs,4,FALSE)</f>
        <v>0</v>
      </c>
      <c r="Z18">
        <f ca="1">VLOOKUP(S18,ModelOutputs,10,FALSE)*AWC</f>
        <v>108</v>
      </c>
      <c r="AA18">
        <f ca="1">VLOOKUP(S18,ModelOutputs,11,FALSE)</f>
        <v>0</v>
      </c>
      <c r="AB18">
        <f t="shared" ref="AB18:AB81" ca="1" si="3">VLOOKUP(S18,ModelOutputs,12,FALSE)</f>
        <v>0</v>
      </c>
      <c r="AC18">
        <f t="shared" ref="AC18:AC81" ca="1" si="4">VLOOKUP(S18,ModelOutputs,13,FALSE)</f>
        <v>0.99999999967495001</v>
      </c>
      <c r="AD18" s="83">
        <f t="array" aca="1" ref="AD18:AD662" ca="1">_xlfn._xlws.FILTER('Model Interface'!AD6:AD999,('Model Interface'!AD6:AD999&gt;=CurrentHarvestDate+1)*('Model Interface'!AD6:AD999&lt;=FollowingHarvestDate),"")</f>
        <v>45504</v>
      </c>
      <c r="AE18" s="55">
        <f ca="1">IF(AD18&gt;1,AD18,"")</f>
        <v>45504</v>
      </c>
      <c r="AF18" s="55">
        <f t="shared" ref="AF18:AF20" ca="1" si="5">VLOOKUP(AE18,ModelOutputs,2,FALSE)</f>
        <v>34.751250157746227</v>
      </c>
      <c r="AG18" s="55">
        <f t="shared" ref="AG18:AG20" ca="1" si="6">VLOOKUP(AE18,ModelOutputs,7,FALSE)</f>
        <v>0</v>
      </c>
      <c r="AH18" s="55">
        <f t="shared" ref="AH18:AH20" ca="1" si="7">VLOOKUP(AE18,ModelOutputs,6,FALSE)</f>
        <v>0</v>
      </c>
      <c r="AI18" s="55">
        <f ca="1">-VLOOKUP(AE18,ModelOutputs,9,FALSE)</f>
        <v>-1.0569572506437914</v>
      </c>
      <c r="AJ18" s="55">
        <f t="shared" ref="AJ18:AJ81" ca="1" si="8">VLOOKUP(AE18,ModelOutputs,5,FALSE)</f>
        <v>0.56338636539166709</v>
      </c>
      <c r="AK18" s="55">
        <f t="shared" ref="AK18:AK81" ca="1" si="9">VLOOKUP(AE18,ModelOutputs,4,FALSE)</f>
        <v>7.0491844370444312</v>
      </c>
    </row>
    <row r="19" spans="1:37" s="55" customFormat="1">
      <c r="C19" s="57" t="s">
        <v>222</v>
      </c>
      <c r="D19" s="85">
        <f>IF(E19="",60,E19)</f>
        <v>60</v>
      </c>
      <c r="E19" s="16"/>
      <c r="F19" s="100" t="str">
        <f ca="1">ROUND('Model Interface'!T2,0)&amp;" kg N/ha available from SOM mineralisation"</f>
        <v>90 kg N/ha available from SOM mineralisation</v>
      </c>
      <c r="R19" s="83">
        <f ca="1"/>
        <v>45364</v>
      </c>
      <c r="S19" s="55">
        <f t="shared" ref="S19:S82" ca="1" si="10">IF(R19&gt;1,R19,"")</f>
        <v>45364</v>
      </c>
      <c r="T19" s="55">
        <f t="shared" ca="1" si="0"/>
        <v>60.707273535258977</v>
      </c>
      <c r="U19" s="55">
        <f t="shared" ca="1" si="1"/>
        <v>0</v>
      </c>
      <c r="V19" s="55">
        <f t="shared" ca="1" si="2"/>
        <v>0</v>
      </c>
      <c r="W19" s="55">
        <f t="shared" ref="W19:W82" ca="1" si="11">-VLOOKUP(S19,ModelOutputs,9,FALSE)+W18</f>
        <v>0</v>
      </c>
      <c r="X19" s="55">
        <f t="shared" ref="X19:X82" ca="1" si="12">VLOOKUP(S19,ModelOutputs,5,FALSE)+X18</f>
        <v>1.6208121980356547</v>
      </c>
      <c r="Y19" s="55">
        <f t="shared" ref="Y19:Y82" ca="1" si="13">VLOOKUP(S19,ModelOutputs,4,FALSE)+Y18</f>
        <v>9.9012878008411462</v>
      </c>
      <c r="Z19">
        <f ca="1">VLOOKUP(S19,ModelOutputs,10,FALSE)*AWC</f>
        <v>103.08890582380474</v>
      </c>
      <c r="AA19">
        <f t="shared" ref="AA19:AA82" ca="1" si="14">VLOOKUP(S19,ModelOutputs,11,FALSE)+AA18</f>
        <v>0</v>
      </c>
      <c r="AB19">
        <f t="shared" ca="1" si="3"/>
        <v>0</v>
      </c>
      <c r="AC19">
        <f t="shared" ca="1" si="4"/>
        <v>0</v>
      </c>
      <c r="AD19" s="83">
        <f ca="1"/>
        <v>45505</v>
      </c>
      <c r="AE19" s="55">
        <f t="shared" ref="AE19:AE20" ca="1" si="15">IF(AD19&gt;1,AD19,"")</f>
        <v>45505</v>
      </c>
      <c r="AF19" s="55">
        <f t="shared" ca="1" si="5"/>
        <v>41.01852143046515</v>
      </c>
      <c r="AG19" s="55">
        <f t="shared" ca="1" si="6"/>
        <v>0</v>
      </c>
      <c r="AH19" s="55">
        <f t="shared" ca="1" si="7"/>
        <v>0</v>
      </c>
      <c r="AI19" s="55">
        <f ca="1">-VLOOKUP(AE19,ModelOutputs,9,FALSE)+AI18</f>
        <v>-2.0191400378806832</v>
      </c>
      <c r="AJ19" s="55">
        <f ca="1">VLOOKUP(AE19,ModelOutputs,5,FALSE)+AJ18</f>
        <v>1.1410035722505842</v>
      </c>
      <c r="AK19" s="55">
        <f ca="1">VLOOKUP(AE19,ModelOutputs,4,FALSE)+AK18</f>
        <v>13.701021290141327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234</v>
      </c>
      <c r="F20" s="100"/>
      <c r="R20" s="83">
        <f ca="1"/>
        <v>45365</v>
      </c>
      <c r="S20" s="55">
        <f t="shared" ca="1" si="10"/>
        <v>45365</v>
      </c>
      <c r="T20" s="55">
        <f t="shared" ca="1" si="0"/>
        <v>70.663569774838805</v>
      </c>
      <c r="U20" s="55">
        <f t="shared" ca="1" si="1"/>
        <v>0</v>
      </c>
      <c r="V20" s="55">
        <f t="shared" ca="1" si="2"/>
        <v>0</v>
      </c>
      <c r="W20" s="55">
        <f t="shared" ca="1" si="11"/>
        <v>0</v>
      </c>
      <c r="X20" s="55">
        <f t="shared" ca="1" si="12"/>
        <v>2.4576078303495743</v>
      </c>
      <c r="Y20" s="55">
        <f t="shared" ca="1" si="13"/>
        <v>19.020788408107055</v>
      </c>
      <c r="Z20">
        <f ca="1">VLOOKUP(S20,ModelOutputs,10,FALSE)*AWC</f>
        <v>98.232334839198899</v>
      </c>
      <c r="AA20">
        <f t="shared" ca="1" si="14"/>
        <v>0</v>
      </c>
      <c r="AB20">
        <f t="shared" ca="1" si="3"/>
        <v>0</v>
      </c>
      <c r="AC20">
        <f t="shared" ca="1" si="4"/>
        <v>0</v>
      </c>
      <c r="AD20" s="83">
        <f ca="1"/>
        <v>45506</v>
      </c>
      <c r="AE20" s="55">
        <f t="shared" ca="1" si="15"/>
        <v>45506</v>
      </c>
      <c r="AF20" s="55">
        <f t="shared" ca="1" si="5"/>
        <v>47.179763292432973</v>
      </c>
      <c r="AG20" s="55">
        <f t="shared" ca="1" si="6"/>
        <v>0</v>
      </c>
      <c r="AH20" s="55">
        <f t="shared" ca="1" si="7"/>
        <v>0</v>
      </c>
      <c r="AI20" s="55">
        <f ca="1">-VLOOKUP(AE20,ModelOutputs,9,FALSE)+AI19</f>
        <v>-2.248722241436274</v>
      </c>
      <c r="AJ20" s="55">
        <f ca="1">VLOOKUP(AE20,ModelOutputs,5,FALSE)+AJ19</f>
        <v>1.6917108577441269</v>
      </c>
      <c r="AK20" s="55">
        <f ca="1">VLOOKUP(AE20,ModelOutputs,4,FALSE)+AK19</f>
        <v>19.541138070171201</v>
      </c>
    </row>
    <row r="21" spans="1:37" s="55" customFormat="1" ht="15.75" customHeight="1">
      <c r="B21" s="55">
        <f>VLOOKUP(SampleDepth,depths,2,FALSE)</f>
        <v>3</v>
      </c>
      <c r="C21" s="57" t="s">
        <v>211</v>
      </c>
      <c r="D21" s="85" t="str">
        <f>IF(E21="","0-30cm",E21)</f>
        <v>0-30cm</v>
      </c>
      <c r="E21" s="16"/>
      <c r="F21" s="100"/>
      <c r="R21" s="83">
        <f ca="1"/>
        <v>45366</v>
      </c>
      <c r="S21" s="55">
        <f t="shared" ca="1" si="10"/>
        <v>45366</v>
      </c>
      <c r="T21" s="55">
        <f t="shared" ca="1" si="0"/>
        <v>80.163851406118113</v>
      </c>
      <c r="U21" s="55">
        <f t="shared" ca="1" si="1"/>
        <v>0</v>
      </c>
      <c r="V21" s="55">
        <f t="shared" ca="1" si="2"/>
        <v>0</v>
      </c>
      <c r="W21" s="55">
        <f t="shared" ca="1" si="11"/>
        <v>0</v>
      </c>
      <c r="X21" s="55">
        <f t="shared" ca="1" si="12"/>
        <v>3.3541004605061708</v>
      </c>
      <c r="Y21" s="55">
        <f t="shared" ca="1" si="13"/>
        <v>27.624577409229765</v>
      </c>
      <c r="Z21">
        <f ca="1">VLOOKUP(S21,ModelOutputs,10,FALSE)*AWC</f>
        <v>98.923639852112871</v>
      </c>
      <c r="AA21">
        <f t="shared" ca="1" si="14"/>
        <v>0</v>
      </c>
      <c r="AB21">
        <f t="shared" ca="1" si="3"/>
        <v>0</v>
      </c>
      <c r="AC21">
        <f t="shared" ca="1" si="4"/>
        <v>0</v>
      </c>
      <c r="AD21" s="83">
        <f ca="1"/>
        <v>45507</v>
      </c>
      <c r="AE21" s="55">
        <f t="shared" ref="AE21:AE84" ca="1" si="16">IF(AD21&gt;1,AD21,"")</f>
        <v>45507</v>
      </c>
      <c r="AF21" s="55">
        <f t="shared" ref="AF21:AF84" ca="1" si="17">VLOOKUP(AE21,ModelOutputs,2,FALSE)</f>
        <v>51.371308655334438</v>
      </c>
      <c r="AG21" s="55">
        <f t="shared" ref="AG21:AG84" ca="1" si="18">VLOOKUP(AE21,ModelOutputs,7,FALSE)</f>
        <v>0</v>
      </c>
      <c r="AH21" s="55">
        <f t="shared" ref="AH21:AH84" ca="1" si="19">VLOOKUP(AE21,ModelOutputs,6,FALSE)</f>
        <v>0</v>
      </c>
      <c r="AI21" s="55">
        <f ca="1">-VLOOKUP(AE21,ModelOutputs,9,FALSE)+AI20</f>
        <v>-4.0393071999349885</v>
      </c>
      <c r="AJ21" s="55">
        <f ca="1">VLOOKUP(AE21,ModelOutputs,5,FALSE)+AJ20</f>
        <v>2.2466994221253742</v>
      </c>
      <c r="AK21" s="55">
        <f ca="1">VLOOKUP(AE21,ModelOutputs,4,FALSE)+AK20</f>
        <v>24.968279827190131</v>
      </c>
    </row>
    <row r="22" spans="1:37" s="55" customFormat="1" ht="15" customHeight="1">
      <c r="C22" s="57" t="s">
        <v>212</v>
      </c>
      <c r="D22" s="85" t="str">
        <f>IF(E22="","loam",E22)</f>
        <v>Clay</v>
      </c>
      <c r="E22" s="16" t="s">
        <v>255</v>
      </c>
      <c r="F22" s="100"/>
      <c r="R22" s="83">
        <f ca="1"/>
        <v>45367</v>
      </c>
      <c r="S22" s="55">
        <f t="shared" ca="1" si="10"/>
        <v>45367</v>
      </c>
      <c r="T22" s="55">
        <f t="shared" ca="1" si="0"/>
        <v>87.473438248484584</v>
      </c>
      <c r="U22" s="55">
        <f t="shared" ca="1" si="1"/>
        <v>0</v>
      </c>
      <c r="V22" s="55">
        <f t="shared" ca="1" si="2"/>
        <v>0</v>
      </c>
      <c r="W22" s="55">
        <f t="shared" ca="1" si="11"/>
        <v>0</v>
      </c>
      <c r="X22" s="55">
        <f t="shared" ca="1" si="12"/>
        <v>4.1248347820096711</v>
      </c>
      <c r="Y22" s="55">
        <f t="shared" ca="1" si="13"/>
        <v>34.163429930092747</v>
      </c>
      <c r="Z22">
        <f ca="1">VLOOKUP(S22,ModelOutputs,10,FALSE)*AWC</f>
        <v>96.94947488183513</v>
      </c>
      <c r="AA22">
        <f t="shared" ca="1" si="14"/>
        <v>0</v>
      </c>
      <c r="AB22">
        <f t="shared" ca="1" si="3"/>
        <v>0</v>
      </c>
      <c r="AC22">
        <f t="shared" ca="1" si="4"/>
        <v>0</v>
      </c>
      <c r="AD22" s="83">
        <f ca="1"/>
        <v>45508</v>
      </c>
      <c r="AE22" s="55">
        <f t="shared" ca="1" si="16"/>
        <v>45508</v>
      </c>
      <c r="AF22" s="55">
        <f t="shared" ca="1" si="17"/>
        <v>56.067177241065394</v>
      </c>
      <c r="AG22" s="55">
        <f t="shared" ca="1" si="18"/>
        <v>0</v>
      </c>
      <c r="AH22" s="55">
        <f t="shared" ca="1" si="19"/>
        <v>0</v>
      </c>
      <c r="AI22" s="55">
        <f ca="1">-VLOOKUP(AE22,ModelOutputs,9,FALSE)+AI21</f>
        <v>-4.6864053355450315</v>
      </c>
      <c r="AJ22" s="55">
        <f ca="1">VLOOKUP(AE22,ModelOutputs,5,FALSE)+AJ21</f>
        <v>2.7796110858979937</v>
      </c>
      <c r="AK22" s="55">
        <f ca="1">VLOOKUP(AE22,ModelOutputs,4,FALSE)+AK21</f>
        <v>29.778334884758507</v>
      </c>
    </row>
    <row r="23" spans="1:37" s="55" customFormat="1">
      <c r="C23" s="57"/>
      <c r="D23" s="85"/>
      <c r="E23" s="122"/>
      <c r="F23" s="100"/>
      <c r="R23" s="83">
        <f ca="1"/>
        <v>45368</v>
      </c>
      <c r="S23" s="55">
        <f t="shared" ca="1" si="10"/>
        <v>45368</v>
      </c>
      <c r="T23" s="55">
        <f t="shared" ca="1" si="0"/>
        <v>93.935690214098415</v>
      </c>
      <c r="U23" s="55">
        <f t="shared" ca="1" si="1"/>
        <v>0</v>
      </c>
      <c r="V23" s="55">
        <f t="shared" ca="1" si="2"/>
        <v>0</v>
      </c>
      <c r="W23" s="55">
        <f t="shared" ca="1" si="11"/>
        <v>0</v>
      </c>
      <c r="X23" s="55">
        <f t="shared" ca="1" si="12"/>
        <v>4.878371947941587</v>
      </c>
      <c r="Y23" s="55">
        <f t="shared" ca="1" si="13"/>
        <v>39.872144729774654</v>
      </c>
      <c r="Z23">
        <f ca="1">VLOOKUP(S23,ModelOutputs,10,FALSE)*AWC</f>
        <v>100.2580492751553</v>
      </c>
      <c r="AA23">
        <f t="shared" ca="1" si="14"/>
        <v>0</v>
      </c>
      <c r="AB23">
        <f t="shared" ca="1" si="3"/>
        <v>0</v>
      </c>
      <c r="AC23">
        <f t="shared" ca="1" si="4"/>
        <v>0</v>
      </c>
      <c r="AD23" s="83">
        <f ca="1"/>
        <v>45509</v>
      </c>
      <c r="AE23" s="55">
        <f t="shared" ca="1" si="16"/>
        <v>45509</v>
      </c>
      <c r="AF23" s="55">
        <f t="shared" ca="1" si="17"/>
        <v>59.646448968812798</v>
      </c>
      <c r="AG23" s="55">
        <f t="shared" ca="1" si="18"/>
        <v>0</v>
      </c>
      <c r="AH23" s="55">
        <f t="shared" ca="1" si="19"/>
        <v>0</v>
      </c>
      <c r="AI23" s="55">
        <f ca="1">-VLOOKUP(AE23,ModelOutputs,9,FALSE)+AI22</f>
        <v>-6.1375733960772116</v>
      </c>
      <c r="AJ23" s="55">
        <f ca="1">VLOOKUP(AE23,ModelOutputs,5,FALSE)+AJ22</f>
        <v>3.3182654789699964</v>
      </c>
      <c r="AK23" s="55">
        <f ca="1">VLOOKUP(AE23,ModelOutputs,4,FALSE)+AK22</f>
        <v>34.270120279966093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45369</v>
      </c>
      <c r="S24" s="55">
        <f t="shared" ca="1" si="10"/>
        <v>45369</v>
      </c>
      <c r="T24" s="55">
        <f t="shared" ca="1" si="0"/>
        <v>99.805855460618659</v>
      </c>
      <c r="U24" s="55">
        <f t="shared" ca="1" si="1"/>
        <v>0</v>
      </c>
      <c r="V24" s="55">
        <f t="shared" ca="1" si="2"/>
        <v>0</v>
      </c>
      <c r="W24" s="55">
        <f t="shared" ca="1" si="11"/>
        <v>0</v>
      </c>
      <c r="X24" s="55">
        <f t="shared" ca="1" si="12"/>
        <v>5.6339609173464051</v>
      </c>
      <c r="Y24" s="55">
        <f t="shared" ca="1" si="13"/>
        <v>44.986721006890079</v>
      </c>
      <c r="Z24">
        <f ca="1">VLOOKUP(S24,ModelOutputs,10,FALSE)*AWC</f>
        <v>96.90825767152981</v>
      </c>
      <c r="AA24">
        <f t="shared" ca="1" si="14"/>
        <v>0</v>
      </c>
      <c r="AB24">
        <f t="shared" ca="1" si="3"/>
        <v>0</v>
      </c>
      <c r="AC24">
        <f t="shared" ca="1" si="4"/>
        <v>0</v>
      </c>
      <c r="AD24" s="83">
        <f ca="1"/>
        <v>45510</v>
      </c>
      <c r="AE24" s="55">
        <f t="shared" ca="1" si="16"/>
        <v>45510</v>
      </c>
      <c r="AF24" s="55">
        <f t="shared" ca="1" si="17"/>
        <v>63.887300226245785</v>
      </c>
      <c r="AG24" s="55">
        <f t="shared" ca="1" si="18"/>
        <v>0</v>
      </c>
      <c r="AH24" s="55">
        <f t="shared" ca="1" si="19"/>
        <v>0</v>
      </c>
      <c r="AI24" s="55">
        <f ca="1">-VLOOKUP(AE24,ModelOutputs,9,FALSE)+AI23</f>
        <v>-6.6307828609175283</v>
      </c>
      <c r="AJ24" s="55">
        <f ca="1">VLOOKUP(AE24,ModelOutputs,5,FALSE)+AJ23</f>
        <v>3.8627019103711993</v>
      </c>
      <c r="AK24" s="55">
        <f ca="1">VLOOKUP(AE24,ModelOutputs,4,FALSE)+AK23</f>
        <v>38.459744570838197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2</v>
      </c>
      <c r="E25" s="104">
        <v>2</v>
      </c>
      <c r="R25" s="83">
        <f ca="1"/>
        <v>45370</v>
      </c>
      <c r="S25" s="55">
        <f t="shared" ca="1" si="10"/>
        <v>45370</v>
      </c>
      <c r="T25" s="55">
        <f t="shared" ca="1" si="0"/>
        <v>105.01259903138816</v>
      </c>
      <c r="U25" s="55">
        <f t="shared" ca="1" si="1"/>
        <v>0</v>
      </c>
      <c r="V25" s="55">
        <f t="shared" ca="1" si="2"/>
        <v>0</v>
      </c>
      <c r="W25" s="55">
        <f t="shared" ca="1" si="11"/>
        <v>0</v>
      </c>
      <c r="X25" s="55">
        <f t="shared" ca="1" si="12"/>
        <v>6.3723539356167667</v>
      </c>
      <c r="Y25" s="55">
        <f t="shared" ca="1" si="13"/>
        <v>49.455071559389225</v>
      </c>
      <c r="Z25">
        <f ca="1">VLOOKUP(S25,ModelOutputs,10,FALSE)*AWC</f>
        <v>92.158213678248131</v>
      </c>
      <c r="AA25">
        <f t="shared" ca="1" si="14"/>
        <v>0</v>
      </c>
      <c r="AB25">
        <f t="shared" ca="1" si="3"/>
        <v>0</v>
      </c>
      <c r="AC25">
        <f t="shared" ca="1" si="4"/>
        <v>0</v>
      </c>
      <c r="AD25" s="83">
        <f ca="1"/>
        <v>45511</v>
      </c>
      <c r="AE25" s="55">
        <f t="shared" ca="1" si="16"/>
        <v>45511</v>
      </c>
      <c r="AF25" s="55">
        <f t="shared" ca="1" si="17"/>
        <v>66.897782313523621</v>
      </c>
      <c r="AG25" s="55">
        <f t="shared" ca="1" si="18"/>
        <v>0</v>
      </c>
      <c r="AH25" s="55">
        <f t="shared" ca="1" si="19"/>
        <v>0</v>
      </c>
      <c r="AI25" s="55">
        <f ca="1">-VLOOKUP(AE25,ModelOutputs,9,FALSE)+AI24</f>
        <v>-7.8118144399899165</v>
      </c>
      <c r="AJ25" s="55">
        <f ca="1">VLOOKUP(AE25,ModelOutputs,5,FALSE)+AJ24</f>
        <v>4.3794833868554299</v>
      </c>
      <c r="AK25" s="55">
        <f ca="1">VLOOKUP(AE25,ModelOutputs,4,FALSE)+AK24</f>
        <v>42.134476760704189</v>
      </c>
    </row>
    <row r="26" spans="1:37" s="55" customFormat="1" ht="15.75" thickBot="1">
      <c r="C26" s="56"/>
      <c r="D26" s="56"/>
      <c r="E26" s="56"/>
      <c r="F26" s="56"/>
      <c r="R26" s="83">
        <f ca="1"/>
        <v>45371</v>
      </c>
      <c r="S26" s="55">
        <f t="shared" ca="1" si="10"/>
        <v>45371</v>
      </c>
      <c r="T26" s="55">
        <f t="shared" ca="1" si="0"/>
        <v>109.74516834982498</v>
      </c>
      <c r="U26" s="55">
        <f t="shared" ca="1" si="1"/>
        <v>0</v>
      </c>
      <c r="V26" s="55">
        <f t="shared" ca="1" si="2"/>
        <v>0</v>
      </c>
      <c r="W26" s="55">
        <f t="shared" ca="1" si="11"/>
        <v>0</v>
      </c>
      <c r="X26" s="55">
        <f t="shared" ca="1" si="12"/>
        <v>7.1101419008084816</v>
      </c>
      <c r="Y26" s="55">
        <f t="shared" ca="1" si="13"/>
        <v>53.449852912634327</v>
      </c>
      <c r="Z26">
        <f ca="1">VLOOKUP(S26,ModelOutputs,10,FALSE)*AWC</f>
        <v>90.152485617227967</v>
      </c>
      <c r="AA26">
        <f t="shared" ca="1" si="14"/>
        <v>0</v>
      </c>
      <c r="AB26">
        <f t="shared" ca="1" si="3"/>
        <v>0</v>
      </c>
      <c r="AC26">
        <f t="shared" ca="1" si="4"/>
        <v>0</v>
      </c>
      <c r="AD26" s="83">
        <f ca="1"/>
        <v>45512</v>
      </c>
      <c r="AE26" s="55">
        <f t="shared" ca="1" si="16"/>
        <v>45512</v>
      </c>
      <c r="AF26" s="55">
        <f t="shared" ca="1" si="17"/>
        <v>69.421448668113172</v>
      </c>
      <c r="AG26" s="55">
        <f t="shared" ca="1" si="18"/>
        <v>0</v>
      </c>
      <c r="AH26" s="55">
        <f t="shared" ca="1" si="19"/>
        <v>0</v>
      </c>
      <c r="AI26" s="55">
        <f ca="1">-VLOOKUP(AE26,ModelOutputs,9,FALSE)+AI25</f>
        <v>-8.8259722486312366</v>
      </c>
      <c r="AJ26" s="55">
        <f ca="1">VLOOKUP(AE26,ModelOutputs,5,FALSE)+AJ25</f>
        <v>4.8445014683806242</v>
      </c>
      <c r="AK26" s="55">
        <f ca="1">VLOOKUP(AE26,ModelOutputs,4,FALSE)+AK25</f>
        <v>45.207282842409853</v>
      </c>
    </row>
    <row r="27" spans="1:37" s="55" customFormat="1" ht="15.75" thickBot="1">
      <c r="C27" s="130" t="s">
        <v>139</v>
      </c>
      <c r="D27" s="131"/>
      <c r="E27" s="60"/>
      <c r="F27" s="132" t="s">
        <v>146</v>
      </c>
      <c r="G27" s="133"/>
      <c r="R27" s="83">
        <f ca="1"/>
        <v>45372</v>
      </c>
      <c r="S27" s="55">
        <f t="shared" ca="1" si="10"/>
        <v>45372</v>
      </c>
      <c r="T27" s="55">
        <f t="shared" ca="1" si="0"/>
        <v>114.10678691501434</v>
      </c>
      <c r="U27" s="55">
        <f t="shared" ca="1" si="1"/>
        <v>0</v>
      </c>
      <c r="V27" s="55">
        <f t="shared" ca="1" si="2"/>
        <v>0</v>
      </c>
      <c r="W27" s="55">
        <f t="shared" ca="1" si="11"/>
        <v>0</v>
      </c>
      <c r="X27" s="55">
        <f t="shared" ca="1" si="12"/>
        <v>7.8571013777491538</v>
      </c>
      <c r="Y27" s="55">
        <f t="shared" ca="1" si="13"/>
        <v>57.06451200088302</v>
      </c>
      <c r="Z27">
        <f ca="1">VLOOKUP(S27,ModelOutputs,10,FALSE)*AWC</f>
        <v>89.873224820811231</v>
      </c>
      <c r="AA27">
        <f t="shared" ca="1" si="14"/>
        <v>0</v>
      </c>
      <c r="AB27">
        <f t="shared" ca="1" si="3"/>
        <v>0</v>
      </c>
      <c r="AC27">
        <f t="shared" ca="1" si="4"/>
        <v>0</v>
      </c>
      <c r="AD27" s="83">
        <f ca="1"/>
        <v>45513</v>
      </c>
      <c r="AE27" s="55">
        <f t="shared" ca="1" si="16"/>
        <v>45513</v>
      </c>
      <c r="AF27" s="55">
        <f t="shared" ca="1" si="17"/>
        <v>72.509940112224214</v>
      </c>
      <c r="AG27" s="55">
        <f t="shared" ca="1" si="18"/>
        <v>0</v>
      </c>
      <c r="AH27" s="55">
        <f t="shared" ca="1" si="19"/>
        <v>0</v>
      </c>
      <c r="AI27" s="55">
        <f ca="1">-VLOOKUP(AE27,ModelOutputs,9,FALSE)+AI26</f>
        <v>-8.8745005294894082</v>
      </c>
      <c r="AJ27" s="55">
        <f ca="1">VLOOKUP(AE27,ModelOutputs,5,FALSE)+AJ26</f>
        <v>5.2816459520439407</v>
      </c>
      <c r="AK27" s="55">
        <f ca="1">VLOOKUP(AE27,ModelOutputs,4,FALSE)+AK26</f>
        <v>47.907158083715757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45373</v>
      </c>
      <c r="S28" s="55">
        <f t="shared" ca="1" si="10"/>
        <v>45373</v>
      </c>
      <c r="T28" s="55">
        <f t="shared" ca="1" si="0"/>
        <v>118.1406333069328</v>
      </c>
      <c r="U28" s="55">
        <f t="shared" ca="1" si="1"/>
        <v>0</v>
      </c>
      <c r="V28" s="55">
        <f t="shared" ca="1" si="2"/>
        <v>0</v>
      </c>
      <c r="W28" s="55">
        <f t="shared" ca="1" si="11"/>
        <v>0</v>
      </c>
      <c r="X28" s="55">
        <f t="shared" ca="1" si="12"/>
        <v>8.6159290344118382</v>
      </c>
      <c r="Y28" s="55">
        <f t="shared" ca="1" si="13"/>
        <v>60.339530736138784</v>
      </c>
      <c r="Z28">
        <f ca="1">VLOOKUP(S28,ModelOutputs,10,FALSE)*AWC</f>
        <v>90.447212648298986</v>
      </c>
      <c r="AA28">
        <f t="shared" ca="1" si="14"/>
        <v>0</v>
      </c>
      <c r="AB28">
        <f t="shared" ca="1" si="3"/>
        <v>0</v>
      </c>
      <c r="AC28">
        <f t="shared" ca="1" si="4"/>
        <v>0</v>
      </c>
      <c r="AD28" s="83">
        <f ca="1"/>
        <v>45514</v>
      </c>
      <c r="AE28" s="55">
        <f t="shared" ca="1" si="16"/>
        <v>45514</v>
      </c>
      <c r="AF28" s="55">
        <f t="shared" ca="1" si="17"/>
        <v>73.989687787042016</v>
      </c>
      <c r="AG28" s="55">
        <f t="shared" ca="1" si="18"/>
        <v>0</v>
      </c>
      <c r="AH28" s="55">
        <f t="shared" ca="1" si="19"/>
        <v>0</v>
      </c>
      <c r="AI28" s="55">
        <f ca="1">-VLOOKUP(AE28,ModelOutputs,9,FALSE)+AI27</f>
        <v>-10.660350033868447</v>
      </c>
      <c r="AJ28" s="55">
        <f ca="1">VLOOKUP(AE28,ModelOutputs,5,FALSE)+AJ27</f>
        <v>5.7644229729327652</v>
      </c>
      <c r="AK28" s="55">
        <f ca="1">VLOOKUP(AE28,ModelOutputs,4,FALSE)+AK27</f>
        <v>50.689978242023784</v>
      </c>
    </row>
    <row r="29" spans="1:37" s="55" customFormat="1">
      <c r="A29" s="83">
        <f t="array" aca="1" ref="A29:A43" ca="1">_xlfn._xlws.FILTER('Model Interface'!AD6:AD495,'Model Interface'!AE6:AE495&gt;0,"")</f>
        <v>45452</v>
      </c>
      <c r="B29" s="55">
        <f t="shared" ref="B29:B43" ca="1" si="20">IF(AND(NOT(F29=""),F29&gt;=StartSchedullingDate),1,0)</f>
        <v>1</v>
      </c>
      <c r="C29" s="78"/>
      <c r="D29" s="80"/>
      <c r="F29" s="74">
        <f ca="1">A29</f>
        <v>45452</v>
      </c>
      <c r="G29" s="76">
        <f ca="1">IFERROR(VLOOKUP(F29,'Model Interface'!$P$6:$U$495,6,FALSE),"")</f>
        <v>68.196562403028807</v>
      </c>
      <c r="H29" s="55" t="str">
        <f ca="1">IF(B29=1,"Suggested","Applied or Planned")</f>
        <v>Suggested</v>
      </c>
      <c r="R29" s="83">
        <f ca="1"/>
        <v>45374</v>
      </c>
      <c r="S29" s="55">
        <f t="shared" ca="1" si="10"/>
        <v>45374</v>
      </c>
      <c r="T29" s="55">
        <f t="shared" ca="1" si="0"/>
        <v>121.84552966722653</v>
      </c>
      <c r="U29" s="55">
        <f t="shared" ca="1" si="1"/>
        <v>0</v>
      </c>
      <c r="V29" s="55">
        <f t="shared" ca="1" si="2"/>
        <v>0</v>
      </c>
      <c r="W29" s="55">
        <f t="shared" ca="1" si="11"/>
        <v>0</v>
      </c>
      <c r="X29" s="55">
        <f t="shared" ca="1" si="12"/>
        <v>9.3811022502907981</v>
      </c>
      <c r="Y29" s="55">
        <f t="shared" ca="1" si="13"/>
        <v>63.279253880553547</v>
      </c>
      <c r="Z29">
        <f ca="1">VLOOKUP(S29,ModelOutputs,10,FALSE)*AWC</f>
        <v>95.272385918263268</v>
      </c>
      <c r="AA29">
        <f t="shared" ca="1" si="14"/>
        <v>0</v>
      </c>
      <c r="AB29">
        <f t="shared" ca="1" si="3"/>
        <v>0</v>
      </c>
      <c r="AC29">
        <f t="shared" ca="1" si="4"/>
        <v>0</v>
      </c>
      <c r="AD29" s="83">
        <f ca="1"/>
        <v>45515</v>
      </c>
      <c r="AE29" s="55">
        <f t="shared" ca="1" si="16"/>
        <v>45515</v>
      </c>
      <c r="AF29" s="55">
        <f t="shared" ca="1" si="17"/>
        <v>75.203331945150879</v>
      </c>
      <c r="AG29" s="55">
        <f t="shared" ca="1" si="18"/>
        <v>0</v>
      </c>
      <c r="AH29" s="55">
        <f t="shared" ca="1" si="19"/>
        <v>0</v>
      </c>
      <c r="AI29" s="55">
        <f ca="1">-VLOOKUP(AE29,ModelOutputs,9,FALSE)+AI28</f>
        <v>-12.644876321744956</v>
      </c>
      <c r="AJ29" s="55">
        <f ca="1">VLOOKUP(AE29,ModelOutputs,5,FALSE)+AJ28</f>
        <v>6.2679334131126598</v>
      </c>
      <c r="AK29" s="55">
        <f ca="1">VLOOKUP(AE29,ModelOutputs,4,FALSE)+AK28</f>
        <v>53.384638247829258</v>
      </c>
    </row>
    <row r="30" spans="1:37" s="55" customFormat="1">
      <c r="A30" s="83">
        <f ca="1"/>
        <v>45473</v>
      </c>
      <c r="B30" s="55">
        <f t="shared" ca="1" si="20"/>
        <v>1</v>
      </c>
      <c r="C30" s="78"/>
      <c r="D30" s="81"/>
      <c r="F30" s="74">
        <f t="shared" ref="F30:F43" ca="1" si="21">IFERROR(IF(A30=A29,"",A30),"")</f>
        <v>45473</v>
      </c>
      <c r="G30" s="76">
        <f ca="1">IFERROR(VLOOKUP(F30,'Model Interface'!$P$6:$U$495,6,FALSE),"")</f>
        <v>94.179262729268459</v>
      </c>
      <c r="H30" s="55" t="str">
        <f t="shared" ref="H30:H43" ca="1" si="22">IF(F30="","",IF(F30&lt;=StartSchedullingDate,"Applied or Planned","Suggested"))</f>
        <v>Suggested</v>
      </c>
      <c r="R30" s="83">
        <f ca="1"/>
        <v>45375</v>
      </c>
      <c r="S30" s="55">
        <f t="shared" ca="1" si="10"/>
        <v>45375</v>
      </c>
      <c r="T30" s="55">
        <f t="shared" ca="1" si="0"/>
        <v>125.47083627847996</v>
      </c>
      <c r="U30" s="55">
        <f t="shared" ca="1" si="1"/>
        <v>0</v>
      </c>
      <c r="V30" s="55">
        <f t="shared" ca="1" si="2"/>
        <v>0</v>
      </c>
      <c r="W30" s="55">
        <f t="shared" ca="1" si="11"/>
        <v>0</v>
      </c>
      <c r="X30" s="55">
        <f t="shared" ca="1" si="12"/>
        <v>10.204744939894098</v>
      </c>
      <c r="Y30" s="55">
        <f t="shared" ca="1" si="13"/>
        <v>66.080917802203686</v>
      </c>
      <c r="Z30">
        <f ca="1">VLOOKUP(S30,ModelOutputs,10,FALSE)*AWC</f>
        <v>97.428150307943909</v>
      </c>
      <c r="AA30">
        <f t="shared" ca="1" si="14"/>
        <v>0</v>
      </c>
      <c r="AB30">
        <f t="shared" ca="1" si="3"/>
        <v>0</v>
      </c>
      <c r="AC30">
        <f t="shared" ca="1" si="4"/>
        <v>0</v>
      </c>
      <c r="AD30" s="83">
        <f ca="1"/>
        <v>45516</v>
      </c>
      <c r="AE30" s="55">
        <f t="shared" ca="1" si="16"/>
        <v>45516</v>
      </c>
      <c r="AF30" s="55">
        <f t="shared" ca="1" si="17"/>
        <v>77.251047083230091</v>
      </c>
      <c r="AG30" s="55">
        <f t="shared" ca="1" si="18"/>
        <v>0</v>
      </c>
      <c r="AH30" s="55">
        <f t="shared" ca="1" si="19"/>
        <v>0</v>
      </c>
      <c r="AI30" s="55">
        <f ca="1">-VLOOKUP(AE30,ModelOutputs,9,FALSE)+AI29</f>
        <v>-13.684541763685575</v>
      </c>
      <c r="AJ30" s="55">
        <f ca="1">VLOOKUP(AE30,ModelOutputs,5,FALSE)+AJ29</f>
        <v>6.7864434228124892</v>
      </c>
      <c r="AK30" s="55">
        <f ca="1">VLOOKUP(AE30,ModelOutputs,4,FALSE)+AK29</f>
        <v>55.95350881814926</v>
      </c>
    </row>
    <row r="31" spans="1:37" s="55" customFormat="1">
      <c r="A31" s="83" t="e">
        <f ca="1"/>
        <v>#N/A</v>
      </c>
      <c r="B31" s="55">
        <f t="shared" ca="1" si="20"/>
        <v>0</v>
      </c>
      <c r="C31" s="78"/>
      <c r="D31" s="81"/>
      <c r="F31" s="74" t="str">
        <f t="shared" ca="1" si="21"/>
        <v/>
      </c>
      <c r="G31" s="76" t="str">
        <f ca="1">IFERROR(VLOOKUP(F31,'Model Interface'!$P$6:$U$495,6,FALSE),"")</f>
        <v/>
      </c>
      <c r="H31" s="55" t="str">
        <f t="shared" ca="1" si="22"/>
        <v/>
      </c>
      <c r="R31" s="83">
        <f ca="1"/>
        <v>45376</v>
      </c>
      <c r="S31" s="55">
        <f t="shared" ca="1" si="10"/>
        <v>45376</v>
      </c>
      <c r="T31" s="55">
        <f t="shared" ca="1" si="0"/>
        <v>128.93831846901435</v>
      </c>
      <c r="U31" s="55">
        <f t="shared" ca="1" si="1"/>
        <v>0</v>
      </c>
      <c r="V31" s="55">
        <f t="shared" ca="1" si="2"/>
        <v>0</v>
      </c>
      <c r="W31" s="55">
        <f t="shared" ca="1" si="11"/>
        <v>0</v>
      </c>
      <c r="X31" s="55">
        <f t="shared" ca="1" si="12"/>
        <v>11.074707715922543</v>
      </c>
      <c r="Y31" s="55">
        <f t="shared" ca="1" si="13"/>
        <v>68.678437216709611</v>
      </c>
      <c r="Z31">
        <f ca="1">VLOOKUP(S31,ModelOutputs,10,FALSE)*AWC</f>
        <v>101.41838841562426</v>
      </c>
      <c r="AA31">
        <f t="shared" ca="1" si="14"/>
        <v>0</v>
      </c>
      <c r="AB31">
        <f t="shared" ca="1" si="3"/>
        <v>0</v>
      </c>
      <c r="AC31">
        <f t="shared" ca="1" si="4"/>
        <v>0</v>
      </c>
      <c r="AD31" s="83">
        <f ca="1"/>
        <v>45517</v>
      </c>
      <c r="AE31" s="55">
        <f t="shared" ca="1" si="16"/>
        <v>45517</v>
      </c>
      <c r="AF31" s="55">
        <f t="shared" ca="1" si="17"/>
        <v>77.20160313978586</v>
      </c>
      <c r="AG31" s="55">
        <f t="shared" ca="1" si="18"/>
        <v>0</v>
      </c>
      <c r="AH31" s="55">
        <f t="shared" ca="1" si="19"/>
        <v>0</v>
      </c>
      <c r="AI31" s="55">
        <f ca="1">-VLOOKUP(AE31,ModelOutputs,9,FALSE)+AI30</f>
        <v>-16.707446020387582</v>
      </c>
      <c r="AJ31" s="55">
        <f ca="1">VLOOKUP(AE31,ModelOutputs,5,FALSE)+AJ30</f>
        <v>7.3197954410610109</v>
      </c>
      <c r="AK31" s="55">
        <f ca="1">VLOOKUP(AE31,ModelOutputs,4,FALSE)+AK30</f>
        <v>58.393617113158513</v>
      </c>
    </row>
    <row r="32" spans="1:37" s="55" customFormat="1">
      <c r="A32" s="83" t="e">
        <f ca="1"/>
        <v>#N/A</v>
      </c>
      <c r="B32" s="55">
        <f t="shared" ca="1" si="20"/>
        <v>0</v>
      </c>
      <c r="C32" s="78"/>
      <c r="D32" s="81"/>
      <c r="F32" s="74" t="str">
        <f t="shared" ca="1" si="21"/>
        <v/>
      </c>
      <c r="G32" s="76" t="str">
        <f ca="1">IFERROR(VLOOKUP(F32,'Model Interface'!$P$6:$U$495,6,FALSE),"")</f>
        <v/>
      </c>
      <c r="H32" s="55" t="str">
        <f t="shared" ca="1" si="22"/>
        <v/>
      </c>
      <c r="R32" s="83">
        <f ca="1"/>
        <v>45377</v>
      </c>
      <c r="S32" s="55">
        <f t="shared" ca="1" si="10"/>
        <v>45377</v>
      </c>
      <c r="T32" s="55">
        <f t="shared" ca="1" si="0"/>
        <v>132.12054825007021</v>
      </c>
      <c r="U32" s="55">
        <f t="shared" ca="1" si="1"/>
        <v>0</v>
      </c>
      <c r="V32" s="55">
        <f t="shared" ca="1" si="2"/>
        <v>0</v>
      </c>
      <c r="W32" s="55">
        <f t="shared" ca="1" si="11"/>
        <v>0</v>
      </c>
      <c r="X32" s="55">
        <f t="shared" ca="1" si="12"/>
        <v>11.956878803996661</v>
      </c>
      <c r="Y32" s="55">
        <f t="shared" ca="1" si="13"/>
        <v>70.978495909691361</v>
      </c>
      <c r="Z32">
        <f ca="1">VLOOKUP(S32,ModelOutputs,10,FALSE)*AWC</f>
        <v>100.73733690845071</v>
      </c>
      <c r="AA32">
        <f t="shared" ca="1" si="14"/>
        <v>0</v>
      </c>
      <c r="AB32">
        <f t="shared" ca="1" si="3"/>
        <v>0</v>
      </c>
      <c r="AC32">
        <f t="shared" ca="1" si="4"/>
        <v>0</v>
      </c>
      <c r="AD32" s="83">
        <f ca="1"/>
        <v>45518</v>
      </c>
      <c r="AE32" s="55">
        <f t="shared" ca="1" si="16"/>
        <v>45518</v>
      </c>
      <c r="AF32" s="55">
        <f t="shared" ca="1" si="17"/>
        <v>78.762888198165015</v>
      </c>
      <c r="AG32" s="55">
        <f t="shared" ca="1" si="18"/>
        <v>2.2995005421189183</v>
      </c>
      <c r="AH32" s="55">
        <f t="shared" ca="1" si="19"/>
        <v>0</v>
      </c>
      <c r="AI32" s="55">
        <f ca="1">-VLOOKUP(AE32,ModelOutputs,9,FALSE)+AI31</f>
        <v>-17.8394029382513</v>
      </c>
      <c r="AJ32" s="55">
        <f ca="1">VLOOKUP(AE32,ModelOutputs,5,FALSE)+AJ31</f>
        <v>7.8352829422715331</v>
      </c>
      <c r="AK32" s="55">
        <f ca="1">VLOOKUP(AE32,ModelOutputs,4,FALSE)+AK31</f>
        <v>60.571371588190857</v>
      </c>
    </row>
    <row r="33" spans="1:37" s="55" customFormat="1">
      <c r="A33" s="83" t="e">
        <f ca="1"/>
        <v>#N/A</v>
      </c>
      <c r="B33" s="55">
        <f t="shared" ca="1" si="20"/>
        <v>0</v>
      </c>
      <c r="C33" s="78"/>
      <c r="D33" s="81"/>
      <c r="F33" s="74" t="str">
        <f t="shared" ca="1" si="21"/>
        <v/>
      </c>
      <c r="G33" s="76" t="str">
        <f ca="1">IFERROR(VLOOKUP(F33,'Model Interface'!$P$6:$U$495,6,FALSE),"")</f>
        <v/>
      </c>
      <c r="H33" s="55" t="str">
        <f t="shared" ca="1" si="22"/>
        <v/>
      </c>
      <c r="R33" s="83">
        <f ca="1"/>
        <v>45378</v>
      </c>
      <c r="S33" s="55">
        <f t="shared" ca="1" si="10"/>
        <v>45378</v>
      </c>
      <c r="T33" s="55">
        <f t="shared" ca="1" si="0"/>
        <v>134.69665760620771</v>
      </c>
      <c r="U33" s="55">
        <f t="shared" ca="1" si="1"/>
        <v>7.8247711070627428</v>
      </c>
      <c r="V33" s="55">
        <f t="shared" ca="1" si="2"/>
        <v>0</v>
      </c>
      <c r="W33" s="55">
        <f t="shared" ca="1" si="11"/>
        <v>0</v>
      </c>
      <c r="X33" s="55">
        <f t="shared" ca="1" si="12"/>
        <v>12.739799578315228</v>
      </c>
      <c r="Y33" s="55">
        <f t="shared" ca="1" si="13"/>
        <v>72.7716844915103</v>
      </c>
      <c r="Z33">
        <f ca="1">VLOOKUP(S33,ModelOutputs,10,FALSE)*AWC</f>
        <v>99.263954447168985</v>
      </c>
      <c r="AA33">
        <f t="shared" ca="1" si="14"/>
        <v>0</v>
      </c>
      <c r="AB33">
        <f t="shared" ca="1" si="3"/>
        <v>0</v>
      </c>
      <c r="AC33">
        <f t="shared" ca="1" si="4"/>
        <v>8.9915606120256064E-3</v>
      </c>
      <c r="AD33" s="83">
        <f ca="1"/>
        <v>45519</v>
      </c>
      <c r="AE33" s="55">
        <f t="shared" ca="1" si="16"/>
        <v>45519</v>
      </c>
      <c r="AF33" s="55">
        <f t="shared" ca="1" si="17"/>
        <v>81.123838013512895</v>
      </c>
      <c r="AG33" s="55">
        <f t="shared" ca="1" si="18"/>
        <v>2.361999260311241</v>
      </c>
      <c r="AH33" s="55">
        <f t="shared" ca="1" si="19"/>
        <v>0</v>
      </c>
      <c r="AI33" s="55">
        <f ca="1">-VLOOKUP(AE33,ModelOutputs,9,FALSE)+AI32</f>
        <v>-18.009760245904452</v>
      </c>
      <c r="AJ33" s="55">
        <f ca="1">VLOOKUP(AE33,ModelOutputs,5,FALSE)+AJ32</f>
        <v>8.3644609633363576</v>
      </c>
      <c r="AK33" s="55">
        <f ca="1">VLOOKUP(AE33,ModelOutputs,4,FALSE)+AK32</f>
        <v>62.635999408319378</v>
      </c>
    </row>
    <row r="34" spans="1:37" s="55" customFormat="1" ht="15.75" thickBot="1">
      <c r="A34" s="83" t="e">
        <f ca="1"/>
        <v>#N/A</v>
      </c>
      <c r="B34" s="55">
        <f t="shared" ca="1" si="20"/>
        <v>0</v>
      </c>
      <c r="C34" s="79"/>
      <c r="D34" s="82"/>
      <c r="F34" s="74" t="str">
        <f t="shared" ca="1" si="21"/>
        <v/>
      </c>
      <c r="G34" s="76" t="str">
        <f ca="1">IFERROR(VLOOKUP(F34,'Model Interface'!$P$6:$U$495,6,FALSE),"")</f>
        <v/>
      </c>
      <c r="H34" s="55" t="str">
        <f t="shared" ca="1" si="22"/>
        <v/>
      </c>
      <c r="R34" s="83">
        <f ca="1"/>
        <v>45379</v>
      </c>
      <c r="S34" s="55">
        <f t="shared" ca="1" si="10"/>
        <v>45379</v>
      </c>
      <c r="T34" s="55">
        <f t="shared" ca="1" si="0"/>
        <v>136.78174976946914</v>
      </c>
      <c r="U34" s="55">
        <f t="shared" ca="1" si="1"/>
        <v>8.2088663356969178</v>
      </c>
      <c r="V34" s="55">
        <f t="shared" ca="1" si="2"/>
        <v>0</v>
      </c>
      <c r="W34" s="55">
        <f t="shared" ca="1" si="11"/>
        <v>0</v>
      </c>
      <c r="X34" s="55">
        <f t="shared" ca="1" si="12"/>
        <v>13.556985954263062</v>
      </c>
      <c r="Y34" s="55">
        <f t="shared" ca="1" si="13"/>
        <v>74.423685507458075</v>
      </c>
      <c r="Z34">
        <f ca="1">VLOOKUP(S34,ModelOutputs,10,FALSE)*AWC</f>
        <v>100.12535129876115</v>
      </c>
      <c r="AA34">
        <f t="shared" ca="1" si="14"/>
        <v>0</v>
      </c>
      <c r="AB34">
        <f t="shared" ca="1" si="3"/>
        <v>0</v>
      </c>
      <c r="AC34">
        <f t="shared" ca="1" si="4"/>
        <v>1.2163968455098022E-2</v>
      </c>
      <c r="AD34" s="83">
        <f ca="1"/>
        <v>45520</v>
      </c>
      <c r="AE34" s="55">
        <f t="shared" ca="1" si="16"/>
        <v>45520</v>
      </c>
      <c r="AF34" s="55">
        <f t="shared" ca="1" si="17"/>
        <v>80.511881010335671</v>
      </c>
      <c r="AG34" s="55">
        <f t="shared" ca="1" si="18"/>
        <v>2.4256044926253555</v>
      </c>
      <c r="AH34" s="55">
        <f t="shared" ca="1" si="19"/>
        <v>0</v>
      </c>
      <c r="AI34" s="55">
        <f ca="1">-VLOOKUP(AE34,ModelOutputs,9,FALSE)+AI33</f>
        <v>-20.97211120590147</v>
      </c>
      <c r="AJ34" s="55">
        <f ca="1">VLOOKUP(AE34,ModelOutputs,5,FALSE)+AJ33</f>
        <v>8.889267910980216</v>
      </c>
      <c r="AK34" s="55">
        <f ca="1">VLOOKUP(AE34,ModelOutputs,4,FALSE)+AK33</f>
        <v>64.525191649809443</v>
      </c>
    </row>
    <row r="35" spans="1:37" s="55" customFormat="1" ht="15.75" thickBot="1">
      <c r="A35" s="83" t="e">
        <f ca="1"/>
        <v>#N/A</v>
      </c>
      <c r="B35" s="55">
        <f t="shared" ca="1" si="20"/>
        <v>0</v>
      </c>
      <c r="F35" s="74" t="str">
        <f t="shared" ca="1" si="21"/>
        <v/>
      </c>
      <c r="G35" s="76" t="str">
        <f ca="1">IFERROR(VLOOKUP(F35,'Model Interface'!$P$6:$U$495,6,FALSE),"")</f>
        <v/>
      </c>
      <c r="H35" s="55" t="str">
        <f t="shared" ca="1" si="22"/>
        <v/>
      </c>
      <c r="R35" s="83">
        <f ca="1"/>
        <v>45380</v>
      </c>
      <c r="S35" s="55">
        <f t="shared" ca="1" si="10"/>
        <v>45380</v>
      </c>
      <c r="T35" s="55">
        <f t="shared" ca="1" si="0"/>
        <v>138.6891077320843</v>
      </c>
      <c r="U35" s="55">
        <f t="shared" ca="1" si="1"/>
        <v>8.6170707212190649</v>
      </c>
      <c r="V35" s="55">
        <f t="shared" ca="1" si="2"/>
        <v>0</v>
      </c>
      <c r="W35" s="55">
        <f t="shared" ca="1" si="11"/>
        <v>0</v>
      </c>
      <c r="X35" s="55">
        <f t="shared" ca="1" si="12"/>
        <v>14.391058869791495</v>
      </c>
      <c r="Y35" s="55">
        <f t="shared" ca="1" si="13"/>
        <v>75.905174940066956</v>
      </c>
      <c r="Z35">
        <f ca="1">VLOOKUP(S35,ModelOutputs,10,FALSE)*AWC</f>
        <v>100.37622130813236</v>
      </c>
      <c r="AA35">
        <f t="shared" ca="1" si="14"/>
        <v>0</v>
      </c>
      <c r="AB35">
        <f t="shared" ca="1" si="3"/>
        <v>0</v>
      </c>
      <c r="AC35">
        <f t="shared" ca="1" si="4"/>
        <v>1.6504960469102666E-2</v>
      </c>
      <c r="AD35" s="83">
        <f ca="1"/>
        <v>45521</v>
      </c>
      <c r="AE35" s="55">
        <f t="shared" ca="1" si="16"/>
        <v>45521</v>
      </c>
      <c r="AF35" s="55">
        <f t="shared" ca="1" si="17"/>
        <v>81.456247109691674</v>
      </c>
      <c r="AG35" s="55">
        <f t="shared" ca="1" si="18"/>
        <v>2.4855061405566277</v>
      </c>
      <c r="AH35" s="55">
        <f t="shared" ca="1" si="19"/>
        <v>0</v>
      </c>
      <c r="AI35" s="55">
        <f ca="1">-VLOOKUP(AE35,ModelOutputs,9,FALSE)+AI34</f>
        <v>-22.068101398979458</v>
      </c>
      <c r="AJ35" s="55">
        <f ca="1">VLOOKUP(AE35,ModelOutputs,5,FALSE)+AJ34</f>
        <v>9.374113776261396</v>
      </c>
      <c r="AK35" s="55">
        <f ca="1">VLOOKUP(AE35,ModelOutputs,4,FALSE)+AK34</f>
        <v>66.140603724893509</v>
      </c>
    </row>
    <row r="36" spans="1:37" s="55" customFormat="1" ht="15.75" thickBot="1">
      <c r="A36" s="83" t="e">
        <f ca="1"/>
        <v>#N/A</v>
      </c>
      <c r="B36" s="55">
        <f t="shared" ca="1" si="20"/>
        <v>0</v>
      </c>
      <c r="C36" s="130" t="s">
        <v>140</v>
      </c>
      <c r="D36" s="131"/>
      <c r="F36" s="74" t="str">
        <f t="shared" ca="1" si="21"/>
        <v/>
      </c>
      <c r="G36" s="76" t="str">
        <f ca="1">IFERROR(VLOOKUP(F36,'Model Interface'!$P$6:$U$495,6,FALSE),"")</f>
        <v/>
      </c>
      <c r="H36" s="55" t="str">
        <f t="shared" ca="1" si="22"/>
        <v/>
      </c>
      <c r="R36" s="83">
        <f ca="1"/>
        <v>45381</v>
      </c>
      <c r="S36" s="55">
        <f t="shared" ca="1" si="10"/>
        <v>45381</v>
      </c>
      <c r="T36" s="55">
        <f t="shared" ca="1" si="0"/>
        <v>140.32612465593033</v>
      </c>
      <c r="U36" s="55">
        <f t="shared" ca="1" si="1"/>
        <v>9.0315155590743537</v>
      </c>
      <c r="V36" s="55">
        <f t="shared" ca="1" si="2"/>
        <v>0</v>
      </c>
      <c r="W36" s="55">
        <f t="shared" ca="1" si="11"/>
        <v>0</v>
      </c>
      <c r="X36" s="55">
        <f t="shared" ca="1" si="12"/>
        <v>15.191883345322317</v>
      </c>
      <c r="Y36" s="55">
        <f t="shared" ca="1" si="13"/>
        <v>77.155812226237458</v>
      </c>
      <c r="Z36">
        <f ca="1">VLOOKUP(S36,ModelOutputs,10,FALSE)*AWC</f>
        <v>100.40193615750069</v>
      </c>
      <c r="AA36">
        <f t="shared" ca="1" si="14"/>
        <v>0</v>
      </c>
      <c r="AB36">
        <f t="shared" ca="1" si="3"/>
        <v>0</v>
      </c>
      <c r="AC36">
        <f t="shared" ca="1" si="4"/>
        <v>2.2150763510275836E-2</v>
      </c>
      <c r="AD36" s="83">
        <f ca="1"/>
        <v>45522</v>
      </c>
      <c r="AE36" s="55">
        <f t="shared" ca="1" si="16"/>
        <v>45522</v>
      </c>
      <c r="AF36" s="55">
        <f t="shared" ca="1" si="17"/>
        <v>83.170786045777717</v>
      </c>
      <c r="AG36" s="55">
        <f t="shared" ca="1" si="18"/>
        <v>2.5514288086155954</v>
      </c>
      <c r="AH36" s="55">
        <f t="shared" ca="1" si="19"/>
        <v>0</v>
      </c>
      <c r="AI36" s="55">
        <f ca="1">-VLOOKUP(AE36,ModelOutputs,9,FALSE)+AI35</f>
        <v>-22.403117449953747</v>
      </c>
      <c r="AJ36" s="55">
        <f ca="1">VLOOKUP(AE36,ModelOutputs,5,FALSE)+AJ35</f>
        <v>9.8919751529152133</v>
      </c>
      <c r="AK36" s="55">
        <f ca="1">VLOOKUP(AE36,ModelOutputs,4,FALSE)+AK35</f>
        <v>67.738220003359004</v>
      </c>
    </row>
    <row r="37" spans="1:37" s="55" customFormat="1" ht="15.75" thickBot="1">
      <c r="A37" s="83" t="e">
        <f ca="1"/>
        <v>#N/A</v>
      </c>
      <c r="B37" s="55">
        <f t="shared" ca="1" si="20"/>
        <v>0</v>
      </c>
      <c r="C37" s="114" t="s">
        <v>14</v>
      </c>
      <c r="D37" s="115" t="s">
        <v>18</v>
      </c>
      <c r="F37" s="74" t="str">
        <f t="shared" ca="1" si="21"/>
        <v/>
      </c>
      <c r="G37" s="76" t="str">
        <f ca="1">IFERROR(VLOOKUP(F37,'Model Interface'!$P$6:$U$495,6,FALSE),"")</f>
        <v/>
      </c>
      <c r="H37" s="55" t="str">
        <f t="shared" ca="1" si="22"/>
        <v/>
      </c>
      <c r="R37" s="83">
        <f ca="1"/>
        <v>45382</v>
      </c>
      <c r="S37" s="55">
        <f t="shared" ca="1" si="10"/>
        <v>45382</v>
      </c>
      <c r="T37" s="55">
        <f t="shared" ca="1" si="0"/>
        <v>141.739020924904</v>
      </c>
      <c r="U37" s="55">
        <f t="shared" ca="1" si="1"/>
        <v>9.4585437681493545</v>
      </c>
      <c r="V37" s="55">
        <f t="shared" ca="1" si="2"/>
        <v>0</v>
      </c>
      <c r="W37" s="55">
        <f t="shared" ca="1" si="11"/>
        <v>0</v>
      </c>
      <c r="X37" s="55">
        <f t="shared" ca="1" si="12"/>
        <v>15.965288862496516</v>
      </c>
      <c r="Y37" s="55">
        <f t="shared" ca="1" si="13"/>
        <v>78.222331187111891</v>
      </c>
      <c r="Z37">
        <f ca="1">VLOOKUP(S37,ModelOutputs,10,FALSE)*AWC</f>
        <v>99.031331576038369</v>
      </c>
      <c r="AA37">
        <f t="shared" ca="1" si="14"/>
        <v>0</v>
      </c>
      <c r="AB37">
        <f t="shared" ca="1" si="3"/>
        <v>0</v>
      </c>
      <c r="AC37">
        <f t="shared" ca="1" si="4"/>
        <v>2.9535848729884906E-2</v>
      </c>
      <c r="AD37" s="83">
        <f ca="1"/>
        <v>45523</v>
      </c>
      <c r="AE37" s="55">
        <f t="shared" ca="1" si="16"/>
        <v>45523</v>
      </c>
      <c r="AF37" s="55">
        <f t="shared" ca="1" si="17"/>
        <v>83.753337823428268</v>
      </c>
      <c r="AG37" s="55">
        <f t="shared" ca="1" si="18"/>
        <v>2.6174376176838097</v>
      </c>
      <c r="AH37" s="55">
        <f t="shared" ca="1" si="19"/>
        <v>0</v>
      </c>
      <c r="AI37" s="55">
        <f ca="1">-VLOOKUP(AE37,ModelOutputs,9,FALSE)+AI36</f>
        <v>-23.704294664250217</v>
      </c>
      <c r="AJ37" s="55">
        <f ca="1">VLOOKUP(AE37,ModelOutputs,5,FALSE)+AJ36</f>
        <v>10.398249895414397</v>
      </c>
      <c r="AK37" s="55">
        <f ca="1">VLOOKUP(AE37,ModelOutputs,4,FALSE)+AK36</f>
        <v>69.181683061875049</v>
      </c>
    </row>
    <row r="38" spans="1:37" s="55" customFormat="1">
      <c r="A38" s="83" t="e">
        <f ca="1"/>
        <v>#N/A</v>
      </c>
      <c r="B38" s="55">
        <f t="shared" ca="1" si="20"/>
        <v>0</v>
      </c>
      <c r="C38" s="123"/>
      <c r="D38" s="81"/>
      <c r="F38" s="74" t="str">
        <f t="shared" ca="1" si="21"/>
        <v/>
      </c>
      <c r="G38" s="76" t="str">
        <f ca="1">IFERROR(VLOOKUP(F38,'Model Interface'!$P$6:$U$495,6,FALSE),"")</f>
        <v/>
      </c>
      <c r="H38" s="55" t="str">
        <f t="shared" ca="1" si="22"/>
        <v/>
      </c>
      <c r="R38" s="83">
        <f ca="1"/>
        <v>45383</v>
      </c>
      <c r="S38" s="55">
        <f t="shared" ca="1" si="10"/>
        <v>45383</v>
      </c>
      <c r="T38" s="55">
        <f t="shared" ca="1" si="0"/>
        <v>142.89797203021956</v>
      </c>
      <c r="U38" s="55">
        <f t="shared" ca="1" si="1"/>
        <v>9.8890825188025495</v>
      </c>
      <c r="V38" s="55">
        <f t="shared" ca="1" si="2"/>
        <v>0</v>
      </c>
      <c r="W38" s="55">
        <f t="shared" ca="1" si="11"/>
        <v>0</v>
      </c>
      <c r="X38" s="55">
        <f t="shared" ca="1" si="12"/>
        <v>16.679524186755348</v>
      </c>
      <c r="Y38" s="55">
        <f t="shared" ca="1" si="13"/>
        <v>79.097585718821819</v>
      </c>
      <c r="Z38">
        <f ca="1">VLOOKUP(S38,ModelOutputs,10,FALSE)*AWC</f>
        <v>95.905659059433333</v>
      </c>
      <c r="AA38">
        <f t="shared" ca="1" si="14"/>
        <v>0</v>
      </c>
      <c r="AB38">
        <f t="shared" ca="1" si="3"/>
        <v>0</v>
      </c>
      <c r="AC38">
        <f t="shared" ca="1" si="4"/>
        <v>3.8890885156881494E-2</v>
      </c>
      <c r="AD38" s="83">
        <f ca="1"/>
        <v>45524</v>
      </c>
      <c r="AE38" s="55">
        <f t="shared" ca="1" si="16"/>
        <v>45524</v>
      </c>
      <c r="AF38" s="55">
        <f t="shared" ca="1" si="17"/>
        <v>85.220130483946093</v>
      </c>
      <c r="AG38" s="55">
        <f t="shared" ca="1" si="18"/>
        <v>2.6889125682515975</v>
      </c>
      <c r="AH38" s="55">
        <f t="shared" ca="1" si="19"/>
        <v>0</v>
      </c>
      <c r="AI38" s="55">
        <f ca="1">-VLOOKUP(AE38,ModelOutputs,9,FALSE)+AI37</f>
        <v>-24.101305284833877</v>
      </c>
      <c r="AJ38" s="55">
        <f ca="1">VLOOKUP(AE38,ModelOutputs,5,FALSE)+AJ37</f>
        <v>10.931161559187016</v>
      </c>
      <c r="AK38" s="55">
        <f ca="1">VLOOKUP(AE38,ModelOutputs,4,FALSE)+AK37</f>
        <v>70.584049629771698</v>
      </c>
    </row>
    <row r="39" spans="1:37" s="55" customFormat="1">
      <c r="A39" s="83" t="e">
        <f ca="1"/>
        <v>#N/A</v>
      </c>
      <c r="B39" s="55">
        <f t="shared" ca="1" si="20"/>
        <v>0</v>
      </c>
      <c r="C39" s="78"/>
      <c r="D39" s="81"/>
      <c r="F39" s="74" t="str">
        <f t="shared" ca="1" si="21"/>
        <v/>
      </c>
      <c r="G39" s="76" t="str">
        <f ca="1">IFERROR(VLOOKUP(F39,'Model Interface'!$P$6:$U$495,6,FALSE),"")</f>
        <v/>
      </c>
      <c r="H39" s="55" t="str">
        <f t="shared" ca="1" si="22"/>
        <v/>
      </c>
      <c r="R39" s="83">
        <f ca="1"/>
        <v>45384</v>
      </c>
      <c r="S39" s="55">
        <f t="shared" ca="1" si="10"/>
        <v>45384</v>
      </c>
      <c r="T39" s="55">
        <f t="shared" ca="1" si="0"/>
        <v>144.13238202848885</v>
      </c>
      <c r="U39" s="55">
        <f t="shared" ca="1" si="1"/>
        <v>10.367787561572158</v>
      </c>
      <c r="V39" s="55">
        <f t="shared" ca="1" si="2"/>
        <v>0</v>
      </c>
      <c r="W39" s="55">
        <f t="shared" ca="1" si="11"/>
        <v>0</v>
      </c>
      <c r="X39" s="55">
        <f t="shared" ca="1" si="12"/>
        <v>17.501304668208689</v>
      </c>
      <c r="Y39" s="55">
        <f t="shared" ca="1" si="13"/>
        <v>79.988920278407377</v>
      </c>
      <c r="Z39">
        <f ca="1">VLOOKUP(S39,ModelOutputs,10,FALSE)*AWC</f>
        <v>101.66147816358057</v>
      </c>
      <c r="AA39">
        <f t="shared" ca="1" si="14"/>
        <v>0</v>
      </c>
      <c r="AB39">
        <f t="shared" ca="1" si="3"/>
        <v>0</v>
      </c>
      <c r="AC39">
        <f t="shared" ca="1" si="4"/>
        <v>5.1932061319698589E-2</v>
      </c>
      <c r="AD39" s="83">
        <f ca="1"/>
        <v>45525</v>
      </c>
      <c r="AE39" s="55">
        <f t="shared" ca="1" si="16"/>
        <v>45525</v>
      </c>
      <c r="AF39" s="55">
        <f t="shared" ca="1" si="17"/>
        <v>85.255276831418769</v>
      </c>
      <c r="AG39" s="55">
        <f t="shared" ca="1" si="18"/>
        <v>2.7603933204722804</v>
      </c>
      <c r="AH39" s="55">
        <f t="shared" ca="1" si="19"/>
        <v>0</v>
      </c>
      <c r="AI39" s="55">
        <f ca="1">-VLOOKUP(AE39,ModelOutputs,9,FALSE)+AI38</f>
        <v>-25.775380622624684</v>
      </c>
      <c r="AJ39" s="55">
        <f ca="1">VLOOKUP(AE39,ModelOutputs,5,FALSE)+AJ38</f>
        <v>11.450970394647813</v>
      </c>
      <c r="AK39" s="55">
        <f ca="1">VLOOKUP(AE39,ModelOutputs,4,FALSE)+AK38</f>
        <v>71.844943231795071</v>
      </c>
    </row>
    <row r="40" spans="1:37" s="55" customFormat="1" ht="6.75" customHeight="1">
      <c r="A40" s="83" t="e">
        <f ca="1"/>
        <v>#N/A</v>
      </c>
      <c r="B40" s="55">
        <f t="shared" ca="1" si="20"/>
        <v>0</v>
      </c>
      <c r="C40" s="78"/>
      <c r="D40" s="81"/>
      <c r="F40" s="74" t="str">
        <f t="shared" ca="1" si="21"/>
        <v/>
      </c>
      <c r="G40" s="76" t="str">
        <f ca="1">IFERROR(VLOOKUP(F40,'Model Interface'!$P$6:$U$495,6,FALSE),"")</f>
        <v/>
      </c>
      <c r="H40" s="55" t="str">
        <f t="shared" ca="1" si="22"/>
        <v/>
      </c>
      <c r="R40" s="83">
        <f ca="1"/>
        <v>45385</v>
      </c>
      <c r="S40" s="55">
        <f t="shared" ca="1" si="10"/>
        <v>45385</v>
      </c>
      <c r="T40" s="55">
        <f t="shared" ca="1" si="0"/>
        <v>145.35002396236874</v>
      </c>
      <c r="U40" s="55">
        <f t="shared" ca="1" si="1"/>
        <v>10.860902156763839</v>
      </c>
      <c r="V40" s="55">
        <f t="shared" ca="1" si="2"/>
        <v>0</v>
      </c>
      <c r="W40" s="55">
        <f t="shared" ca="1" si="11"/>
        <v>0</v>
      </c>
      <c r="X40" s="55">
        <f t="shared" ca="1" si="12"/>
        <v>18.379968595517642</v>
      </c>
      <c r="Y40" s="55">
        <f t="shared" ca="1" si="13"/>
        <v>80.821012880170002</v>
      </c>
      <c r="Z40">
        <f ca="1">VLOOKUP(S40,ModelOutputs,10,FALSE)*AWC</f>
        <v>109.89721436477831</v>
      </c>
      <c r="AA40">
        <f t="shared" ca="1" si="14"/>
        <v>0</v>
      </c>
      <c r="AB40">
        <f t="shared" ca="1" si="3"/>
        <v>0</v>
      </c>
      <c r="AC40">
        <f t="shared" ca="1" si="4"/>
        <v>6.8723756590464799E-2</v>
      </c>
      <c r="AD40" s="83">
        <f ca="1"/>
        <v>45526</v>
      </c>
      <c r="AE40" s="55">
        <f t="shared" ca="1" si="16"/>
        <v>45526</v>
      </c>
      <c r="AF40" s="55">
        <f t="shared" ca="1" si="17"/>
        <v>86.849287492339485</v>
      </c>
      <c r="AG40" s="55">
        <f t="shared" ca="1" si="18"/>
        <v>2.8341852395901346</v>
      </c>
      <c r="AH40" s="55">
        <f t="shared" ca="1" si="19"/>
        <v>0</v>
      </c>
      <c r="AI40" s="55">
        <f ca="1">-VLOOKUP(AE40,ModelOutputs,9,FALSE)+AI39</f>
        <v>-25.800189923975569</v>
      </c>
      <c r="AJ40" s="55">
        <f ca="1">VLOOKUP(AE40,ModelOutputs,5,FALSE)+AJ39</f>
        <v>11.973817915344492</v>
      </c>
      <c r="AK40" s="55">
        <f ca="1">VLOOKUP(AE40,ModelOutputs,4,FALSE)+AK39</f>
        <v>73.014707592487838</v>
      </c>
    </row>
    <row r="41" spans="1:37" s="55" customFormat="1">
      <c r="A41" s="83" t="e">
        <f ca="1"/>
        <v>#N/A</v>
      </c>
      <c r="B41" s="55">
        <f t="shared" ca="1" si="20"/>
        <v>0</v>
      </c>
      <c r="C41" s="78"/>
      <c r="D41" s="81"/>
      <c r="F41" s="74" t="str">
        <f t="shared" ca="1" si="21"/>
        <v/>
      </c>
      <c r="G41" s="76" t="str">
        <f ca="1">IFERROR(VLOOKUP(F41,'Model Interface'!$P$6:$U$495,6,FALSE),"")</f>
        <v/>
      </c>
      <c r="H41" s="55" t="str">
        <f t="shared" ca="1" si="22"/>
        <v/>
      </c>
      <c r="R41" s="83">
        <f ca="1"/>
        <v>45386</v>
      </c>
      <c r="S41" s="55">
        <f t="shared" ca="1" si="10"/>
        <v>45386</v>
      </c>
      <c r="T41" s="55">
        <f t="shared" ca="1" si="0"/>
        <v>146.39161803144063</v>
      </c>
      <c r="U41" s="55">
        <f t="shared" ca="1" si="1"/>
        <v>11.337326075850424</v>
      </c>
      <c r="V41" s="55">
        <f t="shared" ca="1" si="2"/>
        <v>0</v>
      </c>
      <c r="W41" s="55">
        <f t="shared" ca="1" si="11"/>
        <v>0</v>
      </c>
      <c r="X41" s="55">
        <f t="shared" ca="1" si="12"/>
        <v>19.211483138824363</v>
      </c>
      <c r="Y41" s="55">
        <f t="shared" ca="1" si="13"/>
        <v>81.507516325021754</v>
      </c>
      <c r="Z41">
        <f ca="1">VLOOKUP(S41,ModelOutputs,10,FALSE)*AWC</f>
        <v>114.00314905550232</v>
      </c>
      <c r="AA41">
        <f t="shared" ca="1" si="14"/>
        <v>0</v>
      </c>
      <c r="AB41">
        <f t="shared" ca="1" si="3"/>
        <v>0</v>
      </c>
      <c r="AC41">
        <f t="shared" ca="1" si="4"/>
        <v>8.8606241583936041E-2</v>
      </c>
      <c r="AD41" s="83">
        <f ca="1"/>
        <v>45527</v>
      </c>
      <c r="AE41" s="55">
        <f t="shared" ca="1" si="16"/>
        <v>45527</v>
      </c>
      <c r="AF41" s="55">
        <f t="shared" ca="1" si="17"/>
        <v>88.420780054078861</v>
      </c>
      <c r="AG41" s="55">
        <f t="shared" ca="1" si="18"/>
        <v>2.912372368643088</v>
      </c>
      <c r="AH41" s="55">
        <f t="shared" ca="1" si="19"/>
        <v>0</v>
      </c>
      <c r="AI41" s="55">
        <f ca="1">-VLOOKUP(AE41,ModelOutputs,9,FALSE)+AI40</f>
        <v>-25.800189923975569</v>
      </c>
      <c r="AJ41" s="55">
        <f ca="1">VLOOKUP(AE41,ModelOutputs,5,FALSE)+AJ40</f>
        <v>12.51291568408498</v>
      </c>
      <c r="AK41" s="55">
        <f ca="1">VLOOKUP(AE41,ModelOutputs,4,FALSE)+AK40</f>
        <v>74.125289514539674</v>
      </c>
    </row>
    <row r="42" spans="1:37" s="55" customFormat="1">
      <c r="A42" s="83" t="e">
        <f ca="1"/>
        <v>#N/A</v>
      </c>
      <c r="B42" s="55">
        <f t="shared" ca="1" si="20"/>
        <v>0</v>
      </c>
      <c r="C42" s="78"/>
      <c r="D42" s="81"/>
      <c r="F42" s="74" t="str">
        <f t="shared" ca="1" si="21"/>
        <v/>
      </c>
      <c r="G42" s="76" t="str">
        <f ca="1">IFERROR(VLOOKUP(F42,'Model Interface'!$P$6:$U$495,6,FALSE),"")</f>
        <v/>
      </c>
      <c r="H42" s="55" t="str">
        <f t="shared" ca="1" si="22"/>
        <v/>
      </c>
      <c r="R42" s="83">
        <f ca="1"/>
        <v>45387</v>
      </c>
      <c r="S42" s="55">
        <f t="shared" ca="1" si="10"/>
        <v>45387</v>
      </c>
      <c r="T42" s="55">
        <f t="shared" ca="1" si="0"/>
        <v>147.25625965906079</v>
      </c>
      <c r="U42" s="55">
        <f t="shared" ca="1" si="1"/>
        <v>11.816071347122127</v>
      </c>
      <c r="V42" s="55">
        <f t="shared" ca="1" si="2"/>
        <v>0</v>
      </c>
      <c r="W42" s="55">
        <f t="shared" ca="1" si="11"/>
        <v>0</v>
      </c>
      <c r="X42" s="55">
        <f t="shared" ca="1" si="12"/>
        <v>19.99015193956151</v>
      </c>
      <c r="Y42" s="55">
        <f t="shared" ca="1" si="13"/>
        <v>82.072234423176482</v>
      </c>
      <c r="Z42">
        <f ca="1">VLOOKUP(S42,ModelOutputs,10,FALSE)*AWC</f>
        <v>111.94367026556392</v>
      </c>
      <c r="AA42">
        <f t="shared" ca="1" si="14"/>
        <v>0</v>
      </c>
      <c r="AB42">
        <f t="shared" ca="1" si="3"/>
        <v>0</v>
      </c>
      <c r="AC42">
        <f t="shared" ca="1" si="4"/>
        <v>0.11255960770658582</v>
      </c>
      <c r="AD42" s="83">
        <f ca="1"/>
        <v>45528</v>
      </c>
      <c r="AE42" s="55">
        <f t="shared" ca="1" si="16"/>
        <v>45528</v>
      </c>
      <c r="AF42" s="55">
        <f t="shared" ca="1" si="17"/>
        <v>89.877204785210552</v>
      </c>
      <c r="AG42" s="55">
        <f t="shared" ca="1" si="18"/>
        <v>2.9912922908529005</v>
      </c>
      <c r="AH42" s="55">
        <f t="shared" ca="1" si="19"/>
        <v>0</v>
      </c>
      <c r="AI42" s="55">
        <f ca="1">-VLOOKUP(AE42,ModelOutputs,9,FALSE)+AI41</f>
        <v>-25.800189923975569</v>
      </c>
      <c r="AJ42" s="55">
        <f ca="1">VLOOKUP(AE42,ModelOutputs,5,FALSE)+AJ41</f>
        <v>13.043190095325143</v>
      </c>
      <c r="AK42" s="55">
        <f ca="1">VLOOKUP(AE42,ModelOutputs,4,FALSE)+AK41</f>
        <v>75.130359756641013</v>
      </c>
    </row>
    <row r="43" spans="1:37" s="55" customFormat="1" ht="15.75" thickBot="1">
      <c r="A43" s="83" t="e">
        <f ca="1"/>
        <v>#N/A</v>
      </c>
      <c r="B43" s="55">
        <f t="shared" ca="1" si="20"/>
        <v>0</v>
      </c>
      <c r="C43" s="79"/>
      <c r="D43" s="82"/>
      <c r="F43" s="75" t="str">
        <f t="shared" ca="1" si="21"/>
        <v/>
      </c>
      <c r="G43" s="77" t="str">
        <f ca="1">IFERROR(VLOOKUP(F43,'Model Interface'!$P$6:$U$495,6,FALSE),"")</f>
        <v/>
      </c>
      <c r="H43" s="55" t="str">
        <f t="shared" ca="1" si="22"/>
        <v/>
      </c>
      <c r="R43" s="83">
        <f ca="1"/>
        <v>45388</v>
      </c>
      <c r="S43" s="55">
        <f t="shared" ca="1" si="10"/>
        <v>45388</v>
      </c>
      <c r="T43" s="55">
        <f t="shared" ca="1" si="0"/>
        <v>147.9481006872505</v>
      </c>
      <c r="U43" s="55">
        <f t="shared" ca="1" si="1"/>
        <v>12.277985404043744</v>
      </c>
      <c r="V43" s="55">
        <f t="shared" ca="1" si="2"/>
        <v>0</v>
      </c>
      <c r="W43" s="55">
        <f t="shared" ca="1" si="11"/>
        <v>0</v>
      </c>
      <c r="X43" s="55">
        <f t="shared" ca="1" si="12"/>
        <v>20.692171887882026</v>
      </c>
      <c r="Y43" s="55">
        <f t="shared" ca="1" si="13"/>
        <v>82.523969559967284</v>
      </c>
      <c r="Z43">
        <f ca="1">VLOOKUP(S43,ModelOutputs,10,FALSE)*AWC</f>
        <v>110.49942048295837</v>
      </c>
      <c r="AA43">
        <f t="shared" ca="1" si="14"/>
        <v>0</v>
      </c>
      <c r="AB43">
        <f t="shared" ca="1" si="3"/>
        <v>0</v>
      </c>
      <c r="AC43">
        <f t="shared" ca="1" si="4"/>
        <v>0.13967082678716655</v>
      </c>
      <c r="AD43" s="83">
        <f ca="1"/>
        <v>45529</v>
      </c>
      <c r="AE43" s="55">
        <f t="shared" ca="1" si="16"/>
        <v>45529</v>
      </c>
      <c r="AF43" s="55">
        <f t="shared" ca="1" si="17"/>
        <v>90.464626427573208</v>
      </c>
      <c r="AG43" s="55">
        <f t="shared" ca="1" si="18"/>
        <v>3.0807149083152252</v>
      </c>
      <c r="AH43" s="55">
        <f t="shared" ca="1" si="19"/>
        <v>0</v>
      </c>
      <c r="AI43" s="55">
        <f ca="1">-VLOOKUP(AE43,ModelOutputs,9,FALSE)+AI42</f>
        <v>-26.723074628328483</v>
      </c>
      <c r="AJ43" s="55">
        <f ca="1">VLOOKUP(AE43,ModelOutputs,5,FALSE)+AJ42</f>
        <v>13.62757214656407</v>
      </c>
      <c r="AK43" s="55">
        <f ca="1">VLOOKUP(AE43,ModelOutputs,4,FALSE)+AK42</f>
        <v>76.145706669579965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45378</v>
      </c>
      <c r="C44" s="100" t="s">
        <v>151</v>
      </c>
      <c r="D44" s="102">
        <f ca="1">MAX(CurrentEstablishDate,C38:C43,MAX(C29:C34)+1)</f>
        <v>45378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45389</v>
      </c>
      <c r="S44" s="55">
        <f t="shared" ca="1" si="10"/>
        <v>45389</v>
      </c>
      <c r="T44" s="55">
        <f t="shared" ca="1" si="0"/>
        <v>148.66831250973763</v>
      </c>
      <c r="U44" s="55">
        <f t="shared" ca="1" si="1"/>
        <v>12.779811451039546</v>
      </c>
      <c r="V44" s="55">
        <f t="shared" ca="1" si="2"/>
        <v>0</v>
      </c>
      <c r="W44" s="55">
        <f t="shared" ca="1" si="11"/>
        <v>0</v>
      </c>
      <c r="X44" s="55">
        <f t="shared" ca="1" si="12"/>
        <v>21.470084633219816</v>
      </c>
      <c r="Y44" s="55">
        <f t="shared" ca="1" si="13"/>
        <v>82.968094684112401</v>
      </c>
      <c r="Z44">
        <f ca="1">VLOOKUP(S44,ModelOutputs,10,FALSE)*AWC</f>
        <v>117.58645304354026</v>
      </c>
      <c r="AA44">
        <f t="shared" ca="1" si="14"/>
        <v>0</v>
      </c>
      <c r="AB44">
        <f t="shared" ca="1" si="3"/>
        <v>0</v>
      </c>
      <c r="AC44">
        <f t="shared" ca="1" si="4"/>
        <v>0.17366537592269427</v>
      </c>
      <c r="AD44" s="83">
        <f ca="1"/>
        <v>45530</v>
      </c>
      <c r="AE44" s="55">
        <f t="shared" ca="1" si="16"/>
        <v>45530</v>
      </c>
      <c r="AF44" s="55">
        <f t="shared" ca="1" si="17"/>
        <v>91.888517801412362</v>
      </c>
      <c r="AG44" s="55">
        <f t="shared" ca="1" si="18"/>
        <v>3.1730676569599283</v>
      </c>
      <c r="AH44" s="55">
        <f t="shared" ca="1" si="19"/>
        <v>0</v>
      </c>
      <c r="AI44" s="55">
        <f ca="1">-VLOOKUP(AE44,ModelOutputs,9,FALSE)+AI43</f>
        <v>-26.723074628328483</v>
      </c>
      <c r="AJ44" s="55">
        <f ca="1">VLOOKUP(AE44,ModelOutputs,5,FALSE)+AJ43</f>
        <v>14.214057169554646</v>
      </c>
      <c r="AK44" s="55">
        <f ca="1">VLOOKUP(AE44,ModelOutputs,4,FALSE)+AK43</f>
        <v>77.075465769073247</v>
      </c>
    </row>
    <row r="45" spans="1:37" s="55" customFormat="1">
      <c r="R45" s="83">
        <f ca="1"/>
        <v>45390</v>
      </c>
      <c r="S45" s="55">
        <f t="shared" ca="1" si="10"/>
        <v>45390</v>
      </c>
      <c r="T45" s="55">
        <f t="shared" ca="1" si="0"/>
        <v>147.89904282051995</v>
      </c>
      <c r="U45" s="55">
        <f t="shared" ca="1" si="1"/>
        <v>13.322100751992012</v>
      </c>
      <c r="V45" s="55">
        <f t="shared" ca="1" si="2"/>
        <v>0</v>
      </c>
      <c r="W45" s="55">
        <f t="shared" ca="1" si="11"/>
        <v>-1.4500008835432625</v>
      </c>
      <c r="X45" s="55">
        <f t="shared" ca="1" si="12"/>
        <v>22.284481061238097</v>
      </c>
      <c r="Y45" s="55">
        <f t="shared" ca="1" si="13"/>
        <v>83.376718751372152</v>
      </c>
      <c r="Z45">
        <f ca="1">VLOOKUP(S45,ModelOutputs,10,FALSE)*AWC</f>
        <v>120</v>
      </c>
      <c r="AA45">
        <f t="shared" ca="1" si="14"/>
        <v>1.3931987199210383</v>
      </c>
      <c r="AB45">
        <f t="shared" ca="1" si="3"/>
        <v>0</v>
      </c>
      <c r="AC45">
        <f t="shared" ca="1" si="4"/>
        <v>0.21556425732800003</v>
      </c>
      <c r="AD45" s="83">
        <f ca="1"/>
        <v>45531</v>
      </c>
      <c r="AE45" s="55">
        <f t="shared" ca="1" si="16"/>
        <v>45531</v>
      </c>
      <c r="AF45" s="55">
        <f t="shared" ca="1" si="17"/>
        <v>93.26940025335071</v>
      </c>
      <c r="AG45" s="55">
        <f t="shared" ca="1" si="18"/>
        <v>3.271066942141156</v>
      </c>
      <c r="AH45" s="55">
        <f t="shared" ca="1" si="19"/>
        <v>0</v>
      </c>
      <c r="AI45" s="55">
        <f ca="1">-VLOOKUP(AE45,ModelOutputs,9,FALSE)+AI44</f>
        <v>-26.723074628328483</v>
      </c>
      <c r="AJ45" s="55">
        <f ca="1">VLOOKUP(AE45,ModelOutputs,5,FALSE)+AJ44</f>
        <v>14.819206887125981</v>
      </c>
      <c r="AK45" s="55">
        <f ca="1">VLOOKUP(AE45,ModelOutputs,4,FALSE)+AK44</f>
        <v>77.94919778862149</v>
      </c>
    </row>
    <row r="46" spans="1:37" s="55" customFormat="1" ht="15.75" thickBot="1">
      <c r="C46" s="127" t="s">
        <v>155</v>
      </c>
      <c r="D46" s="127"/>
      <c r="E46" s="127"/>
      <c r="F46" s="127"/>
      <c r="G46" s="127"/>
      <c r="H46" s="127"/>
      <c r="R46" s="83">
        <f ca="1"/>
        <v>45391</v>
      </c>
      <c r="S46" s="55">
        <f t="shared" ca="1" si="10"/>
        <v>45391</v>
      </c>
      <c r="T46" s="55">
        <f t="shared" ca="1" si="0"/>
        <v>145.98721126490199</v>
      </c>
      <c r="U46" s="55">
        <f t="shared" ca="1" si="1"/>
        <v>13.892105504451957</v>
      </c>
      <c r="V46" s="55">
        <f t="shared" ca="1" si="2"/>
        <v>0</v>
      </c>
      <c r="W46" s="55">
        <f t="shared" ca="1" si="11"/>
        <v>-3.9775329281312697</v>
      </c>
      <c r="X46" s="55">
        <f t="shared" ca="1" si="12"/>
        <v>23.108374561392488</v>
      </c>
      <c r="Y46" s="55">
        <f t="shared" ca="1" si="13"/>
        <v>83.738530492647754</v>
      </c>
      <c r="Z46">
        <f ca="1">VLOOKUP(S46,ModelOutputs,10,FALSE)*AWC</f>
        <v>120</v>
      </c>
      <c r="AA46">
        <f t="shared" ca="1" si="14"/>
        <v>3.8535211223022046</v>
      </c>
      <c r="AB46">
        <f t="shared" ca="1" si="3"/>
        <v>0</v>
      </c>
      <c r="AC46">
        <f t="shared" ca="1" si="4"/>
        <v>0.26483618283235288</v>
      </c>
      <c r="AD46" s="83">
        <f ca="1"/>
        <v>45532</v>
      </c>
      <c r="AE46" s="55">
        <f t="shared" ca="1" si="16"/>
        <v>45532</v>
      </c>
      <c r="AF46" s="55">
        <f t="shared" ca="1" si="17"/>
        <v>93.734813386930398</v>
      </c>
      <c r="AG46" s="55">
        <f t="shared" ca="1" si="18"/>
        <v>3.3673520565974986</v>
      </c>
      <c r="AH46" s="55">
        <f t="shared" ca="1" si="19"/>
        <v>0</v>
      </c>
      <c r="AI46" s="55">
        <f ca="1">-VLOOKUP(AE46,ModelOutputs,9,FALSE)+AI45</f>
        <v>-27.496826698308031</v>
      </c>
      <c r="AJ46" s="55">
        <f ca="1">VLOOKUP(AE46,ModelOutputs,5,FALSE)+AJ45</f>
        <v>15.395918864460315</v>
      </c>
      <c r="AK46" s="55">
        <f ca="1">VLOOKUP(AE46,ModelOutputs,4,FALSE)+AK45</f>
        <v>78.707936129302738</v>
      </c>
    </row>
    <row r="47" spans="1:37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45392</v>
      </c>
      <c r="S47" s="55">
        <f t="shared" ca="1" si="10"/>
        <v>45392</v>
      </c>
      <c r="T47" s="55">
        <f t="shared" ca="1" si="0"/>
        <v>146.52027491560921</v>
      </c>
      <c r="U47" s="55">
        <f t="shared" ca="1" si="1"/>
        <v>14.4746921736626</v>
      </c>
      <c r="V47" s="55">
        <f t="shared" ca="1" si="2"/>
        <v>0</v>
      </c>
      <c r="W47" s="55">
        <f t="shared" ca="1" si="11"/>
        <v>-3.9775329281312697</v>
      </c>
      <c r="X47" s="55">
        <f t="shared" ca="1" si="12"/>
        <v>23.914195343341138</v>
      </c>
      <c r="Y47" s="55">
        <f t="shared" ca="1" si="13"/>
        <v>84.048360030616962</v>
      </c>
      <c r="Z47">
        <f ca="1">VLOOKUP(S47,ModelOutputs,10,FALSE)*AWC</f>
        <v>119.32214779439225</v>
      </c>
      <c r="AA47">
        <f t="shared" ca="1" si="14"/>
        <v>3.8535211223022046</v>
      </c>
      <c r="AB47">
        <f t="shared" ca="1" si="3"/>
        <v>0</v>
      </c>
      <c r="AC47">
        <f t="shared" ca="1" si="4"/>
        <v>0.31970122941069817</v>
      </c>
      <c r="AD47" s="83">
        <f ca="1"/>
        <v>45533</v>
      </c>
      <c r="AE47" s="55">
        <f t="shared" ca="1" si="16"/>
        <v>45533</v>
      </c>
      <c r="AF47" s="55">
        <f t="shared" ca="1" si="17"/>
        <v>94.965744281807162</v>
      </c>
      <c r="AG47" s="55">
        <f t="shared" ca="1" si="18"/>
        <v>3.4715366865372261</v>
      </c>
      <c r="AH47" s="55">
        <f t="shared" ca="1" si="19"/>
        <v>0</v>
      </c>
      <c r="AI47" s="55">
        <f ca="1">-VLOOKUP(AE47,ModelOutputs,9,FALSE)+AI46</f>
        <v>-27.496826698308031</v>
      </c>
      <c r="AJ47" s="55">
        <f ca="1">VLOOKUP(AE47,ModelOutputs,5,FALSE)+AJ46</f>
        <v>16.00321837170722</v>
      </c>
      <c r="AK47" s="55">
        <f ca="1">VLOOKUP(AE47,ModelOutputs,4,FALSE)+AK46</f>
        <v>79.435752146872318</v>
      </c>
    </row>
    <row r="48" spans="1:37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45393</v>
      </c>
      <c r="S48" s="55">
        <f t="shared" ca="1" si="10"/>
        <v>45393</v>
      </c>
      <c r="T48" s="55">
        <f t="shared" ca="1" si="0"/>
        <v>145.40652918335962</v>
      </c>
      <c r="U48" s="55">
        <f t="shared" ca="1" si="1"/>
        <v>15.119259336384676</v>
      </c>
      <c r="V48" s="55">
        <f t="shared" ca="1" si="2"/>
        <v>0</v>
      </c>
      <c r="W48" s="55">
        <f t="shared" ca="1" si="11"/>
        <v>-5.6057048609960898</v>
      </c>
      <c r="X48" s="55">
        <f t="shared" ca="1" si="12"/>
        <v>24.782102371549424</v>
      </c>
      <c r="Y48" s="55">
        <f t="shared" ca="1" si="13"/>
        <v>84.339446365745971</v>
      </c>
      <c r="Z48">
        <f ca="1">VLOOKUP(S48,ModelOutputs,10,FALSE)*AWC</f>
        <v>120</v>
      </c>
      <c r="AA48">
        <f t="shared" ca="1" si="14"/>
        <v>5.44472753019528</v>
      </c>
      <c r="AB48">
        <f t="shared" ca="1" si="3"/>
        <v>0</v>
      </c>
      <c r="AC48">
        <f t="shared" ca="1" si="4"/>
        <v>0.38395710399220839</v>
      </c>
      <c r="AD48" s="83">
        <f ca="1"/>
        <v>45534</v>
      </c>
      <c r="AE48" s="55">
        <f t="shared" ca="1" si="16"/>
        <v>45534</v>
      </c>
      <c r="AF48" s="55">
        <f t="shared" ca="1" si="17"/>
        <v>96.07896803932627</v>
      </c>
      <c r="AG48" s="55">
        <f t="shared" ca="1" si="18"/>
        <v>3.5744045910940874</v>
      </c>
      <c r="AH48" s="55">
        <f t="shared" ca="1" si="19"/>
        <v>0</v>
      </c>
      <c r="AI48" s="55">
        <f ca="1">-VLOOKUP(AE48,ModelOutputs,9,FALSE)+AI47</f>
        <v>-27.496826698308031</v>
      </c>
      <c r="AJ48" s="55">
        <f ca="1">VLOOKUP(AE48,ModelOutputs,5,FALSE)+AJ47</f>
        <v>16.584803886173852</v>
      </c>
      <c r="AK48" s="55">
        <f ca="1">VLOOKUP(AE48,ModelOutputs,4,FALSE)+AK47</f>
        <v>80.070258294481647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89</v>
      </c>
      <c r="H49" s="72"/>
      <c r="R49" s="83">
        <f ca="1"/>
        <v>45394</v>
      </c>
      <c r="S49" s="55">
        <f t="shared" ca="1" si="10"/>
        <v>45394</v>
      </c>
      <c r="T49" s="55">
        <f t="shared" ca="1" si="0"/>
        <v>142.99570578224728</v>
      </c>
      <c r="U49" s="55">
        <f t="shared" ca="1" si="1"/>
        <v>15.769165794333738</v>
      </c>
      <c r="V49" s="55">
        <f t="shared" ca="1" si="2"/>
        <v>0</v>
      </c>
      <c r="W49" s="55">
        <f t="shared" ca="1" si="11"/>
        <v>-8.4429023193602184</v>
      </c>
      <c r="X49" s="55">
        <f t="shared" ca="1" si="12"/>
        <v>25.61526910946786</v>
      </c>
      <c r="Y49" s="55">
        <f t="shared" ca="1" si="13"/>
        <v>84.582560143028402</v>
      </c>
      <c r="Z49">
        <f ca="1">VLOOKUP(S49,ModelOutputs,10,FALSE)*AWC</f>
        <v>120</v>
      </c>
      <c r="AA49">
        <f t="shared" ca="1" si="14"/>
        <v>8.2642575940260414</v>
      </c>
      <c r="AB49">
        <f t="shared" ca="1" si="3"/>
        <v>0</v>
      </c>
      <c r="AC49">
        <f t="shared" ca="1" si="4"/>
        <v>0.45027002128307586</v>
      </c>
      <c r="AD49" s="83">
        <f ca="1"/>
        <v>45535</v>
      </c>
      <c r="AE49" s="55">
        <f t="shared" ca="1" si="16"/>
        <v>45535</v>
      </c>
      <c r="AF49" s="55">
        <f t="shared" ca="1" si="17"/>
        <v>97.080398735499884</v>
      </c>
      <c r="AG49" s="55">
        <f t="shared" ca="1" si="18"/>
        <v>3.6747398335248929</v>
      </c>
      <c r="AH49" s="55">
        <f t="shared" ca="1" si="19"/>
        <v>0</v>
      </c>
      <c r="AI49" s="55">
        <f ca="1">-VLOOKUP(AE49,ModelOutputs,9,FALSE)+AI48</f>
        <v>-27.496826698308031</v>
      </c>
      <c r="AJ49" s="55">
        <f ca="1">VLOOKUP(AE49,ModelOutputs,5,FALSE)+AJ48</f>
        <v>17.136410741539038</v>
      </c>
      <c r="AK49" s="55">
        <f ca="1">VLOOKUP(AE49,ModelOutputs,4,FALSE)+AK48</f>
        <v>80.620417377720884</v>
      </c>
    </row>
    <row r="50" spans="2:37" s="55" customFormat="1">
      <c r="B50" s="90">
        <f>IF(PriorUnits="kg/head",PriorYield*PriorPopulation/1000,IF(PriorUnits="kg/ha",PriorYield/1000,PriorYield))</f>
        <v>20</v>
      </c>
      <c r="C50" s="64" t="s">
        <v>152</v>
      </c>
      <c r="D50" s="65" t="str">
        <f>PriorCropName&amp;" "&amp;PriorCropType&amp;" "&amp;PriorCropVariety</f>
        <v>Broccoli Vegetable General</v>
      </c>
      <c r="F50" s="56"/>
      <c r="R50" s="83">
        <f ca="1"/>
        <v>45395</v>
      </c>
      <c r="S50" s="55">
        <f t="shared" ca="1" si="10"/>
        <v>45395</v>
      </c>
      <c r="T50" s="55">
        <f t="shared" ca="1" si="0"/>
        <v>140.54880380285613</v>
      </c>
      <c r="U50" s="55">
        <f t="shared" ca="1" si="1"/>
        <v>16.390863966440136</v>
      </c>
      <c r="V50" s="55">
        <f t="shared" ca="1" si="2"/>
        <v>0</v>
      </c>
      <c r="W50" s="55">
        <f t="shared" ca="1" si="11"/>
        <v>-11.215133607635906</v>
      </c>
      <c r="X50" s="55">
        <f t="shared" ca="1" si="12"/>
        <v>26.369151551834133</v>
      </c>
      <c r="Y50" s="55">
        <f t="shared" ca="1" si="13"/>
        <v>84.77570518165308</v>
      </c>
      <c r="Z50">
        <f ca="1">VLOOKUP(S50,ModelOutputs,10,FALSE)*AWC</f>
        <v>120</v>
      </c>
      <c r="AA50">
        <f t="shared" ca="1" si="14"/>
        <v>11.067189003585007</v>
      </c>
      <c r="AB50">
        <f t="shared" ca="1" si="3"/>
        <v>0</v>
      </c>
      <c r="AC50">
        <f t="shared" ca="1" si="4"/>
        <v>0.51295427882625955</v>
      </c>
      <c r="AD50" s="83">
        <f ca="1"/>
        <v>45536</v>
      </c>
      <c r="AE50" s="55">
        <f t="shared" ca="1" si="16"/>
        <v>45536</v>
      </c>
      <c r="AF50" s="55">
        <f t="shared" ca="1" si="17"/>
        <v>97.727544211000762</v>
      </c>
      <c r="AG50" s="55">
        <f t="shared" ca="1" si="18"/>
        <v>3.7730762737090533</v>
      </c>
      <c r="AH50" s="55">
        <f t="shared" ca="1" si="19"/>
        <v>0</v>
      </c>
      <c r="AI50" s="55">
        <f ca="1">-VLOOKUP(AE50,ModelOutputs,9,FALSE)+AI49</f>
        <v>-27.761260872137623</v>
      </c>
      <c r="AJ50" s="55">
        <f ca="1">VLOOKUP(AE50,ModelOutputs,5,FALSE)+AJ49</f>
        <v>17.663618912059491</v>
      </c>
      <c r="AK50" s="55">
        <f ca="1">VLOOKUP(AE50,ModelOutputs,4,FALSE)+AK49</f>
        <v>81.103125296715064</v>
      </c>
    </row>
    <row r="51" spans="2:37" s="55" customFormat="1">
      <c r="C51" s="61" t="s">
        <v>4</v>
      </c>
      <c r="D51" s="68">
        <f ca="1">IF(E51="",CurrentEstablishDate-60,E51)</f>
        <v>45318</v>
      </c>
      <c r="E51" s="67"/>
      <c r="F51" s="61" t="s">
        <v>147</v>
      </c>
      <c r="G51" s="84" t="str">
        <f>IF(H51="",VLOOKUP(PriorCropNameFull,CropCoefficients,13,FALSE),H51)</f>
        <v>Seedling</v>
      </c>
      <c r="H51" s="72"/>
      <c r="R51" s="83">
        <f ca="1"/>
        <v>45396</v>
      </c>
      <c r="S51" s="55">
        <f t="shared" ca="1" si="10"/>
        <v>45396</v>
      </c>
      <c r="T51" s="55">
        <f t="shared" ca="1" si="0"/>
        <v>140.83689731928851</v>
      </c>
      <c r="U51" s="55">
        <f t="shared" ca="1" si="1"/>
        <v>17.049414620307548</v>
      </c>
      <c r="V51" s="55">
        <f t="shared" ca="1" si="2"/>
        <v>0</v>
      </c>
      <c r="W51" s="55">
        <f t="shared" ca="1" si="11"/>
        <v>-11.215133607635906</v>
      </c>
      <c r="X51" s="55">
        <f t="shared" ca="1" si="12"/>
        <v>27.141221548354096</v>
      </c>
      <c r="Y51" s="55">
        <f t="shared" ca="1" si="13"/>
        <v>84.950279355432926</v>
      </c>
      <c r="Z51">
        <f ca="1">VLOOKUP(S51,ModelOutputs,10,FALSE)*AWC</f>
        <v>117.41124636941518</v>
      </c>
      <c r="AA51">
        <f t="shared" ca="1" si="14"/>
        <v>11.067189003585007</v>
      </c>
      <c r="AB51">
        <f t="shared" ca="1" si="3"/>
        <v>0</v>
      </c>
      <c r="AC51">
        <f t="shared" ca="1" si="4"/>
        <v>0.5764841464227094</v>
      </c>
      <c r="AD51" s="83">
        <f ca="1"/>
        <v>45537</v>
      </c>
      <c r="AE51" s="55">
        <f t="shared" ca="1" si="16"/>
        <v>45537</v>
      </c>
      <c r="AF51" s="55">
        <f t="shared" ca="1" si="17"/>
        <v>98.605553364424537</v>
      </c>
      <c r="AG51" s="55">
        <f t="shared" ca="1" si="18"/>
        <v>3.8749293333398986</v>
      </c>
      <c r="AH51" s="55">
        <f t="shared" ca="1" si="19"/>
        <v>0</v>
      </c>
      <c r="AI51" s="55">
        <f ca="1">-VLOOKUP(AE51,ModelOutputs,9,FALSE)+AI50</f>
        <v>-27.761260872137623</v>
      </c>
      <c r="AJ51" s="55">
        <f ca="1">VLOOKUP(AE51,ModelOutputs,5,FALSE)+AJ50</f>
        <v>18.195650563346138</v>
      </c>
      <c r="AK51" s="55">
        <f ca="1">VLOOKUP(AE51,ModelOutputs,4,FALSE)+AK50</f>
        <v>81.550955858483036</v>
      </c>
    </row>
    <row r="52" spans="2:37" s="55" customFormat="1">
      <c r="C52" s="61" t="s">
        <v>5</v>
      </c>
      <c r="D52" s="68">
        <f ca="1">IF(E52="",CurrentEstablishDate-15,E52)</f>
        <v>45363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45397</v>
      </c>
      <c r="S52" s="55">
        <f t="shared" ca="1" si="10"/>
        <v>45397</v>
      </c>
      <c r="T52" s="55">
        <f t="shared" ca="1" si="0"/>
        <v>136.52908356168626</v>
      </c>
      <c r="U52" s="55">
        <f t="shared" ca="1" si="1"/>
        <v>17.740412851350648</v>
      </c>
      <c r="V52" s="55">
        <f t="shared" ca="1" si="2"/>
        <v>0</v>
      </c>
      <c r="W52" s="55">
        <f t="shared" ca="1" si="11"/>
        <v>-15.769112374258462</v>
      </c>
      <c r="X52" s="55">
        <f t="shared" ca="1" si="12"/>
        <v>27.922764749459837</v>
      </c>
      <c r="Y52" s="55">
        <f t="shared" ca="1" si="13"/>
        <v>85.105899394390605</v>
      </c>
      <c r="Z52">
        <f ca="1">VLOOKUP(S52,ModelOutputs,10,FALSE)*AWC</f>
        <v>120</v>
      </c>
      <c r="AA52">
        <f t="shared" ca="1" si="14"/>
        <v>15.807163331135314</v>
      </c>
      <c r="AB52">
        <f t="shared" ca="1" si="3"/>
        <v>0</v>
      </c>
      <c r="AC52">
        <f t="shared" ca="1" si="4"/>
        <v>0.63819130682260539</v>
      </c>
      <c r="AD52" s="83">
        <f ca="1"/>
        <v>45538</v>
      </c>
      <c r="AE52" s="55">
        <f t="shared" ca="1" si="16"/>
        <v>45538</v>
      </c>
      <c r="AF52" s="55">
        <f t="shared" ca="1" si="17"/>
        <v>99.469469494752147</v>
      </c>
      <c r="AG52" s="55">
        <f t="shared" ca="1" si="18"/>
        <v>3.9827437673303696</v>
      </c>
      <c r="AH52" s="55">
        <f t="shared" ca="1" si="19"/>
        <v>0</v>
      </c>
      <c r="AI52" s="55">
        <f ca="1">-VLOOKUP(AE52,ModelOutputs,9,FALSE)+AI51</f>
        <v>-27.761260872137623</v>
      </c>
      <c r="AJ52" s="55">
        <f ca="1">VLOOKUP(AE52,ModelOutputs,5,FALSE)+AJ51</f>
        <v>18.743888846385751</v>
      </c>
      <c r="AK52" s="55">
        <f ca="1">VLOOKUP(AE52,ModelOutputs,4,FALSE)+AK51</f>
        <v>81.974448139761506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>
        <f ca="1"/>
        <v>45398</v>
      </c>
      <c r="S53" s="55">
        <f t="shared" ca="1" si="10"/>
        <v>45398</v>
      </c>
      <c r="T53" s="55">
        <f t="shared" ca="1" si="0"/>
        <v>134.84401868780827</v>
      </c>
      <c r="U53" s="55">
        <f t="shared" ca="1" si="1"/>
        <v>18.44345709784233</v>
      </c>
      <c r="V53" s="55">
        <f t="shared" ca="1" si="2"/>
        <v>0</v>
      </c>
      <c r="W53" s="55">
        <f t="shared" ca="1" si="11"/>
        <v>-17.647976250852299</v>
      </c>
      <c r="X53" s="55">
        <f t="shared" ca="1" si="12"/>
        <v>28.685707731304749</v>
      </c>
      <c r="Y53" s="55">
        <f t="shared" ca="1" si="13"/>
        <v>85.239799661753239</v>
      </c>
      <c r="Z53">
        <f ca="1">VLOOKUP(S53,ModelOutputs,10,FALSE)*AWC</f>
        <v>120</v>
      </c>
      <c r="AA53">
        <f t="shared" ca="1" si="14"/>
        <v>17.787202551409379</v>
      </c>
      <c r="AB53">
        <f t="shared" ca="1" si="3"/>
        <v>0</v>
      </c>
      <c r="AC53">
        <f t="shared" ca="1" si="4"/>
        <v>0.69455270767511657</v>
      </c>
      <c r="AD53" s="83">
        <f ca="1"/>
        <v>45539</v>
      </c>
      <c r="AE53" s="55">
        <f t="shared" ca="1" si="16"/>
        <v>45539</v>
      </c>
      <c r="AF53" s="55">
        <f t="shared" ca="1" si="17"/>
        <v>99.092186128523807</v>
      </c>
      <c r="AG53" s="55">
        <f t="shared" ca="1" si="18"/>
        <v>4.0902972578243517</v>
      </c>
      <c r="AH53" s="55">
        <f t="shared" ca="1" si="19"/>
        <v>0</v>
      </c>
      <c r="AI53" s="55">
        <f ca="1">-VLOOKUP(AE53,ModelOutputs,9,FALSE)+AI52</f>
        <v>-28.941961939642514</v>
      </c>
      <c r="AJ53" s="55">
        <f ca="1">VLOOKUP(AE53,ModelOutputs,5,FALSE)+AJ52</f>
        <v>19.277020658373427</v>
      </c>
      <c r="AK53" s="55">
        <f ca="1">VLOOKUP(AE53,ModelOutputs,4,FALSE)+AK52</f>
        <v>82.352287519544376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45399</v>
      </c>
      <c r="S54" s="55">
        <f t="shared" ca="1" si="10"/>
        <v>45399</v>
      </c>
      <c r="T54" s="55">
        <f t="shared" ca="1" si="0"/>
        <v>134.26531005726363</v>
      </c>
      <c r="U54" s="55">
        <f t="shared" ca="1" si="1"/>
        <v>19.175288465837884</v>
      </c>
      <c r="V54" s="55">
        <f t="shared" ca="1" si="2"/>
        <v>0</v>
      </c>
      <c r="W54" s="55">
        <f t="shared" ca="1" si="11"/>
        <v>-18.379198569458953</v>
      </c>
      <c r="X54" s="55">
        <f t="shared" ca="1" si="12"/>
        <v>29.451409451498304</v>
      </c>
      <c r="Y54" s="55">
        <f t="shared" ca="1" si="13"/>
        <v>85.358442997617232</v>
      </c>
      <c r="Z54">
        <f ca="1">VLOOKUP(S54,ModelOutputs,10,FALSE)*AWC</f>
        <v>120</v>
      </c>
      <c r="AA54">
        <f t="shared" ca="1" si="14"/>
        <v>18.561122039385886</v>
      </c>
      <c r="AB54">
        <f t="shared" ca="1" si="3"/>
        <v>0</v>
      </c>
      <c r="AC54">
        <f t="shared" ca="1" si="4"/>
        <v>0.74578080376573164</v>
      </c>
      <c r="AD54" s="83">
        <f ca="1"/>
        <v>45540</v>
      </c>
      <c r="AE54" s="55">
        <f t="shared" ca="1" si="16"/>
        <v>45540</v>
      </c>
      <c r="AF54" s="55">
        <f t="shared" ca="1" si="17"/>
        <v>96.864380527789095</v>
      </c>
      <c r="AG54" s="55">
        <f t="shared" ca="1" si="18"/>
        <v>4.2070434631817974</v>
      </c>
      <c r="AH54" s="55">
        <f t="shared" ca="1" si="19"/>
        <v>0</v>
      </c>
      <c r="AI54" s="55">
        <f ca="1">-VLOOKUP(AE54,ModelOutputs,9,FALSE)+AI53</f>
        <v>-31.981909582446914</v>
      </c>
      <c r="AJ54" s="55">
        <f ca="1">VLOOKUP(AE54,ModelOutputs,5,FALSE)+AJ53</f>
        <v>19.840179002429434</v>
      </c>
      <c r="AK54" s="55">
        <f ca="1">VLOOKUP(AE54,ModelOutputs,4,FALSE)+AK53</f>
        <v>82.718017422915494</v>
      </c>
    </row>
    <row r="55" spans="2:37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160</v>
      </c>
      <c r="G55" s="85" t="str">
        <f>IF(H55="","Full (Plough)",H55)</f>
        <v>Full (Plough)</v>
      </c>
      <c r="H55" s="72"/>
      <c r="R55" s="83">
        <f ca="1"/>
        <v>45400</v>
      </c>
      <c r="S55" s="55">
        <f t="shared" ca="1" si="10"/>
        <v>45400</v>
      </c>
      <c r="T55" s="55">
        <f t="shared" ca="1" si="0"/>
        <v>134.36390729144114</v>
      </c>
      <c r="U55" s="55">
        <f t="shared" ca="1" si="1"/>
        <v>19.893050755222802</v>
      </c>
      <c r="V55" s="55">
        <f t="shared" ca="1" si="2"/>
        <v>0</v>
      </c>
      <c r="W55" s="55">
        <f t="shared" ca="1" si="11"/>
        <v>-18.379198569458953</v>
      </c>
      <c r="X55" s="55">
        <f t="shared" ca="1" si="12"/>
        <v>30.169181834678767</v>
      </c>
      <c r="Y55" s="55">
        <f t="shared" ca="1" si="13"/>
        <v>85.457030137999197</v>
      </c>
      <c r="Z55">
        <f ca="1">VLOOKUP(S55,ModelOutputs,10,FALSE)*AWC</f>
        <v>119.77015895675956</v>
      </c>
      <c r="AA55">
        <f t="shared" ca="1" si="14"/>
        <v>18.561122039385886</v>
      </c>
      <c r="AB55">
        <f t="shared" ca="1" si="3"/>
        <v>0</v>
      </c>
      <c r="AC55">
        <f t="shared" ca="1" si="4"/>
        <v>0.78872361109410027</v>
      </c>
      <c r="AD55" s="83">
        <f ca="1"/>
        <v>45541</v>
      </c>
      <c r="AE55" s="55">
        <f t="shared" ca="1" si="16"/>
        <v>45541</v>
      </c>
      <c r="AF55" s="55">
        <f t="shared" ca="1" si="17"/>
        <v>97.674718848513649</v>
      </c>
      <c r="AG55" s="55">
        <f t="shared" ca="1" si="18"/>
        <v>4.3321531755414853</v>
      </c>
      <c r="AH55" s="55">
        <f t="shared" ca="1" si="19"/>
        <v>0</v>
      </c>
      <c r="AI55" s="55">
        <f ca="1">-VLOOKUP(AE55,ModelOutputs,9,FALSE)+AI54</f>
        <v>-31.981909582446914</v>
      </c>
      <c r="AJ55" s="55">
        <f ca="1">VLOOKUP(AE55,ModelOutputs,5,FALSE)+AJ54</f>
        <v>20.427600212593315</v>
      </c>
      <c r="AK55" s="55">
        <f ca="1">VLOOKUP(AE55,ModelOutputs,4,FALSE)+AK54</f>
        <v>83.066044245835855</v>
      </c>
    </row>
    <row r="56" spans="2:37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Interface'!S4,0)&amp;" kg N/ha to the current crop"</f>
        <v>Previous crop residues are providing 87 kg N/ha to the current crop</v>
      </c>
      <c r="R56" s="83">
        <f ca="1"/>
        <v>45401</v>
      </c>
      <c r="S56" s="55">
        <f t="shared" ca="1" si="10"/>
        <v>45401</v>
      </c>
      <c r="T56" s="55">
        <f t="shared" ca="1" si="0"/>
        <v>134.44649625119717</v>
      </c>
      <c r="U56" s="55">
        <f t="shared" ca="1" si="1"/>
        <v>20.714794236350944</v>
      </c>
      <c r="V56" s="55">
        <f t="shared" ca="1" si="2"/>
        <v>0</v>
      </c>
      <c r="W56" s="55">
        <f t="shared" ca="1" si="11"/>
        <v>-18.379198569458953</v>
      </c>
      <c r="X56" s="55">
        <f t="shared" ca="1" si="12"/>
        <v>30.975572607314202</v>
      </c>
      <c r="Y56" s="55">
        <f t="shared" ca="1" si="13"/>
        <v>85.554971806247949</v>
      </c>
      <c r="Z56">
        <f ca="1">VLOOKUP(S56,ModelOutputs,10,FALSE)*AWC</f>
        <v>118.57861100435463</v>
      </c>
      <c r="AA56">
        <f t="shared" ca="1" si="14"/>
        <v>18.561122039385886</v>
      </c>
      <c r="AB56">
        <f t="shared" ca="1" si="3"/>
        <v>0</v>
      </c>
      <c r="AC56">
        <f t="shared" ca="1" si="4"/>
        <v>0.82966298385733139</v>
      </c>
      <c r="AD56" s="83">
        <f ca="1"/>
        <v>45542</v>
      </c>
      <c r="AE56" s="55">
        <f t="shared" ca="1" si="16"/>
        <v>45542</v>
      </c>
      <c r="AF56" s="55">
        <f t="shared" ca="1" si="17"/>
        <v>98.436397768724163</v>
      </c>
      <c r="AG56" s="55">
        <f t="shared" ca="1" si="18"/>
        <v>4.4585235854725624</v>
      </c>
      <c r="AH56" s="55">
        <f t="shared" ca="1" si="19"/>
        <v>0</v>
      </c>
      <c r="AI56" s="55">
        <f ca="1">-VLOOKUP(AE56,ModelOutputs,9,FALSE)+AI55</f>
        <v>-31.981909582446914</v>
      </c>
      <c r="AJ56" s="55">
        <f ca="1">VLOOKUP(AE56,ModelOutputs,5,FALSE)+AJ55</f>
        <v>21.004312189927649</v>
      </c>
      <c r="AK56" s="55">
        <f ca="1">VLOOKUP(AE56,ModelOutputs,4,FALSE)+AK55</f>
        <v>83.377381598643126</v>
      </c>
    </row>
    <row r="57" spans="2:37" s="55" customFormat="1" ht="15.75" thickBot="1">
      <c r="C57" s="127" t="s">
        <v>156</v>
      </c>
      <c r="D57" s="127"/>
      <c r="E57" s="127"/>
      <c r="F57" s="127"/>
      <c r="G57" s="127"/>
      <c r="H57" s="127"/>
      <c r="R57" s="83">
        <f ca="1"/>
        <v>45402</v>
      </c>
      <c r="S57" s="55">
        <f t="shared" ca="1" si="10"/>
        <v>45402</v>
      </c>
      <c r="T57" s="55">
        <f t="shared" ca="1" si="0"/>
        <v>134.48492654513177</v>
      </c>
      <c r="U57" s="55">
        <f t="shared" ca="1" si="1"/>
        <v>21.567868821041472</v>
      </c>
      <c r="V57" s="55">
        <f t="shared" ca="1" si="2"/>
        <v>0</v>
      </c>
      <c r="W57" s="55">
        <f t="shared" ca="1" si="11"/>
        <v>-18.379198569458953</v>
      </c>
      <c r="X57" s="55">
        <f t="shared" ca="1" si="12"/>
        <v>31.781108485980461</v>
      </c>
      <c r="Y57" s="55">
        <f t="shared" ca="1" si="13"/>
        <v>85.6409408062068</v>
      </c>
      <c r="Z57">
        <f ca="1">VLOOKUP(S57,ModelOutputs,10,FALSE)*AWC</f>
        <v>119.84646021090536</v>
      </c>
      <c r="AA57">
        <f t="shared" ca="1" si="14"/>
        <v>18.561122039385886</v>
      </c>
      <c r="AB57">
        <f t="shared" ca="1" si="3"/>
        <v>0</v>
      </c>
      <c r="AC57">
        <f t="shared" ca="1" si="4"/>
        <v>0.86400962650755686</v>
      </c>
      <c r="AD57" s="83">
        <f ca="1"/>
        <v>45543</v>
      </c>
      <c r="AE57" s="55">
        <f t="shared" ca="1" si="16"/>
        <v>45543</v>
      </c>
      <c r="AF57" s="55">
        <f t="shared" ca="1" si="17"/>
        <v>98.444370704560185</v>
      </c>
      <c r="AG57" s="55">
        <f t="shared" ca="1" si="18"/>
        <v>4.576418975623346</v>
      </c>
      <c r="AH57" s="55">
        <f t="shared" ca="1" si="19"/>
        <v>0</v>
      </c>
      <c r="AI57" s="55">
        <f ca="1">-VLOOKUP(AE57,ModelOutputs,9,FALSE)+AI56</f>
        <v>-32.639949706384257</v>
      </c>
      <c r="AJ57" s="55">
        <f ca="1">VLOOKUP(AE57,ModelOutputs,5,FALSE)+AJ56</f>
        <v>21.528901191980953</v>
      </c>
      <c r="AK57" s="55">
        <f ca="1">VLOOKUP(AE57,ModelOutputs,4,FALSE)+AK56</f>
        <v>83.636701046513963</v>
      </c>
    </row>
    <row r="58" spans="2:37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45403</v>
      </c>
      <c r="S58" s="55">
        <f t="shared" ca="1" si="10"/>
        <v>45403</v>
      </c>
      <c r="T58" s="55">
        <f t="shared" ca="1" si="0"/>
        <v>134.47317029593395</v>
      </c>
      <c r="U58" s="55">
        <f t="shared" ca="1" si="1"/>
        <v>22.411144460393519</v>
      </c>
      <c r="V58" s="55">
        <f t="shared" ca="1" si="2"/>
        <v>0</v>
      </c>
      <c r="W58" s="55">
        <f t="shared" ca="1" si="11"/>
        <v>-18.379198569458953</v>
      </c>
      <c r="X58" s="55">
        <f t="shared" ca="1" si="12"/>
        <v>32.541023905970725</v>
      </c>
      <c r="Y58" s="55">
        <f t="shared" ca="1" si="13"/>
        <v>85.712544776370777</v>
      </c>
      <c r="Z58">
        <f ca="1">VLOOKUP(S58,ModelOutputs,10,FALSE)*AWC</f>
        <v>117.87247873758062</v>
      </c>
      <c r="AA58">
        <f t="shared" ca="1" si="14"/>
        <v>18.561122039385886</v>
      </c>
      <c r="AB58">
        <f t="shared" ca="1" si="3"/>
        <v>0</v>
      </c>
      <c r="AC58">
        <f t="shared" ca="1" si="4"/>
        <v>0.89110856137274452</v>
      </c>
      <c r="AD58" s="83">
        <f ca="1"/>
        <v>45544</v>
      </c>
      <c r="AE58" s="55">
        <f t="shared" ca="1" si="16"/>
        <v>45544</v>
      </c>
      <c r="AF58" s="55">
        <f t="shared" ca="1" si="17"/>
        <v>97.894501450493124</v>
      </c>
      <c r="AG58" s="55">
        <f t="shared" ca="1" si="18"/>
        <v>4.7033626042960677</v>
      </c>
      <c r="AH58" s="55">
        <f t="shared" ca="1" si="19"/>
        <v>0</v>
      </c>
      <c r="AI58" s="55">
        <f ca="1">-VLOOKUP(AE58,ModelOutputs,9,FALSE)+AI57</f>
        <v>-33.862103125505804</v>
      </c>
      <c r="AJ58" s="55">
        <f ca="1">VLOOKUP(AE58,ModelOutputs,5,FALSE)+AJ57</f>
        <v>22.078709841511536</v>
      </c>
      <c r="AK58" s="55">
        <f ca="1">VLOOKUP(AE58,ModelOutputs,4,FALSE)+AK57</f>
        <v>83.886120190710585</v>
      </c>
    </row>
    <row r="59" spans="2:37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45404</v>
      </c>
      <c r="S59" s="55">
        <f t="shared" ca="1" si="10"/>
        <v>45404</v>
      </c>
      <c r="T59" s="55">
        <f t="shared" ca="1" si="0"/>
        <v>134.42061881122822</v>
      </c>
      <c r="U59" s="55">
        <f t="shared" ca="1" si="1"/>
        <v>23.306181754468057</v>
      </c>
      <c r="V59" s="55">
        <f t="shared" ca="1" si="2"/>
        <v>0</v>
      </c>
      <c r="W59" s="55">
        <f t="shared" ca="1" si="11"/>
        <v>-18.379198569458953</v>
      </c>
      <c r="X59" s="55">
        <f t="shared" ca="1" si="12"/>
        <v>33.318582413214173</v>
      </c>
      <c r="Y59" s="55">
        <f t="shared" ca="1" si="13"/>
        <v>85.777472078496146</v>
      </c>
      <c r="Z59">
        <f ca="1">VLOOKUP(S59,ModelOutputs,10,FALSE)*AWC</f>
        <v>114.84289610607506</v>
      </c>
      <c r="AA59">
        <f t="shared" ca="1" si="14"/>
        <v>18.561122039385886</v>
      </c>
      <c r="AB59">
        <f t="shared" ca="1" si="3"/>
        <v>0</v>
      </c>
      <c r="AC59">
        <f t="shared" ca="1" si="4"/>
        <v>0.91381447349346467</v>
      </c>
      <c r="AD59" s="83">
        <f ca="1"/>
        <v>45545</v>
      </c>
      <c r="AE59" s="55">
        <f t="shared" ca="1" si="16"/>
        <v>45545</v>
      </c>
      <c r="AF59" s="55">
        <f t="shared" ca="1" si="17"/>
        <v>95.382855099890492</v>
      </c>
      <c r="AG59" s="55">
        <f t="shared" ca="1" si="18"/>
        <v>4.8409445777429969</v>
      </c>
      <c r="AH59" s="55">
        <f t="shared" ca="1" si="19"/>
        <v>0</v>
      </c>
      <c r="AI59" s="55">
        <f ca="1">-VLOOKUP(AE59,ModelOutputs,9,FALSE)+AI58</f>
        <v>-37.056826891888861</v>
      </c>
      <c r="AJ59" s="55">
        <f ca="1">VLOOKUP(AE59,ModelOutputs,5,FALSE)+AJ58</f>
        <v>22.658900268168694</v>
      </c>
      <c r="AK59" s="55">
        <f ca="1">VLOOKUP(AE59,ModelOutputs,4,FALSE)+AK58</f>
        <v>84.126589153280776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89</v>
      </c>
      <c r="H60" s="72"/>
      <c r="R60" s="83">
        <f ca="1"/>
        <v>45405</v>
      </c>
      <c r="S60" s="55">
        <f t="shared" ca="1" si="10"/>
        <v>45405</v>
      </c>
      <c r="T60" s="55">
        <f t="shared" ca="1" si="0"/>
        <v>134.33572225136604</v>
      </c>
      <c r="U60" s="55">
        <f t="shared" ca="1" si="1"/>
        <v>24.296576659822524</v>
      </c>
      <c r="V60" s="55">
        <f t="shared" ca="1" si="2"/>
        <v>0</v>
      </c>
      <c r="W60" s="55">
        <f t="shared" ca="1" si="11"/>
        <v>-18.379198569458953</v>
      </c>
      <c r="X60" s="55">
        <f t="shared" ca="1" si="12"/>
        <v>34.161963931839225</v>
      </c>
      <c r="Y60" s="55">
        <f t="shared" ca="1" si="13"/>
        <v>85.839588905363385</v>
      </c>
      <c r="Z60">
        <f ca="1">VLOOKUP(S60,ModelOutputs,10,FALSE)*AWC</f>
        <v>116.98160181639915</v>
      </c>
      <c r="AA60">
        <f t="shared" ca="1" si="14"/>
        <v>18.561122039385886</v>
      </c>
      <c r="AB60">
        <f t="shared" ca="1" si="3"/>
        <v>0</v>
      </c>
      <c r="AC60">
        <f t="shared" ca="1" si="4"/>
        <v>0.93320809376687219</v>
      </c>
      <c r="AD60" s="83">
        <f ca="1"/>
        <v>45546</v>
      </c>
      <c r="AE60" s="55">
        <f t="shared" ca="1" si="16"/>
        <v>45546</v>
      </c>
      <c r="AF60" s="55">
        <f t="shared" ca="1" si="17"/>
        <v>95.965209830843193</v>
      </c>
      <c r="AG60" s="55">
        <f t="shared" ca="1" si="18"/>
        <v>4.9798577519210854</v>
      </c>
      <c r="AH60" s="55">
        <f t="shared" ca="1" si="19"/>
        <v>0</v>
      </c>
      <c r="AI60" s="55">
        <f ca="1">-VLOOKUP(AE60,ModelOutputs,9,FALSE)+AI59</f>
        <v>-37.120765355551264</v>
      </c>
      <c r="AJ60" s="55">
        <f ca="1">VLOOKUP(AE60,ModelOutputs,5,FALSE)+AJ59</f>
        <v>23.228695032989634</v>
      </c>
      <c r="AK60" s="55">
        <f ca="1">VLOOKUP(AE60,ModelOutputs,4,FALSE)+AK59</f>
        <v>84.342000757253032</v>
      </c>
    </row>
    <row r="61" spans="2:37" s="55" customFormat="1">
      <c r="B61" s="90">
        <f>IF(FollowingUnits="kg/head",FollowingYIeld*FollowingPopulation/1000,IF(FollowingUnits="kg/ha",FollowingYIeld/1000,FollowingYIeld))</f>
        <v>6</v>
      </c>
      <c r="C61" s="64" t="s">
        <v>152</v>
      </c>
      <c r="D61" s="65" t="str">
        <f>FollowingCropName&amp;" "&amp;FollowingCropType&amp;" "&amp;FollowingCropVariety</f>
        <v>Broccoli Vegetable General</v>
      </c>
      <c r="F61" s="56"/>
      <c r="R61" s="83">
        <f ca="1"/>
        <v>45406</v>
      </c>
      <c r="S61" s="55">
        <f t="shared" ca="1" si="10"/>
        <v>45406</v>
      </c>
      <c r="T61" s="55">
        <f t="shared" ca="1" si="0"/>
        <v>130.02600664693449</v>
      </c>
      <c r="U61" s="55">
        <f t="shared" ca="1" si="1"/>
        <v>25.297722866295068</v>
      </c>
      <c r="V61" s="55">
        <f t="shared" ca="1" si="2"/>
        <v>0</v>
      </c>
      <c r="W61" s="55">
        <f t="shared" ca="1" si="11"/>
        <v>-22.555945936478153</v>
      </c>
      <c r="X61" s="55">
        <f t="shared" ca="1" si="12"/>
        <v>34.977220964517343</v>
      </c>
      <c r="Y61" s="55">
        <f t="shared" ca="1" si="13"/>
        <v>85.892509841745479</v>
      </c>
      <c r="Z61">
        <f ca="1">VLOOKUP(S61,ModelOutputs,10,FALSE)*AWC</f>
        <v>120</v>
      </c>
      <c r="AA61">
        <f t="shared" ca="1" si="14"/>
        <v>23.125884113068324</v>
      </c>
      <c r="AB61">
        <f t="shared" ca="1" si="3"/>
        <v>0</v>
      </c>
      <c r="AC61">
        <f t="shared" ca="1" si="4"/>
        <v>0.94811484324941675</v>
      </c>
      <c r="AD61" s="83">
        <f ca="1"/>
        <v>45547</v>
      </c>
      <c r="AE61" s="55">
        <f t="shared" ca="1" si="16"/>
        <v>45547</v>
      </c>
      <c r="AF61" s="55">
        <f t="shared" ca="1" si="17"/>
        <v>96.635529803587133</v>
      </c>
      <c r="AG61" s="55">
        <f t="shared" ca="1" si="18"/>
        <v>5.133148658001871</v>
      </c>
      <c r="AH61" s="55">
        <f t="shared" ca="1" si="19"/>
        <v>0</v>
      </c>
      <c r="AI61" s="55">
        <f ca="1">-VLOOKUP(AE61,ModelOutputs,9,FALSE)+AI60</f>
        <v>-37.120765355551264</v>
      </c>
      <c r="AJ61" s="55">
        <f ca="1">VLOOKUP(AE61,ModelOutputs,5,FALSE)+AJ60</f>
        <v>23.841510270736652</v>
      </c>
      <c r="AK61" s="55">
        <f ca="1">VLOOKUP(AE61,ModelOutputs,4,FALSE)+AK60</f>
        <v>84.552796398330742</v>
      </c>
    </row>
    <row r="62" spans="2:37" s="55" customFormat="1">
      <c r="C62" s="61" t="s">
        <v>4</v>
      </c>
      <c r="D62" s="68">
        <f ca="1">IF(E62="",CurrentHarvestDate+15,E62)</f>
        <v>45518</v>
      </c>
      <c r="E62" s="67"/>
      <c r="F62" s="61" t="s">
        <v>147</v>
      </c>
      <c r="G62" s="84" t="str">
        <f>IF(H62="",VLOOKUP(FollowingCropFullName,CropCoefficients,13,FALSE),H62)</f>
        <v>Seedling</v>
      </c>
      <c r="H62" s="72"/>
      <c r="R62" s="83">
        <f ca="1"/>
        <v>45407</v>
      </c>
      <c r="S62" s="55">
        <f t="shared" ca="1" si="10"/>
        <v>45407</v>
      </c>
      <c r="T62" s="55">
        <f t="shared" ca="1" si="0"/>
        <v>129.84933754365281</v>
      </c>
      <c r="U62" s="55">
        <f t="shared" ca="1" si="1"/>
        <v>26.302156990997815</v>
      </c>
      <c r="V62" s="55">
        <f t="shared" ca="1" si="2"/>
        <v>0</v>
      </c>
      <c r="W62" s="55">
        <f t="shared" ca="1" si="11"/>
        <v>-22.555945936478153</v>
      </c>
      <c r="X62" s="55">
        <f t="shared" ca="1" si="12"/>
        <v>35.759883309271984</v>
      </c>
      <c r="Y62" s="55">
        <f t="shared" ca="1" si="13"/>
        <v>85.93761251841191</v>
      </c>
      <c r="Z62">
        <f ca="1">VLOOKUP(S62,ModelOutputs,10,FALSE)*AWC</f>
        <v>118.22992830627587</v>
      </c>
      <c r="AA62">
        <f t="shared" ca="1" si="14"/>
        <v>23.125884113068324</v>
      </c>
      <c r="AB62">
        <f t="shared" ca="1" si="3"/>
        <v>0</v>
      </c>
      <c r="AC62">
        <f t="shared" ca="1" si="4"/>
        <v>0.95949255496942609</v>
      </c>
      <c r="AD62" s="83">
        <f ca="1"/>
        <v>45548</v>
      </c>
      <c r="AE62" s="55">
        <f t="shared" ca="1" si="16"/>
        <v>45548</v>
      </c>
      <c r="AF62" s="55">
        <f t="shared" ca="1" si="17"/>
        <v>97.007076820799867</v>
      </c>
      <c r="AG62" s="55">
        <f t="shared" ca="1" si="18"/>
        <v>5.289284470136284</v>
      </c>
      <c r="AH62" s="55">
        <f t="shared" ca="1" si="19"/>
        <v>0</v>
      </c>
      <c r="AI62" s="55">
        <f ca="1">-VLOOKUP(AE62,ModelOutputs,9,FALSE)+AI61</f>
        <v>-37.388341285870652</v>
      </c>
      <c r="AJ62" s="55">
        <f ca="1">VLOOKUP(AE62,ModelOutputs,5,FALSE)+AJ61</f>
        <v>24.447614857681842</v>
      </c>
      <c r="AK62" s="55">
        <f ca="1">VLOOKUP(AE62,ModelOutputs,4,FALSE)+AK61</f>
        <v>84.741950571052087</v>
      </c>
    </row>
    <row r="63" spans="2:37" s="55" customFormat="1">
      <c r="C63" s="61" t="s">
        <v>5</v>
      </c>
      <c r="D63" s="68">
        <f ca="1">IF(E63="",FollowingEstablishDate+120,E63)</f>
        <v>45638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45408</v>
      </c>
      <c r="S63" s="55">
        <f t="shared" ca="1" si="10"/>
        <v>45408</v>
      </c>
      <c r="T63" s="55">
        <f t="shared" ca="1" si="0"/>
        <v>127.63700218536965</v>
      </c>
      <c r="U63" s="55">
        <f t="shared" ca="1" si="1"/>
        <v>27.409718208880864</v>
      </c>
      <c r="V63" s="55">
        <f t="shared" ca="1" si="2"/>
        <v>0</v>
      </c>
      <c r="W63" s="55">
        <f t="shared" ca="1" si="11"/>
        <v>-24.546099549585346</v>
      </c>
      <c r="X63" s="55">
        <f t="shared" ca="1" si="12"/>
        <v>36.602120213154585</v>
      </c>
      <c r="Y63" s="55">
        <f t="shared" ca="1" si="13"/>
        <v>85.980755087236389</v>
      </c>
      <c r="Z63">
        <f ca="1">VLOOKUP(S63,ModelOutputs,10,FALSE)*AWC</f>
        <v>120</v>
      </c>
      <c r="AA63">
        <f t="shared" ca="1" si="14"/>
        <v>25.341631099232259</v>
      </c>
      <c r="AB63">
        <f t="shared" ca="1" si="3"/>
        <v>0</v>
      </c>
      <c r="AC63">
        <f t="shared" ca="1" si="4"/>
        <v>0.96894766312236291</v>
      </c>
      <c r="AD63" s="83">
        <f ca="1"/>
        <v>45549</v>
      </c>
      <c r="AE63" s="55">
        <f t="shared" ca="1" si="16"/>
        <v>45549</v>
      </c>
      <c r="AF63" s="55">
        <f t="shared" ca="1" si="17"/>
        <v>97.640135805386279</v>
      </c>
      <c r="AG63" s="55">
        <f t="shared" ca="1" si="18"/>
        <v>5.4539305988196176</v>
      </c>
      <c r="AH63" s="55">
        <f t="shared" ca="1" si="19"/>
        <v>0</v>
      </c>
      <c r="AI63" s="55">
        <f ca="1">-VLOOKUP(AE63,ModelOutputs,9,FALSE)+AI62</f>
        <v>-37.388341285870652</v>
      </c>
      <c r="AJ63" s="55">
        <f ca="1">VLOOKUP(AE63,ModelOutputs,5,FALSE)+AJ62</f>
        <v>25.069369142204554</v>
      </c>
      <c r="AK63" s="55">
        <f ca="1">VLOOKUP(AE63,ModelOutputs,4,FALSE)+AK62</f>
        <v>84.917901399799121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45409</v>
      </c>
      <c r="S64" s="55">
        <f t="shared" ca="1" si="10"/>
        <v>45409</v>
      </c>
      <c r="T64" s="55">
        <f t="shared" ca="1" si="0"/>
        <v>123.65348274465211</v>
      </c>
      <c r="U64" s="55">
        <f t="shared" ca="1" si="1"/>
        <v>28.505446569463018</v>
      </c>
      <c r="V64" s="55">
        <f t="shared" ca="1" si="2"/>
        <v>0</v>
      </c>
      <c r="W64" s="55">
        <f t="shared" ca="1" si="11"/>
        <v>-28.264390978759966</v>
      </c>
      <c r="X64" s="55">
        <f t="shared" ca="1" si="12"/>
        <v>37.396361613268965</v>
      </c>
      <c r="Y64" s="55">
        <f t="shared" ca="1" si="13"/>
        <v>86.017014036161228</v>
      </c>
      <c r="Z64">
        <f ca="1">VLOOKUP(S64,ModelOutputs,10,FALSE)*AWC</f>
        <v>120</v>
      </c>
      <c r="AA64">
        <f t="shared" ca="1" si="14"/>
        <v>29.614772221603566</v>
      </c>
      <c r="AB64">
        <f t="shared" ca="1" si="3"/>
        <v>0</v>
      </c>
      <c r="AC64">
        <f t="shared" ca="1" si="4"/>
        <v>0.9759483706470603</v>
      </c>
      <c r="AD64" s="83">
        <f ca="1"/>
        <v>45550</v>
      </c>
      <c r="AE64" s="55">
        <f t="shared" ca="1" si="16"/>
        <v>45550</v>
      </c>
      <c r="AF64" s="55">
        <f t="shared" ca="1" si="17"/>
        <v>98.100233158367573</v>
      </c>
      <c r="AG64" s="55">
        <f t="shared" ca="1" si="18"/>
        <v>5.6222627289319238</v>
      </c>
      <c r="AH64" s="55">
        <f t="shared" ca="1" si="19"/>
        <v>0</v>
      </c>
      <c r="AI64" s="55">
        <f ca="1">-VLOOKUP(AE64,ModelOutputs,9,FALSE)+AI63</f>
        <v>-37.535324002346172</v>
      </c>
      <c r="AJ64" s="55">
        <f ca="1">VLOOKUP(AE64,ModelOutputs,5,FALSE)+AJ63</f>
        <v>25.686522942868024</v>
      </c>
      <c r="AK64" s="55">
        <f ca="1">VLOOKUP(AE64,ModelOutputs,4,FALSE)+AK63</f>
        <v>85.076159798704765</v>
      </c>
    </row>
    <row r="65" spans="2:37" s="55" customFormat="1">
      <c r="C65" s="61" t="s">
        <v>102</v>
      </c>
      <c r="D65" s="70">
        <f>IF(E65="",VLOOKUP(FollowingCropFullName,CropCoefficients,17,FALSE),E65)</f>
        <v>0.3</v>
      </c>
      <c r="E65" s="69">
        <v>0.3</v>
      </c>
      <c r="F65" s="61" t="s">
        <v>150</v>
      </c>
      <c r="G65" s="85" t="str">
        <f>IF(H65="","None removed",H65)</f>
        <v>None removed</v>
      </c>
      <c r="H65" s="72"/>
      <c r="R65" s="83">
        <f ca="1"/>
        <v>45410</v>
      </c>
      <c r="S65" s="55">
        <f t="shared" ca="1" si="10"/>
        <v>45410</v>
      </c>
      <c r="T65" s="55">
        <f t="shared" ca="1" si="0"/>
        <v>120.65124839119919</v>
      </c>
      <c r="U65" s="55">
        <f t="shared" ca="1" si="1"/>
        <v>29.619369080985884</v>
      </c>
      <c r="V65" s="55">
        <f t="shared" ca="1" si="2"/>
        <v>0</v>
      </c>
      <c r="W65" s="55">
        <f t="shared" ca="1" si="11"/>
        <v>-30.960511250574704</v>
      </c>
      <c r="X65" s="55">
        <f t="shared" ca="1" si="12"/>
        <v>38.172323779624456</v>
      </c>
      <c r="Y65" s="55">
        <f t="shared" ca="1" si="13"/>
        <v>86.048860299690418</v>
      </c>
      <c r="Z65">
        <f ca="1">VLOOKUP(S65,ModelOutputs,10,FALSE)*AWC</f>
        <v>120</v>
      </c>
      <c r="AA65">
        <f t="shared" ca="1" si="14"/>
        <v>32.790312349371654</v>
      </c>
      <c r="AB65">
        <f t="shared" ca="1" si="3"/>
        <v>0</v>
      </c>
      <c r="AC65">
        <f t="shared" ca="1" si="4"/>
        <v>0.98130855701415798</v>
      </c>
      <c r="AD65" s="83">
        <f ca="1"/>
        <v>45551</v>
      </c>
      <c r="AE65" s="55">
        <f t="shared" ca="1" si="16"/>
        <v>45551</v>
      </c>
      <c r="AF65" s="55">
        <f t="shared" ca="1" si="17"/>
        <v>96.991723301203038</v>
      </c>
      <c r="AG65" s="55">
        <f t="shared" ca="1" si="18"/>
        <v>5.8098899450446133</v>
      </c>
      <c r="AH65" s="55">
        <f t="shared" ca="1" si="19"/>
        <v>0</v>
      </c>
      <c r="AI65" s="55">
        <f ca="1">-VLOOKUP(AE65,ModelOutputs,9,FALSE)+AI64</f>
        <v>-39.283789158267716</v>
      </c>
      <c r="AJ65" s="55">
        <f ca="1">VLOOKUP(AE65,ModelOutputs,5,FALSE)+AJ64</f>
        <v>26.358520064551545</v>
      </c>
      <c r="AK65" s="55">
        <f ca="1">VLOOKUP(AE65,ModelOutputs,4,FALSE)+AK64</f>
        <v>85.231745191890951</v>
      </c>
    </row>
    <row r="66" spans="2:37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160</v>
      </c>
      <c r="G66" s="85" t="str">
        <f>IF(H66="","Full (Plough)",H66)</f>
        <v>Full (Plough)</v>
      </c>
      <c r="H66" s="72"/>
      <c r="R66" s="83">
        <f ca="1"/>
        <v>45411</v>
      </c>
      <c r="S66" s="55">
        <f t="shared" ca="1" si="10"/>
        <v>45411</v>
      </c>
      <c r="T66" s="55">
        <f t="shared" ca="1" si="0"/>
        <v>117.17423197585674</v>
      </c>
      <c r="U66" s="55">
        <f t="shared" ca="1" si="1"/>
        <v>30.757093599072196</v>
      </c>
      <c r="V66" s="55">
        <f t="shared" ca="1" si="2"/>
        <v>0</v>
      </c>
      <c r="W66" s="55">
        <f t="shared" ca="1" si="11"/>
        <v>-34.091359948055697</v>
      </c>
      <c r="X66" s="55">
        <f t="shared" ca="1" si="12"/>
        <v>38.935542360574566</v>
      </c>
      <c r="Y66" s="55">
        <f t="shared" ca="1" si="13"/>
        <v>86.077198518965162</v>
      </c>
      <c r="Z66">
        <f ca="1">VLOOKUP(S66,ModelOutputs,10,FALSE)*AWC</f>
        <v>120</v>
      </c>
      <c r="AA66">
        <f t="shared" ca="1" si="14"/>
        <v>36.587308246513615</v>
      </c>
      <c r="AB66">
        <f t="shared" ca="1" si="3"/>
        <v>0</v>
      </c>
      <c r="AC66">
        <f t="shared" ca="1" si="4"/>
        <v>0.98544081517728255</v>
      </c>
      <c r="AD66" s="83">
        <f ca="1"/>
        <v>45552</v>
      </c>
      <c r="AE66" s="55">
        <f t="shared" ca="1" si="16"/>
        <v>45552</v>
      </c>
      <c r="AF66" s="55">
        <f t="shared" ca="1" si="17"/>
        <v>96.257740409347079</v>
      </c>
      <c r="AG66" s="55">
        <f t="shared" ca="1" si="18"/>
        <v>5.9895930475149743</v>
      </c>
      <c r="AH66" s="55">
        <f t="shared" ca="1" si="19"/>
        <v>0</v>
      </c>
      <c r="AI66" s="55">
        <f ca="1">-VLOOKUP(AE66,ModelOutputs,9,FALSE)+AI65</f>
        <v>-40.588323644283086</v>
      </c>
      <c r="AJ66" s="55">
        <f ca="1">VLOOKUP(AE66,ModelOutputs,5,FALSE)+AJ65</f>
        <v>26.979061614098587</v>
      </c>
      <c r="AK66" s="55">
        <f ca="1">VLOOKUP(AE66,ModelOutputs,4,FALSE)+AK65</f>
        <v>85.361458338973677</v>
      </c>
    </row>
    <row r="67" spans="2:37">
      <c r="B67" s="55"/>
      <c r="C67" s="64" t="str">
        <f>"Yield "&amp;ROUND(FollowingYield_tperHa,0)&amp;" (t/ha)"</f>
        <v>Yield 6 (t/ha)</v>
      </c>
      <c r="D67" s="107" t="str">
        <f ca="1">"Following crop will take up "&amp;ROUND('Model Interface'!R4,0)&amp;" kg N/ha"</f>
        <v>Following crop will take up 72 kg N/ha</v>
      </c>
      <c r="R67" s="83">
        <f ca="1"/>
        <v>45412</v>
      </c>
      <c r="S67" s="55">
        <f t="shared" ca="1" si="10"/>
        <v>45412</v>
      </c>
      <c r="T67" s="55">
        <f t="shared" ca="1" si="0"/>
        <v>116.8250697976394</v>
      </c>
      <c r="U67" s="55">
        <f t="shared" ca="1" si="1"/>
        <v>31.780480555741565</v>
      </c>
      <c r="V67" s="55">
        <f t="shared" ca="1" si="2"/>
        <v>0</v>
      </c>
      <c r="W67" s="55">
        <f t="shared" ca="1" si="11"/>
        <v>-34.091359948055697</v>
      </c>
      <c r="X67" s="55">
        <f t="shared" ca="1" si="12"/>
        <v>39.587599289289372</v>
      </c>
      <c r="Y67" s="55">
        <f t="shared" ca="1" si="13"/>
        <v>86.099366368702377</v>
      </c>
      <c r="Z67">
        <f ca="1">VLOOKUP(S67,ModelOutputs,10,FALSE)*AWC</f>
        <v>116.82582325791905</v>
      </c>
      <c r="AA67">
        <f t="shared" ca="1" si="14"/>
        <v>36.587308246513615</v>
      </c>
      <c r="AB67">
        <f t="shared" ca="1" si="3"/>
        <v>0</v>
      </c>
      <c r="AC67">
        <f t="shared" ca="1" si="4"/>
        <v>0.98829656309712866</v>
      </c>
      <c r="AD67" s="83">
        <f ca="1"/>
        <v>45553</v>
      </c>
      <c r="AE67" s="55">
        <f t="shared" ca="1" si="16"/>
        <v>45553</v>
      </c>
      <c r="AF67" s="55">
        <f t="shared" ca="1" si="17"/>
        <v>92.352530347723103</v>
      </c>
      <c r="AG67" s="55">
        <f t="shared" ca="1" si="18"/>
        <v>6.1605960718014039</v>
      </c>
      <c r="AH67" s="55">
        <f t="shared" ca="1" si="19"/>
        <v>0</v>
      </c>
      <c r="AI67" s="55">
        <f ca="1">-VLOOKUP(AE67,ModelOutputs,9,FALSE)+AI66</f>
        <v>-45.00403917178626</v>
      </c>
      <c r="AJ67" s="55">
        <f ca="1">VLOOKUP(AE67,ModelOutputs,5,FALSE)+AJ66</f>
        <v>27.551616918650463</v>
      </c>
      <c r="AK67" s="55">
        <f ca="1">VLOOKUP(AE67,ModelOutputs,4,FALSE)+AK66</f>
        <v>85.470411524587433</v>
      </c>
    </row>
    <row r="68" spans="2:37" ht="15.75" thickBot="1">
      <c r="C68" s="129" t="s">
        <v>187</v>
      </c>
      <c r="D68" s="129"/>
      <c r="E68" s="129"/>
      <c r="F68" s="129"/>
      <c r="G68" s="129"/>
      <c r="H68" s="129"/>
      <c r="R68" s="83">
        <f ca="1"/>
        <v>45413</v>
      </c>
      <c r="S68" s="55">
        <f t="shared" ca="1" si="10"/>
        <v>45413</v>
      </c>
      <c r="T68" s="55">
        <f t="shared" ca="1" si="0"/>
        <v>116.43456281820741</v>
      </c>
      <c r="U68" s="55">
        <f t="shared" ca="1" si="1"/>
        <v>32.83238341913642</v>
      </c>
      <c r="V68" s="55">
        <f t="shared" ca="1" si="2"/>
        <v>0</v>
      </c>
      <c r="W68" s="55">
        <f t="shared" ca="1" si="11"/>
        <v>-34.091359948055697</v>
      </c>
      <c r="X68" s="55">
        <f t="shared" ca="1" si="12"/>
        <v>40.228806377537246</v>
      </c>
      <c r="Y68" s="55">
        <f t="shared" ca="1" si="13"/>
        <v>86.119555164417378</v>
      </c>
      <c r="Z68">
        <f ca="1">VLOOKUP(S68,ModelOutputs,10,FALSE)*AWC</f>
        <v>113.91043490768241</v>
      </c>
      <c r="AA68">
        <f t="shared" ca="1" si="14"/>
        <v>36.587308246513615</v>
      </c>
      <c r="AB68">
        <f t="shared" ca="1" si="3"/>
        <v>0</v>
      </c>
      <c r="AC68">
        <f t="shared" ca="1" si="4"/>
        <v>0.99059244887330256</v>
      </c>
      <c r="AD68" s="83">
        <f ca="1"/>
        <v>45554</v>
      </c>
      <c r="AE68" s="55">
        <f t="shared" ca="1" si="16"/>
        <v>45554</v>
      </c>
      <c r="AF68" s="55">
        <f t="shared" ca="1" si="17"/>
        <v>91.705301603577453</v>
      </c>
      <c r="AG68" s="55">
        <f t="shared" ca="1" si="18"/>
        <v>6.3342439457426636</v>
      </c>
      <c r="AH68" s="55">
        <f t="shared" ca="1" si="19"/>
        <v>0</v>
      </c>
      <c r="AI68" s="55">
        <f ca="1">-VLOOKUP(AE68,ModelOutputs,9,FALSE)+AI67</f>
        <v>-46.142289546848701</v>
      </c>
      <c r="AJ68" s="55">
        <f ca="1">VLOOKUP(AE68,ModelOutputs,5,FALSE)+AJ67</f>
        <v>28.117744111261469</v>
      </c>
      <c r="AK68" s="55">
        <f ca="1">VLOOKUP(AE68,ModelOutputs,4,FALSE)+AK67</f>
        <v>85.568953836834481</v>
      </c>
    </row>
    <row r="69" spans="2:37">
      <c r="C69" s="61"/>
      <c r="D69" s="88"/>
      <c r="E69" s="105"/>
      <c r="R69" s="83">
        <f ca="1"/>
        <v>45414</v>
      </c>
      <c r="S69" s="55">
        <f t="shared" ca="1" si="10"/>
        <v>45414</v>
      </c>
      <c r="T69" s="55">
        <f t="shared" ca="1" si="0"/>
        <v>115.98434662501785</v>
      </c>
      <c r="U69" s="55">
        <f t="shared" ca="1" si="1"/>
        <v>34.030620543219975</v>
      </c>
      <c r="V69" s="55">
        <f t="shared" ca="1" si="2"/>
        <v>0</v>
      </c>
      <c r="W69" s="55">
        <f t="shared" ca="1" si="11"/>
        <v>-34.091359948055697</v>
      </c>
      <c r="X69" s="55">
        <f t="shared" ca="1" si="12"/>
        <v>40.955637699097181</v>
      </c>
      <c r="Y69" s="55">
        <f t="shared" ca="1" si="13"/>
        <v>86.140744773751436</v>
      </c>
      <c r="Z69">
        <f ca="1">VLOOKUP(S69,ModelOutputs,10,FALSE)*AWC</f>
        <v>115.47019474870427</v>
      </c>
      <c r="AA69">
        <f t="shared" ca="1" si="14"/>
        <v>36.587308246513615</v>
      </c>
      <c r="AB69">
        <f t="shared" ca="1" si="3"/>
        <v>0</v>
      </c>
      <c r="AC69">
        <f t="shared" ca="1" si="4"/>
        <v>0.9926116998831187</v>
      </c>
      <c r="AD69" s="83">
        <f ca="1"/>
        <v>45555</v>
      </c>
      <c r="AE69" s="55">
        <f t="shared" ca="1" si="16"/>
        <v>45555</v>
      </c>
      <c r="AF69" s="55">
        <f t="shared" ca="1" si="17"/>
        <v>92.159267265597521</v>
      </c>
      <c r="AG69" s="55">
        <f t="shared" ca="1" si="18"/>
        <v>6.5031772531876912</v>
      </c>
      <c r="AH69" s="55">
        <f t="shared" ca="1" si="19"/>
        <v>0</v>
      </c>
      <c r="AI69" s="55">
        <f ca="1">-VLOOKUP(AE69,ModelOutputs,9,FALSE)+AI68</f>
        <v>-46.142289546848701</v>
      </c>
      <c r="AJ69" s="55">
        <f ca="1">VLOOKUP(AE69,ModelOutputs,5,FALSE)+AJ68</f>
        <v>28.654848520988438</v>
      </c>
      <c r="AK69" s="55">
        <f ca="1">VLOOKUP(AE69,ModelOutputs,4,FALSE)+AK68</f>
        <v>85.654748396572614</v>
      </c>
    </row>
    <row r="70" spans="2:37">
      <c r="C70" s="61"/>
      <c r="D70" s="84"/>
      <c r="E70" s="69"/>
      <c r="R70" s="83">
        <f ca="1"/>
        <v>45415</v>
      </c>
      <c r="S70" s="55">
        <f t="shared" ca="1" si="10"/>
        <v>45415</v>
      </c>
      <c r="T70" s="55">
        <f t="shared" ca="1" si="0"/>
        <v>115.49135383707372</v>
      </c>
      <c r="U70" s="55">
        <f t="shared" ca="1" si="1"/>
        <v>35.273361119541043</v>
      </c>
      <c r="V70" s="55">
        <f t="shared" ca="1" si="2"/>
        <v>0</v>
      </c>
      <c r="W70" s="55">
        <f t="shared" ca="1" si="11"/>
        <v>-34.091359948055697</v>
      </c>
      <c r="X70" s="55">
        <f t="shared" ca="1" si="12"/>
        <v>41.685683046133633</v>
      </c>
      <c r="Y70" s="55">
        <f t="shared" ca="1" si="13"/>
        <v>86.160447215091921</v>
      </c>
      <c r="Z70">
        <f ca="1">VLOOKUP(S70,ModelOutputs,10,FALSE)*AWC</f>
        <v>119.55046799935462</v>
      </c>
      <c r="AA70">
        <f t="shared" ca="1" si="14"/>
        <v>36.587308246513615</v>
      </c>
      <c r="AB70">
        <f t="shared" ca="1" si="3"/>
        <v>0</v>
      </c>
      <c r="AC70">
        <f t="shared" ca="1" si="4"/>
        <v>0.99420543855940979</v>
      </c>
      <c r="AD70" s="83">
        <f ca="1"/>
        <v>45556</v>
      </c>
      <c r="AE70" s="55">
        <f t="shared" ca="1" si="16"/>
        <v>45556</v>
      </c>
      <c r="AF70" s="55">
        <f t="shared" ca="1" si="17"/>
        <v>91.78806494987677</v>
      </c>
      <c r="AG70" s="55">
        <f t="shared" ca="1" si="18"/>
        <v>6.6818523445224365</v>
      </c>
      <c r="AH70" s="55">
        <f t="shared" ca="1" si="19"/>
        <v>0</v>
      </c>
      <c r="AI70" s="55">
        <f ca="1">-VLOOKUP(AE70,ModelOutputs,9,FALSE)+AI69</f>
        <v>-46.969734102436568</v>
      </c>
      <c r="AJ70" s="55">
        <f ca="1">VLOOKUP(AE70,ModelOutputs,5,FALSE)+AJ69</f>
        <v>29.20848282449645</v>
      </c>
      <c r="AK70" s="55">
        <f ca="1">VLOOKUP(AE70,ModelOutputs,4,FALSE)+AK69</f>
        <v>85.736031424266457</v>
      </c>
    </row>
    <row r="71" spans="2:37">
      <c r="C71" s="61"/>
      <c r="D71" s="84"/>
      <c r="E71" s="69"/>
      <c r="R71" s="83">
        <f ca="1"/>
        <v>45416</v>
      </c>
      <c r="S71" s="55">
        <f t="shared" ca="1" si="10"/>
        <v>45416</v>
      </c>
      <c r="T71" s="55">
        <f t="shared" ca="1" si="0"/>
        <v>112.29945651395576</v>
      </c>
      <c r="U71" s="55">
        <f t="shared" ca="1" si="1"/>
        <v>36.602258199678097</v>
      </c>
      <c r="V71" s="55">
        <f t="shared" ca="1" si="2"/>
        <v>0</v>
      </c>
      <c r="W71" s="55">
        <f t="shared" ca="1" si="11"/>
        <v>-36.733050318544478</v>
      </c>
      <c r="X71" s="55">
        <f t="shared" ca="1" si="12"/>
        <v>42.445323599377055</v>
      </c>
      <c r="Y71" s="55">
        <f t="shared" ca="1" si="13"/>
        <v>86.179496789356378</v>
      </c>
      <c r="Z71">
        <f ca="1">VLOOKUP(S71,ModelOutputs,10,FALSE)*AWC</f>
        <v>120</v>
      </c>
      <c r="AA71">
        <f t="shared" ca="1" si="14"/>
        <v>39.930139253298883</v>
      </c>
      <c r="AB71">
        <f t="shared" ca="1" si="3"/>
        <v>0</v>
      </c>
      <c r="AC71">
        <f t="shared" ca="1" si="4"/>
        <v>0.99549504184028115</v>
      </c>
      <c r="AD71" s="83">
        <f ca="1"/>
        <v>45557</v>
      </c>
      <c r="AE71" s="55">
        <f t="shared" ca="1" si="16"/>
        <v>45557</v>
      </c>
      <c r="AF71" s="55">
        <f t="shared" ca="1" si="17"/>
        <v>92.268717719472917</v>
      </c>
      <c r="AG71" s="55">
        <f t="shared" ca="1" si="18"/>
        <v>6.8798621393365824</v>
      </c>
      <c r="AH71" s="55">
        <f t="shared" ca="1" si="19"/>
        <v>0</v>
      </c>
      <c r="AI71" s="55">
        <f ca="1">-VLOOKUP(AE71,ModelOutputs,9,FALSE)+AI70</f>
        <v>-46.969734102436568</v>
      </c>
      <c r="AJ71" s="55">
        <f ca="1">VLOOKUP(AE71,ModelOutputs,5,FALSE)+AJ70</f>
        <v>29.806738078571048</v>
      </c>
      <c r="AK71" s="55">
        <f ca="1">VLOOKUP(AE71,ModelOutputs,4,FALSE)+AK70</f>
        <v>85.816438734602144</v>
      </c>
    </row>
    <row r="72" spans="2:37">
      <c r="C72" s="61"/>
      <c r="D72" s="84">
        <v>120</v>
      </c>
      <c r="E72" s="69">
        <v>120</v>
      </c>
      <c r="R72" s="83">
        <f ca="1"/>
        <v>45417</v>
      </c>
      <c r="S72" s="55">
        <f t="shared" ca="1" si="10"/>
        <v>45417</v>
      </c>
      <c r="T72" s="55">
        <f t="shared" ca="1" si="0"/>
        <v>110.88019807944752</v>
      </c>
      <c r="U72" s="55">
        <f t="shared" ca="1" si="1"/>
        <v>37.943255384952856</v>
      </c>
      <c r="V72" s="55">
        <f t="shared" ca="1" si="2"/>
        <v>0</v>
      </c>
      <c r="W72" s="55">
        <f t="shared" ca="1" si="11"/>
        <v>-37.56727297356899</v>
      </c>
      <c r="X72" s="55">
        <f t="shared" ca="1" si="12"/>
        <v>43.183982460334505</v>
      </c>
      <c r="Y72" s="55">
        <f t="shared" ca="1" si="13"/>
        <v>86.196799334189947</v>
      </c>
      <c r="Z72">
        <f ca="1">VLOOKUP(S72,ModelOutputs,10,FALSE)*AWC</f>
        <v>120</v>
      </c>
      <c r="AA72">
        <f t="shared" ca="1" si="14"/>
        <v>40.999288046121151</v>
      </c>
      <c r="AB72">
        <f t="shared" ca="1" si="3"/>
        <v>0</v>
      </c>
      <c r="AC72">
        <f t="shared" ca="1" si="4"/>
        <v>0.99647774719600313</v>
      </c>
      <c r="AD72" s="83">
        <f ca="1"/>
        <v>45558</v>
      </c>
      <c r="AE72" s="55">
        <f t="shared" ca="1" si="16"/>
        <v>45558</v>
      </c>
      <c r="AF72" s="55">
        <f t="shared" ca="1" si="17"/>
        <v>90.536672291121334</v>
      </c>
      <c r="AG72" s="55">
        <f t="shared" ca="1" si="18"/>
        <v>7.0962592099393831</v>
      </c>
      <c r="AH72" s="55">
        <f t="shared" ca="1" si="19"/>
        <v>0</v>
      </c>
      <c r="AI72" s="55">
        <f ca="1">-VLOOKUP(AE72,ModelOutputs,9,FALSE)+AI71</f>
        <v>-49.201333949325324</v>
      </c>
      <c r="AJ72" s="55">
        <f ca="1">VLOOKUP(AE72,ModelOutputs,5,FALSE)+AJ71</f>
        <v>30.444640018274921</v>
      </c>
      <c r="AK72" s="55">
        <f ca="1">VLOOKUP(AE72,ModelOutputs,4,FALSE)+AK71</f>
        <v>85.894488284038232</v>
      </c>
    </row>
    <row r="73" spans="2:37">
      <c r="R73" s="83">
        <f ca="1"/>
        <v>45418</v>
      </c>
      <c r="S73" s="55">
        <f t="shared" ca="1" si="10"/>
        <v>45418</v>
      </c>
      <c r="T73" s="55">
        <f t="shared" ca="1" si="0"/>
        <v>107.17490886541387</v>
      </c>
      <c r="U73" s="55">
        <f t="shared" ca="1" si="1"/>
        <v>39.265576461019876</v>
      </c>
      <c r="V73" s="55">
        <f t="shared" ca="1" si="2"/>
        <v>0</v>
      </c>
      <c r="W73" s="55">
        <f t="shared" ca="1" si="11"/>
        <v>-40.666613556818405</v>
      </c>
      <c r="X73" s="55">
        <f t="shared" ca="1" si="12"/>
        <v>43.88489277667184</v>
      </c>
      <c r="Y73" s="55">
        <f t="shared" ca="1" si="13"/>
        <v>86.212261463135405</v>
      </c>
      <c r="Z73">
        <f ca="1">VLOOKUP(S73,ModelOutputs,10,FALSE)*AWC</f>
        <v>120</v>
      </c>
      <c r="AA73">
        <f t="shared" ca="1" si="14"/>
        <v>45.108763051615945</v>
      </c>
      <c r="AB73">
        <f t="shared" ca="1" si="3"/>
        <v>0</v>
      </c>
      <c r="AC73">
        <f t="shared" ca="1" si="4"/>
        <v>0.99721626853816403</v>
      </c>
      <c r="AD73" s="83">
        <f ca="1"/>
        <v>45559</v>
      </c>
      <c r="AE73" s="55">
        <f t="shared" ca="1" si="16"/>
        <v>45559</v>
      </c>
      <c r="AF73" s="55">
        <f t="shared" ca="1" si="17"/>
        <v>91.044602738807029</v>
      </c>
      <c r="AG73" s="55">
        <f t="shared" ca="1" si="18"/>
        <v>7.3281018646238012</v>
      </c>
      <c r="AH73" s="55">
        <f t="shared" ca="1" si="19"/>
        <v>0</v>
      </c>
      <c r="AI73" s="55">
        <f ca="1">-VLOOKUP(AE73,ModelOutputs,9,FALSE)+AI72</f>
        <v>-49.201333949325324</v>
      </c>
      <c r="AJ73" s="55">
        <f ca="1">VLOOKUP(AE73,ModelOutputs,5,FALSE)+AJ72</f>
        <v>31.110539738136715</v>
      </c>
      <c r="AK73" s="55">
        <f ca="1">VLOOKUP(AE73,ModelOutputs,4,FALSE)+AK72</f>
        <v>85.968361666546542</v>
      </c>
    </row>
    <row r="74" spans="2:37">
      <c r="R74" s="83">
        <f ca="1"/>
        <v>45419</v>
      </c>
      <c r="S74" s="55">
        <f t="shared" ca="1" si="10"/>
        <v>45419</v>
      </c>
      <c r="T74" s="55">
        <f t="shared" ca="1" si="0"/>
        <v>105.85451893655755</v>
      </c>
      <c r="U74" s="55">
        <f t="shared" ca="1" si="1"/>
        <v>40.64221166082541</v>
      </c>
      <c r="V74" s="55">
        <f t="shared" ca="1" si="2"/>
        <v>0</v>
      </c>
      <c r="W74" s="55">
        <f t="shared" ca="1" si="11"/>
        <v>-41.333705127918016</v>
      </c>
      <c r="X74" s="55">
        <f t="shared" ca="1" si="12"/>
        <v>44.593412991878132</v>
      </c>
      <c r="Y74" s="55">
        <f t="shared" ca="1" si="13"/>
        <v>86.227078089977951</v>
      </c>
      <c r="Z74">
        <f ca="1">VLOOKUP(S74,ModelOutputs,10,FALSE)*AWC</f>
        <v>120</v>
      </c>
      <c r="AA74">
        <f t="shared" ca="1" si="14"/>
        <v>46.004305577470127</v>
      </c>
      <c r="AB74">
        <f t="shared" ca="1" si="3"/>
        <v>0</v>
      </c>
      <c r="AC74">
        <f t="shared" ca="1" si="4"/>
        <v>0.9978052157126609</v>
      </c>
      <c r="AD74" s="83">
        <f ca="1"/>
        <v>45560</v>
      </c>
      <c r="AE74" s="55">
        <f t="shared" ca="1" si="16"/>
        <v>45560</v>
      </c>
      <c r="AF74" s="55">
        <f t="shared" ca="1" si="17"/>
        <v>91.519032801546359</v>
      </c>
      <c r="AG74" s="55">
        <f t="shared" ca="1" si="18"/>
        <v>7.5585256143899153</v>
      </c>
      <c r="AH74" s="55">
        <f t="shared" ca="1" si="19"/>
        <v>0</v>
      </c>
      <c r="AI74" s="55">
        <f ca="1">-VLOOKUP(AE74,ModelOutputs,9,FALSE)+AI73</f>
        <v>-49.201333949325324</v>
      </c>
      <c r="AJ74" s="55">
        <f ca="1">VLOOKUP(AE74,ModelOutputs,5,FALSE)+AJ73</f>
        <v>31.750910959815425</v>
      </c>
      <c r="AK74" s="55">
        <f ca="1">VLOOKUP(AE74,ModelOutputs,4,FALSE)+AK73</f>
        <v>86.032844257373284</v>
      </c>
    </row>
    <row r="75" spans="2:37">
      <c r="R75" s="83">
        <f ca="1"/>
        <v>45420</v>
      </c>
      <c r="S75" s="55">
        <f t="shared" ca="1" si="10"/>
        <v>45420</v>
      </c>
      <c r="T75" s="55">
        <f t="shared" ca="1" si="0"/>
        <v>105.0978097800991</v>
      </c>
      <c r="U75" s="55">
        <f t="shared" ca="1" si="1"/>
        <v>42.208313771512906</v>
      </c>
      <c r="V75" s="55">
        <f t="shared" ca="1" si="2"/>
        <v>0</v>
      </c>
      <c r="W75" s="55">
        <f t="shared" ca="1" si="11"/>
        <v>-41.333705127918016</v>
      </c>
      <c r="X75" s="55">
        <f t="shared" ca="1" si="12"/>
        <v>45.387038325818594</v>
      </c>
      <c r="Y75" s="55">
        <f t="shared" ca="1" si="13"/>
        <v>86.242845710266522</v>
      </c>
      <c r="Z75">
        <f ca="1">VLOOKUP(S75,ModelOutputs,10,FALSE)*AWC</f>
        <v>119.719956319178</v>
      </c>
      <c r="AA75">
        <f t="shared" ca="1" si="14"/>
        <v>46.004305577470127</v>
      </c>
      <c r="AB75">
        <f t="shared" ca="1" si="3"/>
        <v>0</v>
      </c>
      <c r="AC75">
        <f t="shared" ca="1" si="4"/>
        <v>0.99831107969769994</v>
      </c>
      <c r="AD75" s="83">
        <f ca="1"/>
        <v>45561</v>
      </c>
      <c r="AE75" s="55">
        <f t="shared" ca="1" si="16"/>
        <v>45561</v>
      </c>
      <c r="AF75" s="55">
        <f t="shared" ca="1" si="17"/>
        <v>91.98046526804518</v>
      </c>
      <c r="AG75" s="55">
        <f t="shared" ca="1" si="18"/>
        <v>7.8032653705314781</v>
      </c>
      <c r="AH75" s="55">
        <f t="shared" ca="1" si="19"/>
        <v>0</v>
      </c>
      <c r="AI75" s="55">
        <f ca="1">-VLOOKUP(AE75,ModelOutputs,9,FALSE)+AI74</f>
        <v>-49.201333949325324</v>
      </c>
      <c r="AJ75" s="55">
        <f ca="1">VLOOKUP(AE75,ModelOutputs,5,FALSE)+AJ74</f>
        <v>32.397785203864736</v>
      </c>
      <c r="AK75" s="55">
        <f ca="1">VLOOKUP(AE75,ModelOutputs,4,FALSE)+AK74</f>
        <v>86.09214223596436</v>
      </c>
    </row>
    <row r="76" spans="2:37">
      <c r="R76" s="83">
        <f ca="1"/>
        <v>45421</v>
      </c>
      <c r="S76" s="55">
        <f t="shared" ca="1" si="10"/>
        <v>45421</v>
      </c>
      <c r="T76" s="55">
        <f t="shared" ca="1" si="0"/>
        <v>104.12663870083178</v>
      </c>
      <c r="U76" s="55">
        <f t="shared" ca="1" si="1"/>
        <v>43.785877167038663</v>
      </c>
      <c r="V76" s="55">
        <f t="shared" ca="1" si="2"/>
        <v>0</v>
      </c>
      <c r="W76" s="55">
        <f t="shared" ca="1" si="11"/>
        <v>-41.511469515588708</v>
      </c>
      <c r="X76" s="55">
        <f t="shared" ca="1" si="12"/>
        <v>46.156612539225165</v>
      </c>
      <c r="Y76" s="55">
        <f t="shared" ca="1" si="13"/>
        <v>86.257428200789079</v>
      </c>
      <c r="Z76">
        <f ca="1">VLOOKUP(S76,ModelOutputs,10,FALSE)*AWC</f>
        <v>120</v>
      </c>
      <c r="AA76">
        <f t="shared" ca="1" si="14"/>
        <v>46.24690685035501</v>
      </c>
      <c r="AB76">
        <f t="shared" ca="1" si="3"/>
        <v>0</v>
      </c>
      <c r="AC76">
        <f t="shared" ca="1" si="4"/>
        <v>0.99869181494683945</v>
      </c>
      <c r="AD76" s="83">
        <f ca="1"/>
        <v>45562</v>
      </c>
      <c r="AE76" s="55">
        <f t="shared" ca="1" si="16"/>
        <v>45562</v>
      </c>
      <c r="AF76" s="55">
        <f t="shared" ca="1" si="17"/>
        <v>92.458277960744908</v>
      </c>
      <c r="AG76" s="55">
        <f t="shared" ca="1" si="18"/>
        <v>8.0612233195056291</v>
      </c>
      <c r="AH76" s="55">
        <f t="shared" ca="1" si="19"/>
        <v>0</v>
      </c>
      <c r="AI76" s="55">
        <f ca="1">-VLOOKUP(AE76,ModelOutputs,9,FALSE)+AI75</f>
        <v>-49.201333949325324</v>
      </c>
      <c r="AJ76" s="55">
        <f ca="1">VLOOKUP(AE76,ModelOutputs,5,FALSE)+AJ75</f>
        <v>33.076939743261086</v>
      </c>
      <c r="AK76" s="55">
        <f ca="1">VLOOKUP(AE76,ModelOutputs,4,FALSE)+AK75</f>
        <v>86.14875833824189</v>
      </c>
    </row>
    <row r="77" spans="2:37">
      <c r="R77" s="83">
        <f ca="1"/>
        <v>45422</v>
      </c>
      <c r="S77" s="55">
        <f t="shared" ca="1" si="10"/>
        <v>45422</v>
      </c>
      <c r="T77" s="55">
        <f t="shared" ca="1" si="0"/>
        <v>101.43470539203918</v>
      </c>
      <c r="U77" s="55">
        <f t="shared" ca="1" si="1"/>
        <v>45.337971740551701</v>
      </c>
      <c r="V77" s="55">
        <f t="shared" ca="1" si="2"/>
        <v>0</v>
      </c>
      <c r="W77" s="55">
        <f t="shared" ca="1" si="11"/>
        <v>-43.392191805231725</v>
      </c>
      <c r="X77" s="55">
        <f t="shared" ca="1" si="12"/>
        <v>46.884246547280149</v>
      </c>
      <c r="Y77" s="55">
        <f t="shared" ca="1" si="13"/>
        <v>86.270677747097551</v>
      </c>
      <c r="Z77">
        <f ca="1">VLOOKUP(S77,ModelOutputs,10,FALSE)*AWC</f>
        <v>120</v>
      </c>
      <c r="AA77">
        <f t="shared" ca="1" si="14"/>
        <v>48.881710538734573</v>
      </c>
      <c r="AB77">
        <f t="shared" ca="1" si="3"/>
        <v>0</v>
      </c>
      <c r="AC77">
        <f t="shared" ca="1" si="4"/>
        <v>0.99897464405123171</v>
      </c>
      <c r="AD77" s="83">
        <f ca="1"/>
        <v>45563</v>
      </c>
      <c r="AE77" s="55">
        <f t="shared" ca="1" si="16"/>
        <v>45563</v>
      </c>
      <c r="AF77" s="55">
        <f t="shared" ca="1" si="17"/>
        <v>92.937364456100468</v>
      </c>
      <c r="AG77" s="55">
        <f t="shared" ca="1" si="18"/>
        <v>8.3341268279317795</v>
      </c>
      <c r="AH77" s="55">
        <f t="shared" ca="1" si="19"/>
        <v>0</v>
      </c>
      <c r="AI77" s="55">
        <f ca="1">-VLOOKUP(AE77,ModelOutputs,9,FALSE)+AI76</f>
        <v>-49.201333949325324</v>
      </c>
      <c r="AJ77" s="55">
        <f ca="1">VLOOKUP(AE77,ModelOutputs,5,FALSE)+AJ76</f>
        <v>33.776020807679572</v>
      </c>
      <c r="AK77" s="55">
        <f ca="1">VLOOKUP(AE77,ModelOutputs,4,FALSE)+AK76</f>
        <v>86.201667277605111</v>
      </c>
    </row>
    <row r="78" spans="2:37">
      <c r="R78" s="83">
        <f ca="1"/>
        <v>45423</v>
      </c>
      <c r="S78" s="55">
        <f t="shared" ca="1" si="10"/>
        <v>45423</v>
      </c>
      <c r="T78" s="55">
        <f t="shared" ca="1" si="0"/>
        <v>97.174641842765368</v>
      </c>
      <c r="U78" s="55">
        <f t="shared" ca="1" si="1"/>
        <v>46.996032838641312</v>
      </c>
      <c r="V78" s="55">
        <f t="shared" ca="1" si="2"/>
        <v>0</v>
      </c>
      <c r="W78" s="55">
        <f t="shared" ca="1" si="11"/>
        <v>-46.765522826979932</v>
      </c>
      <c r="X78" s="55">
        <f t="shared" ca="1" si="12"/>
        <v>47.642239181270995</v>
      </c>
      <c r="Y78" s="55">
        <f t="shared" ca="1" si="13"/>
        <v>86.284013683670736</v>
      </c>
      <c r="Z78">
        <f ca="1">VLOOKUP(S78,ModelOutputs,10,FALSE)*AWC</f>
        <v>120</v>
      </c>
      <c r="AA78">
        <f t="shared" ca="1" si="14"/>
        <v>53.814768005927164</v>
      </c>
      <c r="AB78">
        <f t="shared" ca="1" si="3"/>
        <v>0</v>
      </c>
      <c r="AC78">
        <f t="shared" ca="1" si="4"/>
        <v>0.99920332091748976</v>
      </c>
      <c r="AD78" s="83">
        <f ca="1"/>
        <v>45564</v>
      </c>
      <c r="AE78" s="55">
        <f t="shared" ca="1" si="16"/>
        <v>45564</v>
      </c>
      <c r="AF78" s="55">
        <f t="shared" ca="1" si="17"/>
        <v>91.540725954072158</v>
      </c>
      <c r="AG78" s="55">
        <f t="shared" ca="1" si="18"/>
        <v>8.6126679883894859</v>
      </c>
      <c r="AH78" s="55">
        <f t="shared" ca="1" si="19"/>
        <v>0</v>
      </c>
      <c r="AI78" s="55">
        <f ca="1">-VLOOKUP(AE78,ModelOutputs,9,FALSE)+AI77</f>
        <v>-51.058001240656189</v>
      </c>
      <c r="AJ78" s="55">
        <f ca="1">VLOOKUP(AE78,ModelOutputs,5,FALSE)+AJ77</f>
        <v>34.467036484453814</v>
      </c>
      <c r="AK78" s="55">
        <f ca="1">VLOOKUP(AE78,ModelOutputs,4,FALSE)+AK77</f>
        <v>86.24922155059113</v>
      </c>
    </row>
    <row r="79" spans="2:37">
      <c r="R79" s="83">
        <f ca="1"/>
        <v>45424</v>
      </c>
      <c r="S79" s="55">
        <f t="shared" ca="1" si="10"/>
        <v>45424</v>
      </c>
      <c r="T79" s="55">
        <f t="shared" ca="1" si="0"/>
        <v>93.750024055934233</v>
      </c>
      <c r="U79" s="55">
        <f t="shared" ca="1" si="1"/>
        <v>48.619835949821642</v>
      </c>
      <c r="V79" s="55">
        <f t="shared" ca="1" si="2"/>
        <v>0</v>
      </c>
      <c r="W79" s="55">
        <f t="shared" ca="1" si="11"/>
        <v>-49.292598630665097</v>
      </c>
      <c r="X79" s="55">
        <f t="shared" ca="1" si="12"/>
        <v>48.356301790974641</v>
      </c>
      <c r="Y79" s="55">
        <f t="shared" ca="1" si="13"/>
        <v>86.296212202001456</v>
      </c>
      <c r="Z79">
        <f ca="1">VLOOKUP(S79,ModelOutputs,10,FALSE)*AWC</f>
        <v>120</v>
      </c>
      <c r="AA79">
        <f t="shared" ca="1" si="14"/>
        <v>57.645281925458228</v>
      </c>
      <c r="AB79">
        <f t="shared" ca="1" si="3"/>
        <v>0</v>
      </c>
      <c r="AC79">
        <f t="shared" ca="1" si="4"/>
        <v>0.99937315834004847</v>
      </c>
      <c r="AD79" s="83">
        <f ca="1"/>
        <v>45565</v>
      </c>
      <c r="AE79" s="55">
        <f t="shared" ca="1" si="16"/>
        <v>45565</v>
      </c>
      <c r="AF79" s="55">
        <f t="shared" ca="1" si="17"/>
        <v>91.95218760836778</v>
      </c>
      <c r="AG79" s="55">
        <f t="shared" ca="1" si="18"/>
        <v>8.8795523015837468</v>
      </c>
      <c r="AH79" s="55">
        <f t="shared" ca="1" si="19"/>
        <v>0</v>
      </c>
      <c r="AI79" s="55">
        <f ca="1">-VLOOKUP(AE79,ModelOutputs,9,FALSE)+AI78</f>
        <v>-51.058001240656189</v>
      </c>
      <c r="AJ79" s="55">
        <f ca="1">VLOOKUP(AE79,ModelOutputs,5,FALSE)+AJ78</f>
        <v>35.105185083593888</v>
      </c>
      <c r="AK79" s="55">
        <f ca="1">VLOOKUP(AE79,ModelOutputs,4,FALSE)+AK78</f>
        <v>86.289418918940925</v>
      </c>
    </row>
    <row r="80" spans="2:37">
      <c r="R80" s="83">
        <f ca="1"/>
        <v>45425</v>
      </c>
      <c r="S80" s="55">
        <f t="shared" ca="1" si="10"/>
        <v>45425</v>
      </c>
      <c r="T80" s="55">
        <f t="shared" ca="1" si="0"/>
        <v>90.456338937300785</v>
      </c>
      <c r="U80" s="55">
        <f t="shared" ca="1" si="1"/>
        <v>50.306894491714004</v>
      </c>
      <c r="V80" s="55">
        <f t="shared" ca="1" si="2"/>
        <v>0</v>
      </c>
      <c r="W80" s="55">
        <f t="shared" ca="1" si="11"/>
        <v>-51.632475119712936</v>
      </c>
      <c r="X80" s="55">
        <f t="shared" ca="1" si="12"/>
        <v>49.077529604267141</v>
      </c>
      <c r="Y80" s="55">
        <f t="shared" ca="1" si="13"/>
        <v>86.308234301015716</v>
      </c>
      <c r="Z80">
        <f ca="1">VLOOKUP(S80,ModelOutputs,10,FALSE)*AWC</f>
        <v>120</v>
      </c>
      <c r="AA80">
        <f t="shared" ca="1" si="14"/>
        <v>61.321185329680567</v>
      </c>
      <c r="AB80">
        <f t="shared" ca="1" si="3"/>
        <v>0</v>
      </c>
      <c r="AC80">
        <f t="shared" ca="1" si="4"/>
        <v>0.99950783876416449</v>
      </c>
      <c r="AD80" s="83">
        <f ca="1"/>
        <v>45566</v>
      </c>
      <c r="AE80" s="55">
        <f t="shared" ca="1" si="16"/>
        <v>45566</v>
      </c>
      <c r="AF80" s="55">
        <f t="shared" ca="1" si="17"/>
        <v>92.337261600650038</v>
      </c>
      <c r="AG80" s="55">
        <f t="shared" ca="1" si="18"/>
        <v>9.1628188202409344</v>
      </c>
      <c r="AH80" s="55">
        <f t="shared" ca="1" si="19"/>
        <v>0</v>
      </c>
      <c r="AI80" s="55">
        <f ca="1">-VLOOKUP(AE80,ModelOutputs,9,FALSE)+AI79</f>
        <v>-51.087989059589816</v>
      </c>
      <c r="AJ80" s="55">
        <f ca="1">VLOOKUP(AE80,ModelOutputs,5,FALSE)+AJ79</f>
        <v>35.765273925408479</v>
      </c>
      <c r="AK80" s="55">
        <f ca="1">VLOOKUP(AE80,ModelOutputs,4,FALSE)+AK79</f>
        <v>86.327658406999404</v>
      </c>
    </row>
    <row r="81" spans="18:37">
      <c r="R81" s="83">
        <f ca="1"/>
        <v>45426</v>
      </c>
      <c r="S81" s="55">
        <f t="shared" ca="1" si="10"/>
        <v>45426</v>
      </c>
      <c r="T81" s="55">
        <f t="shared" ca="1" si="0"/>
        <v>84.87118848498001</v>
      </c>
      <c r="U81" s="55">
        <f t="shared" ca="1" si="1"/>
        <v>52.10805603267756</v>
      </c>
      <c r="V81" s="55">
        <f t="shared" ca="1" si="2"/>
        <v>0</v>
      </c>
      <c r="W81" s="55">
        <f t="shared" ca="1" si="11"/>
        <v>-56.180425588869404</v>
      </c>
      <c r="X81" s="55">
        <f t="shared" ca="1" si="12"/>
        <v>49.829225553756906</v>
      </c>
      <c r="Y81" s="55">
        <f t="shared" ca="1" si="13"/>
        <v>86.320499909325193</v>
      </c>
      <c r="Z81">
        <f ca="1">VLOOKUP(S81,ModelOutputs,10,FALSE)*AWC</f>
        <v>120</v>
      </c>
      <c r="AA81">
        <f t="shared" ca="1" si="14"/>
        <v>68.936109896960858</v>
      </c>
      <c r="AB81">
        <f t="shared" ca="1" si="3"/>
        <v>0</v>
      </c>
      <c r="AC81">
        <f t="shared" ca="1" si="4"/>
        <v>0.99961696451015314</v>
      </c>
      <c r="AD81" s="83">
        <f ca="1"/>
        <v>45567</v>
      </c>
      <c r="AE81" s="55">
        <f t="shared" ca="1" si="16"/>
        <v>45567</v>
      </c>
      <c r="AF81" s="55">
        <f t="shared" ca="1" si="17"/>
        <v>91.720630482638143</v>
      </c>
      <c r="AG81" s="55">
        <f t="shared" ca="1" si="18"/>
        <v>9.4771763861887823</v>
      </c>
      <c r="AH81" s="55">
        <f t="shared" ca="1" si="19"/>
        <v>0</v>
      </c>
      <c r="AI81" s="55">
        <f ca="1">-VLOOKUP(AE81,ModelOutputs,9,FALSE)+AI80</f>
        <v>-52.145918697037857</v>
      </c>
      <c r="AJ81" s="55">
        <f ca="1">VLOOKUP(AE81,ModelOutputs,5,FALSE)+AJ80</f>
        <v>36.482780930758089</v>
      </c>
      <c r="AK81" s="55">
        <f ca="1">VLOOKUP(AE81,ModelOutputs,4,FALSE)+AK80</f>
        <v>86.365807487033777</v>
      </c>
    </row>
    <row r="82" spans="18:37">
      <c r="R82" s="83">
        <f ca="1"/>
        <v>45427</v>
      </c>
      <c r="S82" s="55">
        <f t="shared" ca="1" si="10"/>
        <v>45427</v>
      </c>
      <c r="T82" s="55">
        <f t="shared" ref="T82:T145" ca="1" si="23">VLOOKUP(S82,ModelOutputs,2,FALSE)</f>
        <v>81.73679004883499</v>
      </c>
      <c r="U82" s="55">
        <f t="shared" ref="U82:U145" ca="1" si="24">VLOOKUP(S82,ModelOutputs,7,FALSE)</f>
        <v>53.879730240940091</v>
      </c>
      <c r="V82" s="55">
        <f t="shared" ref="V82:V145" ca="1" si="25">VLOOKUP(S82,ModelOutputs,6,FALSE)</f>
        <v>0</v>
      </c>
      <c r="W82" s="55">
        <f t="shared" ca="1" si="11"/>
        <v>-58.267315905289351</v>
      </c>
      <c r="X82" s="55">
        <f t="shared" ca="1" si="12"/>
        <v>50.541966122918673</v>
      </c>
      <c r="Y82" s="55">
        <f t="shared" ca="1" si="13"/>
        <v>86.331925428700885</v>
      </c>
      <c r="Z82">
        <f ca="1">VLOOKUP(S82,ModelOutputs,10,FALSE)*AWC</f>
        <v>120</v>
      </c>
      <c r="AA82">
        <f t="shared" ca="1" si="14"/>
        <v>72.564318166692715</v>
      </c>
      <c r="AB82">
        <f t="shared" ref="AB82:AB145" ca="1" si="26">VLOOKUP(S82,ModelOutputs,12,FALSE)</f>
        <v>0</v>
      </c>
      <c r="AC82">
        <f t="shared" ref="AC82:AC145" ca="1" si="27">VLOOKUP(S82,ModelOutputs,13,FALSE)</f>
        <v>0.99969853040318479</v>
      </c>
      <c r="AD82" s="83">
        <f ca="1"/>
        <v>45568</v>
      </c>
      <c r="AE82" s="55">
        <f t="shared" ca="1" si="16"/>
        <v>45568</v>
      </c>
      <c r="AF82" s="55">
        <f t="shared" ca="1" si="17"/>
        <v>92.109793773713832</v>
      </c>
      <c r="AG82" s="55">
        <f t="shared" ca="1" si="18"/>
        <v>9.7762039860883085</v>
      </c>
      <c r="AH82" s="55">
        <f t="shared" ca="1" si="19"/>
        <v>0</v>
      </c>
      <c r="AI82" s="55">
        <f ca="1">-VLOOKUP(AE82,ModelOutputs,9,FALSE)+AI81</f>
        <v>-52.145918697037857</v>
      </c>
      <c r="AJ82" s="55">
        <f ca="1">VLOOKUP(AE82,ModelOutputs,5,FALSE)+AJ81</f>
        <v>37.138846143079498</v>
      </c>
      <c r="AK82" s="55">
        <f ca="1">VLOOKUP(AE82,ModelOutputs,4,FALSE)+AK81</f>
        <v>86.39793316568759</v>
      </c>
    </row>
    <row r="83" spans="18:37">
      <c r="R83" s="83">
        <f ca="1"/>
        <v>45428</v>
      </c>
      <c r="S83" s="55">
        <f t="shared" ref="S83:S146" ca="1" si="28">IF(R83&gt;1,R83,"")</f>
        <v>45428</v>
      </c>
      <c r="T83" s="55">
        <f t="shared" ca="1" si="23"/>
        <v>79.343473326322965</v>
      </c>
      <c r="U83" s="55">
        <f t="shared" ca="1" si="24"/>
        <v>55.612074567802253</v>
      </c>
      <c r="V83" s="55">
        <f t="shared" ca="1" si="25"/>
        <v>0</v>
      </c>
      <c r="W83" s="55">
        <f t="shared" ref="W83:W146" ca="1" si="29">-VLOOKUP(S83,ModelOutputs,9,FALSE)+W82</f>
        <v>-59.612462839994635</v>
      </c>
      <c r="X83" s="55">
        <f t="shared" ref="X83:X146" ca="1" si="30">VLOOKUP(S83,ModelOutputs,5,FALSE)+X82</f>
        <v>51.215493005735659</v>
      </c>
      <c r="Y83" s="55">
        <f t="shared" ref="Y83:Y146" ca="1" si="31">VLOOKUP(S83,ModelOutputs,4,FALSE)+Y82</f>
        <v>86.342573084939318</v>
      </c>
      <c r="Z83">
        <f ca="1">VLOOKUP(S83,ModelOutputs,10,FALSE)*AWC</f>
        <v>120</v>
      </c>
      <c r="AA83">
        <f t="shared" ref="AA83:AA146" ca="1" si="32">VLOOKUP(S83,ModelOutputs,11,FALSE)+AA82</f>
        <v>74.973495016767828</v>
      </c>
      <c r="AB83">
        <f t="shared" ca="1" si="26"/>
        <v>0</v>
      </c>
      <c r="AC83">
        <f t="shared" ca="1" si="27"/>
        <v>0.99975993642477679</v>
      </c>
      <c r="AD83" s="83">
        <f ca="1"/>
        <v>45569</v>
      </c>
      <c r="AE83" s="55">
        <f t="shared" ca="1" si="16"/>
        <v>45569</v>
      </c>
      <c r="AF83" s="55">
        <f t="shared" ca="1" si="17"/>
        <v>92.486034201303156</v>
      </c>
      <c r="AG83" s="55">
        <f t="shared" ca="1" si="18"/>
        <v>10.082425699197985</v>
      </c>
      <c r="AH83" s="55">
        <f t="shared" ca="1" si="19"/>
        <v>0</v>
      </c>
      <c r="AI83" s="55">
        <f ca="1">-VLOOKUP(AE83,ModelOutputs,9,FALSE)+AI82</f>
        <v>-52.145918697037857</v>
      </c>
      <c r="AJ83" s="55">
        <f ca="1">VLOOKUP(AE83,ModelOutputs,5,FALSE)+AJ82</f>
        <v>37.791653456632268</v>
      </c>
      <c r="AK83" s="55">
        <f ca="1">VLOOKUP(AE83,ModelOutputs,4,FALSE)+AK82</f>
        <v>86.427587992833821</v>
      </c>
    </row>
    <row r="84" spans="18:37">
      <c r="R84" s="83">
        <f ca="1"/>
        <v>45429</v>
      </c>
      <c r="S84" s="55">
        <f t="shared" ca="1" si="28"/>
        <v>45429</v>
      </c>
      <c r="T84" s="55">
        <f t="shared" ca="1" si="23"/>
        <v>77.602140832830074</v>
      </c>
      <c r="U84" s="55">
        <f t="shared" ca="1" si="24"/>
        <v>57.296803449209989</v>
      </c>
      <c r="V84" s="55">
        <f t="shared" ca="1" si="25"/>
        <v>0</v>
      </c>
      <c r="W84" s="55">
        <f t="shared" ca="1" si="29"/>
        <v>-60.313942370385277</v>
      </c>
      <c r="X84" s="55">
        <f t="shared" ca="1" si="30"/>
        <v>51.850439688872981</v>
      </c>
      <c r="Y84" s="55">
        <f t="shared" ca="1" si="31"/>
        <v>86.35250232010749</v>
      </c>
      <c r="Z84">
        <f ca="1">VLOOKUP(S84,ModelOutputs,10,FALSE)*AWC</f>
        <v>120</v>
      </c>
      <c r="AA84">
        <f t="shared" ca="1" si="32"/>
        <v>76.258046347391257</v>
      </c>
      <c r="AB84">
        <f t="shared" ca="1" si="26"/>
        <v>0</v>
      </c>
      <c r="AC84">
        <f t="shared" ca="1" si="27"/>
        <v>0.99980654023365523</v>
      </c>
      <c r="AD84" s="83">
        <f ca="1"/>
        <v>45570</v>
      </c>
      <c r="AE84" s="55">
        <f t="shared" ca="1" si="16"/>
        <v>45570</v>
      </c>
      <c r="AF84" s="55">
        <f t="shared" ca="1" si="17"/>
        <v>92.846221967971971</v>
      </c>
      <c r="AG84" s="55">
        <f t="shared" ca="1" si="18"/>
        <v>10.395692520355979</v>
      </c>
      <c r="AH84" s="55">
        <f t="shared" ca="1" si="19"/>
        <v>0</v>
      </c>
      <c r="AI84" s="55">
        <f ca="1">-VLOOKUP(AE84,ModelOutputs,9,FALSE)+AI83</f>
        <v>-52.145918697037857</v>
      </c>
      <c r="AJ84" s="55">
        <f ca="1">VLOOKUP(AE84,ModelOutputs,5,FALSE)+AJ83</f>
        <v>38.437771452914788</v>
      </c>
      <c r="AK84" s="55">
        <f ca="1">VLOOKUP(AE84,ModelOutputs,4,FALSE)+AK83</f>
        <v>86.454924584378119</v>
      </c>
    </row>
    <row r="85" spans="18:37">
      <c r="R85" s="83">
        <f ca="1"/>
        <v>45430</v>
      </c>
      <c r="S85" s="55">
        <f t="shared" ca="1" si="28"/>
        <v>45430</v>
      </c>
      <c r="T85" s="55">
        <f t="shared" ca="1" si="23"/>
        <v>75.928597964283924</v>
      </c>
      <c r="U85" s="55">
        <f t="shared" ca="1" si="24"/>
        <v>59.070710846899978</v>
      </c>
      <c r="V85" s="55">
        <f t="shared" ca="1" si="25"/>
        <v>0</v>
      </c>
      <c r="W85" s="55">
        <f t="shared" ca="1" si="29"/>
        <v>-60.877012677948642</v>
      </c>
      <c r="X85" s="55">
        <f t="shared" ca="1" si="30"/>
        <v>52.503747558500997</v>
      </c>
      <c r="Y85" s="55">
        <f t="shared" ca="1" si="31"/>
        <v>86.362629287186678</v>
      </c>
      <c r="Z85">
        <f ca="1">VLOOKUP(S85,ModelOutputs,10,FALSE)*AWC</f>
        <v>120</v>
      </c>
      <c r="AA85">
        <f t="shared" ca="1" si="32"/>
        <v>77.311868706528287</v>
      </c>
      <c r="AB85">
        <f t="shared" ca="1" si="26"/>
        <v>0</v>
      </c>
      <c r="AC85">
        <f t="shared" ca="1" si="27"/>
        <v>0.99984499042112329</v>
      </c>
      <c r="AD85" s="83">
        <f ca="1"/>
        <v>45571</v>
      </c>
      <c r="AE85" s="55">
        <f t="shared" ref="AE85:AE148" ca="1" si="33">IF(AD85&gt;1,AD85,"")</f>
        <v>45571</v>
      </c>
      <c r="AF85" s="55">
        <f t="shared" ref="AF85:AF148" ca="1" si="34">VLOOKUP(AE85,ModelOutputs,2,FALSE)</f>
        <v>93.190579743787467</v>
      </c>
      <c r="AG85" s="55">
        <f t="shared" ref="AG85:AG148" ca="1" si="35">VLOOKUP(AE85,ModelOutputs,7,FALSE)</f>
        <v>10.72606337734724</v>
      </c>
      <c r="AH85" s="55">
        <f t="shared" ref="AH85:AH148" ca="1" si="36">VLOOKUP(AE85,ModelOutputs,6,FALSE)</f>
        <v>0</v>
      </c>
      <c r="AI85" s="55">
        <f ca="1">-VLOOKUP(AE85,ModelOutputs,9,FALSE)+AI84</f>
        <v>-52.145918697037857</v>
      </c>
      <c r="AJ85" s="55">
        <f ca="1">VLOOKUP(AE85,ModelOutputs,5,FALSE)+AJ84</f>
        <v>39.086828259914299</v>
      </c>
      <c r="AK85" s="55">
        <f ca="1">VLOOKUP(AE85,ModelOutputs,4,FALSE)+AK84</f>
        <v>86.48059641018537</v>
      </c>
    </row>
    <row r="86" spans="18:37">
      <c r="R86" s="83">
        <f ca="1"/>
        <v>45431</v>
      </c>
      <c r="S86" s="55">
        <f t="shared" ca="1" si="28"/>
        <v>45431</v>
      </c>
      <c r="T86" s="55">
        <f t="shared" ca="1" si="23"/>
        <v>74.785792699276357</v>
      </c>
      <c r="U86" s="55">
        <f t="shared" ca="1" si="24"/>
        <v>60.86827102293627</v>
      </c>
      <c r="V86" s="55">
        <f t="shared" ca="1" si="25"/>
        <v>0</v>
      </c>
      <c r="W86" s="55">
        <f t="shared" ca="1" si="29"/>
        <v>-60.877012677948642</v>
      </c>
      <c r="X86" s="55">
        <f t="shared" ca="1" si="30"/>
        <v>53.148578545699323</v>
      </c>
      <c r="Y86" s="55">
        <f t="shared" ca="1" si="31"/>
        <v>86.372553211017078</v>
      </c>
      <c r="Z86">
        <f ca="1">VLOOKUP(S86,ModelOutputs,10,FALSE)*AWC</f>
        <v>117.89040104912043</v>
      </c>
      <c r="AA86">
        <f t="shared" ca="1" si="32"/>
        <v>77.311868706528287</v>
      </c>
      <c r="AB86">
        <f t="shared" ca="1" si="26"/>
        <v>0</v>
      </c>
      <c r="AC86">
        <f t="shared" ca="1" si="27"/>
        <v>0.99987547161086909</v>
      </c>
      <c r="AD86" s="83">
        <f ca="1"/>
        <v>45572</v>
      </c>
      <c r="AE86" s="55">
        <f t="shared" ca="1" si="33"/>
        <v>45572</v>
      </c>
      <c r="AF86" s="55">
        <f t="shared" ca="1" si="34"/>
        <v>93.5336531776653</v>
      </c>
      <c r="AG86" s="55">
        <f t="shared" ca="1" si="35"/>
        <v>11.058461202146567</v>
      </c>
      <c r="AH86" s="55">
        <f t="shared" ca="1" si="36"/>
        <v>0</v>
      </c>
      <c r="AI86" s="55">
        <f ca="1">-VLOOKUP(AE86,ModelOutputs,9,FALSE)+AI85</f>
        <v>-52.145918697037857</v>
      </c>
      <c r="AJ86" s="55">
        <f ca="1">VLOOKUP(AE86,ModelOutputs,5,FALSE)+AJ85</f>
        <v>39.73813534284578</v>
      </c>
      <c r="AK86" s="55">
        <f ca="1">VLOOKUP(AE86,ModelOutputs,4,FALSE)+AK85</f>
        <v>86.504760585931052</v>
      </c>
    </row>
    <row r="87" spans="18:37">
      <c r="R87" s="83">
        <f ca="1"/>
        <v>45432</v>
      </c>
      <c r="S87" s="55">
        <f t="shared" ca="1" si="28"/>
        <v>45432</v>
      </c>
      <c r="T87" s="55">
        <f t="shared" ca="1" si="23"/>
        <v>73.612610804191718</v>
      </c>
      <c r="U87" s="55">
        <f t="shared" ca="1" si="24"/>
        <v>62.68711536235044</v>
      </c>
      <c r="V87" s="55">
        <f t="shared" ca="1" si="25"/>
        <v>0</v>
      </c>
      <c r="W87" s="55">
        <f t="shared" ca="1" si="29"/>
        <v>-60.877012677948642</v>
      </c>
      <c r="X87" s="55">
        <f t="shared" ca="1" si="30"/>
        <v>53.784509359301516</v>
      </c>
      <c r="Y87" s="55">
        <f t="shared" ca="1" si="31"/>
        <v>86.382284841744422</v>
      </c>
      <c r="Z87">
        <f ca="1">VLOOKUP(S87,ModelOutputs,10,FALSE)*AWC</f>
        <v>119.97772432387507</v>
      </c>
      <c r="AA87">
        <f t="shared" ca="1" si="32"/>
        <v>77.311868706528287</v>
      </c>
      <c r="AB87">
        <f t="shared" ca="1" si="26"/>
        <v>0</v>
      </c>
      <c r="AC87">
        <f t="shared" ca="1" si="27"/>
        <v>0.99989967982643702</v>
      </c>
      <c r="AD87" s="83">
        <f ca="1"/>
        <v>45573</v>
      </c>
      <c r="AE87" s="55">
        <f t="shared" ca="1" si="33"/>
        <v>45573</v>
      </c>
      <c r="AF87" s="55">
        <f t="shared" ca="1" si="34"/>
        <v>93.855031627665056</v>
      </c>
      <c r="AG87" s="55">
        <f t="shared" ca="1" si="35"/>
        <v>11.390163076071014</v>
      </c>
      <c r="AH87" s="55">
        <f t="shared" ca="1" si="36"/>
        <v>0</v>
      </c>
      <c r="AI87" s="55">
        <f ca="1">-VLOOKUP(AE87,ModelOutputs,9,FALSE)+AI86</f>
        <v>-52.145918697037857</v>
      </c>
      <c r="AJ87" s="55">
        <f ca="1">VLOOKUP(AE87,ModelOutputs,5,FALSE)+AJ86</f>
        <v>40.369155049802636</v>
      </c>
      <c r="AK87" s="55">
        <f ca="1">VLOOKUP(AE87,ModelOutputs,4,FALSE)+AK86</f>
        <v>86.52682120289839</v>
      </c>
    </row>
    <row r="88" spans="18:37">
      <c r="R88" s="83">
        <f ca="1"/>
        <v>45433</v>
      </c>
      <c r="S88" s="55">
        <f t="shared" ca="1" si="28"/>
        <v>45433</v>
      </c>
      <c r="T88" s="55">
        <f t="shared" ca="1" si="23"/>
        <v>71.630028061956992</v>
      </c>
      <c r="U88" s="55">
        <f t="shared" ca="1" si="24"/>
        <v>64.31732522784813</v>
      </c>
      <c r="V88" s="55">
        <f t="shared" ca="1" si="25"/>
        <v>0</v>
      </c>
      <c r="W88" s="55">
        <f t="shared" ca="1" si="29"/>
        <v>-61.79237314302317</v>
      </c>
      <c r="X88" s="55">
        <f t="shared" ca="1" si="30"/>
        <v>54.339046269653444</v>
      </c>
      <c r="Y88" s="55">
        <f t="shared" ca="1" si="31"/>
        <v>86.390735519729986</v>
      </c>
      <c r="Z88">
        <f ca="1">VLOOKUP(S88,ModelOutputs,10,FALSE)*AWC</f>
        <v>120</v>
      </c>
      <c r="AA88">
        <f t="shared" ca="1" si="32"/>
        <v>79.127832531940129</v>
      </c>
      <c r="AB88">
        <f t="shared" ca="1" si="26"/>
        <v>0</v>
      </c>
      <c r="AC88">
        <f t="shared" ca="1" si="27"/>
        <v>0.99991699049767668</v>
      </c>
      <c r="AD88" s="83">
        <f ca="1"/>
        <v>45574</v>
      </c>
      <c r="AE88" s="55">
        <f t="shared" ca="1" si="33"/>
        <v>45574</v>
      </c>
      <c r="AF88" s="55">
        <f t="shared" ca="1" si="34"/>
        <v>94.159855817692858</v>
      </c>
      <c r="AG88" s="55">
        <f t="shared" ca="1" si="35"/>
        <v>11.724426116240524</v>
      </c>
      <c r="AH88" s="55">
        <f t="shared" ca="1" si="36"/>
        <v>0</v>
      </c>
      <c r="AI88" s="55">
        <f ca="1">-VLOOKUP(AE88,ModelOutputs,9,FALSE)+AI87</f>
        <v>-52.145918697037857</v>
      </c>
      <c r="AJ88" s="55">
        <f ca="1">VLOOKUP(AE88,ModelOutputs,5,FALSE)+AJ87</f>
        <v>40.987759316002283</v>
      </c>
      <c r="AK88" s="55">
        <f ca="1">VLOOKUP(AE88,ModelOutputs,4,FALSE)+AK87</f>
        <v>86.547304166896055</v>
      </c>
    </row>
    <row r="89" spans="18:37">
      <c r="R89" s="83">
        <f ca="1"/>
        <v>45434</v>
      </c>
      <c r="S89" s="55">
        <f t="shared" ca="1" si="28"/>
        <v>45434</v>
      </c>
      <c r="T89" s="55">
        <f t="shared" ca="1" si="23"/>
        <v>69.560354592484359</v>
      </c>
      <c r="U89" s="55">
        <f t="shared" ca="1" si="24"/>
        <v>66.075722067053718</v>
      </c>
      <c r="V89" s="55">
        <f t="shared" ca="1" si="25"/>
        <v>0</v>
      </c>
      <c r="W89" s="55">
        <f t="shared" ca="1" si="29"/>
        <v>-62.698332209701121</v>
      </c>
      <c r="X89" s="55">
        <f t="shared" ca="1" si="30"/>
        <v>54.924829771462591</v>
      </c>
      <c r="Y89" s="55">
        <f t="shared" ca="1" si="31"/>
        <v>86.399634454331746</v>
      </c>
      <c r="Z89">
        <f ca="1">VLOOKUP(S89,ModelOutputs,10,FALSE)*AWC</f>
        <v>120</v>
      </c>
      <c r="AA89">
        <f t="shared" ca="1" si="32"/>
        <v>80.978621711132462</v>
      </c>
      <c r="AB89">
        <f t="shared" ca="1" si="26"/>
        <v>0</v>
      </c>
      <c r="AC89">
        <f t="shared" ca="1" si="27"/>
        <v>0.99993203509911732</v>
      </c>
      <c r="AD89" s="83">
        <f ca="1"/>
        <v>45575</v>
      </c>
      <c r="AE89" s="55">
        <f t="shared" ca="1" si="33"/>
        <v>45575</v>
      </c>
      <c r="AF89" s="55">
        <f t="shared" ca="1" si="34"/>
        <v>94.378923581925363</v>
      </c>
      <c r="AG89" s="55">
        <f t="shared" ca="1" si="35"/>
        <v>12.102808065590867</v>
      </c>
      <c r="AH89" s="55">
        <f t="shared" ca="1" si="36"/>
        <v>0</v>
      </c>
      <c r="AI89" s="55">
        <f ca="1">-VLOOKUP(AE89,ModelOutputs,9,FALSE)+AI88</f>
        <v>-52.257715330570186</v>
      </c>
      <c r="AJ89" s="55">
        <f ca="1">VLOOKUP(AE89,ModelOutputs,5,FALSE)+AJ88</f>
        <v>41.675409998837175</v>
      </c>
      <c r="AK89" s="55">
        <f ca="1">VLOOKUP(AE89,ModelOutputs,4,FALSE)+AK88</f>
        <v>86.568899831176338</v>
      </c>
    </row>
    <row r="90" spans="18:37">
      <c r="R90" s="83">
        <f ca="1"/>
        <v>45435</v>
      </c>
      <c r="S90" s="55">
        <f t="shared" ca="1" si="28"/>
        <v>45435</v>
      </c>
      <c r="T90" s="55">
        <f t="shared" ca="1" si="23"/>
        <v>66.160899315818298</v>
      </c>
      <c r="U90" s="55">
        <f t="shared" ca="1" si="24"/>
        <v>67.9137743542218</v>
      </c>
      <c r="V90" s="55">
        <f t="shared" ca="1" si="25"/>
        <v>0</v>
      </c>
      <c r="W90" s="55">
        <f t="shared" ca="1" si="29"/>
        <v>-64.868259282215931</v>
      </c>
      <c r="X90" s="55">
        <f t="shared" ca="1" si="30"/>
        <v>55.524270174591891</v>
      </c>
      <c r="Y90" s="55">
        <f t="shared" ca="1" si="31"/>
        <v>86.408718134219271</v>
      </c>
      <c r="Z90">
        <f ca="1">VLOOKUP(S90,ModelOutputs,10,FALSE)*AWC</f>
        <v>120</v>
      </c>
      <c r="AA90">
        <f t="shared" ca="1" si="32"/>
        <v>85.639351248698361</v>
      </c>
      <c r="AB90">
        <f t="shared" ca="1" si="26"/>
        <v>0</v>
      </c>
      <c r="AC90">
        <f t="shared" ca="1" si="27"/>
        <v>0.9999446029624085</v>
      </c>
      <c r="AD90" s="83">
        <f ca="1"/>
        <v>45576</v>
      </c>
      <c r="AE90" s="55">
        <f t="shared" ca="1" si="33"/>
        <v>45576</v>
      </c>
      <c r="AF90" s="55">
        <f t="shared" ca="1" si="34"/>
        <v>94.701077314802944</v>
      </c>
      <c r="AG90" s="55">
        <f t="shared" ca="1" si="35"/>
        <v>12.495216276076967</v>
      </c>
      <c r="AH90" s="55">
        <f t="shared" ca="1" si="36"/>
        <v>0</v>
      </c>
      <c r="AI90" s="55">
        <f ca="1">-VLOOKUP(AE90,ModelOutputs,9,FALSE)+AI89</f>
        <v>-52.257715330570186</v>
      </c>
      <c r="AJ90" s="55">
        <f ca="1">VLOOKUP(AE90,ModelOutputs,5,FALSE)+AJ89</f>
        <v>42.369280944339565</v>
      </c>
      <c r="AK90" s="55">
        <f ca="1">VLOOKUP(AE90,ModelOutputs,4,FALSE)+AK89</f>
        <v>86.589590829037633</v>
      </c>
    </row>
    <row r="91" spans="18:37">
      <c r="R91" s="83">
        <f ca="1"/>
        <v>45436</v>
      </c>
      <c r="S91" s="55">
        <f t="shared" ca="1" si="28"/>
        <v>45436</v>
      </c>
      <c r="T91" s="55">
        <f t="shared" ca="1" si="23"/>
        <v>63.934361305887748</v>
      </c>
      <c r="U91" s="55">
        <f t="shared" ca="1" si="24"/>
        <v>69.755270813823316</v>
      </c>
      <c r="V91" s="55">
        <f t="shared" ca="1" si="25"/>
        <v>0</v>
      </c>
      <c r="W91" s="55">
        <f t="shared" ca="1" si="29"/>
        <v>-65.849369487894222</v>
      </c>
      <c r="X91" s="55">
        <f t="shared" ca="1" si="30"/>
        <v>56.111457249494443</v>
      </c>
      <c r="Y91" s="55">
        <f t="shared" ca="1" si="31"/>
        <v>86.417599714665968</v>
      </c>
      <c r="Z91">
        <f ca="1">VLOOKUP(S91,ModelOutputs,10,FALSE)*AWC</f>
        <v>120</v>
      </c>
      <c r="AA91">
        <f t="shared" ca="1" si="32"/>
        <v>87.820039709755548</v>
      </c>
      <c r="AB91">
        <f t="shared" ca="1" si="26"/>
        <v>0</v>
      </c>
      <c r="AC91">
        <f t="shared" ca="1" si="27"/>
        <v>0.99995466442568592</v>
      </c>
      <c r="AD91" s="83">
        <f ca="1"/>
        <v>45577</v>
      </c>
      <c r="AE91" s="55">
        <f t="shared" ca="1" si="33"/>
        <v>45577</v>
      </c>
      <c r="AF91" s="55">
        <f t="shared" ca="1" si="34"/>
        <v>94.997666339053566</v>
      </c>
      <c r="AG91" s="55">
        <f t="shared" ca="1" si="35"/>
        <v>12.884778374105325</v>
      </c>
      <c r="AH91" s="55">
        <f t="shared" ca="1" si="36"/>
        <v>0</v>
      </c>
      <c r="AI91" s="55">
        <f ca="1">-VLOOKUP(AE91,ModelOutputs,9,FALSE)+AI90</f>
        <v>-52.257715330570186</v>
      </c>
      <c r="AJ91" s="55">
        <f ca="1">VLOOKUP(AE91,ModelOutputs,5,FALSE)+AJ90</f>
        <v>43.036448101798676</v>
      </c>
      <c r="AK91" s="55">
        <f ca="1">VLOOKUP(AE91,ModelOutputs,4,FALSE)+AK90</f>
        <v>86.608574793857514</v>
      </c>
    </row>
    <row r="92" spans="18:37">
      <c r="R92" s="83">
        <f ca="1"/>
        <v>45437</v>
      </c>
      <c r="S92" s="55">
        <f t="shared" ca="1" si="28"/>
        <v>45437</v>
      </c>
      <c r="T92" s="55">
        <f t="shared" ca="1" si="23"/>
        <v>60.420819000674385</v>
      </c>
      <c r="U92" s="55">
        <f t="shared" ca="1" si="24"/>
        <v>71.709999167382733</v>
      </c>
      <c r="V92" s="55">
        <f t="shared" ca="1" si="25"/>
        <v>0</v>
      </c>
      <c r="W92" s="55">
        <f t="shared" ca="1" si="29"/>
        <v>-68.028304693832865</v>
      </c>
      <c r="X92" s="55">
        <f t="shared" ca="1" si="30"/>
        <v>56.7223504124198</v>
      </c>
      <c r="Y92" s="55">
        <f t="shared" ca="1" si="31"/>
        <v>86.426827806025315</v>
      </c>
      <c r="Z92">
        <f ca="1">VLOOKUP(S92,ModelOutputs,10,FALSE)*AWC</f>
        <v>120</v>
      </c>
      <c r="AA92">
        <f t="shared" ca="1" si="32"/>
        <v>92.944732919234497</v>
      </c>
      <c r="AB92">
        <f t="shared" ca="1" si="26"/>
        <v>0</v>
      </c>
      <c r="AC92">
        <f t="shared" ca="1" si="27"/>
        <v>0.99996318522453498</v>
      </c>
      <c r="AD92" s="83">
        <f ca="1"/>
        <v>45578</v>
      </c>
      <c r="AE92" s="55">
        <f t="shared" ca="1" si="33"/>
        <v>45578</v>
      </c>
      <c r="AF92" s="55">
        <f t="shared" ca="1" si="34"/>
        <v>94.392571083577764</v>
      </c>
      <c r="AG92" s="55">
        <f t="shared" ca="1" si="35"/>
        <v>13.306097323623796</v>
      </c>
      <c r="AH92" s="55">
        <f t="shared" ca="1" si="36"/>
        <v>0</v>
      </c>
      <c r="AI92" s="55">
        <f ca="1">-VLOOKUP(AE92,ModelOutputs,9,FALSE)+AI91</f>
        <v>-53.166890296060679</v>
      </c>
      <c r="AJ92" s="55">
        <f ca="1">VLOOKUP(AE92,ModelOutputs,5,FALSE)+AJ91</f>
        <v>43.74260117902022</v>
      </c>
      <c r="AK92" s="55">
        <f ca="1">VLOOKUP(AE92,ModelOutputs,4,FALSE)+AK91</f>
        <v>86.627820376169126</v>
      </c>
    </row>
    <row r="93" spans="18:37">
      <c r="R93" s="83">
        <f ca="1"/>
        <v>45438</v>
      </c>
      <c r="S93" s="55">
        <f t="shared" ca="1" si="28"/>
        <v>45438</v>
      </c>
      <c r="T93" s="55">
        <f t="shared" ca="1" si="23"/>
        <v>58.41542231457958</v>
      </c>
      <c r="U93" s="55">
        <f t="shared" ca="1" si="24"/>
        <v>73.596525393936204</v>
      </c>
      <c r="V93" s="55">
        <f t="shared" ca="1" si="25"/>
        <v>0</v>
      </c>
      <c r="W93" s="55">
        <f t="shared" ca="1" si="29"/>
        <v>-68.731886944048242</v>
      </c>
      <c r="X93" s="55">
        <f t="shared" ca="1" si="30"/>
        <v>57.298368288254807</v>
      </c>
      <c r="Y93" s="55">
        <f t="shared" ca="1" si="31"/>
        <v>86.435521720864344</v>
      </c>
      <c r="Z93">
        <f ca="1">VLOOKUP(S93,ModelOutputs,10,FALSE)*AWC</f>
        <v>120</v>
      </c>
      <c r="AA93">
        <f t="shared" ca="1" si="32"/>
        <v>94.656314156833886</v>
      </c>
      <c r="AB93">
        <f t="shared" ca="1" si="26"/>
        <v>0</v>
      </c>
      <c r="AC93">
        <f t="shared" ca="1" si="27"/>
        <v>0.99996975940838795</v>
      </c>
      <c r="AD93" s="83">
        <f ca="1"/>
        <v>45579</v>
      </c>
      <c r="AE93" s="55">
        <f t="shared" ca="1" si="33"/>
        <v>45579</v>
      </c>
      <c r="AF93" s="55">
        <f t="shared" ca="1" si="34"/>
        <v>93.473668367081473</v>
      </c>
      <c r="AG93" s="55">
        <f t="shared" ca="1" si="35"/>
        <v>13.736484846365855</v>
      </c>
      <c r="AH93" s="55">
        <f t="shared" ca="1" si="36"/>
        <v>0</v>
      </c>
      <c r="AI93" s="55">
        <f ca="1">-VLOOKUP(AE93,ModelOutputs,9,FALSE)+AI92</f>
        <v>-54.374400579369883</v>
      </c>
      <c r="AJ93" s="55">
        <f ca="1">VLOOKUP(AE93,ModelOutputs,5,FALSE)+AJ92</f>
        <v>44.443249992303414</v>
      </c>
      <c r="AK93" s="55">
        <f ca="1">VLOOKUP(AE93,ModelOutputs,4,FALSE)+AK92</f>
        <v>86.646166652440911</v>
      </c>
    </row>
    <row r="94" spans="18:37">
      <c r="R94" s="83">
        <f ca="1"/>
        <v>45439</v>
      </c>
      <c r="S94" s="55">
        <f t="shared" ca="1" si="28"/>
        <v>45439</v>
      </c>
      <c r="T94" s="55">
        <f t="shared" ca="1" si="23"/>
        <v>56.408355475507236</v>
      </c>
      <c r="U94" s="55">
        <f t="shared" ca="1" si="24"/>
        <v>75.469638787093572</v>
      </c>
      <c r="V94" s="55">
        <f t="shared" ca="1" si="25"/>
        <v>0</v>
      </c>
      <c r="W94" s="55">
        <f t="shared" ca="1" si="29"/>
        <v>-69.434721679100903</v>
      </c>
      <c r="X94" s="55">
        <f t="shared" ca="1" si="30"/>
        <v>57.858794944940854</v>
      </c>
      <c r="Y94" s="55">
        <f t="shared" ca="1" si="31"/>
        <v>86.443976353315975</v>
      </c>
      <c r="Z94">
        <f ca="1">VLOOKUP(S94,ModelOutputs,10,FALSE)*AWC</f>
        <v>120</v>
      </c>
      <c r="AA94">
        <f t="shared" ca="1" si="32"/>
        <v>96.426912043250439</v>
      </c>
      <c r="AB94">
        <f t="shared" ca="1" si="26"/>
        <v>0</v>
      </c>
      <c r="AC94">
        <f t="shared" ca="1" si="27"/>
        <v>0.99997502826715612</v>
      </c>
      <c r="AD94" s="83">
        <f ca="1"/>
        <v>45580</v>
      </c>
      <c r="AE94" s="55">
        <f t="shared" ca="1" si="33"/>
        <v>45580</v>
      </c>
      <c r="AF94" s="55">
        <f t="shared" ca="1" si="34"/>
        <v>93.739000338794511</v>
      </c>
      <c r="AG94" s="55">
        <f t="shared" ca="1" si="35"/>
        <v>14.165897156085087</v>
      </c>
      <c r="AH94" s="55">
        <f t="shared" ca="1" si="36"/>
        <v>0</v>
      </c>
      <c r="AI94" s="55">
        <f ca="1">-VLOOKUP(AE94,ModelOutputs,9,FALSE)+AI93</f>
        <v>-54.374400579369883</v>
      </c>
      <c r="AJ94" s="55">
        <f ca="1">VLOOKUP(AE94,ModelOutputs,5,FALSE)+AJ93</f>
        <v>45.120866827060169</v>
      </c>
      <c r="AK94" s="55">
        <f ca="1">VLOOKUP(AE94,ModelOutputs,4,FALSE)+AK93</f>
        <v>86.663294099116428</v>
      </c>
    </row>
    <row r="95" spans="18:37">
      <c r="R95" s="83">
        <f ca="1"/>
        <v>45440</v>
      </c>
      <c r="S95" s="55">
        <f t="shared" ca="1" si="28"/>
        <v>45440</v>
      </c>
      <c r="T95" s="55">
        <f t="shared" ca="1" si="23"/>
        <v>54.181473300704837</v>
      </c>
      <c r="U95" s="55">
        <f t="shared" ca="1" si="24"/>
        <v>77.476565406958528</v>
      </c>
      <c r="V95" s="55">
        <f t="shared" ca="1" si="25"/>
        <v>0</v>
      </c>
      <c r="W95" s="55">
        <f t="shared" ca="1" si="29"/>
        <v>-70.252623834591219</v>
      </c>
      <c r="X95" s="55">
        <f t="shared" ca="1" si="30"/>
        <v>58.447856753714547</v>
      </c>
      <c r="Y95" s="55">
        <f t="shared" ca="1" si="31"/>
        <v>86.452861145095156</v>
      </c>
      <c r="Z95">
        <f ca="1">VLOOKUP(S95,ModelOutputs,10,FALSE)*AWC</f>
        <v>120</v>
      </c>
      <c r="AA95">
        <f t="shared" ca="1" si="32"/>
        <v>98.572077059312278</v>
      </c>
      <c r="AB95">
        <f t="shared" ca="1" si="26"/>
        <v>0</v>
      </c>
      <c r="AC95">
        <f t="shared" ca="1" si="27"/>
        <v>0.99997957653826219</v>
      </c>
      <c r="AD95" s="83">
        <f ca="1"/>
        <v>45581</v>
      </c>
      <c r="AE95" s="55">
        <f t="shared" ca="1" si="33"/>
        <v>45581</v>
      </c>
      <c r="AF95" s="55">
        <f t="shared" ca="1" si="34"/>
        <v>94.011157337670511</v>
      </c>
      <c r="AG95" s="55">
        <f t="shared" ca="1" si="35"/>
        <v>14.631804936458082</v>
      </c>
      <c r="AH95" s="55">
        <f t="shared" ca="1" si="36"/>
        <v>0</v>
      </c>
      <c r="AI95" s="55">
        <f ca="1">-VLOOKUP(AE95,ModelOutputs,9,FALSE)+AI94</f>
        <v>-54.374400579369883</v>
      </c>
      <c r="AJ95" s="55">
        <f ca="1">VLOOKUP(AE95,ModelOutputs,5,FALSE)+AJ94</f>
        <v>45.841296323647889</v>
      </c>
      <c r="AK95" s="55">
        <f ca="1">VLOOKUP(AE95,ModelOutputs,4,FALSE)+AK94</f>
        <v>86.680929381777702</v>
      </c>
    </row>
    <row r="96" spans="18:37">
      <c r="R96" s="83">
        <f ca="1"/>
        <v>45441</v>
      </c>
      <c r="S96" s="55">
        <f t="shared" ca="1" si="28"/>
        <v>45441</v>
      </c>
      <c r="T96" s="55">
        <f t="shared" ca="1" si="23"/>
        <v>52.566607252410151</v>
      </c>
      <c r="U96" s="55">
        <f t="shared" ca="1" si="24"/>
        <v>79.306753662664192</v>
      </c>
      <c r="V96" s="55">
        <f t="shared" ca="1" si="25"/>
        <v>0</v>
      </c>
      <c r="W96" s="55">
        <f t="shared" ca="1" si="29"/>
        <v>-70.572461598887088</v>
      </c>
      <c r="X96" s="55">
        <f t="shared" ca="1" si="30"/>
        <v>58.975064924234999</v>
      </c>
      <c r="Y96" s="55">
        <f t="shared" ca="1" si="31"/>
        <v>86.46081294628155</v>
      </c>
      <c r="Z96">
        <f ca="1">VLOOKUP(S96,ModelOutputs,10,FALSE)*AWC</f>
        <v>120</v>
      </c>
      <c r="AA96">
        <f t="shared" ca="1" si="32"/>
        <v>99.436706375122156</v>
      </c>
      <c r="AB96">
        <f t="shared" ca="1" si="26"/>
        <v>0</v>
      </c>
      <c r="AC96">
        <f t="shared" ca="1" si="27"/>
        <v>0.99998293891871748</v>
      </c>
      <c r="AD96" s="83">
        <f ca="1"/>
        <v>45582</v>
      </c>
      <c r="AE96" s="55">
        <f t="shared" ca="1" si="33"/>
        <v>45582</v>
      </c>
      <c r="AF96" s="55">
        <f t="shared" ca="1" si="34"/>
        <v>94.262816791573684</v>
      </c>
      <c r="AG96" s="55">
        <f t="shared" ca="1" si="35"/>
        <v>15.101745006146484</v>
      </c>
      <c r="AH96" s="55">
        <f t="shared" ca="1" si="36"/>
        <v>0</v>
      </c>
      <c r="AI96" s="55">
        <f ca="1">-VLOOKUP(AE96,ModelOutputs,9,FALSE)+AI95</f>
        <v>-54.374400579369883</v>
      </c>
      <c r="AJ96" s="55">
        <f ca="1">VLOOKUP(AE96,ModelOutputs,5,FALSE)+AJ95</f>
        <v>46.546136442278588</v>
      </c>
      <c r="AK96" s="55">
        <f ca="1">VLOOKUP(AE96,ModelOutputs,4,FALSE)+AK95</f>
        <v>86.697688786738581</v>
      </c>
    </row>
    <row r="97" spans="18:37">
      <c r="R97" s="83">
        <f ca="1"/>
        <v>45442</v>
      </c>
      <c r="S97" s="55">
        <f t="shared" ca="1" si="28"/>
        <v>45442</v>
      </c>
      <c r="T97" s="55">
        <f t="shared" ca="1" si="23"/>
        <v>49.965978972253133</v>
      </c>
      <c r="U97" s="55">
        <f t="shared" ca="1" si="24"/>
        <v>81.180320599680158</v>
      </c>
      <c r="V97" s="55">
        <f t="shared" ca="1" si="25"/>
        <v>0</v>
      </c>
      <c r="W97" s="55">
        <f t="shared" ca="1" si="29"/>
        <v>-71.837573699377302</v>
      </c>
      <c r="X97" s="55">
        <f t="shared" ca="1" si="30"/>
        <v>59.505119941474319</v>
      </c>
      <c r="Y97" s="55">
        <f t="shared" ca="1" si="31"/>
        <v>86.468808686391384</v>
      </c>
      <c r="Z97">
        <f ca="1">VLOOKUP(S97,ModelOutputs,10,FALSE)*AWC</f>
        <v>120</v>
      </c>
      <c r="AA97">
        <f t="shared" ca="1" si="32"/>
        <v>103.03473630793368</v>
      </c>
      <c r="AB97">
        <f t="shared" ca="1" si="26"/>
        <v>0</v>
      </c>
      <c r="AC97">
        <f t="shared" ca="1" si="27"/>
        <v>0.99998576211240997</v>
      </c>
      <c r="AD97" s="83">
        <f ca="1"/>
        <v>45583</v>
      </c>
      <c r="AE97" s="55">
        <f t="shared" ca="1" si="33"/>
        <v>45583</v>
      </c>
      <c r="AF97" s="55">
        <f t="shared" ca="1" si="34"/>
        <v>94.484163674181914</v>
      </c>
      <c r="AG97" s="55">
        <f t="shared" ca="1" si="35"/>
        <v>15.562084999746965</v>
      </c>
      <c r="AH97" s="55">
        <f t="shared" ca="1" si="36"/>
        <v>0</v>
      </c>
      <c r="AI97" s="55">
        <f ca="1">-VLOOKUP(AE97,ModelOutputs,9,FALSE)+AI96</f>
        <v>-54.374400579369883</v>
      </c>
      <c r="AJ97" s="55">
        <f ca="1">VLOOKUP(AE97,ModelOutputs,5,FALSE)+AJ96</f>
        <v>47.212369159739886</v>
      </c>
      <c r="AK97" s="55">
        <f ca="1">VLOOKUP(AE97,ModelOutputs,4,FALSE)+AK96</f>
        <v>86.713142945485998</v>
      </c>
    </row>
    <row r="98" spans="18:37">
      <c r="R98" s="83">
        <f ca="1"/>
        <v>45443</v>
      </c>
      <c r="S98" s="55">
        <f t="shared" ca="1" si="28"/>
        <v>45443</v>
      </c>
      <c r="T98" s="55">
        <f t="shared" ca="1" si="23"/>
        <v>48.105163494431295</v>
      </c>
      <c r="U98" s="55">
        <f t="shared" ca="1" si="24"/>
        <v>83.144129569221391</v>
      </c>
      <c r="V98" s="55">
        <f t="shared" ca="1" si="25"/>
        <v>0</v>
      </c>
      <c r="W98" s="55">
        <f t="shared" ca="1" si="29"/>
        <v>-72.288137601530096</v>
      </c>
      <c r="X98" s="55">
        <f t="shared" ca="1" si="30"/>
        <v>60.050449410803786</v>
      </c>
      <c r="Y98" s="55">
        <f t="shared" ca="1" si="31"/>
        <v>86.477036610934107</v>
      </c>
      <c r="Z98">
        <f ca="1">VLOOKUP(S98,ModelOutputs,10,FALSE)*AWC</f>
        <v>120</v>
      </c>
      <c r="AA98">
        <f t="shared" ca="1" si="32"/>
        <v>104.3657265225763</v>
      </c>
      <c r="AB98">
        <f t="shared" ca="1" si="26"/>
        <v>0</v>
      </c>
      <c r="AC98">
        <f t="shared" ca="1" si="27"/>
        <v>0.99998818156783265</v>
      </c>
      <c r="AD98" s="83">
        <f ca="1"/>
        <v>45584</v>
      </c>
      <c r="AE98" s="55">
        <f t="shared" ca="1" si="33"/>
        <v>45584</v>
      </c>
      <c r="AF98" s="55">
        <f t="shared" ca="1" si="34"/>
        <v>94.679656270021312</v>
      </c>
      <c r="AG98" s="55">
        <f t="shared" ca="1" si="35"/>
        <v>16.054583584474024</v>
      </c>
      <c r="AH98" s="55">
        <f t="shared" ca="1" si="36"/>
        <v>0</v>
      </c>
      <c r="AI98" s="55">
        <f ca="1">-VLOOKUP(AE98,ModelOutputs,9,FALSE)+AI97</f>
        <v>-54.374400579369883</v>
      </c>
      <c r="AJ98" s="55">
        <f ca="1">VLOOKUP(AE98,ModelOutputs,5,FALSE)+AJ97</f>
        <v>47.885085319910615</v>
      </c>
      <c r="AK98" s="55">
        <f ca="1">VLOOKUP(AE98,ModelOutputs,4,FALSE)+AK97</f>
        <v>86.728417965881732</v>
      </c>
    </row>
    <row r="99" spans="18:37">
      <c r="R99" s="83">
        <f ca="1"/>
        <v>45444</v>
      </c>
      <c r="S99" s="55">
        <f t="shared" ca="1" si="28"/>
        <v>45444</v>
      </c>
      <c r="T99" s="55">
        <f t="shared" ca="1" si="23"/>
        <v>46.091436855366425</v>
      </c>
      <c r="U99" s="55">
        <f t="shared" ca="1" si="24"/>
        <v>85.141654153572219</v>
      </c>
      <c r="V99" s="55">
        <f t="shared" ca="1" si="25"/>
        <v>0</v>
      </c>
      <c r="W99" s="55">
        <f t="shared" ca="1" si="29"/>
        <v>-72.857445908413581</v>
      </c>
      <c r="X99" s="55">
        <f t="shared" ca="1" si="30"/>
        <v>60.595332244640602</v>
      </c>
      <c r="Y99" s="55">
        <f t="shared" ca="1" si="31"/>
        <v>86.48526002926674</v>
      </c>
      <c r="Z99">
        <f ca="1">VLOOKUP(S99,ModelOutputs,10,FALSE)*AWC</f>
        <v>120</v>
      </c>
      <c r="AA99">
        <f t="shared" ca="1" si="32"/>
        <v>106.12097027905803</v>
      </c>
      <c r="AB99">
        <f t="shared" ca="1" si="26"/>
        <v>0</v>
      </c>
      <c r="AC99">
        <f t="shared" ca="1" si="27"/>
        <v>0.99999018836525944</v>
      </c>
      <c r="AD99" s="83">
        <f ca="1"/>
        <v>45585</v>
      </c>
      <c r="AE99" s="55">
        <f t="shared" ca="1" si="33"/>
        <v>45585</v>
      </c>
      <c r="AF99" s="55">
        <f t="shared" ca="1" si="34"/>
        <v>94.830507162619199</v>
      </c>
      <c r="AG99" s="55">
        <f t="shared" ca="1" si="35"/>
        <v>16.553222396929314</v>
      </c>
      <c r="AH99" s="55">
        <f t="shared" ca="1" si="36"/>
        <v>0</v>
      </c>
      <c r="AI99" s="55">
        <f ca="1">-VLOOKUP(AE99,ModelOutputs,9,FALSE)+AI98</f>
        <v>-54.374400579369883</v>
      </c>
      <c r="AJ99" s="55">
        <f ca="1">VLOOKUP(AE99,ModelOutputs,5,FALSE)+AJ98</f>
        <v>48.520412201640106</v>
      </c>
      <c r="AK99" s="55">
        <f ca="1">VLOOKUP(AE99,ModelOutputs,4,FALSE)+AK98</f>
        <v>86.742580789205419</v>
      </c>
    </row>
    <row r="100" spans="18:37">
      <c r="R100" s="83">
        <f ca="1"/>
        <v>45445</v>
      </c>
      <c r="S100" s="55">
        <f t="shared" ca="1" si="28"/>
        <v>45445</v>
      </c>
      <c r="T100" s="55">
        <f t="shared" ca="1" si="23"/>
        <v>44.372472304679086</v>
      </c>
      <c r="U100" s="55">
        <f t="shared" ca="1" si="24"/>
        <v>87.154910962188481</v>
      </c>
      <c r="V100" s="55">
        <f t="shared" ca="1" si="25"/>
        <v>0</v>
      </c>
      <c r="W100" s="55">
        <f t="shared" ca="1" si="29"/>
        <v>-73.111065433326019</v>
      </c>
      <c r="X100" s="55">
        <f t="shared" ca="1" si="30"/>
        <v>61.135095513077736</v>
      </c>
      <c r="Y100" s="55">
        <f t="shared" ca="1" si="31"/>
        <v>86.493408543670967</v>
      </c>
      <c r="Z100">
        <f ca="1">VLOOKUP(S100,ModelOutputs,10,FALSE)*AWC</f>
        <v>120</v>
      </c>
      <c r="AA100">
        <f t="shared" ca="1" si="32"/>
        <v>106.93320064301415</v>
      </c>
      <c r="AB100">
        <f t="shared" ca="1" si="26"/>
        <v>0</v>
      </c>
      <c r="AC100">
        <f t="shared" ca="1" si="27"/>
        <v>0.99999183986083928</v>
      </c>
      <c r="AD100" s="83">
        <f ca="1"/>
        <v>45586</v>
      </c>
      <c r="AE100" s="55">
        <f t="shared" ca="1" si="33"/>
        <v>45586</v>
      </c>
      <c r="AF100" s="55">
        <f t="shared" ca="1" si="34"/>
        <v>94.998234255276969</v>
      </c>
      <c r="AG100" s="55">
        <f t="shared" ca="1" si="35"/>
        <v>17.082899550582617</v>
      </c>
      <c r="AH100" s="55">
        <f t="shared" ca="1" si="36"/>
        <v>0</v>
      </c>
      <c r="AI100" s="55">
        <f ca="1">-VLOOKUP(AE100,ModelOutputs,9,FALSE)+AI99</f>
        <v>-54.374400579369883</v>
      </c>
      <c r="AJ100" s="55">
        <f ca="1">VLOOKUP(AE100,ModelOutputs,5,FALSE)+AJ99</f>
        <v>49.20284935544688</v>
      </c>
      <c r="AK100" s="55">
        <f ca="1">VLOOKUP(AE100,ModelOutputs,4,FALSE)+AK99</f>
        <v>86.757547881709712</v>
      </c>
    </row>
    <row r="101" spans="18:37">
      <c r="R101" s="83">
        <f ca="1"/>
        <v>45446</v>
      </c>
      <c r="S101" s="55">
        <f t="shared" ca="1" si="28"/>
        <v>45446</v>
      </c>
      <c r="T101" s="55">
        <f t="shared" ca="1" si="23"/>
        <v>42.26882881912428</v>
      </c>
      <c r="U101" s="55">
        <f t="shared" ca="1" si="24"/>
        <v>89.422155569434054</v>
      </c>
      <c r="V101" s="55">
        <f t="shared" ca="1" si="25"/>
        <v>0</v>
      </c>
      <c r="W101" s="55">
        <f t="shared" ca="1" si="29"/>
        <v>-73.554032635615627</v>
      </c>
      <c r="X101" s="55">
        <f t="shared" ca="1" si="30"/>
        <v>61.732640387572026</v>
      </c>
      <c r="Y101" s="55">
        <f t="shared" ca="1" si="31"/>
        <v>86.50243199315706</v>
      </c>
      <c r="Z101">
        <f ca="1">VLOOKUP(S101,ModelOutputs,10,FALSE)*AWC</f>
        <v>120</v>
      </c>
      <c r="AA101">
        <f t="shared" ca="1" si="32"/>
        <v>108.42242976552065</v>
      </c>
      <c r="AB101">
        <f t="shared" ca="1" si="26"/>
        <v>0</v>
      </c>
      <c r="AC101">
        <f t="shared" ca="1" si="27"/>
        <v>0.99999334475383894</v>
      </c>
      <c r="AD101" s="83">
        <f ca="1"/>
        <v>45587</v>
      </c>
      <c r="AE101" s="55">
        <f t="shared" ca="1" si="33"/>
        <v>45587</v>
      </c>
      <c r="AF101" s="55">
        <f t="shared" ca="1" si="34"/>
        <v>95.140756945361787</v>
      </c>
      <c r="AG101" s="55">
        <f t="shared" ca="1" si="35"/>
        <v>17.597115369851803</v>
      </c>
      <c r="AH101" s="55">
        <f t="shared" ca="1" si="36"/>
        <v>0</v>
      </c>
      <c r="AI101" s="55">
        <f ca="1">-VLOOKUP(AE101,ModelOutputs,9,FALSE)+AI100</f>
        <v>-54.374400579369883</v>
      </c>
      <c r="AJ101" s="55">
        <f ca="1">VLOOKUP(AE101,ModelOutputs,5,FALSE)+AJ100</f>
        <v>49.845690475670821</v>
      </c>
      <c r="AK101" s="55">
        <f ca="1">VLOOKUP(AE101,ModelOutputs,4,FALSE)+AK100</f>
        <v>86.771445270839763</v>
      </c>
    </row>
    <row r="102" spans="18:37">
      <c r="R102" s="83">
        <f ca="1"/>
        <v>45447</v>
      </c>
      <c r="S102" s="55">
        <f t="shared" ca="1" si="28"/>
        <v>45447</v>
      </c>
      <c r="T102" s="55">
        <f t="shared" ca="1" si="23"/>
        <v>39.68767200765901</v>
      </c>
      <c r="U102" s="55">
        <f t="shared" ca="1" si="24"/>
        <v>91.676019509147878</v>
      </c>
      <c r="V102" s="55">
        <f t="shared" ca="1" si="25"/>
        <v>0</v>
      </c>
      <c r="W102" s="55">
        <f t="shared" ca="1" si="29"/>
        <v>-74.472877534453019</v>
      </c>
      <c r="X102" s="55">
        <f t="shared" ca="1" si="30"/>
        <v>62.315390094712164</v>
      </c>
      <c r="Y102" s="55">
        <f t="shared" ca="1" si="31"/>
        <v>86.511234313102861</v>
      </c>
      <c r="Z102">
        <f ca="1">VLOOKUP(S102,ModelOutputs,10,FALSE)*AWC</f>
        <v>120</v>
      </c>
      <c r="AA102">
        <f t="shared" ca="1" si="32"/>
        <v>111.71243619687237</v>
      </c>
      <c r="AB102">
        <f t="shared" ca="1" si="26"/>
        <v>0</v>
      </c>
      <c r="AC102">
        <f t="shared" ca="1" si="27"/>
        <v>0.99999454552516231</v>
      </c>
      <c r="AD102" s="83">
        <f ca="1"/>
        <v>45588</v>
      </c>
      <c r="AE102" s="55">
        <f t="shared" ca="1" si="33"/>
        <v>45588</v>
      </c>
      <c r="AF102" s="55">
        <f t="shared" ca="1" si="34"/>
        <v>95.239211251475538</v>
      </c>
      <c r="AG102" s="55">
        <f t="shared" ca="1" si="35"/>
        <v>18.126017407274396</v>
      </c>
      <c r="AH102" s="55">
        <f t="shared" ca="1" si="36"/>
        <v>0</v>
      </c>
      <c r="AI102" s="55">
        <f ca="1">-VLOOKUP(AE102,ModelOutputs,9,FALSE)+AI101</f>
        <v>-54.374400579369883</v>
      </c>
      <c r="AJ102" s="55">
        <f ca="1">VLOOKUP(AE102,ModelOutputs,5,FALSE)+AJ101</f>
        <v>50.45992550657359</v>
      </c>
      <c r="AK102" s="55">
        <f ca="1">VLOOKUP(AE102,ModelOutputs,4,FALSE)+AK101</f>
        <v>86.78456658347335</v>
      </c>
    </row>
    <row r="103" spans="18:37">
      <c r="R103" s="83">
        <f ca="1"/>
        <v>45448</v>
      </c>
      <c r="S103" s="55">
        <f t="shared" ca="1" si="28"/>
        <v>45448</v>
      </c>
      <c r="T103" s="55">
        <f t="shared" ca="1" si="23"/>
        <v>36.871696580657868</v>
      </c>
      <c r="U103" s="55">
        <f t="shared" ca="1" si="24"/>
        <v>93.943237247494551</v>
      </c>
      <c r="V103" s="55">
        <f t="shared" ca="1" si="25"/>
        <v>0</v>
      </c>
      <c r="W103" s="55">
        <f t="shared" ca="1" si="29"/>
        <v>-75.606120602259494</v>
      </c>
      <c r="X103" s="55">
        <f t="shared" ca="1" si="30"/>
        <v>62.891176720989634</v>
      </c>
      <c r="Y103" s="55">
        <f t="shared" ca="1" si="31"/>
        <v>86.519933065977398</v>
      </c>
      <c r="Z103">
        <f ca="1">VLOOKUP(S103,ModelOutputs,10,FALSE)*AWC</f>
        <v>120</v>
      </c>
      <c r="AA103">
        <f t="shared" ca="1" si="32"/>
        <v>116.08000859811027</v>
      </c>
      <c r="AB103">
        <f t="shared" ca="1" si="26"/>
        <v>0</v>
      </c>
      <c r="AC103">
        <f t="shared" ca="1" si="27"/>
        <v>0.99999551923336039</v>
      </c>
      <c r="AD103" s="83">
        <f ca="1"/>
        <v>45589</v>
      </c>
      <c r="AE103" s="55">
        <f t="shared" ca="1" si="33"/>
        <v>45589</v>
      </c>
      <c r="AF103" s="55">
        <f t="shared" ca="1" si="34"/>
        <v>95.306765464689391</v>
      </c>
      <c r="AG103" s="55">
        <f t="shared" ca="1" si="35"/>
        <v>18.694324444611887</v>
      </c>
      <c r="AH103" s="55">
        <f t="shared" ca="1" si="36"/>
        <v>0</v>
      </c>
      <c r="AI103" s="55">
        <f ca="1">-VLOOKUP(AE103,ModelOutputs,9,FALSE)+AI102</f>
        <v>-54.374400579369883</v>
      </c>
      <c r="AJ103" s="55">
        <f ca="1">VLOOKUP(AE103,ModelOutputs,5,FALSE)+AJ102</f>
        <v>51.082621120203271</v>
      </c>
      <c r="AK103" s="55">
        <f ca="1">VLOOKUP(AE103,ModelOutputs,4,FALSE)+AK102</f>
        <v>86.797732220395005</v>
      </c>
    </row>
    <row r="104" spans="18:37">
      <c r="R104" s="83">
        <f ca="1"/>
        <v>45449</v>
      </c>
      <c r="S104" s="55">
        <f t="shared" ca="1" si="28"/>
        <v>45449</v>
      </c>
      <c r="T104" s="55">
        <f t="shared" ca="1" si="23"/>
        <v>34.810572224333335</v>
      </c>
      <c r="U104" s="55">
        <f t="shared" ca="1" si="24"/>
        <v>96.227820880670947</v>
      </c>
      <c r="V104" s="55">
        <f t="shared" ca="1" si="25"/>
        <v>0</v>
      </c>
      <c r="W104" s="55">
        <f t="shared" ca="1" si="29"/>
        <v>-75.961531550783249</v>
      </c>
      <c r="X104" s="55">
        <f t="shared" ca="1" si="30"/>
        <v>63.461430988596462</v>
      </c>
      <c r="Y104" s="55">
        <f t="shared" ca="1" si="31"/>
        <v>86.52854902374618</v>
      </c>
      <c r="Z104">
        <f ca="1">VLOOKUP(S104,ModelOutputs,10,FALSE)*AWC</f>
        <v>120</v>
      </c>
      <c r="AA104">
        <f t="shared" ca="1" si="32"/>
        <v>117.53088294868644</v>
      </c>
      <c r="AB104">
        <f t="shared" ca="1" si="26"/>
        <v>0</v>
      </c>
      <c r="AC104">
        <f t="shared" ca="1" si="27"/>
        <v>0.9999963122611214</v>
      </c>
      <c r="AD104" s="83">
        <f ca="1"/>
        <v>45590</v>
      </c>
      <c r="AE104" s="55">
        <f t="shared" ca="1" si="33"/>
        <v>45590</v>
      </c>
      <c r="AF104" s="55">
        <f t="shared" ca="1" si="34"/>
        <v>95.38056177518925</v>
      </c>
      <c r="AG104" s="55">
        <f t="shared" ca="1" si="35"/>
        <v>19.319147036908486</v>
      </c>
      <c r="AH104" s="55">
        <f t="shared" ca="1" si="36"/>
        <v>0</v>
      </c>
      <c r="AI104" s="55">
        <f ca="1">-VLOOKUP(AE104,ModelOutputs,9,FALSE)+AI103</f>
        <v>-54.374400579369883</v>
      </c>
      <c r="AJ104" s="55">
        <f ca="1">VLOOKUP(AE104,ModelOutputs,5,FALSE)+AJ103</f>
        <v>51.766909084385638</v>
      </c>
      <c r="AK104" s="55">
        <f ca="1">VLOOKUP(AE104,ModelOutputs,4,FALSE)+AK103</f>
        <v>86.812063159009085</v>
      </c>
    </row>
    <row r="105" spans="18:37">
      <c r="R105" s="83">
        <f ca="1"/>
        <v>45450</v>
      </c>
      <c r="S105" s="55">
        <f t="shared" ca="1" si="28"/>
        <v>45450</v>
      </c>
      <c r="T105" s="55">
        <f t="shared" ca="1" si="23"/>
        <v>33.063319653311552</v>
      </c>
      <c r="U105" s="55">
        <f t="shared" ca="1" si="24"/>
        <v>98.355161108879315</v>
      </c>
      <c r="V105" s="55">
        <f t="shared" ca="1" si="25"/>
        <v>0</v>
      </c>
      <c r="W105" s="55">
        <f t="shared" ca="1" si="29"/>
        <v>-76.112632579524231</v>
      </c>
      <c r="X105" s="55">
        <f t="shared" ca="1" si="30"/>
        <v>63.984713532464049</v>
      </c>
      <c r="Y105" s="55">
        <f t="shared" ca="1" si="31"/>
        <v>86.53645516580616</v>
      </c>
      <c r="Z105">
        <f ca="1">VLOOKUP(S105,ModelOutputs,10,FALSE)*AWC</f>
        <v>120</v>
      </c>
      <c r="AA105">
        <f t="shared" ca="1" si="32"/>
        <v>118.18031112703682</v>
      </c>
      <c r="AB105">
        <f t="shared" ca="1" si="26"/>
        <v>0</v>
      </c>
      <c r="AC105">
        <f t="shared" ca="1" si="27"/>
        <v>0.99999691508958077</v>
      </c>
      <c r="AD105" s="83">
        <f ca="1"/>
        <v>45591</v>
      </c>
      <c r="AE105" s="55">
        <f t="shared" ca="1" si="33"/>
        <v>45591</v>
      </c>
      <c r="AF105" s="55">
        <f t="shared" ca="1" si="34"/>
        <v>95.478295095469278</v>
      </c>
      <c r="AG105" s="55">
        <f t="shared" ca="1" si="35"/>
        <v>19.967015807110609</v>
      </c>
      <c r="AH105" s="55">
        <f t="shared" ca="1" si="36"/>
        <v>0</v>
      </c>
      <c r="AI105" s="55">
        <f ca="1">-VLOOKUP(AE105,ModelOutputs,9,FALSE)+AI104</f>
        <v>-54.374400579369883</v>
      </c>
      <c r="AJ105" s="55">
        <f ca="1">VLOOKUP(AE105,ModelOutputs,5,FALSE)+AJ104</f>
        <v>52.497349331461592</v>
      </c>
      <c r="AK105" s="55">
        <f ca="1">VLOOKUP(AE105,ModelOutputs,4,FALSE)+AK104</f>
        <v>86.827225002415275</v>
      </c>
    </row>
    <row r="106" spans="18:37">
      <c r="R106" s="83">
        <f ca="1"/>
        <v>45451</v>
      </c>
      <c r="S106" s="55">
        <f t="shared" ca="1" si="28"/>
        <v>45451</v>
      </c>
      <c r="T106" s="55">
        <f t="shared" ca="1" si="23"/>
        <v>31.319175511539573</v>
      </c>
      <c r="U106" s="55">
        <f t="shared" ca="1" si="24"/>
        <v>100.49201981408488</v>
      </c>
      <c r="V106" s="55">
        <f t="shared" ca="1" si="25"/>
        <v>0</v>
      </c>
      <c r="W106" s="55">
        <f t="shared" ca="1" si="29"/>
        <v>-76.24582209037213</v>
      </c>
      <c r="X106" s="55">
        <f t="shared" ca="1" si="30"/>
        <v>64.502791062379202</v>
      </c>
      <c r="Y106" s="55">
        <f t="shared" ca="1" si="31"/>
        <v>86.544281710172498</v>
      </c>
      <c r="Z106">
        <f ca="1">VLOOKUP(S106,ModelOutputs,10,FALSE)*AWC</f>
        <v>120</v>
      </c>
      <c r="AA106">
        <f t="shared" ca="1" si="32"/>
        <v>118.78463516110786</v>
      </c>
      <c r="AB106">
        <f t="shared" ca="1" si="26"/>
        <v>0</v>
      </c>
      <c r="AC106">
        <f t="shared" ca="1" si="27"/>
        <v>0.99999741456610325</v>
      </c>
      <c r="AD106" s="83">
        <f ca="1"/>
        <v>45592</v>
      </c>
      <c r="AE106" s="55">
        <f t="shared" ca="1" si="33"/>
        <v>45592</v>
      </c>
      <c r="AF106" s="55">
        <f t="shared" ca="1" si="34"/>
        <v>95.600099313278349</v>
      </c>
      <c r="AG106" s="55">
        <f t="shared" ca="1" si="35"/>
        <v>20.609324651886041</v>
      </c>
      <c r="AH106" s="55">
        <f t="shared" ca="1" si="36"/>
        <v>0</v>
      </c>
      <c r="AI106" s="55">
        <f ca="1">-VLOOKUP(AE106,ModelOutputs,9,FALSE)+AI105</f>
        <v>-54.374400579369883</v>
      </c>
      <c r="AJ106" s="55">
        <f ca="1">VLOOKUP(AE106,ModelOutputs,5,FALSE)+AJ105</f>
        <v>53.24604522189081</v>
      </c>
      <c r="AK106" s="55">
        <f ca="1">VLOOKUP(AE106,ModelOutputs,4,FALSE)+AK105</f>
        <v>86.842642174570557</v>
      </c>
    </row>
    <row r="107" spans="18:37">
      <c r="R107" s="83">
        <f ca="1"/>
        <v>45452</v>
      </c>
      <c r="S107" s="55">
        <f t="shared" ca="1" si="28"/>
        <v>45452</v>
      </c>
      <c r="T107" s="55">
        <f t="shared" ca="1" si="23"/>
        <v>94.933575488972423</v>
      </c>
      <c r="U107" s="55">
        <f t="shared" ca="1" si="24"/>
        <v>102.98574132323054</v>
      </c>
      <c r="V107" s="55">
        <f t="shared" ca="1" si="25"/>
        <v>68.196562403028807</v>
      </c>
      <c r="W107" s="55">
        <f t="shared" ca="1" si="29"/>
        <v>-78.937953553222144</v>
      </c>
      <c r="X107" s="55">
        <f t="shared" ca="1" si="30"/>
        <v>65.097499740289805</v>
      </c>
      <c r="Y107" s="55">
        <f t="shared" ca="1" si="31"/>
        <v>86.553263578661628</v>
      </c>
      <c r="Z107">
        <f ca="1">VLOOKUP(S107,ModelOutputs,10,FALSE)*AWC</f>
        <v>120</v>
      </c>
      <c r="AA107">
        <f t="shared" ca="1" si="32"/>
        <v>122.84950619912561</v>
      </c>
      <c r="AB107">
        <f t="shared" ca="1" si="26"/>
        <v>0</v>
      </c>
      <c r="AC107">
        <f t="shared" ca="1" si="27"/>
        <v>0.99999788941029821</v>
      </c>
      <c r="AD107" s="83">
        <f ca="1"/>
        <v>45593</v>
      </c>
      <c r="AE107" s="55">
        <f t="shared" ca="1" si="33"/>
        <v>45593</v>
      </c>
      <c r="AF107" s="55">
        <f t="shared" ca="1" si="34"/>
        <v>95.714990359713426</v>
      </c>
      <c r="AG107" s="55">
        <f t="shared" ca="1" si="35"/>
        <v>21.294814106902475</v>
      </c>
      <c r="AH107" s="55">
        <f t="shared" ca="1" si="36"/>
        <v>0</v>
      </c>
      <c r="AI107" s="55">
        <f ca="1">-VLOOKUP(AE107,ModelOutputs,9,FALSE)+AI106</f>
        <v>-54.374400579369883</v>
      </c>
      <c r="AJ107" s="55">
        <f ca="1">VLOOKUP(AE107,ModelOutputs,5,FALSE)+AJ106</f>
        <v>54.030388118210269</v>
      </c>
      <c r="AK107" s="55">
        <f ca="1">VLOOKUP(AE107,ModelOutputs,4,FALSE)+AK106</f>
        <v>86.858679779702612</v>
      </c>
    </row>
    <row r="108" spans="18:37">
      <c r="R108" s="83">
        <f ca="1"/>
        <v>45453</v>
      </c>
      <c r="S108" s="55">
        <f t="shared" ca="1" si="28"/>
        <v>45453</v>
      </c>
      <c r="T108" s="55">
        <f t="shared" ca="1" si="23"/>
        <v>89.009174204613927</v>
      </c>
      <c r="U108" s="55">
        <f t="shared" ca="1" si="24"/>
        <v>105.51952904207521</v>
      </c>
      <c r="V108" s="55">
        <f t="shared" ca="1" si="25"/>
        <v>0</v>
      </c>
      <c r="W108" s="55">
        <f t="shared" ca="1" si="29"/>
        <v>-82.931992468727671</v>
      </c>
      <c r="X108" s="55">
        <f t="shared" ca="1" si="30"/>
        <v>65.691951004229779</v>
      </c>
      <c r="Y108" s="55">
        <f t="shared" ca="1" si="31"/>
        <v>86.562237664713351</v>
      </c>
      <c r="Z108">
        <f ca="1">VLOOKUP(S108,ModelOutputs,10,FALSE)*AWC</f>
        <v>120</v>
      </c>
      <c r="AA108">
        <f t="shared" ca="1" si="32"/>
        <v>129.22608430158107</v>
      </c>
      <c r="AB108">
        <f t="shared" ca="1" si="26"/>
        <v>0</v>
      </c>
      <c r="AC108">
        <f t="shared" ca="1" si="27"/>
        <v>0.99999827689832521</v>
      </c>
      <c r="AD108" s="83">
        <f ca="1"/>
        <v>45594</v>
      </c>
      <c r="AE108" s="55">
        <f t="shared" ca="1" si="33"/>
        <v>45594</v>
      </c>
      <c r="AF108" s="55">
        <f t="shared" ca="1" si="34"/>
        <v>95.76864221178019</v>
      </c>
      <c r="AG108" s="55">
        <f t="shared" ca="1" si="35"/>
        <v>21.951540149858282</v>
      </c>
      <c r="AH108" s="55">
        <f t="shared" ca="1" si="36"/>
        <v>0</v>
      </c>
      <c r="AI108" s="55">
        <f ca="1">-VLOOKUP(AE108,ModelOutputs,9,FALSE)+AI107</f>
        <v>-54.374400579369883</v>
      </c>
      <c r="AJ108" s="55">
        <f ca="1">VLOOKUP(AE108,ModelOutputs,5,FALSE)+AJ107</f>
        <v>54.726613231746995</v>
      </c>
      <c r="AK108" s="55">
        <f ca="1">VLOOKUP(AE108,ModelOutputs,4,FALSE)+AK107</f>
        <v>86.87283256118846</v>
      </c>
    </row>
    <row r="109" spans="18:37">
      <c r="R109" s="83">
        <f ca="1"/>
        <v>45454</v>
      </c>
      <c r="S109" s="55">
        <f t="shared" ca="1" si="28"/>
        <v>45454</v>
      </c>
      <c r="T109" s="55">
        <f t="shared" ca="1" si="23"/>
        <v>86.869235125323925</v>
      </c>
      <c r="U109" s="55">
        <f t="shared" ca="1" si="24"/>
        <v>108.31857422324742</v>
      </c>
      <c r="V109" s="55">
        <f t="shared" ca="1" si="25"/>
        <v>0</v>
      </c>
      <c r="W109" s="55">
        <f t="shared" ca="1" si="29"/>
        <v>-82.931992468727671</v>
      </c>
      <c r="X109" s="55">
        <f t="shared" ca="1" si="30"/>
        <v>66.341261133138516</v>
      </c>
      <c r="Y109" s="55">
        <f t="shared" ca="1" si="31"/>
        <v>86.572033637686829</v>
      </c>
      <c r="Z109">
        <f ca="1">VLOOKUP(S109,ModelOutputs,10,FALSE)*AWC</f>
        <v>119.9928001720567</v>
      </c>
      <c r="AA109">
        <f t="shared" ca="1" si="32"/>
        <v>129.22608430158107</v>
      </c>
      <c r="AB109">
        <f t="shared" ca="1" si="26"/>
        <v>0</v>
      </c>
      <c r="AC109">
        <f t="shared" ca="1" si="27"/>
        <v>0.99999861770337128</v>
      </c>
      <c r="AD109" s="83">
        <f ca="1"/>
        <v>45595</v>
      </c>
      <c r="AE109" s="55">
        <f t="shared" ca="1" si="33"/>
        <v>45595</v>
      </c>
      <c r="AF109" s="55">
        <f t="shared" ca="1" si="34"/>
        <v>95.806695574302381</v>
      </c>
      <c r="AG109" s="55">
        <f t="shared" ca="1" si="35"/>
        <v>22.601704695581454</v>
      </c>
      <c r="AH109" s="55">
        <f t="shared" ca="1" si="36"/>
        <v>0</v>
      </c>
      <c r="AI109" s="55">
        <f ca="1">-VLOOKUP(AE109,ModelOutputs,9,FALSE)+AI108</f>
        <v>-54.374400579369883</v>
      </c>
      <c r="AJ109" s="55">
        <f ca="1">VLOOKUP(AE109,ModelOutputs,5,FALSE)+AJ108</f>
        <v>55.401182918074582</v>
      </c>
      <c r="AK109" s="55">
        <f ca="1">VLOOKUP(AE109,ModelOutputs,4,FALSE)+AK108</f>
        <v>86.886480783106236</v>
      </c>
    </row>
    <row r="110" spans="18:37">
      <c r="R110" s="83">
        <f ca="1"/>
        <v>45455</v>
      </c>
      <c r="S110" s="55">
        <f t="shared" ca="1" si="28"/>
        <v>45455</v>
      </c>
      <c r="T110" s="55">
        <f t="shared" ca="1" si="23"/>
        <v>82.288317791807103</v>
      </c>
      <c r="U110" s="55">
        <f t="shared" ca="1" si="24"/>
        <v>110.83919222164054</v>
      </c>
      <c r="V110" s="55">
        <f t="shared" ca="1" si="25"/>
        <v>0</v>
      </c>
      <c r="W110" s="55">
        <f t="shared" ca="1" si="29"/>
        <v>-85.572776667771564</v>
      </c>
      <c r="X110" s="55">
        <f t="shared" ca="1" si="30"/>
        <v>66.913125509958604</v>
      </c>
      <c r="Y110" s="55">
        <f t="shared" ca="1" si="31"/>
        <v>86.580654124786932</v>
      </c>
      <c r="Z110">
        <f ca="1">VLOOKUP(S110,ModelOutputs,10,FALSE)*AWC</f>
        <v>120</v>
      </c>
      <c r="AA110">
        <f t="shared" ca="1" si="32"/>
        <v>133.78650482807413</v>
      </c>
      <c r="AB110">
        <f t="shared" ca="1" si="26"/>
        <v>0</v>
      </c>
      <c r="AC110">
        <f t="shared" ca="1" si="27"/>
        <v>0.9999988629671156</v>
      </c>
      <c r="AD110" s="83">
        <f ca="1"/>
        <v>45596</v>
      </c>
      <c r="AE110" s="55">
        <f t="shared" ca="1" si="33"/>
        <v>45596</v>
      </c>
      <c r="AF110" s="55">
        <f t="shared" ca="1" si="34"/>
        <v>95.822100693585668</v>
      </c>
      <c r="AG110" s="55">
        <f t="shared" ca="1" si="35"/>
        <v>23.25943064372419</v>
      </c>
      <c r="AH110" s="55">
        <f t="shared" ca="1" si="36"/>
        <v>0</v>
      </c>
      <c r="AI110" s="55">
        <f ca="1">-VLOOKUP(AE110,ModelOutputs,9,FALSE)+AI109</f>
        <v>-54.374400579369883</v>
      </c>
      <c r="AJ110" s="55">
        <f ca="1">VLOOKUP(AE110,ModelOutputs,5,FALSE)+AJ109</f>
        <v>56.061017763136114</v>
      </c>
      <c r="AK110" s="55">
        <f ca="1">VLOOKUP(AE110,ModelOutputs,4,FALSE)+AK109</f>
        <v>86.899777005470725</v>
      </c>
    </row>
    <row r="111" spans="18:37">
      <c r="R111" s="83">
        <f ca="1"/>
        <v>45456</v>
      </c>
      <c r="S111" s="55">
        <f t="shared" ca="1" si="28"/>
        <v>45456</v>
      </c>
      <c r="T111" s="55">
        <f t="shared" ca="1" si="23"/>
        <v>80.319918879033196</v>
      </c>
      <c r="U111" s="55">
        <f t="shared" ca="1" si="24"/>
        <v>113.3088328919177</v>
      </c>
      <c r="V111" s="55">
        <f t="shared" ca="1" si="25"/>
        <v>0</v>
      </c>
      <c r="W111" s="55">
        <f t="shared" ca="1" si="29"/>
        <v>-85.632134575899798</v>
      </c>
      <c r="X111" s="55">
        <f t="shared" ca="1" si="30"/>
        <v>67.465407655759449</v>
      </c>
      <c r="Y111" s="55">
        <f t="shared" ca="1" si="31"/>
        <v>86.588971644617573</v>
      </c>
      <c r="Z111">
        <f ca="1">VLOOKUP(S111,ModelOutputs,10,FALSE)*AWC</f>
        <v>120</v>
      </c>
      <c r="AA111">
        <f t="shared" ca="1" si="32"/>
        <v>133.89152325031341</v>
      </c>
      <c r="AB111">
        <f t="shared" ca="1" si="26"/>
        <v>0</v>
      </c>
      <c r="AC111">
        <f t="shared" ca="1" si="27"/>
        <v>0.9999990584529771</v>
      </c>
      <c r="AD111" s="83">
        <f ca="1"/>
        <v>45597</v>
      </c>
      <c r="AE111" s="55">
        <f t="shared" ca="1" si="33"/>
        <v>45597</v>
      </c>
      <c r="AF111" s="55">
        <f t="shared" ca="1" si="34"/>
        <v>95.798872952883244</v>
      </c>
      <c r="AG111" s="55">
        <f t="shared" ca="1" si="35"/>
        <v>23.977227114564251</v>
      </c>
      <c r="AH111" s="55">
        <f t="shared" ca="1" si="36"/>
        <v>0</v>
      </c>
      <c r="AI111" s="55">
        <f ca="1">-VLOOKUP(AE111,ModelOutputs,9,FALSE)+AI110</f>
        <v>-54.374400579369883</v>
      </c>
      <c r="AJ111" s="55">
        <f ca="1">VLOOKUP(AE111,ModelOutputs,5,FALSE)+AJ110</f>
        <v>56.741915570774836</v>
      </c>
      <c r="AK111" s="55">
        <f ca="1">VLOOKUP(AE111,ModelOutputs,4,FALSE)+AK110</f>
        <v>86.913447927969628</v>
      </c>
    </row>
    <row r="112" spans="18:37">
      <c r="R112" s="83">
        <f ca="1"/>
        <v>45457</v>
      </c>
      <c r="S112" s="55">
        <f t="shared" ca="1" si="28"/>
        <v>45457</v>
      </c>
      <c r="T112" s="55">
        <f t="shared" ca="1" si="23"/>
        <v>77.887680034876325</v>
      </c>
      <c r="U112" s="55">
        <f t="shared" ca="1" si="24"/>
        <v>115.53810366307087</v>
      </c>
      <c r="V112" s="55">
        <f t="shared" ca="1" si="25"/>
        <v>0</v>
      </c>
      <c r="W112" s="55">
        <f t="shared" ca="1" si="29"/>
        <v>-86.337190433981149</v>
      </c>
      <c r="X112" s="55">
        <f t="shared" ca="1" si="30"/>
        <v>67.960053582108984</v>
      </c>
      <c r="Y112" s="55">
        <f t="shared" ca="1" si="31"/>
        <v>86.596413503345687</v>
      </c>
      <c r="Z112">
        <f ca="1">VLOOKUP(S112,ModelOutputs,10,FALSE)*AWC</f>
        <v>120</v>
      </c>
      <c r="AA112">
        <f t="shared" ca="1" si="32"/>
        <v>135.17789033954759</v>
      </c>
      <c r="AB112">
        <f t="shared" ca="1" si="26"/>
        <v>0</v>
      </c>
      <c r="AC112">
        <f t="shared" ca="1" si="27"/>
        <v>0.99999920413664778</v>
      </c>
      <c r="AD112" s="83">
        <f ca="1"/>
        <v>45598</v>
      </c>
      <c r="AE112" s="55">
        <f t="shared" ca="1" si="33"/>
        <v>45598</v>
      </c>
      <c r="AF112" s="55">
        <f t="shared" ca="1" si="34"/>
        <v>95.811847243852895</v>
      </c>
      <c r="AG112" s="55">
        <f t="shared" ca="1" si="35"/>
        <v>24.769722466814059</v>
      </c>
      <c r="AH112" s="55">
        <f t="shared" ca="1" si="36"/>
        <v>0</v>
      </c>
      <c r="AI112" s="55">
        <f ca="1">-VLOOKUP(AE112,ModelOutputs,9,FALSE)+AI111</f>
        <v>-54.374400579369883</v>
      </c>
      <c r="AJ112" s="55">
        <f ca="1">VLOOKUP(AE112,ModelOutputs,5,FALSE)+AJ111</f>
        <v>57.531587185184229</v>
      </c>
      <c r="AK112" s="55">
        <f ca="1">VLOOKUP(AE112,ModelOutputs,4,FALSE)+AK111</f>
        <v>86.929245956779681</v>
      </c>
    </row>
    <row r="113" spans="18:37">
      <c r="R113" s="83">
        <f ca="1"/>
        <v>45458</v>
      </c>
      <c r="S113" s="55">
        <f t="shared" ca="1" si="28"/>
        <v>45458</v>
      </c>
      <c r="T113" s="55">
        <f t="shared" ca="1" si="23"/>
        <v>74.947336785276448</v>
      </c>
      <c r="U113" s="55">
        <f t="shared" ca="1" si="24"/>
        <v>118.0697262464719</v>
      </c>
      <c r="V113" s="55">
        <f t="shared" ca="1" si="25"/>
        <v>0</v>
      </c>
      <c r="W113" s="55">
        <f t="shared" ca="1" si="29"/>
        <v>-87.306035386909414</v>
      </c>
      <c r="X113" s="55">
        <f t="shared" ca="1" si="30"/>
        <v>68.511885475895397</v>
      </c>
      <c r="Y113" s="55">
        <f t="shared" ca="1" si="31"/>
        <v>86.604705896288692</v>
      </c>
      <c r="Z113">
        <f ca="1">VLOOKUP(S113,ModelOutputs,10,FALSE)*AWC</f>
        <v>120</v>
      </c>
      <c r="AA113">
        <f t="shared" ca="1" si="32"/>
        <v>137.0148864610978</v>
      </c>
      <c r="AB113">
        <f t="shared" ca="1" si="26"/>
        <v>0</v>
      </c>
      <c r="AC113">
        <f t="shared" ca="1" si="27"/>
        <v>0.99999934086427922</v>
      </c>
      <c r="AD113" s="83">
        <f ca="1"/>
        <v>45599</v>
      </c>
      <c r="AE113" s="55">
        <f t="shared" ca="1" si="33"/>
        <v>45599</v>
      </c>
      <c r="AF113" s="55">
        <f t="shared" ca="1" si="34"/>
        <v>95.784885780356319</v>
      </c>
      <c r="AG113" s="55">
        <f t="shared" ca="1" si="35"/>
        <v>25.554557012471452</v>
      </c>
      <c r="AH113" s="55">
        <f t="shared" ca="1" si="36"/>
        <v>0</v>
      </c>
      <c r="AI113" s="55">
        <f ca="1">-VLOOKUP(AE113,ModelOutputs,9,FALSE)+AI112</f>
        <v>-54.374400579369883</v>
      </c>
      <c r="AJ113" s="55">
        <f ca="1">VLOOKUP(AE113,ModelOutputs,5,FALSE)+AJ112</f>
        <v>58.274645578992839</v>
      </c>
      <c r="AK113" s="55">
        <f ca="1">VLOOKUP(AE113,ModelOutputs,4,FALSE)+AK112</f>
        <v>86.944060645131884</v>
      </c>
    </row>
    <row r="114" spans="18:37">
      <c r="R114" s="83">
        <f ca="1"/>
        <v>45459</v>
      </c>
      <c r="S114" s="55">
        <f t="shared" ca="1" si="28"/>
        <v>45459</v>
      </c>
      <c r="T114" s="55">
        <f t="shared" ca="1" si="23"/>
        <v>72.101318184157051</v>
      </c>
      <c r="U114" s="55">
        <f t="shared" ca="1" si="24"/>
        <v>120.66104476237918</v>
      </c>
      <c r="V114" s="55">
        <f t="shared" ca="1" si="25"/>
        <v>0</v>
      </c>
      <c r="W114" s="55">
        <f t="shared" ca="1" si="29"/>
        <v>-88.126577613947362</v>
      </c>
      <c r="X114" s="55">
        <f t="shared" ca="1" si="30"/>
        <v>69.069362317118021</v>
      </c>
      <c r="Y114" s="55">
        <f t="shared" ca="1" si="31"/>
        <v>86.613071196891894</v>
      </c>
      <c r="Z114">
        <f ca="1">VLOOKUP(S114,ModelOutputs,10,FALSE)*AWC</f>
        <v>120</v>
      </c>
      <c r="AA114">
        <f t="shared" ca="1" si="32"/>
        <v>138.63210195787374</v>
      </c>
      <c r="AB114">
        <f t="shared" ca="1" si="26"/>
        <v>0</v>
      </c>
      <c r="AC114">
        <f t="shared" ca="1" si="27"/>
        <v>0.99999945516002997</v>
      </c>
      <c r="AD114" s="83">
        <f ca="1"/>
        <v>45600</v>
      </c>
      <c r="AE114" s="55">
        <f t="shared" ca="1" si="33"/>
        <v>45600</v>
      </c>
      <c r="AF114" s="55">
        <f t="shared" ca="1" si="34"/>
        <v>95.698750978839541</v>
      </c>
      <c r="AG114" s="55">
        <f t="shared" ca="1" si="35"/>
        <v>26.325018610338361</v>
      </c>
      <c r="AH114" s="55">
        <f t="shared" ca="1" si="36"/>
        <v>0</v>
      </c>
      <c r="AI114" s="55">
        <f ca="1">-VLOOKUP(AE114,ModelOutputs,9,FALSE)+AI113</f>
        <v>-54.374400579369883</v>
      </c>
      <c r="AJ114" s="55">
        <f ca="1">VLOOKUP(AE114,ModelOutputs,5,FALSE)+AJ113</f>
        <v>58.94563398140042</v>
      </c>
      <c r="AK114" s="55">
        <f ca="1">VLOOKUP(AE114,ModelOutputs,4,FALSE)+AK113</f>
        <v>86.957399039074431</v>
      </c>
    </row>
    <row r="115" spans="18:37">
      <c r="R115" s="83">
        <f ca="1"/>
        <v>45460</v>
      </c>
      <c r="S115" s="55">
        <f t="shared" ca="1" si="28"/>
        <v>45460</v>
      </c>
      <c r="T115" s="55">
        <f t="shared" ca="1" si="23"/>
        <v>67.759819173301153</v>
      </c>
      <c r="U115" s="55">
        <f t="shared" ca="1" si="24"/>
        <v>123.30822912113612</v>
      </c>
      <c r="V115" s="55">
        <f t="shared" ca="1" si="25"/>
        <v>0</v>
      </c>
      <c r="W115" s="55">
        <f t="shared" ca="1" si="29"/>
        <v>-90.39156235639382</v>
      </c>
      <c r="X115" s="55">
        <f t="shared" ca="1" si="30"/>
        <v>69.631609161660933</v>
      </c>
      <c r="Y115" s="55">
        <f t="shared" ca="1" si="31"/>
        <v>86.621494442696488</v>
      </c>
      <c r="Z115">
        <f ca="1">VLOOKUP(S115,ModelOutputs,10,FALSE)*AWC</f>
        <v>120</v>
      </c>
      <c r="AA115">
        <f t="shared" ca="1" si="32"/>
        <v>143.38220691389159</v>
      </c>
      <c r="AB115">
        <f t="shared" ca="1" si="26"/>
        <v>0</v>
      </c>
      <c r="AC115">
        <f t="shared" ca="1" si="27"/>
        <v>0.99999955036966892</v>
      </c>
      <c r="AD115" s="83">
        <f ca="1"/>
        <v>45601</v>
      </c>
      <c r="AE115" s="55">
        <f t="shared" ca="1" si="33"/>
        <v>45601</v>
      </c>
      <c r="AF115" s="55">
        <f t="shared" ca="1" si="34"/>
        <v>95.551908043214482</v>
      </c>
      <c r="AG115" s="55">
        <f t="shared" ca="1" si="35"/>
        <v>27.102118052890347</v>
      </c>
      <c r="AH115" s="55">
        <f t="shared" ca="1" si="36"/>
        <v>0</v>
      </c>
      <c r="AI115" s="55">
        <f ca="1">-VLOOKUP(AE115,ModelOutputs,9,FALSE)+AI114</f>
        <v>-54.374400579369883</v>
      </c>
      <c r="AJ115" s="55">
        <f ca="1">VLOOKUP(AE115,ModelOutputs,5,FALSE)+AJ114</f>
        <v>59.563636958389843</v>
      </c>
      <c r="AK115" s="55">
        <f ca="1">VLOOKUP(AE115,ModelOutputs,4,FALSE)+AK114</f>
        <v>86.969652569011942</v>
      </c>
    </row>
    <row r="116" spans="18:37">
      <c r="R116" s="83">
        <f ca="1"/>
        <v>45461</v>
      </c>
      <c r="S116" s="55">
        <f t="shared" ca="1" si="28"/>
        <v>45461</v>
      </c>
      <c r="T116" s="55">
        <f t="shared" ca="1" si="23"/>
        <v>60.801907506542044</v>
      </c>
      <c r="U116" s="55">
        <f t="shared" ca="1" si="24"/>
        <v>126.08015629833109</v>
      </c>
      <c r="V116" s="55">
        <f t="shared" ca="1" si="25"/>
        <v>0</v>
      </c>
      <c r="W116" s="55">
        <f t="shared" ca="1" si="29"/>
        <v>-95.167829310888877</v>
      </c>
      <c r="X116" s="55">
        <f t="shared" ca="1" si="30"/>
        <v>70.213194676127571</v>
      </c>
      <c r="Y116" s="55">
        <f t="shared" ca="1" si="31"/>
        <v>86.630191393160771</v>
      </c>
      <c r="Z116">
        <f ca="1">VLOOKUP(S116,ModelOutputs,10,FALSE)*AWC</f>
        <v>120</v>
      </c>
      <c r="AA116">
        <f t="shared" ca="1" si="32"/>
        <v>154.54522301511915</v>
      </c>
      <c r="AB116">
        <f t="shared" ca="1" si="26"/>
        <v>0</v>
      </c>
      <c r="AC116">
        <f t="shared" ca="1" si="27"/>
        <v>0.99999963135158021</v>
      </c>
      <c r="AD116" s="83">
        <f ca="1"/>
        <v>45602</v>
      </c>
      <c r="AE116" s="55">
        <f t="shared" ca="1" si="33"/>
        <v>45602</v>
      </c>
      <c r="AF116" s="55">
        <f t="shared" ca="1" si="34"/>
        <v>95.370662659344873</v>
      </c>
      <c r="AG116" s="55">
        <f t="shared" ca="1" si="35"/>
        <v>27.912186939598719</v>
      </c>
      <c r="AH116" s="55">
        <f t="shared" ca="1" si="36"/>
        <v>0</v>
      </c>
      <c r="AI116" s="55">
        <f ca="1">-VLOOKUP(AE116,ModelOutputs,9,FALSE)+AI115</f>
        <v>-54.374400579369883</v>
      </c>
      <c r="AJ116" s="55">
        <f ca="1">VLOOKUP(AE116,ModelOutputs,5,FALSE)+AJ115</f>
        <v>60.180263608676853</v>
      </c>
      <c r="AK116" s="55">
        <f ca="1">VLOOKUP(AE116,ModelOutputs,4,FALSE)+AK115</f>
        <v>86.981849421563709</v>
      </c>
    </row>
    <row r="117" spans="18:37">
      <c r="R117" s="83">
        <f ca="1"/>
        <v>45462</v>
      </c>
      <c r="S117" s="55">
        <f t="shared" ca="1" si="28"/>
        <v>45462</v>
      </c>
      <c r="T117" s="55">
        <f t="shared" ca="1" si="23"/>
        <v>55.402938111193016</v>
      </c>
      <c r="U117" s="55">
        <f t="shared" ca="1" si="24"/>
        <v>128.87404383305983</v>
      </c>
      <c r="V117" s="55">
        <f t="shared" ca="1" si="25"/>
        <v>0</v>
      </c>
      <c r="W117" s="55">
        <f t="shared" ca="1" si="29"/>
        <v>-98.360431697211922</v>
      </c>
      <c r="X117" s="55">
        <f t="shared" ca="1" si="30"/>
        <v>70.792076496302712</v>
      </c>
      <c r="Y117" s="55">
        <f t="shared" ca="1" si="31"/>
        <v>86.638830098688388</v>
      </c>
      <c r="Z117">
        <f ca="1">VLOOKUP(S117,ModelOutputs,10,FALSE)*AWC</f>
        <v>120</v>
      </c>
      <c r="AA117">
        <f t="shared" ca="1" si="32"/>
        <v>162.73405952332774</v>
      </c>
      <c r="AB117">
        <f t="shared" ca="1" si="26"/>
        <v>0</v>
      </c>
      <c r="AC117">
        <f t="shared" ca="1" si="27"/>
        <v>0.99999969747507511</v>
      </c>
      <c r="AD117" s="83">
        <f ca="1"/>
        <v>45603</v>
      </c>
      <c r="AE117" s="55">
        <f t="shared" ca="1" si="33"/>
        <v>45603</v>
      </c>
      <c r="AF117" s="55">
        <f t="shared" ca="1" si="34"/>
        <v>95.165634566534322</v>
      </c>
      <c r="AG117" s="55">
        <f t="shared" ca="1" si="35"/>
        <v>28.767625442194486</v>
      </c>
      <c r="AH117" s="55">
        <f t="shared" ca="1" si="36"/>
        <v>0</v>
      </c>
      <c r="AI117" s="55">
        <f ca="1">-VLOOKUP(AE117,ModelOutputs,9,FALSE)+AI116</f>
        <v>-54.374400579369883</v>
      </c>
      <c r="AJ117" s="55">
        <f ca="1">VLOOKUP(AE117,ModelOutputs,5,FALSE)+AJ116</f>
        <v>60.818088404328428</v>
      </c>
      <c r="AK117" s="55">
        <f ca="1">VLOOKUP(AE117,ModelOutputs,4,FALSE)+AK116</f>
        <v>86.994435035697364</v>
      </c>
    </row>
    <row r="118" spans="18:37">
      <c r="R118" s="83">
        <f ca="1"/>
        <v>45463</v>
      </c>
      <c r="S118" s="55">
        <f t="shared" ca="1" si="28"/>
        <v>45463</v>
      </c>
      <c r="T118" s="55">
        <f t="shared" ca="1" si="23"/>
        <v>52.913709027786837</v>
      </c>
      <c r="U118" s="55">
        <f t="shared" ca="1" si="24"/>
        <v>131.54462583264893</v>
      </c>
      <c r="V118" s="55">
        <f t="shared" ca="1" si="25"/>
        <v>0</v>
      </c>
      <c r="W118" s="55">
        <f t="shared" ca="1" si="29"/>
        <v>-98.734034278435985</v>
      </c>
      <c r="X118" s="55">
        <f t="shared" ca="1" si="30"/>
        <v>71.33888965349631</v>
      </c>
      <c r="Y118" s="55">
        <f t="shared" ca="1" si="31"/>
        <v>86.646972438901784</v>
      </c>
      <c r="Z118">
        <f ca="1">VLOOKUP(S118,ModelOutputs,10,FALSE)*AWC</f>
        <v>120</v>
      </c>
      <c r="AA118">
        <f t="shared" ca="1" si="32"/>
        <v>163.73740807130866</v>
      </c>
      <c r="AB118">
        <f t="shared" ca="1" si="26"/>
        <v>0</v>
      </c>
      <c r="AC118">
        <f t="shared" ca="1" si="27"/>
        <v>0.99999974901320698</v>
      </c>
      <c r="AD118" s="83">
        <f ca="1"/>
        <v>45604</v>
      </c>
      <c r="AE118" s="55">
        <f t="shared" ca="1" si="33"/>
        <v>45604</v>
      </c>
      <c r="AF118" s="55">
        <f t="shared" ca="1" si="34"/>
        <v>94.938928700702036</v>
      </c>
      <c r="AG118" s="55">
        <f t="shared" ca="1" si="35"/>
        <v>29.659538836612715</v>
      </c>
      <c r="AH118" s="55">
        <f t="shared" ca="1" si="36"/>
        <v>0</v>
      </c>
      <c r="AI118" s="55">
        <f ca="1">-VLOOKUP(AE118,ModelOutputs,9,FALSE)+AI117</f>
        <v>-54.374400579369883</v>
      </c>
      <c r="AJ118" s="55">
        <f ca="1">VLOOKUP(AE118,ModelOutputs,5,FALSE)+AJ117</f>
        <v>61.470455547185516</v>
      </c>
      <c r="AK118" s="55">
        <f ca="1">VLOOKUP(AE118,ModelOutputs,4,FALSE)+AK117</f>
        <v>87.007275421426215</v>
      </c>
    </row>
    <row r="119" spans="18:37">
      <c r="R119" s="83">
        <f ca="1"/>
        <v>45464</v>
      </c>
      <c r="S119" s="55">
        <f t="shared" ca="1" si="28"/>
        <v>45464</v>
      </c>
      <c r="T119" s="55">
        <f t="shared" ca="1" si="23"/>
        <v>50.620039310993171</v>
      </c>
      <c r="U119" s="55">
        <f t="shared" ca="1" si="24"/>
        <v>133.95818921749549</v>
      </c>
      <c r="V119" s="55">
        <f t="shared" ca="1" si="25"/>
        <v>0</v>
      </c>
      <c r="W119" s="55">
        <f t="shared" ca="1" si="29"/>
        <v>-99.113256564107857</v>
      </c>
      <c r="X119" s="55">
        <f t="shared" ca="1" si="30"/>
        <v>71.830698236914486</v>
      </c>
      <c r="Y119" s="55">
        <f t="shared" ca="1" si="31"/>
        <v>86.654279809208361</v>
      </c>
      <c r="Z119">
        <f ca="1">VLOOKUP(S119,ModelOutputs,10,FALSE)*AWC</f>
        <v>120</v>
      </c>
      <c r="AA119">
        <f t="shared" ca="1" si="32"/>
        <v>164.80199599803191</v>
      </c>
      <c r="AB119">
        <f t="shared" ca="1" si="26"/>
        <v>0</v>
      </c>
      <c r="AC119">
        <f t="shared" ca="1" si="27"/>
        <v>0.99999978762487629</v>
      </c>
      <c r="AD119" s="83">
        <f ca="1"/>
        <v>45605</v>
      </c>
      <c r="AE119" s="55">
        <f t="shared" ca="1" si="33"/>
        <v>45605</v>
      </c>
      <c r="AF119" s="55">
        <f t="shared" ca="1" si="34"/>
        <v>94.68848844369731</v>
      </c>
      <c r="AG119" s="55">
        <f t="shared" ca="1" si="35"/>
        <v>30.538338973245963</v>
      </c>
      <c r="AH119" s="55">
        <f t="shared" ca="1" si="36"/>
        <v>0</v>
      </c>
      <c r="AI119" s="55">
        <f ca="1">-VLOOKUP(AE119,ModelOutputs,9,FALSE)+AI118</f>
        <v>-54.374400579369883</v>
      </c>
      <c r="AJ119" s="55">
        <f ca="1">VLOOKUP(AE119,ModelOutputs,5,FALSE)+AJ118</f>
        <v>62.086716005547423</v>
      </c>
      <c r="AK119" s="55">
        <f ca="1">VLOOKUP(AE119,ModelOutputs,4,FALSE)+AK118</f>
        <v>87.019374842692827</v>
      </c>
    </row>
    <row r="120" spans="18:37">
      <c r="R120" s="83">
        <f ca="1"/>
        <v>45465</v>
      </c>
      <c r="S120" s="55">
        <f t="shared" ca="1" si="28"/>
        <v>45465</v>
      </c>
      <c r="T120" s="55">
        <f t="shared" ca="1" si="23"/>
        <v>47.93311597329113</v>
      </c>
      <c r="U120" s="55">
        <f t="shared" ca="1" si="24"/>
        <v>136.40838204330845</v>
      </c>
      <c r="V120" s="55">
        <f t="shared" ca="1" si="25"/>
        <v>0</v>
      </c>
      <c r="W120" s="55">
        <f t="shared" ca="1" si="29"/>
        <v>-99.851637236985908</v>
      </c>
      <c r="X120" s="55">
        <f t="shared" ca="1" si="30"/>
        <v>72.325019908788789</v>
      </c>
      <c r="Y120" s="55">
        <f t="shared" ca="1" si="31"/>
        <v>86.661608298323017</v>
      </c>
      <c r="Z120">
        <f ca="1">VLOOKUP(S120,ModelOutputs,10,FALSE)*AWC</f>
        <v>120</v>
      </c>
      <c r="AA120">
        <f t="shared" ca="1" si="32"/>
        <v>166.99104166509233</v>
      </c>
      <c r="AB120">
        <f t="shared" ca="1" si="26"/>
        <v>0</v>
      </c>
      <c r="AC120">
        <f t="shared" ca="1" si="27"/>
        <v>0.99999982046374858</v>
      </c>
      <c r="AD120" s="83">
        <f ca="1"/>
        <v>45606</v>
      </c>
      <c r="AE120" s="55">
        <f t="shared" ca="1" si="33"/>
        <v>45606</v>
      </c>
      <c r="AF120" s="55">
        <f t="shared" ca="1" si="34"/>
        <v>94.434803960380805</v>
      </c>
      <c r="AG120" s="55">
        <f t="shared" ca="1" si="35"/>
        <v>31.449727655661178</v>
      </c>
      <c r="AH120" s="55">
        <f t="shared" ca="1" si="36"/>
        <v>0</v>
      </c>
      <c r="AI120" s="55">
        <f ca="1">-VLOOKUP(AE120,ModelOutputs,9,FALSE)+AI119</f>
        <v>-54.374400579369883</v>
      </c>
      <c r="AJ120" s="55">
        <f ca="1">VLOOKUP(AE120,ModelOutputs,5,FALSE)+AJ119</f>
        <v>62.731787361326219</v>
      </c>
      <c r="AK120" s="55">
        <f ca="1">VLOOKUP(AE120,ModelOutputs,4,FALSE)+AK119</f>
        <v>87.032007686012747</v>
      </c>
    </row>
    <row r="121" spans="18:37">
      <c r="R121" s="83">
        <f ca="1"/>
        <v>45466</v>
      </c>
      <c r="S121" s="55">
        <f t="shared" ca="1" si="28"/>
        <v>45466</v>
      </c>
      <c r="T121" s="55">
        <f t="shared" ca="1" si="23"/>
        <v>44.764705728569936</v>
      </c>
      <c r="U121" s="55">
        <f t="shared" ca="1" si="24"/>
        <v>139.24941127558222</v>
      </c>
      <c r="V121" s="55">
        <f t="shared" ca="1" si="25"/>
        <v>0</v>
      </c>
      <c r="W121" s="55">
        <f t="shared" ca="1" si="29"/>
        <v>-100.75193590026225</v>
      </c>
      <c r="X121" s="55">
        <f t="shared" ca="1" si="30"/>
        <v>72.889588777790863</v>
      </c>
      <c r="Y121" s="55">
        <f t="shared" ca="1" si="31"/>
        <v>86.669957080149857</v>
      </c>
      <c r="Z121">
        <f ca="1">VLOOKUP(S121,ModelOutputs,10,FALSE)*AWC</f>
        <v>120</v>
      </c>
      <c r="AA121">
        <f t="shared" ca="1" si="32"/>
        <v>169.8490338351142</v>
      </c>
      <c r="AB121">
        <f t="shared" ca="1" si="26"/>
        <v>0</v>
      </c>
      <c r="AC121">
        <f t="shared" ca="1" si="27"/>
        <v>0.99999985195431551</v>
      </c>
      <c r="AD121" s="83">
        <f ca="1"/>
        <v>45607</v>
      </c>
      <c r="AE121" s="55">
        <f t="shared" ca="1" si="33"/>
        <v>45607</v>
      </c>
      <c r="AF121" s="55">
        <f t="shared" ca="1" si="34"/>
        <v>94.175936904661697</v>
      </c>
      <c r="AG121" s="55">
        <f t="shared" ca="1" si="35"/>
        <v>32.322723913543555</v>
      </c>
      <c r="AH121" s="55">
        <f t="shared" ca="1" si="36"/>
        <v>0</v>
      </c>
      <c r="AI121" s="55">
        <f ca="1">-VLOOKUP(AE121,ModelOutputs,9,FALSE)+AI120</f>
        <v>-54.374400579369883</v>
      </c>
      <c r="AJ121" s="55">
        <f ca="1">VLOOKUP(AE121,ModelOutputs,5,FALSE)+AJ120</f>
        <v>63.334150751173695</v>
      </c>
      <c r="AK121" s="55">
        <f ca="1">VLOOKUP(AE121,ModelOutputs,4,FALSE)+AK120</f>
        <v>87.043773498328534</v>
      </c>
    </row>
    <row r="122" spans="18:37">
      <c r="R122" s="83">
        <f ca="1"/>
        <v>45467</v>
      </c>
      <c r="S122" s="55">
        <f t="shared" ca="1" si="28"/>
        <v>45467</v>
      </c>
      <c r="T122" s="55">
        <f t="shared" ca="1" si="23"/>
        <v>42.028014052193249</v>
      </c>
      <c r="U122" s="55">
        <f t="shared" ca="1" si="24"/>
        <v>141.88287933887236</v>
      </c>
      <c r="V122" s="55">
        <f t="shared" ca="1" si="25"/>
        <v>0</v>
      </c>
      <c r="W122" s="55">
        <f t="shared" ca="1" si="29"/>
        <v>-101.38201480268407</v>
      </c>
      <c r="X122" s="55">
        <f t="shared" ca="1" si="30"/>
        <v>73.408787299697693</v>
      </c>
      <c r="Y122" s="55">
        <f t="shared" ca="1" si="31"/>
        <v>86.6776138475783</v>
      </c>
      <c r="Z122">
        <f ca="1">VLOOKUP(S122,ModelOutputs,10,FALSE)*AWC</f>
        <v>120</v>
      </c>
      <c r="AA122">
        <f t="shared" ca="1" si="32"/>
        <v>171.97945874949858</v>
      </c>
      <c r="AB122">
        <f t="shared" ca="1" si="26"/>
        <v>0</v>
      </c>
      <c r="AC122">
        <f t="shared" ca="1" si="27"/>
        <v>0.99999987597425133</v>
      </c>
      <c r="AD122" s="83">
        <f ca="1"/>
        <v>45608</v>
      </c>
      <c r="AE122" s="55">
        <f t="shared" ca="1" si="33"/>
        <v>45608</v>
      </c>
      <c r="AF122" s="55">
        <f t="shared" ca="1" si="34"/>
        <v>93.880519594513117</v>
      </c>
      <c r="AG122" s="55">
        <f t="shared" ca="1" si="35"/>
        <v>33.176154378369233</v>
      </c>
      <c r="AH122" s="55">
        <f t="shared" ca="1" si="36"/>
        <v>0</v>
      </c>
      <c r="AI122" s="55">
        <f ca="1">-VLOOKUP(AE122,ModelOutputs,9,FALSE)+AI121</f>
        <v>-54.374400579369883</v>
      </c>
      <c r="AJ122" s="55">
        <f ca="1">VLOOKUP(AE122,ModelOutputs,5,FALSE)+AJ121</f>
        <v>63.881499218105937</v>
      </c>
      <c r="AK122" s="55">
        <f ca="1">VLOOKUP(AE122,ModelOutputs,4,FALSE)+AK121</f>
        <v>87.054438186073384</v>
      </c>
    </row>
    <row r="123" spans="18:37">
      <c r="R123" s="83">
        <f ca="1"/>
        <v>45468</v>
      </c>
      <c r="S123" s="55">
        <f t="shared" ca="1" si="28"/>
        <v>45468</v>
      </c>
      <c r="T123" s="55">
        <f t="shared" ca="1" si="23"/>
        <v>39.914565524796792</v>
      </c>
      <c r="U123" s="55">
        <f t="shared" ca="1" si="24"/>
        <v>144.43292122276736</v>
      </c>
      <c r="V123" s="55">
        <f t="shared" ca="1" si="25"/>
        <v>0</v>
      </c>
      <c r="W123" s="55">
        <f t="shared" ca="1" si="29"/>
        <v>-101.4523720762389</v>
      </c>
      <c r="X123" s="55">
        <f t="shared" ca="1" si="30"/>
        <v>73.908390263442456</v>
      </c>
      <c r="Y123" s="55">
        <f t="shared" ca="1" si="31"/>
        <v>86.684961513886918</v>
      </c>
      <c r="Z123">
        <f ca="1">VLOOKUP(S123,ModelOutputs,10,FALSE)*AWC</f>
        <v>120</v>
      </c>
      <c r="AA123">
        <f t="shared" ca="1" si="32"/>
        <v>172.22994723013528</v>
      </c>
      <c r="AB123">
        <f t="shared" ca="1" si="26"/>
        <v>0</v>
      </c>
      <c r="AC123">
        <f t="shared" ca="1" si="27"/>
        <v>0.99999989535582035</v>
      </c>
      <c r="AD123" s="83">
        <f ca="1"/>
        <v>45609</v>
      </c>
      <c r="AE123" s="55">
        <f t="shared" ca="1" si="33"/>
        <v>45609</v>
      </c>
      <c r="AF123" s="55">
        <f t="shared" ca="1" si="34"/>
        <v>93.543371027803062</v>
      </c>
      <c r="AG123" s="55">
        <f t="shared" ca="1" si="35"/>
        <v>34.046704998570988</v>
      </c>
      <c r="AH123" s="55">
        <f t="shared" ca="1" si="36"/>
        <v>0</v>
      </c>
      <c r="AI123" s="55">
        <f ca="1">-VLOOKUP(AE123,ModelOutputs,9,FALSE)+AI122</f>
        <v>-54.374400579369883</v>
      </c>
      <c r="AJ123" s="55">
        <f ca="1">VLOOKUP(AE123,ModelOutputs,5,FALSE)+AJ122</f>
        <v>64.404730913018867</v>
      </c>
      <c r="AK123" s="55">
        <f ca="1">VLOOKUP(AE123,ModelOutputs,4,FALSE)+AK122</f>
        <v>87.064608544652145</v>
      </c>
    </row>
    <row r="124" spans="18:37">
      <c r="R124" s="83">
        <f ca="1"/>
        <v>45469</v>
      </c>
      <c r="S124" s="55">
        <f t="shared" ca="1" si="28"/>
        <v>45469</v>
      </c>
      <c r="T124" s="55">
        <f t="shared" ca="1" si="23"/>
        <v>37.382384708201165</v>
      </c>
      <c r="U124" s="55">
        <f t="shared" ca="1" si="24"/>
        <v>146.9038771685594</v>
      </c>
      <c r="V124" s="55">
        <f t="shared" ca="1" si="25"/>
        <v>0</v>
      </c>
      <c r="W124" s="55">
        <f t="shared" ca="1" si="29"/>
        <v>-102.00250227656886</v>
      </c>
      <c r="X124" s="55">
        <f t="shared" ca="1" si="30"/>
        <v>74.390228785145212</v>
      </c>
      <c r="Y124" s="55">
        <f t="shared" ca="1" si="31"/>
        <v>86.692028321710538</v>
      </c>
      <c r="Z124">
        <f ca="1">VLOOKUP(S124,ModelOutputs,10,FALSE)*AWC</f>
        <v>120</v>
      </c>
      <c r="AA124">
        <f t="shared" ca="1" si="32"/>
        <v>174.32121020062851</v>
      </c>
      <c r="AB124">
        <f t="shared" ca="1" si="26"/>
        <v>0</v>
      </c>
      <c r="AC124">
        <f t="shared" ca="1" si="27"/>
        <v>0.9999999111239174</v>
      </c>
      <c r="AD124" s="83">
        <f ca="1"/>
        <v>45610</v>
      </c>
      <c r="AE124" s="55">
        <f t="shared" ca="1" si="33"/>
        <v>45610</v>
      </c>
      <c r="AF124" s="55">
        <f t="shared" ca="1" si="34"/>
        <v>93.154750454889211</v>
      </c>
      <c r="AG124" s="55">
        <f t="shared" ca="1" si="35"/>
        <v>34.993065493289208</v>
      </c>
      <c r="AH124" s="55">
        <f t="shared" ca="1" si="36"/>
        <v>0</v>
      </c>
      <c r="AI124" s="55">
        <f ca="1">-VLOOKUP(AE124,ModelOutputs,9,FALSE)+AI123</f>
        <v>-54.374400579369883</v>
      </c>
      <c r="AJ124" s="55">
        <f ca="1">VLOOKUP(AE124,ModelOutputs,5,FALSE)+AJ123</f>
        <v>64.951862368874387</v>
      </c>
      <c r="AK124" s="55">
        <f ca="1">VLOOKUP(AE124,ModelOutputs,4,FALSE)+AK123</f>
        <v>87.075217010600994</v>
      </c>
    </row>
    <row r="125" spans="18:37">
      <c r="R125" s="83">
        <f ca="1"/>
        <v>45470</v>
      </c>
      <c r="S125" s="55">
        <f t="shared" ca="1" si="28"/>
        <v>45470</v>
      </c>
      <c r="T125" s="55">
        <f t="shared" ca="1" si="23"/>
        <v>35.366441563883001</v>
      </c>
      <c r="U125" s="55">
        <f t="shared" ca="1" si="24"/>
        <v>149.41190969898818</v>
      </c>
      <c r="V125" s="55">
        <f t="shared" ca="1" si="25"/>
        <v>0</v>
      </c>
      <c r="W125" s="55">
        <f t="shared" ca="1" si="29"/>
        <v>-102.00250227656886</v>
      </c>
      <c r="X125" s="55">
        <f t="shared" ca="1" si="30"/>
        <v>74.875225334315559</v>
      </c>
      <c r="Y125" s="55">
        <f t="shared" ca="1" si="31"/>
        <v>86.699121158650811</v>
      </c>
      <c r="Z125">
        <f ca="1">VLOOKUP(S125,ModelOutputs,10,FALSE)*AWC</f>
        <v>119.91056647581226</v>
      </c>
      <c r="AA125">
        <f t="shared" ca="1" si="32"/>
        <v>174.32121020062851</v>
      </c>
      <c r="AB125">
        <f t="shared" ca="1" si="26"/>
        <v>0</v>
      </c>
      <c r="AC125">
        <f t="shared" ca="1" si="27"/>
        <v>0.99999992460540532</v>
      </c>
      <c r="AD125" s="83">
        <f ca="1"/>
        <v>45611</v>
      </c>
      <c r="AE125" s="55">
        <f t="shared" ca="1" si="33"/>
        <v>45611</v>
      </c>
      <c r="AF125" s="55">
        <f t="shared" ca="1" si="34"/>
        <v>92.750650283970018</v>
      </c>
      <c r="AG125" s="55">
        <f t="shared" ca="1" si="35"/>
        <v>36.047822384235246</v>
      </c>
      <c r="AH125" s="55">
        <f t="shared" ca="1" si="36"/>
        <v>0</v>
      </c>
      <c r="AI125" s="55">
        <f ca="1">-VLOOKUP(AE125,ModelOutputs,9,FALSE)+AI124</f>
        <v>-54.374400579369883</v>
      </c>
      <c r="AJ125" s="55">
        <f ca="1">VLOOKUP(AE125,ModelOutputs,5,FALSE)+AJ124</f>
        <v>65.590178125106689</v>
      </c>
      <c r="AK125" s="55">
        <f ca="1">VLOOKUP(AE125,ModelOutputs,4,FALSE)+AK124</f>
        <v>87.087557974395537</v>
      </c>
    </row>
    <row r="126" spans="18:37">
      <c r="R126" s="83">
        <f ca="1"/>
        <v>45471</v>
      </c>
      <c r="S126" s="55">
        <f t="shared" ca="1" si="28"/>
        <v>45471</v>
      </c>
      <c r="T126" s="55">
        <f t="shared" ca="1" si="23"/>
        <v>33.170091692584194</v>
      </c>
      <c r="U126" s="55">
        <f t="shared" ca="1" si="24"/>
        <v>151.90329465766976</v>
      </c>
      <c r="V126" s="55">
        <f t="shared" ca="1" si="25"/>
        <v>0</v>
      </c>
      <c r="W126" s="55">
        <f t="shared" ca="1" si="29"/>
        <v>-102.1933683145127</v>
      </c>
      <c r="X126" s="55">
        <f t="shared" ca="1" si="30"/>
        <v>75.354143303160058</v>
      </c>
      <c r="Y126" s="55">
        <f t="shared" ca="1" si="31"/>
        <v>86.706104315132919</v>
      </c>
      <c r="Z126">
        <f ca="1">VLOOKUP(S126,ModelOutputs,10,FALSE)*AWC</f>
        <v>120</v>
      </c>
      <c r="AA126">
        <f t="shared" ca="1" si="32"/>
        <v>175.13890672077338</v>
      </c>
      <c r="AB126">
        <f t="shared" ca="1" si="26"/>
        <v>0</v>
      </c>
      <c r="AC126">
        <f t="shared" ca="1" si="27"/>
        <v>0.99999993589560521</v>
      </c>
      <c r="AD126" s="83">
        <f ca="1"/>
        <v>45612</v>
      </c>
      <c r="AE126" s="55">
        <f t="shared" ca="1" si="33"/>
        <v>45612</v>
      </c>
      <c r="AF126" s="55">
        <f t="shared" ca="1" si="34"/>
        <v>92.365047156918138</v>
      </c>
      <c r="AG126" s="55">
        <f t="shared" ca="1" si="35"/>
        <v>37.135878544897587</v>
      </c>
      <c r="AH126" s="55">
        <f t="shared" ca="1" si="36"/>
        <v>0</v>
      </c>
      <c r="AI126" s="55">
        <f ca="1">-VLOOKUP(AE126,ModelOutputs,9,FALSE)+AI125</f>
        <v>-54.374400579369883</v>
      </c>
      <c r="AJ126" s="55">
        <f ca="1">VLOOKUP(AE126,ModelOutputs,5,FALSE)+AJ125</f>
        <v>66.279351708012271</v>
      </c>
      <c r="AK126" s="55">
        <f ca="1">VLOOKUP(AE126,ModelOutputs,4,FALSE)+AK125</f>
        <v>87.100837425100423</v>
      </c>
    </row>
    <row r="127" spans="18:37">
      <c r="R127" s="83">
        <f ca="1"/>
        <v>45472</v>
      </c>
      <c r="S127" s="55">
        <f t="shared" ca="1" si="28"/>
        <v>45472</v>
      </c>
      <c r="T127" s="55">
        <f t="shared" ca="1" si="23"/>
        <v>30.810331080231325</v>
      </c>
      <c r="U127" s="55">
        <f t="shared" ca="1" si="24"/>
        <v>154.35879841175779</v>
      </c>
      <c r="V127" s="55">
        <f t="shared" ca="1" si="25"/>
        <v>0</v>
      </c>
      <c r="W127" s="55">
        <f t="shared" ca="1" si="29"/>
        <v>-102.57432981600965</v>
      </c>
      <c r="X127" s="55">
        <f t="shared" ca="1" si="30"/>
        <v>75.82401748817874</v>
      </c>
      <c r="Y127" s="55">
        <f t="shared" ca="1" si="31"/>
        <v>86.712934773346348</v>
      </c>
      <c r="Z127">
        <f ca="1">VLOOKUP(S127,ModelOutputs,10,FALSE)*AWC</f>
        <v>120</v>
      </c>
      <c r="AA127">
        <f t="shared" ca="1" si="32"/>
        <v>176.89600028404203</v>
      </c>
      <c r="AB127">
        <f t="shared" ca="1" si="26"/>
        <v>0</v>
      </c>
      <c r="AC127">
        <f t="shared" ca="1" si="27"/>
        <v>0.99999994530761149</v>
      </c>
      <c r="AD127" s="83">
        <f ca="1"/>
        <v>45613</v>
      </c>
      <c r="AE127" s="55">
        <f t="shared" ca="1" si="33"/>
        <v>45613</v>
      </c>
      <c r="AF127" s="55">
        <f t="shared" ca="1" si="34"/>
        <v>92.016384085976284</v>
      </c>
      <c r="AG127" s="55">
        <f t="shared" ca="1" si="35"/>
        <v>38.20557657796661</v>
      </c>
      <c r="AH127" s="55">
        <f t="shared" ca="1" si="36"/>
        <v>0</v>
      </c>
      <c r="AI127" s="55">
        <f ca="1">-VLOOKUP(AE127,ModelOutputs,9,FALSE)+AI126</f>
        <v>-54.374400579369883</v>
      </c>
      <c r="AJ127" s="55">
        <f ca="1">VLOOKUP(AE127,ModelOutputs,5,FALSE)+AJ126</f>
        <v>66.986805626907866</v>
      </c>
      <c r="AK127" s="55">
        <f ca="1">VLOOKUP(AE127,ModelOutputs,4,FALSE)+AK126</f>
        <v>87.114418468331991</v>
      </c>
    </row>
    <row r="128" spans="18:37">
      <c r="R128" s="83">
        <f ca="1"/>
        <v>45473</v>
      </c>
      <c r="S128" s="55">
        <f t="shared" ca="1" si="28"/>
        <v>45473</v>
      </c>
      <c r="T128" s="55">
        <f t="shared" ca="1" si="23"/>
        <v>121.79016160106401</v>
      </c>
      <c r="U128" s="55">
        <f t="shared" ca="1" si="24"/>
        <v>156.91514476280838</v>
      </c>
      <c r="V128" s="55">
        <f t="shared" ca="1" si="25"/>
        <v>94.179262729268459</v>
      </c>
      <c r="W128" s="55">
        <f t="shared" ca="1" si="29"/>
        <v>-103.7086570029148</v>
      </c>
      <c r="X128" s="55">
        <f t="shared" ca="1" si="30"/>
        <v>76.308242101348483</v>
      </c>
      <c r="Y128" s="55">
        <f t="shared" ca="1" si="31"/>
        <v>86.719951489696584</v>
      </c>
      <c r="Z128">
        <f ca="1">VLOOKUP(S128,ModelOutputs,10,FALSE)*AWC</f>
        <v>120</v>
      </c>
      <c r="AA128">
        <f t="shared" ca="1" si="32"/>
        <v>178.22243312919696</v>
      </c>
      <c r="AB128">
        <f t="shared" ca="1" si="26"/>
        <v>0</v>
      </c>
      <c r="AC128">
        <f t="shared" ca="1" si="27"/>
        <v>0.99999995359040683</v>
      </c>
      <c r="AD128" s="83">
        <f ca="1"/>
        <v>45614</v>
      </c>
      <c r="AE128" s="55">
        <f t="shared" ca="1" si="33"/>
        <v>45614</v>
      </c>
      <c r="AF128" s="55">
        <f t="shared" ca="1" si="34"/>
        <v>91.616689936194604</v>
      </c>
      <c r="AG128" s="55">
        <f t="shared" ca="1" si="35"/>
        <v>39.253728026939257</v>
      </c>
      <c r="AH128" s="55">
        <f t="shared" ca="1" si="36"/>
        <v>0</v>
      </c>
      <c r="AI128" s="55">
        <f ca="1">-VLOOKUP(AE128,ModelOutputs,9,FALSE)+AI127</f>
        <v>-54.374400579369883</v>
      </c>
      <c r="AJ128" s="55">
        <f ca="1">VLOOKUP(AE128,ModelOutputs,5,FALSE)+AJ127</f>
        <v>67.623093918284539</v>
      </c>
      <c r="AK128" s="55">
        <f ca="1">VLOOKUP(AE128,ModelOutputs,4,FALSE)+AK127</f>
        <v>87.126587476146284</v>
      </c>
    </row>
    <row r="129" spans="18:37">
      <c r="R129" s="83">
        <f ca="1"/>
        <v>45474</v>
      </c>
      <c r="S129" s="55">
        <f t="shared" ca="1" si="28"/>
        <v>45474</v>
      </c>
      <c r="T129" s="55">
        <f t="shared" ca="1" si="23"/>
        <v>119.85343799712987</v>
      </c>
      <c r="U129" s="55">
        <f t="shared" ca="1" si="24"/>
        <v>159.31364786988973</v>
      </c>
      <c r="V129" s="55">
        <f t="shared" ca="1" si="25"/>
        <v>0</v>
      </c>
      <c r="W129" s="55">
        <f t="shared" ca="1" si="29"/>
        <v>-103.7086570029148</v>
      </c>
      <c r="X129" s="55">
        <f t="shared" ca="1" si="30"/>
        <v>76.763446771154577</v>
      </c>
      <c r="Y129" s="55">
        <f t="shared" ca="1" si="31"/>
        <v>86.726526323037703</v>
      </c>
      <c r="Z129">
        <f ca="1">VLOOKUP(S129,ModelOutputs,10,FALSE)*AWC</f>
        <v>119.59647708716939</v>
      </c>
      <c r="AA129">
        <f t="shared" ca="1" si="32"/>
        <v>178.22243312919696</v>
      </c>
      <c r="AB129">
        <f t="shared" ca="1" si="26"/>
        <v>0</v>
      </c>
      <c r="AC129">
        <f t="shared" ca="1" si="27"/>
        <v>0.99999996017955328</v>
      </c>
      <c r="AD129" s="83">
        <f ca="1"/>
        <v>45615</v>
      </c>
      <c r="AE129" s="55">
        <f t="shared" ca="1" si="33"/>
        <v>45615</v>
      </c>
      <c r="AF129" s="55">
        <f t="shared" ca="1" si="34"/>
        <v>91.183835980880019</v>
      </c>
      <c r="AG129" s="55">
        <f t="shared" ca="1" si="35"/>
        <v>40.330973237222693</v>
      </c>
      <c r="AH129" s="55">
        <f t="shared" ca="1" si="36"/>
        <v>0</v>
      </c>
      <c r="AI129" s="55">
        <f ca="1">-VLOOKUP(AE129,ModelOutputs,9,FALSE)+AI128</f>
        <v>-54.374400579369883</v>
      </c>
      <c r="AJ129" s="55">
        <f ca="1">VLOOKUP(AE129,ModelOutputs,5,FALSE)+AJ128</f>
        <v>68.255436554341117</v>
      </c>
      <c r="AK129" s="55">
        <f ca="1">VLOOKUP(AE129,ModelOutputs,4,FALSE)+AK128</f>
        <v>87.138636095058558</v>
      </c>
    </row>
    <row r="130" spans="18:37">
      <c r="R130" s="83">
        <f ca="1"/>
        <v>45475</v>
      </c>
      <c r="S130" s="55">
        <f t="shared" ca="1" si="28"/>
        <v>45475</v>
      </c>
      <c r="T130" s="55">
        <f t="shared" ca="1" si="23"/>
        <v>115.72327221260407</v>
      </c>
      <c r="U130" s="55">
        <f t="shared" ca="1" si="24"/>
        <v>161.90479313721053</v>
      </c>
      <c r="V130" s="55">
        <f t="shared" ca="1" si="25"/>
        <v>0</v>
      </c>
      <c r="W130" s="55">
        <f t="shared" ca="1" si="29"/>
        <v>-105.73950286516047</v>
      </c>
      <c r="X130" s="55">
        <f t="shared" ca="1" si="30"/>
        <v>77.248292636435764</v>
      </c>
      <c r="Y130" s="55">
        <f t="shared" ca="1" si="31"/>
        <v>86.733505802797183</v>
      </c>
      <c r="Z130">
        <f ca="1">VLOOKUP(S130,ModelOutputs,10,FALSE)*AWC</f>
        <v>120</v>
      </c>
      <c r="AA130">
        <f t="shared" ca="1" si="32"/>
        <v>180.71626069015068</v>
      </c>
      <c r="AB130">
        <f t="shared" ca="1" si="26"/>
        <v>0</v>
      </c>
      <c r="AC130">
        <f t="shared" ca="1" si="27"/>
        <v>0.9999999662179555</v>
      </c>
      <c r="AD130" s="83">
        <f ca="1"/>
        <v>45616</v>
      </c>
      <c r="AE130" s="55">
        <f t="shared" ca="1" si="33"/>
        <v>45616</v>
      </c>
      <c r="AF130" s="55">
        <f t="shared" ca="1" si="34"/>
        <v>90.706016899626036</v>
      </c>
      <c r="AG130" s="55">
        <f t="shared" ca="1" si="35"/>
        <v>41.429591585693572</v>
      </c>
      <c r="AH130" s="55">
        <f t="shared" ca="1" si="36"/>
        <v>0</v>
      </c>
      <c r="AI130" s="55">
        <f ca="1">-VLOOKUP(AE130,ModelOutputs,9,FALSE)+AI129</f>
        <v>-54.374400579369883</v>
      </c>
      <c r="AJ130" s="55">
        <f ca="1">VLOOKUP(AE130,ModelOutputs,5,FALSE)+AJ129</f>
        <v>68.864671574004106</v>
      </c>
      <c r="AK130" s="55">
        <f ca="1">VLOOKUP(AE130,ModelOutputs,4,FALSE)+AK129</f>
        <v>87.150200342612465</v>
      </c>
    </row>
    <row r="131" spans="18:37">
      <c r="R131" s="83">
        <f ca="1"/>
        <v>45476</v>
      </c>
      <c r="S131" s="55">
        <f t="shared" ca="1" si="28"/>
        <v>45476</v>
      </c>
      <c r="T131" s="55">
        <f t="shared" ca="1" si="23"/>
        <v>113.6662330975073</v>
      </c>
      <c r="U131" s="55">
        <f t="shared" ca="1" si="24"/>
        <v>164.44195564698114</v>
      </c>
      <c r="V131" s="55">
        <f t="shared" ca="1" si="25"/>
        <v>0</v>
      </c>
      <c r="W131" s="55">
        <f t="shared" ca="1" si="29"/>
        <v>-105.73950286516047</v>
      </c>
      <c r="X131" s="55">
        <f t="shared" ca="1" si="30"/>
        <v>77.721626318472772</v>
      </c>
      <c r="Y131" s="55">
        <f t="shared" ca="1" si="31"/>
        <v>86.740295515434013</v>
      </c>
      <c r="Z131">
        <f ca="1">VLOOKUP(S131,ModelOutputs,10,FALSE)*AWC</f>
        <v>119.69131659023442</v>
      </c>
      <c r="AA131">
        <f t="shared" ca="1" si="32"/>
        <v>180.71626069015068</v>
      </c>
      <c r="AB131">
        <f t="shared" ca="1" si="26"/>
        <v>0</v>
      </c>
      <c r="AC131">
        <f t="shared" ca="1" si="27"/>
        <v>0.99999997121592321</v>
      </c>
      <c r="AD131" s="83">
        <f ca="1"/>
        <v>45617</v>
      </c>
      <c r="AE131" s="55">
        <f t="shared" ca="1" si="33"/>
        <v>45617</v>
      </c>
      <c r="AF131" s="55">
        <f t="shared" ca="1" si="34"/>
        <v>90.181123934002983</v>
      </c>
      <c r="AG131" s="55">
        <f t="shared" ca="1" si="35"/>
        <v>42.550254235732339</v>
      </c>
      <c r="AH131" s="55">
        <f t="shared" ca="1" si="36"/>
        <v>0</v>
      </c>
      <c r="AI131" s="55">
        <f ca="1">-VLOOKUP(AE131,ModelOutputs,9,FALSE)+AI130</f>
        <v>-54.374400579369883</v>
      </c>
      <c r="AJ131" s="55">
        <f ca="1">VLOOKUP(AE131,ModelOutputs,5,FALSE)+AJ130</f>
        <v>69.449384702962305</v>
      </c>
      <c r="AK131" s="55">
        <f ca="1">VLOOKUP(AE131,ModelOutputs,4,FALSE)+AK130</f>
        <v>87.161256898069979</v>
      </c>
    </row>
    <row r="132" spans="18:37">
      <c r="R132" s="83">
        <f ca="1"/>
        <v>45477</v>
      </c>
      <c r="S132" s="55">
        <f t="shared" ca="1" si="28"/>
        <v>45477</v>
      </c>
      <c r="T132" s="55">
        <f t="shared" ca="1" si="23"/>
        <v>111.39847767364682</v>
      </c>
      <c r="U132" s="55">
        <f t="shared" ca="1" si="24"/>
        <v>167.2306004656848</v>
      </c>
      <c r="V132" s="55">
        <f t="shared" ca="1" si="25"/>
        <v>0</v>
      </c>
      <c r="W132" s="55">
        <f t="shared" ca="1" si="29"/>
        <v>-105.73950286516047</v>
      </c>
      <c r="X132" s="55">
        <f t="shared" ca="1" si="30"/>
        <v>78.235176751265783</v>
      </c>
      <c r="Y132" s="55">
        <f t="shared" ca="1" si="31"/>
        <v>86.747634477484183</v>
      </c>
      <c r="Z132">
        <f ca="1">VLOOKUP(S132,ModelOutputs,10,FALSE)*AWC</f>
        <v>117.75933140072807</v>
      </c>
      <c r="AA132">
        <f t="shared" ca="1" si="32"/>
        <v>180.71626069015068</v>
      </c>
      <c r="AB132">
        <f t="shared" ca="1" si="26"/>
        <v>0</v>
      </c>
      <c r="AC132">
        <f t="shared" ca="1" si="27"/>
        <v>0.99999997583702316</v>
      </c>
      <c r="AD132" s="83">
        <f ca="1"/>
        <v>45618</v>
      </c>
      <c r="AE132" s="55">
        <f t="shared" ca="1" si="33"/>
        <v>45618</v>
      </c>
      <c r="AF132" s="55">
        <f t="shared" ca="1" si="34"/>
        <v>89.571960181831813</v>
      </c>
      <c r="AG132" s="55">
        <f t="shared" ca="1" si="35"/>
        <v>43.731257737009955</v>
      </c>
      <c r="AH132" s="55">
        <f t="shared" ca="1" si="36"/>
        <v>0</v>
      </c>
      <c r="AI132" s="55">
        <f ca="1">-VLOOKUP(AE132,ModelOutputs,9,FALSE)+AI131</f>
        <v>-54.374400579369883</v>
      </c>
      <c r="AJ132" s="55">
        <f ca="1">VLOOKUP(AE132,ModelOutputs,5,FALSE)+AJ131</f>
        <v>70.010651520424588</v>
      </c>
      <c r="AK132" s="55">
        <f ca="1">VLOOKUP(AE132,ModelOutputs,4,FALSE)+AK131</f>
        <v>87.171829829714142</v>
      </c>
    </row>
    <row r="133" spans="18:37">
      <c r="R133" s="83">
        <f ca="1"/>
        <v>45478</v>
      </c>
      <c r="S133" s="55">
        <f t="shared" ca="1" si="28"/>
        <v>45478</v>
      </c>
      <c r="T133" s="55">
        <f t="shared" ca="1" si="23"/>
        <v>108.93655781609344</v>
      </c>
      <c r="U133" s="55">
        <f t="shared" ca="1" si="24"/>
        <v>169.95098542824377</v>
      </c>
      <c r="V133" s="55">
        <f t="shared" ca="1" si="25"/>
        <v>0</v>
      </c>
      <c r="W133" s="55">
        <f t="shared" ca="1" si="29"/>
        <v>-105.98742104069423</v>
      </c>
      <c r="X133" s="55">
        <f t="shared" ca="1" si="30"/>
        <v>78.734453374955336</v>
      </c>
      <c r="Y133" s="55">
        <f t="shared" ca="1" si="31"/>
        <v>86.754741134333969</v>
      </c>
      <c r="Z133">
        <f ca="1">VLOOKUP(S133,ModelOutputs,10,FALSE)*AWC</f>
        <v>120</v>
      </c>
      <c r="AA133">
        <f t="shared" ca="1" si="32"/>
        <v>181.03966431407761</v>
      </c>
      <c r="AB133">
        <f t="shared" ca="1" si="26"/>
        <v>0</v>
      </c>
      <c r="AC133">
        <f t="shared" ca="1" si="27"/>
        <v>0.99999997961054055</v>
      </c>
      <c r="AD133" s="83">
        <f ca="1"/>
        <v>45619</v>
      </c>
      <c r="AE133" s="55">
        <f t="shared" ca="1" si="33"/>
        <v>45619</v>
      </c>
      <c r="AF133" s="55">
        <f t="shared" ca="1" si="34"/>
        <v>88.926717906100777</v>
      </c>
      <c r="AG133" s="55">
        <f t="shared" ca="1" si="35"/>
        <v>44.927756167764734</v>
      </c>
      <c r="AH133" s="55">
        <f t="shared" ca="1" si="36"/>
        <v>0</v>
      </c>
      <c r="AI133" s="55">
        <f ca="1">-VLOOKUP(AE133,ModelOutputs,9,FALSE)+AI132</f>
        <v>-54.374400579369883</v>
      </c>
      <c r="AJ133" s="55">
        <f ca="1">VLOOKUP(AE133,ModelOutputs,5,FALSE)+AJ132</f>
        <v>70.551753157634465</v>
      </c>
      <c r="AK133" s="55">
        <f ca="1">VLOOKUP(AE133,ModelOutputs,4,FALSE)+AK132</f>
        <v>87.181984347528015</v>
      </c>
    </row>
    <row r="134" spans="18:37">
      <c r="R134" s="83">
        <f ca="1"/>
        <v>45479</v>
      </c>
      <c r="S134" s="55">
        <f t="shared" ca="1" si="28"/>
        <v>45479</v>
      </c>
      <c r="T134" s="55">
        <f t="shared" ca="1" si="23"/>
        <v>103.82978719896286</v>
      </c>
      <c r="U134" s="55">
        <f t="shared" ca="1" si="24"/>
        <v>172.84630958979625</v>
      </c>
      <c r="V134" s="55">
        <f t="shared" ca="1" si="25"/>
        <v>0</v>
      </c>
      <c r="W134" s="55">
        <f t="shared" ca="1" si="29"/>
        <v>-108.73332711317481</v>
      </c>
      <c r="X134" s="55">
        <f t="shared" ca="1" si="30"/>
        <v>79.261442962910635</v>
      </c>
      <c r="Y134" s="55">
        <f t="shared" ca="1" si="31"/>
        <v>86.762211163281151</v>
      </c>
      <c r="Z134">
        <f ca="1">VLOOKUP(S134,ModelOutputs,10,FALSE)*AWC</f>
        <v>120</v>
      </c>
      <c r="AA134">
        <f t="shared" ca="1" si="32"/>
        <v>184.79781229418452</v>
      </c>
      <c r="AB134">
        <f t="shared" ca="1" si="26"/>
        <v>0</v>
      </c>
      <c r="AC134">
        <f t="shared" ca="1" si="27"/>
        <v>0.99999998296605896</v>
      </c>
      <c r="AD134" s="83">
        <f ca="1"/>
        <v>45620</v>
      </c>
      <c r="AE134" s="55">
        <f t="shared" ca="1" si="33"/>
        <v>45620</v>
      </c>
      <c r="AF134" s="55">
        <f t="shared" ca="1" si="34"/>
        <v>88.216526123981964</v>
      </c>
      <c r="AG134" s="55">
        <f t="shared" ca="1" si="35"/>
        <v>46.215049820488701</v>
      </c>
      <c r="AH134" s="55">
        <f t="shared" ca="1" si="36"/>
        <v>0</v>
      </c>
      <c r="AI134" s="55">
        <f ca="1">-VLOOKUP(AE134,ModelOutputs,9,FALSE)+AI133</f>
        <v>-54.374400579369883</v>
      </c>
      <c r="AJ134" s="55">
        <f ca="1">VLOOKUP(AE134,ModelOutputs,5,FALSE)+AJ133</f>
        <v>71.118265435907276</v>
      </c>
      <c r="AK134" s="55">
        <f ca="1">VLOOKUP(AE134,ModelOutputs,4,FALSE)+AK133</f>
        <v>87.192573939860353</v>
      </c>
    </row>
    <row r="135" spans="18:37">
      <c r="R135" s="83">
        <f ca="1"/>
        <v>45480</v>
      </c>
      <c r="S135" s="55">
        <f t="shared" ca="1" si="28"/>
        <v>45480</v>
      </c>
      <c r="T135" s="55">
        <f t="shared" ca="1" si="23"/>
        <v>99.848836906505284</v>
      </c>
      <c r="U135" s="55">
        <f t="shared" ca="1" si="24"/>
        <v>175.41479271186853</v>
      </c>
      <c r="V135" s="55">
        <f t="shared" ca="1" si="25"/>
        <v>0</v>
      </c>
      <c r="W135" s="55">
        <f t="shared" ca="1" si="29"/>
        <v>-110.62230131564074</v>
      </c>
      <c r="X135" s="55">
        <f t="shared" ca="1" si="30"/>
        <v>79.731317147929317</v>
      </c>
      <c r="Y135" s="55">
        <f t="shared" ca="1" si="31"/>
        <v>86.768844010343102</v>
      </c>
      <c r="Z135">
        <f ca="1">VLOOKUP(S135,ModelOutputs,10,FALSE)*AWC</f>
        <v>120</v>
      </c>
      <c r="AA135">
        <f t="shared" ca="1" si="32"/>
        <v>187.48620791757318</v>
      </c>
      <c r="AB135">
        <f t="shared" ca="1" si="26"/>
        <v>0</v>
      </c>
      <c r="AC135">
        <f t="shared" ca="1" si="27"/>
        <v>0.99999998546703517</v>
      </c>
      <c r="AD135" s="83">
        <f ca="1"/>
        <v>45621</v>
      </c>
      <c r="AE135" s="55">
        <f t="shared" ca="1" si="33"/>
        <v>45621</v>
      </c>
      <c r="AF135" s="55">
        <f t="shared" ca="1" si="34"/>
        <v>87.526564310159259</v>
      </c>
      <c r="AG135" s="55">
        <f t="shared" ca="1" si="35"/>
        <v>47.528257207214168</v>
      </c>
      <c r="AH135" s="55">
        <f t="shared" ca="1" si="36"/>
        <v>0</v>
      </c>
      <c r="AI135" s="55">
        <f ca="1">-VLOOKUP(AE135,ModelOutputs,9,FALSE)+AI134</f>
        <v>-54.374400579369883</v>
      </c>
      <c r="AJ135" s="55">
        <f ca="1">VLOOKUP(AE135,ModelOutputs,5,FALSE)+AJ134</f>
        <v>71.730123253304711</v>
      </c>
      <c r="AK135" s="55">
        <f ca="1">VLOOKUP(AE135,ModelOutputs,4,FALSE)+AK134</f>
        <v>87.203961695365678</v>
      </c>
    </row>
    <row r="136" spans="18:37">
      <c r="R136" s="83">
        <f ca="1"/>
        <v>45481</v>
      </c>
      <c r="S136" s="55">
        <f t="shared" ca="1" si="28"/>
        <v>45481</v>
      </c>
      <c r="T136" s="55">
        <f t="shared" ca="1" si="23"/>
        <v>95.624955120218573</v>
      </c>
      <c r="U136" s="55">
        <f t="shared" ca="1" si="24"/>
        <v>177.88109535459628</v>
      </c>
      <c r="V136" s="55">
        <f t="shared" ca="1" si="25"/>
        <v>0</v>
      </c>
      <c r="W136" s="55">
        <f t="shared" ca="1" si="29"/>
        <v>-112.83826595440745</v>
      </c>
      <c r="X136" s="55">
        <f t="shared" ca="1" si="30"/>
        <v>80.183346766779977</v>
      </c>
      <c r="Y136" s="55">
        <f t="shared" ca="1" si="31"/>
        <v>86.775199886700193</v>
      </c>
      <c r="Z136">
        <f ca="1">VLOOKUP(S136,ModelOutputs,10,FALSE)*AWC</f>
        <v>120</v>
      </c>
      <c r="AA136">
        <f t="shared" ca="1" si="32"/>
        <v>190.7792838488993</v>
      </c>
      <c r="AB136">
        <f t="shared" ca="1" si="26"/>
        <v>0</v>
      </c>
      <c r="AC136">
        <f t="shared" ca="1" si="27"/>
        <v>0.99999998751491204</v>
      </c>
      <c r="AD136" s="83">
        <f ca="1"/>
        <v>45622</v>
      </c>
      <c r="AE136" s="55">
        <f t="shared" ca="1" si="33"/>
        <v>45622</v>
      </c>
      <c r="AF136" s="55">
        <f t="shared" ca="1" si="34"/>
        <v>86.785007653761738</v>
      </c>
      <c r="AG136" s="55">
        <f t="shared" ca="1" si="35"/>
        <v>48.883395104504196</v>
      </c>
      <c r="AH136" s="55">
        <f t="shared" ca="1" si="36"/>
        <v>0</v>
      </c>
      <c r="AI136" s="55">
        <f ca="1">-VLOOKUP(AE136,ModelOutputs,9,FALSE)+AI135</f>
        <v>-54.374400579369883</v>
      </c>
      <c r="AJ136" s="55">
        <f ca="1">VLOOKUP(AE136,ModelOutputs,5,FALSE)+AJ135</f>
        <v>72.332544049941035</v>
      </c>
      <c r="AK136" s="55">
        <f ca="1">VLOOKUP(AE136,ModelOutputs,4,FALSE)+AK135</f>
        <v>87.215122139621855</v>
      </c>
    </row>
    <row r="137" spans="18:37">
      <c r="R137" s="83">
        <f ca="1"/>
        <v>45482</v>
      </c>
      <c r="S137" s="55">
        <f t="shared" ca="1" si="28"/>
        <v>45482</v>
      </c>
      <c r="T137" s="55">
        <f t="shared" ca="1" si="23"/>
        <v>92.802159442297622</v>
      </c>
      <c r="U137" s="55">
        <f t="shared" ca="1" si="24"/>
        <v>180.38131171599423</v>
      </c>
      <c r="V137" s="55">
        <f t="shared" ca="1" si="25"/>
        <v>0</v>
      </c>
      <c r="W137" s="55">
        <f t="shared" ca="1" si="29"/>
        <v>-113.62323226596428</v>
      </c>
      <c r="X137" s="55">
        <f t="shared" ca="1" si="30"/>
        <v>80.639347452389984</v>
      </c>
      <c r="Y137" s="55">
        <f t="shared" ca="1" si="31"/>
        <v>86.78158619612401</v>
      </c>
      <c r="Z137">
        <f ca="1">VLOOKUP(S137,ModelOutputs,10,FALSE)*AWC</f>
        <v>120</v>
      </c>
      <c r="AA137">
        <f t="shared" ca="1" si="32"/>
        <v>191.98128006261049</v>
      </c>
      <c r="AB137">
        <f t="shared" ca="1" si="26"/>
        <v>0</v>
      </c>
      <c r="AC137">
        <f t="shared" ca="1" si="27"/>
        <v>0.99999998929084477</v>
      </c>
      <c r="AD137" s="83">
        <f ca="1"/>
        <v>45623</v>
      </c>
      <c r="AE137" s="55">
        <f t="shared" ca="1" si="33"/>
        <v>45623</v>
      </c>
      <c r="AF137" s="55">
        <f t="shared" ca="1" si="34"/>
        <v>86.107037536540687</v>
      </c>
      <c r="AG137" s="55">
        <f t="shared" ca="1" si="35"/>
        <v>50.234369415533571</v>
      </c>
      <c r="AH137" s="55">
        <f t="shared" ca="1" si="36"/>
        <v>0</v>
      </c>
      <c r="AI137" s="55">
        <f ca="1">-VLOOKUP(AE137,ModelOutputs,9,FALSE)+AI136</f>
        <v>-54.374400579369883</v>
      </c>
      <c r="AJ137" s="55">
        <f ca="1">VLOOKUP(AE137,ModelOutputs,5,FALSE)+AJ136</f>
        <v>72.993366560434794</v>
      </c>
      <c r="AK137" s="55">
        <f ca="1">VLOOKUP(AE137,ModelOutputs,4,FALSE)+AK136</f>
        <v>87.22730382293642</v>
      </c>
    </row>
    <row r="138" spans="18:37">
      <c r="R138" s="83">
        <f ca="1"/>
        <v>45483</v>
      </c>
      <c r="S138" s="55">
        <f t="shared" ca="1" si="28"/>
        <v>45483</v>
      </c>
      <c r="T138" s="55">
        <f t="shared" ca="1" si="23"/>
        <v>88.556510875248563</v>
      </c>
      <c r="U138" s="55">
        <f t="shared" ca="1" si="24"/>
        <v>182.82608783215952</v>
      </c>
      <c r="V138" s="55">
        <f t="shared" ca="1" si="25"/>
        <v>0</v>
      </c>
      <c r="W138" s="55">
        <f t="shared" ca="1" si="29"/>
        <v>-115.87644264363736</v>
      </c>
      <c r="X138" s="55">
        <f t="shared" ca="1" si="30"/>
        <v>81.085462658678836</v>
      </c>
      <c r="Y138" s="55">
        <f t="shared" ca="1" si="31"/>
        <v>86.787808916624471</v>
      </c>
      <c r="Z138">
        <f ca="1">VLOOKUP(S138,ModelOutputs,10,FALSE)*AWC</f>
        <v>120</v>
      </c>
      <c r="AA138">
        <f t="shared" ca="1" si="32"/>
        <v>195.59697190169385</v>
      </c>
      <c r="AB138">
        <f t="shared" ca="1" si="26"/>
        <v>0</v>
      </c>
      <c r="AC138">
        <f t="shared" ca="1" si="27"/>
        <v>0.99999999077846413</v>
      </c>
      <c r="AD138" s="83">
        <f ca="1"/>
        <v>45624</v>
      </c>
      <c r="AE138" s="55">
        <f t="shared" ca="1" si="33"/>
        <v>45624</v>
      </c>
      <c r="AF138" s="55">
        <f t="shared" ca="1" si="34"/>
        <v>85.405795793054381</v>
      </c>
      <c r="AG138" s="55">
        <f t="shared" ca="1" si="35"/>
        <v>51.508904320622491</v>
      </c>
      <c r="AH138" s="55">
        <f t="shared" ca="1" si="36"/>
        <v>0</v>
      </c>
      <c r="AI138" s="55">
        <f ca="1">-VLOOKUP(AE138,ModelOutputs,9,FALSE)+AI137</f>
        <v>-54.374400579369883</v>
      </c>
      <c r="AJ138" s="55">
        <f ca="1">VLOOKUP(AE138,ModelOutputs,5,FALSE)+AJ137</f>
        <v>73.556333391551235</v>
      </c>
      <c r="AK138" s="55">
        <f ca="1">VLOOKUP(AE138,ModelOutputs,4,FALSE)+AK137</f>
        <v>87.2376301534226</v>
      </c>
    </row>
    <row r="139" spans="18:37">
      <c r="R139" s="83">
        <f ca="1"/>
        <v>45484</v>
      </c>
      <c r="S139" s="55">
        <f t="shared" ca="1" si="28"/>
        <v>45484</v>
      </c>
      <c r="T139" s="55">
        <f t="shared" ca="1" si="23"/>
        <v>86.098971441770701</v>
      </c>
      <c r="U139" s="55">
        <f t="shared" ca="1" si="24"/>
        <v>185.38099987756735</v>
      </c>
      <c r="V139" s="55">
        <f t="shared" ca="1" si="25"/>
        <v>0</v>
      </c>
      <c r="W139" s="55">
        <f t="shared" ca="1" si="29"/>
        <v>-116.24769084522747</v>
      </c>
      <c r="X139" s="55">
        <f t="shared" ca="1" si="30"/>
        <v>81.547663069595743</v>
      </c>
      <c r="Y139" s="55">
        <f t="shared" ca="1" si="31"/>
        <v>86.79422931922764</v>
      </c>
      <c r="Z139">
        <f ca="1">VLOOKUP(S139,ModelOutputs,10,FALSE)*AWC</f>
        <v>120</v>
      </c>
      <c r="AA139">
        <f t="shared" ca="1" si="32"/>
        <v>196.20971236189246</v>
      </c>
      <c r="AB139">
        <f t="shared" ca="1" si="26"/>
        <v>0</v>
      </c>
      <c r="AC139">
        <f t="shared" ca="1" si="27"/>
        <v>0.99999999210917323</v>
      </c>
      <c r="AD139" s="83">
        <f ca="1"/>
        <v>45625</v>
      </c>
      <c r="AE139" s="55">
        <f t="shared" ca="1" si="33"/>
        <v>45625</v>
      </c>
      <c r="AF139" s="55">
        <f t="shared" ca="1" si="34"/>
        <v>84.683522004960224</v>
      </c>
      <c r="AG139" s="55">
        <f t="shared" ca="1" si="35"/>
        <v>52.885660038276662</v>
      </c>
      <c r="AH139" s="55">
        <f t="shared" ca="1" si="36"/>
        <v>0</v>
      </c>
      <c r="AI139" s="55">
        <f ca="1">-VLOOKUP(AE139,ModelOutputs,9,FALSE)+AI138</f>
        <v>-54.374400579369883</v>
      </c>
      <c r="AJ139" s="55">
        <f ca="1">VLOOKUP(AE139,ModelOutputs,5,FALSE)+AJ138</f>
        <v>74.199084939683488</v>
      </c>
      <c r="AK139" s="55">
        <f ca="1">VLOOKUP(AE139,ModelOutputs,4,FALSE)+AK138</f>
        <v>87.249360534850354</v>
      </c>
    </row>
    <row r="140" spans="18:37">
      <c r="R140" s="83">
        <f ca="1"/>
        <v>45485</v>
      </c>
      <c r="S140" s="55">
        <f t="shared" ca="1" si="28"/>
        <v>45485</v>
      </c>
      <c r="T140" s="55">
        <f t="shared" ca="1" si="23"/>
        <v>81.668824490159594</v>
      </c>
      <c r="U140" s="55">
        <f t="shared" ca="1" si="24"/>
        <v>187.85720055137233</v>
      </c>
      <c r="V140" s="55">
        <f t="shared" ca="1" si="25"/>
        <v>0</v>
      </c>
      <c r="W140" s="55">
        <f t="shared" ca="1" si="29"/>
        <v>-118.65671489070986</v>
      </c>
      <c r="X140" s="55">
        <f t="shared" ca="1" si="30"/>
        <v>81.996532041798744</v>
      </c>
      <c r="Y140" s="55">
        <f t="shared" ca="1" si="31"/>
        <v>86.80043811470091</v>
      </c>
      <c r="Z140">
        <f ca="1">VLOOKUP(S140,ModelOutputs,10,FALSE)*AWC</f>
        <v>120</v>
      </c>
      <c r="AA140">
        <f t="shared" ca="1" si="32"/>
        <v>200.40145869929961</v>
      </c>
      <c r="AB140">
        <f t="shared" ca="1" si="26"/>
        <v>0</v>
      </c>
      <c r="AC140">
        <f t="shared" ca="1" si="27"/>
        <v>0.99999999321267063</v>
      </c>
      <c r="AD140" s="83">
        <f ca="1"/>
        <v>45626</v>
      </c>
      <c r="AE140" s="55">
        <f t="shared" ca="1" si="33"/>
        <v>45626</v>
      </c>
      <c r="AF140" s="55">
        <f t="shared" ca="1" si="34"/>
        <v>84.017280988173454</v>
      </c>
      <c r="AG140" s="55">
        <f t="shared" ca="1" si="35"/>
        <v>54.252102284238283</v>
      </c>
      <c r="AH140" s="55">
        <f t="shared" ca="1" si="36"/>
        <v>0</v>
      </c>
      <c r="AI140" s="55">
        <f ca="1">-VLOOKUP(AE140,ModelOutputs,9,FALSE)+AI139</f>
        <v>-54.374400579369883</v>
      </c>
      <c r="AJ140" s="55">
        <f ca="1">VLOOKUP(AE140,ModelOutputs,5,FALSE)+AJ139</f>
        <v>74.886806973034396</v>
      </c>
      <c r="AK140" s="55">
        <f ca="1">VLOOKUP(AE140,ModelOutputs,4,FALSE)+AK139</f>
        <v>87.261839730674296</v>
      </c>
    </row>
    <row r="141" spans="18:37">
      <c r="R141" s="83">
        <f ca="1"/>
        <v>45486</v>
      </c>
      <c r="S141" s="55">
        <f t="shared" ca="1" si="28"/>
        <v>45486</v>
      </c>
      <c r="T141" s="55">
        <f t="shared" ca="1" si="23"/>
        <v>77.844779826039272</v>
      </c>
      <c r="U141" s="55">
        <f t="shared" ca="1" si="24"/>
        <v>190.28502962062205</v>
      </c>
      <c r="V141" s="55">
        <f t="shared" ca="1" si="25"/>
        <v>0</v>
      </c>
      <c r="W141" s="55">
        <f t="shared" ca="1" si="29"/>
        <v>-120.49959105761417</v>
      </c>
      <c r="X141" s="55">
        <f t="shared" ca="1" si="30"/>
        <v>82.437124016509145</v>
      </c>
      <c r="Y141" s="55">
        <f t="shared" ca="1" si="31"/>
        <v>86.806506712024216</v>
      </c>
      <c r="Z141">
        <f ca="1">VLOOKUP(S141,ModelOutputs,10,FALSE)*AWC</f>
        <v>120</v>
      </c>
      <c r="AA141">
        <f t="shared" ca="1" si="32"/>
        <v>203.76562008880552</v>
      </c>
      <c r="AB141">
        <f t="shared" ca="1" si="26"/>
        <v>0</v>
      </c>
      <c r="AC141">
        <f t="shared" ca="1" si="27"/>
        <v>0.99999999414268381</v>
      </c>
      <c r="AD141" s="83">
        <f ca="1"/>
        <v>45627</v>
      </c>
      <c r="AE141" s="55">
        <f t="shared" ca="1" si="33"/>
        <v>45627</v>
      </c>
      <c r="AF141" s="55">
        <f t="shared" ca="1" si="34"/>
        <v>83.288133362556522</v>
      </c>
      <c r="AG141" s="55">
        <f t="shared" ca="1" si="35"/>
        <v>55.648852202977544</v>
      </c>
      <c r="AH141" s="55">
        <f t="shared" ca="1" si="36"/>
        <v>0</v>
      </c>
      <c r="AI141" s="55">
        <f ca="1">-VLOOKUP(AE141,ModelOutputs,9,FALSE)+AI140</f>
        <v>-54.374400579369883</v>
      </c>
      <c r="AJ141" s="55">
        <f ca="1">VLOOKUP(AE141,ModelOutputs,5,FALSE)+AJ140</f>
        <v>75.542580741552356</v>
      </c>
      <c r="AK141" s="55">
        <f ca="1">VLOOKUP(AE141,ModelOutputs,4,FALSE)+AK140</f>
        <v>87.273668255278665</v>
      </c>
    </row>
    <row r="142" spans="18:37">
      <c r="R142" s="83">
        <f ca="1"/>
        <v>45487</v>
      </c>
      <c r="S142" s="55">
        <f t="shared" ca="1" si="28"/>
        <v>45487</v>
      </c>
      <c r="T142" s="55">
        <f t="shared" ca="1" si="23"/>
        <v>75.039975175641473</v>
      </c>
      <c r="U142" s="55">
        <f t="shared" ca="1" si="24"/>
        <v>193.00786547219107</v>
      </c>
      <c r="V142" s="55">
        <f t="shared" ca="1" si="25"/>
        <v>0</v>
      </c>
      <c r="W142" s="55">
        <f t="shared" ca="1" si="29"/>
        <v>-121.07435329536284</v>
      </c>
      <c r="X142" s="55">
        <f t="shared" ca="1" si="30"/>
        <v>82.923251656832335</v>
      </c>
      <c r="Y142" s="55">
        <f t="shared" ca="1" si="31"/>
        <v>86.813172510620916</v>
      </c>
      <c r="Z142">
        <f ca="1">VLOOKUP(S142,ModelOutputs,10,FALSE)*AWC</f>
        <v>120</v>
      </c>
      <c r="AA142">
        <f t="shared" ca="1" si="32"/>
        <v>204.85406313342702</v>
      </c>
      <c r="AB142">
        <f t="shared" ca="1" si="26"/>
        <v>0</v>
      </c>
      <c r="AC142">
        <f t="shared" ca="1" si="27"/>
        <v>0.99999999503327386</v>
      </c>
      <c r="AD142" s="83">
        <f ca="1"/>
        <v>45628</v>
      </c>
      <c r="AE142" s="55">
        <f t="shared" ca="1" si="33"/>
        <v>45628</v>
      </c>
      <c r="AF142" s="55">
        <f t="shared" ca="1" si="34"/>
        <v>82.537280604081758</v>
      </c>
      <c r="AG142" s="55">
        <f t="shared" ca="1" si="35"/>
        <v>57.045120301990536</v>
      </c>
      <c r="AH142" s="55">
        <f t="shared" ca="1" si="36"/>
        <v>0</v>
      </c>
      <c r="AI142" s="55">
        <f ca="1">-VLOOKUP(AE142,ModelOutputs,9,FALSE)+AI141</f>
        <v>-54.374400579369883</v>
      </c>
      <c r="AJ142" s="55">
        <f ca="1">VLOOKUP(AE142,ModelOutputs,5,FALSE)+AJ141</f>
        <v>76.1766268402028</v>
      </c>
      <c r="AK142" s="55">
        <f ca="1">VLOOKUP(AE142,ModelOutputs,4,FALSE)+AK141</f>
        <v>87.285037497166456</v>
      </c>
    </row>
    <row r="143" spans="18:37">
      <c r="R143" s="83">
        <f ca="1"/>
        <v>45488</v>
      </c>
      <c r="S143" s="55">
        <f t="shared" ca="1" si="28"/>
        <v>45488</v>
      </c>
      <c r="T143" s="55">
        <f t="shared" ca="1" si="23"/>
        <v>70.197299739950935</v>
      </c>
      <c r="U143" s="55">
        <f t="shared" ca="1" si="24"/>
        <v>195.73575291001424</v>
      </c>
      <c r="V143" s="55">
        <f t="shared" ca="1" si="25"/>
        <v>0</v>
      </c>
      <c r="W143" s="55">
        <f t="shared" ca="1" si="29"/>
        <v>-123.68190280963563</v>
      </c>
      <c r="X143" s="55">
        <f t="shared" ca="1" si="30"/>
        <v>83.409379297155525</v>
      </c>
      <c r="Y143" s="55">
        <f t="shared" ca="1" si="31"/>
        <v>86.819806386703149</v>
      </c>
      <c r="Z143">
        <f ca="1">VLOOKUP(S143,ModelOutputs,10,FALSE)*AWC</f>
        <v>120</v>
      </c>
      <c r="AA143">
        <f t="shared" ca="1" si="32"/>
        <v>210.13270649001885</v>
      </c>
      <c r="AB143">
        <f t="shared" ca="1" si="26"/>
        <v>0</v>
      </c>
      <c r="AC143">
        <f t="shared" ca="1" si="27"/>
        <v>0.999999995788452</v>
      </c>
      <c r="AD143" s="83">
        <f ca="1"/>
        <v>45629</v>
      </c>
      <c r="AE143" s="55">
        <f t="shared" ca="1" si="33"/>
        <v>45629</v>
      </c>
      <c r="AF143" s="55">
        <f t="shared" ca="1" si="34"/>
        <v>81.753528627169402</v>
      </c>
      <c r="AG143" s="55">
        <f t="shared" ca="1" si="35"/>
        <v>58.492954099219304</v>
      </c>
      <c r="AH143" s="55">
        <f t="shared" ca="1" si="36"/>
        <v>0</v>
      </c>
      <c r="AI143" s="55">
        <f ca="1">-VLOOKUP(AE143,ModelOutputs,9,FALSE)+AI142</f>
        <v>-54.374400579369883</v>
      </c>
      <c r="AJ143" s="55">
        <f ca="1">VLOOKUP(AE143,ModelOutputs,5,FALSE)+AJ142</f>
        <v>76.829079962075852</v>
      </c>
      <c r="AK143" s="55">
        <f ca="1">VLOOKUP(AE143,ModelOutputs,4,FALSE)+AK142</f>
        <v>87.296666195609816</v>
      </c>
    </row>
    <row r="144" spans="18:37">
      <c r="R144" s="83">
        <f ca="1"/>
        <v>45489</v>
      </c>
      <c r="S144" s="55">
        <f t="shared" ca="1" si="28"/>
        <v>45489</v>
      </c>
      <c r="T144" s="55">
        <f t="shared" ca="1" si="23"/>
        <v>66.070555006325222</v>
      </c>
      <c r="U144" s="55">
        <f t="shared" ca="1" si="24"/>
        <v>198.69358942882064</v>
      </c>
      <c r="V144" s="55">
        <f t="shared" ca="1" si="25"/>
        <v>0</v>
      </c>
      <c r="W144" s="55">
        <f t="shared" ca="1" si="29"/>
        <v>-125.38137872710044</v>
      </c>
      <c r="X144" s="55">
        <f t="shared" ca="1" si="30"/>
        <v>83.932839871747021</v>
      </c>
      <c r="Y144" s="55">
        <f t="shared" ca="1" si="31"/>
        <v>86.826913514757152</v>
      </c>
      <c r="Z144">
        <f ca="1">VLOOKUP(S144,ModelOutputs,10,FALSE)*AWC</f>
        <v>120</v>
      </c>
      <c r="AA144">
        <f t="shared" ca="1" si="32"/>
        <v>213.78795764476882</v>
      </c>
      <c r="AB144">
        <f t="shared" ca="1" si="26"/>
        <v>0</v>
      </c>
      <c r="AC144">
        <f t="shared" ca="1" si="27"/>
        <v>0.99999999647713222</v>
      </c>
      <c r="AD144" s="83">
        <f ca="1"/>
        <v>45630</v>
      </c>
      <c r="AE144" s="55">
        <f t="shared" ca="1" si="33"/>
        <v>45630</v>
      </c>
      <c r="AF144" s="55">
        <f t="shared" ca="1" si="34"/>
        <v>80.934794677126803</v>
      </c>
      <c r="AG144" s="55">
        <f t="shared" ca="1" si="35"/>
        <v>59.931764677396792</v>
      </c>
      <c r="AH144" s="55">
        <f t="shared" ca="1" si="36"/>
        <v>0</v>
      </c>
      <c r="AI144" s="55">
        <f ca="1">-VLOOKUP(AE144,ModelOutputs,9,FALSE)+AI143</f>
        <v>-54.374400579369883</v>
      </c>
      <c r="AJ144" s="55">
        <f ca="1">VLOOKUP(AE144,ModelOutputs,5,FALSE)+AJ143</f>
        <v>77.438363216605552</v>
      </c>
      <c r="AK144" s="55">
        <f ca="1">VLOOKUP(AE144,ModelOutputs,4,FALSE)+AK143</f>
        <v>87.307459569215013</v>
      </c>
    </row>
    <row r="145" spans="18:37">
      <c r="R145" s="83">
        <f ca="1"/>
        <v>45490</v>
      </c>
      <c r="S145" s="55">
        <f t="shared" ca="1" si="28"/>
        <v>45490</v>
      </c>
      <c r="T145" s="55">
        <f t="shared" ca="1" si="23"/>
        <v>63.797389203006908</v>
      </c>
      <c r="U145" s="55">
        <f t="shared" ca="1" si="24"/>
        <v>201.42462672888874</v>
      </c>
      <c r="V145" s="55">
        <f t="shared" ca="1" si="25"/>
        <v>0</v>
      </c>
      <c r="W145" s="55">
        <f t="shared" ca="1" si="29"/>
        <v>-125.41549011596189</v>
      </c>
      <c r="X145" s="55">
        <f t="shared" ca="1" si="30"/>
        <v>84.41826603556072</v>
      </c>
      <c r="Y145" s="55">
        <f t="shared" ca="1" si="31"/>
        <v>86.833470236554689</v>
      </c>
      <c r="Z145">
        <f ca="1">VLOOKUP(S145,ModelOutputs,10,FALSE)*AWC</f>
        <v>120</v>
      </c>
      <c r="AA145">
        <f t="shared" ca="1" si="32"/>
        <v>213.86393893415064</v>
      </c>
      <c r="AB145">
        <f t="shared" ca="1" si="26"/>
        <v>0</v>
      </c>
      <c r="AC145">
        <f t="shared" ca="1" si="27"/>
        <v>0.99999999701199171</v>
      </c>
      <c r="AD145" s="83">
        <f ca="1"/>
        <v>45631</v>
      </c>
      <c r="AE145" s="55">
        <f t="shared" ca="1" si="33"/>
        <v>45631</v>
      </c>
      <c r="AF145" s="55">
        <f t="shared" ca="1" si="34"/>
        <v>80.108958745099059</v>
      </c>
      <c r="AG145" s="55">
        <f t="shared" ca="1" si="35"/>
        <v>61.374183079528883</v>
      </c>
      <c r="AH145" s="55">
        <f t="shared" ca="1" si="36"/>
        <v>0</v>
      </c>
      <c r="AI145" s="55">
        <f ca="1">-VLOOKUP(AE145,ModelOutputs,9,FALSE)+AI144</f>
        <v>-54.374400579369883</v>
      </c>
      <c r="AJ145" s="55">
        <f ca="1">VLOOKUP(AE145,ModelOutputs,5,FALSE)+AJ144</f>
        <v>78.044276256906628</v>
      </c>
      <c r="AK145" s="55">
        <f ca="1">VLOOKUP(AE145,ModelOutputs,4,FALSE)+AK144</f>
        <v>87.318128999018285</v>
      </c>
    </row>
    <row r="146" spans="18:37">
      <c r="R146" s="83">
        <f ca="1"/>
        <v>45491</v>
      </c>
      <c r="S146" s="55">
        <f t="shared" ca="1" si="28"/>
        <v>45491</v>
      </c>
      <c r="T146" s="55">
        <f t="shared" ref="T146:T209" ca="1" si="37">VLOOKUP(S146,ModelOutputs,2,FALSE)</f>
        <v>61.436873028393961</v>
      </c>
      <c r="U146" s="55">
        <f t="shared" ref="U146:U209" ca="1" si="38">VLOOKUP(S146,ModelOutputs,7,FALSE)</f>
        <v>204.20313549995313</v>
      </c>
      <c r="V146" s="55">
        <f t="shared" ref="V146:V209" ca="1" si="39">VLOOKUP(S146,ModelOutputs,6,FALSE)</f>
        <v>0</v>
      </c>
      <c r="W146" s="55">
        <f t="shared" ca="1" si="29"/>
        <v>-125.49687894118205</v>
      </c>
      <c r="X146" s="55">
        <f t="shared" ca="1" si="30"/>
        <v>84.911025576861974</v>
      </c>
      <c r="Y146" s="55">
        <f t="shared" ca="1" si="31"/>
        <v>86.840092116925035</v>
      </c>
      <c r="Z146">
        <f ca="1">VLOOKUP(S146,ModelOutputs,10,FALSE)*AWC</f>
        <v>120</v>
      </c>
      <c r="AA146">
        <f t="shared" ca="1" si="32"/>
        <v>214.05219363944263</v>
      </c>
      <c r="AB146">
        <f t="shared" ref="AB146:AB209" ca="1" si="40">VLOOKUP(S146,ModelOutputs,12,FALSE)</f>
        <v>0</v>
      </c>
      <c r="AC146">
        <f t="shared" ref="AC146:AC209" ca="1" si="41">VLOOKUP(S146,ModelOutputs,13,FALSE)</f>
        <v>0.99999999747255663</v>
      </c>
      <c r="AD146" s="83">
        <f ca="1"/>
        <v>45632</v>
      </c>
      <c r="AE146" s="55">
        <f t="shared" ca="1" si="33"/>
        <v>45632</v>
      </c>
      <c r="AF146" s="55">
        <f t="shared" ca="1" si="34"/>
        <v>79.302473172825756</v>
      </c>
      <c r="AG146" s="55">
        <f t="shared" ca="1" si="35"/>
        <v>62.767131668136678</v>
      </c>
      <c r="AH146" s="55">
        <f t="shared" ca="1" si="36"/>
        <v>0</v>
      </c>
      <c r="AI146" s="55">
        <f ca="1">-VLOOKUP(AE146,ModelOutputs,9,FALSE)+AI145</f>
        <v>-54.374400579369883</v>
      </c>
      <c r="AJ146" s="55">
        <f ca="1">VLOOKUP(AE146,ModelOutputs,5,FALSE)+AJ145</f>
        <v>78.620650386048368</v>
      </c>
      <c r="AK146" s="55">
        <f ca="1">VLOOKUP(AE146,ModelOutputs,4,FALSE)+AK145</f>
        <v>87.328217886211036</v>
      </c>
    </row>
    <row r="147" spans="18:37">
      <c r="R147" s="83">
        <f ca="1"/>
        <v>45492</v>
      </c>
      <c r="S147" s="55">
        <f t="shared" ref="S147:S210" ca="1" si="42">IF(R147&gt;1,R147,"")</f>
        <v>45492</v>
      </c>
      <c r="T147" s="55">
        <f t="shared" ca="1" si="37"/>
        <v>58.286002140706692</v>
      </c>
      <c r="U147" s="55">
        <f t="shared" ca="1" si="38"/>
        <v>207.14002277947782</v>
      </c>
      <c r="V147" s="55">
        <f t="shared" ca="1" si="39"/>
        <v>0</v>
      </c>
      <c r="W147" s="55">
        <f t="shared" ref="W147:W210" ca="1" si="43">-VLOOKUP(S147,ModelOutputs,9,FALSE)+W146</f>
        <v>-126.23652238372354</v>
      </c>
      <c r="X147" s="55">
        <f t="shared" ref="X147:X210" ca="1" si="44">VLOOKUP(S147,ModelOutputs,5,FALSE)+X146</f>
        <v>85.429751913093781</v>
      </c>
      <c r="Y147" s="55">
        <f t="shared" ref="Y147:Y210" ca="1" si="45">VLOOKUP(S147,ModelOutputs,4,FALSE)+Y146</f>
        <v>86.847025615072127</v>
      </c>
      <c r="Z147">
        <f ca="1">VLOOKUP(S147,ModelOutputs,10,FALSE)*AWC</f>
        <v>120</v>
      </c>
      <c r="AA147">
        <f t="shared" ref="AA147:AA210" ca="1" si="46">VLOOKUP(S147,ModelOutputs,11,FALSE)+AA146</f>
        <v>215.85549498427724</v>
      </c>
      <c r="AB147">
        <f t="shared" ca="1" si="40"/>
        <v>0</v>
      </c>
      <c r="AC147">
        <f t="shared" ca="1" si="41"/>
        <v>0.99999999788226779</v>
      </c>
      <c r="AD147" s="83">
        <f ca="1"/>
        <v>45633</v>
      </c>
      <c r="AE147" s="55">
        <f t="shared" ca="1" si="33"/>
        <v>45633</v>
      </c>
      <c r="AF147" s="55">
        <f t="shared" ca="1" si="34"/>
        <v>78.567731647351081</v>
      </c>
      <c r="AG147" s="55">
        <f t="shared" ca="1" si="35"/>
        <v>64.105241197242378</v>
      </c>
      <c r="AH147" s="55">
        <f t="shared" ca="1" si="36"/>
        <v>0</v>
      </c>
      <c r="AI147" s="55">
        <f ca="1">-VLOOKUP(AE147,ModelOutputs,9,FALSE)+AI146</f>
        <v>-54.374400579369883</v>
      </c>
      <c r="AJ147" s="55">
        <f ca="1">VLOOKUP(AE147,ModelOutputs,5,FALSE)+AJ146</f>
        <v>79.213699983977307</v>
      </c>
      <c r="AK147" s="55">
        <f ca="1">VLOOKUP(AE147,ModelOutputs,4,FALSE)+AK146</f>
        <v>87.33853629191313</v>
      </c>
    </row>
    <row r="148" spans="18:37">
      <c r="R148" s="83">
        <f ca="1"/>
        <v>45493</v>
      </c>
      <c r="S148" s="55">
        <f t="shared" ca="1" si="42"/>
        <v>45493</v>
      </c>
      <c r="T148" s="55">
        <f t="shared" ca="1" si="37"/>
        <v>54.805098778588686</v>
      </c>
      <c r="U148" s="55">
        <f t="shared" ca="1" si="38"/>
        <v>210.18013387488659</v>
      </c>
      <c r="V148" s="55">
        <f t="shared" ca="1" si="39"/>
        <v>0</v>
      </c>
      <c r="W148" s="55">
        <f t="shared" ca="1" si="43"/>
        <v>-127.22066124616305</v>
      </c>
      <c r="X148" s="55">
        <f t="shared" ca="1" si="44"/>
        <v>85.965971896797214</v>
      </c>
      <c r="Y148" s="55">
        <f t="shared" ca="1" si="45"/>
        <v>86.854152227098979</v>
      </c>
      <c r="Z148">
        <f ca="1">VLOOKUP(S148,ModelOutputs,10,FALSE)*AWC</f>
        <v>120</v>
      </c>
      <c r="AA148">
        <f t="shared" ca="1" si="46"/>
        <v>218.40728879813156</v>
      </c>
      <c r="AB148">
        <f t="shared" ca="1" si="40"/>
        <v>0</v>
      </c>
      <c r="AC148">
        <f t="shared" ca="1" si="41"/>
        <v>0.9999999982365404</v>
      </c>
      <c r="AD148" s="83">
        <f ca="1"/>
        <v>45634</v>
      </c>
      <c r="AE148" s="55">
        <f t="shared" ca="1" si="33"/>
        <v>45634</v>
      </c>
      <c r="AF148" s="55">
        <f t="shared" ca="1" si="34"/>
        <v>77.782914673875496</v>
      </c>
      <c r="AG148" s="55">
        <f t="shared" ca="1" si="35"/>
        <v>65.498833755827349</v>
      </c>
      <c r="AH148" s="55">
        <f t="shared" ca="1" si="36"/>
        <v>0</v>
      </c>
      <c r="AI148" s="55">
        <f ca="1">-VLOOKUP(AE148,ModelOutputs,9,FALSE)+AI147</f>
        <v>-54.374400579369883</v>
      </c>
      <c r="AJ148" s="55">
        <f ca="1">VLOOKUP(AE148,ModelOutputs,5,FALSE)+AJ147</f>
        <v>79.812128572243125</v>
      </c>
      <c r="AK148" s="55">
        <f ca="1">VLOOKUP(AE148,ModelOutputs,4,FALSE)+AK147</f>
        <v>87.348883288756696</v>
      </c>
    </row>
    <row r="149" spans="18:37">
      <c r="R149" s="83">
        <f ca="1"/>
        <v>45494</v>
      </c>
      <c r="S149" s="55">
        <f t="shared" ca="1" si="42"/>
        <v>45494</v>
      </c>
      <c r="T149" s="55">
        <f t="shared" ca="1" si="37"/>
        <v>50.966121979829957</v>
      </c>
      <c r="U149" s="55">
        <f t="shared" ca="1" si="38"/>
        <v>213.27963635169243</v>
      </c>
      <c r="V149" s="55">
        <f t="shared" ca="1" si="39"/>
        <v>0</v>
      </c>
      <c r="W149" s="55">
        <f t="shared" ca="1" si="43"/>
        <v>-128.51402877212689</v>
      </c>
      <c r="X149" s="55">
        <f t="shared" ca="1" si="44"/>
        <v>86.512642671271863</v>
      </c>
      <c r="Y149" s="55">
        <f t="shared" ca="1" si="45"/>
        <v>86.861374656635277</v>
      </c>
      <c r="Z149">
        <f ca="1">VLOOKUP(S149,ModelOutputs,10,FALSE)*AWC</f>
        <v>120</v>
      </c>
      <c r="AA149">
        <f t="shared" ca="1" si="46"/>
        <v>222.01349475411354</v>
      </c>
      <c r="AB149">
        <f t="shared" ca="1" si="40"/>
        <v>0</v>
      </c>
      <c r="AC149">
        <f t="shared" ca="1" si="41"/>
        <v>0.99999999853689103</v>
      </c>
      <c r="AD149" s="83">
        <f ca="1"/>
        <v>45635</v>
      </c>
      <c r="AE149" s="55">
        <f t="shared" ref="AE149:AE212" ca="1" si="47">IF(AD149&gt;1,AD149,"")</f>
        <v>45635</v>
      </c>
      <c r="AF149" s="55">
        <f t="shared" ref="AF149:AF212" ca="1" si="48">VLOOKUP(AE149,ModelOutputs,2,FALSE)</f>
        <v>77.028268161157996</v>
      </c>
      <c r="AG149" s="55">
        <f t="shared" ref="AG149:AG212" ca="1" si="49">VLOOKUP(AE149,ModelOutputs,7,FALSE)</f>
        <v>66.95971566635275</v>
      </c>
      <c r="AH149" s="55">
        <f t="shared" ref="AH149:AH212" ca="1" si="50">VLOOKUP(AE149,ModelOutputs,6,FALSE)</f>
        <v>0</v>
      </c>
      <c r="AI149" s="55">
        <f ca="1">-VLOOKUP(AE149,ModelOutputs,9,FALSE)+AI148</f>
        <v>-54.374400579369883</v>
      </c>
      <c r="AJ149" s="55">
        <f ca="1">VLOOKUP(AE149,ModelOutputs,5,FALSE)+AJ148</f>
        <v>80.506442025407338</v>
      </c>
      <c r="AK149" s="55">
        <f ca="1">VLOOKUP(AE149,ModelOutputs,4,FALSE)+AK148</f>
        <v>87.360805233400384</v>
      </c>
    </row>
    <row r="150" spans="18:37">
      <c r="R150" s="83">
        <f ca="1"/>
        <v>45495</v>
      </c>
      <c r="S150" s="55">
        <f t="shared" ca="1" si="42"/>
        <v>45495</v>
      </c>
      <c r="T150" s="55">
        <f t="shared" ca="1" si="37"/>
        <v>47.122450826581776</v>
      </c>
      <c r="U150" s="55">
        <f t="shared" ca="1" si="38"/>
        <v>216.19013491130036</v>
      </c>
      <c r="V150" s="55">
        <f t="shared" ca="1" si="39"/>
        <v>0</v>
      </c>
      <c r="W150" s="55">
        <f t="shared" ca="1" si="43"/>
        <v>-129.96880438914042</v>
      </c>
      <c r="X150" s="55">
        <f t="shared" ca="1" si="44"/>
        <v>87.027483963861599</v>
      </c>
      <c r="Y150" s="55">
        <f t="shared" ca="1" si="45"/>
        <v>86.868136387418815</v>
      </c>
      <c r="Z150">
        <f ca="1">VLOOKUP(S150,ModelOutputs,10,FALSE)*AWC</f>
        <v>120</v>
      </c>
      <c r="AA150">
        <f t="shared" ca="1" si="46"/>
        <v>226.40060256079786</v>
      </c>
      <c r="AB150">
        <f t="shared" ca="1" si="40"/>
        <v>0</v>
      </c>
      <c r="AC150">
        <f t="shared" ca="1" si="41"/>
        <v>0.99999999877235535</v>
      </c>
      <c r="AD150" s="83">
        <f ca="1"/>
        <v>45636</v>
      </c>
      <c r="AE150" s="55">
        <f t="shared" ca="1" si="47"/>
        <v>45636</v>
      </c>
      <c r="AF150" s="55">
        <f t="shared" ca="1" si="48"/>
        <v>76.235178851248222</v>
      </c>
      <c r="AG150" s="55">
        <f t="shared" ca="1" si="49"/>
        <v>68.4856482899106</v>
      </c>
      <c r="AH150" s="55">
        <f t="shared" ca="1" si="50"/>
        <v>0</v>
      </c>
      <c r="AI150" s="55">
        <f ca="1">-VLOOKUP(AE150,ModelOutputs,9,FALSE)+AI149</f>
        <v>-54.374400579369883</v>
      </c>
      <c r="AJ150" s="55">
        <f ca="1">VLOOKUP(AE150,ModelOutputs,5,FALSE)+AJ149</f>
        <v>81.227008067558586</v>
      </c>
      <c r="AK150" s="55">
        <f ca="1">VLOOKUP(AE150,ModelOutputs,4,FALSE)+AK149</f>
        <v>87.373082504897212</v>
      </c>
    </row>
    <row r="151" spans="18:37">
      <c r="R151" s="83">
        <f ca="1"/>
        <v>45496</v>
      </c>
      <c r="S151" s="55">
        <f t="shared" ca="1" si="42"/>
        <v>45496</v>
      </c>
      <c r="T151" s="55">
        <f t="shared" ca="1" si="37"/>
        <v>44.400851047242703</v>
      </c>
      <c r="U151" s="55">
        <f t="shared" ca="1" si="38"/>
        <v>219.08954468804191</v>
      </c>
      <c r="V151" s="55">
        <f t="shared" ca="1" si="39"/>
        <v>0</v>
      </c>
      <c r="W151" s="55">
        <f t="shared" ca="1" si="43"/>
        <v>-130.31125040858751</v>
      </c>
      <c r="X151" s="55">
        <f t="shared" ca="1" si="44"/>
        <v>87.541034396654609</v>
      </c>
      <c r="Y151" s="55">
        <f t="shared" ca="1" si="45"/>
        <v>86.874841971475391</v>
      </c>
      <c r="Z151">
        <f ca="1">VLOOKUP(S151,ModelOutputs,10,FALSE)*AWC</f>
        <v>120</v>
      </c>
      <c r="AA151">
        <f t="shared" ca="1" si="46"/>
        <v>227.49660366354982</v>
      </c>
      <c r="AB151">
        <f t="shared" ca="1" si="40"/>
        <v>0</v>
      </c>
      <c r="AC151">
        <f t="shared" ca="1" si="41"/>
        <v>0.99999999896944591</v>
      </c>
      <c r="AD151" s="83">
        <f ca="1"/>
        <v>45637</v>
      </c>
      <c r="AE151" s="55">
        <f t="shared" ca="1" si="47"/>
        <v>45637</v>
      </c>
      <c r="AF151" s="55">
        <f t="shared" ca="1" si="48"/>
        <v>75.446314413034756</v>
      </c>
      <c r="AG151" s="55">
        <f t="shared" ca="1" si="49"/>
        <v>69.95873656707073</v>
      </c>
      <c r="AH151" s="55">
        <f t="shared" ca="1" si="50"/>
        <v>0</v>
      </c>
      <c r="AI151" s="55">
        <f ca="1">-VLOOKUP(AE151,ModelOutputs,9,FALSE)+AI150</f>
        <v>-54.374400579369883</v>
      </c>
      <c r="AJ151" s="55">
        <f ca="1">VLOOKUP(AE151,ModelOutputs,5,FALSE)+AJ150</f>
        <v>81.899856559054527</v>
      </c>
      <c r="AK151" s="55">
        <f ca="1">VLOOKUP(AE151,ModelOutputs,4,FALSE)+AK150</f>
        <v>87.384457852347936</v>
      </c>
    </row>
    <row r="152" spans="18:37">
      <c r="R152" s="83">
        <f ca="1"/>
        <v>45497</v>
      </c>
      <c r="S152" s="55">
        <f t="shared" ca="1" si="42"/>
        <v>45497</v>
      </c>
      <c r="T152" s="55">
        <f t="shared" ca="1" si="37"/>
        <v>42.146795294209547</v>
      </c>
      <c r="U152" s="55">
        <f t="shared" ca="1" si="38"/>
        <v>221.83958274111595</v>
      </c>
      <c r="V152" s="55">
        <f t="shared" ca="1" si="39"/>
        <v>0</v>
      </c>
      <c r="W152" s="55">
        <f t="shared" ca="1" si="43"/>
        <v>-130.31125040858751</v>
      </c>
      <c r="X152" s="55">
        <f t="shared" ca="1" si="44"/>
        <v>88.03066026143712</v>
      </c>
      <c r="Y152" s="55">
        <f t="shared" ca="1" si="45"/>
        <v>86.881198406733759</v>
      </c>
      <c r="Z152">
        <f ca="1">VLOOKUP(S152,ModelOutputs,10,FALSE)*AWC</f>
        <v>119.78499876293199</v>
      </c>
      <c r="AA152">
        <f t="shared" ca="1" si="46"/>
        <v>227.49660366354982</v>
      </c>
      <c r="AB152">
        <f t="shared" ca="1" si="40"/>
        <v>0</v>
      </c>
      <c r="AC152">
        <f t="shared" ca="1" si="41"/>
        <v>0.99999999912727833</v>
      </c>
      <c r="AD152" s="83">
        <f ca="1"/>
        <v>45638</v>
      </c>
      <c r="AE152" s="55">
        <f t="shared" ca="1" si="47"/>
        <v>45638</v>
      </c>
      <c r="AF152" s="55">
        <f t="shared" ca="1" si="48"/>
        <v>74.640819437688549</v>
      </c>
      <c r="AG152" s="55">
        <f t="shared" ca="1" si="49"/>
        <v>71.412775546909458</v>
      </c>
      <c r="AH152" s="55">
        <f t="shared" ca="1" si="50"/>
        <v>0</v>
      </c>
      <c r="AI152" s="55">
        <f ca="1">-VLOOKUP(AE152,ModelOutputs,9,FALSE)+AI151</f>
        <v>-54.374400579369883</v>
      </c>
      <c r="AJ152" s="55">
        <f ca="1">VLOOKUP(AE152,ModelOutputs,5,FALSE)+AJ151</f>
        <v>82.537697230176732</v>
      </c>
      <c r="AK152" s="55">
        <f ca="1">VLOOKUP(AE152,ModelOutputs,4,FALSE)+AK151</f>
        <v>87.395161185718251</v>
      </c>
    </row>
    <row r="153" spans="18:37">
      <c r="R153" s="83">
        <f ca="1"/>
        <v>45498</v>
      </c>
      <c r="S153" s="55">
        <f t="shared" ca="1" si="42"/>
        <v>45498</v>
      </c>
      <c r="T153" s="55">
        <f t="shared" ca="1" si="37"/>
        <v>39.940504329189153</v>
      </c>
      <c r="U153" s="55">
        <f t="shared" ca="1" si="38"/>
        <v>224.53341944974764</v>
      </c>
      <c r="V153" s="55">
        <f t="shared" ca="1" si="39"/>
        <v>0</v>
      </c>
      <c r="W153" s="55">
        <f t="shared" ca="1" si="43"/>
        <v>-130.31125040858751</v>
      </c>
      <c r="X153" s="55">
        <f t="shared" ca="1" si="44"/>
        <v>88.511992483119741</v>
      </c>
      <c r="Y153" s="55">
        <f t="shared" ca="1" si="45"/>
        <v>86.887411928662445</v>
      </c>
      <c r="Z153">
        <f ca="1">VLOOKUP(S153,ModelOutputs,10,FALSE)*AWC</f>
        <v>117.86276146332133</v>
      </c>
      <c r="AA153">
        <f t="shared" ca="1" si="46"/>
        <v>227.49660366354982</v>
      </c>
      <c r="AB153">
        <f t="shared" ca="1" si="40"/>
        <v>0</v>
      </c>
      <c r="AC153">
        <f t="shared" ca="1" si="41"/>
        <v>0.99999999925864147</v>
      </c>
      <c r="AD153" s="83" t="e">
        <f ca="1"/>
        <v>#N/A</v>
      </c>
      <c r="AE153" s="55" t="e">
        <f t="shared" ca="1" si="47"/>
        <v>#N/A</v>
      </c>
      <c r="AF153" s="55" t="e">
        <f t="shared" ca="1" si="48"/>
        <v>#N/A</v>
      </c>
      <c r="AG153" s="55" t="e">
        <f t="shared" ca="1" si="49"/>
        <v>#N/A</v>
      </c>
      <c r="AH153" s="55" t="e">
        <f t="shared" ca="1" si="50"/>
        <v>#N/A</v>
      </c>
      <c r="AI153" s="55" t="e">
        <f ca="1">-VLOOKUP(AE153,ModelOutputs,9,FALSE)+AI152</f>
        <v>#N/A</v>
      </c>
      <c r="AJ153" s="55" t="e">
        <f ca="1">VLOOKUP(AE153,ModelOutputs,5,FALSE)+AJ152</f>
        <v>#N/A</v>
      </c>
      <c r="AK153" s="55" t="e">
        <f ca="1">VLOOKUP(AE153,ModelOutputs,4,FALSE)+AK152</f>
        <v>#N/A</v>
      </c>
    </row>
    <row r="154" spans="18:37">
      <c r="R154" s="83">
        <f ca="1"/>
        <v>45499</v>
      </c>
      <c r="S154" s="55">
        <f t="shared" ca="1" si="42"/>
        <v>45499</v>
      </c>
      <c r="T154" s="55">
        <f t="shared" ca="1" si="37"/>
        <v>37.594168806052501</v>
      </c>
      <c r="U154" s="55">
        <f t="shared" ca="1" si="38"/>
        <v>227.3964199702599</v>
      </c>
      <c r="V154" s="55">
        <f t="shared" ca="1" si="39"/>
        <v>0</v>
      </c>
      <c r="W154" s="55">
        <f t="shared" ca="1" si="43"/>
        <v>-130.31125040858751</v>
      </c>
      <c r="X154" s="55">
        <f t="shared" ca="1" si="44"/>
        <v>89.022110768950625</v>
      </c>
      <c r="Y154" s="55">
        <f t="shared" ca="1" si="45"/>
        <v>86.89395864020716</v>
      </c>
      <c r="Z154">
        <f ca="1">VLOOKUP(S154,ModelOutputs,10,FALSE)*AWC</f>
        <v>119.85632571700627</v>
      </c>
      <c r="AA154">
        <f t="shared" ca="1" si="46"/>
        <v>227.49660366354982</v>
      </c>
      <c r="AB154">
        <f t="shared" ca="1" si="40"/>
        <v>0</v>
      </c>
      <c r="AC154">
        <f t="shared" ca="1" si="41"/>
        <v>0.9999999993768891</v>
      </c>
      <c r="AD154" s="83" t="e">
        <f ca="1"/>
        <v>#N/A</v>
      </c>
      <c r="AE154" s="55" t="e">
        <f t="shared" ca="1" si="47"/>
        <v>#N/A</v>
      </c>
      <c r="AF154" s="55" t="e">
        <f t="shared" ca="1" si="48"/>
        <v>#N/A</v>
      </c>
      <c r="AG154" s="55" t="e">
        <f t="shared" ca="1" si="49"/>
        <v>#N/A</v>
      </c>
      <c r="AH154" s="55" t="e">
        <f t="shared" ca="1" si="50"/>
        <v>#N/A</v>
      </c>
      <c r="AI154" s="55" t="e">
        <f ca="1">-VLOOKUP(AE154,ModelOutputs,9,FALSE)+AI153</f>
        <v>#N/A</v>
      </c>
      <c r="AJ154" s="55" t="e">
        <f ca="1">VLOOKUP(AE154,ModelOutputs,5,FALSE)+AJ153</f>
        <v>#N/A</v>
      </c>
      <c r="AK154" s="55" t="e">
        <f ca="1">VLOOKUP(AE154,ModelOutputs,4,FALSE)+AK153</f>
        <v>#N/A</v>
      </c>
    </row>
    <row r="155" spans="18:37">
      <c r="R155" s="83">
        <f ca="1"/>
        <v>45500</v>
      </c>
      <c r="S155" s="55">
        <f t="shared" ca="1" si="42"/>
        <v>45500</v>
      </c>
      <c r="T155" s="55">
        <f t="shared" ca="1" si="37"/>
        <v>35.343241478711185</v>
      </c>
      <c r="U155" s="55">
        <f t="shared" ca="1" si="38"/>
        <v>230.14618102124746</v>
      </c>
      <c r="V155" s="55">
        <f t="shared" ca="1" si="39"/>
        <v>0</v>
      </c>
      <c r="W155" s="55">
        <f t="shared" ca="1" si="43"/>
        <v>-130.31125040858751</v>
      </c>
      <c r="X155" s="55">
        <f t="shared" ca="1" si="44"/>
        <v>89.514660998091102</v>
      </c>
      <c r="Y155" s="55">
        <f t="shared" ca="1" si="45"/>
        <v>86.900242134712926</v>
      </c>
      <c r="Z155">
        <f ca="1">VLOOKUP(S155,ModelOutputs,10,FALSE)*AWC</f>
        <v>119.81524314795145</v>
      </c>
      <c r="AA155">
        <f t="shared" ca="1" si="46"/>
        <v>227.49660366354982</v>
      </c>
      <c r="AB155">
        <f t="shared" ca="1" si="40"/>
        <v>0</v>
      </c>
      <c r="AC155">
        <f t="shared" ca="1" si="41"/>
        <v>0.9999999994728932</v>
      </c>
      <c r="AD155" s="83" t="e">
        <f ca="1"/>
        <v>#N/A</v>
      </c>
      <c r="AE155" s="55" t="e">
        <f t="shared" ca="1" si="47"/>
        <v>#N/A</v>
      </c>
      <c r="AF155" s="55" t="e">
        <f t="shared" ca="1" si="48"/>
        <v>#N/A</v>
      </c>
      <c r="AG155" s="55" t="e">
        <f t="shared" ca="1" si="49"/>
        <v>#N/A</v>
      </c>
      <c r="AH155" s="55" t="e">
        <f t="shared" ca="1" si="50"/>
        <v>#N/A</v>
      </c>
      <c r="AI155" s="55" t="e">
        <f ca="1">-VLOOKUP(AE155,ModelOutputs,9,FALSE)+AI154</f>
        <v>#N/A</v>
      </c>
      <c r="AJ155" s="55" t="e">
        <f ca="1">VLOOKUP(AE155,ModelOutputs,5,FALSE)+AJ154</f>
        <v>#N/A</v>
      </c>
      <c r="AK155" s="55" t="e">
        <f ca="1">VLOOKUP(AE155,ModelOutputs,4,FALSE)+AK154</f>
        <v>#N/A</v>
      </c>
    </row>
    <row r="156" spans="18:37">
      <c r="R156" s="83">
        <f ca="1"/>
        <v>45501</v>
      </c>
      <c r="S156" s="55">
        <f t="shared" ca="1" si="42"/>
        <v>45501</v>
      </c>
      <c r="T156" s="55">
        <f t="shared" ca="1" si="37"/>
        <v>32.737201758416894</v>
      </c>
      <c r="U156" s="55">
        <f t="shared" ca="1" si="38"/>
        <v>232.90318441490268</v>
      </c>
      <c r="V156" s="55">
        <f t="shared" ca="1" si="39"/>
        <v>0</v>
      </c>
      <c r="W156" s="55">
        <f t="shared" ca="1" si="43"/>
        <v>-130.66163046718503</v>
      </c>
      <c r="X156" s="55">
        <f t="shared" ca="1" si="44"/>
        <v>90.009726750910175</v>
      </c>
      <c r="Y156" s="55">
        <f t="shared" ca="1" si="45"/>
        <v>86.906520113852309</v>
      </c>
      <c r="Z156">
        <f ca="1">VLOOKUP(S156,ModelOutputs,10,FALSE)*AWC</f>
        <v>120</v>
      </c>
      <c r="AA156">
        <f t="shared" ca="1" si="46"/>
        <v>229.01752933092087</v>
      </c>
      <c r="AB156">
        <f t="shared" ca="1" si="40"/>
        <v>0</v>
      </c>
      <c r="AC156">
        <f t="shared" ca="1" si="41"/>
        <v>0.99999999955452057</v>
      </c>
      <c r="AD156" s="83" t="e">
        <f ca="1"/>
        <v>#N/A</v>
      </c>
      <c r="AE156" s="55" t="e">
        <f t="shared" ca="1" si="47"/>
        <v>#N/A</v>
      </c>
      <c r="AF156" s="55" t="e">
        <f t="shared" ca="1" si="48"/>
        <v>#N/A</v>
      </c>
      <c r="AG156" s="55" t="e">
        <f t="shared" ca="1" si="49"/>
        <v>#N/A</v>
      </c>
      <c r="AH156" s="55" t="e">
        <f t="shared" ca="1" si="50"/>
        <v>#N/A</v>
      </c>
      <c r="AI156" s="55" t="e">
        <f ca="1">-VLOOKUP(AE156,ModelOutputs,9,FALSE)+AI155</f>
        <v>#N/A</v>
      </c>
      <c r="AJ156" s="55" t="e">
        <f ca="1">VLOOKUP(AE156,ModelOutputs,5,FALSE)+AJ155</f>
        <v>#N/A</v>
      </c>
      <c r="AK156" s="55" t="e">
        <f ca="1">VLOOKUP(AE156,ModelOutputs,4,FALSE)+AK155</f>
        <v>#N/A</v>
      </c>
    </row>
    <row r="157" spans="18:37">
      <c r="R157" s="83">
        <f ca="1"/>
        <v>45502</v>
      </c>
      <c r="S157" s="55">
        <f t="shared" ca="1" si="42"/>
        <v>45502</v>
      </c>
      <c r="T157" s="55">
        <f t="shared" ca="1" si="37"/>
        <v>30.668802844001927</v>
      </c>
      <c r="U157" s="55">
        <f t="shared" ca="1" si="38"/>
        <v>235.39057977972351</v>
      </c>
      <c r="V157" s="55">
        <f t="shared" ca="1" si="39"/>
        <v>0</v>
      </c>
      <c r="W157" s="55">
        <f t="shared" ca="1" si="43"/>
        <v>-130.70136587245273</v>
      </c>
      <c r="X157" s="55">
        <f t="shared" ca="1" si="44"/>
        <v>90.462747024885843</v>
      </c>
      <c r="Y157" s="55">
        <f t="shared" ca="1" si="45"/>
        <v>86.912231695550176</v>
      </c>
      <c r="Z157">
        <f ca="1">VLOOKUP(S157,ModelOutputs,10,FALSE)*AWC</f>
        <v>120</v>
      </c>
      <c r="AA157">
        <f t="shared" ca="1" si="46"/>
        <v>229.2016450999964</v>
      </c>
      <c r="AB157">
        <f t="shared" ca="1" si="40"/>
        <v>0</v>
      </c>
      <c r="AC157">
        <f t="shared" ca="1" si="41"/>
        <v>0.99999999961744246</v>
      </c>
      <c r="AD157" s="83" t="e">
        <f ca="1"/>
        <v>#N/A</v>
      </c>
      <c r="AE157" s="55" t="e">
        <f t="shared" ca="1" si="47"/>
        <v>#N/A</v>
      </c>
      <c r="AF157" s="55" t="e">
        <f t="shared" ca="1" si="48"/>
        <v>#N/A</v>
      </c>
      <c r="AG157" s="55" t="e">
        <f t="shared" ca="1" si="49"/>
        <v>#N/A</v>
      </c>
      <c r="AH157" s="55" t="e">
        <f t="shared" ca="1" si="50"/>
        <v>#N/A</v>
      </c>
      <c r="AI157" s="55" t="e">
        <f ca="1">-VLOOKUP(AE157,ModelOutputs,9,FALSE)+AI156</f>
        <v>#N/A</v>
      </c>
      <c r="AJ157" s="55" t="e">
        <f ca="1">VLOOKUP(AE157,ModelOutputs,5,FALSE)+AJ156</f>
        <v>#N/A</v>
      </c>
      <c r="AK157" s="55" t="e">
        <f ca="1">VLOOKUP(AE157,ModelOutputs,4,FALSE)+AK156</f>
        <v>#N/A</v>
      </c>
    </row>
    <row r="158" spans="18:37">
      <c r="R158" s="83">
        <f ca="1"/>
        <v>45503</v>
      </c>
      <c r="S158" s="55">
        <f t="shared" ca="1" si="42"/>
        <v>45503</v>
      </c>
      <c r="T158" s="55">
        <f t="shared" ca="1" si="37"/>
        <v>28.195636605953919</v>
      </c>
      <c r="U158" s="55">
        <f t="shared" ca="1" si="38"/>
        <v>238.04258515636482</v>
      </c>
      <c r="V158" s="55">
        <f t="shared" ca="1" si="39"/>
        <v>0</v>
      </c>
      <c r="W158" s="55">
        <f t="shared" ca="1" si="43"/>
        <v>-131.00926646367444</v>
      </c>
      <c r="X158" s="55">
        <f t="shared" ca="1" si="44"/>
        <v>90.943460901533882</v>
      </c>
      <c r="Y158" s="55">
        <f t="shared" ca="1" si="45"/>
        <v>86.91825754871715</v>
      </c>
      <c r="Z158">
        <f ca="1">VLOOKUP(S158,ModelOutputs,10,FALSE)*AWC</f>
        <v>120</v>
      </c>
      <c r="AA158">
        <f t="shared" ca="1" si="46"/>
        <v>230.75345594057137</v>
      </c>
      <c r="AB158">
        <f t="shared" ca="1" si="40"/>
        <v>0</v>
      </c>
      <c r="AC158">
        <f t="shared" ca="1" si="41"/>
        <v>0.99999999967495001</v>
      </c>
      <c r="AD158" s="83" t="e">
        <f ca="1"/>
        <v>#N/A</v>
      </c>
      <c r="AE158" s="55" t="e">
        <f t="shared" ca="1" si="47"/>
        <v>#N/A</v>
      </c>
      <c r="AF158" s="55" t="e">
        <f t="shared" ca="1" si="48"/>
        <v>#N/A</v>
      </c>
      <c r="AG158" s="55" t="e">
        <f t="shared" ca="1" si="49"/>
        <v>#N/A</v>
      </c>
      <c r="AH158" s="55" t="e">
        <f t="shared" ca="1" si="50"/>
        <v>#N/A</v>
      </c>
      <c r="AI158" s="55" t="e">
        <f ca="1">-VLOOKUP(AE158,ModelOutputs,9,FALSE)+AI157</f>
        <v>#N/A</v>
      </c>
      <c r="AJ158" s="55" t="e">
        <f ca="1">VLOOKUP(AE158,ModelOutputs,5,FALSE)+AJ157</f>
        <v>#N/A</v>
      </c>
      <c r="AK158" s="55" t="e">
        <f ca="1">VLOOKUP(AE158,ModelOutputs,4,FALSE)+AK157</f>
        <v>#N/A</v>
      </c>
    </row>
    <row r="159" spans="18:37">
      <c r="R159" s="83" t="e">
        <f ca="1"/>
        <v>#N/A</v>
      </c>
      <c r="S159" s="55" t="e">
        <f t="shared" ca="1" si="42"/>
        <v>#N/A</v>
      </c>
      <c r="T159" s="55" t="e">
        <f t="shared" ca="1" si="37"/>
        <v>#N/A</v>
      </c>
      <c r="U159" s="55" t="e">
        <f t="shared" ca="1" si="38"/>
        <v>#N/A</v>
      </c>
      <c r="V159" s="55" t="e">
        <f t="shared" ca="1" si="39"/>
        <v>#N/A</v>
      </c>
      <c r="W159" s="55" t="e">
        <f t="shared" ca="1" si="43"/>
        <v>#N/A</v>
      </c>
      <c r="X159" s="55" t="e">
        <f t="shared" ca="1" si="44"/>
        <v>#N/A</v>
      </c>
      <c r="Y159" s="55" t="e">
        <f t="shared" ca="1" si="45"/>
        <v>#N/A</v>
      </c>
      <c r="Z159" t="e">
        <f ca="1">VLOOKUP(S159,ModelOutputs,10,FALSE)*AWC</f>
        <v>#N/A</v>
      </c>
      <c r="AA159" t="e">
        <f t="shared" ca="1" si="46"/>
        <v>#N/A</v>
      </c>
      <c r="AB159" t="e">
        <f t="shared" ca="1" si="40"/>
        <v>#N/A</v>
      </c>
      <c r="AC159" t="e">
        <f t="shared" ca="1" si="41"/>
        <v>#N/A</v>
      </c>
      <c r="AD159" s="83" t="e">
        <f ca="1"/>
        <v>#N/A</v>
      </c>
      <c r="AE159" s="55" t="e">
        <f t="shared" ca="1" si="47"/>
        <v>#N/A</v>
      </c>
      <c r="AF159" s="55" t="e">
        <f t="shared" ca="1" si="48"/>
        <v>#N/A</v>
      </c>
      <c r="AG159" s="55" t="e">
        <f t="shared" ca="1" si="49"/>
        <v>#N/A</v>
      </c>
      <c r="AH159" s="55" t="e">
        <f t="shared" ca="1" si="50"/>
        <v>#N/A</v>
      </c>
      <c r="AI159" s="55" t="e">
        <f ca="1">-VLOOKUP(AE159,ModelOutputs,9,FALSE)+AI158</f>
        <v>#N/A</v>
      </c>
      <c r="AJ159" s="55" t="e">
        <f ca="1">VLOOKUP(AE159,ModelOutputs,5,FALSE)+AJ158</f>
        <v>#N/A</v>
      </c>
      <c r="AK159" s="55" t="e">
        <f ca="1">VLOOKUP(AE159,ModelOutputs,4,FALSE)+AK158</f>
        <v>#N/A</v>
      </c>
    </row>
    <row r="160" spans="18:37">
      <c r="R160" s="83" t="e">
        <f ca="1"/>
        <v>#N/A</v>
      </c>
      <c r="S160" s="55" t="e">
        <f t="shared" ca="1" si="42"/>
        <v>#N/A</v>
      </c>
      <c r="T160" s="55" t="e">
        <f t="shared" ca="1" si="37"/>
        <v>#N/A</v>
      </c>
      <c r="U160" s="55" t="e">
        <f t="shared" ca="1" si="38"/>
        <v>#N/A</v>
      </c>
      <c r="V160" s="55" t="e">
        <f t="shared" ca="1" si="39"/>
        <v>#N/A</v>
      </c>
      <c r="W160" s="55" t="e">
        <f t="shared" ca="1" si="43"/>
        <v>#N/A</v>
      </c>
      <c r="X160" s="55" t="e">
        <f t="shared" ca="1" si="44"/>
        <v>#N/A</v>
      </c>
      <c r="Y160" s="55" t="e">
        <f t="shared" ca="1" si="45"/>
        <v>#N/A</v>
      </c>
      <c r="Z160" t="e">
        <f ca="1">VLOOKUP(S160,ModelOutputs,10,FALSE)*AWC</f>
        <v>#N/A</v>
      </c>
      <c r="AA160" t="e">
        <f t="shared" ca="1" si="46"/>
        <v>#N/A</v>
      </c>
      <c r="AB160" t="e">
        <f t="shared" ca="1" si="40"/>
        <v>#N/A</v>
      </c>
      <c r="AC160" t="e">
        <f t="shared" ca="1" si="41"/>
        <v>#N/A</v>
      </c>
      <c r="AD160" s="83" t="e">
        <f ca="1"/>
        <v>#N/A</v>
      </c>
      <c r="AE160" s="55" t="e">
        <f t="shared" ca="1" si="47"/>
        <v>#N/A</v>
      </c>
      <c r="AF160" s="55" t="e">
        <f t="shared" ca="1" si="48"/>
        <v>#N/A</v>
      </c>
      <c r="AG160" s="55" t="e">
        <f t="shared" ca="1" si="49"/>
        <v>#N/A</v>
      </c>
      <c r="AH160" s="55" t="e">
        <f t="shared" ca="1" si="50"/>
        <v>#N/A</v>
      </c>
      <c r="AI160" s="55" t="e">
        <f ca="1">-VLOOKUP(AE160,ModelOutputs,9,FALSE)+AI159</f>
        <v>#N/A</v>
      </c>
      <c r="AJ160" s="55" t="e">
        <f ca="1">VLOOKUP(AE160,ModelOutputs,5,FALSE)+AJ159</f>
        <v>#N/A</v>
      </c>
      <c r="AK160" s="55" t="e">
        <f ca="1">VLOOKUP(AE160,ModelOutputs,4,FALSE)+AK159</f>
        <v>#N/A</v>
      </c>
    </row>
    <row r="161" spans="18:37">
      <c r="R161" s="83" t="e">
        <f ca="1"/>
        <v>#N/A</v>
      </c>
      <c r="S161" s="55" t="e">
        <f t="shared" ca="1" si="42"/>
        <v>#N/A</v>
      </c>
      <c r="T161" s="55" t="e">
        <f t="shared" ca="1" si="37"/>
        <v>#N/A</v>
      </c>
      <c r="U161" s="55" t="e">
        <f t="shared" ca="1" si="38"/>
        <v>#N/A</v>
      </c>
      <c r="V161" s="55" t="e">
        <f t="shared" ca="1" si="39"/>
        <v>#N/A</v>
      </c>
      <c r="W161" s="55" t="e">
        <f t="shared" ca="1" si="43"/>
        <v>#N/A</v>
      </c>
      <c r="X161" s="55" t="e">
        <f t="shared" ca="1" si="44"/>
        <v>#N/A</v>
      </c>
      <c r="Y161" s="55" t="e">
        <f t="shared" ca="1" si="45"/>
        <v>#N/A</v>
      </c>
      <c r="Z161" t="e">
        <f ca="1">VLOOKUP(S161,ModelOutputs,10,FALSE)*AWC</f>
        <v>#N/A</v>
      </c>
      <c r="AA161" t="e">
        <f t="shared" ca="1" si="46"/>
        <v>#N/A</v>
      </c>
      <c r="AB161" t="e">
        <f t="shared" ca="1" si="40"/>
        <v>#N/A</v>
      </c>
      <c r="AC161" t="e">
        <f t="shared" ca="1" si="41"/>
        <v>#N/A</v>
      </c>
      <c r="AD161" s="83" t="e">
        <f ca="1"/>
        <v>#N/A</v>
      </c>
      <c r="AE161" s="55" t="e">
        <f t="shared" ca="1" si="47"/>
        <v>#N/A</v>
      </c>
      <c r="AF161" s="55" t="e">
        <f t="shared" ca="1" si="48"/>
        <v>#N/A</v>
      </c>
      <c r="AG161" s="55" t="e">
        <f t="shared" ca="1" si="49"/>
        <v>#N/A</v>
      </c>
      <c r="AH161" s="55" t="e">
        <f t="shared" ca="1" si="50"/>
        <v>#N/A</v>
      </c>
      <c r="AI161" s="55" t="e">
        <f ca="1">-VLOOKUP(AE161,ModelOutputs,9,FALSE)+AI160</f>
        <v>#N/A</v>
      </c>
      <c r="AJ161" s="55" t="e">
        <f ca="1">VLOOKUP(AE161,ModelOutputs,5,FALSE)+AJ160</f>
        <v>#N/A</v>
      </c>
      <c r="AK161" s="55" t="e">
        <f ca="1">VLOOKUP(AE161,ModelOutputs,4,FALSE)+AK160</f>
        <v>#N/A</v>
      </c>
    </row>
    <row r="162" spans="18:37">
      <c r="R162" s="83" t="e">
        <f ca="1"/>
        <v>#N/A</v>
      </c>
      <c r="S162" s="55" t="e">
        <f t="shared" ca="1" si="42"/>
        <v>#N/A</v>
      </c>
      <c r="T162" s="55" t="e">
        <f t="shared" ca="1" si="37"/>
        <v>#N/A</v>
      </c>
      <c r="U162" s="55" t="e">
        <f t="shared" ca="1" si="38"/>
        <v>#N/A</v>
      </c>
      <c r="V162" s="55" t="e">
        <f t="shared" ca="1" si="39"/>
        <v>#N/A</v>
      </c>
      <c r="W162" s="55" t="e">
        <f t="shared" ca="1" si="43"/>
        <v>#N/A</v>
      </c>
      <c r="X162" s="55" t="e">
        <f t="shared" ca="1" si="44"/>
        <v>#N/A</v>
      </c>
      <c r="Y162" s="55" t="e">
        <f t="shared" ca="1" si="45"/>
        <v>#N/A</v>
      </c>
      <c r="Z162" t="e">
        <f ca="1">VLOOKUP(S162,ModelOutputs,10,FALSE)*AWC</f>
        <v>#N/A</v>
      </c>
      <c r="AA162" t="e">
        <f t="shared" ca="1" si="46"/>
        <v>#N/A</v>
      </c>
      <c r="AB162" t="e">
        <f t="shared" ca="1" si="40"/>
        <v>#N/A</v>
      </c>
      <c r="AC162" t="e">
        <f t="shared" ca="1" si="41"/>
        <v>#N/A</v>
      </c>
      <c r="AD162" s="83" t="e">
        <f ca="1"/>
        <v>#N/A</v>
      </c>
      <c r="AE162" s="55" t="e">
        <f t="shared" ca="1" si="47"/>
        <v>#N/A</v>
      </c>
      <c r="AF162" s="55" t="e">
        <f t="shared" ca="1" si="48"/>
        <v>#N/A</v>
      </c>
      <c r="AG162" s="55" t="e">
        <f t="shared" ca="1" si="49"/>
        <v>#N/A</v>
      </c>
      <c r="AH162" s="55" t="e">
        <f t="shared" ca="1" si="50"/>
        <v>#N/A</v>
      </c>
      <c r="AI162" s="55" t="e">
        <f ca="1">-VLOOKUP(AE162,ModelOutputs,9,FALSE)+AI161</f>
        <v>#N/A</v>
      </c>
      <c r="AJ162" s="55" t="e">
        <f ca="1">VLOOKUP(AE162,ModelOutputs,5,FALSE)+AJ161</f>
        <v>#N/A</v>
      </c>
      <c r="AK162" s="55" t="e">
        <f ca="1">VLOOKUP(AE162,ModelOutputs,4,FALSE)+AK161</f>
        <v>#N/A</v>
      </c>
    </row>
    <row r="163" spans="18:37">
      <c r="R163" s="83" t="e">
        <f ca="1"/>
        <v>#N/A</v>
      </c>
      <c r="S163" s="55" t="e">
        <f t="shared" ca="1" si="42"/>
        <v>#N/A</v>
      </c>
      <c r="T163" s="55" t="e">
        <f t="shared" ca="1" si="37"/>
        <v>#N/A</v>
      </c>
      <c r="U163" s="55" t="e">
        <f t="shared" ca="1" si="38"/>
        <v>#N/A</v>
      </c>
      <c r="V163" s="55" t="e">
        <f t="shared" ca="1" si="39"/>
        <v>#N/A</v>
      </c>
      <c r="W163" s="55" t="e">
        <f t="shared" ca="1" si="43"/>
        <v>#N/A</v>
      </c>
      <c r="X163" s="55" t="e">
        <f t="shared" ca="1" si="44"/>
        <v>#N/A</v>
      </c>
      <c r="Y163" s="55" t="e">
        <f t="shared" ca="1" si="45"/>
        <v>#N/A</v>
      </c>
      <c r="Z163" t="e">
        <f ca="1">VLOOKUP(S163,ModelOutputs,10,FALSE)*AWC</f>
        <v>#N/A</v>
      </c>
      <c r="AA163" t="e">
        <f t="shared" ca="1" si="46"/>
        <v>#N/A</v>
      </c>
      <c r="AB163" t="e">
        <f t="shared" ca="1" si="40"/>
        <v>#N/A</v>
      </c>
      <c r="AC163" t="e">
        <f t="shared" ca="1" si="41"/>
        <v>#N/A</v>
      </c>
      <c r="AD163" s="83" t="e">
        <f ca="1"/>
        <v>#N/A</v>
      </c>
      <c r="AE163" s="55" t="e">
        <f t="shared" ca="1" si="47"/>
        <v>#N/A</v>
      </c>
      <c r="AF163" s="55" t="e">
        <f t="shared" ca="1" si="48"/>
        <v>#N/A</v>
      </c>
      <c r="AG163" s="55" t="e">
        <f t="shared" ca="1" si="49"/>
        <v>#N/A</v>
      </c>
      <c r="AH163" s="55" t="e">
        <f t="shared" ca="1" si="50"/>
        <v>#N/A</v>
      </c>
      <c r="AI163" s="55" t="e">
        <f ca="1">-VLOOKUP(AE163,ModelOutputs,9,FALSE)+AI162</f>
        <v>#N/A</v>
      </c>
      <c r="AJ163" s="55" t="e">
        <f ca="1">VLOOKUP(AE163,ModelOutputs,5,FALSE)+AJ162</f>
        <v>#N/A</v>
      </c>
      <c r="AK163" s="55" t="e">
        <f ca="1">VLOOKUP(AE163,ModelOutputs,4,FALSE)+AK162</f>
        <v>#N/A</v>
      </c>
    </row>
    <row r="164" spans="18:37">
      <c r="R164" s="83" t="e">
        <f ca="1"/>
        <v>#N/A</v>
      </c>
      <c r="S164" s="55" t="e">
        <f t="shared" ca="1" si="42"/>
        <v>#N/A</v>
      </c>
      <c r="T164" s="55" t="e">
        <f t="shared" ca="1" si="37"/>
        <v>#N/A</v>
      </c>
      <c r="U164" s="55" t="e">
        <f t="shared" ca="1" si="38"/>
        <v>#N/A</v>
      </c>
      <c r="V164" s="55" t="e">
        <f t="shared" ca="1" si="39"/>
        <v>#N/A</v>
      </c>
      <c r="W164" s="55" t="e">
        <f t="shared" ca="1" si="43"/>
        <v>#N/A</v>
      </c>
      <c r="X164" s="55" t="e">
        <f t="shared" ca="1" si="44"/>
        <v>#N/A</v>
      </c>
      <c r="Y164" s="55" t="e">
        <f t="shared" ca="1" si="45"/>
        <v>#N/A</v>
      </c>
      <c r="Z164" t="e">
        <f ca="1">VLOOKUP(S164,ModelOutputs,10,FALSE)*AWC</f>
        <v>#N/A</v>
      </c>
      <c r="AA164" t="e">
        <f t="shared" ca="1" si="46"/>
        <v>#N/A</v>
      </c>
      <c r="AB164" t="e">
        <f t="shared" ca="1" si="40"/>
        <v>#N/A</v>
      </c>
      <c r="AC164" t="e">
        <f t="shared" ca="1" si="41"/>
        <v>#N/A</v>
      </c>
      <c r="AD164" s="83" t="e">
        <f ca="1"/>
        <v>#N/A</v>
      </c>
      <c r="AE164" s="55" t="e">
        <f t="shared" ca="1" si="47"/>
        <v>#N/A</v>
      </c>
      <c r="AF164" s="55" t="e">
        <f t="shared" ca="1" si="48"/>
        <v>#N/A</v>
      </c>
      <c r="AG164" s="55" t="e">
        <f t="shared" ca="1" si="49"/>
        <v>#N/A</v>
      </c>
      <c r="AH164" s="55" t="e">
        <f t="shared" ca="1" si="50"/>
        <v>#N/A</v>
      </c>
      <c r="AI164" s="55" t="e">
        <f ca="1">-VLOOKUP(AE164,ModelOutputs,9,FALSE)+AI163</f>
        <v>#N/A</v>
      </c>
      <c r="AJ164" s="55" t="e">
        <f ca="1">VLOOKUP(AE164,ModelOutputs,5,FALSE)+AJ163</f>
        <v>#N/A</v>
      </c>
      <c r="AK164" s="55" t="e">
        <f ca="1">VLOOKUP(AE164,ModelOutputs,4,FALSE)+AK163</f>
        <v>#N/A</v>
      </c>
    </row>
    <row r="165" spans="18:37">
      <c r="R165" s="83" t="e">
        <f ca="1"/>
        <v>#N/A</v>
      </c>
      <c r="S165" s="55" t="e">
        <f t="shared" ca="1" si="42"/>
        <v>#N/A</v>
      </c>
      <c r="T165" s="55" t="e">
        <f t="shared" ca="1" si="37"/>
        <v>#N/A</v>
      </c>
      <c r="U165" s="55" t="e">
        <f t="shared" ca="1" si="38"/>
        <v>#N/A</v>
      </c>
      <c r="V165" s="55" t="e">
        <f t="shared" ca="1" si="39"/>
        <v>#N/A</v>
      </c>
      <c r="W165" s="55" t="e">
        <f t="shared" ca="1" si="43"/>
        <v>#N/A</v>
      </c>
      <c r="X165" s="55" t="e">
        <f t="shared" ca="1" si="44"/>
        <v>#N/A</v>
      </c>
      <c r="Y165" s="55" t="e">
        <f t="shared" ca="1" si="45"/>
        <v>#N/A</v>
      </c>
      <c r="Z165" t="e">
        <f ca="1">VLOOKUP(S165,ModelOutputs,10,FALSE)*AWC</f>
        <v>#N/A</v>
      </c>
      <c r="AA165" t="e">
        <f t="shared" ca="1" si="46"/>
        <v>#N/A</v>
      </c>
      <c r="AB165" t="e">
        <f t="shared" ca="1" si="40"/>
        <v>#N/A</v>
      </c>
      <c r="AC165" t="e">
        <f t="shared" ca="1" si="41"/>
        <v>#N/A</v>
      </c>
      <c r="AD165" s="83" t="e">
        <f ca="1"/>
        <v>#N/A</v>
      </c>
      <c r="AE165" s="55" t="e">
        <f t="shared" ca="1" si="47"/>
        <v>#N/A</v>
      </c>
      <c r="AF165" s="55" t="e">
        <f t="shared" ca="1" si="48"/>
        <v>#N/A</v>
      </c>
      <c r="AG165" s="55" t="e">
        <f t="shared" ca="1" si="49"/>
        <v>#N/A</v>
      </c>
      <c r="AH165" s="55" t="e">
        <f t="shared" ca="1" si="50"/>
        <v>#N/A</v>
      </c>
      <c r="AI165" s="55" t="e">
        <f ca="1">-VLOOKUP(AE165,ModelOutputs,9,FALSE)+AI164</f>
        <v>#N/A</v>
      </c>
      <c r="AJ165" s="55" t="e">
        <f ca="1">VLOOKUP(AE165,ModelOutputs,5,FALSE)+AJ164</f>
        <v>#N/A</v>
      </c>
      <c r="AK165" s="55" t="e">
        <f ca="1">VLOOKUP(AE165,ModelOutputs,4,FALSE)+AK164</f>
        <v>#N/A</v>
      </c>
    </row>
    <row r="166" spans="18:37">
      <c r="R166" s="83" t="e">
        <f ca="1"/>
        <v>#N/A</v>
      </c>
      <c r="S166" s="55" t="e">
        <f t="shared" ca="1" si="42"/>
        <v>#N/A</v>
      </c>
      <c r="T166" s="55" t="e">
        <f t="shared" ca="1" si="37"/>
        <v>#N/A</v>
      </c>
      <c r="U166" s="55" t="e">
        <f t="shared" ca="1" si="38"/>
        <v>#N/A</v>
      </c>
      <c r="V166" s="55" t="e">
        <f t="shared" ca="1" si="39"/>
        <v>#N/A</v>
      </c>
      <c r="W166" s="55" t="e">
        <f t="shared" ca="1" si="43"/>
        <v>#N/A</v>
      </c>
      <c r="X166" s="55" t="e">
        <f t="shared" ca="1" si="44"/>
        <v>#N/A</v>
      </c>
      <c r="Y166" s="55" t="e">
        <f t="shared" ca="1" si="45"/>
        <v>#N/A</v>
      </c>
      <c r="Z166" t="e">
        <f ca="1">VLOOKUP(S166,ModelOutputs,10,FALSE)*AWC</f>
        <v>#N/A</v>
      </c>
      <c r="AA166" t="e">
        <f t="shared" ca="1" si="46"/>
        <v>#N/A</v>
      </c>
      <c r="AB166" t="e">
        <f t="shared" ca="1" si="40"/>
        <v>#N/A</v>
      </c>
      <c r="AC166" t="e">
        <f t="shared" ca="1" si="41"/>
        <v>#N/A</v>
      </c>
      <c r="AD166" s="83" t="e">
        <f ca="1"/>
        <v>#N/A</v>
      </c>
      <c r="AE166" s="55" t="e">
        <f t="shared" ca="1" si="47"/>
        <v>#N/A</v>
      </c>
      <c r="AF166" s="55" t="e">
        <f t="shared" ca="1" si="48"/>
        <v>#N/A</v>
      </c>
      <c r="AG166" s="55" t="e">
        <f t="shared" ca="1" si="49"/>
        <v>#N/A</v>
      </c>
      <c r="AH166" s="55" t="e">
        <f t="shared" ca="1" si="50"/>
        <v>#N/A</v>
      </c>
      <c r="AI166" s="55" t="e">
        <f ca="1">-VLOOKUP(AE166,ModelOutputs,9,FALSE)+AI165</f>
        <v>#N/A</v>
      </c>
      <c r="AJ166" s="55" t="e">
        <f ca="1">VLOOKUP(AE166,ModelOutputs,5,FALSE)+AJ165</f>
        <v>#N/A</v>
      </c>
      <c r="AK166" s="55" t="e">
        <f ca="1">VLOOKUP(AE166,ModelOutputs,4,FALSE)+AK165</f>
        <v>#N/A</v>
      </c>
    </row>
    <row r="167" spans="18:37">
      <c r="R167" s="83" t="e">
        <f ca="1"/>
        <v>#N/A</v>
      </c>
      <c r="S167" s="55" t="e">
        <f t="shared" ca="1" si="42"/>
        <v>#N/A</v>
      </c>
      <c r="T167" s="55" t="e">
        <f t="shared" ca="1" si="37"/>
        <v>#N/A</v>
      </c>
      <c r="U167" s="55" t="e">
        <f t="shared" ca="1" si="38"/>
        <v>#N/A</v>
      </c>
      <c r="V167" s="55" t="e">
        <f t="shared" ca="1" si="39"/>
        <v>#N/A</v>
      </c>
      <c r="W167" s="55" t="e">
        <f t="shared" ca="1" si="43"/>
        <v>#N/A</v>
      </c>
      <c r="X167" s="55" t="e">
        <f t="shared" ca="1" si="44"/>
        <v>#N/A</v>
      </c>
      <c r="Y167" s="55" t="e">
        <f t="shared" ca="1" si="45"/>
        <v>#N/A</v>
      </c>
      <c r="Z167" t="e">
        <f ca="1">VLOOKUP(S167,ModelOutputs,10,FALSE)*AWC</f>
        <v>#N/A</v>
      </c>
      <c r="AA167" t="e">
        <f t="shared" ca="1" si="46"/>
        <v>#N/A</v>
      </c>
      <c r="AB167" t="e">
        <f t="shared" ca="1" si="40"/>
        <v>#N/A</v>
      </c>
      <c r="AC167" t="e">
        <f t="shared" ca="1" si="41"/>
        <v>#N/A</v>
      </c>
      <c r="AD167" s="83" t="e">
        <f ca="1"/>
        <v>#N/A</v>
      </c>
      <c r="AE167" s="55" t="e">
        <f t="shared" ca="1" si="47"/>
        <v>#N/A</v>
      </c>
      <c r="AF167" s="55" t="e">
        <f t="shared" ca="1" si="48"/>
        <v>#N/A</v>
      </c>
      <c r="AG167" s="55" t="e">
        <f t="shared" ca="1" si="49"/>
        <v>#N/A</v>
      </c>
      <c r="AH167" s="55" t="e">
        <f t="shared" ca="1" si="50"/>
        <v>#N/A</v>
      </c>
      <c r="AI167" s="55" t="e">
        <f ca="1">-VLOOKUP(AE167,ModelOutputs,9,FALSE)+AI166</f>
        <v>#N/A</v>
      </c>
      <c r="AJ167" s="55" t="e">
        <f ca="1">VLOOKUP(AE167,ModelOutputs,5,FALSE)+AJ166</f>
        <v>#N/A</v>
      </c>
      <c r="AK167" s="55" t="e">
        <f ca="1">VLOOKUP(AE167,ModelOutputs,4,FALSE)+AK166</f>
        <v>#N/A</v>
      </c>
    </row>
    <row r="168" spans="18:37">
      <c r="R168" s="83" t="e">
        <f ca="1"/>
        <v>#N/A</v>
      </c>
      <c r="S168" s="55" t="e">
        <f t="shared" ca="1" si="42"/>
        <v>#N/A</v>
      </c>
      <c r="T168" s="55" t="e">
        <f t="shared" ca="1" si="37"/>
        <v>#N/A</v>
      </c>
      <c r="U168" s="55" t="e">
        <f t="shared" ca="1" si="38"/>
        <v>#N/A</v>
      </c>
      <c r="V168" s="55" t="e">
        <f t="shared" ca="1" si="39"/>
        <v>#N/A</v>
      </c>
      <c r="W168" s="55" t="e">
        <f t="shared" ca="1" si="43"/>
        <v>#N/A</v>
      </c>
      <c r="X168" s="55" t="e">
        <f t="shared" ca="1" si="44"/>
        <v>#N/A</v>
      </c>
      <c r="Y168" s="55" t="e">
        <f t="shared" ca="1" si="45"/>
        <v>#N/A</v>
      </c>
      <c r="Z168" t="e">
        <f ca="1">VLOOKUP(S168,ModelOutputs,10,FALSE)*AWC</f>
        <v>#N/A</v>
      </c>
      <c r="AA168" t="e">
        <f t="shared" ca="1" si="46"/>
        <v>#N/A</v>
      </c>
      <c r="AB168" t="e">
        <f t="shared" ca="1" si="40"/>
        <v>#N/A</v>
      </c>
      <c r="AC168" t="e">
        <f t="shared" ca="1" si="41"/>
        <v>#N/A</v>
      </c>
      <c r="AD168" s="83" t="e">
        <f ca="1"/>
        <v>#N/A</v>
      </c>
      <c r="AE168" s="55" t="e">
        <f t="shared" ca="1" si="47"/>
        <v>#N/A</v>
      </c>
      <c r="AF168" s="55" t="e">
        <f t="shared" ca="1" si="48"/>
        <v>#N/A</v>
      </c>
      <c r="AG168" s="55" t="e">
        <f t="shared" ca="1" si="49"/>
        <v>#N/A</v>
      </c>
      <c r="AH168" s="55" t="e">
        <f t="shared" ca="1" si="50"/>
        <v>#N/A</v>
      </c>
      <c r="AI168" s="55" t="e">
        <f ca="1">-VLOOKUP(AE168,ModelOutputs,9,FALSE)+AI167</f>
        <v>#N/A</v>
      </c>
      <c r="AJ168" s="55" t="e">
        <f ca="1">VLOOKUP(AE168,ModelOutputs,5,FALSE)+AJ167</f>
        <v>#N/A</v>
      </c>
      <c r="AK168" s="55" t="e">
        <f ca="1">VLOOKUP(AE168,ModelOutputs,4,FALSE)+AK167</f>
        <v>#N/A</v>
      </c>
    </row>
    <row r="169" spans="18:37">
      <c r="R169" s="83" t="e">
        <f ca="1"/>
        <v>#N/A</v>
      </c>
      <c r="S169" s="55" t="e">
        <f t="shared" ca="1" si="42"/>
        <v>#N/A</v>
      </c>
      <c r="T169" s="55" t="e">
        <f t="shared" ca="1" si="37"/>
        <v>#N/A</v>
      </c>
      <c r="U169" s="55" t="e">
        <f t="shared" ca="1" si="38"/>
        <v>#N/A</v>
      </c>
      <c r="V169" s="55" t="e">
        <f t="shared" ca="1" si="39"/>
        <v>#N/A</v>
      </c>
      <c r="W169" s="55" t="e">
        <f t="shared" ca="1" si="43"/>
        <v>#N/A</v>
      </c>
      <c r="X169" s="55" t="e">
        <f t="shared" ca="1" si="44"/>
        <v>#N/A</v>
      </c>
      <c r="Y169" s="55" t="e">
        <f t="shared" ca="1" si="45"/>
        <v>#N/A</v>
      </c>
      <c r="Z169" t="e">
        <f ca="1">VLOOKUP(S169,ModelOutputs,10,FALSE)*AWC</f>
        <v>#N/A</v>
      </c>
      <c r="AA169" t="e">
        <f t="shared" ca="1" si="46"/>
        <v>#N/A</v>
      </c>
      <c r="AB169" t="e">
        <f t="shared" ca="1" si="40"/>
        <v>#N/A</v>
      </c>
      <c r="AC169" t="e">
        <f t="shared" ca="1" si="41"/>
        <v>#N/A</v>
      </c>
      <c r="AD169" s="83" t="e">
        <f ca="1"/>
        <v>#N/A</v>
      </c>
      <c r="AE169" s="55" t="e">
        <f t="shared" ca="1" si="47"/>
        <v>#N/A</v>
      </c>
      <c r="AF169" s="55" t="e">
        <f t="shared" ca="1" si="48"/>
        <v>#N/A</v>
      </c>
      <c r="AG169" s="55" t="e">
        <f t="shared" ca="1" si="49"/>
        <v>#N/A</v>
      </c>
      <c r="AH169" s="55" t="e">
        <f t="shared" ca="1" si="50"/>
        <v>#N/A</v>
      </c>
      <c r="AI169" s="55" t="e">
        <f ca="1">-VLOOKUP(AE169,ModelOutputs,9,FALSE)+AI168</f>
        <v>#N/A</v>
      </c>
      <c r="AJ169" s="55" t="e">
        <f ca="1">VLOOKUP(AE169,ModelOutputs,5,FALSE)+AJ168</f>
        <v>#N/A</v>
      </c>
      <c r="AK169" s="55" t="e">
        <f ca="1">VLOOKUP(AE169,ModelOutputs,4,FALSE)+AK168</f>
        <v>#N/A</v>
      </c>
    </row>
    <row r="170" spans="18:37">
      <c r="R170" s="83" t="e">
        <f ca="1"/>
        <v>#N/A</v>
      </c>
      <c r="S170" s="55" t="e">
        <f t="shared" ca="1" si="42"/>
        <v>#N/A</v>
      </c>
      <c r="T170" s="55" t="e">
        <f t="shared" ca="1" si="37"/>
        <v>#N/A</v>
      </c>
      <c r="U170" s="55" t="e">
        <f t="shared" ca="1" si="38"/>
        <v>#N/A</v>
      </c>
      <c r="V170" s="55" t="e">
        <f t="shared" ca="1" si="39"/>
        <v>#N/A</v>
      </c>
      <c r="W170" s="55" t="e">
        <f t="shared" ca="1" si="43"/>
        <v>#N/A</v>
      </c>
      <c r="X170" s="55" t="e">
        <f t="shared" ca="1" si="44"/>
        <v>#N/A</v>
      </c>
      <c r="Y170" s="55" t="e">
        <f t="shared" ca="1" si="45"/>
        <v>#N/A</v>
      </c>
      <c r="Z170" t="e">
        <f ca="1">VLOOKUP(S170,ModelOutputs,10,FALSE)*AWC</f>
        <v>#N/A</v>
      </c>
      <c r="AA170" t="e">
        <f t="shared" ca="1" si="46"/>
        <v>#N/A</v>
      </c>
      <c r="AB170" t="e">
        <f t="shared" ca="1" si="40"/>
        <v>#N/A</v>
      </c>
      <c r="AC170" t="e">
        <f t="shared" ca="1" si="41"/>
        <v>#N/A</v>
      </c>
      <c r="AD170" s="83" t="e">
        <f ca="1"/>
        <v>#N/A</v>
      </c>
      <c r="AE170" s="55" t="e">
        <f t="shared" ca="1" si="47"/>
        <v>#N/A</v>
      </c>
      <c r="AF170" s="55" t="e">
        <f t="shared" ca="1" si="48"/>
        <v>#N/A</v>
      </c>
      <c r="AG170" s="55" t="e">
        <f t="shared" ca="1" si="49"/>
        <v>#N/A</v>
      </c>
      <c r="AH170" s="55" t="e">
        <f t="shared" ca="1" si="50"/>
        <v>#N/A</v>
      </c>
      <c r="AI170" s="55" t="e">
        <f ca="1">-VLOOKUP(AE170,ModelOutputs,9,FALSE)+AI169</f>
        <v>#N/A</v>
      </c>
      <c r="AJ170" s="55" t="e">
        <f ca="1">VLOOKUP(AE170,ModelOutputs,5,FALSE)+AJ169</f>
        <v>#N/A</v>
      </c>
      <c r="AK170" s="55" t="e">
        <f ca="1">VLOOKUP(AE170,ModelOutputs,4,FALSE)+AK169</f>
        <v>#N/A</v>
      </c>
    </row>
    <row r="171" spans="18:37">
      <c r="R171" s="83" t="e">
        <f ca="1"/>
        <v>#N/A</v>
      </c>
      <c r="S171" s="55" t="e">
        <f t="shared" ca="1" si="42"/>
        <v>#N/A</v>
      </c>
      <c r="T171" s="55" t="e">
        <f t="shared" ca="1" si="37"/>
        <v>#N/A</v>
      </c>
      <c r="U171" s="55" t="e">
        <f t="shared" ca="1" si="38"/>
        <v>#N/A</v>
      </c>
      <c r="V171" s="55" t="e">
        <f t="shared" ca="1" si="39"/>
        <v>#N/A</v>
      </c>
      <c r="W171" s="55" t="e">
        <f t="shared" ca="1" si="43"/>
        <v>#N/A</v>
      </c>
      <c r="X171" s="55" t="e">
        <f t="shared" ca="1" si="44"/>
        <v>#N/A</v>
      </c>
      <c r="Y171" s="55" t="e">
        <f t="shared" ca="1" si="45"/>
        <v>#N/A</v>
      </c>
      <c r="Z171" t="e">
        <f ca="1">VLOOKUP(S171,ModelOutputs,10,FALSE)*AWC</f>
        <v>#N/A</v>
      </c>
      <c r="AA171" t="e">
        <f t="shared" ca="1" si="46"/>
        <v>#N/A</v>
      </c>
      <c r="AB171" t="e">
        <f t="shared" ca="1" si="40"/>
        <v>#N/A</v>
      </c>
      <c r="AC171" t="e">
        <f t="shared" ca="1" si="41"/>
        <v>#N/A</v>
      </c>
      <c r="AD171" s="83" t="e">
        <f ca="1"/>
        <v>#N/A</v>
      </c>
      <c r="AE171" s="55" t="e">
        <f t="shared" ca="1" si="47"/>
        <v>#N/A</v>
      </c>
      <c r="AF171" s="55" t="e">
        <f t="shared" ca="1" si="48"/>
        <v>#N/A</v>
      </c>
      <c r="AG171" s="55" t="e">
        <f t="shared" ca="1" si="49"/>
        <v>#N/A</v>
      </c>
      <c r="AH171" s="55" t="e">
        <f t="shared" ca="1" si="50"/>
        <v>#N/A</v>
      </c>
      <c r="AI171" s="55" t="e">
        <f ca="1">-VLOOKUP(AE171,ModelOutputs,9,FALSE)+AI170</f>
        <v>#N/A</v>
      </c>
      <c r="AJ171" s="55" t="e">
        <f ca="1">VLOOKUP(AE171,ModelOutputs,5,FALSE)+AJ170</f>
        <v>#N/A</v>
      </c>
      <c r="AK171" s="55" t="e">
        <f ca="1">VLOOKUP(AE171,ModelOutputs,4,FALSE)+AK170</f>
        <v>#N/A</v>
      </c>
    </row>
    <row r="172" spans="18:37">
      <c r="R172" s="83" t="e">
        <f ca="1"/>
        <v>#N/A</v>
      </c>
      <c r="S172" s="55" t="e">
        <f t="shared" ca="1" si="42"/>
        <v>#N/A</v>
      </c>
      <c r="T172" s="55" t="e">
        <f t="shared" ca="1" si="37"/>
        <v>#N/A</v>
      </c>
      <c r="U172" s="55" t="e">
        <f t="shared" ca="1" si="38"/>
        <v>#N/A</v>
      </c>
      <c r="V172" s="55" t="e">
        <f t="shared" ca="1" si="39"/>
        <v>#N/A</v>
      </c>
      <c r="W172" s="55" t="e">
        <f t="shared" ca="1" si="43"/>
        <v>#N/A</v>
      </c>
      <c r="X172" s="55" t="e">
        <f t="shared" ca="1" si="44"/>
        <v>#N/A</v>
      </c>
      <c r="Y172" s="55" t="e">
        <f t="shared" ca="1" si="45"/>
        <v>#N/A</v>
      </c>
      <c r="Z172" t="e">
        <f ca="1">VLOOKUP(S172,ModelOutputs,10,FALSE)*AWC</f>
        <v>#N/A</v>
      </c>
      <c r="AA172" t="e">
        <f t="shared" ca="1" si="46"/>
        <v>#N/A</v>
      </c>
      <c r="AB172" t="e">
        <f t="shared" ca="1" si="40"/>
        <v>#N/A</v>
      </c>
      <c r="AC172" t="e">
        <f t="shared" ca="1" si="41"/>
        <v>#N/A</v>
      </c>
      <c r="AD172" s="83" t="e">
        <f ca="1"/>
        <v>#N/A</v>
      </c>
      <c r="AE172" s="55" t="e">
        <f t="shared" ca="1" si="47"/>
        <v>#N/A</v>
      </c>
      <c r="AF172" s="55" t="e">
        <f t="shared" ca="1" si="48"/>
        <v>#N/A</v>
      </c>
      <c r="AG172" s="55" t="e">
        <f t="shared" ca="1" si="49"/>
        <v>#N/A</v>
      </c>
      <c r="AH172" s="55" t="e">
        <f t="shared" ca="1" si="50"/>
        <v>#N/A</v>
      </c>
      <c r="AI172" s="55" t="e">
        <f ca="1">-VLOOKUP(AE172,ModelOutputs,9,FALSE)+AI171</f>
        <v>#N/A</v>
      </c>
      <c r="AJ172" s="55" t="e">
        <f ca="1">VLOOKUP(AE172,ModelOutputs,5,FALSE)+AJ171</f>
        <v>#N/A</v>
      </c>
      <c r="AK172" s="55" t="e">
        <f ca="1">VLOOKUP(AE172,ModelOutputs,4,FALSE)+AK171</f>
        <v>#N/A</v>
      </c>
    </row>
    <row r="173" spans="18:37">
      <c r="R173" s="83" t="e">
        <f ca="1"/>
        <v>#N/A</v>
      </c>
      <c r="S173" s="55" t="e">
        <f t="shared" ca="1" si="42"/>
        <v>#N/A</v>
      </c>
      <c r="T173" s="55" t="e">
        <f t="shared" ca="1" si="37"/>
        <v>#N/A</v>
      </c>
      <c r="U173" s="55" t="e">
        <f t="shared" ca="1" si="38"/>
        <v>#N/A</v>
      </c>
      <c r="V173" s="55" t="e">
        <f t="shared" ca="1" si="39"/>
        <v>#N/A</v>
      </c>
      <c r="W173" s="55" t="e">
        <f t="shared" ca="1" si="43"/>
        <v>#N/A</v>
      </c>
      <c r="X173" s="55" t="e">
        <f t="shared" ca="1" si="44"/>
        <v>#N/A</v>
      </c>
      <c r="Y173" s="55" t="e">
        <f t="shared" ca="1" si="45"/>
        <v>#N/A</v>
      </c>
      <c r="Z173" t="e">
        <f ca="1">VLOOKUP(S173,ModelOutputs,10,FALSE)*AWC</f>
        <v>#N/A</v>
      </c>
      <c r="AA173" t="e">
        <f t="shared" ca="1" si="46"/>
        <v>#N/A</v>
      </c>
      <c r="AB173" t="e">
        <f t="shared" ca="1" si="40"/>
        <v>#N/A</v>
      </c>
      <c r="AC173" t="e">
        <f t="shared" ca="1" si="41"/>
        <v>#N/A</v>
      </c>
      <c r="AD173" s="83" t="e">
        <f ca="1"/>
        <v>#N/A</v>
      </c>
      <c r="AE173" s="55" t="e">
        <f t="shared" ca="1" si="47"/>
        <v>#N/A</v>
      </c>
      <c r="AF173" s="55" t="e">
        <f t="shared" ca="1" si="48"/>
        <v>#N/A</v>
      </c>
      <c r="AG173" s="55" t="e">
        <f t="shared" ca="1" si="49"/>
        <v>#N/A</v>
      </c>
      <c r="AH173" s="55" t="e">
        <f t="shared" ca="1" si="50"/>
        <v>#N/A</v>
      </c>
      <c r="AI173" s="55" t="e">
        <f ca="1">-VLOOKUP(AE173,ModelOutputs,9,FALSE)+AI172</f>
        <v>#N/A</v>
      </c>
      <c r="AJ173" s="55" t="e">
        <f ca="1">VLOOKUP(AE173,ModelOutputs,5,FALSE)+AJ172</f>
        <v>#N/A</v>
      </c>
      <c r="AK173" s="55" t="e">
        <f ca="1">VLOOKUP(AE173,ModelOutputs,4,FALSE)+AK172</f>
        <v>#N/A</v>
      </c>
    </row>
    <row r="174" spans="18:37">
      <c r="R174" s="83" t="e">
        <f ca="1"/>
        <v>#N/A</v>
      </c>
      <c r="S174" s="55" t="e">
        <f t="shared" ca="1" si="42"/>
        <v>#N/A</v>
      </c>
      <c r="T174" s="55" t="e">
        <f t="shared" ca="1" si="37"/>
        <v>#N/A</v>
      </c>
      <c r="U174" s="55" t="e">
        <f t="shared" ca="1" si="38"/>
        <v>#N/A</v>
      </c>
      <c r="V174" s="55" t="e">
        <f t="shared" ca="1" si="39"/>
        <v>#N/A</v>
      </c>
      <c r="W174" s="55" t="e">
        <f t="shared" ca="1" si="43"/>
        <v>#N/A</v>
      </c>
      <c r="X174" s="55" t="e">
        <f t="shared" ca="1" si="44"/>
        <v>#N/A</v>
      </c>
      <c r="Y174" s="55" t="e">
        <f t="shared" ca="1" si="45"/>
        <v>#N/A</v>
      </c>
      <c r="Z174" t="e">
        <f ca="1">VLOOKUP(S174,ModelOutputs,10,FALSE)*AWC</f>
        <v>#N/A</v>
      </c>
      <c r="AA174" t="e">
        <f t="shared" ca="1" si="46"/>
        <v>#N/A</v>
      </c>
      <c r="AB174" t="e">
        <f t="shared" ca="1" si="40"/>
        <v>#N/A</v>
      </c>
      <c r="AC174" t="e">
        <f t="shared" ca="1" si="41"/>
        <v>#N/A</v>
      </c>
      <c r="AD174" s="83" t="e">
        <f ca="1"/>
        <v>#N/A</v>
      </c>
      <c r="AE174" s="55" t="e">
        <f t="shared" ca="1" si="47"/>
        <v>#N/A</v>
      </c>
      <c r="AF174" s="55" t="e">
        <f t="shared" ca="1" si="48"/>
        <v>#N/A</v>
      </c>
      <c r="AG174" s="55" t="e">
        <f t="shared" ca="1" si="49"/>
        <v>#N/A</v>
      </c>
      <c r="AH174" s="55" t="e">
        <f t="shared" ca="1" si="50"/>
        <v>#N/A</v>
      </c>
      <c r="AI174" s="55" t="e">
        <f ca="1">-VLOOKUP(AE174,ModelOutputs,9,FALSE)+AI173</f>
        <v>#N/A</v>
      </c>
      <c r="AJ174" s="55" t="e">
        <f ca="1">VLOOKUP(AE174,ModelOutputs,5,FALSE)+AJ173</f>
        <v>#N/A</v>
      </c>
      <c r="AK174" s="55" t="e">
        <f ca="1">VLOOKUP(AE174,ModelOutputs,4,FALSE)+AK173</f>
        <v>#N/A</v>
      </c>
    </row>
    <row r="175" spans="18:37">
      <c r="R175" s="83" t="e">
        <f ca="1"/>
        <v>#N/A</v>
      </c>
      <c r="S175" s="55" t="e">
        <f t="shared" ca="1" si="42"/>
        <v>#N/A</v>
      </c>
      <c r="T175" s="55" t="e">
        <f t="shared" ca="1" si="37"/>
        <v>#N/A</v>
      </c>
      <c r="U175" s="55" t="e">
        <f t="shared" ca="1" si="38"/>
        <v>#N/A</v>
      </c>
      <c r="V175" s="55" t="e">
        <f t="shared" ca="1" si="39"/>
        <v>#N/A</v>
      </c>
      <c r="W175" s="55" t="e">
        <f t="shared" ca="1" si="43"/>
        <v>#N/A</v>
      </c>
      <c r="X175" s="55" t="e">
        <f t="shared" ca="1" si="44"/>
        <v>#N/A</v>
      </c>
      <c r="Y175" s="55" t="e">
        <f t="shared" ca="1" si="45"/>
        <v>#N/A</v>
      </c>
      <c r="Z175" t="e">
        <f ca="1">VLOOKUP(S175,ModelOutputs,10,FALSE)*AWC</f>
        <v>#N/A</v>
      </c>
      <c r="AA175" t="e">
        <f t="shared" ca="1" si="46"/>
        <v>#N/A</v>
      </c>
      <c r="AB175" t="e">
        <f t="shared" ca="1" si="40"/>
        <v>#N/A</v>
      </c>
      <c r="AC175" t="e">
        <f t="shared" ca="1" si="41"/>
        <v>#N/A</v>
      </c>
      <c r="AD175" s="83" t="e">
        <f ca="1"/>
        <v>#N/A</v>
      </c>
      <c r="AE175" s="55" t="e">
        <f t="shared" ca="1" si="47"/>
        <v>#N/A</v>
      </c>
      <c r="AF175" s="55" t="e">
        <f t="shared" ca="1" si="48"/>
        <v>#N/A</v>
      </c>
      <c r="AG175" s="55" t="e">
        <f t="shared" ca="1" si="49"/>
        <v>#N/A</v>
      </c>
      <c r="AH175" s="55" t="e">
        <f t="shared" ca="1" si="50"/>
        <v>#N/A</v>
      </c>
      <c r="AI175" s="55" t="e">
        <f ca="1">-VLOOKUP(AE175,ModelOutputs,9,FALSE)+AI174</f>
        <v>#N/A</v>
      </c>
      <c r="AJ175" s="55" t="e">
        <f ca="1">VLOOKUP(AE175,ModelOutputs,5,FALSE)+AJ174</f>
        <v>#N/A</v>
      </c>
      <c r="AK175" s="55" t="e">
        <f ca="1">VLOOKUP(AE175,ModelOutputs,4,FALSE)+AK174</f>
        <v>#N/A</v>
      </c>
    </row>
    <row r="176" spans="18:37">
      <c r="R176" s="83" t="e">
        <f ca="1"/>
        <v>#N/A</v>
      </c>
      <c r="S176" s="55" t="e">
        <f t="shared" ca="1" si="42"/>
        <v>#N/A</v>
      </c>
      <c r="T176" s="55" t="e">
        <f t="shared" ca="1" si="37"/>
        <v>#N/A</v>
      </c>
      <c r="U176" s="55" t="e">
        <f t="shared" ca="1" si="38"/>
        <v>#N/A</v>
      </c>
      <c r="V176" s="55" t="e">
        <f t="shared" ca="1" si="39"/>
        <v>#N/A</v>
      </c>
      <c r="W176" s="55" t="e">
        <f t="shared" ca="1" si="43"/>
        <v>#N/A</v>
      </c>
      <c r="X176" s="55" t="e">
        <f t="shared" ca="1" si="44"/>
        <v>#N/A</v>
      </c>
      <c r="Y176" s="55" t="e">
        <f t="shared" ca="1" si="45"/>
        <v>#N/A</v>
      </c>
      <c r="Z176" t="e">
        <f ca="1">VLOOKUP(S176,ModelOutputs,10,FALSE)*AWC</f>
        <v>#N/A</v>
      </c>
      <c r="AA176" t="e">
        <f t="shared" ca="1" si="46"/>
        <v>#N/A</v>
      </c>
      <c r="AB176" t="e">
        <f t="shared" ca="1" si="40"/>
        <v>#N/A</v>
      </c>
      <c r="AC176" t="e">
        <f t="shared" ca="1" si="41"/>
        <v>#N/A</v>
      </c>
      <c r="AD176" s="83" t="e">
        <f ca="1"/>
        <v>#N/A</v>
      </c>
      <c r="AE176" s="55" t="e">
        <f t="shared" ca="1" si="47"/>
        <v>#N/A</v>
      </c>
      <c r="AF176" s="55" t="e">
        <f t="shared" ca="1" si="48"/>
        <v>#N/A</v>
      </c>
      <c r="AG176" s="55" t="e">
        <f t="shared" ca="1" si="49"/>
        <v>#N/A</v>
      </c>
      <c r="AH176" s="55" t="e">
        <f t="shared" ca="1" si="50"/>
        <v>#N/A</v>
      </c>
      <c r="AI176" s="55" t="e">
        <f ca="1">-VLOOKUP(AE176,ModelOutputs,9,FALSE)+AI175</f>
        <v>#N/A</v>
      </c>
      <c r="AJ176" s="55" t="e">
        <f ca="1">VLOOKUP(AE176,ModelOutputs,5,FALSE)+AJ175</f>
        <v>#N/A</v>
      </c>
      <c r="AK176" s="55" t="e">
        <f ca="1">VLOOKUP(AE176,ModelOutputs,4,FALSE)+AK175</f>
        <v>#N/A</v>
      </c>
    </row>
    <row r="177" spans="18:37">
      <c r="R177" s="83" t="e">
        <f ca="1"/>
        <v>#N/A</v>
      </c>
      <c r="S177" s="55" t="e">
        <f t="shared" ca="1" si="42"/>
        <v>#N/A</v>
      </c>
      <c r="T177" s="55" t="e">
        <f t="shared" ca="1" si="37"/>
        <v>#N/A</v>
      </c>
      <c r="U177" s="55" t="e">
        <f t="shared" ca="1" si="38"/>
        <v>#N/A</v>
      </c>
      <c r="V177" s="55" t="e">
        <f t="shared" ca="1" si="39"/>
        <v>#N/A</v>
      </c>
      <c r="W177" s="55" t="e">
        <f t="shared" ca="1" si="43"/>
        <v>#N/A</v>
      </c>
      <c r="X177" s="55" t="e">
        <f t="shared" ca="1" si="44"/>
        <v>#N/A</v>
      </c>
      <c r="Y177" s="55" t="e">
        <f t="shared" ca="1" si="45"/>
        <v>#N/A</v>
      </c>
      <c r="Z177" t="e">
        <f ca="1">VLOOKUP(S177,ModelOutputs,10,FALSE)*AWC</f>
        <v>#N/A</v>
      </c>
      <c r="AA177" t="e">
        <f t="shared" ca="1" si="46"/>
        <v>#N/A</v>
      </c>
      <c r="AB177" t="e">
        <f t="shared" ca="1" si="40"/>
        <v>#N/A</v>
      </c>
      <c r="AC177" t="e">
        <f t="shared" ca="1" si="41"/>
        <v>#N/A</v>
      </c>
      <c r="AD177" s="83" t="e">
        <f ca="1"/>
        <v>#N/A</v>
      </c>
      <c r="AE177" s="55" t="e">
        <f t="shared" ca="1" si="47"/>
        <v>#N/A</v>
      </c>
      <c r="AF177" s="55" t="e">
        <f t="shared" ca="1" si="48"/>
        <v>#N/A</v>
      </c>
      <c r="AG177" s="55" t="e">
        <f t="shared" ca="1" si="49"/>
        <v>#N/A</v>
      </c>
      <c r="AH177" s="55" t="e">
        <f t="shared" ca="1" si="50"/>
        <v>#N/A</v>
      </c>
      <c r="AI177" s="55" t="e">
        <f ca="1">-VLOOKUP(AE177,ModelOutputs,9,FALSE)+AI176</f>
        <v>#N/A</v>
      </c>
      <c r="AJ177" s="55" t="e">
        <f ca="1">VLOOKUP(AE177,ModelOutputs,5,FALSE)+AJ176</f>
        <v>#N/A</v>
      </c>
      <c r="AK177" s="55" t="e">
        <f ca="1">VLOOKUP(AE177,ModelOutputs,4,FALSE)+AK176</f>
        <v>#N/A</v>
      </c>
    </row>
    <row r="178" spans="18:37">
      <c r="R178" s="83" t="e">
        <f ca="1"/>
        <v>#N/A</v>
      </c>
      <c r="S178" s="55" t="e">
        <f t="shared" ca="1" si="42"/>
        <v>#N/A</v>
      </c>
      <c r="T178" s="55" t="e">
        <f t="shared" ca="1" si="37"/>
        <v>#N/A</v>
      </c>
      <c r="U178" s="55" t="e">
        <f t="shared" ca="1" si="38"/>
        <v>#N/A</v>
      </c>
      <c r="V178" s="55" t="e">
        <f t="shared" ca="1" si="39"/>
        <v>#N/A</v>
      </c>
      <c r="W178" s="55" t="e">
        <f t="shared" ca="1" si="43"/>
        <v>#N/A</v>
      </c>
      <c r="X178" s="55" t="e">
        <f t="shared" ca="1" si="44"/>
        <v>#N/A</v>
      </c>
      <c r="Y178" s="55" t="e">
        <f t="shared" ca="1" si="45"/>
        <v>#N/A</v>
      </c>
      <c r="Z178" t="e">
        <f ca="1">VLOOKUP(S178,ModelOutputs,10,FALSE)*AWC</f>
        <v>#N/A</v>
      </c>
      <c r="AA178" t="e">
        <f t="shared" ca="1" si="46"/>
        <v>#N/A</v>
      </c>
      <c r="AB178" t="e">
        <f t="shared" ca="1" si="40"/>
        <v>#N/A</v>
      </c>
      <c r="AC178" t="e">
        <f t="shared" ca="1" si="41"/>
        <v>#N/A</v>
      </c>
      <c r="AD178" s="83" t="e">
        <f ca="1"/>
        <v>#N/A</v>
      </c>
      <c r="AE178" s="55" t="e">
        <f t="shared" ca="1" si="47"/>
        <v>#N/A</v>
      </c>
      <c r="AF178" s="55" t="e">
        <f t="shared" ca="1" si="48"/>
        <v>#N/A</v>
      </c>
      <c r="AG178" s="55" t="e">
        <f t="shared" ca="1" si="49"/>
        <v>#N/A</v>
      </c>
      <c r="AH178" s="55" t="e">
        <f t="shared" ca="1" si="50"/>
        <v>#N/A</v>
      </c>
      <c r="AI178" s="55" t="e">
        <f ca="1">-VLOOKUP(AE178,ModelOutputs,9,FALSE)+AI177</f>
        <v>#N/A</v>
      </c>
      <c r="AJ178" s="55" t="e">
        <f ca="1">VLOOKUP(AE178,ModelOutputs,5,FALSE)+AJ177</f>
        <v>#N/A</v>
      </c>
      <c r="AK178" s="55" t="e">
        <f ca="1">VLOOKUP(AE178,ModelOutputs,4,FALSE)+AK177</f>
        <v>#N/A</v>
      </c>
    </row>
    <row r="179" spans="18:37">
      <c r="R179" s="83" t="e">
        <f ca="1"/>
        <v>#N/A</v>
      </c>
      <c r="S179" s="55" t="e">
        <f t="shared" ca="1" si="42"/>
        <v>#N/A</v>
      </c>
      <c r="T179" s="55" t="e">
        <f t="shared" ca="1" si="37"/>
        <v>#N/A</v>
      </c>
      <c r="U179" s="55" t="e">
        <f t="shared" ca="1" si="38"/>
        <v>#N/A</v>
      </c>
      <c r="V179" s="55" t="e">
        <f t="shared" ca="1" si="39"/>
        <v>#N/A</v>
      </c>
      <c r="W179" s="55" t="e">
        <f t="shared" ca="1" si="43"/>
        <v>#N/A</v>
      </c>
      <c r="X179" s="55" t="e">
        <f t="shared" ca="1" si="44"/>
        <v>#N/A</v>
      </c>
      <c r="Y179" s="55" t="e">
        <f t="shared" ca="1" si="45"/>
        <v>#N/A</v>
      </c>
      <c r="Z179" t="e">
        <f ca="1">VLOOKUP(S179,ModelOutputs,10,FALSE)*AWC</f>
        <v>#N/A</v>
      </c>
      <c r="AA179" t="e">
        <f t="shared" ca="1" si="46"/>
        <v>#N/A</v>
      </c>
      <c r="AB179" t="e">
        <f t="shared" ca="1" si="40"/>
        <v>#N/A</v>
      </c>
      <c r="AC179" t="e">
        <f t="shared" ca="1" si="41"/>
        <v>#N/A</v>
      </c>
      <c r="AD179" s="83" t="e">
        <f ca="1"/>
        <v>#N/A</v>
      </c>
      <c r="AE179" s="55" t="e">
        <f t="shared" ca="1" si="47"/>
        <v>#N/A</v>
      </c>
      <c r="AF179" s="55" t="e">
        <f t="shared" ca="1" si="48"/>
        <v>#N/A</v>
      </c>
      <c r="AG179" s="55" t="e">
        <f t="shared" ca="1" si="49"/>
        <v>#N/A</v>
      </c>
      <c r="AH179" s="55" t="e">
        <f t="shared" ca="1" si="50"/>
        <v>#N/A</v>
      </c>
      <c r="AI179" s="55" t="e">
        <f ca="1">-VLOOKUP(AE179,ModelOutputs,9,FALSE)+AI178</f>
        <v>#N/A</v>
      </c>
      <c r="AJ179" s="55" t="e">
        <f ca="1">VLOOKUP(AE179,ModelOutputs,5,FALSE)+AJ178</f>
        <v>#N/A</v>
      </c>
      <c r="AK179" s="55" t="e">
        <f ca="1">VLOOKUP(AE179,ModelOutputs,4,FALSE)+AK178</f>
        <v>#N/A</v>
      </c>
    </row>
    <row r="180" spans="18:37">
      <c r="R180" s="83" t="e">
        <f ca="1"/>
        <v>#N/A</v>
      </c>
      <c r="S180" s="55" t="e">
        <f t="shared" ca="1" si="42"/>
        <v>#N/A</v>
      </c>
      <c r="T180" s="55" t="e">
        <f t="shared" ca="1" si="37"/>
        <v>#N/A</v>
      </c>
      <c r="U180" s="55" t="e">
        <f t="shared" ca="1" si="38"/>
        <v>#N/A</v>
      </c>
      <c r="V180" s="55" t="e">
        <f t="shared" ca="1" si="39"/>
        <v>#N/A</v>
      </c>
      <c r="W180" s="55" t="e">
        <f t="shared" ca="1" si="43"/>
        <v>#N/A</v>
      </c>
      <c r="X180" s="55" t="e">
        <f t="shared" ca="1" si="44"/>
        <v>#N/A</v>
      </c>
      <c r="Y180" s="55" t="e">
        <f t="shared" ca="1" si="45"/>
        <v>#N/A</v>
      </c>
      <c r="Z180" t="e">
        <f ca="1">VLOOKUP(S180,ModelOutputs,10,FALSE)*AWC</f>
        <v>#N/A</v>
      </c>
      <c r="AA180" t="e">
        <f t="shared" ca="1" si="46"/>
        <v>#N/A</v>
      </c>
      <c r="AB180" t="e">
        <f t="shared" ca="1" si="40"/>
        <v>#N/A</v>
      </c>
      <c r="AC180" t="e">
        <f t="shared" ca="1" si="41"/>
        <v>#N/A</v>
      </c>
      <c r="AD180" s="83" t="e">
        <f ca="1"/>
        <v>#N/A</v>
      </c>
      <c r="AE180" s="55" t="e">
        <f t="shared" ca="1" si="47"/>
        <v>#N/A</v>
      </c>
      <c r="AF180" s="55" t="e">
        <f t="shared" ca="1" si="48"/>
        <v>#N/A</v>
      </c>
      <c r="AG180" s="55" t="e">
        <f t="shared" ca="1" si="49"/>
        <v>#N/A</v>
      </c>
      <c r="AH180" s="55" t="e">
        <f t="shared" ca="1" si="50"/>
        <v>#N/A</v>
      </c>
      <c r="AI180" s="55" t="e">
        <f ca="1">-VLOOKUP(AE180,ModelOutputs,9,FALSE)+AI179</f>
        <v>#N/A</v>
      </c>
      <c r="AJ180" s="55" t="e">
        <f ca="1">VLOOKUP(AE180,ModelOutputs,5,FALSE)+AJ179</f>
        <v>#N/A</v>
      </c>
      <c r="AK180" s="55" t="e">
        <f ca="1">VLOOKUP(AE180,ModelOutputs,4,FALSE)+AK179</f>
        <v>#N/A</v>
      </c>
    </row>
    <row r="181" spans="18:37">
      <c r="R181" s="83" t="e">
        <f ca="1"/>
        <v>#N/A</v>
      </c>
      <c r="S181" s="55" t="e">
        <f t="shared" ca="1" si="42"/>
        <v>#N/A</v>
      </c>
      <c r="T181" s="55" t="e">
        <f t="shared" ca="1" si="37"/>
        <v>#N/A</v>
      </c>
      <c r="U181" s="55" t="e">
        <f t="shared" ca="1" si="38"/>
        <v>#N/A</v>
      </c>
      <c r="V181" s="55" t="e">
        <f t="shared" ca="1" si="39"/>
        <v>#N/A</v>
      </c>
      <c r="W181" s="55" t="e">
        <f t="shared" ca="1" si="43"/>
        <v>#N/A</v>
      </c>
      <c r="X181" s="55" t="e">
        <f t="shared" ca="1" si="44"/>
        <v>#N/A</v>
      </c>
      <c r="Y181" s="55" t="e">
        <f t="shared" ca="1" si="45"/>
        <v>#N/A</v>
      </c>
      <c r="Z181" t="e">
        <f ca="1">VLOOKUP(S181,ModelOutputs,10,FALSE)*AWC</f>
        <v>#N/A</v>
      </c>
      <c r="AA181" t="e">
        <f t="shared" ca="1" si="46"/>
        <v>#N/A</v>
      </c>
      <c r="AB181" t="e">
        <f t="shared" ca="1" si="40"/>
        <v>#N/A</v>
      </c>
      <c r="AC181" t="e">
        <f t="shared" ca="1" si="41"/>
        <v>#N/A</v>
      </c>
      <c r="AD181" s="83" t="e">
        <f ca="1"/>
        <v>#N/A</v>
      </c>
      <c r="AE181" s="55" t="e">
        <f t="shared" ca="1" si="47"/>
        <v>#N/A</v>
      </c>
      <c r="AF181" s="55" t="e">
        <f t="shared" ca="1" si="48"/>
        <v>#N/A</v>
      </c>
      <c r="AG181" s="55" t="e">
        <f t="shared" ca="1" si="49"/>
        <v>#N/A</v>
      </c>
      <c r="AH181" s="55" t="e">
        <f t="shared" ca="1" si="50"/>
        <v>#N/A</v>
      </c>
      <c r="AI181" s="55" t="e">
        <f ca="1">-VLOOKUP(AE181,ModelOutputs,9,FALSE)+AI180</f>
        <v>#N/A</v>
      </c>
      <c r="AJ181" s="55" t="e">
        <f ca="1">VLOOKUP(AE181,ModelOutputs,5,FALSE)+AJ180</f>
        <v>#N/A</v>
      </c>
      <c r="AK181" s="55" t="e">
        <f ca="1">VLOOKUP(AE181,ModelOutputs,4,FALSE)+AK180</f>
        <v>#N/A</v>
      </c>
    </row>
    <row r="182" spans="18:37">
      <c r="R182" s="83" t="e">
        <f ca="1"/>
        <v>#N/A</v>
      </c>
      <c r="S182" s="55" t="e">
        <f t="shared" ca="1" si="42"/>
        <v>#N/A</v>
      </c>
      <c r="T182" s="55" t="e">
        <f t="shared" ca="1" si="37"/>
        <v>#N/A</v>
      </c>
      <c r="U182" s="55" t="e">
        <f t="shared" ca="1" si="38"/>
        <v>#N/A</v>
      </c>
      <c r="V182" s="55" t="e">
        <f t="shared" ca="1" si="39"/>
        <v>#N/A</v>
      </c>
      <c r="W182" s="55" t="e">
        <f t="shared" ca="1" si="43"/>
        <v>#N/A</v>
      </c>
      <c r="X182" s="55" t="e">
        <f t="shared" ca="1" si="44"/>
        <v>#N/A</v>
      </c>
      <c r="Y182" s="55" t="e">
        <f t="shared" ca="1" si="45"/>
        <v>#N/A</v>
      </c>
      <c r="Z182" t="e">
        <f ca="1">VLOOKUP(S182,ModelOutputs,10,FALSE)*AWC</f>
        <v>#N/A</v>
      </c>
      <c r="AA182" t="e">
        <f t="shared" ca="1" si="46"/>
        <v>#N/A</v>
      </c>
      <c r="AB182" t="e">
        <f t="shared" ca="1" si="40"/>
        <v>#N/A</v>
      </c>
      <c r="AC182" t="e">
        <f t="shared" ca="1" si="41"/>
        <v>#N/A</v>
      </c>
      <c r="AD182" s="83" t="e">
        <f ca="1"/>
        <v>#N/A</v>
      </c>
      <c r="AE182" s="55" t="e">
        <f t="shared" ca="1" si="47"/>
        <v>#N/A</v>
      </c>
      <c r="AF182" s="55" t="e">
        <f t="shared" ca="1" si="48"/>
        <v>#N/A</v>
      </c>
      <c r="AG182" s="55" t="e">
        <f t="shared" ca="1" si="49"/>
        <v>#N/A</v>
      </c>
      <c r="AH182" s="55" t="e">
        <f t="shared" ca="1" si="50"/>
        <v>#N/A</v>
      </c>
      <c r="AI182" s="55" t="e">
        <f ca="1">-VLOOKUP(AE182,ModelOutputs,9,FALSE)+AI181</f>
        <v>#N/A</v>
      </c>
      <c r="AJ182" s="55" t="e">
        <f ca="1">VLOOKUP(AE182,ModelOutputs,5,FALSE)+AJ181</f>
        <v>#N/A</v>
      </c>
      <c r="AK182" s="55" t="e">
        <f ca="1">VLOOKUP(AE182,ModelOutputs,4,FALSE)+AK181</f>
        <v>#N/A</v>
      </c>
    </row>
    <row r="183" spans="18:37">
      <c r="R183" s="83" t="e">
        <f ca="1"/>
        <v>#N/A</v>
      </c>
      <c r="S183" s="55" t="e">
        <f t="shared" ca="1" si="42"/>
        <v>#N/A</v>
      </c>
      <c r="T183" s="55" t="e">
        <f t="shared" ca="1" si="37"/>
        <v>#N/A</v>
      </c>
      <c r="U183" s="55" t="e">
        <f t="shared" ca="1" si="38"/>
        <v>#N/A</v>
      </c>
      <c r="V183" s="55" t="e">
        <f t="shared" ca="1" si="39"/>
        <v>#N/A</v>
      </c>
      <c r="W183" s="55" t="e">
        <f t="shared" ca="1" si="43"/>
        <v>#N/A</v>
      </c>
      <c r="X183" s="55" t="e">
        <f t="shared" ca="1" si="44"/>
        <v>#N/A</v>
      </c>
      <c r="Y183" s="55" t="e">
        <f t="shared" ca="1" si="45"/>
        <v>#N/A</v>
      </c>
      <c r="Z183" t="e">
        <f ca="1">VLOOKUP(S183,ModelOutputs,10,FALSE)*AWC</f>
        <v>#N/A</v>
      </c>
      <c r="AA183" t="e">
        <f t="shared" ca="1" si="46"/>
        <v>#N/A</v>
      </c>
      <c r="AB183" t="e">
        <f t="shared" ca="1" si="40"/>
        <v>#N/A</v>
      </c>
      <c r="AC183" t="e">
        <f t="shared" ca="1" si="41"/>
        <v>#N/A</v>
      </c>
      <c r="AD183" s="83" t="e">
        <f ca="1"/>
        <v>#N/A</v>
      </c>
      <c r="AE183" s="55" t="e">
        <f t="shared" ca="1" si="47"/>
        <v>#N/A</v>
      </c>
      <c r="AF183" s="55" t="e">
        <f t="shared" ca="1" si="48"/>
        <v>#N/A</v>
      </c>
      <c r="AG183" s="55" t="e">
        <f t="shared" ca="1" si="49"/>
        <v>#N/A</v>
      </c>
      <c r="AH183" s="55" t="e">
        <f t="shared" ca="1" si="50"/>
        <v>#N/A</v>
      </c>
      <c r="AI183" s="55" t="e">
        <f ca="1">-VLOOKUP(AE183,ModelOutputs,9,FALSE)+AI182</f>
        <v>#N/A</v>
      </c>
      <c r="AJ183" s="55" t="e">
        <f ca="1">VLOOKUP(AE183,ModelOutputs,5,FALSE)+AJ182</f>
        <v>#N/A</v>
      </c>
      <c r="AK183" s="55" t="e">
        <f ca="1">VLOOKUP(AE183,ModelOutputs,4,FALSE)+AK182</f>
        <v>#N/A</v>
      </c>
    </row>
    <row r="184" spans="18:37">
      <c r="R184" s="83" t="e">
        <f ca="1"/>
        <v>#N/A</v>
      </c>
      <c r="S184" s="55" t="e">
        <f t="shared" ca="1" si="42"/>
        <v>#N/A</v>
      </c>
      <c r="T184" s="55" t="e">
        <f t="shared" ca="1" si="37"/>
        <v>#N/A</v>
      </c>
      <c r="U184" s="55" t="e">
        <f t="shared" ca="1" si="38"/>
        <v>#N/A</v>
      </c>
      <c r="V184" s="55" t="e">
        <f t="shared" ca="1" si="39"/>
        <v>#N/A</v>
      </c>
      <c r="W184" s="55" t="e">
        <f t="shared" ca="1" si="43"/>
        <v>#N/A</v>
      </c>
      <c r="X184" s="55" t="e">
        <f t="shared" ca="1" si="44"/>
        <v>#N/A</v>
      </c>
      <c r="Y184" s="55" t="e">
        <f t="shared" ca="1" si="45"/>
        <v>#N/A</v>
      </c>
      <c r="Z184" t="e">
        <f ca="1">VLOOKUP(S184,ModelOutputs,10,FALSE)*AWC</f>
        <v>#N/A</v>
      </c>
      <c r="AA184" t="e">
        <f t="shared" ca="1" si="46"/>
        <v>#N/A</v>
      </c>
      <c r="AB184" t="e">
        <f t="shared" ca="1" si="40"/>
        <v>#N/A</v>
      </c>
      <c r="AC184" t="e">
        <f t="shared" ca="1" si="41"/>
        <v>#N/A</v>
      </c>
      <c r="AD184" s="83" t="e">
        <f ca="1"/>
        <v>#N/A</v>
      </c>
      <c r="AE184" s="55" t="e">
        <f t="shared" ca="1" si="47"/>
        <v>#N/A</v>
      </c>
      <c r="AF184" s="55" t="e">
        <f t="shared" ca="1" si="48"/>
        <v>#N/A</v>
      </c>
      <c r="AG184" s="55" t="e">
        <f t="shared" ca="1" si="49"/>
        <v>#N/A</v>
      </c>
      <c r="AH184" s="55" t="e">
        <f t="shared" ca="1" si="50"/>
        <v>#N/A</v>
      </c>
      <c r="AI184" s="55" t="e">
        <f ca="1">-VLOOKUP(AE184,ModelOutputs,9,FALSE)+AI183</f>
        <v>#N/A</v>
      </c>
      <c r="AJ184" s="55" t="e">
        <f ca="1">VLOOKUP(AE184,ModelOutputs,5,FALSE)+AJ183</f>
        <v>#N/A</v>
      </c>
      <c r="AK184" s="55" t="e">
        <f ca="1">VLOOKUP(AE184,ModelOutputs,4,FALSE)+AK183</f>
        <v>#N/A</v>
      </c>
    </row>
    <row r="185" spans="18:37">
      <c r="R185" s="83" t="e">
        <f ca="1"/>
        <v>#N/A</v>
      </c>
      <c r="S185" s="55" t="e">
        <f t="shared" ca="1" si="42"/>
        <v>#N/A</v>
      </c>
      <c r="T185" s="55" t="e">
        <f t="shared" ca="1" si="37"/>
        <v>#N/A</v>
      </c>
      <c r="U185" s="55" t="e">
        <f t="shared" ca="1" si="38"/>
        <v>#N/A</v>
      </c>
      <c r="V185" s="55" t="e">
        <f t="shared" ca="1" si="39"/>
        <v>#N/A</v>
      </c>
      <c r="W185" s="55" t="e">
        <f t="shared" ca="1" si="43"/>
        <v>#N/A</v>
      </c>
      <c r="X185" s="55" t="e">
        <f t="shared" ca="1" si="44"/>
        <v>#N/A</v>
      </c>
      <c r="Y185" s="55" t="e">
        <f t="shared" ca="1" si="45"/>
        <v>#N/A</v>
      </c>
      <c r="Z185" t="e">
        <f ca="1">VLOOKUP(S185,ModelOutputs,10,FALSE)*AWC</f>
        <v>#N/A</v>
      </c>
      <c r="AA185" t="e">
        <f t="shared" ca="1" si="46"/>
        <v>#N/A</v>
      </c>
      <c r="AB185" t="e">
        <f t="shared" ca="1" si="40"/>
        <v>#N/A</v>
      </c>
      <c r="AC185" t="e">
        <f t="shared" ca="1" si="41"/>
        <v>#N/A</v>
      </c>
      <c r="AD185" s="83" t="e">
        <f ca="1"/>
        <v>#N/A</v>
      </c>
      <c r="AE185" s="55" t="e">
        <f t="shared" ca="1" si="47"/>
        <v>#N/A</v>
      </c>
      <c r="AF185" s="55" t="e">
        <f t="shared" ca="1" si="48"/>
        <v>#N/A</v>
      </c>
      <c r="AG185" s="55" t="e">
        <f t="shared" ca="1" si="49"/>
        <v>#N/A</v>
      </c>
      <c r="AH185" s="55" t="e">
        <f t="shared" ca="1" si="50"/>
        <v>#N/A</v>
      </c>
      <c r="AI185" s="55" t="e">
        <f ca="1">-VLOOKUP(AE185,ModelOutputs,9,FALSE)+AI184</f>
        <v>#N/A</v>
      </c>
      <c r="AJ185" s="55" t="e">
        <f ca="1">VLOOKUP(AE185,ModelOutputs,5,FALSE)+AJ184</f>
        <v>#N/A</v>
      </c>
      <c r="AK185" s="55" t="e">
        <f ca="1">VLOOKUP(AE185,ModelOutputs,4,FALSE)+AK184</f>
        <v>#N/A</v>
      </c>
    </row>
    <row r="186" spans="18:37">
      <c r="R186" s="83" t="e">
        <f ca="1"/>
        <v>#N/A</v>
      </c>
      <c r="S186" s="55" t="e">
        <f t="shared" ca="1" si="42"/>
        <v>#N/A</v>
      </c>
      <c r="T186" s="55" t="e">
        <f t="shared" ca="1" si="37"/>
        <v>#N/A</v>
      </c>
      <c r="U186" s="55" t="e">
        <f t="shared" ca="1" si="38"/>
        <v>#N/A</v>
      </c>
      <c r="V186" s="55" t="e">
        <f t="shared" ca="1" si="39"/>
        <v>#N/A</v>
      </c>
      <c r="W186" s="55" t="e">
        <f t="shared" ca="1" si="43"/>
        <v>#N/A</v>
      </c>
      <c r="X186" s="55" t="e">
        <f t="shared" ca="1" si="44"/>
        <v>#N/A</v>
      </c>
      <c r="Y186" s="55" t="e">
        <f t="shared" ca="1" si="45"/>
        <v>#N/A</v>
      </c>
      <c r="Z186" t="e">
        <f ca="1">VLOOKUP(S186,ModelOutputs,10,FALSE)*AWC</f>
        <v>#N/A</v>
      </c>
      <c r="AA186" t="e">
        <f t="shared" ca="1" si="46"/>
        <v>#N/A</v>
      </c>
      <c r="AB186" t="e">
        <f t="shared" ca="1" si="40"/>
        <v>#N/A</v>
      </c>
      <c r="AC186" t="e">
        <f t="shared" ca="1" si="41"/>
        <v>#N/A</v>
      </c>
      <c r="AD186" s="83" t="e">
        <f ca="1"/>
        <v>#N/A</v>
      </c>
      <c r="AE186" s="55" t="e">
        <f t="shared" ca="1" si="47"/>
        <v>#N/A</v>
      </c>
      <c r="AF186" s="55" t="e">
        <f t="shared" ca="1" si="48"/>
        <v>#N/A</v>
      </c>
      <c r="AG186" s="55" t="e">
        <f t="shared" ca="1" si="49"/>
        <v>#N/A</v>
      </c>
      <c r="AH186" s="55" t="e">
        <f t="shared" ca="1" si="50"/>
        <v>#N/A</v>
      </c>
      <c r="AI186" s="55" t="e">
        <f ca="1">-VLOOKUP(AE186,ModelOutputs,9,FALSE)+AI185</f>
        <v>#N/A</v>
      </c>
      <c r="AJ186" s="55" t="e">
        <f ca="1">VLOOKUP(AE186,ModelOutputs,5,FALSE)+AJ185</f>
        <v>#N/A</v>
      </c>
      <c r="AK186" s="55" t="e">
        <f ca="1">VLOOKUP(AE186,ModelOutputs,4,FALSE)+AK185</f>
        <v>#N/A</v>
      </c>
    </row>
    <row r="187" spans="18:37">
      <c r="R187" s="83" t="e">
        <f ca="1"/>
        <v>#N/A</v>
      </c>
      <c r="S187" s="55" t="e">
        <f t="shared" ca="1" si="42"/>
        <v>#N/A</v>
      </c>
      <c r="T187" s="55" t="e">
        <f t="shared" ca="1" si="37"/>
        <v>#N/A</v>
      </c>
      <c r="U187" s="55" t="e">
        <f t="shared" ca="1" si="38"/>
        <v>#N/A</v>
      </c>
      <c r="V187" s="55" t="e">
        <f t="shared" ca="1" si="39"/>
        <v>#N/A</v>
      </c>
      <c r="W187" s="55" t="e">
        <f t="shared" ca="1" si="43"/>
        <v>#N/A</v>
      </c>
      <c r="X187" s="55" t="e">
        <f t="shared" ca="1" si="44"/>
        <v>#N/A</v>
      </c>
      <c r="Y187" s="55" t="e">
        <f t="shared" ca="1" si="45"/>
        <v>#N/A</v>
      </c>
      <c r="Z187" t="e">
        <f ca="1">VLOOKUP(S187,ModelOutputs,10,FALSE)*AWC</f>
        <v>#N/A</v>
      </c>
      <c r="AA187" t="e">
        <f t="shared" ca="1" si="46"/>
        <v>#N/A</v>
      </c>
      <c r="AB187" t="e">
        <f t="shared" ca="1" si="40"/>
        <v>#N/A</v>
      </c>
      <c r="AC187" t="e">
        <f t="shared" ca="1" si="41"/>
        <v>#N/A</v>
      </c>
      <c r="AD187" s="83" t="e">
        <f ca="1"/>
        <v>#N/A</v>
      </c>
      <c r="AE187" s="55" t="e">
        <f t="shared" ca="1" si="47"/>
        <v>#N/A</v>
      </c>
      <c r="AF187" s="55" t="e">
        <f t="shared" ca="1" si="48"/>
        <v>#N/A</v>
      </c>
      <c r="AG187" s="55" t="e">
        <f t="shared" ca="1" si="49"/>
        <v>#N/A</v>
      </c>
      <c r="AH187" s="55" t="e">
        <f t="shared" ca="1" si="50"/>
        <v>#N/A</v>
      </c>
      <c r="AI187" s="55" t="e">
        <f ca="1">-VLOOKUP(AE187,ModelOutputs,9,FALSE)+AI186</f>
        <v>#N/A</v>
      </c>
      <c r="AJ187" s="55" t="e">
        <f ca="1">VLOOKUP(AE187,ModelOutputs,5,FALSE)+AJ186</f>
        <v>#N/A</v>
      </c>
      <c r="AK187" s="55" t="e">
        <f ca="1">VLOOKUP(AE187,ModelOutputs,4,FALSE)+AK186</f>
        <v>#N/A</v>
      </c>
    </row>
    <row r="188" spans="18:37">
      <c r="R188" s="83" t="e">
        <f ca="1"/>
        <v>#N/A</v>
      </c>
      <c r="S188" s="55" t="e">
        <f t="shared" ca="1" si="42"/>
        <v>#N/A</v>
      </c>
      <c r="T188" s="55" t="e">
        <f t="shared" ca="1" si="37"/>
        <v>#N/A</v>
      </c>
      <c r="U188" s="55" t="e">
        <f t="shared" ca="1" si="38"/>
        <v>#N/A</v>
      </c>
      <c r="V188" s="55" t="e">
        <f t="shared" ca="1" si="39"/>
        <v>#N/A</v>
      </c>
      <c r="W188" s="55" t="e">
        <f t="shared" ca="1" si="43"/>
        <v>#N/A</v>
      </c>
      <c r="X188" s="55" t="e">
        <f t="shared" ca="1" si="44"/>
        <v>#N/A</v>
      </c>
      <c r="Y188" s="55" t="e">
        <f t="shared" ca="1" si="45"/>
        <v>#N/A</v>
      </c>
      <c r="Z188" t="e">
        <f ca="1">VLOOKUP(S188,ModelOutputs,10,FALSE)*AWC</f>
        <v>#N/A</v>
      </c>
      <c r="AA188" t="e">
        <f t="shared" ca="1" si="46"/>
        <v>#N/A</v>
      </c>
      <c r="AB188" t="e">
        <f t="shared" ca="1" si="40"/>
        <v>#N/A</v>
      </c>
      <c r="AC188" t="e">
        <f t="shared" ca="1" si="41"/>
        <v>#N/A</v>
      </c>
      <c r="AD188" s="83" t="e">
        <f ca="1"/>
        <v>#N/A</v>
      </c>
      <c r="AE188" s="55" t="e">
        <f t="shared" ca="1" si="47"/>
        <v>#N/A</v>
      </c>
      <c r="AF188" s="55" t="e">
        <f t="shared" ca="1" si="48"/>
        <v>#N/A</v>
      </c>
      <c r="AG188" s="55" t="e">
        <f t="shared" ca="1" si="49"/>
        <v>#N/A</v>
      </c>
      <c r="AH188" s="55" t="e">
        <f t="shared" ca="1" si="50"/>
        <v>#N/A</v>
      </c>
      <c r="AI188" s="55" t="e">
        <f ca="1">-VLOOKUP(AE188,ModelOutputs,9,FALSE)+AI187</f>
        <v>#N/A</v>
      </c>
      <c r="AJ188" s="55" t="e">
        <f ca="1">VLOOKUP(AE188,ModelOutputs,5,FALSE)+AJ187</f>
        <v>#N/A</v>
      </c>
      <c r="AK188" s="55" t="e">
        <f ca="1">VLOOKUP(AE188,ModelOutputs,4,FALSE)+AK187</f>
        <v>#N/A</v>
      </c>
    </row>
    <row r="189" spans="18:37">
      <c r="R189" s="83" t="e">
        <f ca="1"/>
        <v>#N/A</v>
      </c>
      <c r="S189" s="55" t="e">
        <f t="shared" ca="1" si="42"/>
        <v>#N/A</v>
      </c>
      <c r="T189" s="55" t="e">
        <f t="shared" ca="1" si="37"/>
        <v>#N/A</v>
      </c>
      <c r="U189" s="55" t="e">
        <f t="shared" ca="1" si="38"/>
        <v>#N/A</v>
      </c>
      <c r="V189" s="55" t="e">
        <f t="shared" ca="1" si="39"/>
        <v>#N/A</v>
      </c>
      <c r="W189" s="55" t="e">
        <f t="shared" ca="1" si="43"/>
        <v>#N/A</v>
      </c>
      <c r="X189" s="55" t="e">
        <f t="shared" ca="1" si="44"/>
        <v>#N/A</v>
      </c>
      <c r="Y189" s="55" t="e">
        <f t="shared" ca="1" si="45"/>
        <v>#N/A</v>
      </c>
      <c r="Z189" t="e">
        <f ca="1">VLOOKUP(S189,ModelOutputs,10,FALSE)*AWC</f>
        <v>#N/A</v>
      </c>
      <c r="AA189" t="e">
        <f t="shared" ca="1" si="46"/>
        <v>#N/A</v>
      </c>
      <c r="AB189" t="e">
        <f t="shared" ca="1" si="40"/>
        <v>#N/A</v>
      </c>
      <c r="AC189" t="e">
        <f t="shared" ca="1" si="41"/>
        <v>#N/A</v>
      </c>
      <c r="AD189" s="83" t="e">
        <f ca="1"/>
        <v>#N/A</v>
      </c>
      <c r="AE189" s="55" t="e">
        <f t="shared" ca="1" si="47"/>
        <v>#N/A</v>
      </c>
      <c r="AF189" s="55" t="e">
        <f t="shared" ca="1" si="48"/>
        <v>#N/A</v>
      </c>
      <c r="AG189" s="55" t="e">
        <f t="shared" ca="1" si="49"/>
        <v>#N/A</v>
      </c>
      <c r="AH189" s="55" t="e">
        <f t="shared" ca="1" si="50"/>
        <v>#N/A</v>
      </c>
      <c r="AI189" s="55" t="e">
        <f ca="1">-VLOOKUP(AE189,ModelOutputs,9,FALSE)+AI188</f>
        <v>#N/A</v>
      </c>
      <c r="AJ189" s="55" t="e">
        <f ca="1">VLOOKUP(AE189,ModelOutputs,5,FALSE)+AJ188</f>
        <v>#N/A</v>
      </c>
      <c r="AK189" s="55" t="e">
        <f ca="1">VLOOKUP(AE189,ModelOutputs,4,FALSE)+AK188</f>
        <v>#N/A</v>
      </c>
    </row>
    <row r="190" spans="18:37">
      <c r="R190" s="83" t="e">
        <f ca="1"/>
        <v>#N/A</v>
      </c>
      <c r="S190" s="55" t="e">
        <f t="shared" ca="1" si="42"/>
        <v>#N/A</v>
      </c>
      <c r="T190" s="55" t="e">
        <f t="shared" ca="1" si="37"/>
        <v>#N/A</v>
      </c>
      <c r="U190" s="55" t="e">
        <f t="shared" ca="1" si="38"/>
        <v>#N/A</v>
      </c>
      <c r="V190" s="55" t="e">
        <f t="shared" ca="1" si="39"/>
        <v>#N/A</v>
      </c>
      <c r="W190" s="55" t="e">
        <f t="shared" ca="1" si="43"/>
        <v>#N/A</v>
      </c>
      <c r="X190" s="55" t="e">
        <f t="shared" ca="1" si="44"/>
        <v>#N/A</v>
      </c>
      <c r="Y190" s="55" t="e">
        <f t="shared" ca="1" si="45"/>
        <v>#N/A</v>
      </c>
      <c r="Z190" t="e">
        <f ca="1">VLOOKUP(S190,ModelOutputs,10,FALSE)*AWC</f>
        <v>#N/A</v>
      </c>
      <c r="AA190" t="e">
        <f t="shared" ca="1" si="46"/>
        <v>#N/A</v>
      </c>
      <c r="AB190" t="e">
        <f t="shared" ca="1" si="40"/>
        <v>#N/A</v>
      </c>
      <c r="AC190" t="e">
        <f t="shared" ca="1" si="41"/>
        <v>#N/A</v>
      </c>
      <c r="AD190" s="83" t="e">
        <f ca="1"/>
        <v>#N/A</v>
      </c>
      <c r="AE190" s="55" t="e">
        <f t="shared" ca="1" si="47"/>
        <v>#N/A</v>
      </c>
      <c r="AF190" s="55" t="e">
        <f t="shared" ca="1" si="48"/>
        <v>#N/A</v>
      </c>
      <c r="AG190" s="55" t="e">
        <f t="shared" ca="1" si="49"/>
        <v>#N/A</v>
      </c>
      <c r="AH190" s="55" t="e">
        <f t="shared" ca="1" si="50"/>
        <v>#N/A</v>
      </c>
      <c r="AI190" s="55" t="e">
        <f ca="1">-VLOOKUP(AE190,ModelOutputs,9,FALSE)+AI189</f>
        <v>#N/A</v>
      </c>
      <c r="AJ190" s="55" t="e">
        <f ca="1">VLOOKUP(AE190,ModelOutputs,5,FALSE)+AJ189</f>
        <v>#N/A</v>
      </c>
      <c r="AK190" s="55" t="e">
        <f ca="1">VLOOKUP(AE190,ModelOutputs,4,FALSE)+AK189</f>
        <v>#N/A</v>
      </c>
    </row>
    <row r="191" spans="18:37">
      <c r="R191" s="83" t="e">
        <f ca="1"/>
        <v>#N/A</v>
      </c>
      <c r="S191" s="55" t="e">
        <f t="shared" ca="1" si="42"/>
        <v>#N/A</v>
      </c>
      <c r="T191" s="55" t="e">
        <f t="shared" ca="1" si="37"/>
        <v>#N/A</v>
      </c>
      <c r="U191" s="55" t="e">
        <f t="shared" ca="1" si="38"/>
        <v>#N/A</v>
      </c>
      <c r="V191" s="55" t="e">
        <f t="shared" ca="1" si="39"/>
        <v>#N/A</v>
      </c>
      <c r="W191" s="55" t="e">
        <f t="shared" ca="1" si="43"/>
        <v>#N/A</v>
      </c>
      <c r="X191" s="55" t="e">
        <f t="shared" ca="1" si="44"/>
        <v>#N/A</v>
      </c>
      <c r="Y191" s="55" t="e">
        <f t="shared" ca="1" si="45"/>
        <v>#N/A</v>
      </c>
      <c r="Z191" t="e">
        <f ca="1">VLOOKUP(S191,ModelOutputs,10,FALSE)*AWC</f>
        <v>#N/A</v>
      </c>
      <c r="AA191" t="e">
        <f t="shared" ca="1" si="46"/>
        <v>#N/A</v>
      </c>
      <c r="AB191" t="e">
        <f t="shared" ca="1" si="40"/>
        <v>#N/A</v>
      </c>
      <c r="AC191" t="e">
        <f t="shared" ca="1" si="41"/>
        <v>#N/A</v>
      </c>
      <c r="AD191" s="83" t="e">
        <f ca="1"/>
        <v>#N/A</v>
      </c>
      <c r="AE191" s="55" t="e">
        <f t="shared" ca="1" si="47"/>
        <v>#N/A</v>
      </c>
      <c r="AF191" s="55" t="e">
        <f t="shared" ca="1" si="48"/>
        <v>#N/A</v>
      </c>
      <c r="AG191" s="55" t="e">
        <f t="shared" ca="1" si="49"/>
        <v>#N/A</v>
      </c>
      <c r="AH191" s="55" t="e">
        <f t="shared" ca="1" si="50"/>
        <v>#N/A</v>
      </c>
      <c r="AI191" s="55" t="e">
        <f ca="1">-VLOOKUP(AE191,ModelOutputs,9,FALSE)+AI190</f>
        <v>#N/A</v>
      </c>
      <c r="AJ191" s="55" t="e">
        <f ca="1">VLOOKUP(AE191,ModelOutputs,5,FALSE)+AJ190</f>
        <v>#N/A</v>
      </c>
      <c r="AK191" s="55" t="e">
        <f ca="1">VLOOKUP(AE191,ModelOutputs,4,FALSE)+AK190</f>
        <v>#N/A</v>
      </c>
    </row>
    <row r="192" spans="18:37">
      <c r="R192" s="83" t="e">
        <f ca="1"/>
        <v>#N/A</v>
      </c>
      <c r="S192" s="55" t="e">
        <f t="shared" ca="1" si="42"/>
        <v>#N/A</v>
      </c>
      <c r="T192" s="55" t="e">
        <f t="shared" ca="1" si="37"/>
        <v>#N/A</v>
      </c>
      <c r="U192" s="55" t="e">
        <f t="shared" ca="1" si="38"/>
        <v>#N/A</v>
      </c>
      <c r="V192" s="55" t="e">
        <f t="shared" ca="1" si="39"/>
        <v>#N/A</v>
      </c>
      <c r="W192" s="55" t="e">
        <f t="shared" ca="1" si="43"/>
        <v>#N/A</v>
      </c>
      <c r="X192" s="55" t="e">
        <f t="shared" ca="1" si="44"/>
        <v>#N/A</v>
      </c>
      <c r="Y192" s="55" t="e">
        <f t="shared" ca="1" si="45"/>
        <v>#N/A</v>
      </c>
      <c r="Z192" t="e">
        <f ca="1">VLOOKUP(S192,ModelOutputs,10,FALSE)*AWC</f>
        <v>#N/A</v>
      </c>
      <c r="AA192" t="e">
        <f t="shared" ca="1" si="46"/>
        <v>#N/A</v>
      </c>
      <c r="AB192" t="e">
        <f t="shared" ca="1" si="40"/>
        <v>#N/A</v>
      </c>
      <c r="AC192" t="e">
        <f t="shared" ca="1" si="41"/>
        <v>#N/A</v>
      </c>
      <c r="AD192" s="83" t="e">
        <f ca="1"/>
        <v>#N/A</v>
      </c>
      <c r="AE192" s="55" t="e">
        <f t="shared" ca="1" si="47"/>
        <v>#N/A</v>
      </c>
      <c r="AF192" s="55" t="e">
        <f t="shared" ca="1" si="48"/>
        <v>#N/A</v>
      </c>
      <c r="AG192" s="55" t="e">
        <f t="shared" ca="1" si="49"/>
        <v>#N/A</v>
      </c>
      <c r="AH192" s="55" t="e">
        <f t="shared" ca="1" si="50"/>
        <v>#N/A</v>
      </c>
      <c r="AI192" s="55" t="e">
        <f ca="1">-VLOOKUP(AE192,ModelOutputs,9,FALSE)+AI191</f>
        <v>#N/A</v>
      </c>
      <c r="AJ192" s="55" t="e">
        <f ca="1">VLOOKUP(AE192,ModelOutputs,5,FALSE)+AJ191</f>
        <v>#N/A</v>
      </c>
      <c r="AK192" s="55" t="e">
        <f ca="1">VLOOKUP(AE192,ModelOutputs,4,FALSE)+AK191</f>
        <v>#N/A</v>
      </c>
    </row>
    <row r="193" spans="18:37">
      <c r="R193" s="83" t="e">
        <f ca="1"/>
        <v>#N/A</v>
      </c>
      <c r="S193" s="55" t="e">
        <f t="shared" ca="1" si="42"/>
        <v>#N/A</v>
      </c>
      <c r="T193" s="55" t="e">
        <f t="shared" ca="1" si="37"/>
        <v>#N/A</v>
      </c>
      <c r="U193" s="55" t="e">
        <f t="shared" ca="1" si="38"/>
        <v>#N/A</v>
      </c>
      <c r="V193" s="55" t="e">
        <f t="shared" ca="1" si="39"/>
        <v>#N/A</v>
      </c>
      <c r="W193" s="55" t="e">
        <f t="shared" ca="1" si="43"/>
        <v>#N/A</v>
      </c>
      <c r="X193" s="55" t="e">
        <f t="shared" ca="1" si="44"/>
        <v>#N/A</v>
      </c>
      <c r="Y193" s="55" t="e">
        <f t="shared" ca="1" si="45"/>
        <v>#N/A</v>
      </c>
      <c r="Z193" t="e">
        <f ca="1">VLOOKUP(S193,ModelOutputs,10,FALSE)*AWC</f>
        <v>#N/A</v>
      </c>
      <c r="AA193" t="e">
        <f t="shared" ca="1" si="46"/>
        <v>#N/A</v>
      </c>
      <c r="AB193" t="e">
        <f t="shared" ca="1" si="40"/>
        <v>#N/A</v>
      </c>
      <c r="AC193" t="e">
        <f t="shared" ca="1" si="41"/>
        <v>#N/A</v>
      </c>
      <c r="AD193" s="83" t="e">
        <f ca="1"/>
        <v>#N/A</v>
      </c>
      <c r="AE193" s="55" t="e">
        <f t="shared" ca="1" si="47"/>
        <v>#N/A</v>
      </c>
      <c r="AF193" s="55" t="e">
        <f t="shared" ca="1" si="48"/>
        <v>#N/A</v>
      </c>
      <c r="AG193" s="55" t="e">
        <f t="shared" ca="1" si="49"/>
        <v>#N/A</v>
      </c>
      <c r="AH193" s="55" t="e">
        <f t="shared" ca="1" si="50"/>
        <v>#N/A</v>
      </c>
      <c r="AI193" s="55" t="e">
        <f ca="1">-VLOOKUP(AE193,ModelOutputs,9,FALSE)+AI192</f>
        <v>#N/A</v>
      </c>
      <c r="AJ193" s="55" t="e">
        <f ca="1">VLOOKUP(AE193,ModelOutputs,5,FALSE)+AJ192</f>
        <v>#N/A</v>
      </c>
      <c r="AK193" s="55" t="e">
        <f ca="1">VLOOKUP(AE193,ModelOutputs,4,FALSE)+AK192</f>
        <v>#N/A</v>
      </c>
    </row>
    <row r="194" spans="18:37">
      <c r="R194" s="83" t="e">
        <f ca="1"/>
        <v>#N/A</v>
      </c>
      <c r="S194" s="55" t="e">
        <f t="shared" ca="1" si="42"/>
        <v>#N/A</v>
      </c>
      <c r="T194" s="55" t="e">
        <f t="shared" ca="1" si="37"/>
        <v>#N/A</v>
      </c>
      <c r="U194" s="55" t="e">
        <f t="shared" ca="1" si="38"/>
        <v>#N/A</v>
      </c>
      <c r="V194" s="55" t="e">
        <f t="shared" ca="1" si="39"/>
        <v>#N/A</v>
      </c>
      <c r="W194" s="55" t="e">
        <f t="shared" ca="1" si="43"/>
        <v>#N/A</v>
      </c>
      <c r="X194" s="55" t="e">
        <f t="shared" ca="1" si="44"/>
        <v>#N/A</v>
      </c>
      <c r="Y194" s="55" t="e">
        <f t="shared" ca="1" si="45"/>
        <v>#N/A</v>
      </c>
      <c r="Z194" t="e">
        <f ca="1">VLOOKUP(S194,ModelOutputs,10,FALSE)*AWC</f>
        <v>#N/A</v>
      </c>
      <c r="AA194" t="e">
        <f t="shared" ca="1" si="46"/>
        <v>#N/A</v>
      </c>
      <c r="AB194" t="e">
        <f t="shared" ca="1" si="40"/>
        <v>#N/A</v>
      </c>
      <c r="AC194" t="e">
        <f t="shared" ca="1" si="41"/>
        <v>#N/A</v>
      </c>
      <c r="AD194" s="83" t="e">
        <f ca="1"/>
        <v>#N/A</v>
      </c>
      <c r="AE194" s="55" t="e">
        <f t="shared" ca="1" si="47"/>
        <v>#N/A</v>
      </c>
      <c r="AF194" s="55" t="e">
        <f t="shared" ca="1" si="48"/>
        <v>#N/A</v>
      </c>
      <c r="AG194" s="55" t="e">
        <f t="shared" ca="1" si="49"/>
        <v>#N/A</v>
      </c>
      <c r="AH194" s="55" t="e">
        <f t="shared" ca="1" si="50"/>
        <v>#N/A</v>
      </c>
      <c r="AI194" s="55" t="e">
        <f ca="1">-VLOOKUP(AE194,ModelOutputs,9,FALSE)+AI193</f>
        <v>#N/A</v>
      </c>
      <c r="AJ194" s="55" t="e">
        <f ca="1">VLOOKUP(AE194,ModelOutputs,5,FALSE)+AJ193</f>
        <v>#N/A</v>
      </c>
      <c r="AK194" s="55" t="e">
        <f ca="1">VLOOKUP(AE194,ModelOutputs,4,FALSE)+AK193</f>
        <v>#N/A</v>
      </c>
    </row>
    <row r="195" spans="18:37">
      <c r="R195" s="83" t="e">
        <f ca="1"/>
        <v>#N/A</v>
      </c>
      <c r="S195" s="55" t="e">
        <f t="shared" ca="1" si="42"/>
        <v>#N/A</v>
      </c>
      <c r="T195" s="55" t="e">
        <f t="shared" ca="1" si="37"/>
        <v>#N/A</v>
      </c>
      <c r="U195" s="55" t="e">
        <f t="shared" ca="1" si="38"/>
        <v>#N/A</v>
      </c>
      <c r="V195" s="55" t="e">
        <f t="shared" ca="1" si="39"/>
        <v>#N/A</v>
      </c>
      <c r="W195" s="55" t="e">
        <f t="shared" ca="1" si="43"/>
        <v>#N/A</v>
      </c>
      <c r="X195" s="55" t="e">
        <f t="shared" ca="1" si="44"/>
        <v>#N/A</v>
      </c>
      <c r="Y195" s="55" t="e">
        <f t="shared" ca="1" si="45"/>
        <v>#N/A</v>
      </c>
      <c r="Z195" t="e">
        <f ca="1">VLOOKUP(S195,ModelOutputs,10,FALSE)*AWC</f>
        <v>#N/A</v>
      </c>
      <c r="AA195" t="e">
        <f t="shared" ca="1" si="46"/>
        <v>#N/A</v>
      </c>
      <c r="AB195" t="e">
        <f t="shared" ca="1" si="40"/>
        <v>#N/A</v>
      </c>
      <c r="AC195" t="e">
        <f t="shared" ca="1" si="41"/>
        <v>#N/A</v>
      </c>
      <c r="AD195" s="83" t="e">
        <f ca="1"/>
        <v>#N/A</v>
      </c>
      <c r="AE195" s="55" t="e">
        <f t="shared" ca="1" si="47"/>
        <v>#N/A</v>
      </c>
      <c r="AF195" s="55" t="e">
        <f t="shared" ca="1" si="48"/>
        <v>#N/A</v>
      </c>
      <c r="AG195" s="55" t="e">
        <f t="shared" ca="1" si="49"/>
        <v>#N/A</v>
      </c>
      <c r="AH195" s="55" t="e">
        <f t="shared" ca="1" si="50"/>
        <v>#N/A</v>
      </c>
      <c r="AI195" s="55" t="e">
        <f ca="1">-VLOOKUP(AE195,ModelOutputs,9,FALSE)+AI194</f>
        <v>#N/A</v>
      </c>
      <c r="AJ195" s="55" t="e">
        <f ca="1">VLOOKUP(AE195,ModelOutputs,5,FALSE)+AJ194</f>
        <v>#N/A</v>
      </c>
      <c r="AK195" s="55" t="e">
        <f ca="1">VLOOKUP(AE195,ModelOutputs,4,FALSE)+AK194</f>
        <v>#N/A</v>
      </c>
    </row>
    <row r="196" spans="18:37">
      <c r="R196" s="83" t="e">
        <f ca="1"/>
        <v>#N/A</v>
      </c>
      <c r="S196" s="55" t="e">
        <f t="shared" ca="1" si="42"/>
        <v>#N/A</v>
      </c>
      <c r="T196" s="55" t="e">
        <f t="shared" ca="1" si="37"/>
        <v>#N/A</v>
      </c>
      <c r="U196" s="55" t="e">
        <f t="shared" ca="1" si="38"/>
        <v>#N/A</v>
      </c>
      <c r="V196" s="55" t="e">
        <f t="shared" ca="1" si="39"/>
        <v>#N/A</v>
      </c>
      <c r="W196" s="55" t="e">
        <f t="shared" ca="1" si="43"/>
        <v>#N/A</v>
      </c>
      <c r="X196" s="55" t="e">
        <f t="shared" ca="1" si="44"/>
        <v>#N/A</v>
      </c>
      <c r="Y196" s="55" t="e">
        <f t="shared" ca="1" si="45"/>
        <v>#N/A</v>
      </c>
      <c r="Z196" t="e">
        <f ca="1">VLOOKUP(S196,ModelOutputs,10,FALSE)*AWC</f>
        <v>#N/A</v>
      </c>
      <c r="AA196" t="e">
        <f t="shared" ca="1" si="46"/>
        <v>#N/A</v>
      </c>
      <c r="AB196" t="e">
        <f t="shared" ca="1" si="40"/>
        <v>#N/A</v>
      </c>
      <c r="AC196" t="e">
        <f t="shared" ca="1" si="41"/>
        <v>#N/A</v>
      </c>
      <c r="AD196" s="83" t="e">
        <f ca="1"/>
        <v>#N/A</v>
      </c>
      <c r="AE196" s="55" t="e">
        <f t="shared" ca="1" si="47"/>
        <v>#N/A</v>
      </c>
      <c r="AF196" s="55" t="e">
        <f t="shared" ca="1" si="48"/>
        <v>#N/A</v>
      </c>
      <c r="AG196" s="55" t="e">
        <f t="shared" ca="1" si="49"/>
        <v>#N/A</v>
      </c>
      <c r="AH196" s="55" t="e">
        <f t="shared" ca="1" si="50"/>
        <v>#N/A</v>
      </c>
      <c r="AI196" s="55" t="e">
        <f ca="1">-VLOOKUP(AE196,ModelOutputs,9,FALSE)+AI195</f>
        <v>#N/A</v>
      </c>
      <c r="AJ196" s="55" t="e">
        <f ca="1">VLOOKUP(AE196,ModelOutputs,5,FALSE)+AJ195</f>
        <v>#N/A</v>
      </c>
      <c r="AK196" s="55" t="e">
        <f ca="1">VLOOKUP(AE196,ModelOutputs,4,FALSE)+AK195</f>
        <v>#N/A</v>
      </c>
    </row>
    <row r="197" spans="18:37">
      <c r="R197" s="83" t="e">
        <f ca="1"/>
        <v>#N/A</v>
      </c>
      <c r="S197" s="55" t="e">
        <f t="shared" ca="1" si="42"/>
        <v>#N/A</v>
      </c>
      <c r="T197" s="55" t="e">
        <f t="shared" ca="1" si="37"/>
        <v>#N/A</v>
      </c>
      <c r="U197" s="55" t="e">
        <f t="shared" ca="1" si="38"/>
        <v>#N/A</v>
      </c>
      <c r="V197" s="55" t="e">
        <f t="shared" ca="1" si="39"/>
        <v>#N/A</v>
      </c>
      <c r="W197" s="55" t="e">
        <f t="shared" ca="1" si="43"/>
        <v>#N/A</v>
      </c>
      <c r="X197" s="55" t="e">
        <f t="shared" ca="1" si="44"/>
        <v>#N/A</v>
      </c>
      <c r="Y197" s="55" t="e">
        <f t="shared" ca="1" si="45"/>
        <v>#N/A</v>
      </c>
      <c r="Z197" t="e">
        <f ca="1">VLOOKUP(S197,ModelOutputs,10,FALSE)*AWC</f>
        <v>#N/A</v>
      </c>
      <c r="AA197" t="e">
        <f t="shared" ca="1" si="46"/>
        <v>#N/A</v>
      </c>
      <c r="AB197" t="e">
        <f t="shared" ca="1" si="40"/>
        <v>#N/A</v>
      </c>
      <c r="AC197" t="e">
        <f t="shared" ca="1" si="41"/>
        <v>#N/A</v>
      </c>
      <c r="AD197" s="83" t="e">
        <f ca="1"/>
        <v>#N/A</v>
      </c>
      <c r="AE197" s="55" t="e">
        <f t="shared" ca="1" si="47"/>
        <v>#N/A</v>
      </c>
      <c r="AF197" s="55" t="e">
        <f t="shared" ca="1" si="48"/>
        <v>#N/A</v>
      </c>
      <c r="AG197" s="55" t="e">
        <f t="shared" ca="1" si="49"/>
        <v>#N/A</v>
      </c>
      <c r="AH197" s="55" t="e">
        <f t="shared" ca="1" si="50"/>
        <v>#N/A</v>
      </c>
      <c r="AI197" s="55" t="e">
        <f ca="1">-VLOOKUP(AE197,ModelOutputs,9,FALSE)+AI196</f>
        <v>#N/A</v>
      </c>
      <c r="AJ197" s="55" t="e">
        <f ca="1">VLOOKUP(AE197,ModelOutputs,5,FALSE)+AJ196</f>
        <v>#N/A</v>
      </c>
      <c r="AK197" s="55" t="e">
        <f ca="1">VLOOKUP(AE197,ModelOutputs,4,FALSE)+AK196</f>
        <v>#N/A</v>
      </c>
    </row>
    <row r="198" spans="18:37">
      <c r="R198" s="83" t="e">
        <f ca="1"/>
        <v>#N/A</v>
      </c>
      <c r="S198" s="55" t="e">
        <f t="shared" ca="1" si="42"/>
        <v>#N/A</v>
      </c>
      <c r="T198" s="55" t="e">
        <f t="shared" ca="1" si="37"/>
        <v>#N/A</v>
      </c>
      <c r="U198" s="55" t="e">
        <f t="shared" ca="1" si="38"/>
        <v>#N/A</v>
      </c>
      <c r="V198" s="55" t="e">
        <f t="shared" ca="1" si="39"/>
        <v>#N/A</v>
      </c>
      <c r="W198" s="55" t="e">
        <f t="shared" ca="1" si="43"/>
        <v>#N/A</v>
      </c>
      <c r="X198" s="55" t="e">
        <f t="shared" ca="1" si="44"/>
        <v>#N/A</v>
      </c>
      <c r="Y198" s="55" t="e">
        <f t="shared" ca="1" si="45"/>
        <v>#N/A</v>
      </c>
      <c r="Z198" t="e">
        <f ca="1">VLOOKUP(S198,ModelOutputs,10,FALSE)*AWC</f>
        <v>#N/A</v>
      </c>
      <c r="AA198" t="e">
        <f t="shared" ca="1" si="46"/>
        <v>#N/A</v>
      </c>
      <c r="AB198" t="e">
        <f t="shared" ca="1" si="40"/>
        <v>#N/A</v>
      </c>
      <c r="AC198" t="e">
        <f t="shared" ca="1" si="41"/>
        <v>#N/A</v>
      </c>
      <c r="AD198" s="83" t="e">
        <f ca="1"/>
        <v>#N/A</v>
      </c>
      <c r="AE198" s="55" t="e">
        <f t="shared" ca="1" si="47"/>
        <v>#N/A</v>
      </c>
      <c r="AF198" s="55" t="e">
        <f t="shared" ca="1" si="48"/>
        <v>#N/A</v>
      </c>
      <c r="AG198" s="55" t="e">
        <f t="shared" ca="1" si="49"/>
        <v>#N/A</v>
      </c>
      <c r="AH198" s="55" t="e">
        <f t="shared" ca="1" si="50"/>
        <v>#N/A</v>
      </c>
      <c r="AI198" s="55" t="e">
        <f ca="1">-VLOOKUP(AE198,ModelOutputs,9,FALSE)+AI197</f>
        <v>#N/A</v>
      </c>
      <c r="AJ198" s="55" t="e">
        <f ca="1">VLOOKUP(AE198,ModelOutputs,5,FALSE)+AJ197</f>
        <v>#N/A</v>
      </c>
      <c r="AK198" s="55" t="e">
        <f ca="1">VLOOKUP(AE198,ModelOutputs,4,FALSE)+AK197</f>
        <v>#N/A</v>
      </c>
    </row>
    <row r="199" spans="18:37">
      <c r="R199" s="83" t="e">
        <f ca="1"/>
        <v>#N/A</v>
      </c>
      <c r="S199" s="55" t="e">
        <f t="shared" ca="1" si="42"/>
        <v>#N/A</v>
      </c>
      <c r="T199" s="55" t="e">
        <f t="shared" ca="1" si="37"/>
        <v>#N/A</v>
      </c>
      <c r="U199" s="55" t="e">
        <f t="shared" ca="1" si="38"/>
        <v>#N/A</v>
      </c>
      <c r="V199" s="55" t="e">
        <f t="shared" ca="1" si="39"/>
        <v>#N/A</v>
      </c>
      <c r="W199" s="55" t="e">
        <f t="shared" ca="1" si="43"/>
        <v>#N/A</v>
      </c>
      <c r="X199" s="55" t="e">
        <f t="shared" ca="1" si="44"/>
        <v>#N/A</v>
      </c>
      <c r="Y199" s="55" t="e">
        <f t="shared" ca="1" si="45"/>
        <v>#N/A</v>
      </c>
      <c r="Z199" t="e">
        <f ca="1">VLOOKUP(S199,ModelOutputs,10,FALSE)*AWC</f>
        <v>#N/A</v>
      </c>
      <c r="AA199" t="e">
        <f t="shared" ca="1" si="46"/>
        <v>#N/A</v>
      </c>
      <c r="AB199" t="e">
        <f t="shared" ca="1" si="40"/>
        <v>#N/A</v>
      </c>
      <c r="AC199" t="e">
        <f t="shared" ca="1" si="41"/>
        <v>#N/A</v>
      </c>
      <c r="AD199" s="83" t="e">
        <f ca="1"/>
        <v>#N/A</v>
      </c>
      <c r="AE199" s="55" t="e">
        <f t="shared" ca="1" si="47"/>
        <v>#N/A</v>
      </c>
      <c r="AF199" s="55" t="e">
        <f t="shared" ca="1" si="48"/>
        <v>#N/A</v>
      </c>
      <c r="AG199" s="55" t="e">
        <f t="shared" ca="1" si="49"/>
        <v>#N/A</v>
      </c>
      <c r="AH199" s="55" t="e">
        <f t="shared" ca="1" si="50"/>
        <v>#N/A</v>
      </c>
      <c r="AI199" s="55" t="e">
        <f ca="1">-VLOOKUP(AE199,ModelOutputs,9,FALSE)+AI198</f>
        <v>#N/A</v>
      </c>
      <c r="AJ199" s="55" t="e">
        <f ca="1">VLOOKUP(AE199,ModelOutputs,5,FALSE)+AJ198</f>
        <v>#N/A</v>
      </c>
      <c r="AK199" s="55" t="e">
        <f ca="1">VLOOKUP(AE199,ModelOutputs,4,FALSE)+AK198</f>
        <v>#N/A</v>
      </c>
    </row>
    <row r="200" spans="18:37">
      <c r="R200" s="83" t="e">
        <f ca="1"/>
        <v>#N/A</v>
      </c>
      <c r="S200" s="55" t="e">
        <f t="shared" ca="1" si="42"/>
        <v>#N/A</v>
      </c>
      <c r="T200" s="55" t="e">
        <f t="shared" ca="1" si="37"/>
        <v>#N/A</v>
      </c>
      <c r="U200" s="55" t="e">
        <f t="shared" ca="1" si="38"/>
        <v>#N/A</v>
      </c>
      <c r="V200" s="55" t="e">
        <f t="shared" ca="1" si="39"/>
        <v>#N/A</v>
      </c>
      <c r="W200" s="55" t="e">
        <f t="shared" ca="1" si="43"/>
        <v>#N/A</v>
      </c>
      <c r="X200" s="55" t="e">
        <f t="shared" ca="1" si="44"/>
        <v>#N/A</v>
      </c>
      <c r="Y200" s="55" t="e">
        <f t="shared" ca="1" si="45"/>
        <v>#N/A</v>
      </c>
      <c r="Z200" t="e">
        <f ca="1">VLOOKUP(S200,ModelOutputs,10,FALSE)*AWC</f>
        <v>#N/A</v>
      </c>
      <c r="AA200" t="e">
        <f t="shared" ca="1" si="46"/>
        <v>#N/A</v>
      </c>
      <c r="AB200" t="e">
        <f t="shared" ca="1" si="40"/>
        <v>#N/A</v>
      </c>
      <c r="AC200" t="e">
        <f t="shared" ca="1" si="41"/>
        <v>#N/A</v>
      </c>
      <c r="AD200" s="83" t="e">
        <f ca="1"/>
        <v>#N/A</v>
      </c>
      <c r="AE200" s="55" t="e">
        <f t="shared" ca="1" si="47"/>
        <v>#N/A</v>
      </c>
      <c r="AF200" s="55" t="e">
        <f t="shared" ca="1" si="48"/>
        <v>#N/A</v>
      </c>
      <c r="AG200" s="55" t="e">
        <f t="shared" ca="1" si="49"/>
        <v>#N/A</v>
      </c>
      <c r="AH200" s="55" t="e">
        <f t="shared" ca="1" si="50"/>
        <v>#N/A</v>
      </c>
      <c r="AI200" s="55" t="e">
        <f ca="1">-VLOOKUP(AE200,ModelOutputs,9,FALSE)+AI199</f>
        <v>#N/A</v>
      </c>
      <c r="AJ200" s="55" t="e">
        <f ca="1">VLOOKUP(AE200,ModelOutputs,5,FALSE)+AJ199</f>
        <v>#N/A</v>
      </c>
      <c r="AK200" s="55" t="e">
        <f ca="1">VLOOKUP(AE200,ModelOutputs,4,FALSE)+AK199</f>
        <v>#N/A</v>
      </c>
    </row>
    <row r="201" spans="18:37">
      <c r="R201" s="83" t="e">
        <f ca="1"/>
        <v>#N/A</v>
      </c>
      <c r="S201" s="55" t="e">
        <f t="shared" ca="1" si="42"/>
        <v>#N/A</v>
      </c>
      <c r="T201" s="55" t="e">
        <f t="shared" ca="1" si="37"/>
        <v>#N/A</v>
      </c>
      <c r="U201" s="55" t="e">
        <f t="shared" ca="1" si="38"/>
        <v>#N/A</v>
      </c>
      <c r="V201" s="55" t="e">
        <f t="shared" ca="1" si="39"/>
        <v>#N/A</v>
      </c>
      <c r="W201" s="55" t="e">
        <f t="shared" ca="1" si="43"/>
        <v>#N/A</v>
      </c>
      <c r="X201" s="55" t="e">
        <f t="shared" ca="1" si="44"/>
        <v>#N/A</v>
      </c>
      <c r="Y201" s="55" t="e">
        <f t="shared" ca="1" si="45"/>
        <v>#N/A</v>
      </c>
      <c r="Z201" t="e">
        <f ca="1">VLOOKUP(S201,ModelOutputs,10,FALSE)*AWC</f>
        <v>#N/A</v>
      </c>
      <c r="AA201" t="e">
        <f t="shared" ca="1" si="46"/>
        <v>#N/A</v>
      </c>
      <c r="AB201" t="e">
        <f t="shared" ca="1" si="40"/>
        <v>#N/A</v>
      </c>
      <c r="AC201" t="e">
        <f t="shared" ca="1" si="41"/>
        <v>#N/A</v>
      </c>
      <c r="AD201" s="83" t="e">
        <f ca="1"/>
        <v>#N/A</v>
      </c>
      <c r="AE201" s="55" t="e">
        <f t="shared" ca="1" si="47"/>
        <v>#N/A</v>
      </c>
      <c r="AF201" s="55" t="e">
        <f t="shared" ca="1" si="48"/>
        <v>#N/A</v>
      </c>
      <c r="AG201" s="55" t="e">
        <f t="shared" ca="1" si="49"/>
        <v>#N/A</v>
      </c>
      <c r="AH201" s="55" t="e">
        <f t="shared" ca="1" si="50"/>
        <v>#N/A</v>
      </c>
      <c r="AI201" s="55" t="e">
        <f ca="1">-VLOOKUP(AE201,ModelOutputs,9,FALSE)+AI200</f>
        <v>#N/A</v>
      </c>
      <c r="AJ201" s="55" t="e">
        <f ca="1">VLOOKUP(AE201,ModelOutputs,5,FALSE)+AJ200</f>
        <v>#N/A</v>
      </c>
      <c r="AK201" s="55" t="e">
        <f ca="1">VLOOKUP(AE201,ModelOutputs,4,FALSE)+AK200</f>
        <v>#N/A</v>
      </c>
    </row>
    <row r="202" spans="18:37">
      <c r="R202" s="83" t="e">
        <f ca="1"/>
        <v>#N/A</v>
      </c>
      <c r="S202" s="55" t="e">
        <f t="shared" ca="1" si="42"/>
        <v>#N/A</v>
      </c>
      <c r="T202" s="55" t="e">
        <f t="shared" ca="1" si="37"/>
        <v>#N/A</v>
      </c>
      <c r="U202" s="55" t="e">
        <f t="shared" ca="1" si="38"/>
        <v>#N/A</v>
      </c>
      <c r="V202" s="55" t="e">
        <f t="shared" ca="1" si="39"/>
        <v>#N/A</v>
      </c>
      <c r="W202" s="55" t="e">
        <f t="shared" ca="1" si="43"/>
        <v>#N/A</v>
      </c>
      <c r="X202" s="55" t="e">
        <f t="shared" ca="1" si="44"/>
        <v>#N/A</v>
      </c>
      <c r="Y202" s="55" t="e">
        <f t="shared" ca="1" si="45"/>
        <v>#N/A</v>
      </c>
      <c r="Z202" t="e">
        <f ca="1">VLOOKUP(S202,ModelOutputs,10,FALSE)*AWC</f>
        <v>#N/A</v>
      </c>
      <c r="AA202" t="e">
        <f t="shared" ca="1" si="46"/>
        <v>#N/A</v>
      </c>
      <c r="AB202" t="e">
        <f t="shared" ca="1" si="40"/>
        <v>#N/A</v>
      </c>
      <c r="AC202" t="e">
        <f t="shared" ca="1" si="41"/>
        <v>#N/A</v>
      </c>
      <c r="AD202" s="83" t="e">
        <f ca="1"/>
        <v>#N/A</v>
      </c>
      <c r="AE202" s="55" t="e">
        <f t="shared" ca="1" si="47"/>
        <v>#N/A</v>
      </c>
      <c r="AF202" s="55" t="e">
        <f t="shared" ca="1" si="48"/>
        <v>#N/A</v>
      </c>
      <c r="AG202" s="55" t="e">
        <f t="shared" ca="1" si="49"/>
        <v>#N/A</v>
      </c>
      <c r="AH202" s="55" t="e">
        <f t="shared" ca="1" si="50"/>
        <v>#N/A</v>
      </c>
      <c r="AI202" s="55" t="e">
        <f ca="1">-VLOOKUP(AE202,ModelOutputs,9,FALSE)+AI201</f>
        <v>#N/A</v>
      </c>
      <c r="AJ202" s="55" t="e">
        <f ca="1">VLOOKUP(AE202,ModelOutputs,5,FALSE)+AJ201</f>
        <v>#N/A</v>
      </c>
      <c r="AK202" s="55" t="e">
        <f ca="1">VLOOKUP(AE202,ModelOutputs,4,FALSE)+AK201</f>
        <v>#N/A</v>
      </c>
    </row>
    <row r="203" spans="18:37">
      <c r="R203" s="83" t="e">
        <f ca="1"/>
        <v>#N/A</v>
      </c>
      <c r="S203" s="55" t="e">
        <f t="shared" ca="1" si="42"/>
        <v>#N/A</v>
      </c>
      <c r="T203" s="55" t="e">
        <f t="shared" ca="1" si="37"/>
        <v>#N/A</v>
      </c>
      <c r="U203" s="55" t="e">
        <f t="shared" ca="1" si="38"/>
        <v>#N/A</v>
      </c>
      <c r="V203" s="55" t="e">
        <f t="shared" ca="1" si="39"/>
        <v>#N/A</v>
      </c>
      <c r="W203" s="55" t="e">
        <f t="shared" ca="1" si="43"/>
        <v>#N/A</v>
      </c>
      <c r="X203" s="55" t="e">
        <f t="shared" ca="1" si="44"/>
        <v>#N/A</v>
      </c>
      <c r="Y203" s="55" t="e">
        <f t="shared" ca="1" si="45"/>
        <v>#N/A</v>
      </c>
      <c r="Z203" t="e">
        <f ca="1">VLOOKUP(S203,ModelOutputs,10,FALSE)*AWC</f>
        <v>#N/A</v>
      </c>
      <c r="AA203" t="e">
        <f t="shared" ca="1" si="46"/>
        <v>#N/A</v>
      </c>
      <c r="AB203" t="e">
        <f t="shared" ca="1" si="40"/>
        <v>#N/A</v>
      </c>
      <c r="AC203" t="e">
        <f t="shared" ca="1" si="41"/>
        <v>#N/A</v>
      </c>
      <c r="AD203" s="83" t="e">
        <f ca="1"/>
        <v>#N/A</v>
      </c>
      <c r="AE203" s="55" t="e">
        <f t="shared" ca="1" si="47"/>
        <v>#N/A</v>
      </c>
      <c r="AF203" s="55" t="e">
        <f t="shared" ca="1" si="48"/>
        <v>#N/A</v>
      </c>
      <c r="AG203" s="55" t="e">
        <f t="shared" ca="1" si="49"/>
        <v>#N/A</v>
      </c>
      <c r="AH203" s="55" t="e">
        <f t="shared" ca="1" si="50"/>
        <v>#N/A</v>
      </c>
      <c r="AI203" s="55" t="e">
        <f ca="1">-VLOOKUP(AE203,ModelOutputs,9,FALSE)+AI202</f>
        <v>#N/A</v>
      </c>
      <c r="AJ203" s="55" t="e">
        <f ca="1">VLOOKUP(AE203,ModelOutputs,5,FALSE)+AJ202</f>
        <v>#N/A</v>
      </c>
      <c r="AK203" s="55" t="e">
        <f ca="1">VLOOKUP(AE203,ModelOutputs,4,FALSE)+AK202</f>
        <v>#N/A</v>
      </c>
    </row>
    <row r="204" spans="18:37">
      <c r="R204" s="83" t="e">
        <f ca="1"/>
        <v>#N/A</v>
      </c>
      <c r="S204" s="55" t="e">
        <f t="shared" ca="1" si="42"/>
        <v>#N/A</v>
      </c>
      <c r="T204" s="55" t="e">
        <f t="shared" ca="1" si="37"/>
        <v>#N/A</v>
      </c>
      <c r="U204" s="55" t="e">
        <f t="shared" ca="1" si="38"/>
        <v>#N/A</v>
      </c>
      <c r="V204" s="55" t="e">
        <f t="shared" ca="1" si="39"/>
        <v>#N/A</v>
      </c>
      <c r="W204" s="55" t="e">
        <f t="shared" ca="1" si="43"/>
        <v>#N/A</v>
      </c>
      <c r="X204" s="55" t="e">
        <f t="shared" ca="1" si="44"/>
        <v>#N/A</v>
      </c>
      <c r="Y204" s="55" t="e">
        <f t="shared" ca="1" si="45"/>
        <v>#N/A</v>
      </c>
      <c r="Z204" t="e">
        <f ca="1">VLOOKUP(S204,ModelOutputs,10,FALSE)*AWC</f>
        <v>#N/A</v>
      </c>
      <c r="AA204" t="e">
        <f t="shared" ca="1" si="46"/>
        <v>#N/A</v>
      </c>
      <c r="AB204" t="e">
        <f t="shared" ca="1" si="40"/>
        <v>#N/A</v>
      </c>
      <c r="AC204" t="e">
        <f t="shared" ca="1" si="41"/>
        <v>#N/A</v>
      </c>
      <c r="AD204" s="83" t="e">
        <f ca="1"/>
        <v>#N/A</v>
      </c>
      <c r="AE204" s="55" t="e">
        <f t="shared" ca="1" si="47"/>
        <v>#N/A</v>
      </c>
      <c r="AF204" s="55" t="e">
        <f t="shared" ca="1" si="48"/>
        <v>#N/A</v>
      </c>
      <c r="AG204" s="55" t="e">
        <f t="shared" ca="1" si="49"/>
        <v>#N/A</v>
      </c>
      <c r="AH204" s="55" t="e">
        <f t="shared" ca="1" si="50"/>
        <v>#N/A</v>
      </c>
      <c r="AI204" s="55" t="e">
        <f ca="1">-VLOOKUP(AE204,ModelOutputs,9,FALSE)+AI203</f>
        <v>#N/A</v>
      </c>
      <c r="AJ204" s="55" t="e">
        <f ca="1">VLOOKUP(AE204,ModelOutputs,5,FALSE)+AJ203</f>
        <v>#N/A</v>
      </c>
      <c r="AK204" s="55" t="e">
        <f ca="1">VLOOKUP(AE204,ModelOutputs,4,FALSE)+AK203</f>
        <v>#N/A</v>
      </c>
    </row>
    <row r="205" spans="18:37">
      <c r="R205" s="83" t="e">
        <f ca="1"/>
        <v>#N/A</v>
      </c>
      <c r="S205" s="55" t="e">
        <f t="shared" ca="1" si="42"/>
        <v>#N/A</v>
      </c>
      <c r="T205" s="55" t="e">
        <f t="shared" ca="1" si="37"/>
        <v>#N/A</v>
      </c>
      <c r="U205" s="55" t="e">
        <f t="shared" ca="1" si="38"/>
        <v>#N/A</v>
      </c>
      <c r="V205" s="55" t="e">
        <f t="shared" ca="1" si="39"/>
        <v>#N/A</v>
      </c>
      <c r="W205" s="55" t="e">
        <f t="shared" ca="1" si="43"/>
        <v>#N/A</v>
      </c>
      <c r="X205" s="55" t="e">
        <f t="shared" ca="1" si="44"/>
        <v>#N/A</v>
      </c>
      <c r="Y205" s="55" t="e">
        <f t="shared" ca="1" si="45"/>
        <v>#N/A</v>
      </c>
      <c r="Z205" t="e">
        <f ca="1">VLOOKUP(S205,ModelOutputs,10,FALSE)*AWC</f>
        <v>#N/A</v>
      </c>
      <c r="AA205" t="e">
        <f t="shared" ca="1" si="46"/>
        <v>#N/A</v>
      </c>
      <c r="AB205" t="e">
        <f t="shared" ca="1" si="40"/>
        <v>#N/A</v>
      </c>
      <c r="AC205" t="e">
        <f t="shared" ca="1" si="41"/>
        <v>#N/A</v>
      </c>
      <c r="AD205" s="83" t="e">
        <f ca="1"/>
        <v>#N/A</v>
      </c>
      <c r="AE205" s="55" t="e">
        <f t="shared" ca="1" si="47"/>
        <v>#N/A</v>
      </c>
      <c r="AF205" s="55" t="e">
        <f t="shared" ca="1" si="48"/>
        <v>#N/A</v>
      </c>
      <c r="AG205" s="55" t="e">
        <f t="shared" ca="1" si="49"/>
        <v>#N/A</v>
      </c>
      <c r="AH205" s="55" t="e">
        <f t="shared" ca="1" si="50"/>
        <v>#N/A</v>
      </c>
      <c r="AI205" s="55" t="e">
        <f ca="1">-VLOOKUP(AE205,ModelOutputs,9,FALSE)+AI204</f>
        <v>#N/A</v>
      </c>
      <c r="AJ205" s="55" t="e">
        <f ca="1">VLOOKUP(AE205,ModelOutputs,5,FALSE)+AJ204</f>
        <v>#N/A</v>
      </c>
      <c r="AK205" s="55" t="e">
        <f ca="1">VLOOKUP(AE205,ModelOutputs,4,FALSE)+AK204</f>
        <v>#N/A</v>
      </c>
    </row>
    <row r="206" spans="18:37">
      <c r="R206" s="83" t="e">
        <f ca="1"/>
        <v>#N/A</v>
      </c>
      <c r="S206" s="55" t="e">
        <f t="shared" ca="1" si="42"/>
        <v>#N/A</v>
      </c>
      <c r="T206" s="55" t="e">
        <f t="shared" ca="1" si="37"/>
        <v>#N/A</v>
      </c>
      <c r="U206" s="55" t="e">
        <f t="shared" ca="1" si="38"/>
        <v>#N/A</v>
      </c>
      <c r="V206" s="55" t="e">
        <f t="shared" ca="1" si="39"/>
        <v>#N/A</v>
      </c>
      <c r="W206" s="55" t="e">
        <f t="shared" ca="1" si="43"/>
        <v>#N/A</v>
      </c>
      <c r="X206" s="55" t="e">
        <f t="shared" ca="1" si="44"/>
        <v>#N/A</v>
      </c>
      <c r="Y206" s="55" t="e">
        <f t="shared" ca="1" si="45"/>
        <v>#N/A</v>
      </c>
      <c r="Z206" t="e">
        <f ca="1">VLOOKUP(S206,ModelOutputs,10,FALSE)*AWC</f>
        <v>#N/A</v>
      </c>
      <c r="AA206" t="e">
        <f t="shared" ca="1" si="46"/>
        <v>#N/A</v>
      </c>
      <c r="AB206" t="e">
        <f t="shared" ca="1" si="40"/>
        <v>#N/A</v>
      </c>
      <c r="AC206" t="e">
        <f t="shared" ca="1" si="41"/>
        <v>#N/A</v>
      </c>
      <c r="AD206" s="83" t="e">
        <f ca="1"/>
        <v>#N/A</v>
      </c>
      <c r="AE206" s="55" t="e">
        <f t="shared" ca="1" si="47"/>
        <v>#N/A</v>
      </c>
      <c r="AF206" s="55" t="e">
        <f t="shared" ca="1" si="48"/>
        <v>#N/A</v>
      </c>
      <c r="AG206" s="55" t="e">
        <f t="shared" ca="1" si="49"/>
        <v>#N/A</v>
      </c>
      <c r="AH206" s="55" t="e">
        <f t="shared" ca="1" si="50"/>
        <v>#N/A</v>
      </c>
      <c r="AI206" s="55" t="e">
        <f ca="1">-VLOOKUP(AE206,ModelOutputs,9,FALSE)+AI205</f>
        <v>#N/A</v>
      </c>
      <c r="AJ206" s="55" t="e">
        <f ca="1">VLOOKUP(AE206,ModelOutputs,5,FALSE)+AJ205</f>
        <v>#N/A</v>
      </c>
      <c r="AK206" s="55" t="e">
        <f ca="1">VLOOKUP(AE206,ModelOutputs,4,FALSE)+AK205</f>
        <v>#N/A</v>
      </c>
    </row>
    <row r="207" spans="18:37">
      <c r="R207" s="83" t="e">
        <f ca="1"/>
        <v>#N/A</v>
      </c>
      <c r="S207" s="55" t="e">
        <f t="shared" ca="1" si="42"/>
        <v>#N/A</v>
      </c>
      <c r="T207" s="55" t="e">
        <f t="shared" ca="1" si="37"/>
        <v>#N/A</v>
      </c>
      <c r="U207" s="55" t="e">
        <f t="shared" ca="1" si="38"/>
        <v>#N/A</v>
      </c>
      <c r="V207" s="55" t="e">
        <f t="shared" ca="1" si="39"/>
        <v>#N/A</v>
      </c>
      <c r="W207" s="55" t="e">
        <f t="shared" ca="1" si="43"/>
        <v>#N/A</v>
      </c>
      <c r="X207" s="55" t="e">
        <f t="shared" ca="1" si="44"/>
        <v>#N/A</v>
      </c>
      <c r="Y207" s="55" t="e">
        <f t="shared" ca="1" si="45"/>
        <v>#N/A</v>
      </c>
      <c r="Z207" t="e">
        <f ca="1">VLOOKUP(S207,ModelOutputs,10,FALSE)*AWC</f>
        <v>#N/A</v>
      </c>
      <c r="AA207" t="e">
        <f t="shared" ca="1" si="46"/>
        <v>#N/A</v>
      </c>
      <c r="AB207" t="e">
        <f t="shared" ca="1" si="40"/>
        <v>#N/A</v>
      </c>
      <c r="AC207" t="e">
        <f t="shared" ca="1" si="41"/>
        <v>#N/A</v>
      </c>
      <c r="AD207" s="83" t="e">
        <f ca="1"/>
        <v>#N/A</v>
      </c>
      <c r="AE207" s="55" t="e">
        <f t="shared" ca="1" si="47"/>
        <v>#N/A</v>
      </c>
      <c r="AF207" s="55" t="e">
        <f t="shared" ca="1" si="48"/>
        <v>#N/A</v>
      </c>
      <c r="AG207" s="55" t="e">
        <f t="shared" ca="1" si="49"/>
        <v>#N/A</v>
      </c>
      <c r="AH207" s="55" t="e">
        <f t="shared" ca="1" si="50"/>
        <v>#N/A</v>
      </c>
      <c r="AI207" s="55" t="e">
        <f ca="1">-VLOOKUP(AE207,ModelOutputs,9,FALSE)+AI206</f>
        <v>#N/A</v>
      </c>
      <c r="AJ207" s="55" t="e">
        <f ca="1">VLOOKUP(AE207,ModelOutputs,5,FALSE)+AJ206</f>
        <v>#N/A</v>
      </c>
      <c r="AK207" s="55" t="e">
        <f ca="1">VLOOKUP(AE207,ModelOutputs,4,FALSE)+AK206</f>
        <v>#N/A</v>
      </c>
    </row>
    <row r="208" spans="18:37">
      <c r="R208" s="83" t="e">
        <f ca="1"/>
        <v>#N/A</v>
      </c>
      <c r="S208" s="55" t="e">
        <f t="shared" ca="1" si="42"/>
        <v>#N/A</v>
      </c>
      <c r="T208" s="55" t="e">
        <f t="shared" ca="1" si="37"/>
        <v>#N/A</v>
      </c>
      <c r="U208" s="55" t="e">
        <f t="shared" ca="1" si="38"/>
        <v>#N/A</v>
      </c>
      <c r="V208" s="55" t="e">
        <f t="shared" ca="1" si="39"/>
        <v>#N/A</v>
      </c>
      <c r="W208" s="55" t="e">
        <f t="shared" ca="1" si="43"/>
        <v>#N/A</v>
      </c>
      <c r="X208" s="55" t="e">
        <f t="shared" ca="1" si="44"/>
        <v>#N/A</v>
      </c>
      <c r="Y208" s="55" t="e">
        <f t="shared" ca="1" si="45"/>
        <v>#N/A</v>
      </c>
      <c r="Z208" t="e">
        <f ca="1">VLOOKUP(S208,ModelOutputs,10,FALSE)*AWC</f>
        <v>#N/A</v>
      </c>
      <c r="AA208" t="e">
        <f t="shared" ca="1" si="46"/>
        <v>#N/A</v>
      </c>
      <c r="AB208" t="e">
        <f t="shared" ca="1" si="40"/>
        <v>#N/A</v>
      </c>
      <c r="AC208" t="e">
        <f t="shared" ca="1" si="41"/>
        <v>#N/A</v>
      </c>
      <c r="AD208" s="83" t="e">
        <f ca="1"/>
        <v>#N/A</v>
      </c>
      <c r="AE208" s="55" t="e">
        <f t="shared" ca="1" si="47"/>
        <v>#N/A</v>
      </c>
      <c r="AF208" s="55" t="e">
        <f t="shared" ca="1" si="48"/>
        <v>#N/A</v>
      </c>
      <c r="AG208" s="55" t="e">
        <f t="shared" ca="1" si="49"/>
        <v>#N/A</v>
      </c>
      <c r="AH208" s="55" t="e">
        <f t="shared" ca="1" si="50"/>
        <v>#N/A</v>
      </c>
      <c r="AI208" s="55" t="e">
        <f ca="1">-VLOOKUP(AE208,ModelOutputs,9,FALSE)+AI207</f>
        <v>#N/A</v>
      </c>
      <c r="AJ208" s="55" t="e">
        <f ca="1">VLOOKUP(AE208,ModelOutputs,5,FALSE)+AJ207</f>
        <v>#N/A</v>
      </c>
      <c r="AK208" s="55" t="e">
        <f ca="1">VLOOKUP(AE208,ModelOutputs,4,FALSE)+AK207</f>
        <v>#N/A</v>
      </c>
    </row>
    <row r="209" spans="18:37">
      <c r="R209" s="83" t="e">
        <f ca="1"/>
        <v>#N/A</v>
      </c>
      <c r="S209" s="55" t="e">
        <f t="shared" ca="1" si="42"/>
        <v>#N/A</v>
      </c>
      <c r="T209" s="55" t="e">
        <f t="shared" ca="1" si="37"/>
        <v>#N/A</v>
      </c>
      <c r="U209" s="55" t="e">
        <f t="shared" ca="1" si="38"/>
        <v>#N/A</v>
      </c>
      <c r="V209" s="55" t="e">
        <f t="shared" ca="1" si="39"/>
        <v>#N/A</v>
      </c>
      <c r="W209" s="55" t="e">
        <f t="shared" ca="1" si="43"/>
        <v>#N/A</v>
      </c>
      <c r="X209" s="55" t="e">
        <f t="shared" ca="1" si="44"/>
        <v>#N/A</v>
      </c>
      <c r="Y209" s="55" t="e">
        <f t="shared" ca="1" si="45"/>
        <v>#N/A</v>
      </c>
      <c r="Z209" t="e">
        <f ca="1">VLOOKUP(S209,ModelOutputs,10,FALSE)*AWC</f>
        <v>#N/A</v>
      </c>
      <c r="AA209" t="e">
        <f t="shared" ca="1" si="46"/>
        <v>#N/A</v>
      </c>
      <c r="AB209" t="e">
        <f t="shared" ca="1" si="40"/>
        <v>#N/A</v>
      </c>
      <c r="AC209" t="e">
        <f t="shared" ca="1" si="41"/>
        <v>#N/A</v>
      </c>
      <c r="AD209" s="83" t="e">
        <f ca="1"/>
        <v>#N/A</v>
      </c>
      <c r="AE209" s="55" t="e">
        <f t="shared" ca="1" si="47"/>
        <v>#N/A</v>
      </c>
      <c r="AF209" s="55" t="e">
        <f t="shared" ca="1" si="48"/>
        <v>#N/A</v>
      </c>
      <c r="AG209" s="55" t="e">
        <f t="shared" ca="1" si="49"/>
        <v>#N/A</v>
      </c>
      <c r="AH209" s="55" t="e">
        <f t="shared" ca="1" si="50"/>
        <v>#N/A</v>
      </c>
      <c r="AI209" s="55" t="e">
        <f ca="1">-VLOOKUP(AE209,ModelOutputs,9,FALSE)+AI208</f>
        <v>#N/A</v>
      </c>
      <c r="AJ209" s="55" t="e">
        <f ca="1">VLOOKUP(AE209,ModelOutputs,5,FALSE)+AJ208</f>
        <v>#N/A</v>
      </c>
      <c r="AK209" s="55" t="e">
        <f ca="1">VLOOKUP(AE209,ModelOutputs,4,FALSE)+AK208</f>
        <v>#N/A</v>
      </c>
    </row>
    <row r="210" spans="18:37">
      <c r="R210" s="83" t="e">
        <f ca="1"/>
        <v>#N/A</v>
      </c>
      <c r="S210" s="55" t="e">
        <f t="shared" ca="1" si="42"/>
        <v>#N/A</v>
      </c>
      <c r="T210" s="55" t="e">
        <f t="shared" ref="T210:T273" ca="1" si="51">VLOOKUP(S210,ModelOutputs,2,FALSE)</f>
        <v>#N/A</v>
      </c>
      <c r="U210" s="55" t="e">
        <f t="shared" ref="U210:U273" ca="1" si="52">VLOOKUP(S210,ModelOutputs,7,FALSE)</f>
        <v>#N/A</v>
      </c>
      <c r="V210" s="55" t="e">
        <f t="shared" ref="V210:V273" ca="1" si="53">VLOOKUP(S210,ModelOutputs,6,FALSE)</f>
        <v>#N/A</v>
      </c>
      <c r="W210" s="55" t="e">
        <f t="shared" ca="1" si="43"/>
        <v>#N/A</v>
      </c>
      <c r="X210" s="55" t="e">
        <f t="shared" ca="1" si="44"/>
        <v>#N/A</v>
      </c>
      <c r="Y210" s="55" t="e">
        <f t="shared" ca="1" si="45"/>
        <v>#N/A</v>
      </c>
      <c r="Z210" t="e">
        <f ca="1">VLOOKUP(S210,ModelOutputs,10,FALSE)*AWC</f>
        <v>#N/A</v>
      </c>
      <c r="AA210" t="e">
        <f t="shared" ca="1" si="46"/>
        <v>#N/A</v>
      </c>
      <c r="AB210" t="e">
        <f t="shared" ref="AB210:AB273" ca="1" si="54">VLOOKUP(S210,ModelOutputs,12,FALSE)</f>
        <v>#N/A</v>
      </c>
      <c r="AC210" t="e">
        <f t="shared" ref="AC210:AC273" ca="1" si="55">VLOOKUP(S210,ModelOutputs,13,FALSE)</f>
        <v>#N/A</v>
      </c>
      <c r="AD210" s="83" t="e">
        <f ca="1"/>
        <v>#N/A</v>
      </c>
      <c r="AE210" s="55" t="e">
        <f t="shared" ca="1" si="47"/>
        <v>#N/A</v>
      </c>
      <c r="AF210" s="55" t="e">
        <f t="shared" ca="1" si="48"/>
        <v>#N/A</v>
      </c>
      <c r="AG210" s="55" t="e">
        <f t="shared" ca="1" si="49"/>
        <v>#N/A</v>
      </c>
      <c r="AH210" s="55" t="e">
        <f t="shared" ca="1" si="50"/>
        <v>#N/A</v>
      </c>
      <c r="AI210" s="55" t="e">
        <f ca="1">-VLOOKUP(AE210,ModelOutputs,9,FALSE)+AI209</f>
        <v>#N/A</v>
      </c>
      <c r="AJ210" s="55" t="e">
        <f ca="1">VLOOKUP(AE210,ModelOutputs,5,FALSE)+AJ209</f>
        <v>#N/A</v>
      </c>
      <c r="AK210" s="55" t="e">
        <f ca="1">VLOOKUP(AE210,ModelOutputs,4,FALSE)+AK209</f>
        <v>#N/A</v>
      </c>
    </row>
    <row r="211" spans="18:37">
      <c r="R211" s="83" t="e">
        <f ca="1"/>
        <v>#N/A</v>
      </c>
      <c r="S211" s="55" t="e">
        <f t="shared" ref="S211:S274" ca="1" si="56">IF(R211&gt;1,R211,"")</f>
        <v>#N/A</v>
      </c>
      <c r="T211" s="55" t="e">
        <f t="shared" ca="1" si="51"/>
        <v>#N/A</v>
      </c>
      <c r="U211" s="55" t="e">
        <f t="shared" ca="1" si="52"/>
        <v>#N/A</v>
      </c>
      <c r="V211" s="55" t="e">
        <f t="shared" ca="1" si="53"/>
        <v>#N/A</v>
      </c>
      <c r="W211" s="55" t="e">
        <f t="shared" ref="W211:W274" ca="1" si="57">-VLOOKUP(S211,ModelOutputs,9,FALSE)+W210</f>
        <v>#N/A</v>
      </c>
      <c r="X211" s="55" t="e">
        <f t="shared" ref="X211:X274" ca="1" si="58">VLOOKUP(S211,ModelOutputs,5,FALSE)+X210</f>
        <v>#N/A</v>
      </c>
      <c r="Y211" s="55" t="e">
        <f t="shared" ref="Y211:Y274" ca="1" si="59">VLOOKUP(S211,ModelOutputs,4,FALSE)+Y210</f>
        <v>#N/A</v>
      </c>
      <c r="Z211" t="e">
        <f ca="1">VLOOKUP(S211,ModelOutputs,10,FALSE)*AWC</f>
        <v>#N/A</v>
      </c>
      <c r="AA211" t="e">
        <f t="shared" ref="AA211:AA274" ca="1" si="60">VLOOKUP(S211,ModelOutputs,11,FALSE)+AA210</f>
        <v>#N/A</v>
      </c>
      <c r="AB211" t="e">
        <f t="shared" ca="1" si="54"/>
        <v>#N/A</v>
      </c>
      <c r="AC211" t="e">
        <f t="shared" ca="1" si="55"/>
        <v>#N/A</v>
      </c>
      <c r="AD211" s="83" t="e">
        <f ca="1"/>
        <v>#N/A</v>
      </c>
      <c r="AE211" s="55" t="e">
        <f t="shared" ca="1" si="47"/>
        <v>#N/A</v>
      </c>
      <c r="AF211" s="55" t="e">
        <f t="shared" ca="1" si="48"/>
        <v>#N/A</v>
      </c>
      <c r="AG211" s="55" t="e">
        <f t="shared" ca="1" si="49"/>
        <v>#N/A</v>
      </c>
      <c r="AH211" s="55" t="e">
        <f t="shared" ca="1" si="50"/>
        <v>#N/A</v>
      </c>
      <c r="AI211" s="55" t="e">
        <f ca="1">-VLOOKUP(AE211,ModelOutputs,9,FALSE)+AI210</f>
        <v>#N/A</v>
      </c>
      <c r="AJ211" s="55" t="e">
        <f ca="1">VLOOKUP(AE211,ModelOutputs,5,FALSE)+AJ210</f>
        <v>#N/A</v>
      </c>
      <c r="AK211" s="55" t="e">
        <f ca="1">VLOOKUP(AE211,ModelOutputs,4,FALSE)+AK210</f>
        <v>#N/A</v>
      </c>
    </row>
    <row r="212" spans="18:37">
      <c r="R212" s="83" t="e">
        <f ca="1"/>
        <v>#N/A</v>
      </c>
      <c r="S212" s="55" t="e">
        <f t="shared" ca="1" si="56"/>
        <v>#N/A</v>
      </c>
      <c r="T212" s="55" t="e">
        <f t="shared" ca="1" si="51"/>
        <v>#N/A</v>
      </c>
      <c r="U212" s="55" t="e">
        <f t="shared" ca="1" si="52"/>
        <v>#N/A</v>
      </c>
      <c r="V212" s="55" t="e">
        <f t="shared" ca="1" si="53"/>
        <v>#N/A</v>
      </c>
      <c r="W212" s="55" t="e">
        <f t="shared" ca="1" si="57"/>
        <v>#N/A</v>
      </c>
      <c r="X212" s="55" t="e">
        <f t="shared" ca="1" si="58"/>
        <v>#N/A</v>
      </c>
      <c r="Y212" s="55" t="e">
        <f t="shared" ca="1" si="59"/>
        <v>#N/A</v>
      </c>
      <c r="Z212" t="e">
        <f ca="1">VLOOKUP(S212,ModelOutputs,10,FALSE)*AWC</f>
        <v>#N/A</v>
      </c>
      <c r="AA212" t="e">
        <f t="shared" ca="1" si="60"/>
        <v>#N/A</v>
      </c>
      <c r="AB212" t="e">
        <f t="shared" ca="1" si="54"/>
        <v>#N/A</v>
      </c>
      <c r="AC212" t="e">
        <f t="shared" ca="1" si="55"/>
        <v>#N/A</v>
      </c>
      <c r="AD212" s="83" t="e">
        <f ca="1"/>
        <v>#N/A</v>
      </c>
      <c r="AE212" s="55" t="e">
        <f t="shared" ca="1" si="47"/>
        <v>#N/A</v>
      </c>
      <c r="AF212" s="55" t="e">
        <f t="shared" ca="1" si="48"/>
        <v>#N/A</v>
      </c>
      <c r="AG212" s="55" t="e">
        <f t="shared" ca="1" si="49"/>
        <v>#N/A</v>
      </c>
      <c r="AH212" s="55" t="e">
        <f t="shared" ca="1" si="50"/>
        <v>#N/A</v>
      </c>
      <c r="AI212" s="55" t="e">
        <f ca="1">-VLOOKUP(AE212,ModelOutputs,9,FALSE)+AI211</f>
        <v>#N/A</v>
      </c>
      <c r="AJ212" s="55" t="e">
        <f ca="1">VLOOKUP(AE212,ModelOutputs,5,FALSE)+AJ211</f>
        <v>#N/A</v>
      </c>
      <c r="AK212" s="55" t="e">
        <f ca="1">VLOOKUP(AE212,ModelOutputs,4,FALSE)+AK211</f>
        <v>#N/A</v>
      </c>
    </row>
    <row r="213" spans="18:37">
      <c r="R213" s="83" t="e">
        <f ca="1"/>
        <v>#N/A</v>
      </c>
      <c r="S213" s="55" t="e">
        <f t="shared" ca="1" si="56"/>
        <v>#N/A</v>
      </c>
      <c r="T213" s="55" t="e">
        <f t="shared" ca="1" si="51"/>
        <v>#N/A</v>
      </c>
      <c r="U213" s="55" t="e">
        <f t="shared" ca="1" si="52"/>
        <v>#N/A</v>
      </c>
      <c r="V213" s="55" t="e">
        <f t="shared" ca="1" si="53"/>
        <v>#N/A</v>
      </c>
      <c r="W213" s="55" t="e">
        <f t="shared" ca="1" si="57"/>
        <v>#N/A</v>
      </c>
      <c r="X213" s="55" t="e">
        <f t="shared" ca="1" si="58"/>
        <v>#N/A</v>
      </c>
      <c r="Y213" s="55" t="e">
        <f t="shared" ca="1" si="59"/>
        <v>#N/A</v>
      </c>
      <c r="Z213" t="e">
        <f ca="1">VLOOKUP(S213,ModelOutputs,10,FALSE)*AWC</f>
        <v>#N/A</v>
      </c>
      <c r="AA213" t="e">
        <f t="shared" ca="1" si="60"/>
        <v>#N/A</v>
      </c>
      <c r="AB213" t="e">
        <f t="shared" ca="1" si="54"/>
        <v>#N/A</v>
      </c>
      <c r="AC213" t="e">
        <f t="shared" ca="1" si="55"/>
        <v>#N/A</v>
      </c>
      <c r="AD213" s="83" t="e">
        <f ca="1"/>
        <v>#N/A</v>
      </c>
      <c r="AE213" s="55" t="e">
        <f t="shared" ref="AE213:AE276" ca="1" si="61">IF(AD213&gt;1,AD213,"")</f>
        <v>#N/A</v>
      </c>
      <c r="AF213" s="55" t="e">
        <f t="shared" ref="AF213:AF276" ca="1" si="62">VLOOKUP(AE213,ModelOutputs,2,FALSE)</f>
        <v>#N/A</v>
      </c>
      <c r="AG213" s="55" t="e">
        <f t="shared" ref="AG213:AG276" ca="1" si="63">VLOOKUP(AE213,ModelOutputs,7,FALSE)</f>
        <v>#N/A</v>
      </c>
      <c r="AH213" s="55" t="e">
        <f t="shared" ref="AH213:AH276" ca="1" si="64">VLOOKUP(AE213,ModelOutputs,6,FALSE)</f>
        <v>#N/A</v>
      </c>
      <c r="AI213" s="55" t="e">
        <f ca="1">-VLOOKUP(AE213,ModelOutputs,9,FALSE)+AI212</f>
        <v>#N/A</v>
      </c>
      <c r="AJ213" s="55" t="e">
        <f ca="1">VLOOKUP(AE213,ModelOutputs,5,FALSE)+AJ212</f>
        <v>#N/A</v>
      </c>
      <c r="AK213" s="55" t="e">
        <f ca="1">VLOOKUP(AE213,ModelOutputs,4,FALSE)+AK212</f>
        <v>#N/A</v>
      </c>
    </row>
    <row r="214" spans="18:37">
      <c r="R214" s="83" t="e">
        <f ca="1"/>
        <v>#N/A</v>
      </c>
      <c r="S214" s="55" t="e">
        <f t="shared" ca="1" si="56"/>
        <v>#N/A</v>
      </c>
      <c r="T214" s="55" t="e">
        <f t="shared" ca="1" si="51"/>
        <v>#N/A</v>
      </c>
      <c r="U214" s="55" t="e">
        <f t="shared" ca="1" si="52"/>
        <v>#N/A</v>
      </c>
      <c r="V214" s="55" t="e">
        <f t="shared" ca="1" si="53"/>
        <v>#N/A</v>
      </c>
      <c r="W214" s="55" t="e">
        <f t="shared" ca="1" si="57"/>
        <v>#N/A</v>
      </c>
      <c r="X214" s="55" t="e">
        <f t="shared" ca="1" si="58"/>
        <v>#N/A</v>
      </c>
      <c r="Y214" s="55" t="e">
        <f t="shared" ca="1" si="59"/>
        <v>#N/A</v>
      </c>
      <c r="Z214" t="e">
        <f ca="1">VLOOKUP(S214,ModelOutputs,10,FALSE)*AWC</f>
        <v>#N/A</v>
      </c>
      <c r="AA214" t="e">
        <f t="shared" ca="1" si="60"/>
        <v>#N/A</v>
      </c>
      <c r="AB214" t="e">
        <f t="shared" ca="1" si="54"/>
        <v>#N/A</v>
      </c>
      <c r="AC214" t="e">
        <f t="shared" ca="1" si="55"/>
        <v>#N/A</v>
      </c>
      <c r="AD214" s="83" t="e">
        <f ca="1"/>
        <v>#N/A</v>
      </c>
      <c r="AE214" s="55" t="e">
        <f t="shared" ca="1" si="61"/>
        <v>#N/A</v>
      </c>
      <c r="AF214" s="55" t="e">
        <f t="shared" ca="1" si="62"/>
        <v>#N/A</v>
      </c>
      <c r="AG214" s="55" t="e">
        <f t="shared" ca="1" si="63"/>
        <v>#N/A</v>
      </c>
      <c r="AH214" s="55" t="e">
        <f t="shared" ca="1" si="64"/>
        <v>#N/A</v>
      </c>
      <c r="AI214" s="55" t="e">
        <f ca="1">-VLOOKUP(AE214,ModelOutputs,9,FALSE)+AI213</f>
        <v>#N/A</v>
      </c>
      <c r="AJ214" s="55" t="e">
        <f ca="1">VLOOKUP(AE214,ModelOutputs,5,FALSE)+AJ213</f>
        <v>#N/A</v>
      </c>
      <c r="AK214" s="55" t="e">
        <f ca="1">VLOOKUP(AE214,ModelOutputs,4,FALSE)+AK213</f>
        <v>#N/A</v>
      </c>
    </row>
    <row r="215" spans="18:37">
      <c r="R215" s="83" t="e">
        <f ca="1"/>
        <v>#N/A</v>
      </c>
      <c r="S215" s="55" t="e">
        <f t="shared" ca="1" si="56"/>
        <v>#N/A</v>
      </c>
      <c r="T215" s="55" t="e">
        <f t="shared" ca="1" si="51"/>
        <v>#N/A</v>
      </c>
      <c r="U215" s="55" t="e">
        <f t="shared" ca="1" si="52"/>
        <v>#N/A</v>
      </c>
      <c r="V215" s="55" t="e">
        <f t="shared" ca="1" si="53"/>
        <v>#N/A</v>
      </c>
      <c r="W215" s="55" t="e">
        <f t="shared" ca="1" si="57"/>
        <v>#N/A</v>
      </c>
      <c r="X215" s="55" t="e">
        <f t="shared" ca="1" si="58"/>
        <v>#N/A</v>
      </c>
      <c r="Y215" s="55" t="e">
        <f t="shared" ca="1" si="59"/>
        <v>#N/A</v>
      </c>
      <c r="Z215" t="e">
        <f ca="1">VLOOKUP(S215,ModelOutputs,10,FALSE)*AWC</f>
        <v>#N/A</v>
      </c>
      <c r="AA215" t="e">
        <f t="shared" ca="1" si="60"/>
        <v>#N/A</v>
      </c>
      <c r="AB215" t="e">
        <f t="shared" ca="1" si="54"/>
        <v>#N/A</v>
      </c>
      <c r="AC215" t="e">
        <f t="shared" ca="1" si="55"/>
        <v>#N/A</v>
      </c>
      <c r="AD215" s="83" t="e">
        <f ca="1"/>
        <v>#N/A</v>
      </c>
      <c r="AE215" s="55" t="e">
        <f t="shared" ca="1" si="61"/>
        <v>#N/A</v>
      </c>
      <c r="AF215" s="55" t="e">
        <f t="shared" ca="1" si="62"/>
        <v>#N/A</v>
      </c>
      <c r="AG215" s="55" t="e">
        <f t="shared" ca="1" si="63"/>
        <v>#N/A</v>
      </c>
      <c r="AH215" s="55" t="e">
        <f t="shared" ca="1" si="64"/>
        <v>#N/A</v>
      </c>
      <c r="AI215" s="55" t="e">
        <f ca="1">-VLOOKUP(AE215,ModelOutputs,9,FALSE)+AI214</f>
        <v>#N/A</v>
      </c>
      <c r="AJ215" s="55" t="e">
        <f ca="1">VLOOKUP(AE215,ModelOutputs,5,FALSE)+AJ214</f>
        <v>#N/A</v>
      </c>
      <c r="AK215" s="55" t="e">
        <f ca="1">VLOOKUP(AE215,ModelOutputs,4,FALSE)+AK214</f>
        <v>#N/A</v>
      </c>
    </row>
    <row r="216" spans="18:37">
      <c r="R216" s="83" t="e">
        <f ca="1"/>
        <v>#N/A</v>
      </c>
      <c r="S216" s="55" t="e">
        <f t="shared" ca="1" si="56"/>
        <v>#N/A</v>
      </c>
      <c r="T216" s="55" t="e">
        <f t="shared" ca="1" si="51"/>
        <v>#N/A</v>
      </c>
      <c r="U216" s="55" t="e">
        <f t="shared" ca="1" si="52"/>
        <v>#N/A</v>
      </c>
      <c r="V216" s="55" t="e">
        <f t="shared" ca="1" si="53"/>
        <v>#N/A</v>
      </c>
      <c r="W216" s="55" t="e">
        <f t="shared" ca="1" si="57"/>
        <v>#N/A</v>
      </c>
      <c r="X216" s="55" t="e">
        <f t="shared" ca="1" si="58"/>
        <v>#N/A</v>
      </c>
      <c r="Y216" s="55" t="e">
        <f t="shared" ca="1" si="59"/>
        <v>#N/A</v>
      </c>
      <c r="Z216" t="e">
        <f ca="1">VLOOKUP(S216,ModelOutputs,10,FALSE)*AWC</f>
        <v>#N/A</v>
      </c>
      <c r="AA216" t="e">
        <f t="shared" ca="1" si="60"/>
        <v>#N/A</v>
      </c>
      <c r="AB216" t="e">
        <f t="shared" ca="1" si="54"/>
        <v>#N/A</v>
      </c>
      <c r="AC216" t="e">
        <f t="shared" ca="1" si="55"/>
        <v>#N/A</v>
      </c>
      <c r="AD216" s="83" t="e">
        <f ca="1"/>
        <v>#N/A</v>
      </c>
      <c r="AE216" s="55" t="e">
        <f t="shared" ca="1" si="61"/>
        <v>#N/A</v>
      </c>
      <c r="AF216" s="55" t="e">
        <f t="shared" ca="1" si="62"/>
        <v>#N/A</v>
      </c>
      <c r="AG216" s="55" t="e">
        <f t="shared" ca="1" si="63"/>
        <v>#N/A</v>
      </c>
      <c r="AH216" s="55" t="e">
        <f t="shared" ca="1" si="64"/>
        <v>#N/A</v>
      </c>
      <c r="AI216" s="55" t="e">
        <f ca="1">-VLOOKUP(AE216,ModelOutputs,9,FALSE)+AI215</f>
        <v>#N/A</v>
      </c>
      <c r="AJ216" s="55" t="e">
        <f ca="1">VLOOKUP(AE216,ModelOutputs,5,FALSE)+AJ215</f>
        <v>#N/A</v>
      </c>
      <c r="AK216" s="55" t="e">
        <f ca="1">VLOOKUP(AE216,ModelOutputs,4,FALSE)+AK215</f>
        <v>#N/A</v>
      </c>
    </row>
    <row r="217" spans="18:37">
      <c r="R217" s="83" t="e">
        <f ca="1"/>
        <v>#N/A</v>
      </c>
      <c r="S217" s="55" t="e">
        <f t="shared" ca="1" si="56"/>
        <v>#N/A</v>
      </c>
      <c r="T217" s="55" t="e">
        <f t="shared" ca="1" si="51"/>
        <v>#N/A</v>
      </c>
      <c r="U217" s="55" t="e">
        <f t="shared" ca="1" si="52"/>
        <v>#N/A</v>
      </c>
      <c r="V217" s="55" t="e">
        <f t="shared" ca="1" si="53"/>
        <v>#N/A</v>
      </c>
      <c r="W217" s="55" t="e">
        <f t="shared" ca="1" si="57"/>
        <v>#N/A</v>
      </c>
      <c r="X217" s="55" t="e">
        <f t="shared" ca="1" si="58"/>
        <v>#N/A</v>
      </c>
      <c r="Y217" s="55" t="e">
        <f t="shared" ca="1" si="59"/>
        <v>#N/A</v>
      </c>
      <c r="Z217" t="e">
        <f ca="1">VLOOKUP(S217,ModelOutputs,10,FALSE)*AWC</f>
        <v>#N/A</v>
      </c>
      <c r="AA217" t="e">
        <f t="shared" ca="1" si="60"/>
        <v>#N/A</v>
      </c>
      <c r="AB217" t="e">
        <f t="shared" ca="1" si="54"/>
        <v>#N/A</v>
      </c>
      <c r="AC217" t="e">
        <f t="shared" ca="1" si="55"/>
        <v>#N/A</v>
      </c>
      <c r="AD217" s="83" t="e">
        <f ca="1"/>
        <v>#N/A</v>
      </c>
      <c r="AE217" s="55" t="e">
        <f t="shared" ca="1" si="61"/>
        <v>#N/A</v>
      </c>
      <c r="AF217" s="55" t="e">
        <f t="shared" ca="1" si="62"/>
        <v>#N/A</v>
      </c>
      <c r="AG217" s="55" t="e">
        <f t="shared" ca="1" si="63"/>
        <v>#N/A</v>
      </c>
      <c r="AH217" s="55" t="e">
        <f t="shared" ca="1" si="64"/>
        <v>#N/A</v>
      </c>
      <c r="AI217" s="55" t="e">
        <f ca="1">-VLOOKUP(AE217,ModelOutputs,9,FALSE)+AI216</f>
        <v>#N/A</v>
      </c>
      <c r="AJ217" s="55" t="e">
        <f ca="1">VLOOKUP(AE217,ModelOutputs,5,FALSE)+AJ216</f>
        <v>#N/A</v>
      </c>
      <c r="AK217" s="55" t="e">
        <f ca="1">VLOOKUP(AE217,ModelOutputs,4,FALSE)+AK216</f>
        <v>#N/A</v>
      </c>
    </row>
    <row r="218" spans="18:37">
      <c r="R218" s="83" t="e">
        <f ca="1"/>
        <v>#N/A</v>
      </c>
      <c r="S218" s="55" t="e">
        <f t="shared" ca="1" si="56"/>
        <v>#N/A</v>
      </c>
      <c r="T218" s="55" t="e">
        <f t="shared" ca="1" si="51"/>
        <v>#N/A</v>
      </c>
      <c r="U218" s="55" t="e">
        <f t="shared" ca="1" si="52"/>
        <v>#N/A</v>
      </c>
      <c r="V218" s="55" t="e">
        <f t="shared" ca="1" si="53"/>
        <v>#N/A</v>
      </c>
      <c r="W218" s="55" t="e">
        <f t="shared" ca="1" si="57"/>
        <v>#N/A</v>
      </c>
      <c r="X218" s="55" t="e">
        <f t="shared" ca="1" si="58"/>
        <v>#N/A</v>
      </c>
      <c r="Y218" s="55" t="e">
        <f t="shared" ca="1" si="59"/>
        <v>#N/A</v>
      </c>
      <c r="Z218" t="e">
        <f ca="1">VLOOKUP(S218,ModelOutputs,10,FALSE)*AWC</f>
        <v>#N/A</v>
      </c>
      <c r="AA218" t="e">
        <f t="shared" ca="1" si="60"/>
        <v>#N/A</v>
      </c>
      <c r="AB218" t="e">
        <f t="shared" ca="1" si="54"/>
        <v>#N/A</v>
      </c>
      <c r="AC218" t="e">
        <f t="shared" ca="1" si="55"/>
        <v>#N/A</v>
      </c>
      <c r="AD218" s="83" t="e">
        <f ca="1"/>
        <v>#N/A</v>
      </c>
      <c r="AE218" s="55" t="e">
        <f t="shared" ca="1" si="61"/>
        <v>#N/A</v>
      </c>
      <c r="AF218" s="55" t="e">
        <f t="shared" ca="1" si="62"/>
        <v>#N/A</v>
      </c>
      <c r="AG218" s="55" t="e">
        <f t="shared" ca="1" si="63"/>
        <v>#N/A</v>
      </c>
      <c r="AH218" s="55" t="e">
        <f t="shared" ca="1" si="64"/>
        <v>#N/A</v>
      </c>
      <c r="AI218" s="55" t="e">
        <f ca="1">-VLOOKUP(AE218,ModelOutputs,9,FALSE)+AI217</f>
        <v>#N/A</v>
      </c>
      <c r="AJ218" s="55" t="e">
        <f ca="1">VLOOKUP(AE218,ModelOutputs,5,FALSE)+AJ217</f>
        <v>#N/A</v>
      </c>
      <c r="AK218" s="55" t="e">
        <f ca="1">VLOOKUP(AE218,ModelOutputs,4,FALSE)+AK217</f>
        <v>#N/A</v>
      </c>
    </row>
    <row r="219" spans="18:37">
      <c r="R219" s="83" t="e">
        <f ca="1"/>
        <v>#N/A</v>
      </c>
      <c r="S219" s="55" t="e">
        <f t="shared" ca="1" si="56"/>
        <v>#N/A</v>
      </c>
      <c r="T219" s="55" t="e">
        <f t="shared" ca="1" si="51"/>
        <v>#N/A</v>
      </c>
      <c r="U219" s="55" t="e">
        <f t="shared" ca="1" si="52"/>
        <v>#N/A</v>
      </c>
      <c r="V219" s="55" t="e">
        <f t="shared" ca="1" si="53"/>
        <v>#N/A</v>
      </c>
      <c r="W219" s="55" t="e">
        <f t="shared" ca="1" si="57"/>
        <v>#N/A</v>
      </c>
      <c r="X219" s="55" t="e">
        <f t="shared" ca="1" si="58"/>
        <v>#N/A</v>
      </c>
      <c r="Y219" s="55" t="e">
        <f t="shared" ca="1" si="59"/>
        <v>#N/A</v>
      </c>
      <c r="Z219" t="e">
        <f ca="1">VLOOKUP(S219,ModelOutputs,10,FALSE)*AWC</f>
        <v>#N/A</v>
      </c>
      <c r="AA219" t="e">
        <f t="shared" ca="1" si="60"/>
        <v>#N/A</v>
      </c>
      <c r="AB219" t="e">
        <f t="shared" ca="1" si="54"/>
        <v>#N/A</v>
      </c>
      <c r="AC219" t="e">
        <f t="shared" ca="1" si="55"/>
        <v>#N/A</v>
      </c>
      <c r="AD219" s="83" t="e">
        <f ca="1"/>
        <v>#N/A</v>
      </c>
      <c r="AE219" s="55" t="e">
        <f t="shared" ca="1" si="61"/>
        <v>#N/A</v>
      </c>
      <c r="AF219" s="55" t="e">
        <f t="shared" ca="1" si="62"/>
        <v>#N/A</v>
      </c>
      <c r="AG219" s="55" t="e">
        <f t="shared" ca="1" si="63"/>
        <v>#N/A</v>
      </c>
      <c r="AH219" s="55" t="e">
        <f t="shared" ca="1" si="64"/>
        <v>#N/A</v>
      </c>
      <c r="AI219" s="55" t="e">
        <f ca="1">-VLOOKUP(AE219,ModelOutputs,9,FALSE)+AI218</f>
        <v>#N/A</v>
      </c>
      <c r="AJ219" s="55" t="e">
        <f ca="1">VLOOKUP(AE219,ModelOutputs,5,FALSE)+AJ218</f>
        <v>#N/A</v>
      </c>
      <c r="AK219" s="55" t="e">
        <f ca="1">VLOOKUP(AE219,ModelOutputs,4,FALSE)+AK218</f>
        <v>#N/A</v>
      </c>
    </row>
    <row r="220" spans="18:37">
      <c r="R220" s="83" t="e">
        <f ca="1"/>
        <v>#N/A</v>
      </c>
      <c r="S220" s="55" t="e">
        <f t="shared" ca="1" si="56"/>
        <v>#N/A</v>
      </c>
      <c r="T220" s="55" t="e">
        <f t="shared" ca="1" si="51"/>
        <v>#N/A</v>
      </c>
      <c r="U220" s="55" t="e">
        <f t="shared" ca="1" si="52"/>
        <v>#N/A</v>
      </c>
      <c r="V220" s="55" t="e">
        <f t="shared" ca="1" si="53"/>
        <v>#N/A</v>
      </c>
      <c r="W220" s="55" t="e">
        <f t="shared" ca="1" si="57"/>
        <v>#N/A</v>
      </c>
      <c r="X220" s="55" t="e">
        <f t="shared" ca="1" si="58"/>
        <v>#N/A</v>
      </c>
      <c r="Y220" s="55" t="e">
        <f t="shared" ca="1" si="59"/>
        <v>#N/A</v>
      </c>
      <c r="Z220" t="e">
        <f ca="1">VLOOKUP(S220,ModelOutputs,10,FALSE)*AWC</f>
        <v>#N/A</v>
      </c>
      <c r="AA220" t="e">
        <f t="shared" ca="1" si="60"/>
        <v>#N/A</v>
      </c>
      <c r="AB220" t="e">
        <f t="shared" ca="1" si="54"/>
        <v>#N/A</v>
      </c>
      <c r="AC220" t="e">
        <f t="shared" ca="1" si="55"/>
        <v>#N/A</v>
      </c>
      <c r="AD220" s="83" t="e">
        <f ca="1"/>
        <v>#N/A</v>
      </c>
      <c r="AE220" s="55" t="e">
        <f t="shared" ca="1" si="61"/>
        <v>#N/A</v>
      </c>
      <c r="AF220" s="55" t="e">
        <f t="shared" ca="1" si="62"/>
        <v>#N/A</v>
      </c>
      <c r="AG220" s="55" t="e">
        <f t="shared" ca="1" si="63"/>
        <v>#N/A</v>
      </c>
      <c r="AH220" s="55" t="e">
        <f t="shared" ca="1" si="64"/>
        <v>#N/A</v>
      </c>
      <c r="AI220" s="55" t="e">
        <f ca="1">-VLOOKUP(AE220,ModelOutputs,9,FALSE)+AI219</f>
        <v>#N/A</v>
      </c>
      <c r="AJ220" s="55" t="e">
        <f ca="1">VLOOKUP(AE220,ModelOutputs,5,FALSE)+AJ219</f>
        <v>#N/A</v>
      </c>
      <c r="AK220" s="55" t="e">
        <f ca="1">VLOOKUP(AE220,ModelOutputs,4,FALSE)+AK219</f>
        <v>#N/A</v>
      </c>
    </row>
    <row r="221" spans="18:37">
      <c r="R221" s="83" t="e">
        <f ca="1"/>
        <v>#N/A</v>
      </c>
      <c r="S221" s="55" t="e">
        <f t="shared" ca="1" si="56"/>
        <v>#N/A</v>
      </c>
      <c r="T221" s="55" t="e">
        <f t="shared" ca="1" si="51"/>
        <v>#N/A</v>
      </c>
      <c r="U221" s="55" t="e">
        <f t="shared" ca="1" si="52"/>
        <v>#N/A</v>
      </c>
      <c r="V221" s="55" t="e">
        <f t="shared" ca="1" si="53"/>
        <v>#N/A</v>
      </c>
      <c r="W221" s="55" t="e">
        <f t="shared" ca="1" si="57"/>
        <v>#N/A</v>
      </c>
      <c r="X221" s="55" t="e">
        <f t="shared" ca="1" si="58"/>
        <v>#N/A</v>
      </c>
      <c r="Y221" s="55" t="e">
        <f t="shared" ca="1" si="59"/>
        <v>#N/A</v>
      </c>
      <c r="Z221" t="e">
        <f ca="1">VLOOKUP(S221,ModelOutputs,10,FALSE)*AWC</f>
        <v>#N/A</v>
      </c>
      <c r="AA221" t="e">
        <f t="shared" ca="1" si="60"/>
        <v>#N/A</v>
      </c>
      <c r="AB221" t="e">
        <f t="shared" ca="1" si="54"/>
        <v>#N/A</v>
      </c>
      <c r="AC221" t="e">
        <f t="shared" ca="1" si="55"/>
        <v>#N/A</v>
      </c>
      <c r="AD221" s="83" t="e">
        <f ca="1"/>
        <v>#N/A</v>
      </c>
      <c r="AE221" s="55" t="e">
        <f t="shared" ca="1" si="61"/>
        <v>#N/A</v>
      </c>
      <c r="AF221" s="55" t="e">
        <f t="shared" ca="1" si="62"/>
        <v>#N/A</v>
      </c>
      <c r="AG221" s="55" t="e">
        <f t="shared" ca="1" si="63"/>
        <v>#N/A</v>
      </c>
      <c r="AH221" s="55" t="e">
        <f t="shared" ca="1" si="64"/>
        <v>#N/A</v>
      </c>
      <c r="AI221" s="55" t="e">
        <f ca="1">-VLOOKUP(AE221,ModelOutputs,9,FALSE)+AI220</f>
        <v>#N/A</v>
      </c>
      <c r="AJ221" s="55" t="e">
        <f ca="1">VLOOKUP(AE221,ModelOutputs,5,FALSE)+AJ220</f>
        <v>#N/A</v>
      </c>
      <c r="AK221" s="55" t="e">
        <f ca="1">VLOOKUP(AE221,ModelOutputs,4,FALSE)+AK220</f>
        <v>#N/A</v>
      </c>
    </row>
    <row r="222" spans="18:37">
      <c r="R222" s="83" t="e">
        <f ca="1"/>
        <v>#N/A</v>
      </c>
      <c r="S222" s="55" t="e">
        <f t="shared" ca="1" si="56"/>
        <v>#N/A</v>
      </c>
      <c r="T222" s="55" t="e">
        <f t="shared" ca="1" si="51"/>
        <v>#N/A</v>
      </c>
      <c r="U222" s="55" t="e">
        <f t="shared" ca="1" si="52"/>
        <v>#N/A</v>
      </c>
      <c r="V222" s="55" t="e">
        <f t="shared" ca="1" si="53"/>
        <v>#N/A</v>
      </c>
      <c r="W222" s="55" t="e">
        <f t="shared" ca="1" si="57"/>
        <v>#N/A</v>
      </c>
      <c r="X222" s="55" t="e">
        <f t="shared" ca="1" si="58"/>
        <v>#N/A</v>
      </c>
      <c r="Y222" s="55" t="e">
        <f t="shared" ca="1" si="59"/>
        <v>#N/A</v>
      </c>
      <c r="Z222" t="e">
        <f ca="1">VLOOKUP(S222,ModelOutputs,10,FALSE)*AWC</f>
        <v>#N/A</v>
      </c>
      <c r="AA222" t="e">
        <f t="shared" ca="1" si="60"/>
        <v>#N/A</v>
      </c>
      <c r="AB222" t="e">
        <f t="shared" ca="1" si="54"/>
        <v>#N/A</v>
      </c>
      <c r="AC222" t="e">
        <f t="shared" ca="1" si="55"/>
        <v>#N/A</v>
      </c>
      <c r="AD222" s="83" t="e">
        <f ca="1"/>
        <v>#N/A</v>
      </c>
      <c r="AE222" s="55" t="e">
        <f t="shared" ca="1" si="61"/>
        <v>#N/A</v>
      </c>
      <c r="AF222" s="55" t="e">
        <f t="shared" ca="1" si="62"/>
        <v>#N/A</v>
      </c>
      <c r="AG222" s="55" t="e">
        <f t="shared" ca="1" si="63"/>
        <v>#N/A</v>
      </c>
      <c r="AH222" s="55" t="e">
        <f t="shared" ca="1" si="64"/>
        <v>#N/A</v>
      </c>
      <c r="AI222" s="55" t="e">
        <f ca="1">-VLOOKUP(AE222,ModelOutputs,9,FALSE)+AI221</f>
        <v>#N/A</v>
      </c>
      <c r="AJ222" s="55" t="e">
        <f ca="1">VLOOKUP(AE222,ModelOutputs,5,FALSE)+AJ221</f>
        <v>#N/A</v>
      </c>
      <c r="AK222" s="55" t="e">
        <f ca="1">VLOOKUP(AE222,ModelOutputs,4,FALSE)+AK221</f>
        <v>#N/A</v>
      </c>
    </row>
    <row r="223" spans="18:37">
      <c r="R223" s="83" t="e">
        <f ca="1"/>
        <v>#N/A</v>
      </c>
      <c r="S223" s="55" t="e">
        <f t="shared" ca="1" si="56"/>
        <v>#N/A</v>
      </c>
      <c r="T223" s="55" t="e">
        <f t="shared" ca="1" si="51"/>
        <v>#N/A</v>
      </c>
      <c r="U223" s="55" t="e">
        <f t="shared" ca="1" si="52"/>
        <v>#N/A</v>
      </c>
      <c r="V223" s="55" t="e">
        <f t="shared" ca="1" si="53"/>
        <v>#N/A</v>
      </c>
      <c r="W223" s="55" t="e">
        <f t="shared" ca="1" si="57"/>
        <v>#N/A</v>
      </c>
      <c r="X223" s="55" t="e">
        <f t="shared" ca="1" si="58"/>
        <v>#N/A</v>
      </c>
      <c r="Y223" s="55" t="e">
        <f t="shared" ca="1" si="59"/>
        <v>#N/A</v>
      </c>
      <c r="Z223" t="e">
        <f ca="1">VLOOKUP(S223,ModelOutputs,10,FALSE)*AWC</f>
        <v>#N/A</v>
      </c>
      <c r="AA223" t="e">
        <f t="shared" ca="1" si="60"/>
        <v>#N/A</v>
      </c>
      <c r="AB223" t="e">
        <f t="shared" ca="1" si="54"/>
        <v>#N/A</v>
      </c>
      <c r="AC223" t="e">
        <f t="shared" ca="1" si="55"/>
        <v>#N/A</v>
      </c>
      <c r="AD223" s="83" t="e">
        <f ca="1"/>
        <v>#N/A</v>
      </c>
      <c r="AE223" s="55" t="e">
        <f t="shared" ca="1" si="61"/>
        <v>#N/A</v>
      </c>
      <c r="AF223" s="55" t="e">
        <f t="shared" ca="1" si="62"/>
        <v>#N/A</v>
      </c>
      <c r="AG223" s="55" t="e">
        <f t="shared" ca="1" si="63"/>
        <v>#N/A</v>
      </c>
      <c r="AH223" s="55" t="e">
        <f t="shared" ca="1" si="64"/>
        <v>#N/A</v>
      </c>
      <c r="AI223" s="55" t="e">
        <f ca="1">-VLOOKUP(AE223,ModelOutputs,9,FALSE)+AI222</f>
        <v>#N/A</v>
      </c>
      <c r="AJ223" s="55" t="e">
        <f ca="1">VLOOKUP(AE223,ModelOutputs,5,FALSE)+AJ222</f>
        <v>#N/A</v>
      </c>
      <c r="AK223" s="55" t="e">
        <f ca="1">VLOOKUP(AE223,ModelOutputs,4,FALSE)+AK222</f>
        <v>#N/A</v>
      </c>
    </row>
    <row r="224" spans="18:37">
      <c r="R224" s="83" t="e">
        <f ca="1"/>
        <v>#N/A</v>
      </c>
      <c r="S224" s="55" t="e">
        <f t="shared" ca="1" si="56"/>
        <v>#N/A</v>
      </c>
      <c r="T224" s="55" t="e">
        <f t="shared" ca="1" si="51"/>
        <v>#N/A</v>
      </c>
      <c r="U224" s="55" t="e">
        <f t="shared" ca="1" si="52"/>
        <v>#N/A</v>
      </c>
      <c r="V224" s="55" t="e">
        <f t="shared" ca="1" si="53"/>
        <v>#N/A</v>
      </c>
      <c r="W224" s="55" t="e">
        <f t="shared" ca="1" si="57"/>
        <v>#N/A</v>
      </c>
      <c r="X224" s="55" t="e">
        <f t="shared" ca="1" si="58"/>
        <v>#N/A</v>
      </c>
      <c r="Y224" s="55" t="e">
        <f t="shared" ca="1" si="59"/>
        <v>#N/A</v>
      </c>
      <c r="Z224" t="e">
        <f ca="1">VLOOKUP(S224,ModelOutputs,10,FALSE)*AWC</f>
        <v>#N/A</v>
      </c>
      <c r="AA224" t="e">
        <f t="shared" ca="1" si="60"/>
        <v>#N/A</v>
      </c>
      <c r="AB224" t="e">
        <f t="shared" ca="1" si="54"/>
        <v>#N/A</v>
      </c>
      <c r="AC224" t="e">
        <f t="shared" ca="1" si="55"/>
        <v>#N/A</v>
      </c>
      <c r="AD224" s="83" t="e">
        <f ca="1"/>
        <v>#N/A</v>
      </c>
      <c r="AE224" s="55" t="e">
        <f t="shared" ca="1" si="61"/>
        <v>#N/A</v>
      </c>
      <c r="AF224" s="55" t="e">
        <f t="shared" ca="1" si="62"/>
        <v>#N/A</v>
      </c>
      <c r="AG224" s="55" t="e">
        <f t="shared" ca="1" si="63"/>
        <v>#N/A</v>
      </c>
      <c r="AH224" s="55" t="e">
        <f t="shared" ca="1" si="64"/>
        <v>#N/A</v>
      </c>
      <c r="AI224" s="55" t="e">
        <f ca="1">-VLOOKUP(AE224,ModelOutputs,9,FALSE)+AI223</f>
        <v>#N/A</v>
      </c>
      <c r="AJ224" s="55" t="e">
        <f ca="1">VLOOKUP(AE224,ModelOutputs,5,FALSE)+AJ223</f>
        <v>#N/A</v>
      </c>
      <c r="AK224" s="55" t="e">
        <f ca="1">VLOOKUP(AE224,ModelOutputs,4,FALSE)+AK223</f>
        <v>#N/A</v>
      </c>
    </row>
    <row r="225" spans="18:37">
      <c r="R225" s="83" t="e">
        <f ca="1"/>
        <v>#N/A</v>
      </c>
      <c r="S225" s="55" t="e">
        <f t="shared" ca="1" si="56"/>
        <v>#N/A</v>
      </c>
      <c r="T225" s="55" t="e">
        <f t="shared" ca="1" si="51"/>
        <v>#N/A</v>
      </c>
      <c r="U225" s="55" t="e">
        <f t="shared" ca="1" si="52"/>
        <v>#N/A</v>
      </c>
      <c r="V225" s="55" t="e">
        <f t="shared" ca="1" si="53"/>
        <v>#N/A</v>
      </c>
      <c r="W225" s="55" t="e">
        <f t="shared" ca="1" si="57"/>
        <v>#N/A</v>
      </c>
      <c r="X225" s="55" t="e">
        <f t="shared" ca="1" si="58"/>
        <v>#N/A</v>
      </c>
      <c r="Y225" s="55" t="e">
        <f t="shared" ca="1" si="59"/>
        <v>#N/A</v>
      </c>
      <c r="Z225" t="e">
        <f ca="1">VLOOKUP(S225,ModelOutputs,10,FALSE)*AWC</f>
        <v>#N/A</v>
      </c>
      <c r="AA225" t="e">
        <f t="shared" ca="1" si="60"/>
        <v>#N/A</v>
      </c>
      <c r="AB225" t="e">
        <f t="shared" ca="1" si="54"/>
        <v>#N/A</v>
      </c>
      <c r="AC225" t="e">
        <f t="shared" ca="1" si="55"/>
        <v>#N/A</v>
      </c>
      <c r="AD225" s="83" t="e">
        <f ca="1"/>
        <v>#N/A</v>
      </c>
      <c r="AE225" s="55" t="e">
        <f t="shared" ca="1" si="61"/>
        <v>#N/A</v>
      </c>
      <c r="AF225" s="55" t="e">
        <f t="shared" ca="1" si="62"/>
        <v>#N/A</v>
      </c>
      <c r="AG225" s="55" t="e">
        <f t="shared" ca="1" si="63"/>
        <v>#N/A</v>
      </c>
      <c r="AH225" s="55" t="e">
        <f t="shared" ca="1" si="64"/>
        <v>#N/A</v>
      </c>
      <c r="AI225" s="55" t="e">
        <f ca="1">-VLOOKUP(AE225,ModelOutputs,9,FALSE)+AI224</f>
        <v>#N/A</v>
      </c>
      <c r="AJ225" s="55" t="e">
        <f ca="1">VLOOKUP(AE225,ModelOutputs,5,FALSE)+AJ224</f>
        <v>#N/A</v>
      </c>
      <c r="AK225" s="55" t="e">
        <f ca="1">VLOOKUP(AE225,ModelOutputs,4,FALSE)+AK224</f>
        <v>#N/A</v>
      </c>
    </row>
    <row r="226" spans="18:37">
      <c r="R226" s="83" t="e">
        <f ca="1"/>
        <v>#N/A</v>
      </c>
      <c r="S226" s="55" t="e">
        <f t="shared" ca="1" si="56"/>
        <v>#N/A</v>
      </c>
      <c r="T226" s="55" t="e">
        <f t="shared" ca="1" si="51"/>
        <v>#N/A</v>
      </c>
      <c r="U226" s="55" t="e">
        <f t="shared" ca="1" si="52"/>
        <v>#N/A</v>
      </c>
      <c r="V226" s="55" t="e">
        <f t="shared" ca="1" si="53"/>
        <v>#N/A</v>
      </c>
      <c r="W226" s="55" t="e">
        <f t="shared" ca="1" si="57"/>
        <v>#N/A</v>
      </c>
      <c r="X226" s="55" t="e">
        <f t="shared" ca="1" si="58"/>
        <v>#N/A</v>
      </c>
      <c r="Y226" s="55" t="e">
        <f t="shared" ca="1" si="59"/>
        <v>#N/A</v>
      </c>
      <c r="Z226" t="e">
        <f ca="1">VLOOKUP(S226,ModelOutputs,10,FALSE)*AWC</f>
        <v>#N/A</v>
      </c>
      <c r="AA226" t="e">
        <f t="shared" ca="1" si="60"/>
        <v>#N/A</v>
      </c>
      <c r="AB226" t="e">
        <f t="shared" ca="1" si="54"/>
        <v>#N/A</v>
      </c>
      <c r="AC226" t="e">
        <f t="shared" ca="1" si="55"/>
        <v>#N/A</v>
      </c>
      <c r="AD226" s="83" t="e">
        <f ca="1"/>
        <v>#N/A</v>
      </c>
      <c r="AE226" s="55" t="e">
        <f t="shared" ca="1" si="61"/>
        <v>#N/A</v>
      </c>
      <c r="AF226" s="55" t="e">
        <f t="shared" ca="1" si="62"/>
        <v>#N/A</v>
      </c>
      <c r="AG226" s="55" t="e">
        <f t="shared" ca="1" si="63"/>
        <v>#N/A</v>
      </c>
      <c r="AH226" s="55" t="e">
        <f t="shared" ca="1" si="64"/>
        <v>#N/A</v>
      </c>
      <c r="AI226" s="55" t="e">
        <f ca="1">-VLOOKUP(AE226,ModelOutputs,9,FALSE)+AI225</f>
        <v>#N/A</v>
      </c>
      <c r="AJ226" s="55" t="e">
        <f ca="1">VLOOKUP(AE226,ModelOutputs,5,FALSE)+AJ225</f>
        <v>#N/A</v>
      </c>
      <c r="AK226" s="55" t="e">
        <f ca="1">VLOOKUP(AE226,ModelOutputs,4,FALSE)+AK225</f>
        <v>#N/A</v>
      </c>
    </row>
    <row r="227" spans="18:37">
      <c r="R227" s="83" t="e">
        <f ca="1"/>
        <v>#N/A</v>
      </c>
      <c r="S227" s="55" t="e">
        <f t="shared" ca="1" si="56"/>
        <v>#N/A</v>
      </c>
      <c r="T227" s="55" t="e">
        <f t="shared" ca="1" si="51"/>
        <v>#N/A</v>
      </c>
      <c r="U227" s="55" t="e">
        <f t="shared" ca="1" si="52"/>
        <v>#N/A</v>
      </c>
      <c r="V227" s="55" t="e">
        <f t="shared" ca="1" si="53"/>
        <v>#N/A</v>
      </c>
      <c r="W227" s="55" t="e">
        <f t="shared" ca="1" si="57"/>
        <v>#N/A</v>
      </c>
      <c r="X227" s="55" t="e">
        <f t="shared" ca="1" si="58"/>
        <v>#N/A</v>
      </c>
      <c r="Y227" s="55" t="e">
        <f t="shared" ca="1" si="59"/>
        <v>#N/A</v>
      </c>
      <c r="Z227" t="e">
        <f ca="1">VLOOKUP(S227,ModelOutputs,10,FALSE)*AWC</f>
        <v>#N/A</v>
      </c>
      <c r="AA227" t="e">
        <f t="shared" ca="1" si="60"/>
        <v>#N/A</v>
      </c>
      <c r="AB227" t="e">
        <f t="shared" ca="1" si="54"/>
        <v>#N/A</v>
      </c>
      <c r="AC227" t="e">
        <f t="shared" ca="1" si="55"/>
        <v>#N/A</v>
      </c>
      <c r="AD227" s="83" t="e">
        <f ca="1"/>
        <v>#N/A</v>
      </c>
      <c r="AE227" s="55" t="e">
        <f t="shared" ca="1" si="61"/>
        <v>#N/A</v>
      </c>
      <c r="AF227" s="55" t="e">
        <f t="shared" ca="1" si="62"/>
        <v>#N/A</v>
      </c>
      <c r="AG227" s="55" t="e">
        <f t="shared" ca="1" si="63"/>
        <v>#N/A</v>
      </c>
      <c r="AH227" s="55" t="e">
        <f t="shared" ca="1" si="64"/>
        <v>#N/A</v>
      </c>
      <c r="AI227" s="55" t="e">
        <f ca="1">-VLOOKUP(AE227,ModelOutputs,9,FALSE)+AI226</f>
        <v>#N/A</v>
      </c>
      <c r="AJ227" s="55" t="e">
        <f ca="1">VLOOKUP(AE227,ModelOutputs,5,FALSE)+AJ226</f>
        <v>#N/A</v>
      </c>
      <c r="AK227" s="55" t="e">
        <f ca="1">VLOOKUP(AE227,ModelOutputs,4,FALSE)+AK226</f>
        <v>#N/A</v>
      </c>
    </row>
    <row r="228" spans="18:37">
      <c r="R228" s="83" t="e">
        <f ca="1"/>
        <v>#N/A</v>
      </c>
      <c r="S228" s="55" t="e">
        <f t="shared" ca="1" si="56"/>
        <v>#N/A</v>
      </c>
      <c r="T228" s="55" t="e">
        <f t="shared" ca="1" si="51"/>
        <v>#N/A</v>
      </c>
      <c r="U228" s="55" t="e">
        <f t="shared" ca="1" si="52"/>
        <v>#N/A</v>
      </c>
      <c r="V228" s="55" t="e">
        <f t="shared" ca="1" si="53"/>
        <v>#N/A</v>
      </c>
      <c r="W228" s="55" t="e">
        <f t="shared" ca="1" si="57"/>
        <v>#N/A</v>
      </c>
      <c r="X228" s="55" t="e">
        <f t="shared" ca="1" si="58"/>
        <v>#N/A</v>
      </c>
      <c r="Y228" s="55" t="e">
        <f t="shared" ca="1" si="59"/>
        <v>#N/A</v>
      </c>
      <c r="Z228" t="e">
        <f ca="1">VLOOKUP(S228,ModelOutputs,10,FALSE)*AWC</f>
        <v>#N/A</v>
      </c>
      <c r="AA228" t="e">
        <f t="shared" ca="1" si="60"/>
        <v>#N/A</v>
      </c>
      <c r="AB228" t="e">
        <f t="shared" ca="1" si="54"/>
        <v>#N/A</v>
      </c>
      <c r="AC228" t="e">
        <f t="shared" ca="1" si="55"/>
        <v>#N/A</v>
      </c>
      <c r="AD228" s="83" t="e">
        <f ca="1"/>
        <v>#N/A</v>
      </c>
      <c r="AE228" s="55" t="e">
        <f t="shared" ca="1" si="61"/>
        <v>#N/A</v>
      </c>
      <c r="AF228" s="55" t="e">
        <f t="shared" ca="1" si="62"/>
        <v>#N/A</v>
      </c>
      <c r="AG228" s="55" t="e">
        <f t="shared" ca="1" si="63"/>
        <v>#N/A</v>
      </c>
      <c r="AH228" s="55" t="e">
        <f t="shared" ca="1" si="64"/>
        <v>#N/A</v>
      </c>
      <c r="AI228" s="55" t="e">
        <f ca="1">-VLOOKUP(AE228,ModelOutputs,9,FALSE)+AI227</f>
        <v>#N/A</v>
      </c>
      <c r="AJ228" s="55" t="e">
        <f ca="1">VLOOKUP(AE228,ModelOutputs,5,FALSE)+AJ227</f>
        <v>#N/A</v>
      </c>
      <c r="AK228" s="55" t="e">
        <f ca="1">VLOOKUP(AE228,ModelOutputs,4,FALSE)+AK227</f>
        <v>#N/A</v>
      </c>
    </row>
    <row r="229" spans="18:37">
      <c r="R229" s="83" t="e">
        <f ca="1"/>
        <v>#N/A</v>
      </c>
      <c r="S229" s="55" t="e">
        <f t="shared" ca="1" si="56"/>
        <v>#N/A</v>
      </c>
      <c r="T229" s="55" t="e">
        <f t="shared" ca="1" si="51"/>
        <v>#N/A</v>
      </c>
      <c r="U229" s="55" t="e">
        <f t="shared" ca="1" si="52"/>
        <v>#N/A</v>
      </c>
      <c r="V229" s="55" t="e">
        <f t="shared" ca="1" si="53"/>
        <v>#N/A</v>
      </c>
      <c r="W229" s="55" t="e">
        <f t="shared" ca="1" si="57"/>
        <v>#N/A</v>
      </c>
      <c r="X229" s="55" t="e">
        <f t="shared" ca="1" si="58"/>
        <v>#N/A</v>
      </c>
      <c r="Y229" s="55" t="e">
        <f t="shared" ca="1" si="59"/>
        <v>#N/A</v>
      </c>
      <c r="Z229" t="e">
        <f ca="1">VLOOKUP(S229,ModelOutputs,10,FALSE)*AWC</f>
        <v>#N/A</v>
      </c>
      <c r="AA229" t="e">
        <f t="shared" ca="1" si="60"/>
        <v>#N/A</v>
      </c>
      <c r="AB229" t="e">
        <f t="shared" ca="1" si="54"/>
        <v>#N/A</v>
      </c>
      <c r="AC229" t="e">
        <f t="shared" ca="1" si="55"/>
        <v>#N/A</v>
      </c>
      <c r="AD229" s="83" t="e">
        <f ca="1"/>
        <v>#N/A</v>
      </c>
      <c r="AE229" s="55" t="e">
        <f t="shared" ca="1" si="61"/>
        <v>#N/A</v>
      </c>
      <c r="AF229" s="55" t="e">
        <f t="shared" ca="1" si="62"/>
        <v>#N/A</v>
      </c>
      <c r="AG229" s="55" t="e">
        <f t="shared" ca="1" si="63"/>
        <v>#N/A</v>
      </c>
      <c r="AH229" s="55" t="e">
        <f t="shared" ca="1" si="64"/>
        <v>#N/A</v>
      </c>
      <c r="AI229" s="55" t="e">
        <f ca="1">-VLOOKUP(AE229,ModelOutputs,9,FALSE)+AI228</f>
        <v>#N/A</v>
      </c>
      <c r="AJ229" s="55" t="e">
        <f ca="1">VLOOKUP(AE229,ModelOutputs,5,FALSE)+AJ228</f>
        <v>#N/A</v>
      </c>
      <c r="AK229" s="55" t="e">
        <f ca="1">VLOOKUP(AE229,ModelOutputs,4,FALSE)+AK228</f>
        <v>#N/A</v>
      </c>
    </row>
    <row r="230" spans="18:37">
      <c r="R230" s="83" t="e">
        <f ca="1"/>
        <v>#N/A</v>
      </c>
      <c r="S230" s="55" t="e">
        <f t="shared" ca="1" si="56"/>
        <v>#N/A</v>
      </c>
      <c r="T230" s="55" t="e">
        <f t="shared" ca="1" si="51"/>
        <v>#N/A</v>
      </c>
      <c r="U230" s="55" t="e">
        <f t="shared" ca="1" si="52"/>
        <v>#N/A</v>
      </c>
      <c r="V230" s="55" t="e">
        <f t="shared" ca="1" si="53"/>
        <v>#N/A</v>
      </c>
      <c r="W230" s="55" t="e">
        <f t="shared" ca="1" si="57"/>
        <v>#N/A</v>
      </c>
      <c r="X230" s="55" t="e">
        <f t="shared" ca="1" si="58"/>
        <v>#N/A</v>
      </c>
      <c r="Y230" s="55" t="e">
        <f t="shared" ca="1" si="59"/>
        <v>#N/A</v>
      </c>
      <c r="Z230" t="e">
        <f ca="1">VLOOKUP(S230,ModelOutputs,10,FALSE)*AWC</f>
        <v>#N/A</v>
      </c>
      <c r="AA230" t="e">
        <f t="shared" ca="1" si="60"/>
        <v>#N/A</v>
      </c>
      <c r="AB230" t="e">
        <f t="shared" ca="1" si="54"/>
        <v>#N/A</v>
      </c>
      <c r="AC230" t="e">
        <f t="shared" ca="1" si="55"/>
        <v>#N/A</v>
      </c>
      <c r="AD230" s="83" t="e">
        <f ca="1"/>
        <v>#N/A</v>
      </c>
      <c r="AE230" s="55" t="e">
        <f t="shared" ca="1" si="61"/>
        <v>#N/A</v>
      </c>
      <c r="AF230" s="55" t="e">
        <f t="shared" ca="1" si="62"/>
        <v>#N/A</v>
      </c>
      <c r="AG230" s="55" t="e">
        <f t="shared" ca="1" si="63"/>
        <v>#N/A</v>
      </c>
      <c r="AH230" s="55" t="e">
        <f t="shared" ca="1" si="64"/>
        <v>#N/A</v>
      </c>
      <c r="AI230" s="55" t="e">
        <f ca="1">-VLOOKUP(AE230,ModelOutputs,9,FALSE)+AI229</f>
        <v>#N/A</v>
      </c>
      <c r="AJ230" s="55" t="e">
        <f ca="1">VLOOKUP(AE230,ModelOutputs,5,FALSE)+AJ229</f>
        <v>#N/A</v>
      </c>
      <c r="AK230" s="55" t="e">
        <f ca="1">VLOOKUP(AE230,ModelOutputs,4,FALSE)+AK229</f>
        <v>#N/A</v>
      </c>
    </row>
    <row r="231" spans="18:37">
      <c r="R231" s="83" t="e">
        <f ca="1"/>
        <v>#N/A</v>
      </c>
      <c r="S231" s="55" t="e">
        <f t="shared" ca="1" si="56"/>
        <v>#N/A</v>
      </c>
      <c r="T231" s="55" t="e">
        <f t="shared" ca="1" si="51"/>
        <v>#N/A</v>
      </c>
      <c r="U231" s="55" t="e">
        <f t="shared" ca="1" si="52"/>
        <v>#N/A</v>
      </c>
      <c r="V231" s="55" t="e">
        <f t="shared" ca="1" si="53"/>
        <v>#N/A</v>
      </c>
      <c r="W231" s="55" t="e">
        <f t="shared" ca="1" si="57"/>
        <v>#N/A</v>
      </c>
      <c r="X231" s="55" t="e">
        <f t="shared" ca="1" si="58"/>
        <v>#N/A</v>
      </c>
      <c r="Y231" s="55" t="e">
        <f t="shared" ca="1" si="59"/>
        <v>#N/A</v>
      </c>
      <c r="Z231" t="e">
        <f ca="1">VLOOKUP(S231,ModelOutputs,10,FALSE)*AWC</f>
        <v>#N/A</v>
      </c>
      <c r="AA231" t="e">
        <f t="shared" ca="1" si="60"/>
        <v>#N/A</v>
      </c>
      <c r="AB231" t="e">
        <f t="shared" ca="1" si="54"/>
        <v>#N/A</v>
      </c>
      <c r="AC231" t="e">
        <f t="shared" ca="1" si="55"/>
        <v>#N/A</v>
      </c>
      <c r="AD231" s="83" t="e">
        <f ca="1"/>
        <v>#N/A</v>
      </c>
      <c r="AE231" s="55" t="e">
        <f t="shared" ca="1" si="61"/>
        <v>#N/A</v>
      </c>
      <c r="AF231" s="55" t="e">
        <f t="shared" ca="1" si="62"/>
        <v>#N/A</v>
      </c>
      <c r="AG231" s="55" t="e">
        <f t="shared" ca="1" si="63"/>
        <v>#N/A</v>
      </c>
      <c r="AH231" s="55" t="e">
        <f t="shared" ca="1" si="64"/>
        <v>#N/A</v>
      </c>
      <c r="AI231" s="55" t="e">
        <f ca="1">-VLOOKUP(AE231,ModelOutputs,9,FALSE)+AI230</f>
        <v>#N/A</v>
      </c>
      <c r="AJ231" s="55" t="e">
        <f ca="1">VLOOKUP(AE231,ModelOutputs,5,FALSE)+AJ230</f>
        <v>#N/A</v>
      </c>
      <c r="AK231" s="55" t="e">
        <f ca="1">VLOOKUP(AE231,ModelOutputs,4,FALSE)+AK230</f>
        <v>#N/A</v>
      </c>
    </row>
    <row r="232" spans="18:37">
      <c r="R232" s="83" t="e">
        <f ca="1"/>
        <v>#N/A</v>
      </c>
      <c r="S232" s="55" t="e">
        <f t="shared" ca="1" si="56"/>
        <v>#N/A</v>
      </c>
      <c r="T232" s="55" t="e">
        <f t="shared" ca="1" si="51"/>
        <v>#N/A</v>
      </c>
      <c r="U232" s="55" t="e">
        <f t="shared" ca="1" si="52"/>
        <v>#N/A</v>
      </c>
      <c r="V232" s="55" t="e">
        <f t="shared" ca="1" si="53"/>
        <v>#N/A</v>
      </c>
      <c r="W232" s="55" t="e">
        <f t="shared" ca="1" si="57"/>
        <v>#N/A</v>
      </c>
      <c r="X232" s="55" t="e">
        <f t="shared" ca="1" si="58"/>
        <v>#N/A</v>
      </c>
      <c r="Y232" s="55" t="e">
        <f t="shared" ca="1" si="59"/>
        <v>#N/A</v>
      </c>
      <c r="Z232" t="e">
        <f ca="1">VLOOKUP(S232,ModelOutputs,10,FALSE)*AWC</f>
        <v>#N/A</v>
      </c>
      <c r="AA232" t="e">
        <f t="shared" ca="1" si="60"/>
        <v>#N/A</v>
      </c>
      <c r="AB232" t="e">
        <f t="shared" ca="1" si="54"/>
        <v>#N/A</v>
      </c>
      <c r="AC232" t="e">
        <f t="shared" ca="1" si="55"/>
        <v>#N/A</v>
      </c>
      <c r="AD232" s="83" t="e">
        <f ca="1"/>
        <v>#N/A</v>
      </c>
      <c r="AE232" s="55" t="e">
        <f t="shared" ca="1" si="61"/>
        <v>#N/A</v>
      </c>
      <c r="AF232" s="55" t="e">
        <f t="shared" ca="1" si="62"/>
        <v>#N/A</v>
      </c>
      <c r="AG232" s="55" t="e">
        <f t="shared" ca="1" si="63"/>
        <v>#N/A</v>
      </c>
      <c r="AH232" s="55" t="e">
        <f t="shared" ca="1" si="64"/>
        <v>#N/A</v>
      </c>
      <c r="AI232" s="55" t="e">
        <f ca="1">-VLOOKUP(AE232,ModelOutputs,9,FALSE)+AI231</f>
        <v>#N/A</v>
      </c>
      <c r="AJ232" s="55" t="e">
        <f ca="1">VLOOKUP(AE232,ModelOutputs,5,FALSE)+AJ231</f>
        <v>#N/A</v>
      </c>
      <c r="AK232" s="55" t="e">
        <f ca="1">VLOOKUP(AE232,ModelOutputs,4,FALSE)+AK231</f>
        <v>#N/A</v>
      </c>
    </row>
    <row r="233" spans="18:37">
      <c r="R233" s="83" t="e">
        <f ca="1"/>
        <v>#N/A</v>
      </c>
      <c r="S233" s="55" t="e">
        <f t="shared" ca="1" si="56"/>
        <v>#N/A</v>
      </c>
      <c r="T233" s="55" t="e">
        <f t="shared" ca="1" si="51"/>
        <v>#N/A</v>
      </c>
      <c r="U233" s="55" t="e">
        <f t="shared" ca="1" si="52"/>
        <v>#N/A</v>
      </c>
      <c r="V233" s="55" t="e">
        <f t="shared" ca="1" si="53"/>
        <v>#N/A</v>
      </c>
      <c r="W233" s="55" t="e">
        <f t="shared" ca="1" si="57"/>
        <v>#N/A</v>
      </c>
      <c r="X233" s="55" t="e">
        <f t="shared" ca="1" si="58"/>
        <v>#N/A</v>
      </c>
      <c r="Y233" s="55" t="e">
        <f t="shared" ca="1" si="59"/>
        <v>#N/A</v>
      </c>
      <c r="Z233" t="e">
        <f ca="1">VLOOKUP(S233,ModelOutputs,10,FALSE)*AWC</f>
        <v>#N/A</v>
      </c>
      <c r="AA233" t="e">
        <f t="shared" ca="1" si="60"/>
        <v>#N/A</v>
      </c>
      <c r="AB233" t="e">
        <f t="shared" ca="1" si="54"/>
        <v>#N/A</v>
      </c>
      <c r="AC233" t="e">
        <f t="shared" ca="1" si="55"/>
        <v>#N/A</v>
      </c>
      <c r="AD233" s="83" t="e">
        <f ca="1"/>
        <v>#N/A</v>
      </c>
      <c r="AE233" s="55" t="e">
        <f t="shared" ca="1" si="61"/>
        <v>#N/A</v>
      </c>
      <c r="AF233" s="55" t="e">
        <f t="shared" ca="1" si="62"/>
        <v>#N/A</v>
      </c>
      <c r="AG233" s="55" t="e">
        <f t="shared" ca="1" si="63"/>
        <v>#N/A</v>
      </c>
      <c r="AH233" s="55" t="e">
        <f t="shared" ca="1" si="64"/>
        <v>#N/A</v>
      </c>
      <c r="AI233" s="55" t="e">
        <f ca="1">-VLOOKUP(AE233,ModelOutputs,9,FALSE)+AI232</f>
        <v>#N/A</v>
      </c>
      <c r="AJ233" s="55" t="e">
        <f ca="1">VLOOKUP(AE233,ModelOutputs,5,FALSE)+AJ232</f>
        <v>#N/A</v>
      </c>
      <c r="AK233" s="55" t="e">
        <f ca="1">VLOOKUP(AE233,ModelOutputs,4,FALSE)+AK232</f>
        <v>#N/A</v>
      </c>
    </row>
    <row r="234" spans="18:37">
      <c r="R234" s="83" t="e">
        <f ca="1"/>
        <v>#N/A</v>
      </c>
      <c r="S234" s="55" t="e">
        <f t="shared" ca="1" si="56"/>
        <v>#N/A</v>
      </c>
      <c r="T234" s="55" t="e">
        <f t="shared" ca="1" si="51"/>
        <v>#N/A</v>
      </c>
      <c r="U234" s="55" t="e">
        <f t="shared" ca="1" si="52"/>
        <v>#N/A</v>
      </c>
      <c r="V234" s="55" t="e">
        <f t="shared" ca="1" si="53"/>
        <v>#N/A</v>
      </c>
      <c r="W234" s="55" t="e">
        <f t="shared" ca="1" si="57"/>
        <v>#N/A</v>
      </c>
      <c r="X234" s="55" t="e">
        <f t="shared" ca="1" si="58"/>
        <v>#N/A</v>
      </c>
      <c r="Y234" s="55" t="e">
        <f t="shared" ca="1" si="59"/>
        <v>#N/A</v>
      </c>
      <c r="Z234" t="e">
        <f ca="1">VLOOKUP(S234,ModelOutputs,10,FALSE)*AWC</f>
        <v>#N/A</v>
      </c>
      <c r="AA234" t="e">
        <f t="shared" ca="1" si="60"/>
        <v>#N/A</v>
      </c>
      <c r="AB234" t="e">
        <f t="shared" ca="1" si="54"/>
        <v>#N/A</v>
      </c>
      <c r="AC234" t="e">
        <f t="shared" ca="1" si="55"/>
        <v>#N/A</v>
      </c>
      <c r="AD234" s="83" t="e">
        <f ca="1"/>
        <v>#N/A</v>
      </c>
      <c r="AE234" s="55" t="e">
        <f t="shared" ca="1" si="61"/>
        <v>#N/A</v>
      </c>
      <c r="AF234" s="55" t="e">
        <f t="shared" ca="1" si="62"/>
        <v>#N/A</v>
      </c>
      <c r="AG234" s="55" t="e">
        <f t="shared" ca="1" si="63"/>
        <v>#N/A</v>
      </c>
      <c r="AH234" s="55" t="e">
        <f t="shared" ca="1" si="64"/>
        <v>#N/A</v>
      </c>
      <c r="AI234" s="55" t="e">
        <f ca="1">-VLOOKUP(AE234,ModelOutputs,9,FALSE)+AI233</f>
        <v>#N/A</v>
      </c>
      <c r="AJ234" s="55" t="e">
        <f ca="1">VLOOKUP(AE234,ModelOutputs,5,FALSE)+AJ233</f>
        <v>#N/A</v>
      </c>
      <c r="AK234" s="55" t="e">
        <f ca="1">VLOOKUP(AE234,ModelOutputs,4,FALSE)+AK233</f>
        <v>#N/A</v>
      </c>
    </row>
    <row r="235" spans="18:37">
      <c r="R235" s="83" t="e">
        <f ca="1"/>
        <v>#N/A</v>
      </c>
      <c r="S235" s="55" t="e">
        <f t="shared" ca="1" si="56"/>
        <v>#N/A</v>
      </c>
      <c r="T235" s="55" t="e">
        <f t="shared" ca="1" si="51"/>
        <v>#N/A</v>
      </c>
      <c r="U235" s="55" t="e">
        <f t="shared" ca="1" si="52"/>
        <v>#N/A</v>
      </c>
      <c r="V235" s="55" t="e">
        <f t="shared" ca="1" si="53"/>
        <v>#N/A</v>
      </c>
      <c r="W235" s="55" t="e">
        <f t="shared" ca="1" si="57"/>
        <v>#N/A</v>
      </c>
      <c r="X235" s="55" t="e">
        <f t="shared" ca="1" si="58"/>
        <v>#N/A</v>
      </c>
      <c r="Y235" s="55" t="e">
        <f t="shared" ca="1" si="59"/>
        <v>#N/A</v>
      </c>
      <c r="Z235" t="e">
        <f ca="1">VLOOKUP(S235,ModelOutputs,10,FALSE)*AWC</f>
        <v>#N/A</v>
      </c>
      <c r="AA235" t="e">
        <f t="shared" ca="1" si="60"/>
        <v>#N/A</v>
      </c>
      <c r="AB235" t="e">
        <f t="shared" ca="1" si="54"/>
        <v>#N/A</v>
      </c>
      <c r="AC235" t="e">
        <f t="shared" ca="1" si="55"/>
        <v>#N/A</v>
      </c>
      <c r="AD235" s="83" t="e">
        <f ca="1"/>
        <v>#N/A</v>
      </c>
      <c r="AE235" s="55" t="e">
        <f t="shared" ca="1" si="61"/>
        <v>#N/A</v>
      </c>
      <c r="AF235" s="55" t="e">
        <f t="shared" ca="1" si="62"/>
        <v>#N/A</v>
      </c>
      <c r="AG235" s="55" t="e">
        <f t="shared" ca="1" si="63"/>
        <v>#N/A</v>
      </c>
      <c r="AH235" s="55" t="e">
        <f t="shared" ca="1" si="64"/>
        <v>#N/A</v>
      </c>
      <c r="AI235" s="55" t="e">
        <f ca="1">-VLOOKUP(AE235,ModelOutputs,9,FALSE)+AI234</f>
        <v>#N/A</v>
      </c>
      <c r="AJ235" s="55" t="e">
        <f ca="1">VLOOKUP(AE235,ModelOutputs,5,FALSE)+AJ234</f>
        <v>#N/A</v>
      </c>
      <c r="AK235" s="55" t="e">
        <f ca="1">VLOOKUP(AE235,ModelOutputs,4,FALSE)+AK234</f>
        <v>#N/A</v>
      </c>
    </row>
    <row r="236" spans="18:37">
      <c r="R236" s="83" t="e">
        <f ca="1"/>
        <v>#N/A</v>
      </c>
      <c r="S236" s="55" t="e">
        <f t="shared" ca="1" si="56"/>
        <v>#N/A</v>
      </c>
      <c r="T236" s="55" t="e">
        <f t="shared" ca="1" si="51"/>
        <v>#N/A</v>
      </c>
      <c r="U236" s="55" t="e">
        <f t="shared" ca="1" si="52"/>
        <v>#N/A</v>
      </c>
      <c r="V236" s="55" t="e">
        <f t="shared" ca="1" si="53"/>
        <v>#N/A</v>
      </c>
      <c r="W236" s="55" t="e">
        <f t="shared" ca="1" si="57"/>
        <v>#N/A</v>
      </c>
      <c r="X236" s="55" t="e">
        <f t="shared" ca="1" si="58"/>
        <v>#N/A</v>
      </c>
      <c r="Y236" s="55" t="e">
        <f t="shared" ca="1" si="59"/>
        <v>#N/A</v>
      </c>
      <c r="Z236" t="e">
        <f ca="1">VLOOKUP(S236,ModelOutputs,10,FALSE)*AWC</f>
        <v>#N/A</v>
      </c>
      <c r="AA236" t="e">
        <f t="shared" ca="1" si="60"/>
        <v>#N/A</v>
      </c>
      <c r="AB236" t="e">
        <f t="shared" ca="1" si="54"/>
        <v>#N/A</v>
      </c>
      <c r="AC236" t="e">
        <f t="shared" ca="1" si="55"/>
        <v>#N/A</v>
      </c>
      <c r="AD236" s="83" t="e">
        <f ca="1"/>
        <v>#N/A</v>
      </c>
      <c r="AE236" s="55" t="e">
        <f t="shared" ca="1" si="61"/>
        <v>#N/A</v>
      </c>
      <c r="AF236" s="55" t="e">
        <f t="shared" ca="1" si="62"/>
        <v>#N/A</v>
      </c>
      <c r="AG236" s="55" t="e">
        <f t="shared" ca="1" si="63"/>
        <v>#N/A</v>
      </c>
      <c r="AH236" s="55" t="e">
        <f t="shared" ca="1" si="64"/>
        <v>#N/A</v>
      </c>
      <c r="AI236" s="55" t="e">
        <f ca="1">-VLOOKUP(AE236,ModelOutputs,9,FALSE)+AI235</f>
        <v>#N/A</v>
      </c>
      <c r="AJ236" s="55" t="e">
        <f ca="1">VLOOKUP(AE236,ModelOutputs,5,FALSE)+AJ235</f>
        <v>#N/A</v>
      </c>
      <c r="AK236" s="55" t="e">
        <f ca="1">VLOOKUP(AE236,ModelOutputs,4,FALSE)+AK235</f>
        <v>#N/A</v>
      </c>
    </row>
    <row r="237" spans="18:37">
      <c r="R237" s="83" t="e">
        <f ca="1"/>
        <v>#N/A</v>
      </c>
      <c r="S237" s="55" t="e">
        <f t="shared" ca="1" si="56"/>
        <v>#N/A</v>
      </c>
      <c r="T237" s="55" t="e">
        <f t="shared" ca="1" si="51"/>
        <v>#N/A</v>
      </c>
      <c r="U237" s="55" t="e">
        <f t="shared" ca="1" si="52"/>
        <v>#N/A</v>
      </c>
      <c r="V237" s="55" t="e">
        <f t="shared" ca="1" si="53"/>
        <v>#N/A</v>
      </c>
      <c r="W237" s="55" t="e">
        <f t="shared" ca="1" si="57"/>
        <v>#N/A</v>
      </c>
      <c r="X237" s="55" t="e">
        <f t="shared" ca="1" si="58"/>
        <v>#N/A</v>
      </c>
      <c r="Y237" s="55" t="e">
        <f t="shared" ca="1" si="59"/>
        <v>#N/A</v>
      </c>
      <c r="Z237" t="e">
        <f ca="1">VLOOKUP(S237,ModelOutputs,10,FALSE)*AWC</f>
        <v>#N/A</v>
      </c>
      <c r="AA237" t="e">
        <f t="shared" ca="1" si="60"/>
        <v>#N/A</v>
      </c>
      <c r="AB237" t="e">
        <f t="shared" ca="1" si="54"/>
        <v>#N/A</v>
      </c>
      <c r="AC237" t="e">
        <f t="shared" ca="1" si="55"/>
        <v>#N/A</v>
      </c>
      <c r="AD237" s="83" t="e">
        <f ca="1"/>
        <v>#N/A</v>
      </c>
      <c r="AE237" s="55" t="e">
        <f t="shared" ca="1" si="61"/>
        <v>#N/A</v>
      </c>
      <c r="AF237" s="55" t="e">
        <f t="shared" ca="1" si="62"/>
        <v>#N/A</v>
      </c>
      <c r="AG237" s="55" t="e">
        <f t="shared" ca="1" si="63"/>
        <v>#N/A</v>
      </c>
      <c r="AH237" s="55" t="e">
        <f t="shared" ca="1" si="64"/>
        <v>#N/A</v>
      </c>
      <c r="AI237" s="55" t="e">
        <f ca="1">-VLOOKUP(AE237,ModelOutputs,9,FALSE)+AI236</f>
        <v>#N/A</v>
      </c>
      <c r="AJ237" s="55" t="e">
        <f ca="1">VLOOKUP(AE237,ModelOutputs,5,FALSE)+AJ236</f>
        <v>#N/A</v>
      </c>
      <c r="AK237" s="55" t="e">
        <f ca="1">VLOOKUP(AE237,ModelOutputs,4,FALSE)+AK236</f>
        <v>#N/A</v>
      </c>
    </row>
    <row r="238" spans="18:37">
      <c r="R238" s="83" t="e">
        <f ca="1"/>
        <v>#N/A</v>
      </c>
      <c r="S238" s="55" t="e">
        <f t="shared" ca="1" si="56"/>
        <v>#N/A</v>
      </c>
      <c r="T238" s="55" t="e">
        <f t="shared" ca="1" si="51"/>
        <v>#N/A</v>
      </c>
      <c r="U238" s="55" t="e">
        <f t="shared" ca="1" si="52"/>
        <v>#N/A</v>
      </c>
      <c r="V238" s="55" t="e">
        <f t="shared" ca="1" si="53"/>
        <v>#N/A</v>
      </c>
      <c r="W238" s="55" t="e">
        <f t="shared" ca="1" si="57"/>
        <v>#N/A</v>
      </c>
      <c r="X238" s="55" t="e">
        <f t="shared" ca="1" si="58"/>
        <v>#N/A</v>
      </c>
      <c r="Y238" s="55" t="e">
        <f t="shared" ca="1" si="59"/>
        <v>#N/A</v>
      </c>
      <c r="Z238" t="e">
        <f ca="1">VLOOKUP(S238,ModelOutputs,10,FALSE)*AWC</f>
        <v>#N/A</v>
      </c>
      <c r="AA238" t="e">
        <f t="shared" ca="1" si="60"/>
        <v>#N/A</v>
      </c>
      <c r="AB238" t="e">
        <f t="shared" ca="1" si="54"/>
        <v>#N/A</v>
      </c>
      <c r="AC238" t="e">
        <f t="shared" ca="1" si="55"/>
        <v>#N/A</v>
      </c>
      <c r="AD238" s="83" t="e">
        <f ca="1"/>
        <v>#N/A</v>
      </c>
      <c r="AE238" s="55" t="e">
        <f t="shared" ca="1" si="61"/>
        <v>#N/A</v>
      </c>
      <c r="AF238" s="55" t="e">
        <f t="shared" ca="1" si="62"/>
        <v>#N/A</v>
      </c>
      <c r="AG238" s="55" t="e">
        <f t="shared" ca="1" si="63"/>
        <v>#N/A</v>
      </c>
      <c r="AH238" s="55" t="e">
        <f t="shared" ca="1" si="64"/>
        <v>#N/A</v>
      </c>
      <c r="AI238" s="55" t="e">
        <f ca="1">-VLOOKUP(AE238,ModelOutputs,9,FALSE)+AI237</f>
        <v>#N/A</v>
      </c>
      <c r="AJ238" s="55" t="e">
        <f ca="1">VLOOKUP(AE238,ModelOutputs,5,FALSE)+AJ237</f>
        <v>#N/A</v>
      </c>
      <c r="AK238" s="55" t="e">
        <f ca="1">VLOOKUP(AE238,ModelOutputs,4,FALSE)+AK237</f>
        <v>#N/A</v>
      </c>
    </row>
    <row r="239" spans="18:37">
      <c r="R239" s="83" t="e">
        <f ca="1"/>
        <v>#N/A</v>
      </c>
      <c r="S239" s="55" t="e">
        <f t="shared" ca="1" si="56"/>
        <v>#N/A</v>
      </c>
      <c r="T239" s="55" t="e">
        <f t="shared" ca="1" si="51"/>
        <v>#N/A</v>
      </c>
      <c r="U239" s="55" t="e">
        <f t="shared" ca="1" si="52"/>
        <v>#N/A</v>
      </c>
      <c r="V239" s="55" t="e">
        <f t="shared" ca="1" si="53"/>
        <v>#N/A</v>
      </c>
      <c r="W239" s="55" t="e">
        <f t="shared" ca="1" si="57"/>
        <v>#N/A</v>
      </c>
      <c r="X239" s="55" t="e">
        <f t="shared" ca="1" si="58"/>
        <v>#N/A</v>
      </c>
      <c r="Y239" s="55" t="e">
        <f t="shared" ca="1" si="59"/>
        <v>#N/A</v>
      </c>
      <c r="Z239" t="e">
        <f ca="1">VLOOKUP(S239,ModelOutputs,10,FALSE)*AWC</f>
        <v>#N/A</v>
      </c>
      <c r="AA239" t="e">
        <f t="shared" ca="1" si="60"/>
        <v>#N/A</v>
      </c>
      <c r="AB239" t="e">
        <f t="shared" ca="1" si="54"/>
        <v>#N/A</v>
      </c>
      <c r="AC239" t="e">
        <f t="shared" ca="1" si="55"/>
        <v>#N/A</v>
      </c>
      <c r="AD239" s="83" t="e">
        <f ca="1"/>
        <v>#N/A</v>
      </c>
      <c r="AE239" s="55" t="e">
        <f t="shared" ca="1" si="61"/>
        <v>#N/A</v>
      </c>
      <c r="AF239" s="55" t="e">
        <f t="shared" ca="1" si="62"/>
        <v>#N/A</v>
      </c>
      <c r="AG239" s="55" t="e">
        <f t="shared" ca="1" si="63"/>
        <v>#N/A</v>
      </c>
      <c r="AH239" s="55" t="e">
        <f t="shared" ca="1" si="64"/>
        <v>#N/A</v>
      </c>
      <c r="AI239" s="55" t="e">
        <f ca="1">-VLOOKUP(AE239,ModelOutputs,9,FALSE)+AI238</f>
        <v>#N/A</v>
      </c>
      <c r="AJ239" s="55" t="e">
        <f ca="1">VLOOKUP(AE239,ModelOutputs,5,FALSE)+AJ238</f>
        <v>#N/A</v>
      </c>
      <c r="AK239" s="55" t="e">
        <f ca="1">VLOOKUP(AE239,ModelOutputs,4,FALSE)+AK238</f>
        <v>#N/A</v>
      </c>
    </row>
    <row r="240" spans="18:37">
      <c r="R240" s="83" t="e">
        <f ca="1"/>
        <v>#N/A</v>
      </c>
      <c r="S240" s="55" t="e">
        <f t="shared" ca="1" si="56"/>
        <v>#N/A</v>
      </c>
      <c r="T240" s="55" t="e">
        <f t="shared" ca="1" si="51"/>
        <v>#N/A</v>
      </c>
      <c r="U240" s="55" t="e">
        <f t="shared" ca="1" si="52"/>
        <v>#N/A</v>
      </c>
      <c r="V240" s="55" t="e">
        <f t="shared" ca="1" si="53"/>
        <v>#N/A</v>
      </c>
      <c r="W240" s="55" t="e">
        <f t="shared" ca="1" si="57"/>
        <v>#N/A</v>
      </c>
      <c r="X240" s="55" t="e">
        <f t="shared" ca="1" si="58"/>
        <v>#N/A</v>
      </c>
      <c r="Y240" s="55" t="e">
        <f t="shared" ca="1" si="59"/>
        <v>#N/A</v>
      </c>
      <c r="Z240" t="e">
        <f ca="1">VLOOKUP(S240,ModelOutputs,10,FALSE)*AWC</f>
        <v>#N/A</v>
      </c>
      <c r="AA240" t="e">
        <f t="shared" ca="1" si="60"/>
        <v>#N/A</v>
      </c>
      <c r="AB240" t="e">
        <f t="shared" ca="1" si="54"/>
        <v>#N/A</v>
      </c>
      <c r="AC240" t="e">
        <f t="shared" ca="1" si="55"/>
        <v>#N/A</v>
      </c>
      <c r="AD240" s="83" t="e">
        <f ca="1"/>
        <v>#N/A</v>
      </c>
      <c r="AE240" s="55" t="e">
        <f t="shared" ca="1" si="61"/>
        <v>#N/A</v>
      </c>
      <c r="AF240" s="55" t="e">
        <f t="shared" ca="1" si="62"/>
        <v>#N/A</v>
      </c>
      <c r="AG240" s="55" t="e">
        <f t="shared" ca="1" si="63"/>
        <v>#N/A</v>
      </c>
      <c r="AH240" s="55" t="e">
        <f t="shared" ca="1" si="64"/>
        <v>#N/A</v>
      </c>
      <c r="AI240" s="55" t="e">
        <f ca="1">-VLOOKUP(AE240,ModelOutputs,9,FALSE)+AI239</f>
        <v>#N/A</v>
      </c>
      <c r="AJ240" s="55" t="e">
        <f ca="1">VLOOKUP(AE240,ModelOutputs,5,FALSE)+AJ239</f>
        <v>#N/A</v>
      </c>
      <c r="AK240" s="55" t="e">
        <f ca="1">VLOOKUP(AE240,ModelOutputs,4,FALSE)+AK239</f>
        <v>#N/A</v>
      </c>
    </row>
    <row r="241" spans="18:37">
      <c r="R241" s="83" t="e">
        <f ca="1"/>
        <v>#N/A</v>
      </c>
      <c r="S241" s="55" t="e">
        <f t="shared" ca="1" si="56"/>
        <v>#N/A</v>
      </c>
      <c r="T241" s="55" t="e">
        <f t="shared" ca="1" si="51"/>
        <v>#N/A</v>
      </c>
      <c r="U241" s="55" t="e">
        <f t="shared" ca="1" si="52"/>
        <v>#N/A</v>
      </c>
      <c r="V241" s="55" t="e">
        <f t="shared" ca="1" si="53"/>
        <v>#N/A</v>
      </c>
      <c r="W241" s="55" t="e">
        <f t="shared" ca="1" si="57"/>
        <v>#N/A</v>
      </c>
      <c r="X241" s="55" t="e">
        <f t="shared" ca="1" si="58"/>
        <v>#N/A</v>
      </c>
      <c r="Y241" s="55" t="e">
        <f t="shared" ca="1" si="59"/>
        <v>#N/A</v>
      </c>
      <c r="Z241" t="e">
        <f ca="1">VLOOKUP(S241,ModelOutputs,10,FALSE)*AWC</f>
        <v>#N/A</v>
      </c>
      <c r="AA241" t="e">
        <f t="shared" ca="1" si="60"/>
        <v>#N/A</v>
      </c>
      <c r="AB241" t="e">
        <f t="shared" ca="1" si="54"/>
        <v>#N/A</v>
      </c>
      <c r="AC241" t="e">
        <f t="shared" ca="1" si="55"/>
        <v>#N/A</v>
      </c>
      <c r="AD241" s="83" t="e">
        <f ca="1"/>
        <v>#N/A</v>
      </c>
      <c r="AE241" s="55" t="e">
        <f t="shared" ca="1" si="61"/>
        <v>#N/A</v>
      </c>
      <c r="AF241" s="55" t="e">
        <f t="shared" ca="1" si="62"/>
        <v>#N/A</v>
      </c>
      <c r="AG241" s="55" t="e">
        <f t="shared" ca="1" si="63"/>
        <v>#N/A</v>
      </c>
      <c r="AH241" s="55" t="e">
        <f t="shared" ca="1" si="64"/>
        <v>#N/A</v>
      </c>
      <c r="AI241" s="55" t="e">
        <f ca="1">-VLOOKUP(AE241,ModelOutputs,9,FALSE)+AI240</f>
        <v>#N/A</v>
      </c>
      <c r="AJ241" s="55" t="e">
        <f ca="1">VLOOKUP(AE241,ModelOutputs,5,FALSE)+AJ240</f>
        <v>#N/A</v>
      </c>
      <c r="AK241" s="55" t="e">
        <f ca="1">VLOOKUP(AE241,ModelOutputs,4,FALSE)+AK240</f>
        <v>#N/A</v>
      </c>
    </row>
    <row r="242" spans="18:37">
      <c r="R242" s="83" t="e">
        <f ca="1"/>
        <v>#N/A</v>
      </c>
      <c r="S242" s="55" t="e">
        <f t="shared" ca="1" si="56"/>
        <v>#N/A</v>
      </c>
      <c r="T242" s="55" t="e">
        <f t="shared" ca="1" si="51"/>
        <v>#N/A</v>
      </c>
      <c r="U242" s="55" t="e">
        <f t="shared" ca="1" si="52"/>
        <v>#N/A</v>
      </c>
      <c r="V242" s="55" t="e">
        <f t="shared" ca="1" si="53"/>
        <v>#N/A</v>
      </c>
      <c r="W242" s="55" t="e">
        <f t="shared" ca="1" si="57"/>
        <v>#N/A</v>
      </c>
      <c r="X242" s="55" t="e">
        <f t="shared" ca="1" si="58"/>
        <v>#N/A</v>
      </c>
      <c r="Y242" s="55" t="e">
        <f t="shared" ca="1" si="59"/>
        <v>#N/A</v>
      </c>
      <c r="Z242" t="e">
        <f ca="1">VLOOKUP(S242,ModelOutputs,10,FALSE)*AWC</f>
        <v>#N/A</v>
      </c>
      <c r="AA242" t="e">
        <f t="shared" ca="1" si="60"/>
        <v>#N/A</v>
      </c>
      <c r="AB242" t="e">
        <f t="shared" ca="1" si="54"/>
        <v>#N/A</v>
      </c>
      <c r="AC242" t="e">
        <f t="shared" ca="1" si="55"/>
        <v>#N/A</v>
      </c>
      <c r="AD242" s="83" t="e">
        <f ca="1"/>
        <v>#N/A</v>
      </c>
      <c r="AE242" s="55" t="e">
        <f t="shared" ca="1" si="61"/>
        <v>#N/A</v>
      </c>
      <c r="AF242" s="55" t="e">
        <f t="shared" ca="1" si="62"/>
        <v>#N/A</v>
      </c>
      <c r="AG242" s="55" t="e">
        <f t="shared" ca="1" si="63"/>
        <v>#N/A</v>
      </c>
      <c r="AH242" s="55" t="e">
        <f t="shared" ca="1" si="64"/>
        <v>#N/A</v>
      </c>
      <c r="AI242" s="55" t="e">
        <f ca="1">-VLOOKUP(AE242,ModelOutputs,9,FALSE)+AI241</f>
        <v>#N/A</v>
      </c>
      <c r="AJ242" s="55" t="e">
        <f ca="1">VLOOKUP(AE242,ModelOutputs,5,FALSE)+AJ241</f>
        <v>#N/A</v>
      </c>
      <c r="AK242" s="55" t="e">
        <f ca="1">VLOOKUP(AE242,ModelOutputs,4,FALSE)+AK241</f>
        <v>#N/A</v>
      </c>
    </row>
    <row r="243" spans="18:37">
      <c r="R243" s="83" t="e">
        <f ca="1"/>
        <v>#N/A</v>
      </c>
      <c r="S243" s="55" t="e">
        <f t="shared" ca="1" si="56"/>
        <v>#N/A</v>
      </c>
      <c r="T243" s="55" t="e">
        <f t="shared" ca="1" si="51"/>
        <v>#N/A</v>
      </c>
      <c r="U243" s="55" t="e">
        <f t="shared" ca="1" si="52"/>
        <v>#N/A</v>
      </c>
      <c r="V243" s="55" t="e">
        <f t="shared" ca="1" si="53"/>
        <v>#N/A</v>
      </c>
      <c r="W243" s="55" t="e">
        <f t="shared" ca="1" si="57"/>
        <v>#N/A</v>
      </c>
      <c r="X243" s="55" t="e">
        <f t="shared" ca="1" si="58"/>
        <v>#N/A</v>
      </c>
      <c r="Y243" s="55" t="e">
        <f t="shared" ca="1" si="59"/>
        <v>#N/A</v>
      </c>
      <c r="Z243" t="e">
        <f ca="1">VLOOKUP(S243,ModelOutputs,10,FALSE)*AWC</f>
        <v>#N/A</v>
      </c>
      <c r="AA243" t="e">
        <f t="shared" ca="1" si="60"/>
        <v>#N/A</v>
      </c>
      <c r="AB243" t="e">
        <f t="shared" ca="1" si="54"/>
        <v>#N/A</v>
      </c>
      <c r="AC243" t="e">
        <f t="shared" ca="1" si="55"/>
        <v>#N/A</v>
      </c>
      <c r="AD243" s="83" t="e">
        <f ca="1"/>
        <v>#N/A</v>
      </c>
      <c r="AE243" s="55" t="e">
        <f t="shared" ca="1" si="61"/>
        <v>#N/A</v>
      </c>
      <c r="AF243" s="55" t="e">
        <f t="shared" ca="1" si="62"/>
        <v>#N/A</v>
      </c>
      <c r="AG243" s="55" t="e">
        <f t="shared" ca="1" si="63"/>
        <v>#N/A</v>
      </c>
      <c r="AH243" s="55" t="e">
        <f t="shared" ca="1" si="64"/>
        <v>#N/A</v>
      </c>
      <c r="AI243" s="55" t="e">
        <f ca="1">-VLOOKUP(AE243,ModelOutputs,9,FALSE)+AI242</f>
        <v>#N/A</v>
      </c>
      <c r="AJ243" s="55" t="e">
        <f ca="1">VLOOKUP(AE243,ModelOutputs,5,FALSE)+AJ242</f>
        <v>#N/A</v>
      </c>
      <c r="AK243" s="55" t="e">
        <f ca="1">VLOOKUP(AE243,ModelOutputs,4,FALSE)+AK242</f>
        <v>#N/A</v>
      </c>
    </row>
    <row r="244" spans="18:37">
      <c r="R244" s="83" t="e">
        <f ca="1"/>
        <v>#N/A</v>
      </c>
      <c r="S244" s="55" t="e">
        <f t="shared" ca="1" si="56"/>
        <v>#N/A</v>
      </c>
      <c r="T244" s="55" t="e">
        <f t="shared" ca="1" si="51"/>
        <v>#N/A</v>
      </c>
      <c r="U244" s="55" t="e">
        <f t="shared" ca="1" si="52"/>
        <v>#N/A</v>
      </c>
      <c r="V244" s="55" t="e">
        <f t="shared" ca="1" si="53"/>
        <v>#N/A</v>
      </c>
      <c r="W244" s="55" t="e">
        <f t="shared" ca="1" si="57"/>
        <v>#N/A</v>
      </c>
      <c r="X244" s="55" t="e">
        <f t="shared" ca="1" si="58"/>
        <v>#N/A</v>
      </c>
      <c r="Y244" s="55" t="e">
        <f t="shared" ca="1" si="59"/>
        <v>#N/A</v>
      </c>
      <c r="Z244" t="e">
        <f ca="1">VLOOKUP(S244,ModelOutputs,10,FALSE)*AWC</f>
        <v>#N/A</v>
      </c>
      <c r="AA244" t="e">
        <f t="shared" ca="1" si="60"/>
        <v>#N/A</v>
      </c>
      <c r="AB244" t="e">
        <f t="shared" ca="1" si="54"/>
        <v>#N/A</v>
      </c>
      <c r="AC244" t="e">
        <f t="shared" ca="1" si="55"/>
        <v>#N/A</v>
      </c>
      <c r="AD244" s="83" t="e">
        <f ca="1"/>
        <v>#N/A</v>
      </c>
      <c r="AE244" s="55" t="e">
        <f t="shared" ca="1" si="61"/>
        <v>#N/A</v>
      </c>
      <c r="AF244" s="55" t="e">
        <f t="shared" ca="1" si="62"/>
        <v>#N/A</v>
      </c>
      <c r="AG244" s="55" t="e">
        <f t="shared" ca="1" si="63"/>
        <v>#N/A</v>
      </c>
      <c r="AH244" s="55" t="e">
        <f t="shared" ca="1" si="64"/>
        <v>#N/A</v>
      </c>
      <c r="AI244" s="55" t="e">
        <f ca="1">-VLOOKUP(AE244,ModelOutputs,9,FALSE)+AI243</f>
        <v>#N/A</v>
      </c>
      <c r="AJ244" s="55" t="e">
        <f ca="1">VLOOKUP(AE244,ModelOutputs,5,FALSE)+AJ243</f>
        <v>#N/A</v>
      </c>
      <c r="AK244" s="55" t="e">
        <f ca="1">VLOOKUP(AE244,ModelOutputs,4,FALSE)+AK243</f>
        <v>#N/A</v>
      </c>
    </row>
    <row r="245" spans="18:37">
      <c r="R245" s="83" t="e">
        <f ca="1"/>
        <v>#N/A</v>
      </c>
      <c r="S245" s="55" t="e">
        <f t="shared" ca="1" si="56"/>
        <v>#N/A</v>
      </c>
      <c r="T245" s="55" t="e">
        <f t="shared" ca="1" si="51"/>
        <v>#N/A</v>
      </c>
      <c r="U245" s="55" t="e">
        <f t="shared" ca="1" si="52"/>
        <v>#N/A</v>
      </c>
      <c r="V245" s="55" t="e">
        <f t="shared" ca="1" si="53"/>
        <v>#N/A</v>
      </c>
      <c r="W245" s="55" t="e">
        <f t="shared" ca="1" si="57"/>
        <v>#N/A</v>
      </c>
      <c r="X245" s="55" t="e">
        <f t="shared" ca="1" si="58"/>
        <v>#N/A</v>
      </c>
      <c r="Y245" s="55" t="e">
        <f t="shared" ca="1" si="59"/>
        <v>#N/A</v>
      </c>
      <c r="Z245" t="e">
        <f ca="1">VLOOKUP(S245,ModelOutputs,10,FALSE)*AWC</f>
        <v>#N/A</v>
      </c>
      <c r="AA245" t="e">
        <f t="shared" ca="1" si="60"/>
        <v>#N/A</v>
      </c>
      <c r="AB245" t="e">
        <f t="shared" ca="1" si="54"/>
        <v>#N/A</v>
      </c>
      <c r="AC245" t="e">
        <f t="shared" ca="1" si="55"/>
        <v>#N/A</v>
      </c>
      <c r="AD245" s="83" t="e">
        <f ca="1"/>
        <v>#N/A</v>
      </c>
      <c r="AE245" s="55" t="e">
        <f t="shared" ca="1" si="61"/>
        <v>#N/A</v>
      </c>
      <c r="AF245" s="55" t="e">
        <f t="shared" ca="1" si="62"/>
        <v>#N/A</v>
      </c>
      <c r="AG245" s="55" t="e">
        <f t="shared" ca="1" si="63"/>
        <v>#N/A</v>
      </c>
      <c r="AH245" s="55" t="e">
        <f t="shared" ca="1" si="64"/>
        <v>#N/A</v>
      </c>
      <c r="AI245" s="55" t="e">
        <f ca="1">-VLOOKUP(AE245,ModelOutputs,9,FALSE)+AI244</f>
        <v>#N/A</v>
      </c>
      <c r="AJ245" s="55" t="e">
        <f ca="1">VLOOKUP(AE245,ModelOutputs,5,FALSE)+AJ244</f>
        <v>#N/A</v>
      </c>
      <c r="AK245" s="55" t="e">
        <f ca="1">VLOOKUP(AE245,ModelOutputs,4,FALSE)+AK244</f>
        <v>#N/A</v>
      </c>
    </row>
    <row r="246" spans="18:37">
      <c r="R246" s="83" t="e">
        <f ca="1"/>
        <v>#N/A</v>
      </c>
      <c r="S246" s="55" t="e">
        <f t="shared" ca="1" si="56"/>
        <v>#N/A</v>
      </c>
      <c r="T246" s="55" t="e">
        <f t="shared" ca="1" si="51"/>
        <v>#N/A</v>
      </c>
      <c r="U246" s="55" t="e">
        <f t="shared" ca="1" si="52"/>
        <v>#N/A</v>
      </c>
      <c r="V246" s="55" t="e">
        <f t="shared" ca="1" si="53"/>
        <v>#N/A</v>
      </c>
      <c r="W246" s="55" t="e">
        <f t="shared" ca="1" si="57"/>
        <v>#N/A</v>
      </c>
      <c r="X246" s="55" t="e">
        <f t="shared" ca="1" si="58"/>
        <v>#N/A</v>
      </c>
      <c r="Y246" s="55" t="e">
        <f t="shared" ca="1" si="59"/>
        <v>#N/A</v>
      </c>
      <c r="Z246" t="e">
        <f ca="1">VLOOKUP(S246,ModelOutputs,10,FALSE)*AWC</f>
        <v>#N/A</v>
      </c>
      <c r="AA246" t="e">
        <f t="shared" ca="1" si="60"/>
        <v>#N/A</v>
      </c>
      <c r="AB246" t="e">
        <f t="shared" ca="1" si="54"/>
        <v>#N/A</v>
      </c>
      <c r="AC246" t="e">
        <f t="shared" ca="1" si="55"/>
        <v>#N/A</v>
      </c>
      <c r="AD246" s="83" t="e">
        <f ca="1"/>
        <v>#N/A</v>
      </c>
      <c r="AE246" s="55" t="e">
        <f t="shared" ca="1" si="61"/>
        <v>#N/A</v>
      </c>
      <c r="AF246" s="55" t="e">
        <f t="shared" ca="1" si="62"/>
        <v>#N/A</v>
      </c>
      <c r="AG246" s="55" t="e">
        <f t="shared" ca="1" si="63"/>
        <v>#N/A</v>
      </c>
      <c r="AH246" s="55" t="e">
        <f t="shared" ca="1" si="64"/>
        <v>#N/A</v>
      </c>
      <c r="AI246" s="55" t="e">
        <f ca="1">-VLOOKUP(AE246,ModelOutputs,9,FALSE)+AI245</f>
        <v>#N/A</v>
      </c>
      <c r="AJ246" s="55" t="e">
        <f ca="1">VLOOKUP(AE246,ModelOutputs,5,FALSE)+AJ245</f>
        <v>#N/A</v>
      </c>
      <c r="AK246" s="55" t="e">
        <f ca="1">VLOOKUP(AE246,ModelOutputs,4,FALSE)+AK245</f>
        <v>#N/A</v>
      </c>
    </row>
    <row r="247" spans="18:37">
      <c r="R247" s="83" t="e">
        <f ca="1"/>
        <v>#N/A</v>
      </c>
      <c r="S247" s="55" t="e">
        <f t="shared" ca="1" si="56"/>
        <v>#N/A</v>
      </c>
      <c r="T247" s="55" t="e">
        <f t="shared" ca="1" si="51"/>
        <v>#N/A</v>
      </c>
      <c r="U247" s="55" t="e">
        <f t="shared" ca="1" si="52"/>
        <v>#N/A</v>
      </c>
      <c r="V247" s="55" t="e">
        <f t="shared" ca="1" si="53"/>
        <v>#N/A</v>
      </c>
      <c r="W247" s="55" t="e">
        <f t="shared" ca="1" si="57"/>
        <v>#N/A</v>
      </c>
      <c r="X247" s="55" t="e">
        <f t="shared" ca="1" si="58"/>
        <v>#N/A</v>
      </c>
      <c r="Y247" s="55" t="e">
        <f t="shared" ca="1" si="59"/>
        <v>#N/A</v>
      </c>
      <c r="Z247" t="e">
        <f ca="1">VLOOKUP(S247,ModelOutputs,10,FALSE)*AWC</f>
        <v>#N/A</v>
      </c>
      <c r="AA247" t="e">
        <f t="shared" ca="1" si="60"/>
        <v>#N/A</v>
      </c>
      <c r="AB247" t="e">
        <f t="shared" ca="1" si="54"/>
        <v>#N/A</v>
      </c>
      <c r="AC247" t="e">
        <f t="shared" ca="1" si="55"/>
        <v>#N/A</v>
      </c>
      <c r="AD247" s="83" t="e">
        <f ca="1"/>
        <v>#N/A</v>
      </c>
      <c r="AE247" s="55" t="e">
        <f t="shared" ca="1" si="61"/>
        <v>#N/A</v>
      </c>
      <c r="AF247" s="55" t="e">
        <f t="shared" ca="1" si="62"/>
        <v>#N/A</v>
      </c>
      <c r="AG247" s="55" t="e">
        <f t="shared" ca="1" si="63"/>
        <v>#N/A</v>
      </c>
      <c r="AH247" s="55" t="e">
        <f t="shared" ca="1" si="64"/>
        <v>#N/A</v>
      </c>
      <c r="AI247" s="55" t="e">
        <f ca="1">-VLOOKUP(AE247,ModelOutputs,9,FALSE)+AI246</f>
        <v>#N/A</v>
      </c>
      <c r="AJ247" s="55" t="e">
        <f ca="1">VLOOKUP(AE247,ModelOutputs,5,FALSE)+AJ246</f>
        <v>#N/A</v>
      </c>
      <c r="AK247" s="55" t="e">
        <f ca="1">VLOOKUP(AE247,ModelOutputs,4,FALSE)+AK246</f>
        <v>#N/A</v>
      </c>
    </row>
    <row r="248" spans="18:37">
      <c r="R248" s="83" t="e">
        <f ca="1"/>
        <v>#N/A</v>
      </c>
      <c r="S248" s="55" t="e">
        <f t="shared" ca="1" si="56"/>
        <v>#N/A</v>
      </c>
      <c r="T248" s="55" t="e">
        <f t="shared" ca="1" si="51"/>
        <v>#N/A</v>
      </c>
      <c r="U248" s="55" t="e">
        <f t="shared" ca="1" si="52"/>
        <v>#N/A</v>
      </c>
      <c r="V248" s="55" t="e">
        <f t="shared" ca="1" si="53"/>
        <v>#N/A</v>
      </c>
      <c r="W248" s="55" t="e">
        <f t="shared" ca="1" si="57"/>
        <v>#N/A</v>
      </c>
      <c r="X248" s="55" t="e">
        <f t="shared" ca="1" si="58"/>
        <v>#N/A</v>
      </c>
      <c r="Y248" s="55" t="e">
        <f t="shared" ca="1" si="59"/>
        <v>#N/A</v>
      </c>
      <c r="Z248" t="e">
        <f ca="1">VLOOKUP(S248,ModelOutputs,10,FALSE)*AWC</f>
        <v>#N/A</v>
      </c>
      <c r="AA248" t="e">
        <f t="shared" ca="1" si="60"/>
        <v>#N/A</v>
      </c>
      <c r="AB248" t="e">
        <f t="shared" ca="1" si="54"/>
        <v>#N/A</v>
      </c>
      <c r="AC248" t="e">
        <f t="shared" ca="1" si="55"/>
        <v>#N/A</v>
      </c>
      <c r="AD248" s="83" t="e">
        <f ca="1"/>
        <v>#N/A</v>
      </c>
      <c r="AE248" s="55" t="e">
        <f t="shared" ca="1" si="61"/>
        <v>#N/A</v>
      </c>
      <c r="AF248" s="55" t="e">
        <f t="shared" ca="1" si="62"/>
        <v>#N/A</v>
      </c>
      <c r="AG248" s="55" t="e">
        <f t="shared" ca="1" si="63"/>
        <v>#N/A</v>
      </c>
      <c r="AH248" s="55" t="e">
        <f t="shared" ca="1" si="64"/>
        <v>#N/A</v>
      </c>
      <c r="AI248" s="55" t="e">
        <f ca="1">-VLOOKUP(AE248,ModelOutputs,9,FALSE)+AI247</f>
        <v>#N/A</v>
      </c>
      <c r="AJ248" s="55" t="e">
        <f ca="1">VLOOKUP(AE248,ModelOutputs,5,FALSE)+AJ247</f>
        <v>#N/A</v>
      </c>
      <c r="AK248" s="55" t="e">
        <f ca="1">VLOOKUP(AE248,ModelOutputs,4,FALSE)+AK247</f>
        <v>#N/A</v>
      </c>
    </row>
    <row r="249" spans="18:37">
      <c r="R249" s="83" t="e">
        <f ca="1"/>
        <v>#N/A</v>
      </c>
      <c r="S249" s="55" t="e">
        <f t="shared" ca="1" si="56"/>
        <v>#N/A</v>
      </c>
      <c r="T249" s="55" t="e">
        <f t="shared" ca="1" si="51"/>
        <v>#N/A</v>
      </c>
      <c r="U249" s="55" t="e">
        <f t="shared" ca="1" si="52"/>
        <v>#N/A</v>
      </c>
      <c r="V249" s="55" t="e">
        <f t="shared" ca="1" si="53"/>
        <v>#N/A</v>
      </c>
      <c r="W249" s="55" t="e">
        <f t="shared" ca="1" si="57"/>
        <v>#N/A</v>
      </c>
      <c r="X249" s="55" t="e">
        <f t="shared" ca="1" si="58"/>
        <v>#N/A</v>
      </c>
      <c r="Y249" s="55" t="e">
        <f t="shared" ca="1" si="59"/>
        <v>#N/A</v>
      </c>
      <c r="Z249" t="e">
        <f ca="1">VLOOKUP(S249,ModelOutputs,10,FALSE)*AWC</f>
        <v>#N/A</v>
      </c>
      <c r="AA249" t="e">
        <f t="shared" ca="1" si="60"/>
        <v>#N/A</v>
      </c>
      <c r="AB249" t="e">
        <f t="shared" ca="1" si="54"/>
        <v>#N/A</v>
      </c>
      <c r="AC249" t="e">
        <f t="shared" ca="1" si="55"/>
        <v>#N/A</v>
      </c>
      <c r="AD249" s="83" t="e">
        <f ca="1"/>
        <v>#N/A</v>
      </c>
      <c r="AE249" s="55" t="e">
        <f t="shared" ca="1" si="61"/>
        <v>#N/A</v>
      </c>
      <c r="AF249" s="55" t="e">
        <f t="shared" ca="1" si="62"/>
        <v>#N/A</v>
      </c>
      <c r="AG249" s="55" t="e">
        <f t="shared" ca="1" si="63"/>
        <v>#N/A</v>
      </c>
      <c r="AH249" s="55" t="e">
        <f t="shared" ca="1" si="64"/>
        <v>#N/A</v>
      </c>
      <c r="AI249" s="55" t="e">
        <f ca="1">-VLOOKUP(AE249,ModelOutputs,9,FALSE)+AI248</f>
        <v>#N/A</v>
      </c>
      <c r="AJ249" s="55" t="e">
        <f ca="1">VLOOKUP(AE249,ModelOutputs,5,FALSE)+AJ248</f>
        <v>#N/A</v>
      </c>
      <c r="AK249" s="55" t="e">
        <f ca="1">VLOOKUP(AE249,ModelOutputs,4,FALSE)+AK248</f>
        <v>#N/A</v>
      </c>
    </row>
    <row r="250" spans="18:37">
      <c r="R250" s="83" t="e">
        <f ca="1"/>
        <v>#N/A</v>
      </c>
      <c r="S250" s="55" t="e">
        <f t="shared" ca="1" si="56"/>
        <v>#N/A</v>
      </c>
      <c r="T250" s="55" t="e">
        <f t="shared" ca="1" si="51"/>
        <v>#N/A</v>
      </c>
      <c r="U250" s="55" t="e">
        <f t="shared" ca="1" si="52"/>
        <v>#N/A</v>
      </c>
      <c r="V250" s="55" t="e">
        <f t="shared" ca="1" si="53"/>
        <v>#N/A</v>
      </c>
      <c r="W250" s="55" t="e">
        <f t="shared" ca="1" si="57"/>
        <v>#N/A</v>
      </c>
      <c r="X250" s="55" t="e">
        <f t="shared" ca="1" si="58"/>
        <v>#N/A</v>
      </c>
      <c r="Y250" s="55" t="e">
        <f t="shared" ca="1" si="59"/>
        <v>#N/A</v>
      </c>
      <c r="Z250" t="e">
        <f ca="1">VLOOKUP(S250,ModelOutputs,10,FALSE)*AWC</f>
        <v>#N/A</v>
      </c>
      <c r="AA250" t="e">
        <f t="shared" ca="1" si="60"/>
        <v>#N/A</v>
      </c>
      <c r="AB250" t="e">
        <f t="shared" ca="1" si="54"/>
        <v>#N/A</v>
      </c>
      <c r="AC250" t="e">
        <f t="shared" ca="1" si="55"/>
        <v>#N/A</v>
      </c>
      <c r="AD250" s="83" t="e">
        <f ca="1"/>
        <v>#N/A</v>
      </c>
      <c r="AE250" s="55" t="e">
        <f t="shared" ca="1" si="61"/>
        <v>#N/A</v>
      </c>
      <c r="AF250" s="55" t="e">
        <f t="shared" ca="1" si="62"/>
        <v>#N/A</v>
      </c>
      <c r="AG250" s="55" t="e">
        <f t="shared" ca="1" si="63"/>
        <v>#N/A</v>
      </c>
      <c r="AH250" s="55" t="e">
        <f t="shared" ca="1" si="64"/>
        <v>#N/A</v>
      </c>
      <c r="AI250" s="55" t="e">
        <f ca="1">-VLOOKUP(AE250,ModelOutputs,9,FALSE)+AI249</f>
        <v>#N/A</v>
      </c>
      <c r="AJ250" s="55" t="e">
        <f ca="1">VLOOKUP(AE250,ModelOutputs,5,FALSE)+AJ249</f>
        <v>#N/A</v>
      </c>
      <c r="AK250" s="55" t="e">
        <f ca="1">VLOOKUP(AE250,ModelOutputs,4,FALSE)+AK249</f>
        <v>#N/A</v>
      </c>
    </row>
    <row r="251" spans="18:37">
      <c r="R251" s="83" t="e">
        <f ca="1"/>
        <v>#N/A</v>
      </c>
      <c r="S251" s="55" t="e">
        <f t="shared" ca="1" si="56"/>
        <v>#N/A</v>
      </c>
      <c r="T251" s="55" t="e">
        <f t="shared" ca="1" si="51"/>
        <v>#N/A</v>
      </c>
      <c r="U251" s="55" t="e">
        <f t="shared" ca="1" si="52"/>
        <v>#N/A</v>
      </c>
      <c r="V251" s="55" t="e">
        <f t="shared" ca="1" si="53"/>
        <v>#N/A</v>
      </c>
      <c r="W251" s="55" t="e">
        <f t="shared" ca="1" si="57"/>
        <v>#N/A</v>
      </c>
      <c r="X251" s="55" t="e">
        <f t="shared" ca="1" si="58"/>
        <v>#N/A</v>
      </c>
      <c r="Y251" s="55" t="e">
        <f t="shared" ca="1" si="59"/>
        <v>#N/A</v>
      </c>
      <c r="Z251" t="e">
        <f ca="1">VLOOKUP(S251,ModelOutputs,10,FALSE)*AWC</f>
        <v>#N/A</v>
      </c>
      <c r="AA251" t="e">
        <f t="shared" ca="1" si="60"/>
        <v>#N/A</v>
      </c>
      <c r="AB251" t="e">
        <f t="shared" ca="1" si="54"/>
        <v>#N/A</v>
      </c>
      <c r="AC251" t="e">
        <f t="shared" ca="1" si="55"/>
        <v>#N/A</v>
      </c>
      <c r="AD251" s="83" t="e">
        <f ca="1"/>
        <v>#N/A</v>
      </c>
      <c r="AE251" s="55" t="e">
        <f t="shared" ca="1" si="61"/>
        <v>#N/A</v>
      </c>
      <c r="AF251" s="55" t="e">
        <f t="shared" ca="1" si="62"/>
        <v>#N/A</v>
      </c>
      <c r="AG251" s="55" t="e">
        <f t="shared" ca="1" si="63"/>
        <v>#N/A</v>
      </c>
      <c r="AH251" s="55" t="e">
        <f t="shared" ca="1" si="64"/>
        <v>#N/A</v>
      </c>
      <c r="AI251" s="55" t="e">
        <f ca="1">-VLOOKUP(AE251,ModelOutputs,9,FALSE)+AI250</f>
        <v>#N/A</v>
      </c>
      <c r="AJ251" s="55" t="e">
        <f ca="1">VLOOKUP(AE251,ModelOutputs,5,FALSE)+AJ250</f>
        <v>#N/A</v>
      </c>
      <c r="AK251" s="55" t="e">
        <f ca="1">VLOOKUP(AE251,ModelOutputs,4,FALSE)+AK250</f>
        <v>#N/A</v>
      </c>
    </row>
    <row r="252" spans="18:37">
      <c r="R252" s="83" t="e">
        <f ca="1"/>
        <v>#N/A</v>
      </c>
      <c r="S252" s="55" t="e">
        <f t="shared" ca="1" si="56"/>
        <v>#N/A</v>
      </c>
      <c r="T252" s="55" t="e">
        <f t="shared" ca="1" si="51"/>
        <v>#N/A</v>
      </c>
      <c r="U252" s="55" t="e">
        <f t="shared" ca="1" si="52"/>
        <v>#N/A</v>
      </c>
      <c r="V252" s="55" t="e">
        <f t="shared" ca="1" si="53"/>
        <v>#N/A</v>
      </c>
      <c r="W252" s="55" t="e">
        <f t="shared" ca="1" si="57"/>
        <v>#N/A</v>
      </c>
      <c r="X252" s="55" t="e">
        <f t="shared" ca="1" si="58"/>
        <v>#N/A</v>
      </c>
      <c r="Y252" s="55" t="e">
        <f t="shared" ca="1" si="59"/>
        <v>#N/A</v>
      </c>
      <c r="Z252" t="e">
        <f ca="1">VLOOKUP(S252,ModelOutputs,10,FALSE)*AWC</f>
        <v>#N/A</v>
      </c>
      <c r="AA252" t="e">
        <f t="shared" ca="1" si="60"/>
        <v>#N/A</v>
      </c>
      <c r="AB252" t="e">
        <f t="shared" ca="1" si="54"/>
        <v>#N/A</v>
      </c>
      <c r="AC252" t="e">
        <f t="shared" ca="1" si="55"/>
        <v>#N/A</v>
      </c>
      <c r="AD252" s="83" t="e">
        <f ca="1"/>
        <v>#N/A</v>
      </c>
      <c r="AE252" s="55" t="e">
        <f t="shared" ca="1" si="61"/>
        <v>#N/A</v>
      </c>
      <c r="AF252" s="55" t="e">
        <f t="shared" ca="1" si="62"/>
        <v>#N/A</v>
      </c>
      <c r="AG252" s="55" t="e">
        <f t="shared" ca="1" si="63"/>
        <v>#N/A</v>
      </c>
      <c r="AH252" s="55" t="e">
        <f t="shared" ca="1" si="64"/>
        <v>#N/A</v>
      </c>
      <c r="AI252" s="55" t="e">
        <f ca="1">-VLOOKUP(AE252,ModelOutputs,9,FALSE)+AI251</f>
        <v>#N/A</v>
      </c>
      <c r="AJ252" s="55" t="e">
        <f ca="1">VLOOKUP(AE252,ModelOutputs,5,FALSE)+AJ251</f>
        <v>#N/A</v>
      </c>
      <c r="AK252" s="55" t="e">
        <f ca="1">VLOOKUP(AE252,ModelOutputs,4,FALSE)+AK251</f>
        <v>#N/A</v>
      </c>
    </row>
    <row r="253" spans="18:37">
      <c r="R253" s="83" t="e">
        <f ca="1"/>
        <v>#N/A</v>
      </c>
      <c r="S253" s="55" t="e">
        <f t="shared" ca="1" si="56"/>
        <v>#N/A</v>
      </c>
      <c r="T253" s="55" t="e">
        <f t="shared" ca="1" si="51"/>
        <v>#N/A</v>
      </c>
      <c r="U253" s="55" t="e">
        <f t="shared" ca="1" si="52"/>
        <v>#N/A</v>
      </c>
      <c r="V253" s="55" t="e">
        <f t="shared" ca="1" si="53"/>
        <v>#N/A</v>
      </c>
      <c r="W253" s="55" t="e">
        <f t="shared" ca="1" si="57"/>
        <v>#N/A</v>
      </c>
      <c r="X253" s="55" t="e">
        <f t="shared" ca="1" si="58"/>
        <v>#N/A</v>
      </c>
      <c r="Y253" s="55" t="e">
        <f t="shared" ca="1" si="59"/>
        <v>#N/A</v>
      </c>
      <c r="Z253" t="e">
        <f ca="1">VLOOKUP(S253,ModelOutputs,10,FALSE)*AWC</f>
        <v>#N/A</v>
      </c>
      <c r="AA253" t="e">
        <f t="shared" ca="1" si="60"/>
        <v>#N/A</v>
      </c>
      <c r="AB253" t="e">
        <f t="shared" ca="1" si="54"/>
        <v>#N/A</v>
      </c>
      <c r="AC253" t="e">
        <f t="shared" ca="1" si="55"/>
        <v>#N/A</v>
      </c>
      <c r="AD253" s="83" t="e">
        <f ca="1"/>
        <v>#N/A</v>
      </c>
      <c r="AE253" s="55" t="e">
        <f t="shared" ca="1" si="61"/>
        <v>#N/A</v>
      </c>
      <c r="AF253" s="55" t="e">
        <f t="shared" ca="1" si="62"/>
        <v>#N/A</v>
      </c>
      <c r="AG253" s="55" t="e">
        <f t="shared" ca="1" si="63"/>
        <v>#N/A</v>
      </c>
      <c r="AH253" s="55" t="e">
        <f t="shared" ca="1" si="64"/>
        <v>#N/A</v>
      </c>
      <c r="AI253" s="55" t="e">
        <f ca="1">-VLOOKUP(AE253,ModelOutputs,9,FALSE)+AI252</f>
        <v>#N/A</v>
      </c>
      <c r="AJ253" s="55" t="e">
        <f ca="1">VLOOKUP(AE253,ModelOutputs,5,FALSE)+AJ252</f>
        <v>#N/A</v>
      </c>
      <c r="AK253" s="55" t="e">
        <f ca="1">VLOOKUP(AE253,ModelOutputs,4,FALSE)+AK252</f>
        <v>#N/A</v>
      </c>
    </row>
    <row r="254" spans="18:37">
      <c r="R254" s="83" t="e">
        <f ca="1"/>
        <v>#N/A</v>
      </c>
      <c r="S254" s="55" t="e">
        <f t="shared" ca="1" si="56"/>
        <v>#N/A</v>
      </c>
      <c r="T254" s="55" t="e">
        <f t="shared" ca="1" si="51"/>
        <v>#N/A</v>
      </c>
      <c r="U254" s="55" t="e">
        <f t="shared" ca="1" si="52"/>
        <v>#N/A</v>
      </c>
      <c r="V254" s="55" t="e">
        <f t="shared" ca="1" si="53"/>
        <v>#N/A</v>
      </c>
      <c r="W254" s="55" t="e">
        <f t="shared" ca="1" si="57"/>
        <v>#N/A</v>
      </c>
      <c r="X254" s="55" t="e">
        <f t="shared" ca="1" si="58"/>
        <v>#N/A</v>
      </c>
      <c r="Y254" s="55" t="e">
        <f t="shared" ca="1" si="59"/>
        <v>#N/A</v>
      </c>
      <c r="Z254" t="e">
        <f ca="1">VLOOKUP(S254,ModelOutputs,10,FALSE)*AWC</f>
        <v>#N/A</v>
      </c>
      <c r="AA254" t="e">
        <f t="shared" ca="1" si="60"/>
        <v>#N/A</v>
      </c>
      <c r="AB254" t="e">
        <f t="shared" ca="1" si="54"/>
        <v>#N/A</v>
      </c>
      <c r="AC254" t="e">
        <f t="shared" ca="1" si="55"/>
        <v>#N/A</v>
      </c>
      <c r="AD254" s="83" t="e">
        <f ca="1"/>
        <v>#N/A</v>
      </c>
      <c r="AE254" s="55" t="e">
        <f t="shared" ca="1" si="61"/>
        <v>#N/A</v>
      </c>
      <c r="AF254" s="55" t="e">
        <f t="shared" ca="1" si="62"/>
        <v>#N/A</v>
      </c>
      <c r="AG254" s="55" t="e">
        <f t="shared" ca="1" si="63"/>
        <v>#N/A</v>
      </c>
      <c r="AH254" s="55" t="e">
        <f t="shared" ca="1" si="64"/>
        <v>#N/A</v>
      </c>
      <c r="AI254" s="55" t="e">
        <f ca="1">-VLOOKUP(AE254,ModelOutputs,9,FALSE)+AI253</f>
        <v>#N/A</v>
      </c>
      <c r="AJ254" s="55" t="e">
        <f ca="1">VLOOKUP(AE254,ModelOutputs,5,FALSE)+AJ253</f>
        <v>#N/A</v>
      </c>
      <c r="AK254" s="55" t="e">
        <f ca="1">VLOOKUP(AE254,ModelOutputs,4,FALSE)+AK253</f>
        <v>#N/A</v>
      </c>
    </row>
    <row r="255" spans="18:37">
      <c r="R255" s="83" t="e">
        <f ca="1"/>
        <v>#N/A</v>
      </c>
      <c r="S255" s="55" t="e">
        <f t="shared" ca="1" si="56"/>
        <v>#N/A</v>
      </c>
      <c r="T255" s="55" t="e">
        <f t="shared" ca="1" si="51"/>
        <v>#N/A</v>
      </c>
      <c r="U255" s="55" t="e">
        <f t="shared" ca="1" si="52"/>
        <v>#N/A</v>
      </c>
      <c r="V255" s="55" t="e">
        <f t="shared" ca="1" si="53"/>
        <v>#N/A</v>
      </c>
      <c r="W255" s="55" t="e">
        <f t="shared" ca="1" si="57"/>
        <v>#N/A</v>
      </c>
      <c r="X255" s="55" t="e">
        <f t="shared" ca="1" si="58"/>
        <v>#N/A</v>
      </c>
      <c r="Y255" s="55" t="e">
        <f t="shared" ca="1" si="59"/>
        <v>#N/A</v>
      </c>
      <c r="Z255" t="e">
        <f ca="1">VLOOKUP(S255,ModelOutputs,10,FALSE)*AWC</f>
        <v>#N/A</v>
      </c>
      <c r="AA255" t="e">
        <f t="shared" ca="1" si="60"/>
        <v>#N/A</v>
      </c>
      <c r="AB255" t="e">
        <f t="shared" ca="1" si="54"/>
        <v>#N/A</v>
      </c>
      <c r="AC255" t="e">
        <f t="shared" ca="1" si="55"/>
        <v>#N/A</v>
      </c>
      <c r="AD255" s="83" t="e">
        <f ca="1"/>
        <v>#N/A</v>
      </c>
      <c r="AE255" s="55" t="e">
        <f t="shared" ca="1" si="61"/>
        <v>#N/A</v>
      </c>
      <c r="AF255" s="55" t="e">
        <f t="shared" ca="1" si="62"/>
        <v>#N/A</v>
      </c>
      <c r="AG255" s="55" t="e">
        <f t="shared" ca="1" si="63"/>
        <v>#N/A</v>
      </c>
      <c r="AH255" s="55" t="e">
        <f t="shared" ca="1" si="64"/>
        <v>#N/A</v>
      </c>
      <c r="AI255" s="55" t="e">
        <f ca="1">-VLOOKUP(AE255,ModelOutputs,9,FALSE)+AI254</f>
        <v>#N/A</v>
      </c>
      <c r="AJ255" s="55" t="e">
        <f ca="1">VLOOKUP(AE255,ModelOutputs,5,FALSE)+AJ254</f>
        <v>#N/A</v>
      </c>
      <c r="AK255" s="55" t="e">
        <f ca="1">VLOOKUP(AE255,ModelOutputs,4,FALSE)+AK254</f>
        <v>#N/A</v>
      </c>
    </row>
    <row r="256" spans="18:37">
      <c r="R256" s="83" t="e">
        <f ca="1"/>
        <v>#N/A</v>
      </c>
      <c r="S256" s="55" t="e">
        <f t="shared" ca="1" si="56"/>
        <v>#N/A</v>
      </c>
      <c r="T256" s="55" t="e">
        <f t="shared" ca="1" si="51"/>
        <v>#N/A</v>
      </c>
      <c r="U256" s="55" t="e">
        <f t="shared" ca="1" si="52"/>
        <v>#N/A</v>
      </c>
      <c r="V256" s="55" t="e">
        <f t="shared" ca="1" si="53"/>
        <v>#N/A</v>
      </c>
      <c r="W256" s="55" t="e">
        <f t="shared" ca="1" si="57"/>
        <v>#N/A</v>
      </c>
      <c r="X256" s="55" t="e">
        <f t="shared" ca="1" si="58"/>
        <v>#N/A</v>
      </c>
      <c r="Y256" s="55" t="e">
        <f t="shared" ca="1" si="59"/>
        <v>#N/A</v>
      </c>
      <c r="Z256" t="e">
        <f ca="1">VLOOKUP(S256,ModelOutputs,10,FALSE)*AWC</f>
        <v>#N/A</v>
      </c>
      <c r="AA256" t="e">
        <f t="shared" ca="1" si="60"/>
        <v>#N/A</v>
      </c>
      <c r="AB256" t="e">
        <f t="shared" ca="1" si="54"/>
        <v>#N/A</v>
      </c>
      <c r="AC256" t="e">
        <f t="shared" ca="1" si="55"/>
        <v>#N/A</v>
      </c>
      <c r="AD256" s="83" t="e">
        <f ca="1"/>
        <v>#N/A</v>
      </c>
      <c r="AE256" s="55" t="e">
        <f t="shared" ca="1" si="61"/>
        <v>#N/A</v>
      </c>
      <c r="AF256" s="55" t="e">
        <f t="shared" ca="1" si="62"/>
        <v>#N/A</v>
      </c>
      <c r="AG256" s="55" t="e">
        <f t="shared" ca="1" si="63"/>
        <v>#N/A</v>
      </c>
      <c r="AH256" s="55" t="e">
        <f t="shared" ca="1" si="64"/>
        <v>#N/A</v>
      </c>
      <c r="AI256" s="55" t="e">
        <f ca="1">-VLOOKUP(AE256,ModelOutputs,9,FALSE)+AI255</f>
        <v>#N/A</v>
      </c>
      <c r="AJ256" s="55" t="e">
        <f ca="1">VLOOKUP(AE256,ModelOutputs,5,FALSE)+AJ255</f>
        <v>#N/A</v>
      </c>
      <c r="AK256" s="55" t="e">
        <f ca="1">VLOOKUP(AE256,ModelOutputs,4,FALSE)+AK255</f>
        <v>#N/A</v>
      </c>
    </row>
    <row r="257" spans="18:37">
      <c r="R257" s="83" t="e">
        <f ca="1"/>
        <v>#N/A</v>
      </c>
      <c r="S257" s="55" t="e">
        <f t="shared" ca="1" si="56"/>
        <v>#N/A</v>
      </c>
      <c r="T257" s="55" t="e">
        <f t="shared" ca="1" si="51"/>
        <v>#N/A</v>
      </c>
      <c r="U257" s="55" t="e">
        <f t="shared" ca="1" si="52"/>
        <v>#N/A</v>
      </c>
      <c r="V257" s="55" t="e">
        <f t="shared" ca="1" si="53"/>
        <v>#N/A</v>
      </c>
      <c r="W257" s="55" t="e">
        <f t="shared" ca="1" si="57"/>
        <v>#N/A</v>
      </c>
      <c r="X257" s="55" t="e">
        <f t="shared" ca="1" si="58"/>
        <v>#N/A</v>
      </c>
      <c r="Y257" s="55" t="e">
        <f t="shared" ca="1" si="59"/>
        <v>#N/A</v>
      </c>
      <c r="Z257" t="e">
        <f ca="1">VLOOKUP(S257,ModelOutputs,10,FALSE)*AWC</f>
        <v>#N/A</v>
      </c>
      <c r="AA257" t="e">
        <f t="shared" ca="1" si="60"/>
        <v>#N/A</v>
      </c>
      <c r="AB257" t="e">
        <f t="shared" ca="1" si="54"/>
        <v>#N/A</v>
      </c>
      <c r="AC257" t="e">
        <f t="shared" ca="1" si="55"/>
        <v>#N/A</v>
      </c>
      <c r="AD257" s="83" t="e">
        <f ca="1"/>
        <v>#N/A</v>
      </c>
      <c r="AE257" s="55" t="e">
        <f t="shared" ca="1" si="61"/>
        <v>#N/A</v>
      </c>
      <c r="AF257" s="55" t="e">
        <f t="shared" ca="1" si="62"/>
        <v>#N/A</v>
      </c>
      <c r="AG257" s="55" t="e">
        <f t="shared" ca="1" si="63"/>
        <v>#N/A</v>
      </c>
      <c r="AH257" s="55" t="e">
        <f t="shared" ca="1" si="64"/>
        <v>#N/A</v>
      </c>
      <c r="AI257" s="55" t="e">
        <f ca="1">-VLOOKUP(AE257,ModelOutputs,9,FALSE)+AI256</f>
        <v>#N/A</v>
      </c>
      <c r="AJ257" s="55" t="e">
        <f ca="1">VLOOKUP(AE257,ModelOutputs,5,FALSE)+AJ256</f>
        <v>#N/A</v>
      </c>
      <c r="AK257" s="55" t="e">
        <f ca="1">VLOOKUP(AE257,ModelOutputs,4,FALSE)+AK256</f>
        <v>#N/A</v>
      </c>
    </row>
    <row r="258" spans="18:37">
      <c r="R258" s="83" t="e">
        <f ca="1"/>
        <v>#N/A</v>
      </c>
      <c r="S258" s="55" t="e">
        <f t="shared" ca="1" si="56"/>
        <v>#N/A</v>
      </c>
      <c r="T258" s="55" t="e">
        <f t="shared" ca="1" si="51"/>
        <v>#N/A</v>
      </c>
      <c r="U258" s="55" t="e">
        <f t="shared" ca="1" si="52"/>
        <v>#N/A</v>
      </c>
      <c r="V258" s="55" t="e">
        <f t="shared" ca="1" si="53"/>
        <v>#N/A</v>
      </c>
      <c r="W258" s="55" t="e">
        <f t="shared" ca="1" si="57"/>
        <v>#N/A</v>
      </c>
      <c r="X258" s="55" t="e">
        <f t="shared" ca="1" si="58"/>
        <v>#N/A</v>
      </c>
      <c r="Y258" s="55" t="e">
        <f t="shared" ca="1" si="59"/>
        <v>#N/A</v>
      </c>
      <c r="Z258" t="e">
        <f ca="1">VLOOKUP(S258,ModelOutputs,10,FALSE)*AWC</f>
        <v>#N/A</v>
      </c>
      <c r="AA258" t="e">
        <f t="shared" ca="1" si="60"/>
        <v>#N/A</v>
      </c>
      <c r="AB258" t="e">
        <f t="shared" ca="1" si="54"/>
        <v>#N/A</v>
      </c>
      <c r="AC258" t="e">
        <f t="shared" ca="1" si="55"/>
        <v>#N/A</v>
      </c>
      <c r="AD258" s="83" t="e">
        <f ca="1"/>
        <v>#N/A</v>
      </c>
      <c r="AE258" s="55" t="e">
        <f t="shared" ca="1" si="61"/>
        <v>#N/A</v>
      </c>
      <c r="AF258" s="55" t="e">
        <f t="shared" ca="1" si="62"/>
        <v>#N/A</v>
      </c>
      <c r="AG258" s="55" t="e">
        <f t="shared" ca="1" si="63"/>
        <v>#N/A</v>
      </c>
      <c r="AH258" s="55" t="e">
        <f t="shared" ca="1" si="64"/>
        <v>#N/A</v>
      </c>
      <c r="AI258" s="55" t="e">
        <f ca="1">-VLOOKUP(AE258,ModelOutputs,9,FALSE)+AI257</f>
        <v>#N/A</v>
      </c>
      <c r="AJ258" s="55" t="e">
        <f ca="1">VLOOKUP(AE258,ModelOutputs,5,FALSE)+AJ257</f>
        <v>#N/A</v>
      </c>
      <c r="AK258" s="55" t="e">
        <f ca="1">VLOOKUP(AE258,ModelOutputs,4,FALSE)+AK257</f>
        <v>#N/A</v>
      </c>
    </row>
    <row r="259" spans="18:37">
      <c r="R259" s="83" t="e">
        <f ca="1"/>
        <v>#N/A</v>
      </c>
      <c r="S259" s="55" t="e">
        <f t="shared" ca="1" si="56"/>
        <v>#N/A</v>
      </c>
      <c r="T259" s="55" t="e">
        <f t="shared" ca="1" si="51"/>
        <v>#N/A</v>
      </c>
      <c r="U259" s="55" t="e">
        <f t="shared" ca="1" si="52"/>
        <v>#N/A</v>
      </c>
      <c r="V259" s="55" t="e">
        <f t="shared" ca="1" si="53"/>
        <v>#N/A</v>
      </c>
      <c r="W259" s="55" t="e">
        <f t="shared" ca="1" si="57"/>
        <v>#N/A</v>
      </c>
      <c r="X259" s="55" t="e">
        <f t="shared" ca="1" si="58"/>
        <v>#N/A</v>
      </c>
      <c r="Y259" s="55" t="e">
        <f t="shared" ca="1" si="59"/>
        <v>#N/A</v>
      </c>
      <c r="Z259" t="e">
        <f ca="1">VLOOKUP(S259,ModelOutputs,10,FALSE)*AWC</f>
        <v>#N/A</v>
      </c>
      <c r="AA259" t="e">
        <f t="shared" ca="1" si="60"/>
        <v>#N/A</v>
      </c>
      <c r="AB259" t="e">
        <f t="shared" ca="1" si="54"/>
        <v>#N/A</v>
      </c>
      <c r="AC259" t="e">
        <f t="shared" ca="1" si="55"/>
        <v>#N/A</v>
      </c>
      <c r="AD259" s="83" t="e">
        <f ca="1"/>
        <v>#N/A</v>
      </c>
      <c r="AE259" s="55" t="e">
        <f t="shared" ca="1" si="61"/>
        <v>#N/A</v>
      </c>
      <c r="AF259" s="55" t="e">
        <f t="shared" ca="1" si="62"/>
        <v>#N/A</v>
      </c>
      <c r="AG259" s="55" t="e">
        <f t="shared" ca="1" si="63"/>
        <v>#N/A</v>
      </c>
      <c r="AH259" s="55" t="e">
        <f t="shared" ca="1" si="64"/>
        <v>#N/A</v>
      </c>
      <c r="AI259" s="55" t="e">
        <f ca="1">-VLOOKUP(AE259,ModelOutputs,9,FALSE)+AI258</f>
        <v>#N/A</v>
      </c>
      <c r="AJ259" s="55" t="e">
        <f ca="1">VLOOKUP(AE259,ModelOutputs,5,FALSE)+AJ258</f>
        <v>#N/A</v>
      </c>
      <c r="AK259" s="55" t="e">
        <f ca="1">VLOOKUP(AE259,ModelOutputs,4,FALSE)+AK258</f>
        <v>#N/A</v>
      </c>
    </row>
    <row r="260" spans="18:37">
      <c r="R260" s="83" t="e">
        <f ca="1"/>
        <v>#N/A</v>
      </c>
      <c r="S260" s="55" t="e">
        <f t="shared" ca="1" si="56"/>
        <v>#N/A</v>
      </c>
      <c r="T260" s="55" t="e">
        <f t="shared" ca="1" si="51"/>
        <v>#N/A</v>
      </c>
      <c r="U260" s="55" t="e">
        <f t="shared" ca="1" si="52"/>
        <v>#N/A</v>
      </c>
      <c r="V260" s="55" t="e">
        <f t="shared" ca="1" si="53"/>
        <v>#N/A</v>
      </c>
      <c r="W260" s="55" t="e">
        <f t="shared" ca="1" si="57"/>
        <v>#N/A</v>
      </c>
      <c r="X260" s="55" t="e">
        <f t="shared" ca="1" si="58"/>
        <v>#N/A</v>
      </c>
      <c r="Y260" s="55" t="e">
        <f t="shared" ca="1" si="59"/>
        <v>#N/A</v>
      </c>
      <c r="Z260" t="e">
        <f ca="1">VLOOKUP(S260,ModelOutputs,10,FALSE)*AWC</f>
        <v>#N/A</v>
      </c>
      <c r="AA260" t="e">
        <f t="shared" ca="1" si="60"/>
        <v>#N/A</v>
      </c>
      <c r="AB260" t="e">
        <f t="shared" ca="1" si="54"/>
        <v>#N/A</v>
      </c>
      <c r="AC260" t="e">
        <f t="shared" ca="1" si="55"/>
        <v>#N/A</v>
      </c>
      <c r="AD260" s="83" t="e">
        <f ca="1"/>
        <v>#N/A</v>
      </c>
      <c r="AE260" s="55" t="e">
        <f t="shared" ca="1" si="61"/>
        <v>#N/A</v>
      </c>
      <c r="AF260" s="55" t="e">
        <f t="shared" ca="1" si="62"/>
        <v>#N/A</v>
      </c>
      <c r="AG260" s="55" t="e">
        <f t="shared" ca="1" si="63"/>
        <v>#N/A</v>
      </c>
      <c r="AH260" s="55" t="e">
        <f t="shared" ca="1" si="64"/>
        <v>#N/A</v>
      </c>
      <c r="AI260" s="55" t="e">
        <f ca="1">-VLOOKUP(AE260,ModelOutputs,9,FALSE)+AI259</f>
        <v>#N/A</v>
      </c>
      <c r="AJ260" s="55" t="e">
        <f ca="1">VLOOKUP(AE260,ModelOutputs,5,FALSE)+AJ259</f>
        <v>#N/A</v>
      </c>
      <c r="AK260" s="55" t="e">
        <f ca="1">VLOOKUP(AE260,ModelOutputs,4,FALSE)+AK259</f>
        <v>#N/A</v>
      </c>
    </row>
    <row r="261" spans="18:37">
      <c r="R261" s="83" t="e">
        <f ca="1"/>
        <v>#N/A</v>
      </c>
      <c r="S261" s="55" t="e">
        <f t="shared" ca="1" si="56"/>
        <v>#N/A</v>
      </c>
      <c r="T261" s="55" t="e">
        <f t="shared" ca="1" si="51"/>
        <v>#N/A</v>
      </c>
      <c r="U261" s="55" t="e">
        <f t="shared" ca="1" si="52"/>
        <v>#N/A</v>
      </c>
      <c r="V261" s="55" t="e">
        <f t="shared" ca="1" si="53"/>
        <v>#N/A</v>
      </c>
      <c r="W261" s="55" t="e">
        <f t="shared" ca="1" si="57"/>
        <v>#N/A</v>
      </c>
      <c r="X261" s="55" t="e">
        <f t="shared" ca="1" si="58"/>
        <v>#N/A</v>
      </c>
      <c r="Y261" s="55" t="e">
        <f t="shared" ca="1" si="59"/>
        <v>#N/A</v>
      </c>
      <c r="Z261" t="e">
        <f ca="1">VLOOKUP(S261,ModelOutputs,10,FALSE)*AWC</f>
        <v>#N/A</v>
      </c>
      <c r="AA261" t="e">
        <f t="shared" ca="1" si="60"/>
        <v>#N/A</v>
      </c>
      <c r="AB261" t="e">
        <f t="shared" ca="1" si="54"/>
        <v>#N/A</v>
      </c>
      <c r="AC261" t="e">
        <f t="shared" ca="1" si="55"/>
        <v>#N/A</v>
      </c>
      <c r="AD261" s="83" t="e">
        <f ca="1"/>
        <v>#N/A</v>
      </c>
      <c r="AE261" s="55" t="e">
        <f t="shared" ca="1" si="61"/>
        <v>#N/A</v>
      </c>
      <c r="AF261" s="55" t="e">
        <f t="shared" ca="1" si="62"/>
        <v>#N/A</v>
      </c>
      <c r="AG261" s="55" t="e">
        <f t="shared" ca="1" si="63"/>
        <v>#N/A</v>
      </c>
      <c r="AH261" s="55" t="e">
        <f t="shared" ca="1" si="64"/>
        <v>#N/A</v>
      </c>
      <c r="AI261" s="55" t="e">
        <f ca="1">-VLOOKUP(AE261,ModelOutputs,9,FALSE)+AI260</f>
        <v>#N/A</v>
      </c>
      <c r="AJ261" s="55" t="e">
        <f ca="1">VLOOKUP(AE261,ModelOutputs,5,FALSE)+AJ260</f>
        <v>#N/A</v>
      </c>
      <c r="AK261" s="55" t="e">
        <f ca="1">VLOOKUP(AE261,ModelOutputs,4,FALSE)+AK260</f>
        <v>#N/A</v>
      </c>
    </row>
    <row r="262" spans="18:37">
      <c r="R262" s="83" t="e">
        <f ca="1"/>
        <v>#N/A</v>
      </c>
      <c r="S262" s="55" t="e">
        <f t="shared" ca="1" si="56"/>
        <v>#N/A</v>
      </c>
      <c r="T262" s="55" t="e">
        <f t="shared" ca="1" si="51"/>
        <v>#N/A</v>
      </c>
      <c r="U262" s="55" t="e">
        <f t="shared" ca="1" si="52"/>
        <v>#N/A</v>
      </c>
      <c r="V262" s="55" t="e">
        <f t="shared" ca="1" si="53"/>
        <v>#N/A</v>
      </c>
      <c r="W262" s="55" t="e">
        <f t="shared" ca="1" si="57"/>
        <v>#N/A</v>
      </c>
      <c r="X262" s="55" t="e">
        <f t="shared" ca="1" si="58"/>
        <v>#N/A</v>
      </c>
      <c r="Y262" s="55" t="e">
        <f t="shared" ca="1" si="59"/>
        <v>#N/A</v>
      </c>
      <c r="Z262" t="e">
        <f ca="1">VLOOKUP(S262,ModelOutputs,10,FALSE)*AWC</f>
        <v>#N/A</v>
      </c>
      <c r="AA262" t="e">
        <f t="shared" ca="1" si="60"/>
        <v>#N/A</v>
      </c>
      <c r="AB262" t="e">
        <f t="shared" ca="1" si="54"/>
        <v>#N/A</v>
      </c>
      <c r="AC262" t="e">
        <f t="shared" ca="1" si="55"/>
        <v>#N/A</v>
      </c>
      <c r="AD262" s="83" t="e">
        <f ca="1"/>
        <v>#N/A</v>
      </c>
      <c r="AE262" s="55" t="e">
        <f t="shared" ca="1" si="61"/>
        <v>#N/A</v>
      </c>
      <c r="AF262" s="55" t="e">
        <f t="shared" ca="1" si="62"/>
        <v>#N/A</v>
      </c>
      <c r="AG262" s="55" t="e">
        <f t="shared" ca="1" si="63"/>
        <v>#N/A</v>
      </c>
      <c r="AH262" s="55" t="e">
        <f t="shared" ca="1" si="64"/>
        <v>#N/A</v>
      </c>
      <c r="AI262" s="55" t="e">
        <f ca="1">-VLOOKUP(AE262,ModelOutputs,9,FALSE)+AI261</f>
        <v>#N/A</v>
      </c>
      <c r="AJ262" s="55" t="e">
        <f ca="1">VLOOKUP(AE262,ModelOutputs,5,FALSE)+AJ261</f>
        <v>#N/A</v>
      </c>
      <c r="AK262" s="55" t="e">
        <f ca="1">VLOOKUP(AE262,ModelOutputs,4,FALSE)+AK261</f>
        <v>#N/A</v>
      </c>
    </row>
    <row r="263" spans="18:37">
      <c r="R263" s="83" t="e">
        <f ca="1"/>
        <v>#N/A</v>
      </c>
      <c r="S263" s="55" t="e">
        <f t="shared" ca="1" si="56"/>
        <v>#N/A</v>
      </c>
      <c r="T263" s="55" t="e">
        <f t="shared" ca="1" si="51"/>
        <v>#N/A</v>
      </c>
      <c r="U263" s="55" t="e">
        <f t="shared" ca="1" si="52"/>
        <v>#N/A</v>
      </c>
      <c r="V263" s="55" t="e">
        <f t="shared" ca="1" si="53"/>
        <v>#N/A</v>
      </c>
      <c r="W263" s="55" t="e">
        <f t="shared" ca="1" si="57"/>
        <v>#N/A</v>
      </c>
      <c r="X263" s="55" t="e">
        <f t="shared" ca="1" si="58"/>
        <v>#N/A</v>
      </c>
      <c r="Y263" s="55" t="e">
        <f t="shared" ca="1" si="59"/>
        <v>#N/A</v>
      </c>
      <c r="Z263" t="e">
        <f ca="1">VLOOKUP(S263,ModelOutputs,10,FALSE)*AWC</f>
        <v>#N/A</v>
      </c>
      <c r="AA263" t="e">
        <f t="shared" ca="1" si="60"/>
        <v>#N/A</v>
      </c>
      <c r="AB263" t="e">
        <f t="shared" ca="1" si="54"/>
        <v>#N/A</v>
      </c>
      <c r="AC263" t="e">
        <f t="shared" ca="1" si="55"/>
        <v>#N/A</v>
      </c>
      <c r="AD263" s="83" t="e">
        <f ca="1"/>
        <v>#N/A</v>
      </c>
      <c r="AE263" s="55" t="e">
        <f t="shared" ca="1" si="61"/>
        <v>#N/A</v>
      </c>
      <c r="AF263" s="55" t="e">
        <f t="shared" ca="1" si="62"/>
        <v>#N/A</v>
      </c>
      <c r="AG263" s="55" t="e">
        <f t="shared" ca="1" si="63"/>
        <v>#N/A</v>
      </c>
      <c r="AH263" s="55" t="e">
        <f t="shared" ca="1" si="64"/>
        <v>#N/A</v>
      </c>
      <c r="AI263" s="55" t="e">
        <f ca="1">-VLOOKUP(AE263,ModelOutputs,9,FALSE)+AI262</f>
        <v>#N/A</v>
      </c>
      <c r="AJ263" s="55" t="e">
        <f ca="1">VLOOKUP(AE263,ModelOutputs,5,FALSE)+AJ262</f>
        <v>#N/A</v>
      </c>
      <c r="AK263" s="55" t="e">
        <f ca="1">VLOOKUP(AE263,ModelOutputs,4,FALSE)+AK262</f>
        <v>#N/A</v>
      </c>
    </row>
    <row r="264" spans="18:37">
      <c r="R264" s="83" t="e">
        <f ca="1"/>
        <v>#N/A</v>
      </c>
      <c r="S264" s="55" t="e">
        <f t="shared" ca="1" si="56"/>
        <v>#N/A</v>
      </c>
      <c r="T264" s="55" t="e">
        <f t="shared" ca="1" si="51"/>
        <v>#N/A</v>
      </c>
      <c r="U264" s="55" t="e">
        <f t="shared" ca="1" si="52"/>
        <v>#N/A</v>
      </c>
      <c r="V264" s="55" t="e">
        <f t="shared" ca="1" si="53"/>
        <v>#N/A</v>
      </c>
      <c r="W264" s="55" t="e">
        <f t="shared" ca="1" si="57"/>
        <v>#N/A</v>
      </c>
      <c r="X264" s="55" t="e">
        <f t="shared" ca="1" si="58"/>
        <v>#N/A</v>
      </c>
      <c r="Y264" s="55" t="e">
        <f t="shared" ca="1" si="59"/>
        <v>#N/A</v>
      </c>
      <c r="Z264" t="e">
        <f ca="1">VLOOKUP(S264,ModelOutputs,10,FALSE)*AWC</f>
        <v>#N/A</v>
      </c>
      <c r="AA264" t="e">
        <f t="shared" ca="1" si="60"/>
        <v>#N/A</v>
      </c>
      <c r="AB264" t="e">
        <f t="shared" ca="1" si="54"/>
        <v>#N/A</v>
      </c>
      <c r="AC264" t="e">
        <f t="shared" ca="1" si="55"/>
        <v>#N/A</v>
      </c>
      <c r="AD264" s="83" t="e">
        <f ca="1"/>
        <v>#N/A</v>
      </c>
      <c r="AE264" s="55" t="e">
        <f t="shared" ca="1" si="61"/>
        <v>#N/A</v>
      </c>
      <c r="AF264" s="55" t="e">
        <f t="shared" ca="1" si="62"/>
        <v>#N/A</v>
      </c>
      <c r="AG264" s="55" t="e">
        <f t="shared" ca="1" si="63"/>
        <v>#N/A</v>
      </c>
      <c r="AH264" s="55" t="e">
        <f t="shared" ca="1" si="64"/>
        <v>#N/A</v>
      </c>
      <c r="AI264" s="55" t="e">
        <f ca="1">-VLOOKUP(AE264,ModelOutputs,9,FALSE)+AI263</f>
        <v>#N/A</v>
      </c>
      <c r="AJ264" s="55" t="e">
        <f ca="1">VLOOKUP(AE264,ModelOutputs,5,FALSE)+AJ263</f>
        <v>#N/A</v>
      </c>
      <c r="AK264" s="55" t="e">
        <f ca="1">VLOOKUP(AE264,ModelOutputs,4,FALSE)+AK263</f>
        <v>#N/A</v>
      </c>
    </row>
    <row r="265" spans="18:37">
      <c r="R265" s="83" t="e">
        <f ca="1"/>
        <v>#N/A</v>
      </c>
      <c r="S265" s="55" t="e">
        <f t="shared" ca="1" si="56"/>
        <v>#N/A</v>
      </c>
      <c r="T265" s="55" t="e">
        <f t="shared" ca="1" si="51"/>
        <v>#N/A</v>
      </c>
      <c r="U265" s="55" t="e">
        <f t="shared" ca="1" si="52"/>
        <v>#N/A</v>
      </c>
      <c r="V265" s="55" t="e">
        <f t="shared" ca="1" si="53"/>
        <v>#N/A</v>
      </c>
      <c r="W265" s="55" t="e">
        <f t="shared" ca="1" si="57"/>
        <v>#N/A</v>
      </c>
      <c r="X265" s="55" t="e">
        <f t="shared" ca="1" si="58"/>
        <v>#N/A</v>
      </c>
      <c r="Y265" s="55" t="e">
        <f t="shared" ca="1" si="59"/>
        <v>#N/A</v>
      </c>
      <c r="Z265" t="e">
        <f ca="1">VLOOKUP(S265,ModelOutputs,10,FALSE)*AWC</f>
        <v>#N/A</v>
      </c>
      <c r="AA265" t="e">
        <f t="shared" ca="1" si="60"/>
        <v>#N/A</v>
      </c>
      <c r="AB265" t="e">
        <f t="shared" ca="1" si="54"/>
        <v>#N/A</v>
      </c>
      <c r="AC265" t="e">
        <f t="shared" ca="1" si="55"/>
        <v>#N/A</v>
      </c>
      <c r="AD265" s="83" t="e">
        <f ca="1"/>
        <v>#N/A</v>
      </c>
      <c r="AE265" s="55" t="e">
        <f t="shared" ca="1" si="61"/>
        <v>#N/A</v>
      </c>
      <c r="AF265" s="55" t="e">
        <f t="shared" ca="1" si="62"/>
        <v>#N/A</v>
      </c>
      <c r="AG265" s="55" t="e">
        <f t="shared" ca="1" si="63"/>
        <v>#N/A</v>
      </c>
      <c r="AH265" s="55" t="e">
        <f t="shared" ca="1" si="64"/>
        <v>#N/A</v>
      </c>
      <c r="AI265" s="55" t="e">
        <f ca="1">-VLOOKUP(AE265,ModelOutputs,9,FALSE)+AI264</f>
        <v>#N/A</v>
      </c>
      <c r="AJ265" s="55" t="e">
        <f ca="1">VLOOKUP(AE265,ModelOutputs,5,FALSE)+AJ264</f>
        <v>#N/A</v>
      </c>
      <c r="AK265" s="55" t="e">
        <f ca="1">VLOOKUP(AE265,ModelOutputs,4,FALSE)+AK264</f>
        <v>#N/A</v>
      </c>
    </row>
    <row r="266" spans="18:37">
      <c r="R266" s="83" t="e">
        <f ca="1"/>
        <v>#N/A</v>
      </c>
      <c r="S266" s="55" t="e">
        <f t="shared" ca="1" si="56"/>
        <v>#N/A</v>
      </c>
      <c r="T266" s="55" t="e">
        <f t="shared" ca="1" si="51"/>
        <v>#N/A</v>
      </c>
      <c r="U266" s="55" t="e">
        <f t="shared" ca="1" si="52"/>
        <v>#N/A</v>
      </c>
      <c r="V266" s="55" t="e">
        <f t="shared" ca="1" si="53"/>
        <v>#N/A</v>
      </c>
      <c r="W266" s="55" t="e">
        <f t="shared" ca="1" si="57"/>
        <v>#N/A</v>
      </c>
      <c r="X266" s="55" t="e">
        <f t="shared" ca="1" si="58"/>
        <v>#N/A</v>
      </c>
      <c r="Y266" s="55" t="e">
        <f t="shared" ca="1" si="59"/>
        <v>#N/A</v>
      </c>
      <c r="Z266" t="e">
        <f ca="1">VLOOKUP(S266,ModelOutputs,10,FALSE)*AWC</f>
        <v>#N/A</v>
      </c>
      <c r="AA266" t="e">
        <f t="shared" ca="1" si="60"/>
        <v>#N/A</v>
      </c>
      <c r="AB266" t="e">
        <f t="shared" ca="1" si="54"/>
        <v>#N/A</v>
      </c>
      <c r="AC266" t="e">
        <f t="shared" ca="1" si="55"/>
        <v>#N/A</v>
      </c>
      <c r="AD266" s="83" t="e">
        <f ca="1"/>
        <v>#N/A</v>
      </c>
      <c r="AE266" s="55" t="e">
        <f t="shared" ca="1" si="61"/>
        <v>#N/A</v>
      </c>
      <c r="AF266" s="55" t="e">
        <f t="shared" ca="1" si="62"/>
        <v>#N/A</v>
      </c>
      <c r="AG266" s="55" t="e">
        <f t="shared" ca="1" si="63"/>
        <v>#N/A</v>
      </c>
      <c r="AH266" s="55" t="e">
        <f t="shared" ca="1" si="64"/>
        <v>#N/A</v>
      </c>
      <c r="AI266" s="55" t="e">
        <f ca="1">-VLOOKUP(AE266,ModelOutputs,9,FALSE)+AI265</f>
        <v>#N/A</v>
      </c>
      <c r="AJ266" s="55" t="e">
        <f ca="1">VLOOKUP(AE266,ModelOutputs,5,FALSE)+AJ265</f>
        <v>#N/A</v>
      </c>
      <c r="AK266" s="55" t="e">
        <f ca="1">VLOOKUP(AE266,ModelOutputs,4,FALSE)+AK265</f>
        <v>#N/A</v>
      </c>
    </row>
    <row r="267" spans="18:37">
      <c r="R267" s="83" t="e">
        <f ca="1"/>
        <v>#N/A</v>
      </c>
      <c r="S267" s="55" t="e">
        <f t="shared" ca="1" si="56"/>
        <v>#N/A</v>
      </c>
      <c r="T267" s="55" t="e">
        <f t="shared" ca="1" si="51"/>
        <v>#N/A</v>
      </c>
      <c r="U267" s="55" t="e">
        <f t="shared" ca="1" si="52"/>
        <v>#N/A</v>
      </c>
      <c r="V267" s="55" t="e">
        <f t="shared" ca="1" si="53"/>
        <v>#N/A</v>
      </c>
      <c r="W267" s="55" t="e">
        <f t="shared" ca="1" si="57"/>
        <v>#N/A</v>
      </c>
      <c r="X267" s="55" t="e">
        <f t="shared" ca="1" si="58"/>
        <v>#N/A</v>
      </c>
      <c r="Y267" s="55" t="e">
        <f t="shared" ca="1" si="59"/>
        <v>#N/A</v>
      </c>
      <c r="Z267" t="e">
        <f ca="1">VLOOKUP(S267,ModelOutputs,10,FALSE)*AWC</f>
        <v>#N/A</v>
      </c>
      <c r="AA267" t="e">
        <f t="shared" ca="1" si="60"/>
        <v>#N/A</v>
      </c>
      <c r="AB267" t="e">
        <f t="shared" ca="1" si="54"/>
        <v>#N/A</v>
      </c>
      <c r="AC267" t="e">
        <f t="shared" ca="1" si="55"/>
        <v>#N/A</v>
      </c>
      <c r="AD267" s="83" t="e">
        <f ca="1"/>
        <v>#N/A</v>
      </c>
      <c r="AE267" s="55" t="e">
        <f t="shared" ca="1" si="61"/>
        <v>#N/A</v>
      </c>
      <c r="AF267" s="55" t="e">
        <f t="shared" ca="1" si="62"/>
        <v>#N/A</v>
      </c>
      <c r="AG267" s="55" t="e">
        <f t="shared" ca="1" si="63"/>
        <v>#N/A</v>
      </c>
      <c r="AH267" s="55" t="e">
        <f t="shared" ca="1" si="64"/>
        <v>#N/A</v>
      </c>
      <c r="AI267" s="55" t="e">
        <f ca="1">-VLOOKUP(AE267,ModelOutputs,9,FALSE)+AI266</f>
        <v>#N/A</v>
      </c>
      <c r="AJ267" s="55" t="e">
        <f ca="1">VLOOKUP(AE267,ModelOutputs,5,FALSE)+AJ266</f>
        <v>#N/A</v>
      </c>
      <c r="AK267" s="55" t="e">
        <f ca="1">VLOOKUP(AE267,ModelOutputs,4,FALSE)+AK266</f>
        <v>#N/A</v>
      </c>
    </row>
    <row r="268" spans="18:37">
      <c r="R268" s="83" t="e">
        <f ca="1"/>
        <v>#N/A</v>
      </c>
      <c r="S268" s="55" t="e">
        <f t="shared" ca="1" si="56"/>
        <v>#N/A</v>
      </c>
      <c r="T268" s="55" t="e">
        <f t="shared" ca="1" si="51"/>
        <v>#N/A</v>
      </c>
      <c r="U268" s="55" t="e">
        <f t="shared" ca="1" si="52"/>
        <v>#N/A</v>
      </c>
      <c r="V268" s="55" t="e">
        <f t="shared" ca="1" si="53"/>
        <v>#N/A</v>
      </c>
      <c r="W268" s="55" t="e">
        <f t="shared" ca="1" si="57"/>
        <v>#N/A</v>
      </c>
      <c r="X268" s="55" t="e">
        <f t="shared" ca="1" si="58"/>
        <v>#N/A</v>
      </c>
      <c r="Y268" s="55" t="e">
        <f t="shared" ca="1" si="59"/>
        <v>#N/A</v>
      </c>
      <c r="Z268" t="e">
        <f ca="1">VLOOKUP(S268,ModelOutputs,10,FALSE)*AWC</f>
        <v>#N/A</v>
      </c>
      <c r="AA268" t="e">
        <f t="shared" ca="1" si="60"/>
        <v>#N/A</v>
      </c>
      <c r="AB268" t="e">
        <f t="shared" ca="1" si="54"/>
        <v>#N/A</v>
      </c>
      <c r="AC268" t="e">
        <f t="shared" ca="1" si="55"/>
        <v>#N/A</v>
      </c>
      <c r="AD268" s="83" t="e">
        <f ca="1"/>
        <v>#N/A</v>
      </c>
      <c r="AE268" s="55" t="e">
        <f t="shared" ca="1" si="61"/>
        <v>#N/A</v>
      </c>
      <c r="AF268" s="55" t="e">
        <f t="shared" ca="1" si="62"/>
        <v>#N/A</v>
      </c>
      <c r="AG268" s="55" t="e">
        <f t="shared" ca="1" si="63"/>
        <v>#N/A</v>
      </c>
      <c r="AH268" s="55" t="e">
        <f t="shared" ca="1" si="64"/>
        <v>#N/A</v>
      </c>
      <c r="AI268" s="55" t="e">
        <f ca="1">-VLOOKUP(AE268,ModelOutputs,9,FALSE)+AI267</f>
        <v>#N/A</v>
      </c>
      <c r="AJ268" s="55" t="e">
        <f ca="1">VLOOKUP(AE268,ModelOutputs,5,FALSE)+AJ267</f>
        <v>#N/A</v>
      </c>
      <c r="AK268" s="55" t="e">
        <f ca="1">VLOOKUP(AE268,ModelOutputs,4,FALSE)+AK267</f>
        <v>#N/A</v>
      </c>
    </row>
    <row r="269" spans="18:37">
      <c r="R269" s="83" t="e">
        <f ca="1"/>
        <v>#N/A</v>
      </c>
      <c r="S269" s="55" t="e">
        <f t="shared" ca="1" si="56"/>
        <v>#N/A</v>
      </c>
      <c r="T269" s="55" t="e">
        <f t="shared" ca="1" si="51"/>
        <v>#N/A</v>
      </c>
      <c r="U269" s="55" t="e">
        <f t="shared" ca="1" si="52"/>
        <v>#N/A</v>
      </c>
      <c r="V269" s="55" t="e">
        <f t="shared" ca="1" si="53"/>
        <v>#N/A</v>
      </c>
      <c r="W269" s="55" t="e">
        <f t="shared" ca="1" si="57"/>
        <v>#N/A</v>
      </c>
      <c r="X269" s="55" t="e">
        <f t="shared" ca="1" si="58"/>
        <v>#N/A</v>
      </c>
      <c r="Y269" s="55" t="e">
        <f t="shared" ca="1" si="59"/>
        <v>#N/A</v>
      </c>
      <c r="Z269" t="e">
        <f ca="1">VLOOKUP(S269,ModelOutputs,10,FALSE)*AWC</f>
        <v>#N/A</v>
      </c>
      <c r="AA269" t="e">
        <f t="shared" ca="1" si="60"/>
        <v>#N/A</v>
      </c>
      <c r="AB269" t="e">
        <f t="shared" ca="1" si="54"/>
        <v>#N/A</v>
      </c>
      <c r="AC269" t="e">
        <f t="shared" ca="1" si="55"/>
        <v>#N/A</v>
      </c>
      <c r="AD269" s="83" t="e">
        <f ca="1"/>
        <v>#N/A</v>
      </c>
      <c r="AE269" s="55" t="e">
        <f t="shared" ca="1" si="61"/>
        <v>#N/A</v>
      </c>
      <c r="AF269" s="55" t="e">
        <f t="shared" ca="1" si="62"/>
        <v>#N/A</v>
      </c>
      <c r="AG269" s="55" t="e">
        <f t="shared" ca="1" si="63"/>
        <v>#N/A</v>
      </c>
      <c r="AH269" s="55" t="e">
        <f t="shared" ca="1" si="64"/>
        <v>#N/A</v>
      </c>
      <c r="AI269" s="55" t="e">
        <f ca="1">-VLOOKUP(AE269,ModelOutputs,9,FALSE)+AI268</f>
        <v>#N/A</v>
      </c>
      <c r="AJ269" s="55" t="e">
        <f ca="1">VLOOKUP(AE269,ModelOutputs,5,FALSE)+AJ268</f>
        <v>#N/A</v>
      </c>
      <c r="AK269" s="55" t="e">
        <f ca="1">VLOOKUP(AE269,ModelOutputs,4,FALSE)+AK268</f>
        <v>#N/A</v>
      </c>
    </row>
    <row r="270" spans="18:37">
      <c r="R270" s="83" t="e">
        <f ca="1"/>
        <v>#N/A</v>
      </c>
      <c r="S270" s="55" t="e">
        <f t="shared" ca="1" si="56"/>
        <v>#N/A</v>
      </c>
      <c r="T270" s="55" t="e">
        <f t="shared" ca="1" si="51"/>
        <v>#N/A</v>
      </c>
      <c r="U270" s="55" t="e">
        <f t="shared" ca="1" si="52"/>
        <v>#N/A</v>
      </c>
      <c r="V270" s="55" t="e">
        <f t="shared" ca="1" si="53"/>
        <v>#N/A</v>
      </c>
      <c r="W270" s="55" t="e">
        <f t="shared" ca="1" si="57"/>
        <v>#N/A</v>
      </c>
      <c r="X270" s="55" t="e">
        <f t="shared" ca="1" si="58"/>
        <v>#N/A</v>
      </c>
      <c r="Y270" s="55" t="e">
        <f t="shared" ca="1" si="59"/>
        <v>#N/A</v>
      </c>
      <c r="Z270" t="e">
        <f ca="1">VLOOKUP(S270,ModelOutputs,10,FALSE)*AWC</f>
        <v>#N/A</v>
      </c>
      <c r="AA270" t="e">
        <f t="shared" ca="1" si="60"/>
        <v>#N/A</v>
      </c>
      <c r="AB270" t="e">
        <f t="shared" ca="1" si="54"/>
        <v>#N/A</v>
      </c>
      <c r="AC270" t="e">
        <f t="shared" ca="1" si="55"/>
        <v>#N/A</v>
      </c>
      <c r="AD270" s="83" t="e">
        <f ca="1"/>
        <v>#N/A</v>
      </c>
      <c r="AE270" s="55" t="e">
        <f t="shared" ca="1" si="61"/>
        <v>#N/A</v>
      </c>
      <c r="AF270" s="55" t="e">
        <f t="shared" ca="1" si="62"/>
        <v>#N/A</v>
      </c>
      <c r="AG270" s="55" t="e">
        <f t="shared" ca="1" si="63"/>
        <v>#N/A</v>
      </c>
      <c r="AH270" s="55" t="e">
        <f t="shared" ca="1" si="64"/>
        <v>#N/A</v>
      </c>
      <c r="AI270" s="55" t="e">
        <f ca="1">-VLOOKUP(AE270,ModelOutputs,9,FALSE)+AI269</f>
        <v>#N/A</v>
      </c>
      <c r="AJ270" s="55" t="e">
        <f ca="1">VLOOKUP(AE270,ModelOutputs,5,FALSE)+AJ269</f>
        <v>#N/A</v>
      </c>
      <c r="AK270" s="55" t="e">
        <f ca="1">VLOOKUP(AE270,ModelOutputs,4,FALSE)+AK269</f>
        <v>#N/A</v>
      </c>
    </row>
    <row r="271" spans="18:37">
      <c r="R271" s="83" t="e">
        <f ca="1"/>
        <v>#N/A</v>
      </c>
      <c r="S271" s="55" t="e">
        <f t="shared" ca="1" si="56"/>
        <v>#N/A</v>
      </c>
      <c r="T271" s="55" t="e">
        <f t="shared" ca="1" si="51"/>
        <v>#N/A</v>
      </c>
      <c r="U271" s="55" t="e">
        <f t="shared" ca="1" si="52"/>
        <v>#N/A</v>
      </c>
      <c r="V271" s="55" t="e">
        <f t="shared" ca="1" si="53"/>
        <v>#N/A</v>
      </c>
      <c r="W271" s="55" t="e">
        <f t="shared" ca="1" si="57"/>
        <v>#N/A</v>
      </c>
      <c r="X271" s="55" t="e">
        <f t="shared" ca="1" si="58"/>
        <v>#N/A</v>
      </c>
      <c r="Y271" s="55" t="e">
        <f t="shared" ca="1" si="59"/>
        <v>#N/A</v>
      </c>
      <c r="Z271" t="e">
        <f ca="1">VLOOKUP(S271,ModelOutputs,10,FALSE)*AWC</f>
        <v>#N/A</v>
      </c>
      <c r="AA271" t="e">
        <f t="shared" ca="1" si="60"/>
        <v>#N/A</v>
      </c>
      <c r="AB271" t="e">
        <f t="shared" ca="1" si="54"/>
        <v>#N/A</v>
      </c>
      <c r="AC271" t="e">
        <f t="shared" ca="1" si="55"/>
        <v>#N/A</v>
      </c>
      <c r="AD271" s="83" t="e">
        <f ca="1"/>
        <v>#N/A</v>
      </c>
      <c r="AE271" s="55" t="e">
        <f t="shared" ca="1" si="61"/>
        <v>#N/A</v>
      </c>
      <c r="AF271" s="55" t="e">
        <f t="shared" ca="1" si="62"/>
        <v>#N/A</v>
      </c>
      <c r="AG271" s="55" t="e">
        <f t="shared" ca="1" si="63"/>
        <v>#N/A</v>
      </c>
      <c r="AH271" s="55" t="e">
        <f t="shared" ca="1" si="64"/>
        <v>#N/A</v>
      </c>
      <c r="AI271" s="55" t="e">
        <f ca="1">-VLOOKUP(AE271,ModelOutputs,9,FALSE)+AI270</f>
        <v>#N/A</v>
      </c>
      <c r="AJ271" s="55" t="e">
        <f ca="1">VLOOKUP(AE271,ModelOutputs,5,FALSE)+AJ270</f>
        <v>#N/A</v>
      </c>
      <c r="AK271" s="55" t="e">
        <f ca="1">VLOOKUP(AE271,ModelOutputs,4,FALSE)+AK270</f>
        <v>#N/A</v>
      </c>
    </row>
    <row r="272" spans="18:37">
      <c r="R272" s="83" t="e">
        <f ca="1"/>
        <v>#N/A</v>
      </c>
      <c r="S272" s="55" t="e">
        <f t="shared" ca="1" si="56"/>
        <v>#N/A</v>
      </c>
      <c r="T272" s="55" t="e">
        <f t="shared" ca="1" si="51"/>
        <v>#N/A</v>
      </c>
      <c r="U272" s="55" t="e">
        <f t="shared" ca="1" si="52"/>
        <v>#N/A</v>
      </c>
      <c r="V272" s="55" t="e">
        <f t="shared" ca="1" si="53"/>
        <v>#N/A</v>
      </c>
      <c r="W272" s="55" t="e">
        <f t="shared" ca="1" si="57"/>
        <v>#N/A</v>
      </c>
      <c r="X272" s="55" t="e">
        <f t="shared" ca="1" si="58"/>
        <v>#N/A</v>
      </c>
      <c r="Y272" s="55" t="e">
        <f t="shared" ca="1" si="59"/>
        <v>#N/A</v>
      </c>
      <c r="Z272" t="e">
        <f ca="1">VLOOKUP(S272,ModelOutputs,10,FALSE)*AWC</f>
        <v>#N/A</v>
      </c>
      <c r="AA272" t="e">
        <f t="shared" ca="1" si="60"/>
        <v>#N/A</v>
      </c>
      <c r="AB272" t="e">
        <f t="shared" ca="1" si="54"/>
        <v>#N/A</v>
      </c>
      <c r="AC272" t="e">
        <f t="shared" ca="1" si="55"/>
        <v>#N/A</v>
      </c>
      <c r="AD272" s="83" t="e">
        <f ca="1"/>
        <v>#N/A</v>
      </c>
      <c r="AE272" s="55" t="e">
        <f t="shared" ca="1" si="61"/>
        <v>#N/A</v>
      </c>
      <c r="AF272" s="55" t="e">
        <f t="shared" ca="1" si="62"/>
        <v>#N/A</v>
      </c>
      <c r="AG272" s="55" t="e">
        <f t="shared" ca="1" si="63"/>
        <v>#N/A</v>
      </c>
      <c r="AH272" s="55" t="e">
        <f t="shared" ca="1" si="64"/>
        <v>#N/A</v>
      </c>
      <c r="AI272" s="55" t="e">
        <f ca="1">-VLOOKUP(AE272,ModelOutputs,9,FALSE)+AI271</f>
        <v>#N/A</v>
      </c>
      <c r="AJ272" s="55" t="e">
        <f ca="1">VLOOKUP(AE272,ModelOutputs,5,FALSE)+AJ271</f>
        <v>#N/A</v>
      </c>
      <c r="AK272" s="55" t="e">
        <f ca="1">VLOOKUP(AE272,ModelOutputs,4,FALSE)+AK271</f>
        <v>#N/A</v>
      </c>
    </row>
    <row r="273" spans="18:37">
      <c r="R273" s="83" t="e">
        <f ca="1"/>
        <v>#N/A</v>
      </c>
      <c r="S273" s="55" t="e">
        <f t="shared" ca="1" si="56"/>
        <v>#N/A</v>
      </c>
      <c r="T273" s="55" t="e">
        <f t="shared" ca="1" si="51"/>
        <v>#N/A</v>
      </c>
      <c r="U273" s="55" t="e">
        <f t="shared" ca="1" si="52"/>
        <v>#N/A</v>
      </c>
      <c r="V273" s="55" t="e">
        <f t="shared" ca="1" si="53"/>
        <v>#N/A</v>
      </c>
      <c r="W273" s="55" t="e">
        <f t="shared" ca="1" si="57"/>
        <v>#N/A</v>
      </c>
      <c r="X273" s="55" t="e">
        <f t="shared" ca="1" si="58"/>
        <v>#N/A</v>
      </c>
      <c r="Y273" s="55" t="e">
        <f t="shared" ca="1" si="59"/>
        <v>#N/A</v>
      </c>
      <c r="Z273" t="e">
        <f ca="1">VLOOKUP(S273,ModelOutputs,10,FALSE)*AWC</f>
        <v>#N/A</v>
      </c>
      <c r="AA273" t="e">
        <f t="shared" ca="1" si="60"/>
        <v>#N/A</v>
      </c>
      <c r="AB273" t="e">
        <f t="shared" ca="1" si="54"/>
        <v>#N/A</v>
      </c>
      <c r="AC273" t="e">
        <f t="shared" ca="1" si="55"/>
        <v>#N/A</v>
      </c>
      <c r="AD273" s="83" t="e">
        <f ca="1"/>
        <v>#N/A</v>
      </c>
      <c r="AE273" s="55" t="e">
        <f t="shared" ca="1" si="61"/>
        <v>#N/A</v>
      </c>
      <c r="AF273" s="55" t="e">
        <f t="shared" ca="1" si="62"/>
        <v>#N/A</v>
      </c>
      <c r="AG273" s="55" t="e">
        <f t="shared" ca="1" si="63"/>
        <v>#N/A</v>
      </c>
      <c r="AH273" s="55" t="e">
        <f t="shared" ca="1" si="64"/>
        <v>#N/A</v>
      </c>
      <c r="AI273" s="55" t="e">
        <f ca="1">-VLOOKUP(AE273,ModelOutputs,9,FALSE)+AI272</f>
        <v>#N/A</v>
      </c>
      <c r="AJ273" s="55" t="e">
        <f ca="1">VLOOKUP(AE273,ModelOutputs,5,FALSE)+AJ272</f>
        <v>#N/A</v>
      </c>
      <c r="AK273" s="55" t="e">
        <f ca="1">VLOOKUP(AE273,ModelOutputs,4,FALSE)+AK272</f>
        <v>#N/A</v>
      </c>
    </row>
    <row r="274" spans="18:37">
      <c r="R274" s="83" t="e">
        <f ca="1"/>
        <v>#N/A</v>
      </c>
      <c r="S274" s="55" t="e">
        <f t="shared" ca="1" si="56"/>
        <v>#N/A</v>
      </c>
      <c r="T274" s="55" t="e">
        <f t="shared" ref="T274:T337" ca="1" si="65">VLOOKUP(S274,ModelOutputs,2,FALSE)</f>
        <v>#N/A</v>
      </c>
      <c r="U274" s="55" t="e">
        <f t="shared" ref="U274:U337" ca="1" si="66">VLOOKUP(S274,ModelOutputs,7,FALSE)</f>
        <v>#N/A</v>
      </c>
      <c r="V274" s="55" t="e">
        <f t="shared" ref="V274:V337" ca="1" si="67">VLOOKUP(S274,ModelOutputs,6,FALSE)</f>
        <v>#N/A</v>
      </c>
      <c r="W274" s="55" t="e">
        <f t="shared" ca="1" si="57"/>
        <v>#N/A</v>
      </c>
      <c r="X274" s="55" t="e">
        <f t="shared" ca="1" si="58"/>
        <v>#N/A</v>
      </c>
      <c r="Y274" s="55" t="e">
        <f t="shared" ca="1" si="59"/>
        <v>#N/A</v>
      </c>
      <c r="Z274" t="e">
        <f ca="1">VLOOKUP(S274,ModelOutputs,10,FALSE)*AWC</f>
        <v>#N/A</v>
      </c>
      <c r="AA274" t="e">
        <f t="shared" ca="1" si="60"/>
        <v>#N/A</v>
      </c>
      <c r="AB274" t="e">
        <f t="shared" ref="AB274:AB337" ca="1" si="68">VLOOKUP(S274,ModelOutputs,12,FALSE)</f>
        <v>#N/A</v>
      </c>
      <c r="AC274" t="e">
        <f t="shared" ref="AC274:AC337" ca="1" si="69">VLOOKUP(S274,ModelOutputs,13,FALSE)</f>
        <v>#N/A</v>
      </c>
      <c r="AD274" s="83" t="e">
        <f ca="1"/>
        <v>#N/A</v>
      </c>
      <c r="AE274" s="55" t="e">
        <f t="shared" ca="1" si="61"/>
        <v>#N/A</v>
      </c>
      <c r="AF274" s="55" t="e">
        <f t="shared" ca="1" si="62"/>
        <v>#N/A</v>
      </c>
      <c r="AG274" s="55" t="e">
        <f t="shared" ca="1" si="63"/>
        <v>#N/A</v>
      </c>
      <c r="AH274" s="55" t="e">
        <f t="shared" ca="1" si="64"/>
        <v>#N/A</v>
      </c>
      <c r="AI274" s="55" t="e">
        <f ca="1">-VLOOKUP(AE274,ModelOutputs,9,FALSE)+AI273</f>
        <v>#N/A</v>
      </c>
      <c r="AJ274" s="55" t="e">
        <f ca="1">VLOOKUP(AE274,ModelOutputs,5,FALSE)+AJ273</f>
        <v>#N/A</v>
      </c>
      <c r="AK274" s="55" t="e">
        <f ca="1">VLOOKUP(AE274,ModelOutputs,4,FALSE)+AK273</f>
        <v>#N/A</v>
      </c>
    </row>
    <row r="275" spans="18:37">
      <c r="R275" s="83" t="e">
        <f ca="1"/>
        <v>#N/A</v>
      </c>
      <c r="S275" s="55" t="e">
        <f t="shared" ref="S275:S338" ca="1" si="70">IF(R275&gt;1,R275,"")</f>
        <v>#N/A</v>
      </c>
      <c r="T275" s="55" t="e">
        <f t="shared" ca="1" si="65"/>
        <v>#N/A</v>
      </c>
      <c r="U275" s="55" t="e">
        <f t="shared" ca="1" si="66"/>
        <v>#N/A</v>
      </c>
      <c r="V275" s="55" t="e">
        <f t="shared" ca="1" si="67"/>
        <v>#N/A</v>
      </c>
      <c r="W275" s="55" t="e">
        <f t="shared" ref="W275:W338" ca="1" si="71">-VLOOKUP(S275,ModelOutputs,9,FALSE)+W274</f>
        <v>#N/A</v>
      </c>
      <c r="X275" s="55" t="e">
        <f t="shared" ref="X275:X338" ca="1" si="72">VLOOKUP(S275,ModelOutputs,5,FALSE)+X274</f>
        <v>#N/A</v>
      </c>
      <c r="Y275" s="55" t="e">
        <f t="shared" ref="Y275:Y338" ca="1" si="73">VLOOKUP(S275,ModelOutputs,4,FALSE)+Y274</f>
        <v>#N/A</v>
      </c>
      <c r="Z275" t="e">
        <f ca="1">VLOOKUP(S275,ModelOutputs,10,FALSE)*AWC</f>
        <v>#N/A</v>
      </c>
      <c r="AA275" t="e">
        <f t="shared" ref="AA275:AA338" ca="1" si="74">VLOOKUP(S275,ModelOutputs,11,FALSE)+AA274</f>
        <v>#N/A</v>
      </c>
      <c r="AB275" t="e">
        <f t="shared" ca="1" si="68"/>
        <v>#N/A</v>
      </c>
      <c r="AC275" t="e">
        <f t="shared" ca="1" si="69"/>
        <v>#N/A</v>
      </c>
      <c r="AD275" s="83" t="e">
        <f ca="1"/>
        <v>#N/A</v>
      </c>
      <c r="AE275" s="55" t="e">
        <f t="shared" ca="1" si="61"/>
        <v>#N/A</v>
      </c>
      <c r="AF275" s="55" t="e">
        <f t="shared" ca="1" si="62"/>
        <v>#N/A</v>
      </c>
      <c r="AG275" s="55" t="e">
        <f t="shared" ca="1" si="63"/>
        <v>#N/A</v>
      </c>
      <c r="AH275" s="55" t="e">
        <f t="shared" ca="1" si="64"/>
        <v>#N/A</v>
      </c>
      <c r="AI275" s="55" t="e">
        <f ca="1">-VLOOKUP(AE275,ModelOutputs,9,FALSE)+AI274</f>
        <v>#N/A</v>
      </c>
      <c r="AJ275" s="55" t="e">
        <f ca="1">VLOOKUP(AE275,ModelOutputs,5,FALSE)+AJ274</f>
        <v>#N/A</v>
      </c>
      <c r="AK275" s="55" t="e">
        <f ca="1">VLOOKUP(AE275,ModelOutputs,4,FALSE)+AK274</f>
        <v>#N/A</v>
      </c>
    </row>
    <row r="276" spans="18:37">
      <c r="R276" s="83" t="e">
        <f ca="1"/>
        <v>#N/A</v>
      </c>
      <c r="S276" s="55" t="e">
        <f t="shared" ca="1" si="70"/>
        <v>#N/A</v>
      </c>
      <c r="T276" s="55" t="e">
        <f t="shared" ca="1" si="65"/>
        <v>#N/A</v>
      </c>
      <c r="U276" s="55" t="e">
        <f t="shared" ca="1" si="66"/>
        <v>#N/A</v>
      </c>
      <c r="V276" s="55" t="e">
        <f t="shared" ca="1" si="67"/>
        <v>#N/A</v>
      </c>
      <c r="W276" s="55" t="e">
        <f t="shared" ca="1" si="71"/>
        <v>#N/A</v>
      </c>
      <c r="X276" s="55" t="e">
        <f t="shared" ca="1" si="72"/>
        <v>#N/A</v>
      </c>
      <c r="Y276" s="55" t="e">
        <f t="shared" ca="1" si="73"/>
        <v>#N/A</v>
      </c>
      <c r="Z276" t="e">
        <f ca="1">VLOOKUP(S276,ModelOutputs,10,FALSE)*AWC</f>
        <v>#N/A</v>
      </c>
      <c r="AA276" t="e">
        <f t="shared" ca="1" si="74"/>
        <v>#N/A</v>
      </c>
      <c r="AB276" t="e">
        <f t="shared" ca="1" si="68"/>
        <v>#N/A</v>
      </c>
      <c r="AC276" t="e">
        <f t="shared" ca="1" si="69"/>
        <v>#N/A</v>
      </c>
      <c r="AD276" s="83" t="e">
        <f ca="1"/>
        <v>#N/A</v>
      </c>
      <c r="AE276" s="55" t="e">
        <f t="shared" ca="1" si="61"/>
        <v>#N/A</v>
      </c>
      <c r="AF276" s="55" t="e">
        <f t="shared" ca="1" si="62"/>
        <v>#N/A</v>
      </c>
      <c r="AG276" s="55" t="e">
        <f t="shared" ca="1" si="63"/>
        <v>#N/A</v>
      </c>
      <c r="AH276" s="55" t="e">
        <f t="shared" ca="1" si="64"/>
        <v>#N/A</v>
      </c>
      <c r="AI276" s="55" t="e">
        <f ca="1">-VLOOKUP(AE276,ModelOutputs,9,FALSE)+AI275</f>
        <v>#N/A</v>
      </c>
      <c r="AJ276" s="55" t="e">
        <f ca="1">VLOOKUP(AE276,ModelOutputs,5,FALSE)+AJ275</f>
        <v>#N/A</v>
      </c>
      <c r="AK276" s="55" t="e">
        <f ca="1">VLOOKUP(AE276,ModelOutputs,4,FALSE)+AK275</f>
        <v>#N/A</v>
      </c>
    </row>
    <row r="277" spans="18:37">
      <c r="R277" s="83" t="e">
        <f ca="1"/>
        <v>#N/A</v>
      </c>
      <c r="S277" s="55" t="e">
        <f t="shared" ca="1" si="70"/>
        <v>#N/A</v>
      </c>
      <c r="T277" s="55" t="e">
        <f t="shared" ca="1" si="65"/>
        <v>#N/A</v>
      </c>
      <c r="U277" s="55" t="e">
        <f t="shared" ca="1" si="66"/>
        <v>#N/A</v>
      </c>
      <c r="V277" s="55" t="e">
        <f t="shared" ca="1" si="67"/>
        <v>#N/A</v>
      </c>
      <c r="W277" s="55" t="e">
        <f t="shared" ca="1" si="71"/>
        <v>#N/A</v>
      </c>
      <c r="X277" s="55" t="e">
        <f t="shared" ca="1" si="72"/>
        <v>#N/A</v>
      </c>
      <c r="Y277" s="55" t="e">
        <f t="shared" ca="1" si="73"/>
        <v>#N/A</v>
      </c>
      <c r="Z277" t="e">
        <f ca="1">VLOOKUP(S277,ModelOutputs,10,FALSE)*AWC</f>
        <v>#N/A</v>
      </c>
      <c r="AA277" t="e">
        <f t="shared" ca="1" si="74"/>
        <v>#N/A</v>
      </c>
      <c r="AB277" t="e">
        <f t="shared" ca="1" si="68"/>
        <v>#N/A</v>
      </c>
      <c r="AC277" t="e">
        <f t="shared" ca="1" si="69"/>
        <v>#N/A</v>
      </c>
      <c r="AD277" s="83" t="e">
        <f ca="1"/>
        <v>#N/A</v>
      </c>
      <c r="AE277" s="55" t="e">
        <f t="shared" ref="AE277:AE340" ca="1" si="75">IF(AD277&gt;1,AD277,"")</f>
        <v>#N/A</v>
      </c>
      <c r="AF277" s="55" t="e">
        <f t="shared" ref="AF277:AF340" ca="1" si="76">VLOOKUP(AE277,ModelOutputs,2,FALSE)</f>
        <v>#N/A</v>
      </c>
      <c r="AG277" s="55" t="e">
        <f t="shared" ref="AG277:AG340" ca="1" si="77">VLOOKUP(AE277,ModelOutputs,7,FALSE)</f>
        <v>#N/A</v>
      </c>
      <c r="AH277" s="55" t="e">
        <f t="shared" ref="AH277:AH340" ca="1" si="78">VLOOKUP(AE277,ModelOutputs,6,FALSE)</f>
        <v>#N/A</v>
      </c>
      <c r="AI277" s="55" t="e">
        <f ca="1">-VLOOKUP(AE277,ModelOutputs,9,FALSE)+AI276</f>
        <v>#N/A</v>
      </c>
      <c r="AJ277" s="55" t="e">
        <f ca="1">VLOOKUP(AE277,ModelOutputs,5,FALSE)+AJ276</f>
        <v>#N/A</v>
      </c>
      <c r="AK277" s="55" t="e">
        <f ca="1">VLOOKUP(AE277,ModelOutputs,4,FALSE)+AK276</f>
        <v>#N/A</v>
      </c>
    </row>
    <row r="278" spans="18:37">
      <c r="R278" s="83" t="e">
        <f ca="1"/>
        <v>#N/A</v>
      </c>
      <c r="S278" s="55" t="e">
        <f t="shared" ca="1" si="70"/>
        <v>#N/A</v>
      </c>
      <c r="T278" s="55" t="e">
        <f t="shared" ca="1" si="65"/>
        <v>#N/A</v>
      </c>
      <c r="U278" s="55" t="e">
        <f t="shared" ca="1" si="66"/>
        <v>#N/A</v>
      </c>
      <c r="V278" s="55" t="e">
        <f t="shared" ca="1" si="67"/>
        <v>#N/A</v>
      </c>
      <c r="W278" s="55" t="e">
        <f t="shared" ca="1" si="71"/>
        <v>#N/A</v>
      </c>
      <c r="X278" s="55" t="e">
        <f t="shared" ca="1" si="72"/>
        <v>#N/A</v>
      </c>
      <c r="Y278" s="55" t="e">
        <f t="shared" ca="1" si="73"/>
        <v>#N/A</v>
      </c>
      <c r="Z278" t="e">
        <f ca="1">VLOOKUP(S278,ModelOutputs,10,FALSE)*AWC</f>
        <v>#N/A</v>
      </c>
      <c r="AA278" t="e">
        <f t="shared" ca="1" si="74"/>
        <v>#N/A</v>
      </c>
      <c r="AB278" t="e">
        <f t="shared" ca="1" si="68"/>
        <v>#N/A</v>
      </c>
      <c r="AC278" t="e">
        <f t="shared" ca="1" si="69"/>
        <v>#N/A</v>
      </c>
      <c r="AD278" s="83" t="e">
        <f ca="1"/>
        <v>#N/A</v>
      </c>
      <c r="AE278" s="55" t="e">
        <f t="shared" ca="1" si="75"/>
        <v>#N/A</v>
      </c>
      <c r="AF278" s="55" t="e">
        <f t="shared" ca="1" si="76"/>
        <v>#N/A</v>
      </c>
      <c r="AG278" s="55" t="e">
        <f t="shared" ca="1" si="77"/>
        <v>#N/A</v>
      </c>
      <c r="AH278" s="55" t="e">
        <f t="shared" ca="1" si="78"/>
        <v>#N/A</v>
      </c>
      <c r="AI278" s="55" t="e">
        <f ca="1">-VLOOKUP(AE278,ModelOutputs,9,FALSE)+AI277</f>
        <v>#N/A</v>
      </c>
      <c r="AJ278" s="55" t="e">
        <f ca="1">VLOOKUP(AE278,ModelOutputs,5,FALSE)+AJ277</f>
        <v>#N/A</v>
      </c>
      <c r="AK278" s="55" t="e">
        <f ca="1">VLOOKUP(AE278,ModelOutputs,4,FALSE)+AK277</f>
        <v>#N/A</v>
      </c>
    </row>
    <row r="279" spans="18:37">
      <c r="R279" s="83" t="e">
        <f ca="1"/>
        <v>#N/A</v>
      </c>
      <c r="S279" s="55" t="e">
        <f t="shared" ca="1" si="70"/>
        <v>#N/A</v>
      </c>
      <c r="T279" s="55" t="e">
        <f t="shared" ca="1" si="65"/>
        <v>#N/A</v>
      </c>
      <c r="U279" s="55" t="e">
        <f t="shared" ca="1" si="66"/>
        <v>#N/A</v>
      </c>
      <c r="V279" s="55" t="e">
        <f t="shared" ca="1" si="67"/>
        <v>#N/A</v>
      </c>
      <c r="W279" s="55" t="e">
        <f t="shared" ca="1" si="71"/>
        <v>#N/A</v>
      </c>
      <c r="X279" s="55" t="e">
        <f t="shared" ca="1" si="72"/>
        <v>#N/A</v>
      </c>
      <c r="Y279" s="55" t="e">
        <f t="shared" ca="1" si="73"/>
        <v>#N/A</v>
      </c>
      <c r="Z279" t="e">
        <f ca="1">VLOOKUP(S279,ModelOutputs,10,FALSE)*AWC</f>
        <v>#N/A</v>
      </c>
      <c r="AA279" t="e">
        <f t="shared" ca="1" si="74"/>
        <v>#N/A</v>
      </c>
      <c r="AB279" t="e">
        <f t="shared" ca="1" si="68"/>
        <v>#N/A</v>
      </c>
      <c r="AC279" t="e">
        <f t="shared" ca="1" si="69"/>
        <v>#N/A</v>
      </c>
      <c r="AD279" s="83" t="e">
        <f ca="1"/>
        <v>#N/A</v>
      </c>
      <c r="AE279" s="55" t="e">
        <f t="shared" ca="1" si="75"/>
        <v>#N/A</v>
      </c>
      <c r="AF279" s="55" t="e">
        <f t="shared" ca="1" si="76"/>
        <v>#N/A</v>
      </c>
      <c r="AG279" s="55" t="e">
        <f t="shared" ca="1" si="77"/>
        <v>#N/A</v>
      </c>
      <c r="AH279" s="55" t="e">
        <f t="shared" ca="1" si="78"/>
        <v>#N/A</v>
      </c>
      <c r="AI279" s="55" t="e">
        <f ca="1">-VLOOKUP(AE279,ModelOutputs,9,FALSE)+AI278</f>
        <v>#N/A</v>
      </c>
      <c r="AJ279" s="55" t="e">
        <f ca="1">VLOOKUP(AE279,ModelOutputs,5,FALSE)+AJ278</f>
        <v>#N/A</v>
      </c>
      <c r="AK279" s="55" t="e">
        <f ca="1">VLOOKUP(AE279,ModelOutputs,4,FALSE)+AK278</f>
        <v>#N/A</v>
      </c>
    </row>
    <row r="280" spans="18:37">
      <c r="R280" s="83" t="e">
        <f ca="1"/>
        <v>#N/A</v>
      </c>
      <c r="S280" s="55" t="e">
        <f t="shared" ca="1" si="70"/>
        <v>#N/A</v>
      </c>
      <c r="T280" s="55" t="e">
        <f t="shared" ca="1" si="65"/>
        <v>#N/A</v>
      </c>
      <c r="U280" s="55" t="e">
        <f t="shared" ca="1" si="66"/>
        <v>#N/A</v>
      </c>
      <c r="V280" s="55" t="e">
        <f t="shared" ca="1" si="67"/>
        <v>#N/A</v>
      </c>
      <c r="W280" s="55" t="e">
        <f t="shared" ca="1" si="71"/>
        <v>#N/A</v>
      </c>
      <c r="X280" s="55" t="e">
        <f t="shared" ca="1" si="72"/>
        <v>#N/A</v>
      </c>
      <c r="Y280" s="55" t="e">
        <f t="shared" ca="1" si="73"/>
        <v>#N/A</v>
      </c>
      <c r="Z280" t="e">
        <f ca="1">VLOOKUP(S280,ModelOutputs,10,FALSE)*AWC</f>
        <v>#N/A</v>
      </c>
      <c r="AA280" t="e">
        <f t="shared" ca="1" si="74"/>
        <v>#N/A</v>
      </c>
      <c r="AB280" t="e">
        <f t="shared" ca="1" si="68"/>
        <v>#N/A</v>
      </c>
      <c r="AC280" t="e">
        <f t="shared" ca="1" si="69"/>
        <v>#N/A</v>
      </c>
      <c r="AD280" s="83" t="e">
        <f ca="1"/>
        <v>#N/A</v>
      </c>
      <c r="AE280" s="55" t="e">
        <f t="shared" ca="1" si="75"/>
        <v>#N/A</v>
      </c>
      <c r="AF280" s="55" t="e">
        <f t="shared" ca="1" si="76"/>
        <v>#N/A</v>
      </c>
      <c r="AG280" s="55" t="e">
        <f t="shared" ca="1" si="77"/>
        <v>#N/A</v>
      </c>
      <c r="AH280" s="55" t="e">
        <f t="shared" ca="1" si="78"/>
        <v>#N/A</v>
      </c>
      <c r="AI280" s="55" t="e">
        <f ca="1">-VLOOKUP(AE280,ModelOutputs,9,FALSE)+AI279</f>
        <v>#N/A</v>
      </c>
      <c r="AJ280" s="55" t="e">
        <f ca="1">VLOOKUP(AE280,ModelOutputs,5,FALSE)+AJ279</f>
        <v>#N/A</v>
      </c>
      <c r="AK280" s="55" t="e">
        <f ca="1">VLOOKUP(AE280,ModelOutputs,4,FALSE)+AK279</f>
        <v>#N/A</v>
      </c>
    </row>
    <row r="281" spans="18:37">
      <c r="R281" s="83" t="e">
        <f ca="1"/>
        <v>#N/A</v>
      </c>
      <c r="S281" s="55" t="e">
        <f t="shared" ca="1" si="70"/>
        <v>#N/A</v>
      </c>
      <c r="T281" s="55" t="e">
        <f t="shared" ca="1" si="65"/>
        <v>#N/A</v>
      </c>
      <c r="U281" s="55" t="e">
        <f t="shared" ca="1" si="66"/>
        <v>#N/A</v>
      </c>
      <c r="V281" s="55" t="e">
        <f t="shared" ca="1" si="67"/>
        <v>#N/A</v>
      </c>
      <c r="W281" s="55" t="e">
        <f t="shared" ca="1" si="71"/>
        <v>#N/A</v>
      </c>
      <c r="X281" s="55" t="e">
        <f t="shared" ca="1" si="72"/>
        <v>#N/A</v>
      </c>
      <c r="Y281" s="55" t="e">
        <f t="shared" ca="1" si="73"/>
        <v>#N/A</v>
      </c>
      <c r="Z281" t="e">
        <f ca="1">VLOOKUP(S281,ModelOutputs,10,FALSE)*AWC</f>
        <v>#N/A</v>
      </c>
      <c r="AA281" t="e">
        <f t="shared" ca="1" si="74"/>
        <v>#N/A</v>
      </c>
      <c r="AB281" t="e">
        <f t="shared" ca="1" si="68"/>
        <v>#N/A</v>
      </c>
      <c r="AC281" t="e">
        <f t="shared" ca="1" si="69"/>
        <v>#N/A</v>
      </c>
      <c r="AD281" s="83" t="e">
        <f ca="1"/>
        <v>#N/A</v>
      </c>
      <c r="AE281" s="55" t="e">
        <f t="shared" ca="1" si="75"/>
        <v>#N/A</v>
      </c>
      <c r="AF281" s="55" t="e">
        <f t="shared" ca="1" si="76"/>
        <v>#N/A</v>
      </c>
      <c r="AG281" s="55" t="e">
        <f t="shared" ca="1" si="77"/>
        <v>#N/A</v>
      </c>
      <c r="AH281" s="55" t="e">
        <f t="shared" ca="1" si="78"/>
        <v>#N/A</v>
      </c>
      <c r="AI281" s="55" t="e">
        <f ca="1">-VLOOKUP(AE281,ModelOutputs,9,FALSE)+AI280</f>
        <v>#N/A</v>
      </c>
      <c r="AJ281" s="55" t="e">
        <f ca="1">VLOOKUP(AE281,ModelOutputs,5,FALSE)+AJ280</f>
        <v>#N/A</v>
      </c>
      <c r="AK281" s="55" t="e">
        <f ca="1">VLOOKUP(AE281,ModelOutputs,4,FALSE)+AK280</f>
        <v>#N/A</v>
      </c>
    </row>
    <row r="282" spans="18:37">
      <c r="R282" s="83" t="e">
        <f ca="1"/>
        <v>#N/A</v>
      </c>
      <c r="S282" s="55" t="e">
        <f t="shared" ca="1" si="70"/>
        <v>#N/A</v>
      </c>
      <c r="T282" s="55" t="e">
        <f t="shared" ca="1" si="65"/>
        <v>#N/A</v>
      </c>
      <c r="U282" s="55" t="e">
        <f t="shared" ca="1" si="66"/>
        <v>#N/A</v>
      </c>
      <c r="V282" s="55" t="e">
        <f t="shared" ca="1" si="67"/>
        <v>#N/A</v>
      </c>
      <c r="W282" s="55" t="e">
        <f t="shared" ca="1" si="71"/>
        <v>#N/A</v>
      </c>
      <c r="X282" s="55" t="e">
        <f t="shared" ca="1" si="72"/>
        <v>#N/A</v>
      </c>
      <c r="Y282" s="55" t="e">
        <f t="shared" ca="1" si="73"/>
        <v>#N/A</v>
      </c>
      <c r="Z282" t="e">
        <f ca="1">VLOOKUP(S282,ModelOutputs,10,FALSE)*AWC</f>
        <v>#N/A</v>
      </c>
      <c r="AA282" t="e">
        <f t="shared" ca="1" si="74"/>
        <v>#N/A</v>
      </c>
      <c r="AB282" t="e">
        <f t="shared" ca="1" si="68"/>
        <v>#N/A</v>
      </c>
      <c r="AC282" t="e">
        <f t="shared" ca="1" si="69"/>
        <v>#N/A</v>
      </c>
      <c r="AD282" s="83" t="e">
        <f ca="1"/>
        <v>#N/A</v>
      </c>
      <c r="AE282" s="55" t="e">
        <f t="shared" ca="1" si="75"/>
        <v>#N/A</v>
      </c>
      <c r="AF282" s="55" t="e">
        <f t="shared" ca="1" si="76"/>
        <v>#N/A</v>
      </c>
      <c r="AG282" s="55" t="e">
        <f t="shared" ca="1" si="77"/>
        <v>#N/A</v>
      </c>
      <c r="AH282" s="55" t="e">
        <f t="shared" ca="1" si="78"/>
        <v>#N/A</v>
      </c>
      <c r="AI282" s="55" t="e">
        <f ca="1">-VLOOKUP(AE282,ModelOutputs,9,FALSE)+AI281</f>
        <v>#N/A</v>
      </c>
      <c r="AJ282" s="55" t="e">
        <f ca="1">VLOOKUP(AE282,ModelOutputs,5,FALSE)+AJ281</f>
        <v>#N/A</v>
      </c>
      <c r="AK282" s="55" t="e">
        <f ca="1">VLOOKUP(AE282,ModelOutputs,4,FALSE)+AK281</f>
        <v>#N/A</v>
      </c>
    </row>
    <row r="283" spans="18:37">
      <c r="R283" s="83" t="e">
        <f ca="1"/>
        <v>#N/A</v>
      </c>
      <c r="S283" s="55" t="e">
        <f t="shared" ca="1" si="70"/>
        <v>#N/A</v>
      </c>
      <c r="T283" s="55" t="e">
        <f t="shared" ca="1" si="65"/>
        <v>#N/A</v>
      </c>
      <c r="U283" s="55" t="e">
        <f t="shared" ca="1" si="66"/>
        <v>#N/A</v>
      </c>
      <c r="V283" s="55" t="e">
        <f t="shared" ca="1" si="67"/>
        <v>#N/A</v>
      </c>
      <c r="W283" s="55" t="e">
        <f t="shared" ca="1" si="71"/>
        <v>#N/A</v>
      </c>
      <c r="X283" s="55" t="e">
        <f t="shared" ca="1" si="72"/>
        <v>#N/A</v>
      </c>
      <c r="Y283" s="55" t="e">
        <f t="shared" ca="1" si="73"/>
        <v>#N/A</v>
      </c>
      <c r="Z283" t="e">
        <f ca="1">VLOOKUP(S283,ModelOutputs,10,FALSE)*AWC</f>
        <v>#N/A</v>
      </c>
      <c r="AA283" t="e">
        <f t="shared" ca="1" si="74"/>
        <v>#N/A</v>
      </c>
      <c r="AB283" t="e">
        <f t="shared" ca="1" si="68"/>
        <v>#N/A</v>
      </c>
      <c r="AC283" t="e">
        <f t="shared" ca="1" si="69"/>
        <v>#N/A</v>
      </c>
      <c r="AD283" s="83" t="e">
        <f ca="1"/>
        <v>#N/A</v>
      </c>
      <c r="AE283" s="55" t="e">
        <f t="shared" ca="1" si="75"/>
        <v>#N/A</v>
      </c>
      <c r="AF283" s="55" t="e">
        <f t="shared" ca="1" si="76"/>
        <v>#N/A</v>
      </c>
      <c r="AG283" s="55" t="e">
        <f t="shared" ca="1" si="77"/>
        <v>#N/A</v>
      </c>
      <c r="AH283" s="55" t="e">
        <f t="shared" ca="1" si="78"/>
        <v>#N/A</v>
      </c>
      <c r="AI283" s="55" t="e">
        <f ca="1">-VLOOKUP(AE283,ModelOutputs,9,FALSE)+AI282</f>
        <v>#N/A</v>
      </c>
      <c r="AJ283" s="55" t="e">
        <f ca="1">VLOOKUP(AE283,ModelOutputs,5,FALSE)+AJ282</f>
        <v>#N/A</v>
      </c>
      <c r="AK283" s="55" t="e">
        <f ca="1">VLOOKUP(AE283,ModelOutputs,4,FALSE)+AK282</f>
        <v>#N/A</v>
      </c>
    </row>
    <row r="284" spans="18:37">
      <c r="R284" s="83" t="e">
        <f ca="1"/>
        <v>#N/A</v>
      </c>
      <c r="S284" s="55" t="e">
        <f t="shared" ca="1" si="70"/>
        <v>#N/A</v>
      </c>
      <c r="T284" s="55" t="e">
        <f t="shared" ca="1" si="65"/>
        <v>#N/A</v>
      </c>
      <c r="U284" s="55" t="e">
        <f t="shared" ca="1" si="66"/>
        <v>#N/A</v>
      </c>
      <c r="V284" s="55" t="e">
        <f t="shared" ca="1" si="67"/>
        <v>#N/A</v>
      </c>
      <c r="W284" s="55" t="e">
        <f t="shared" ca="1" si="71"/>
        <v>#N/A</v>
      </c>
      <c r="X284" s="55" t="e">
        <f t="shared" ca="1" si="72"/>
        <v>#N/A</v>
      </c>
      <c r="Y284" s="55" t="e">
        <f t="shared" ca="1" si="73"/>
        <v>#N/A</v>
      </c>
      <c r="Z284" t="e">
        <f ca="1">VLOOKUP(S284,ModelOutputs,10,FALSE)*AWC</f>
        <v>#N/A</v>
      </c>
      <c r="AA284" t="e">
        <f t="shared" ca="1" si="74"/>
        <v>#N/A</v>
      </c>
      <c r="AB284" t="e">
        <f t="shared" ca="1" si="68"/>
        <v>#N/A</v>
      </c>
      <c r="AC284" t="e">
        <f t="shared" ca="1" si="69"/>
        <v>#N/A</v>
      </c>
      <c r="AD284" s="83" t="e">
        <f ca="1"/>
        <v>#N/A</v>
      </c>
      <c r="AE284" s="55" t="e">
        <f t="shared" ca="1" si="75"/>
        <v>#N/A</v>
      </c>
      <c r="AF284" s="55" t="e">
        <f t="shared" ca="1" si="76"/>
        <v>#N/A</v>
      </c>
      <c r="AG284" s="55" t="e">
        <f t="shared" ca="1" si="77"/>
        <v>#N/A</v>
      </c>
      <c r="AH284" s="55" t="e">
        <f t="shared" ca="1" si="78"/>
        <v>#N/A</v>
      </c>
      <c r="AI284" s="55" t="e">
        <f ca="1">-VLOOKUP(AE284,ModelOutputs,9,FALSE)+AI283</f>
        <v>#N/A</v>
      </c>
      <c r="AJ284" s="55" t="e">
        <f ca="1">VLOOKUP(AE284,ModelOutputs,5,FALSE)+AJ283</f>
        <v>#N/A</v>
      </c>
      <c r="AK284" s="55" t="e">
        <f ca="1">VLOOKUP(AE284,ModelOutputs,4,FALSE)+AK283</f>
        <v>#N/A</v>
      </c>
    </row>
    <row r="285" spans="18:37">
      <c r="R285" s="83" t="e">
        <f ca="1"/>
        <v>#N/A</v>
      </c>
      <c r="S285" s="55" t="e">
        <f t="shared" ca="1" si="70"/>
        <v>#N/A</v>
      </c>
      <c r="T285" s="55" t="e">
        <f t="shared" ca="1" si="65"/>
        <v>#N/A</v>
      </c>
      <c r="U285" s="55" t="e">
        <f t="shared" ca="1" si="66"/>
        <v>#N/A</v>
      </c>
      <c r="V285" s="55" t="e">
        <f t="shared" ca="1" si="67"/>
        <v>#N/A</v>
      </c>
      <c r="W285" s="55" t="e">
        <f t="shared" ca="1" si="71"/>
        <v>#N/A</v>
      </c>
      <c r="X285" s="55" t="e">
        <f t="shared" ca="1" si="72"/>
        <v>#N/A</v>
      </c>
      <c r="Y285" s="55" t="e">
        <f t="shared" ca="1" si="73"/>
        <v>#N/A</v>
      </c>
      <c r="Z285" t="e">
        <f ca="1">VLOOKUP(S285,ModelOutputs,10,FALSE)*AWC</f>
        <v>#N/A</v>
      </c>
      <c r="AA285" t="e">
        <f t="shared" ca="1" si="74"/>
        <v>#N/A</v>
      </c>
      <c r="AB285" t="e">
        <f t="shared" ca="1" si="68"/>
        <v>#N/A</v>
      </c>
      <c r="AC285" t="e">
        <f t="shared" ca="1" si="69"/>
        <v>#N/A</v>
      </c>
      <c r="AD285" s="83" t="e">
        <f ca="1"/>
        <v>#N/A</v>
      </c>
      <c r="AE285" s="55" t="e">
        <f t="shared" ca="1" si="75"/>
        <v>#N/A</v>
      </c>
      <c r="AF285" s="55" t="e">
        <f t="shared" ca="1" si="76"/>
        <v>#N/A</v>
      </c>
      <c r="AG285" s="55" t="e">
        <f t="shared" ca="1" si="77"/>
        <v>#N/A</v>
      </c>
      <c r="AH285" s="55" t="e">
        <f t="shared" ca="1" si="78"/>
        <v>#N/A</v>
      </c>
      <c r="AI285" s="55" t="e">
        <f ca="1">-VLOOKUP(AE285,ModelOutputs,9,FALSE)+AI284</f>
        <v>#N/A</v>
      </c>
      <c r="AJ285" s="55" t="e">
        <f ca="1">VLOOKUP(AE285,ModelOutputs,5,FALSE)+AJ284</f>
        <v>#N/A</v>
      </c>
      <c r="AK285" s="55" t="e">
        <f ca="1">VLOOKUP(AE285,ModelOutputs,4,FALSE)+AK284</f>
        <v>#N/A</v>
      </c>
    </row>
    <row r="286" spans="18:37">
      <c r="R286" s="83" t="e">
        <f ca="1"/>
        <v>#N/A</v>
      </c>
      <c r="S286" s="55" t="e">
        <f t="shared" ca="1" si="70"/>
        <v>#N/A</v>
      </c>
      <c r="T286" s="55" t="e">
        <f t="shared" ca="1" si="65"/>
        <v>#N/A</v>
      </c>
      <c r="U286" s="55" t="e">
        <f t="shared" ca="1" si="66"/>
        <v>#N/A</v>
      </c>
      <c r="V286" s="55" t="e">
        <f t="shared" ca="1" si="67"/>
        <v>#N/A</v>
      </c>
      <c r="W286" s="55" t="e">
        <f t="shared" ca="1" si="71"/>
        <v>#N/A</v>
      </c>
      <c r="X286" s="55" t="e">
        <f t="shared" ca="1" si="72"/>
        <v>#N/A</v>
      </c>
      <c r="Y286" s="55" t="e">
        <f t="shared" ca="1" si="73"/>
        <v>#N/A</v>
      </c>
      <c r="Z286" t="e">
        <f ca="1">VLOOKUP(S286,ModelOutputs,10,FALSE)*AWC</f>
        <v>#N/A</v>
      </c>
      <c r="AA286" t="e">
        <f t="shared" ca="1" si="74"/>
        <v>#N/A</v>
      </c>
      <c r="AB286" t="e">
        <f t="shared" ca="1" si="68"/>
        <v>#N/A</v>
      </c>
      <c r="AC286" t="e">
        <f t="shared" ca="1" si="69"/>
        <v>#N/A</v>
      </c>
      <c r="AD286" s="83" t="e">
        <f ca="1"/>
        <v>#N/A</v>
      </c>
      <c r="AE286" s="55" t="e">
        <f t="shared" ca="1" si="75"/>
        <v>#N/A</v>
      </c>
      <c r="AF286" s="55" t="e">
        <f t="shared" ca="1" si="76"/>
        <v>#N/A</v>
      </c>
      <c r="AG286" s="55" t="e">
        <f t="shared" ca="1" si="77"/>
        <v>#N/A</v>
      </c>
      <c r="AH286" s="55" t="e">
        <f t="shared" ca="1" si="78"/>
        <v>#N/A</v>
      </c>
      <c r="AI286" s="55" t="e">
        <f ca="1">-VLOOKUP(AE286,ModelOutputs,9,FALSE)+AI285</f>
        <v>#N/A</v>
      </c>
      <c r="AJ286" s="55" t="e">
        <f ca="1">VLOOKUP(AE286,ModelOutputs,5,FALSE)+AJ285</f>
        <v>#N/A</v>
      </c>
      <c r="AK286" s="55" t="e">
        <f ca="1">VLOOKUP(AE286,ModelOutputs,4,FALSE)+AK285</f>
        <v>#N/A</v>
      </c>
    </row>
    <row r="287" spans="18:37">
      <c r="R287" s="83" t="e">
        <f ca="1"/>
        <v>#N/A</v>
      </c>
      <c r="S287" s="55" t="e">
        <f t="shared" ca="1" si="70"/>
        <v>#N/A</v>
      </c>
      <c r="T287" s="55" t="e">
        <f t="shared" ca="1" si="65"/>
        <v>#N/A</v>
      </c>
      <c r="U287" s="55" t="e">
        <f t="shared" ca="1" si="66"/>
        <v>#N/A</v>
      </c>
      <c r="V287" s="55" t="e">
        <f t="shared" ca="1" si="67"/>
        <v>#N/A</v>
      </c>
      <c r="W287" s="55" t="e">
        <f t="shared" ca="1" si="71"/>
        <v>#N/A</v>
      </c>
      <c r="X287" s="55" t="e">
        <f t="shared" ca="1" si="72"/>
        <v>#N/A</v>
      </c>
      <c r="Y287" s="55" t="e">
        <f t="shared" ca="1" si="73"/>
        <v>#N/A</v>
      </c>
      <c r="Z287" t="e">
        <f ca="1">VLOOKUP(S287,ModelOutputs,10,FALSE)*AWC</f>
        <v>#N/A</v>
      </c>
      <c r="AA287" t="e">
        <f t="shared" ca="1" si="74"/>
        <v>#N/A</v>
      </c>
      <c r="AB287" t="e">
        <f t="shared" ca="1" si="68"/>
        <v>#N/A</v>
      </c>
      <c r="AC287" t="e">
        <f t="shared" ca="1" si="69"/>
        <v>#N/A</v>
      </c>
      <c r="AD287" s="83" t="e">
        <f ca="1"/>
        <v>#N/A</v>
      </c>
      <c r="AE287" s="55" t="e">
        <f t="shared" ca="1" si="75"/>
        <v>#N/A</v>
      </c>
      <c r="AF287" s="55" t="e">
        <f t="shared" ca="1" si="76"/>
        <v>#N/A</v>
      </c>
      <c r="AG287" s="55" t="e">
        <f t="shared" ca="1" si="77"/>
        <v>#N/A</v>
      </c>
      <c r="AH287" s="55" t="e">
        <f t="shared" ca="1" si="78"/>
        <v>#N/A</v>
      </c>
      <c r="AI287" s="55" t="e">
        <f ca="1">-VLOOKUP(AE287,ModelOutputs,9,FALSE)+AI286</f>
        <v>#N/A</v>
      </c>
      <c r="AJ287" s="55" t="e">
        <f ca="1">VLOOKUP(AE287,ModelOutputs,5,FALSE)+AJ286</f>
        <v>#N/A</v>
      </c>
      <c r="AK287" s="55" t="e">
        <f ca="1">VLOOKUP(AE287,ModelOutputs,4,FALSE)+AK286</f>
        <v>#N/A</v>
      </c>
    </row>
    <row r="288" spans="18:37">
      <c r="R288" s="83" t="e">
        <f ca="1"/>
        <v>#N/A</v>
      </c>
      <c r="S288" s="55" t="e">
        <f t="shared" ca="1" si="70"/>
        <v>#N/A</v>
      </c>
      <c r="T288" s="55" t="e">
        <f t="shared" ca="1" si="65"/>
        <v>#N/A</v>
      </c>
      <c r="U288" s="55" t="e">
        <f t="shared" ca="1" si="66"/>
        <v>#N/A</v>
      </c>
      <c r="V288" s="55" t="e">
        <f t="shared" ca="1" si="67"/>
        <v>#N/A</v>
      </c>
      <c r="W288" s="55" t="e">
        <f t="shared" ca="1" si="71"/>
        <v>#N/A</v>
      </c>
      <c r="X288" s="55" t="e">
        <f t="shared" ca="1" si="72"/>
        <v>#N/A</v>
      </c>
      <c r="Y288" s="55" t="e">
        <f t="shared" ca="1" si="73"/>
        <v>#N/A</v>
      </c>
      <c r="Z288" t="e">
        <f ca="1">VLOOKUP(S288,ModelOutputs,10,FALSE)*AWC</f>
        <v>#N/A</v>
      </c>
      <c r="AA288" t="e">
        <f t="shared" ca="1" si="74"/>
        <v>#N/A</v>
      </c>
      <c r="AB288" t="e">
        <f t="shared" ca="1" si="68"/>
        <v>#N/A</v>
      </c>
      <c r="AC288" t="e">
        <f t="shared" ca="1" si="69"/>
        <v>#N/A</v>
      </c>
      <c r="AD288" s="83" t="e">
        <f ca="1"/>
        <v>#N/A</v>
      </c>
      <c r="AE288" s="55" t="e">
        <f t="shared" ca="1" si="75"/>
        <v>#N/A</v>
      </c>
      <c r="AF288" s="55" t="e">
        <f t="shared" ca="1" si="76"/>
        <v>#N/A</v>
      </c>
      <c r="AG288" s="55" t="e">
        <f t="shared" ca="1" si="77"/>
        <v>#N/A</v>
      </c>
      <c r="AH288" s="55" t="e">
        <f t="shared" ca="1" si="78"/>
        <v>#N/A</v>
      </c>
      <c r="AI288" s="55" t="e">
        <f ca="1">-VLOOKUP(AE288,ModelOutputs,9,FALSE)+AI287</f>
        <v>#N/A</v>
      </c>
      <c r="AJ288" s="55" t="e">
        <f ca="1">VLOOKUP(AE288,ModelOutputs,5,FALSE)+AJ287</f>
        <v>#N/A</v>
      </c>
      <c r="AK288" s="55" t="e">
        <f ca="1">VLOOKUP(AE288,ModelOutputs,4,FALSE)+AK287</f>
        <v>#N/A</v>
      </c>
    </row>
    <row r="289" spans="18:37">
      <c r="R289" s="83" t="e">
        <f ca="1"/>
        <v>#N/A</v>
      </c>
      <c r="S289" s="55" t="e">
        <f t="shared" ca="1" si="70"/>
        <v>#N/A</v>
      </c>
      <c r="T289" s="55" t="e">
        <f t="shared" ca="1" si="65"/>
        <v>#N/A</v>
      </c>
      <c r="U289" s="55" t="e">
        <f t="shared" ca="1" si="66"/>
        <v>#N/A</v>
      </c>
      <c r="V289" s="55" t="e">
        <f t="shared" ca="1" si="67"/>
        <v>#N/A</v>
      </c>
      <c r="W289" s="55" t="e">
        <f t="shared" ca="1" si="71"/>
        <v>#N/A</v>
      </c>
      <c r="X289" s="55" t="e">
        <f t="shared" ca="1" si="72"/>
        <v>#N/A</v>
      </c>
      <c r="Y289" s="55" t="e">
        <f t="shared" ca="1" si="73"/>
        <v>#N/A</v>
      </c>
      <c r="Z289" t="e">
        <f ca="1">VLOOKUP(S289,ModelOutputs,10,FALSE)*AWC</f>
        <v>#N/A</v>
      </c>
      <c r="AA289" t="e">
        <f t="shared" ca="1" si="74"/>
        <v>#N/A</v>
      </c>
      <c r="AB289" t="e">
        <f t="shared" ca="1" si="68"/>
        <v>#N/A</v>
      </c>
      <c r="AC289" t="e">
        <f t="shared" ca="1" si="69"/>
        <v>#N/A</v>
      </c>
      <c r="AD289" s="83" t="e">
        <f ca="1"/>
        <v>#N/A</v>
      </c>
      <c r="AE289" s="55" t="e">
        <f t="shared" ca="1" si="75"/>
        <v>#N/A</v>
      </c>
      <c r="AF289" s="55" t="e">
        <f t="shared" ca="1" si="76"/>
        <v>#N/A</v>
      </c>
      <c r="AG289" s="55" t="e">
        <f t="shared" ca="1" si="77"/>
        <v>#N/A</v>
      </c>
      <c r="AH289" s="55" t="e">
        <f t="shared" ca="1" si="78"/>
        <v>#N/A</v>
      </c>
      <c r="AI289" s="55" t="e">
        <f ca="1">-VLOOKUP(AE289,ModelOutputs,9,FALSE)+AI288</f>
        <v>#N/A</v>
      </c>
      <c r="AJ289" s="55" t="e">
        <f ca="1">VLOOKUP(AE289,ModelOutputs,5,FALSE)+AJ288</f>
        <v>#N/A</v>
      </c>
      <c r="AK289" s="55" t="e">
        <f ca="1">VLOOKUP(AE289,ModelOutputs,4,FALSE)+AK288</f>
        <v>#N/A</v>
      </c>
    </row>
    <row r="290" spans="18:37">
      <c r="R290" s="83" t="e">
        <f ca="1"/>
        <v>#N/A</v>
      </c>
      <c r="S290" s="55" t="e">
        <f t="shared" ca="1" si="70"/>
        <v>#N/A</v>
      </c>
      <c r="T290" s="55" t="e">
        <f t="shared" ca="1" si="65"/>
        <v>#N/A</v>
      </c>
      <c r="U290" s="55" t="e">
        <f t="shared" ca="1" si="66"/>
        <v>#N/A</v>
      </c>
      <c r="V290" s="55" t="e">
        <f t="shared" ca="1" si="67"/>
        <v>#N/A</v>
      </c>
      <c r="W290" s="55" t="e">
        <f t="shared" ca="1" si="71"/>
        <v>#N/A</v>
      </c>
      <c r="X290" s="55" t="e">
        <f t="shared" ca="1" si="72"/>
        <v>#N/A</v>
      </c>
      <c r="Y290" s="55" t="e">
        <f t="shared" ca="1" si="73"/>
        <v>#N/A</v>
      </c>
      <c r="Z290" t="e">
        <f ca="1">VLOOKUP(S290,ModelOutputs,10,FALSE)*AWC</f>
        <v>#N/A</v>
      </c>
      <c r="AA290" t="e">
        <f t="shared" ca="1" si="74"/>
        <v>#N/A</v>
      </c>
      <c r="AB290" t="e">
        <f t="shared" ca="1" si="68"/>
        <v>#N/A</v>
      </c>
      <c r="AC290" t="e">
        <f t="shared" ca="1" si="69"/>
        <v>#N/A</v>
      </c>
      <c r="AD290" s="83" t="e">
        <f ca="1"/>
        <v>#N/A</v>
      </c>
      <c r="AE290" s="55" t="e">
        <f t="shared" ca="1" si="75"/>
        <v>#N/A</v>
      </c>
      <c r="AF290" s="55" t="e">
        <f t="shared" ca="1" si="76"/>
        <v>#N/A</v>
      </c>
      <c r="AG290" s="55" t="e">
        <f t="shared" ca="1" si="77"/>
        <v>#N/A</v>
      </c>
      <c r="AH290" s="55" t="e">
        <f t="shared" ca="1" si="78"/>
        <v>#N/A</v>
      </c>
      <c r="AI290" s="55" t="e">
        <f ca="1">-VLOOKUP(AE290,ModelOutputs,9,FALSE)+AI289</f>
        <v>#N/A</v>
      </c>
      <c r="AJ290" s="55" t="e">
        <f ca="1">VLOOKUP(AE290,ModelOutputs,5,FALSE)+AJ289</f>
        <v>#N/A</v>
      </c>
      <c r="AK290" s="55" t="e">
        <f ca="1">VLOOKUP(AE290,ModelOutputs,4,FALSE)+AK289</f>
        <v>#N/A</v>
      </c>
    </row>
    <row r="291" spans="18:37">
      <c r="R291" s="83" t="e">
        <f ca="1"/>
        <v>#N/A</v>
      </c>
      <c r="S291" s="55" t="e">
        <f t="shared" ca="1" si="70"/>
        <v>#N/A</v>
      </c>
      <c r="T291" s="55" t="e">
        <f t="shared" ca="1" si="65"/>
        <v>#N/A</v>
      </c>
      <c r="U291" s="55" t="e">
        <f t="shared" ca="1" si="66"/>
        <v>#N/A</v>
      </c>
      <c r="V291" s="55" t="e">
        <f t="shared" ca="1" si="67"/>
        <v>#N/A</v>
      </c>
      <c r="W291" s="55" t="e">
        <f t="shared" ca="1" si="71"/>
        <v>#N/A</v>
      </c>
      <c r="X291" s="55" t="e">
        <f t="shared" ca="1" si="72"/>
        <v>#N/A</v>
      </c>
      <c r="Y291" s="55" t="e">
        <f t="shared" ca="1" si="73"/>
        <v>#N/A</v>
      </c>
      <c r="Z291" t="e">
        <f ca="1">VLOOKUP(S291,ModelOutputs,10,FALSE)*AWC</f>
        <v>#N/A</v>
      </c>
      <c r="AA291" t="e">
        <f t="shared" ca="1" si="74"/>
        <v>#N/A</v>
      </c>
      <c r="AB291" t="e">
        <f t="shared" ca="1" si="68"/>
        <v>#N/A</v>
      </c>
      <c r="AC291" t="e">
        <f t="shared" ca="1" si="69"/>
        <v>#N/A</v>
      </c>
      <c r="AD291" s="83" t="e">
        <f ca="1"/>
        <v>#N/A</v>
      </c>
      <c r="AE291" s="55" t="e">
        <f t="shared" ca="1" si="75"/>
        <v>#N/A</v>
      </c>
      <c r="AF291" s="55" t="e">
        <f t="shared" ca="1" si="76"/>
        <v>#N/A</v>
      </c>
      <c r="AG291" s="55" t="e">
        <f t="shared" ca="1" si="77"/>
        <v>#N/A</v>
      </c>
      <c r="AH291" s="55" t="e">
        <f t="shared" ca="1" si="78"/>
        <v>#N/A</v>
      </c>
      <c r="AI291" s="55" t="e">
        <f ca="1">-VLOOKUP(AE291,ModelOutputs,9,FALSE)+AI290</f>
        <v>#N/A</v>
      </c>
      <c r="AJ291" s="55" t="e">
        <f ca="1">VLOOKUP(AE291,ModelOutputs,5,FALSE)+AJ290</f>
        <v>#N/A</v>
      </c>
      <c r="AK291" s="55" t="e">
        <f ca="1">VLOOKUP(AE291,ModelOutputs,4,FALSE)+AK290</f>
        <v>#N/A</v>
      </c>
    </row>
    <row r="292" spans="18:37">
      <c r="R292" s="83" t="e">
        <f ca="1"/>
        <v>#N/A</v>
      </c>
      <c r="S292" s="55" t="e">
        <f t="shared" ca="1" si="70"/>
        <v>#N/A</v>
      </c>
      <c r="T292" s="55" t="e">
        <f t="shared" ca="1" si="65"/>
        <v>#N/A</v>
      </c>
      <c r="U292" s="55" t="e">
        <f t="shared" ca="1" si="66"/>
        <v>#N/A</v>
      </c>
      <c r="V292" s="55" t="e">
        <f t="shared" ca="1" si="67"/>
        <v>#N/A</v>
      </c>
      <c r="W292" s="55" t="e">
        <f t="shared" ca="1" si="71"/>
        <v>#N/A</v>
      </c>
      <c r="X292" s="55" t="e">
        <f t="shared" ca="1" si="72"/>
        <v>#N/A</v>
      </c>
      <c r="Y292" s="55" t="e">
        <f t="shared" ca="1" si="73"/>
        <v>#N/A</v>
      </c>
      <c r="Z292" t="e">
        <f ca="1">VLOOKUP(S292,ModelOutputs,10,FALSE)*AWC</f>
        <v>#N/A</v>
      </c>
      <c r="AA292" t="e">
        <f t="shared" ca="1" si="74"/>
        <v>#N/A</v>
      </c>
      <c r="AB292" t="e">
        <f t="shared" ca="1" si="68"/>
        <v>#N/A</v>
      </c>
      <c r="AC292" t="e">
        <f t="shared" ca="1" si="69"/>
        <v>#N/A</v>
      </c>
      <c r="AD292" s="83" t="e">
        <f ca="1"/>
        <v>#N/A</v>
      </c>
      <c r="AE292" s="55" t="e">
        <f t="shared" ca="1" si="75"/>
        <v>#N/A</v>
      </c>
      <c r="AF292" s="55" t="e">
        <f t="shared" ca="1" si="76"/>
        <v>#N/A</v>
      </c>
      <c r="AG292" s="55" t="e">
        <f t="shared" ca="1" si="77"/>
        <v>#N/A</v>
      </c>
      <c r="AH292" s="55" t="e">
        <f t="shared" ca="1" si="78"/>
        <v>#N/A</v>
      </c>
      <c r="AI292" s="55" t="e">
        <f ca="1">-VLOOKUP(AE292,ModelOutputs,9,FALSE)+AI291</f>
        <v>#N/A</v>
      </c>
      <c r="AJ292" s="55" t="e">
        <f ca="1">VLOOKUP(AE292,ModelOutputs,5,FALSE)+AJ291</f>
        <v>#N/A</v>
      </c>
      <c r="AK292" s="55" t="e">
        <f ca="1">VLOOKUP(AE292,ModelOutputs,4,FALSE)+AK291</f>
        <v>#N/A</v>
      </c>
    </row>
    <row r="293" spans="18:37">
      <c r="R293" s="83" t="e">
        <f ca="1"/>
        <v>#N/A</v>
      </c>
      <c r="S293" s="55" t="e">
        <f t="shared" ca="1" si="70"/>
        <v>#N/A</v>
      </c>
      <c r="T293" s="55" t="e">
        <f t="shared" ca="1" si="65"/>
        <v>#N/A</v>
      </c>
      <c r="U293" s="55" t="e">
        <f t="shared" ca="1" si="66"/>
        <v>#N/A</v>
      </c>
      <c r="V293" s="55" t="e">
        <f t="shared" ca="1" si="67"/>
        <v>#N/A</v>
      </c>
      <c r="W293" s="55" t="e">
        <f t="shared" ca="1" si="71"/>
        <v>#N/A</v>
      </c>
      <c r="X293" s="55" t="e">
        <f t="shared" ca="1" si="72"/>
        <v>#N/A</v>
      </c>
      <c r="Y293" s="55" t="e">
        <f t="shared" ca="1" si="73"/>
        <v>#N/A</v>
      </c>
      <c r="Z293" t="e">
        <f ca="1">VLOOKUP(S293,ModelOutputs,10,FALSE)*AWC</f>
        <v>#N/A</v>
      </c>
      <c r="AA293" t="e">
        <f t="shared" ca="1" si="74"/>
        <v>#N/A</v>
      </c>
      <c r="AB293" t="e">
        <f t="shared" ca="1" si="68"/>
        <v>#N/A</v>
      </c>
      <c r="AC293" t="e">
        <f t="shared" ca="1" si="69"/>
        <v>#N/A</v>
      </c>
      <c r="AD293" s="83" t="e">
        <f ca="1"/>
        <v>#N/A</v>
      </c>
      <c r="AE293" s="55" t="e">
        <f t="shared" ca="1" si="75"/>
        <v>#N/A</v>
      </c>
      <c r="AF293" s="55" t="e">
        <f t="shared" ca="1" si="76"/>
        <v>#N/A</v>
      </c>
      <c r="AG293" s="55" t="e">
        <f t="shared" ca="1" si="77"/>
        <v>#N/A</v>
      </c>
      <c r="AH293" s="55" t="e">
        <f t="shared" ca="1" si="78"/>
        <v>#N/A</v>
      </c>
      <c r="AI293" s="55" t="e">
        <f ca="1">-VLOOKUP(AE293,ModelOutputs,9,FALSE)+AI292</f>
        <v>#N/A</v>
      </c>
      <c r="AJ293" s="55" t="e">
        <f ca="1">VLOOKUP(AE293,ModelOutputs,5,FALSE)+AJ292</f>
        <v>#N/A</v>
      </c>
      <c r="AK293" s="55" t="e">
        <f ca="1">VLOOKUP(AE293,ModelOutputs,4,FALSE)+AK292</f>
        <v>#N/A</v>
      </c>
    </row>
    <row r="294" spans="18:37">
      <c r="R294" s="83" t="e">
        <f ca="1"/>
        <v>#N/A</v>
      </c>
      <c r="S294" s="55" t="e">
        <f t="shared" ca="1" si="70"/>
        <v>#N/A</v>
      </c>
      <c r="T294" s="55" t="e">
        <f t="shared" ca="1" si="65"/>
        <v>#N/A</v>
      </c>
      <c r="U294" s="55" t="e">
        <f t="shared" ca="1" si="66"/>
        <v>#N/A</v>
      </c>
      <c r="V294" s="55" t="e">
        <f t="shared" ca="1" si="67"/>
        <v>#N/A</v>
      </c>
      <c r="W294" s="55" t="e">
        <f t="shared" ca="1" si="71"/>
        <v>#N/A</v>
      </c>
      <c r="X294" s="55" t="e">
        <f t="shared" ca="1" si="72"/>
        <v>#N/A</v>
      </c>
      <c r="Y294" s="55" t="e">
        <f t="shared" ca="1" si="73"/>
        <v>#N/A</v>
      </c>
      <c r="Z294" t="e">
        <f ca="1">VLOOKUP(S294,ModelOutputs,10,FALSE)*AWC</f>
        <v>#N/A</v>
      </c>
      <c r="AA294" t="e">
        <f t="shared" ca="1" si="74"/>
        <v>#N/A</v>
      </c>
      <c r="AB294" t="e">
        <f t="shared" ca="1" si="68"/>
        <v>#N/A</v>
      </c>
      <c r="AC294" t="e">
        <f t="shared" ca="1" si="69"/>
        <v>#N/A</v>
      </c>
      <c r="AD294" s="83" t="e">
        <f ca="1"/>
        <v>#N/A</v>
      </c>
      <c r="AE294" s="55" t="e">
        <f t="shared" ca="1" si="75"/>
        <v>#N/A</v>
      </c>
      <c r="AF294" s="55" t="e">
        <f t="shared" ca="1" si="76"/>
        <v>#N/A</v>
      </c>
      <c r="AG294" s="55" t="e">
        <f t="shared" ca="1" si="77"/>
        <v>#N/A</v>
      </c>
      <c r="AH294" s="55" t="e">
        <f t="shared" ca="1" si="78"/>
        <v>#N/A</v>
      </c>
      <c r="AI294" s="55" t="e">
        <f ca="1">-VLOOKUP(AE294,ModelOutputs,9,FALSE)+AI293</f>
        <v>#N/A</v>
      </c>
      <c r="AJ294" s="55" t="e">
        <f ca="1">VLOOKUP(AE294,ModelOutputs,5,FALSE)+AJ293</f>
        <v>#N/A</v>
      </c>
      <c r="AK294" s="55" t="e">
        <f ca="1">VLOOKUP(AE294,ModelOutputs,4,FALSE)+AK293</f>
        <v>#N/A</v>
      </c>
    </row>
    <row r="295" spans="18:37">
      <c r="R295" s="83" t="e">
        <f ca="1"/>
        <v>#N/A</v>
      </c>
      <c r="S295" s="55" t="e">
        <f t="shared" ca="1" si="70"/>
        <v>#N/A</v>
      </c>
      <c r="T295" s="55" t="e">
        <f t="shared" ca="1" si="65"/>
        <v>#N/A</v>
      </c>
      <c r="U295" s="55" t="e">
        <f t="shared" ca="1" si="66"/>
        <v>#N/A</v>
      </c>
      <c r="V295" s="55" t="e">
        <f t="shared" ca="1" si="67"/>
        <v>#N/A</v>
      </c>
      <c r="W295" s="55" t="e">
        <f t="shared" ca="1" si="71"/>
        <v>#N/A</v>
      </c>
      <c r="X295" s="55" t="e">
        <f t="shared" ca="1" si="72"/>
        <v>#N/A</v>
      </c>
      <c r="Y295" s="55" t="e">
        <f t="shared" ca="1" si="73"/>
        <v>#N/A</v>
      </c>
      <c r="Z295" t="e">
        <f ca="1">VLOOKUP(S295,ModelOutputs,10,FALSE)*AWC</f>
        <v>#N/A</v>
      </c>
      <c r="AA295" t="e">
        <f t="shared" ca="1" si="74"/>
        <v>#N/A</v>
      </c>
      <c r="AB295" t="e">
        <f t="shared" ca="1" si="68"/>
        <v>#N/A</v>
      </c>
      <c r="AC295" t="e">
        <f t="shared" ca="1" si="69"/>
        <v>#N/A</v>
      </c>
      <c r="AD295" s="83" t="e">
        <f ca="1"/>
        <v>#N/A</v>
      </c>
      <c r="AE295" s="55" t="e">
        <f t="shared" ca="1" si="75"/>
        <v>#N/A</v>
      </c>
      <c r="AF295" s="55" t="e">
        <f t="shared" ca="1" si="76"/>
        <v>#N/A</v>
      </c>
      <c r="AG295" s="55" t="e">
        <f t="shared" ca="1" si="77"/>
        <v>#N/A</v>
      </c>
      <c r="AH295" s="55" t="e">
        <f t="shared" ca="1" si="78"/>
        <v>#N/A</v>
      </c>
      <c r="AI295" s="55" t="e">
        <f ca="1">-VLOOKUP(AE295,ModelOutputs,9,FALSE)+AI294</f>
        <v>#N/A</v>
      </c>
      <c r="AJ295" s="55" t="e">
        <f ca="1">VLOOKUP(AE295,ModelOutputs,5,FALSE)+AJ294</f>
        <v>#N/A</v>
      </c>
      <c r="AK295" s="55" t="e">
        <f ca="1">VLOOKUP(AE295,ModelOutputs,4,FALSE)+AK294</f>
        <v>#N/A</v>
      </c>
    </row>
    <row r="296" spans="18:37">
      <c r="R296" s="83" t="e">
        <f ca="1"/>
        <v>#N/A</v>
      </c>
      <c r="S296" s="55" t="e">
        <f t="shared" ca="1" si="70"/>
        <v>#N/A</v>
      </c>
      <c r="T296" s="55" t="e">
        <f t="shared" ca="1" si="65"/>
        <v>#N/A</v>
      </c>
      <c r="U296" s="55" t="e">
        <f t="shared" ca="1" si="66"/>
        <v>#N/A</v>
      </c>
      <c r="V296" s="55" t="e">
        <f t="shared" ca="1" si="67"/>
        <v>#N/A</v>
      </c>
      <c r="W296" s="55" t="e">
        <f t="shared" ca="1" si="71"/>
        <v>#N/A</v>
      </c>
      <c r="X296" s="55" t="e">
        <f t="shared" ca="1" si="72"/>
        <v>#N/A</v>
      </c>
      <c r="Y296" s="55" t="e">
        <f t="shared" ca="1" si="73"/>
        <v>#N/A</v>
      </c>
      <c r="Z296" t="e">
        <f ca="1">VLOOKUP(S296,ModelOutputs,10,FALSE)*AWC</f>
        <v>#N/A</v>
      </c>
      <c r="AA296" t="e">
        <f t="shared" ca="1" si="74"/>
        <v>#N/A</v>
      </c>
      <c r="AB296" t="e">
        <f t="shared" ca="1" si="68"/>
        <v>#N/A</v>
      </c>
      <c r="AC296" t="e">
        <f t="shared" ca="1" si="69"/>
        <v>#N/A</v>
      </c>
      <c r="AD296" s="83" t="e">
        <f ca="1"/>
        <v>#N/A</v>
      </c>
      <c r="AE296" s="55" t="e">
        <f t="shared" ca="1" si="75"/>
        <v>#N/A</v>
      </c>
      <c r="AF296" s="55" t="e">
        <f t="shared" ca="1" si="76"/>
        <v>#N/A</v>
      </c>
      <c r="AG296" s="55" t="e">
        <f t="shared" ca="1" si="77"/>
        <v>#N/A</v>
      </c>
      <c r="AH296" s="55" t="e">
        <f t="shared" ca="1" si="78"/>
        <v>#N/A</v>
      </c>
      <c r="AI296" s="55" t="e">
        <f ca="1">-VLOOKUP(AE296,ModelOutputs,9,FALSE)+AI295</f>
        <v>#N/A</v>
      </c>
      <c r="AJ296" s="55" t="e">
        <f ca="1">VLOOKUP(AE296,ModelOutputs,5,FALSE)+AJ295</f>
        <v>#N/A</v>
      </c>
      <c r="AK296" s="55" t="e">
        <f ca="1">VLOOKUP(AE296,ModelOutputs,4,FALSE)+AK295</f>
        <v>#N/A</v>
      </c>
    </row>
    <row r="297" spans="18:37">
      <c r="R297" s="83" t="e">
        <f ca="1"/>
        <v>#N/A</v>
      </c>
      <c r="S297" s="55" t="e">
        <f t="shared" ca="1" si="70"/>
        <v>#N/A</v>
      </c>
      <c r="T297" s="55" t="e">
        <f t="shared" ca="1" si="65"/>
        <v>#N/A</v>
      </c>
      <c r="U297" s="55" t="e">
        <f t="shared" ca="1" si="66"/>
        <v>#N/A</v>
      </c>
      <c r="V297" s="55" t="e">
        <f t="shared" ca="1" si="67"/>
        <v>#N/A</v>
      </c>
      <c r="W297" s="55" t="e">
        <f t="shared" ca="1" si="71"/>
        <v>#N/A</v>
      </c>
      <c r="X297" s="55" t="e">
        <f t="shared" ca="1" si="72"/>
        <v>#N/A</v>
      </c>
      <c r="Y297" s="55" t="e">
        <f t="shared" ca="1" si="73"/>
        <v>#N/A</v>
      </c>
      <c r="Z297" t="e">
        <f ca="1">VLOOKUP(S297,ModelOutputs,10,FALSE)*AWC</f>
        <v>#N/A</v>
      </c>
      <c r="AA297" t="e">
        <f t="shared" ca="1" si="74"/>
        <v>#N/A</v>
      </c>
      <c r="AB297" t="e">
        <f t="shared" ca="1" si="68"/>
        <v>#N/A</v>
      </c>
      <c r="AC297" t="e">
        <f t="shared" ca="1" si="69"/>
        <v>#N/A</v>
      </c>
      <c r="AD297" s="83" t="e">
        <f ca="1"/>
        <v>#N/A</v>
      </c>
      <c r="AE297" s="55" t="e">
        <f t="shared" ca="1" si="75"/>
        <v>#N/A</v>
      </c>
      <c r="AF297" s="55" t="e">
        <f t="shared" ca="1" si="76"/>
        <v>#N/A</v>
      </c>
      <c r="AG297" s="55" t="e">
        <f t="shared" ca="1" si="77"/>
        <v>#N/A</v>
      </c>
      <c r="AH297" s="55" t="e">
        <f t="shared" ca="1" si="78"/>
        <v>#N/A</v>
      </c>
      <c r="AI297" s="55" t="e">
        <f ca="1">-VLOOKUP(AE297,ModelOutputs,9,FALSE)+AI296</f>
        <v>#N/A</v>
      </c>
      <c r="AJ297" s="55" t="e">
        <f ca="1">VLOOKUP(AE297,ModelOutputs,5,FALSE)+AJ296</f>
        <v>#N/A</v>
      </c>
      <c r="AK297" s="55" t="e">
        <f ca="1">VLOOKUP(AE297,ModelOutputs,4,FALSE)+AK296</f>
        <v>#N/A</v>
      </c>
    </row>
    <row r="298" spans="18:37">
      <c r="R298" s="83" t="e">
        <f ca="1"/>
        <v>#N/A</v>
      </c>
      <c r="S298" s="55" t="e">
        <f t="shared" ca="1" si="70"/>
        <v>#N/A</v>
      </c>
      <c r="T298" s="55" t="e">
        <f t="shared" ca="1" si="65"/>
        <v>#N/A</v>
      </c>
      <c r="U298" s="55" t="e">
        <f t="shared" ca="1" si="66"/>
        <v>#N/A</v>
      </c>
      <c r="V298" s="55" t="e">
        <f t="shared" ca="1" si="67"/>
        <v>#N/A</v>
      </c>
      <c r="W298" s="55" t="e">
        <f t="shared" ca="1" si="71"/>
        <v>#N/A</v>
      </c>
      <c r="X298" s="55" t="e">
        <f t="shared" ca="1" si="72"/>
        <v>#N/A</v>
      </c>
      <c r="Y298" s="55" t="e">
        <f t="shared" ca="1" si="73"/>
        <v>#N/A</v>
      </c>
      <c r="Z298" t="e">
        <f ca="1">VLOOKUP(S298,ModelOutputs,10,FALSE)*AWC</f>
        <v>#N/A</v>
      </c>
      <c r="AA298" t="e">
        <f t="shared" ca="1" si="74"/>
        <v>#N/A</v>
      </c>
      <c r="AB298" t="e">
        <f t="shared" ca="1" si="68"/>
        <v>#N/A</v>
      </c>
      <c r="AC298" t="e">
        <f t="shared" ca="1" si="69"/>
        <v>#N/A</v>
      </c>
      <c r="AD298" s="83" t="e">
        <f ca="1"/>
        <v>#N/A</v>
      </c>
      <c r="AE298" s="55" t="e">
        <f t="shared" ca="1" si="75"/>
        <v>#N/A</v>
      </c>
      <c r="AF298" s="55" t="e">
        <f t="shared" ca="1" si="76"/>
        <v>#N/A</v>
      </c>
      <c r="AG298" s="55" t="e">
        <f t="shared" ca="1" si="77"/>
        <v>#N/A</v>
      </c>
      <c r="AH298" s="55" t="e">
        <f t="shared" ca="1" si="78"/>
        <v>#N/A</v>
      </c>
      <c r="AI298" s="55" t="e">
        <f ca="1">-VLOOKUP(AE298,ModelOutputs,9,FALSE)+AI297</f>
        <v>#N/A</v>
      </c>
      <c r="AJ298" s="55" t="e">
        <f ca="1">VLOOKUP(AE298,ModelOutputs,5,FALSE)+AJ297</f>
        <v>#N/A</v>
      </c>
      <c r="AK298" s="55" t="e">
        <f ca="1">VLOOKUP(AE298,ModelOutputs,4,FALSE)+AK297</f>
        <v>#N/A</v>
      </c>
    </row>
    <row r="299" spans="18:37">
      <c r="R299" s="83" t="e">
        <f ca="1"/>
        <v>#N/A</v>
      </c>
      <c r="S299" s="55" t="e">
        <f t="shared" ca="1" si="70"/>
        <v>#N/A</v>
      </c>
      <c r="T299" s="55" t="e">
        <f t="shared" ca="1" si="65"/>
        <v>#N/A</v>
      </c>
      <c r="U299" s="55" t="e">
        <f t="shared" ca="1" si="66"/>
        <v>#N/A</v>
      </c>
      <c r="V299" s="55" t="e">
        <f t="shared" ca="1" si="67"/>
        <v>#N/A</v>
      </c>
      <c r="W299" s="55" t="e">
        <f t="shared" ca="1" si="71"/>
        <v>#N/A</v>
      </c>
      <c r="X299" s="55" t="e">
        <f t="shared" ca="1" si="72"/>
        <v>#N/A</v>
      </c>
      <c r="Y299" s="55" t="e">
        <f t="shared" ca="1" si="73"/>
        <v>#N/A</v>
      </c>
      <c r="Z299" t="e">
        <f ca="1">VLOOKUP(S299,ModelOutputs,10,FALSE)*AWC</f>
        <v>#N/A</v>
      </c>
      <c r="AA299" t="e">
        <f t="shared" ca="1" si="74"/>
        <v>#N/A</v>
      </c>
      <c r="AB299" t="e">
        <f t="shared" ca="1" si="68"/>
        <v>#N/A</v>
      </c>
      <c r="AC299" t="e">
        <f t="shared" ca="1" si="69"/>
        <v>#N/A</v>
      </c>
      <c r="AD299" s="83" t="e">
        <f ca="1"/>
        <v>#N/A</v>
      </c>
      <c r="AE299" s="55" t="e">
        <f t="shared" ca="1" si="75"/>
        <v>#N/A</v>
      </c>
      <c r="AF299" s="55" t="e">
        <f t="shared" ca="1" si="76"/>
        <v>#N/A</v>
      </c>
      <c r="AG299" s="55" t="e">
        <f t="shared" ca="1" si="77"/>
        <v>#N/A</v>
      </c>
      <c r="AH299" s="55" t="e">
        <f t="shared" ca="1" si="78"/>
        <v>#N/A</v>
      </c>
      <c r="AI299" s="55" t="e">
        <f ca="1">-VLOOKUP(AE299,ModelOutputs,9,FALSE)+AI298</f>
        <v>#N/A</v>
      </c>
      <c r="AJ299" s="55" t="e">
        <f ca="1">VLOOKUP(AE299,ModelOutputs,5,FALSE)+AJ298</f>
        <v>#N/A</v>
      </c>
      <c r="AK299" s="55" t="e">
        <f ca="1">VLOOKUP(AE299,ModelOutputs,4,FALSE)+AK298</f>
        <v>#N/A</v>
      </c>
    </row>
    <row r="300" spans="18:37">
      <c r="R300" s="83" t="e">
        <f ca="1"/>
        <v>#N/A</v>
      </c>
      <c r="S300" s="55" t="e">
        <f t="shared" ca="1" si="70"/>
        <v>#N/A</v>
      </c>
      <c r="T300" s="55" t="e">
        <f t="shared" ca="1" si="65"/>
        <v>#N/A</v>
      </c>
      <c r="U300" s="55" t="e">
        <f t="shared" ca="1" si="66"/>
        <v>#N/A</v>
      </c>
      <c r="V300" s="55" t="e">
        <f t="shared" ca="1" si="67"/>
        <v>#N/A</v>
      </c>
      <c r="W300" s="55" t="e">
        <f t="shared" ca="1" si="71"/>
        <v>#N/A</v>
      </c>
      <c r="X300" s="55" t="e">
        <f t="shared" ca="1" si="72"/>
        <v>#N/A</v>
      </c>
      <c r="Y300" s="55" t="e">
        <f t="shared" ca="1" si="73"/>
        <v>#N/A</v>
      </c>
      <c r="Z300" t="e">
        <f ca="1">VLOOKUP(S300,ModelOutputs,10,FALSE)*AWC</f>
        <v>#N/A</v>
      </c>
      <c r="AA300" t="e">
        <f t="shared" ca="1" si="74"/>
        <v>#N/A</v>
      </c>
      <c r="AB300" t="e">
        <f t="shared" ca="1" si="68"/>
        <v>#N/A</v>
      </c>
      <c r="AC300" t="e">
        <f t="shared" ca="1" si="69"/>
        <v>#N/A</v>
      </c>
      <c r="AD300" s="83" t="e">
        <f ca="1"/>
        <v>#N/A</v>
      </c>
      <c r="AE300" s="55" t="e">
        <f t="shared" ca="1" si="75"/>
        <v>#N/A</v>
      </c>
      <c r="AF300" s="55" t="e">
        <f t="shared" ca="1" si="76"/>
        <v>#N/A</v>
      </c>
      <c r="AG300" s="55" t="e">
        <f t="shared" ca="1" si="77"/>
        <v>#N/A</v>
      </c>
      <c r="AH300" s="55" t="e">
        <f t="shared" ca="1" si="78"/>
        <v>#N/A</v>
      </c>
      <c r="AI300" s="55" t="e">
        <f ca="1">-VLOOKUP(AE300,ModelOutputs,9,FALSE)+AI299</f>
        <v>#N/A</v>
      </c>
      <c r="AJ300" s="55" t="e">
        <f ca="1">VLOOKUP(AE300,ModelOutputs,5,FALSE)+AJ299</f>
        <v>#N/A</v>
      </c>
      <c r="AK300" s="55" t="e">
        <f ca="1">VLOOKUP(AE300,ModelOutputs,4,FALSE)+AK299</f>
        <v>#N/A</v>
      </c>
    </row>
    <row r="301" spans="18:37">
      <c r="R301" s="83" t="e">
        <f ca="1"/>
        <v>#N/A</v>
      </c>
      <c r="S301" s="55" t="e">
        <f t="shared" ca="1" si="70"/>
        <v>#N/A</v>
      </c>
      <c r="T301" s="55" t="e">
        <f t="shared" ca="1" si="65"/>
        <v>#N/A</v>
      </c>
      <c r="U301" s="55" t="e">
        <f t="shared" ca="1" si="66"/>
        <v>#N/A</v>
      </c>
      <c r="V301" s="55" t="e">
        <f t="shared" ca="1" si="67"/>
        <v>#N/A</v>
      </c>
      <c r="W301" s="55" t="e">
        <f t="shared" ca="1" si="71"/>
        <v>#N/A</v>
      </c>
      <c r="X301" s="55" t="e">
        <f t="shared" ca="1" si="72"/>
        <v>#N/A</v>
      </c>
      <c r="Y301" s="55" t="e">
        <f t="shared" ca="1" si="73"/>
        <v>#N/A</v>
      </c>
      <c r="Z301" t="e">
        <f ca="1">VLOOKUP(S301,ModelOutputs,10,FALSE)*AWC</f>
        <v>#N/A</v>
      </c>
      <c r="AA301" t="e">
        <f t="shared" ca="1" si="74"/>
        <v>#N/A</v>
      </c>
      <c r="AB301" t="e">
        <f t="shared" ca="1" si="68"/>
        <v>#N/A</v>
      </c>
      <c r="AC301" t="e">
        <f t="shared" ca="1" si="69"/>
        <v>#N/A</v>
      </c>
      <c r="AD301" s="83" t="e">
        <f ca="1"/>
        <v>#N/A</v>
      </c>
      <c r="AE301" s="55" t="e">
        <f t="shared" ca="1" si="75"/>
        <v>#N/A</v>
      </c>
      <c r="AF301" s="55" t="e">
        <f t="shared" ca="1" si="76"/>
        <v>#N/A</v>
      </c>
      <c r="AG301" s="55" t="e">
        <f t="shared" ca="1" si="77"/>
        <v>#N/A</v>
      </c>
      <c r="AH301" s="55" t="e">
        <f t="shared" ca="1" si="78"/>
        <v>#N/A</v>
      </c>
      <c r="AI301" s="55" t="e">
        <f ca="1">-VLOOKUP(AE301,ModelOutputs,9,FALSE)+AI300</f>
        <v>#N/A</v>
      </c>
      <c r="AJ301" s="55" t="e">
        <f ca="1">VLOOKUP(AE301,ModelOutputs,5,FALSE)+AJ300</f>
        <v>#N/A</v>
      </c>
      <c r="AK301" s="55" t="e">
        <f ca="1">VLOOKUP(AE301,ModelOutputs,4,FALSE)+AK300</f>
        <v>#N/A</v>
      </c>
    </row>
    <row r="302" spans="18:37">
      <c r="R302" s="83" t="e">
        <f ca="1"/>
        <v>#N/A</v>
      </c>
      <c r="S302" s="55" t="e">
        <f t="shared" ca="1" si="70"/>
        <v>#N/A</v>
      </c>
      <c r="T302" s="55" t="e">
        <f t="shared" ca="1" si="65"/>
        <v>#N/A</v>
      </c>
      <c r="U302" s="55" t="e">
        <f t="shared" ca="1" si="66"/>
        <v>#N/A</v>
      </c>
      <c r="V302" s="55" t="e">
        <f t="shared" ca="1" si="67"/>
        <v>#N/A</v>
      </c>
      <c r="W302" s="55" t="e">
        <f t="shared" ca="1" si="71"/>
        <v>#N/A</v>
      </c>
      <c r="X302" s="55" t="e">
        <f t="shared" ca="1" si="72"/>
        <v>#N/A</v>
      </c>
      <c r="Y302" s="55" t="e">
        <f t="shared" ca="1" si="73"/>
        <v>#N/A</v>
      </c>
      <c r="Z302" t="e">
        <f ca="1">VLOOKUP(S302,ModelOutputs,10,FALSE)*AWC</f>
        <v>#N/A</v>
      </c>
      <c r="AA302" t="e">
        <f t="shared" ca="1" si="74"/>
        <v>#N/A</v>
      </c>
      <c r="AB302" t="e">
        <f t="shared" ca="1" si="68"/>
        <v>#N/A</v>
      </c>
      <c r="AC302" t="e">
        <f t="shared" ca="1" si="69"/>
        <v>#N/A</v>
      </c>
      <c r="AD302" s="83" t="e">
        <f ca="1"/>
        <v>#N/A</v>
      </c>
      <c r="AE302" s="55" t="e">
        <f t="shared" ca="1" si="75"/>
        <v>#N/A</v>
      </c>
      <c r="AF302" s="55" t="e">
        <f t="shared" ca="1" si="76"/>
        <v>#N/A</v>
      </c>
      <c r="AG302" s="55" t="e">
        <f t="shared" ca="1" si="77"/>
        <v>#N/A</v>
      </c>
      <c r="AH302" s="55" t="e">
        <f t="shared" ca="1" si="78"/>
        <v>#N/A</v>
      </c>
      <c r="AI302" s="55" t="e">
        <f ca="1">-VLOOKUP(AE302,ModelOutputs,9,FALSE)+AI301</f>
        <v>#N/A</v>
      </c>
      <c r="AJ302" s="55" t="e">
        <f ca="1">VLOOKUP(AE302,ModelOutputs,5,FALSE)+AJ301</f>
        <v>#N/A</v>
      </c>
      <c r="AK302" s="55" t="e">
        <f ca="1">VLOOKUP(AE302,ModelOutputs,4,FALSE)+AK301</f>
        <v>#N/A</v>
      </c>
    </row>
    <row r="303" spans="18:37">
      <c r="R303" s="83" t="e">
        <f ca="1"/>
        <v>#N/A</v>
      </c>
      <c r="S303" s="55" t="e">
        <f t="shared" ca="1" si="70"/>
        <v>#N/A</v>
      </c>
      <c r="T303" s="55" t="e">
        <f t="shared" ca="1" si="65"/>
        <v>#N/A</v>
      </c>
      <c r="U303" s="55" t="e">
        <f t="shared" ca="1" si="66"/>
        <v>#N/A</v>
      </c>
      <c r="V303" s="55" t="e">
        <f t="shared" ca="1" si="67"/>
        <v>#N/A</v>
      </c>
      <c r="W303" s="55" t="e">
        <f t="shared" ca="1" si="71"/>
        <v>#N/A</v>
      </c>
      <c r="X303" s="55" t="e">
        <f t="shared" ca="1" si="72"/>
        <v>#N/A</v>
      </c>
      <c r="Y303" s="55" t="e">
        <f t="shared" ca="1" si="73"/>
        <v>#N/A</v>
      </c>
      <c r="Z303" t="e">
        <f ca="1">VLOOKUP(S303,ModelOutputs,10,FALSE)*AWC</f>
        <v>#N/A</v>
      </c>
      <c r="AA303" t="e">
        <f t="shared" ca="1" si="74"/>
        <v>#N/A</v>
      </c>
      <c r="AB303" t="e">
        <f t="shared" ca="1" si="68"/>
        <v>#N/A</v>
      </c>
      <c r="AC303" t="e">
        <f t="shared" ca="1" si="69"/>
        <v>#N/A</v>
      </c>
      <c r="AD303" s="83" t="e">
        <f ca="1"/>
        <v>#N/A</v>
      </c>
      <c r="AE303" s="55" t="e">
        <f t="shared" ca="1" si="75"/>
        <v>#N/A</v>
      </c>
      <c r="AF303" s="55" t="e">
        <f t="shared" ca="1" si="76"/>
        <v>#N/A</v>
      </c>
      <c r="AG303" s="55" t="e">
        <f t="shared" ca="1" si="77"/>
        <v>#N/A</v>
      </c>
      <c r="AH303" s="55" t="e">
        <f t="shared" ca="1" si="78"/>
        <v>#N/A</v>
      </c>
      <c r="AI303" s="55" t="e">
        <f ca="1">-VLOOKUP(AE303,ModelOutputs,9,FALSE)+AI302</f>
        <v>#N/A</v>
      </c>
      <c r="AJ303" s="55" t="e">
        <f ca="1">VLOOKUP(AE303,ModelOutputs,5,FALSE)+AJ302</f>
        <v>#N/A</v>
      </c>
      <c r="AK303" s="55" t="e">
        <f ca="1">VLOOKUP(AE303,ModelOutputs,4,FALSE)+AK302</f>
        <v>#N/A</v>
      </c>
    </row>
    <row r="304" spans="18:37">
      <c r="R304" s="83" t="e">
        <f ca="1"/>
        <v>#N/A</v>
      </c>
      <c r="S304" s="55" t="e">
        <f t="shared" ca="1" si="70"/>
        <v>#N/A</v>
      </c>
      <c r="T304" s="55" t="e">
        <f t="shared" ca="1" si="65"/>
        <v>#N/A</v>
      </c>
      <c r="U304" s="55" t="e">
        <f t="shared" ca="1" si="66"/>
        <v>#N/A</v>
      </c>
      <c r="V304" s="55" t="e">
        <f t="shared" ca="1" si="67"/>
        <v>#N/A</v>
      </c>
      <c r="W304" s="55" t="e">
        <f t="shared" ca="1" si="71"/>
        <v>#N/A</v>
      </c>
      <c r="X304" s="55" t="e">
        <f t="shared" ca="1" si="72"/>
        <v>#N/A</v>
      </c>
      <c r="Y304" s="55" t="e">
        <f t="shared" ca="1" si="73"/>
        <v>#N/A</v>
      </c>
      <c r="Z304" t="e">
        <f ca="1">VLOOKUP(S304,ModelOutputs,10,FALSE)*AWC</f>
        <v>#N/A</v>
      </c>
      <c r="AA304" t="e">
        <f t="shared" ca="1" si="74"/>
        <v>#N/A</v>
      </c>
      <c r="AB304" t="e">
        <f t="shared" ca="1" si="68"/>
        <v>#N/A</v>
      </c>
      <c r="AC304" t="e">
        <f t="shared" ca="1" si="69"/>
        <v>#N/A</v>
      </c>
      <c r="AD304" s="83" t="e">
        <f ca="1"/>
        <v>#N/A</v>
      </c>
      <c r="AE304" s="55" t="e">
        <f t="shared" ca="1" si="75"/>
        <v>#N/A</v>
      </c>
      <c r="AF304" s="55" t="e">
        <f t="shared" ca="1" si="76"/>
        <v>#N/A</v>
      </c>
      <c r="AG304" s="55" t="e">
        <f t="shared" ca="1" si="77"/>
        <v>#N/A</v>
      </c>
      <c r="AH304" s="55" t="e">
        <f t="shared" ca="1" si="78"/>
        <v>#N/A</v>
      </c>
      <c r="AI304" s="55" t="e">
        <f ca="1">-VLOOKUP(AE304,ModelOutputs,9,FALSE)+AI303</f>
        <v>#N/A</v>
      </c>
      <c r="AJ304" s="55" t="e">
        <f ca="1">VLOOKUP(AE304,ModelOutputs,5,FALSE)+AJ303</f>
        <v>#N/A</v>
      </c>
      <c r="AK304" s="55" t="e">
        <f ca="1">VLOOKUP(AE304,ModelOutputs,4,FALSE)+AK303</f>
        <v>#N/A</v>
      </c>
    </row>
    <row r="305" spans="18:37">
      <c r="R305" s="83" t="e">
        <f ca="1"/>
        <v>#N/A</v>
      </c>
      <c r="S305" s="55" t="e">
        <f t="shared" ca="1" si="70"/>
        <v>#N/A</v>
      </c>
      <c r="T305" s="55" t="e">
        <f t="shared" ca="1" si="65"/>
        <v>#N/A</v>
      </c>
      <c r="U305" s="55" t="e">
        <f t="shared" ca="1" si="66"/>
        <v>#N/A</v>
      </c>
      <c r="V305" s="55" t="e">
        <f t="shared" ca="1" si="67"/>
        <v>#N/A</v>
      </c>
      <c r="W305" s="55" t="e">
        <f t="shared" ca="1" si="71"/>
        <v>#N/A</v>
      </c>
      <c r="X305" s="55" t="e">
        <f t="shared" ca="1" si="72"/>
        <v>#N/A</v>
      </c>
      <c r="Y305" s="55" t="e">
        <f t="shared" ca="1" si="73"/>
        <v>#N/A</v>
      </c>
      <c r="Z305" t="e">
        <f ca="1">VLOOKUP(S305,ModelOutputs,10,FALSE)*AWC</f>
        <v>#N/A</v>
      </c>
      <c r="AA305" t="e">
        <f t="shared" ca="1" si="74"/>
        <v>#N/A</v>
      </c>
      <c r="AB305" t="e">
        <f t="shared" ca="1" si="68"/>
        <v>#N/A</v>
      </c>
      <c r="AC305" t="e">
        <f t="shared" ca="1" si="69"/>
        <v>#N/A</v>
      </c>
      <c r="AD305" s="83" t="e">
        <f ca="1"/>
        <v>#N/A</v>
      </c>
      <c r="AE305" s="55" t="e">
        <f t="shared" ca="1" si="75"/>
        <v>#N/A</v>
      </c>
      <c r="AF305" s="55" t="e">
        <f t="shared" ca="1" si="76"/>
        <v>#N/A</v>
      </c>
      <c r="AG305" s="55" t="e">
        <f t="shared" ca="1" si="77"/>
        <v>#N/A</v>
      </c>
      <c r="AH305" s="55" t="e">
        <f t="shared" ca="1" si="78"/>
        <v>#N/A</v>
      </c>
      <c r="AI305" s="55" t="e">
        <f ca="1">-VLOOKUP(AE305,ModelOutputs,9,FALSE)+AI304</f>
        <v>#N/A</v>
      </c>
      <c r="AJ305" s="55" t="e">
        <f ca="1">VLOOKUP(AE305,ModelOutputs,5,FALSE)+AJ304</f>
        <v>#N/A</v>
      </c>
      <c r="AK305" s="55" t="e">
        <f ca="1">VLOOKUP(AE305,ModelOutputs,4,FALSE)+AK304</f>
        <v>#N/A</v>
      </c>
    </row>
    <row r="306" spans="18:37">
      <c r="R306" s="83" t="e">
        <f ca="1"/>
        <v>#N/A</v>
      </c>
      <c r="S306" s="55" t="e">
        <f t="shared" ca="1" si="70"/>
        <v>#N/A</v>
      </c>
      <c r="T306" s="55" t="e">
        <f t="shared" ca="1" si="65"/>
        <v>#N/A</v>
      </c>
      <c r="U306" s="55" t="e">
        <f t="shared" ca="1" si="66"/>
        <v>#N/A</v>
      </c>
      <c r="V306" s="55" t="e">
        <f t="shared" ca="1" si="67"/>
        <v>#N/A</v>
      </c>
      <c r="W306" s="55" t="e">
        <f t="shared" ca="1" si="71"/>
        <v>#N/A</v>
      </c>
      <c r="X306" s="55" t="e">
        <f t="shared" ca="1" si="72"/>
        <v>#N/A</v>
      </c>
      <c r="Y306" s="55" t="e">
        <f t="shared" ca="1" si="73"/>
        <v>#N/A</v>
      </c>
      <c r="Z306" t="e">
        <f ca="1">VLOOKUP(S306,ModelOutputs,10,FALSE)*AWC</f>
        <v>#N/A</v>
      </c>
      <c r="AA306" t="e">
        <f t="shared" ca="1" si="74"/>
        <v>#N/A</v>
      </c>
      <c r="AB306" t="e">
        <f t="shared" ca="1" si="68"/>
        <v>#N/A</v>
      </c>
      <c r="AC306" t="e">
        <f t="shared" ca="1" si="69"/>
        <v>#N/A</v>
      </c>
      <c r="AD306" s="83" t="e">
        <f ca="1"/>
        <v>#N/A</v>
      </c>
      <c r="AE306" s="55" t="e">
        <f t="shared" ca="1" si="75"/>
        <v>#N/A</v>
      </c>
      <c r="AF306" s="55" t="e">
        <f t="shared" ca="1" si="76"/>
        <v>#N/A</v>
      </c>
      <c r="AG306" s="55" t="e">
        <f t="shared" ca="1" si="77"/>
        <v>#N/A</v>
      </c>
      <c r="AH306" s="55" t="e">
        <f t="shared" ca="1" si="78"/>
        <v>#N/A</v>
      </c>
      <c r="AI306" s="55" t="e">
        <f ca="1">-VLOOKUP(AE306,ModelOutputs,9,FALSE)+AI305</f>
        <v>#N/A</v>
      </c>
      <c r="AJ306" s="55" t="e">
        <f ca="1">VLOOKUP(AE306,ModelOutputs,5,FALSE)+AJ305</f>
        <v>#N/A</v>
      </c>
      <c r="AK306" s="55" t="e">
        <f ca="1">VLOOKUP(AE306,ModelOutputs,4,FALSE)+AK305</f>
        <v>#N/A</v>
      </c>
    </row>
    <row r="307" spans="18:37">
      <c r="R307" s="83" t="e">
        <f ca="1"/>
        <v>#N/A</v>
      </c>
      <c r="S307" s="55" t="e">
        <f t="shared" ca="1" si="70"/>
        <v>#N/A</v>
      </c>
      <c r="T307" s="55" t="e">
        <f t="shared" ca="1" si="65"/>
        <v>#N/A</v>
      </c>
      <c r="U307" s="55" t="e">
        <f t="shared" ca="1" si="66"/>
        <v>#N/A</v>
      </c>
      <c r="V307" s="55" t="e">
        <f t="shared" ca="1" si="67"/>
        <v>#N/A</v>
      </c>
      <c r="W307" s="55" t="e">
        <f t="shared" ca="1" si="71"/>
        <v>#N/A</v>
      </c>
      <c r="X307" s="55" t="e">
        <f t="shared" ca="1" si="72"/>
        <v>#N/A</v>
      </c>
      <c r="Y307" s="55" t="e">
        <f t="shared" ca="1" si="73"/>
        <v>#N/A</v>
      </c>
      <c r="Z307" t="e">
        <f ca="1">VLOOKUP(S307,ModelOutputs,10,FALSE)*AWC</f>
        <v>#N/A</v>
      </c>
      <c r="AA307" t="e">
        <f t="shared" ca="1" si="74"/>
        <v>#N/A</v>
      </c>
      <c r="AB307" t="e">
        <f t="shared" ca="1" si="68"/>
        <v>#N/A</v>
      </c>
      <c r="AC307" t="e">
        <f t="shared" ca="1" si="69"/>
        <v>#N/A</v>
      </c>
      <c r="AD307" s="83" t="e">
        <f ca="1"/>
        <v>#N/A</v>
      </c>
      <c r="AE307" s="55" t="e">
        <f t="shared" ca="1" si="75"/>
        <v>#N/A</v>
      </c>
      <c r="AF307" s="55" t="e">
        <f t="shared" ca="1" si="76"/>
        <v>#N/A</v>
      </c>
      <c r="AG307" s="55" t="e">
        <f t="shared" ca="1" si="77"/>
        <v>#N/A</v>
      </c>
      <c r="AH307" s="55" t="e">
        <f t="shared" ca="1" si="78"/>
        <v>#N/A</v>
      </c>
      <c r="AI307" s="55" t="e">
        <f ca="1">-VLOOKUP(AE307,ModelOutputs,9,FALSE)+AI306</f>
        <v>#N/A</v>
      </c>
      <c r="AJ307" s="55" t="e">
        <f ca="1">VLOOKUP(AE307,ModelOutputs,5,FALSE)+AJ306</f>
        <v>#N/A</v>
      </c>
      <c r="AK307" s="55" t="e">
        <f ca="1">VLOOKUP(AE307,ModelOutputs,4,FALSE)+AK306</f>
        <v>#N/A</v>
      </c>
    </row>
    <row r="308" spans="18:37">
      <c r="R308" s="83" t="e">
        <f ca="1"/>
        <v>#N/A</v>
      </c>
      <c r="S308" s="55" t="e">
        <f t="shared" ca="1" si="70"/>
        <v>#N/A</v>
      </c>
      <c r="T308" s="55" t="e">
        <f t="shared" ca="1" si="65"/>
        <v>#N/A</v>
      </c>
      <c r="U308" s="55" t="e">
        <f t="shared" ca="1" si="66"/>
        <v>#N/A</v>
      </c>
      <c r="V308" s="55" t="e">
        <f t="shared" ca="1" si="67"/>
        <v>#N/A</v>
      </c>
      <c r="W308" s="55" t="e">
        <f t="shared" ca="1" si="71"/>
        <v>#N/A</v>
      </c>
      <c r="X308" s="55" t="e">
        <f t="shared" ca="1" si="72"/>
        <v>#N/A</v>
      </c>
      <c r="Y308" s="55" t="e">
        <f t="shared" ca="1" si="73"/>
        <v>#N/A</v>
      </c>
      <c r="Z308" t="e">
        <f ca="1">VLOOKUP(S308,ModelOutputs,10,FALSE)*AWC</f>
        <v>#N/A</v>
      </c>
      <c r="AA308" t="e">
        <f t="shared" ca="1" si="74"/>
        <v>#N/A</v>
      </c>
      <c r="AB308" t="e">
        <f t="shared" ca="1" si="68"/>
        <v>#N/A</v>
      </c>
      <c r="AC308" t="e">
        <f t="shared" ca="1" si="69"/>
        <v>#N/A</v>
      </c>
      <c r="AD308" s="83" t="e">
        <f ca="1"/>
        <v>#N/A</v>
      </c>
      <c r="AE308" s="55" t="e">
        <f t="shared" ca="1" si="75"/>
        <v>#N/A</v>
      </c>
      <c r="AF308" s="55" t="e">
        <f t="shared" ca="1" si="76"/>
        <v>#N/A</v>
      </c>
      <c r="AG308" s="55" t="e">
        <f t="shared" ca="1" si="77"/>
        <v>#N/A</v>
      </c>
      <c r="AH308" s="55" t="e">
        <f t="shared" ca="1" si="78"/>
        <v>#N/A</v>
      </c>
      <c r="AI308" s="55" t="e">
        <f ca="1">-VLOOKUP(AE308,ModelOutputs,9,FALSE)+AI307</f>
        <v>#N/A</v>
      </c>
      <c r="AJ308" s="55" t="e">
        <f ca="1">VLOOKUP(AE308,ModelOutputs,5,FALSE)+AJ307</f>
        <v>#N/A</v>
      </c>
      <c r="AK308" s="55" t="e">
        <f ca="1">VLOOKUP(AE308,ModelOutputs,4,FALSE)+AK307</f>
        <v>#N/A</v>
      </c>
    </row>
    <row r="309" spans="18:37">
      <c r="R309" s="83" t="e">
        <f ca="1"/>
        <v>#N/A</v>
      </c>
      <c r="S309" s="55" t="e">
        <f t="shared" ca="1" si="70"/>
        <v>#N/A</v>
      </c>
      <c r="T309" s="55" t="e">
        <f t="shared" ca="1" si="65"/>
        <v>#N/A</v>
      </c>
      <c r="U309" s="55" t="e">
        <f t="shared" ca="1" si="66"/>
        <v>#N/A</v>
      </c>
      <c r="V309" s="55" t="e">
        <f t="shared" ca="1" si="67"/>
        <v>#N/A</v>
      </c>
      <c r="W309" s="55" t="e">
        <f t="shared" ca="1" si="71"/>
        <v>#N/A</v>
      </c>
      <c r="X309" s="55" t="e">
        <f t="shared" ca="1" si="72"/>
        <v>#N/A</v>
      </c>
      <c r="Y309" s="55" t="e">
        <f t="shared" ca="1" si="73"/>
        <v>#N/A</v>
      </c>
      <c r="Z309" t="e">
        <f ca="1">VLOOKUP(S309,ModelOutputs,10,FALSE)*AWC</f>
        <v>#N/A</v>
      </c>
      <c r="AA309" t="e">
        <f t="shared" ca="1" si="74"/>
        <v>#N/A</v>
      </c>
      <c r="AB309" t="e">
        <f t="shared" ca="1" si="68"/>
        <v>#N/A</v>
      </c>
      <c r="AC309" t="e">
        <f t="shared" ca="1" si="69"/>
        <v>#N/A</v>
      </c>
      <c r="AD309" s="83" t="e">
        <f ca="1"/>
        <v>#N/A</v>
      </c>
      <c r="AE309" s="55" t="e">
        <f t="shared" ca="1" si="75"/>
        <v>#N/A</v>
      </c>
      <c r="AF309" s="55" t="e">
        <f t="shared" ca="1" si="76"/>
        <v>#N/A</v>
      </c>
      <c r="AG309" s="55" t="e">
        <f t="shared" ca="1" si="77"/>
        <v>#N/A</v>
      </c>
      <c r="AH309" s="55" t="e">
        <f t="shared" ca="1" si="78"/>
        <v>#N/A</v>
      </c>
      <c r="AI309" s="55" t="e">
        <f ca="1">-VLOOKUP(AE309,ModelOutputs,9,FALSE)+AI308</f>
        <v>#N/A</v>
      </c>
      <c r="AJ309" s="55" t="e">
        <f ca="1">VLOOKUP(AE309,ModelOutputs,5,FALSE)+AJ308</f>
        <v>#N/A</v>
      </c>
      <c r="AK309" s="55" t="e">
        <f ca="1">VLOOKUP(AE309,ModelOutputs,4,FALSE)+AK308</f>
        <v>#N/A</v>
      </c>
    </row>
    <row r="310" spans="18:37">
      <c r="R310" s="83" t="e">
        <f ca="1"/>
        <v>#N/A</v>
      </c>
      <c r="S310" s="55" t="e">
        <f t="shared" ca="1" si="70"/>
        <v>#N/A</v>
      </c>
      <c r="T310" s="55" t="e">
        <f t="shared" ca="1" si="65"/>
        <v>#N/A</v>
      </c>
      <c r="U310" s="55" t="e">
        <f t="shared" ca="1" si="66"/>
        <v>#N/A</v>
      </c>
      <c r="V310" s="55" t="e">
        <f t="shared" ca="1" si="67"/>
        <v>#N/A</v>
      </c>
      <c r="W310" s="55" t="e">
        <f t="shared" ca="1" si="71"/>
        <v>#N/A</v>
      </c>
      <c r="X310" s="55" t="e">
        <f t="shared" ca="1" si="72"/>
        <v>#N/A</v>
      </c>
      <c r="Y310" s="55" t="e">
        <f t="shared" ca="1" si="73"/>
        <v>#N/A</v>
      </c>
      <c r="Z310" t="e">
        <f ca="1">VLOOKUP(S310,ModelOutputs,10,FALSE)*AWC</f>
        <v>#N/A</v>
      </c>
      <c r="AA310" t="e">
        <f t="shared" ca="1" si="74"/>
        <v>#N/A</v>
      </c>
      <c r="AB310" t="e">
        <f t="shared" ca="1" si="68"/>
        <v>#N/A</v>
      </c>
      <c r="AC310" t="e">
        <f t="shared" ca="1" si="69"/>
        <v>#N/A</v>
      </c>
      <c r="AD310" s="83" t="e">
        <f ca="1"/>
        <v>#N/A</v>
      </c>
      <c r="AE310" s="55" t="e">
        <f t="shared" ca="1" si="75"/>
        <v>#N/A</v>
      </c>
      <c r="AF310" s="55" t="e">
        <f t="shared" ca="1" si="76"/>
        <v>#N/A</v>
      </c>
      <c r="AG310" s="55" t="e">
        <f t="shared" ca="1" si="77"/>
        <v>#N/A</v>
      </c>
      <c r="AH310" s="55" t="e">
        <f t="shared" ca="1" si="78"/>
        <v>#N/A</v>
      </c>
      <c r="AI310" s="55" t="e">
        <f ca="1">-VLOOKUP(AE310,ModelOutputs,9,FALSE)+AI309</f>
        <v>#N/A</v>
      </c>
      <c r="AJ310" s="55" t="e">
        <f ca="1">VLOOKUP(AE310,ModelOutputs,5,FALSE)+AJ309</f>
        <v>#N/A</v>
      </c>
      <c r="AK310" s="55" t="e">
        <f ca="1">VLOOKUP(AE310,ModelOutputs,4,FALSE)+AK309</f>
        <v>#N/A</v>
      </c>
    </row>
    <row r="311" spans="18:37">
      <c r="R311" s="83" t="e">
        <f ca="1"/>
        <v>#N/A</v>
      </c>
      <c r="S311" s="55" t="e">
        <f t="shared" ca="1" si="70"/>
        <v>#N/A</v>
      </c>
      <c r="T311" s="55" t="e">
        <f t="shared" ca="1" si="65"/>
        <v>#N/A</v>
      </c>
      <c r="U311" s="55" t="e">
        <f t="shared" ca="1" si="66"/>
        <v>#N/A</v>
      </c>
      <c r="V311" s="55" t="e">
        <f t="shared" ca="1" si="67"/>
        <v>#N/A</v>
      </c>
      <c r="W311" s="55" t="e">
        <f t="shared" ca="1" si="71"/>
        <v>#N/A</v>
      </c>
      <c r="X311" s="55" t="e">
        <f t="shared" ca="1" si="72"/>
        <v>#N/A</v>
      </c>
      <c r="Y311" s="55" t="e">
        <f t="shared" ca="1" si="73"/>
        <v>#N/A</v>
      </c>
      <c r="Z311" t="e">
        <f ca="1">VLOOKUP(S311,ModelOutputs,10,FALSE)*AWC</f>
        <v>#N/A</v>
      </c>
      <c r="AA311" t="e">
        <f t="shared" ca="1" si="74"/>
        <v>#N/A</v>
      </c>
      <c r="AB311" t="e">
        <f t="shared" ca="1" si="68"/>
        <v>#N/A</v>
      </c>
      <c r="AC311" t="e">
        <f t="shared" ca="1" si="69"/>
        <v>#N/A</v>
      </c>
      <c r="AD311" s="83" t="e">
        <f ca="1"/>
        <v>#N/A</v>
      </c>
      <c r="AE311" s="55" t="e">
        <f t="shared" ca="1" si="75"/>
        <v>#N/A</v>
      </c>
      <c r="AF311" s="55" t="e">
        <f t="shared" ca="1" si="76"/>
        <v>#N/A</v>
      </c>
      <c r="AG311" s="55" t="e">
        <f t="shared" ca="1" si="77"/>
        <v>#N/A</v>
      </c>
      <c r="AH311" s="55" t="e">
        <f t="shared" ca="1" si="78"/>
        <v>#N/A</v>
      </c>
      <c r="AI311" s="55" t="e">
        <f ca="1">-VLOOKUP(AE311,ModelOutputs,9,FALSE)+AI310</f>
        <v>#N/A</v>
      </c>
      <c r="AJ311" s="55" t="e">
        <f ca="1">VLOOKUP(AE311,ModelOutputs,5,FALSE)+AJ310</f>
        <v>#N/A</v>
      </c>
      <c r="AK311" s="55" t="e">
        <f ca="1">VLOOKUP(AE311,ModelOutputs,4,FALSE)+AK310</f>
        <v>#N/A</v>
      </c>
    </row>
    <row r="312" spans="18:37">
      <c r="R312" s="83" t="e">
        <f ca="1"/>
        <v>#N/A</v>
      </c>
      <c r="S312" s="55" t="e">
        <f t="shared" ca="1" si="70"/>
        <v>#N/A</v>
      </c>
      <c r="T312" s="55" t="e">
        <f t="shared" ca="1" si="65"/>
        <v>#N/A</v>
      </c>
      <c r="U312" s="55" t="e">
        <f t="shared" ca="1" si="66"/>
        <v>#N/A</v>
      </c>
      <c r="V312" s="55" t="e">
        <f t="shared" ca="1" si="67"/>
        <v>#N/A</v>
      </c>
      <c r="W312" s="55" t="e">
        <f t="shared" ca="1" si="71"/>
        <v>#N/A</v>
      </c>
      <c r="X312" s="55" t="e">
        <f t="shared" ca="1" si="72"/>
        <v>#N/A</v>
      </c>
      <c r="Y312" s="55" t="e">
        <f t="shared" ca="1" si="73"/>
        <v>#N/A</v>
      </c>
      <c r="Z312" t="e">
        <f ca="1">VLOOKUP(S312,ModelOutputs,10,FALSE)*AWC</f>
        <v>#N/A</v>
      </c>
      <c r="AA312" t="e">
        <f t="shared" ca="1" si="74"/>
        <v>#N/A</v>
      </c>
      <c r="AB312" t="e">
        <f t="shared" ca="1" si="68"/>
        <v>#N/A</v>
      </c>
      <c r="AC312" t="e">
        <f t="shared" ca="1" si="69"/>
        <v>#N/A</v>
      </c>
      <c r="AD312" s="83" t="e">
        <f ca="1"/>
        <v>#N/A</v>
      </c>
      <c r="AE312" s="55" t="e">
        <f t="shared" ca="1" si="75"/>
        <v>#N/A</v>
      </c>
      <c r="AF312" s="55" t="e">
        <f t="shared" ca="1" si="76"/>
        <v>#N/A</v>
      </c>
      <c r="AG312" s="55" t="e">
        <f t="shared" ca="1" si="77"/>
        <v>#N/A</v>
      </c>
      <c r="AH312" s="55" t="e">
        <f t="shared" ca="1" si="78"/>
        <v>#N/A</v>
      </c>
      <c r="AI312" s="55" t="e">
        <f ca="1">-VLOOKUP(AE312,ModelOutputs,9,FALSE)+AI311</f>
        <v>#N/A</v>
      </c>
      <c r="AJ312" s="55" t="e">
        <f ca="1">VLOOKUP(AE312,ModelOutputs,5,FALSE)+AJ311</f>
        <v>#N/A</v>
      </c>
      <c r="AK312" s="55" t="e">
        <f ca="1">VLOOKUP(AE312,ModelOutputs,4,FALSE)+AK311</f>
        <v>#N/A</v>
      </c>
    </row>
    <row r="313" spans="18:37">
      <c r="R313" s="83" t="e">
        <f ca="1"/>
        <v>#N/A</v>
      </c>
      <c r="S313" s="55" t="e">
        <f t="shared" ca="1" si="70"/>
        <v>#N/A</v>
      </c>
      <c r="T313" s="55" t="e">
        <f t="shared" ca="1" si="65"/>
        <v>#N/A</v>
      </c>
      <c r="U313" s="55" t="e">
        <f t="shared" ca="1" si="66"/>
        <v>#N/A</v>
      </c>
      <c r="V313" s="55" t="e">
        <f t="shared" ca="1" si="67"/>
        <v>#N/A</v>
      </c>
      <c r="W313" s="55" t="e">
        <f t="shared" ca="1" si="71"/>
        <v>#N/A</v>
      </c>
      <c r="X313" s="55" t="e">
        <f t="shared" ca="1" si="72"/>
        <v>#N/A</v>
      </c>
      <c r="Y313" s="55" t="e">
        <f t="shared" ca="1" si="73"/>
        <v>#N/A</v>
      </c>
      <c r="Z313" t="e">
        <f ca="1">VLOOKUP(S313,ModelOutputs,10,FALSE)*AWC</f>
        <v>#N/A</v>
      </c>
      <c r="AA313" t="e">
        <f t="shared" ca="1" si="74"/>
        <v>#N/A</v>
      </c>
      <c r="AB313" t="e">
        <f t="shared" ca="1" si="68"/>
        <v>#N/A</v>
      </c>
      <c r="AC313" t="e">
        <f t="shared" ca="1" si="69"/>
        <v>#N/A</v>
      </c>
      <c r="AD313" s="83" t="e">
        <f ca="1"/>
        <v>#N/A</v>
      </c>
      <c r="AE313" s="55" t="e">
        <f t="shared" ca="1" si="75"/>
        <v>#N/A</v>
      </c>
      <c r="AF313" s="55" t="e">
        <f t="shared" ca="1" si="76"/>
        <v>#N/A</v>
      </c>
      <c r="AG313" s="55" t="e">
        <f t="shared" ca="1" si="77"/>
        <v>#N/A</v>
      </c>
      <c r="AH313" s="55" t="e">
        <f t="shared" ca="1" si="78"/>
        <v>#N/A</v>
      </c>
      <c r="AI313" s="55" t="e">
        <f ca="1">-VLOOKUP(AE313,ModelOutputs,9,FALSE)+AI312</f>
        <v>#N/A</v>
      </c>
      <c r="AJ313" s="55" t="e">
        <f ca="1">VLOOKUP(AE313,ModelOutputs,5,FALSE)+AJ312</f>
        <v>#N/A</v>
      </c>
      <c r="AK313" s="55" t="e">
        <f ca="1">VLOOKUP(AE313,ModelOutputs,4,FALSE)+AK312</f>
        <v>#N/A</v>
      </c>
    </row>
    <row r="314" spans="18:37">
      <c r="R314" s="83" t="e">
        <f ca="1"/>
        <v>#N/A</v>
      </c>
      <c r="S314" s="55" t="e">
        <f t="shared" ca="1" si="70"/>
        <v>#N/A</v>
      </c>
      <c r="T314" s="55" t="e">
        <f t="shared" ca="1" si="65"/>
        <v>#N/A</v>
      </c>
      <c r="U314" s="55" t="e">
        <f t="shared" ca="1" si="66"/>
        <v>#N/A</v>
      </c>
      <c r="V314" s="55" t="e">
        <f t="shared" ca="1" si="67"/>
        <v>#N/A</v>
      </c>
      <c r="W314" s="55" t="e">
        <f t="shared" ca="1" si="71"/>
        <v>#N/A</v>
      </c>
      <c r="X314" s="55" t="e">
        <f t="shared" ca="1" si="72"/>
        <v>#N/A</v>
      </c>
      <c r="Y314" s="55" t="e">
        <f t="shared" ca="1" si="73"/>
        <v>#N/A</v>
      </c>
      <c r="Z314" t="e">
        <f ca="1">VLOOKUP(S314,ModelOutputs,10,FALSE)*AWC</f>
        <v>#N/A</v>
      </c>
      <c r="AA314" t="e">
        <f t="shared" ca="1" si="74"/>
        <v>#N/A</v>
      </c>
      <c r="AB314" t="e">
        <f t="shared" ca="1" si="68"/>
        <v>#N/A</v>
      </c>
      <c r="AC314" t="e">
        <f t="shared" ca="1" si="69"/>
        <v>#N/A</v>
      </c>
      <c r="AD314" s="83" t="e">
        <f ca="1"/>
        <v>#N/A</v>
      </c>
      <c r="AE314" s="55" t="e">
        <f t="shared" ca="1" si="75"/>
        <v>#N/A</v>
      </c>
      <c r="AF314" s="55" t="e">
        <f t="shared" ca="1" si="76"/>
        <v>#N/A</v>
      </c>
      <c r="AG314" s="55" t="e">
        <f t="shared" ca="1" si="77"/>
        <v>#N/A</v>
      </c>
      <c r="AH314" s="55" t="e">
        <f t="shared" ca="1" si="78"/>
        <v>#N/A</v>
      </c>
      <c r="AI314" s="55" t="e">
        <f ca="1">-VLOOKUP(AE314,ModelOutputs,9,FALSE)+AI313</f>
        <v>#N/A</v>
      </c>
      <c r="AJ314" s="55" t="e">
        <f ca="1">VLOOKUP(AE314,ModelOutputs,5,FALSE)+AJ313</f>
        <v>#N/A</v>
      </c>
      <c r="AK314" s="55" t="e">
        <f ca="1">VLOOKUP(AE314,ModelOutputs,4,FALSE)+AK313</f>
        <v>#N/A</v>
      </c>
    </row>
    <row r="315" spans="18:37">
      <c r="R315" s="83" t="e">
        <f ca="1"/>
        <v>#N/A</v>
      </c>
      <c r="S315" s="55" t="e">
        <f t="shared" ca="1" si="70"/>
        <v>#N/A</v>
      </c>
      <c r="T315" s="55" t="e">
        <f t="shared" ca="1" si="65"/>
        <v>#N/A</v>
      </c>
      <c r="U315" s="55" t="e">
        <f t="shared" ca="1" si="66"/>
        <v>#N/A</v>
      </c>
      <c r="V315" s="55" t="e">
        <f t="shared" ca="1" si="67"/>
        <v>#N/A</v>
      </c>
      <c r="W315" s="55" t="e">
        <f t="shared" ca="1" si="71"/>
        <v>#N/A</v>
      </c>
      <c r="X315" s="55" t="e">
        <f t="shared" ca="1" si="72"/>
        <v>#N/A</v>
      </c>
      <c r="Y315" s="55" t="e">
        <f t="shared" ca="1" si="73"/>
        <v>#N/A</v>
      </c>
      <c r="Z315" t="e">
        <f ca="1">VLOOKUP(S315,ModelOutputs,10,FALSE)*AWC</f>
        <v>#N/A</v>
      </c>
      <c r="AA315" t="e">
        <f t="shared" ca="1" si="74"/>
        <v>#N/A</v>
      </c>
      <c r="AB315" t="e">
        <f t="shared" ca="1" si="68"/>
        <v>#N/A</v>
      </c>
      <c r="AC315" t="e">
        <f t="shared" ca="1" si="69"/>
        <v>#N/A</v>
      </c>
      <c r="AD315" s="83" t="e">
        <f ca="1"/>
        <v>#N/A</v>
      </c>
      <c r="AE315" s="55" t="e">
        <f t="shared" ca="1" si="75"/>
        <v>#N/A</v>
      </c>
      <c r="AF315" s="55" t="e">
        <f t="shared" ca="1" si="76"/>
        <v>#N/A</v>
      </c>
      <c r="AG315" s="55" t="e">
        <f t="shared" ca="1" si="77"/>
        <v>#N/A</v>
      </c>
      <c r="AH315" s="55" t="e">
        <f t="shared" ca="1" si="78"/>
        <v>#N/A</v>
      </c>
      <c r="AI315" s="55" t="e">
        <f ca="1">-VLOOKUP(AE315,ModelOutputs,9,FALSE)+AI314</f>
        <v>#N/A</v>
      </c>
      <c r="AJ315" s="55" t="e">
        <f ca="1">VLOOKUP(AE315,ModelOutputs,5,FALSE)+AJ314</f>
        <v>#N/A</v>
      </c>
      <c r="AK315" s="55" t="e">
        <f ca="1">VLOOKUP(AE315,ModelOutputs,4,FALSE)+AK314</f>
        <v>#N/A</v>
      </c>
    </row>
    <row r="316" spans="18:37">
      <c r="R316" s="83" t="e">
        <f ca="1"/>
        <v>#N/A</v>
      </c>
      <c r="S316" s="55" t="e">
        <f t="shared" ca="1" si="70"/>
        <v>#N/A</v>
      </c>
      <c r="T316" s="55" t="e">
        <f t="shared" ca="1" si="65"/>
        <v>#N/A</v>
      </c>
      <c r="U316" s="55" t="e">
        <f t="shared" ca="1" si="66"/>
        <v>#N/A</v>
      </c>
      <c r="V316" s="55" t="e">
        <f t="shared" ca="1" si="67"/>
        <v>#N/A</v>
      </c>
      <c r="W316" s="55" t="e">
        <f t="shared" ca="1" si="71"/>
        <v>#N/A</v>
      </c>
      <c r="X316" s="55" t="e">
        <f t="shared" ca="1" si="72"/>
        <v>#N/A</v>
      </c>
      <c r="Y316" s="55" t="e">
        <f t="shared" ca="1" si="73"/>
        <v>#N/A</v>
      </c>
      <c r="Z316" t="e">
        <f ca="1">VLOOKUP(S316,ModelOutputs,10,FALSE)*AWC</f>
        <v>#N/A</v>
      </c>
      <c r="AA316" t="e">
        <f t="shared" ca="1" si="74"/>
        <v>#N/A</v>
      </c>
      <c r="AB316" t="e">
        <f t="shared" ca="1" si="68"/>
        <v>#N/A</v>
      </c>
      <c r="AC316" t="e">
        <f t="shared" ca="1" si="69"/>
        <v>#N/A</v>
      </c>
      <c r="AD316" s="83" t="e">
        <f ca="1"/>
        <v>#N/A</v>
      </c>
      <c r="AE316" s="55" t="e">
        <f t="shared" ca="1" si="75"/>
        <v>#N/A</v>
      </c>
      <c r="AF316" s="55" t="e">
        <f t="shared" ca="1" si="76"/>
        <v>#N/A</v>
      </c>
      <c r="AG316" s="55" t="e">
        <f t="shared" ca="1" si="77"/>
        <v>#N/A</v>
      </c>
      <c r="AH316" s="55" t="e">
        <f t="shared" ca="1" si="78"/>
        <v>#N/A</v>
      </c>
      <c r="AI316" s="55" t="e">
        <f ca="1">-VLOOKUP(AE316,ModelOutputs,9,FALSE)+AI315</f>
        <v>#N/A</v>
      </c>
      <c r="AJ316" s="55" t="e">
        <f ca="1">VLOOKUP(AE316,ModelOutputs,5,FALSE)+AJ315</f>
        <v>#N/A</v>
      </c>
      <c r="AK316" s="55" t="e">
        <f ca="1">VLOOKUP(AE316,ModelOutputs,4,FALSE)+AK315</f>
        <v>#N/A</v>
      </c>
    </row>
    <row r="317" spans="18:37">
      <c r="R317" s="83" t="e">
        <f ca="1"/>
        <v>#N/A</v>
      </c>
      <c r="S317" s="55" t="e">
        <f t="shared" ca="1" si="70"/>
        <v>#N/A</v>
      </c>
      <c r="T317" s="55" t="e">
        <f t="shared" ca="1" si="65"/>
        <v>#N/A</v>
      </c>
      <c r="U317" s="55" t="e">
        <f t="shared" ca="1" si="66"/>
        <v>#N/A</v>
      </c>
      <c r="V317" s="55" t="e">
        <f t="shared" ca="1" si="67"/>
        <v>#N/A</v>
      </c>
      <c r="W317" s="55" t="e">
        <f t="shared" ca="1" si="71"/>
        <v>#N/A</v>
      </c>
      <c r="X317" s="55" t="e">
        <f t="shared" ca="1" si="72"/>
        <v>#N/A</v>
      </c>
      <c r="Y317" s="55" t="e">
        <f t="shared" ca="1" si="73"/>
        <v>#N/A</v>
      </c>
      <c r="Z317" t="e">
        <f ca="1">VLOOKUP(S317,ModelOutputs,10,FALSE)*AWC</f>
        <v>#N/A</v>
      </c>
      <c r="AA317" t="e">
        <f t="shared" ca="1" si="74"/>
        <v>#N/A</v>
      </c>
      <c r="AB317" t="e">
        <f t="shared" ca="1" si="68"/>
        <v>#N/A</v>
      </c>
      <c r="AC317" t="e">
        <f t="shared" ca="1" si="69"/>
        <v>#N/A</v>
      </c>
      <c r="AD317" s="83" t="e">
        <f ca="1"/>
        <v>#N/A</v>
      </c>
      <c r="AE317" s="55" t="e">
        <f t="shared" ca="1" si="75"/>
        <v>#N/A</v>
      </c>
      <c r="AF317" s="55" t="e">
        <f t="shared" ca="1" si="76"/>
        <v>#N/A</v>
      </c>
      <c r="AG317" s="55" t="e">
        <f t="shared" ca="1" si="77"/>
        <v>#N/A</v>
      </c>
      <c r="AH317" s="55" t="e">
        <f t="shared" ca="1" si="78"/>
        <v>#N/A</v>
      </c>
      <c r="AI317" s="55" t="e">
        <f ca="1">-VLOOKUP(AE317,ModelOutputs,9,FALSE)+AI316</f>
        <v>#N/A</v>
      </c>
      <c r="AJ317" s="55" t="e">
        <f ca="1">VLOOKUP(AE317,ModelOutputs,5,FALSE)+AJ316</f>
        <v>#N/A</v>
      </c>
      <c r="AK317" s="55" t="e">
        <f ca="1">VLOOKUP(AE317,ModelOutputs,4,FALSE)+AK316</f>
        <v>#N/A</v>
      </c>
    </row>
    <row r="318" spans="18:37">
      <c r="R318" s="83" t="e">
        <f ca="1"/>
        <v>#N/A</v>
      </c>
      <c r="S318" s="55" t="e">
        <f t="shared" ca="1" si="70"/>
        <v>#N/A</v>
      </c>
      <c r="T318" s="55" t="e">
        <f t="shared" ca="1" si="65"/>
        <v>#N/A</v>
      </c>
      <c r="U318" s="55" t="e">
        <f t="shared" ca="1" si="66"/>
        <v>#N/A</v>
      </c>
      <c r="V318" s="55" t="e">
        <f t="shared" ca="1" si="67"/>
        <v>#N/A</v>
      </c>
      <c r="W318" s="55" t="e">
        <f t="shared" ca="1" si="71"/>
        <v>#N/A</v>
      </c>
      <c r="X318" s="55" t="e">
        <f t="shared" ca="1" si="72"/>
        <v>#N/A</v>
      </c>
      <c r="Y318" s="55" t="e">
        <f t="shared" ca="1" si="73"/>
        <v>#N/A</v>
      </c>
      <c r="Z318" t="e">
        <f ca="1">VLOOKUP(S318,ModelOutputs,10,FALSE)*AWC</f>
        <v>#N/A</v>
      </c>
      <c r="AA318" t="e">
        <f t="shared" ca="1" si="74"/>
        <v>#N/A</v>
      </c>
      <c r="AB318" t="e">
        <f t="shared" ca="1" si="68"/>
        <v>#N/A</v>
      </c>
      <c r="AC318" t="e">
        <f t="shared" ca="1" si="69"/>
        <v>#N/A</v>
      </c>
      <c r="AD318" s="83" t="e">
        <f ca="1"/>
        <v>#N/A</v>
      </c>
      <c r="AE318" s="55" t="e">
        <f t="shared" ca="1" si="75"/>
        <v>#N/A</v>
      </c>
      <c r="AF318" s="55" t="e">
        <f t="shared" ca="1" si="76"/>
        <v>#N/A</v>
      </c>
      <c r="AG318" s="55" t="e">
        <f t="shared" ca="1" si="77"/>
        <v>#N/A</v>
      </c>
      <c r="AH318" s="55" t="e">
        <f t="shared" ca="1" si="78"/>
        <v>#N/A</v>
      </c>
      <c r="AI318" s="55" t="e">
        <f ca="1">-VLOOKUP(AE318,ModelOutputs,9,FALSE)+AI317</f>
        <v>#N/A</v>
      </c>
      <c r="AJ318" s="55" t="e">
        <f ca="1">VLOOKUP(AE318,ModelOutputs,5,FALSE)+AJ317</f>
        <v>#N/A</v>
      </c>
      <c r="AK318" s="55" t="e">
        <f ca="1">VLOOKUP(AE318,ModelOutputs,4,FALSE)+AK317</f>
        <v>#N/A</v>
      </c>
    </row>
    <row r="319" spans="18:37">
      <c r="R319" s="83" t="e">
        <f ca="1"/>
        <v>#N/A</v>
      </c>
      <c r="S319" s="55" t="e">
        <f t="shared" ca="1" si="70"/>
        <v>#N/A</v>
      </c>
      <c r="T319" s="55" t="e">
        <f t="shared" ca="1" si="65"/>
        <v>#N/A</v>
      </c>
      <c r="U319" s="55" t="e">
        <f t="shared" ca="1" si="66"/>
        <v>#N/A</v>
      </c>
      <c r="V319" s="55" t="e">
        <f t="shared" ca="1" si="67"/>
        <v>#N/A</v>
      </c>
      <c r="W319" s="55" t="e">
        <f t="shared" ca="1" si="71"/>
        <v>#N/A</v>
      </c>
      <c r="X319" s="55" t="e">
        <f t="shared" ca="1" si="72"/>
        <v>#N/A</v>
      </c>
      <c r="Y319" s="55" t="e">
        <f t="shared" ca="1" si="73"/>
        <v>#N/A</v>
      </c>
      <c r="Z319" t="e">
        <f ca="1">VLOOKUP(S319,ModelOutputs,10,FALSE)*AWC</f>
        <v>#N/A</v>
      </c>
      <c r="AA319" t="e">
        <f t="shared" ca="1" si="74"/>
        <v>#N/A</v>
      </c>
      <c r="AB319" t="e">
        <f t="shared" ca="1" si="68"/>
        <v>#N/A</v>
      </c>
      <c r="AC319" t="e">
        <f t="shared" ca="1" si="69"/>
        <v>#N/A</v>
      </c>
      <c r="AD319" s="83" t="e">
        <f ca="1"/>
        <v>#N/A</v>
      </c>
      <c r="AE319" s="55" t="e">
        <f t="shared" ca="1" si="75"/>
        <v>#N/A</v>
      </c>
      <c r="AF319" s="55" t="e">
        <f t="shared" ca="1" si="76"/>
        <v>#N/A</v>
      </c>
      <c r="AG319" s="55" t="e">
        <f t="shared" ca="1" si="77"/>
        <v>#N/A</v>
      </c>
      <c r="AH319" s="55" t="e">
        <f t="shared" ca="1" si="78"/>
        <v>#N/A</v>
      </c>
      <c r="AI319" s="55" t="e">
        <f ca="1">-VLOOKUP(AE319,ModelOutputs,9,FALSE)+AI318</f>
        <v>#N/A</v>
      </c>
      <c r="AJ319" s="55" t="e">
        <f ca="1">VLOOKUP(AE319,ModelOutputs,5,FALSE)+AJ318</f>
        <v>#N/A</v>
      </c>
      <c r="AK319" s="55" t="e">
        <f ca="1">VLOOKUP(AE319,ModelOutputs,4,FALSE)+AK318</f>
        <v>#N/A</v>
      </c>
    </row>
    <row r="320" spans="18:37">
      <c r="R320" s="83" t="e">
        <f ca="1"/>
        <v>#N/A</v>
      </c>
      <c r="S320" s="55" t="e">
        <f t="shared" ca="1" si="70"/>
        <v>#N/A</v>
      </c>
      <c r="T320" s="55" t="e">
        <f t="shared" ca="1" si="65"/>
        <v>#N/A</v>
      </c>
      <c r="U320" s="55" t="e">
        <f t="shared" ca="1" si="66"/>
        <v>#N/A</v>
      </c>
      <c r="V320" s="55" t="e">
        <f t="shared" ca="1" si="67"/>
        <v>#N/A</v>
      </c>
      <c r="W320" s="55" t="e">
        <f t="shared" ca="1" si="71"/>
        <v>#N/A</v>
      </c>
      <c r="X320" s="55" t="e">
        <f t="shared" ca="1" si="72"/>
        <v>#N/A</v>
      </c>
      <c r="Y320" s="55" t="e">
        <f t="shared" ca="1" si="73"/>
        <v>#N/A</v>
      </c>
      <c r="Z320" t="e">
        <f ca="1">VLOOKUP(S320,ModelOutputs,10,FALSE)*AWC</f>
        <v>#N/A</v>
      </c>
      <c r="AA320" t="e">
        <f t="shared" ca="1" si="74"/>
        <v>#N/A</v>
      </c>
      <c r="AB320" t="e">
        <f t="shared" ca="1" si="68"/>
        <v>#N/A</v>
      </c>
      <c r="AC320" t="e">
        <f t="shared" ca="1" si="69"/>
        <v>#N/A</v>
      </c>
      <c r="AD320" s="83" t="e">
        <f ca="1"/>
        <v>#N/A</v>
      </c>
      <c r="AE320" s="55" t="e">
        <f t="shared" ca="1" si="75"/>
        <v>#N/A</v>
      </c>
      <c r="AF320" s="55" t="e">
        <f t="shared" ca="1" si="76"/>
        <v>#N/A</v>
      </c>
      <c r="AG320" s="55" t="e">
        <f t="shared" ca="1" si="77"/>
        <v>#N/A</v>
      </c>
      <c r="AH320" s="55" t="e">
        <f t="shared" ca="1" si="78"/>
        <v>#N/A</v>
      </c>
      <c r="AI320" s="55" t="e">
        <f ca="1">-VLOOKUP(AE320,ModelOutputs,9,FALSE)+AI319</f>
        <v>#N/A</v>
      </c>
      <c r="AJ320" s="55" t="e">
        <f ca="1">VLOOKUP(AE320,ModelOutputs,5,FALSE)+AJ319</f>
        <v>#N/A</v>
      </c>
      <c r="AK320" s="55" t="e">
        <f ca="1">VLOOKUP(AE320,ModelOutputs,4,FALSE)+AK319</f>
        <v>#N/A</v>
      </c>
    </row>
    <row r="321" spans="18:37">
      <c r="R321" s="83" t="e">
        <f ca="1"/>
        <v>#N/A</v>
      </c>
      <c r="S321" s="55" t="e">
        <f t="shared" ca="1" si="70"/>
        <v>#N/A</v>
      </c>
      <c r="T321" s="55" t="e">
        <f t="shared" ca="1" si="65"/>
        <v>#N/A</v>
      </c>
      <c r="U321" s="55" t="e">
        <f t="shared" ca="1" si="66"/>
        <v>#N/A</v>
      </c>
      <c r="V321" s="55" t="e">
        <f t="shared" ca="1" si="67"/>
        <v>#N/A</v>
      </c>
      <c r="W321" s="55" t="e">
        <f t="shared" ca="1" si="71"/>
        <v>#N/A</v>
      </c>
      <c r="X321" s="55" t="e">
        <f t="shared" ca="1" si="72"/>
        <v>#N/A</v>
      </c>
      <c r="Y321" s="55" t="e">
        <f t="shared" ca="1" si="73"/>
        <v>#N/A</v>
      </c>
      <c r="Z321" t="e">
        <f ca="1">VLOOKUP(S321,ModelOutputs,10,FALSE)*AWC</f>
        <v>#N/A</v>
      </c>
      <c r="AA321" t="e">
        <f t="shared" ca="1" si="74"/>
        <v>#N/A</v>
      </c>
      <c r="AB321" t="e">
        <f t="shared" ca="1" si="68"/>
        <v>#N/A</v>
      </c>
      <c r="AC321" t="e">
        <f t="shared" ca="1" si="69"/>
        <v>#N/A</v>
      </c>
      <c r="AD321" s="83" t="e">
        <f ca="1"/>
        <v>#N/A</v>
      </c>
      <c r="AE321" s="55" t="e">
        <f t="shared" ca="1" si="75"/>
        <v>#N/A</v>
      </c>
      <c r="AF321" s="55" t="e">
        <f t="shared" ca="1" si="76"/>
        <v>#N/A</v>
      </c>
      <c r="AG321" s="55" t="e">
        <f t="shared" ca="1" si="77"/>
        <v>#N/A</v>
      </c>
      <c r="AH321" s="55" t="e">
        <f t="shared" ca="1" si="78"/>
        <v>#N/A</v>
      </c>
      <c r="AI321" s="55" t="e">
        <f ca="1">-VLOOKUP(AE321,ModelOutputs,9,FALSE)+AI320</f>
        <v>#N/A</v>
      </c>
      <c r="AJ321" s="55" t="e">
        <f ca="1">VLOOKUP(AE321,ModelOutputs,5,FALSE)+AJ320</f>
        <v>#N/A</v>
      </c>
      <c r="AK321" s="55" t="e">
        <f ca="1">VLOOKUP(AE321,ModelOutputs,4,FALSE)+AK320</f>
        <v>#N/A</v>
      </c>
    </row>
    <row r="322" spans="18:37">
      <c r="R322" s="83" t="e">
        <f ca="1"/>
        <v>#N/A</v>
      </c>
      <c r="S322" s="55" t="e">
        <f t="shared" ca="1" si="70"/>
        <v>#N/A</v>
      </c>
      <c r="T322" s="55" t="e">
        <f t="shared" ca="1" si="65"/>
        <v>#N/A</v>
      </c>
      <c r="U322" s="55" t="e">
        <f t="shared" ca="1" si="66"/>
        <v>#N/A</v>
      </c>
      <c r="V322" s="55" t="e">
        <f t="shared" ca="1" si="67"/>
        <v>#N/A</v>
      </c>
      <c r="W322" s="55" t="e">
        <f t="shared" ca="1" si="71"/>
        <v>#N/A</v>
      </c>
      <c r="X322" s="55" t="e">
        <f t="shared" ca="1" si="72"/>
        <v>#N/A</v>
      </c>
      <c r="Y322" s="55" t="e">
        <f t="shared" ca="1" si="73"/>
        <v>#N/A</v>
      </c>
      <c r="Z322" t="e">
        <f ca="1">VLOOKUP(S322,ModelOutputs,10,FALSE)*AWC</f>
        <v>#N/A</v>
      </c>
      <c r="AA322" t="e">
        <f t="shared" ca="1" si="74"/>
        <v>#N/A</v>
      </c>
      <c r="AB322" t="e">
        <f t="shared" ca="1" si="68"/>
        <v>#N/A</v>
      </c>
      <c r="AC322" t="e">
        <f t="shared" ca="1" si="69"/>
        <v>#N/A</v>
      </c>
      <c r="AD322" s="83" t="e">
        <f ca="1"/>
        <v>#N/A</v>
      </c>
      <c r="AE322" s="55" t="e">
        <f t="shared" ca="1" si="75"/>
        <v>#N/A</v>
      </c>
      <c r="AF322" s="55" t="e">
        <f t="shared" ca="1" si="76"/>
        <v>#N/A</v>
      </c>
      <c r="AG322" s="55" t="e">
        <f t="shared" ca="1" si="77"/>
        <v>#N/A</v>
      </c>
      <c r="AH322" s="55" t="e">
        <f t="shared" ca="1" si="78"/>
        <v>#N/A</v>
      </c>
      <c r="AI322" s="55" t="e">
        <f ca="1">-VLOOKUP(AE322,ModelOutputs,9,FALSE)+AI321</f>
        <v>#N/A</v>
      </c>
      <c r="AJ322" s="55" t="e">
        <f ca="1">VLOOKUP(AE322,ModelOutputs,5,FALSE)+AJ321</f>
        <v>#N/A</v>
      </c>
      <c r="AK322" s="55" t="e">
        <f ca="1">VLOOKUP(AE322,ModelOutputs,4,FALSE)+AK321</f>
        <v>#N/A</v>
      </c>
    </row>
    <row r="323" spans="18:37">
      <c r="R323" s="83" t="e">
        <f ca="1"/>
        <v>#N/A</v>
      </c>
      <c r="S323" s="55" t="e">
        <f t="shared" ca="1" si="70"/>
        <v>#N/A</v>
      </c>
      <c r="T323" s="55" t="e">
        <f t="shared" ca="1" si="65"/>
        <v>#N/A</v>
      </c>
      <c r="U323" s="55" t="e">
        <f t="shared" ca="1" si="66"/>
        <v>#N/A</v>
      </c>
      <c r="V323" s="55" t="e">
        <f t="shared" ca="1" si="67"/>
        <v>#N/A</v>
      </c>
      <c r="W323" s="55" t="e">
        <f t="shared" ca="1" si="71"/>
        <v>#N/A</v>
      </c>
      <c r="X323" s="55" t="e">
        <f t="shared" ca="1" si="72"/>
        <v>#N/A</v>
      </c>
      <c r="Y323" s="55" t="e">
        <f t="shared" ca="1" si="73"/>
        <v>#N/A</v>
      </c>
      <c r="Z323" t="e">
        <f ca="1">VLOOKUP(S323,ModelOutputs,10,FALSE)*AWC</f>
        <v>#N/A</v>
      </c>
      <c r="AA323" t="e">
        <f t="shared" ca="1" si="74"/>
        <v>#N/A</v>
      </c>
      <c r="AB323" t="e">
        <f t="shared" ca="1" si="68"/>
        <v>#N/A</v>
      </c>
      <c r="AC323" t="e">
        <f t="shared" ca="1" si="69"/>
        <v>#N/A</v>
      </c>
      <c r="AD323" s="83" t="e">
        <f ca="1"/>
        <v>#N/A</v>
      </c>
      <c r="AE323" s="55" t="e">
        <f t="shared" ca="1" si="75"/>
        <v>#N/A</v>
      </c>
      <c r="AF323" s="55" t="e">
        <f t="shared" ca="1" si="76"/>
        <v>#N/A</v>
      </c>
      <c r="AG323" s="55" t="e">
        <f t="shared" ca="1" si="77"/>
        <v>#N/A</v>
      </c>
      <c r="AH323" s="55" t="e">
        <f t="shared" ca="1" si="78"/>
        <v>#N/A</v>
      </c>
      <c r="AI323" s="55" t="e">
        <f ca="1">-VLOOKUP(AE323,ModelOutputs,9,FALSE)+AI322</f>
        <v>#N/A</v>
      </c>
      <c r="AJ323" s="55" t="e">
        <f ca="1">VLOOKUP(AE323,ModelOutputs,5,FALSE)+AJ322</f>
        <v>#N/A</v>
      </c>
      <c r="AK323" s="55" t="e">
        <f ca="1">VLOOKUP(AE323,ModelOutputs,4,FALSE)+AK322</f>
        <v>#N/A</v>
      </c>
    </row>
    <row r="324" spans="18:37">
      <c r="R324" s="83" t="e">
        <f ca="1"/>
        <v>#N/A</v>
      </c>
      <c r="S324" s="55" t="e">
        <f t="shared" ca="1" si="70"/>
        <v>#N/A</v>
      </c>
      <c r="T324" s="55" t="e">
        <f t="shared" ca="1" si="65"/>
        <v>#N/A</v>
      </c>
      <c r="U324" s="55" t="e">
        <f t="shared" ca="1" si="66"/>
        <v>#N/A</v>
      </c>
      <c r="V324" s="55" t="e">
        <f t="shared" ca="1" si="67"/>
        <v>#N/A</v>
      </c>
      <c r="W324" s="55" t="e">
        <f t="shared" ca="1" si="71"/>
        <v>#N/A</v>
      </c>
      <c r="X324" s="55" t="e">
        <f t="shared" ca="1" si="72"/>
        <v>#N/A</v>
      </c>
      <c r="Y324" s="55" t="e">
        <f t="shared" ca="1" si="73"/>
        <v>#N/A</v>
      </c>
      <c r="Z324" t="e">
        <f ca="1">VLOOKUP(S324,ModelOutputs,10,FALSE)*AWC</f>
        <v>#N/A</v>
      </c>
      <c r="AA324" t="e">
        <f t="shared" ca="1" si="74"/>
        <v>#N/A</v>
      </c>
      <c r="AB324" t="e">
        <f t="shared" ca="1" si="68"/>
        <v>#N/A</v>
      </c>
      <c r="AC324" t="e">
        <f t="shared" ca="1" si="69"/>
        <v>#N/A</v>
      </c>
      <c r="AD324" s="83" t="e">
        <f ca="1"/>
        <v>#N/A</v>
      </c>
      <c r="AE324" s="55" t="e">
        <f t="shared" ca="1" si="75"/>
        <v>#N/A</v>
      </c>
      <c r="AF324" s="55" t="e">
        <f t="shared" ca="1" si="76"/>
        <v>#N/A</v>
      </c>
      <c r="AG324" s="55" t="e">
        <f t="shared" ca="1" si="77"/>
        <v>#N/A</v>
      </c>
      <c r="AH324" s="55" t="e">
        <f t="shared" ca="1" si="78"/>
        <v>#N/A</v>
      </c>
      <c r="AI324" s="55" t="e">
        <f ca="1">-VLOOKUP(AE324,ModelOutputs,9,FALSE)+AI323</f>
        <v>#N/A</v>
      </c>
      <c r="AJ324" s="55" t="e">
        <f ca="1">VLOOKUP(AE324,ModelOutputs,5,FALSE)+AJ323</f>
        <v>#N/A</v>
      </c>
      <c r="AK324" s="55" t="e">
        <f ca="1">VLOOKUP(AE324,ModelOutputs,4,FALSE)+AK323</f>
        <v>#N/A</v>
      </c>
    </row>
    <row r="325" spans="18:37">
      <c r="R325" s="83" t="e">
        <f ca="1"/>
        <v>#N/A</v>
      </c>
      <c r="S325" s="55" t="e">
        <f t="shared" ca="1" si="70"/>
        <v>#N/A</v>
      </c>
      <c r="T325" s="55" t="e">
        <f t="shared" ca="1" si="65"/>
        <v>#N/A</v>
      </c>
      <c r="U325" s="55" t="e">
        <f t="shared" ca="1" si="66"/>
        <v>#N/A</v>
      </c>
      <c r="V325" s="55" t="e">
        <f t="shared" ca="1" si="67"/>
        <v>#N/A</v>
      </c>
      <c r="W325" s="55" t="e">
        <f t="shared" ca="1" si="71"/>
        <v>#N/A</v>
      </c>
      <c r="X325" s="55" t="e">
        <f t="shared" ca="1" si="72"/>
        <v>#N/A</v>
      </c>
      <c r="Y325" s="55" t="e">
        <f t="shared" ca="1" si="73"/>
        <v>#N/A</v>
      </c>
      <c r="Z325" t="e">
        <f ca="1">VLOOKUP(S325,ModelOutputs,10,FALSE)*AWC</f>
        <v>#N/A</v>
      </c>
      <c r="AA325" t="e">
        <f t="shared" ca="1" si="74"/>
        <v>#N/A</v>
      </c>
      <c r="AB325" t="e">
        <f t="shared" ca="1" si="68"/>
        <v>#N/A</v>
      </c>
      <c r="AC325" t="e">
        <f t="shared" ca="1" si="69"/>
        <v>#N/A</v>
      </c>
      <c r="AD325" s="83" t="e">
        <f ca="1"/>
        <v>#N/A</v>
      </c>
      <c r="AE325" s="55" t="e">
        <f t="shared" ca="1" si="75"/>
        <v>#N/A</v>
      </c>
      <c r="AF325" s="55" t="e">
        <f t="shared" ca="1" si="76"/>
        <v>#N/A</v>
      </c>
      <c r="AG325" s="55" t="e">
        <f t="shared" ca="1" si="77"/>
        <v>#N/A</v>
      </c>
      <c r="AH325" s="55" t="e">
        <f t="shared" ca="1" si="78"/>
        <v>#N/A</v>
      </c>
      <c r="AI325" s="55" t="e">
        <f ca="1">-VLOOKUP(AE325,ModelOutputs,9,FALSE)+AI324</f>
        <v>#N/A</v>
      </c>
      <c r="AJ325" s="55" t="e">
        <f ca="1">VLOOKUP(AE325,ModelOutputs,5,FALSE)+AJ324</f>
        <v>#N/A</v>
      </c>
      <c r="AK325" s="55" t="e">
        <f ca="1">VLOOKUP(AE325,ModelOutputs,4,FALSE)+AK324</f>
        <v>#N/A</v>
      </c>
    </row>
    <row r="326" spans="18:37">
      <c r="R326" s="83" t="e">
        <f ca="1"/>
        <v>#N/A</v>
      </c>
      <c r="S326" s="55" t="e">
        <f t="shared" ca="1" si="70"/>
        <v>#N/A</v>
      </c>
      <c r="T326" s="55" t="e">
        <f t="shared" ca="1" si="65"/>
        <v>#N/A</v>
      </c>
      <c r="U326" s="55" t="e">
        <f t="shared" ca="1" si="66"/>
        <v>#N/A</v>
      </c>
      <c r="V326" s="55" t="e">
        <f t="shared" ca="1" si="67"/>
        <v>#N/A</v>
      </c>
      <c r="W326" s="55" t="e">
        <f t="shared" ca="1" si="71"/>
        <v>#N/A</v>
      </c>
      <c r="X326" s="55" t="e">
        <f t="shared" ca="1" si="72"/>
        <v>#N/A</v>
      </c>
      <c r="Y326" s="55" t="e">
        <f t="shared" ca="1" si="73"/>
        <v>#N/A</v>
      </c>
      <c r="Z326" t="e">
        <f ca="1">VLOOKUP(S326,ModelOutputs,10,FALSE)*AWC</f>
        <v>#N/A</v>
      </c>
      <c r="AA326" t="e">
        <f t="shared" ca="1" si="74"/>
        <v>#N/A</v>
      </c>
      <c r="AB326" t="e">
        <f t="shared" ca="1" si="68"/>
        <v>#N/A</v>
      </c>
      <c r="AC326" t="e">
        <f t="shared" ca="1" si="69"/>
        <v>#N/A</v>
      </c>
      <c r="AD326" s="83" t="e">
        <f ca="1"/>
        <v>#N/A</v>
      </c>
      <c r="AE326" s="55" t="e">
        <f t="shared" ca="1" si="75"/>
        <v>#N/A</v>
      </c>
      <c r="AF326" s="55" t="e">
        <f t="shared" ca="1" si="76"/>
        <v>#N/A</v>
      </c>
      <c r="AG326" s="55" t="e">
        <f t="shared" ca="1" si="77"/>
        <v>#N/A</v>
      </c>
      <c r="AH326" s="55" t="e">
        <f t="shared" ca="1" si="78"/>
        <v>#N/A</v>
      </c>
      <c r="AI326" s="55" t="e">
        <f ca="1">-VLOOKUP(AE326,ModelOutputs,9,FALSE)+AI325</f>
        <v>#N/A</v>
      </c>
      <c r="AJ326" s="55" t="e">
        <f ca="1">VLOOKUP(AE326,ModelOutputs,5,FALSE)+AJ325</f>
        <v>#N/A</v>
      </c>
      <c r="AK326" s="55" t="e">
        <f ca="1">VLOOKUP(AE326,ModelOutputs,4,FALSE)+AK325</f>
        <v>#N/A</v>
      </c>
    </row>
    <row r="327" spans="18:37">
      <c r="R327" s="83" t="e">
        <f ca="1"/>
        <v>#N/A</v>
      </c>
      <c r="S327" s="55" t="e">
        <f t="shared" ca="1" si="70"/>
        <v>#N/A</v>
      </c>
      <c r="T327" s="55" t="e">
        <f t="shared" ca="1" si="65"/>
        <v>#N/A</v>
      </c>
      <c r="U327" s="55" t="e">
        <f t="shared" ca="1" si="66"/>
        <v>#N/A</v>
      </c>
      <c r="V327" s="55" t="e">
        <f t="shared" ca="1" si="67"/>
        <v>#N/A</v>
      </c>
      <c r="W327" s="55" t="e">
        <f t="shared" ca="1" si="71"/>
        <v>#N/A</v>
      </c>
      <c r="X327" s="55" t="e">
        <f t="shared" ca="1" si="72"/>
        <v>#N/A</v>
      </c>
      <c r="Y327" s="55" t="e">
        <f t="shared" ca="1" si="73"/>
        <v>#N/A</v>
      </c>
      <c r="Z327" t="e">
        <f ca="1">VLOOKUP(S327,ModelOutputs,10,FALSE)*AWC</f>
        <v>#N/A</v>
      </c>
      <c r="AA327" t="e">
        <f t="shared" ca="1" si="74"/>
        <v>#N/A</v>
      </c>
      <c r="AB327" t="e">
        <f t="shared" ca="1" si="68"/>
        <v>#N/A</v>
      </c>
      <c r="AC327" t="e">
        <f t="shared" ca="1" si="69"/>
        <v>#N/A</v>
      </c>
      <c r="AD327" s="83" t="e">
        <f ca="1"/>
        <v>#N/A</v>
      </c>
      <c r="AE327" s="55" t="e">
        <f t="shared" ca="1" si="75"/>
        <v>#N/A</v>
      </c>
      <c r="AF327" s="55" t="e">
        <f t="shared" ca="1" si="76"/>
        <v>#N/A</v>
      </c>
      <c r="AG327" s="55" t="e">
        <f t="shared" ca="1" si="77"/>
        <v>#N/A</v>
      </c>
      <c r="AH327" s="55" t="e">
        <f t="shared" ca="1" si="78"/>
        <v>#N/A</v>
      </c>
      <c r="AI327" s="55" t="e">
        <f ca="1">-VLOOKUP(AE327,ModelOutputs,9,FALSE)+AI326</f>
        <v>#N/A</v>
      </c>
      <c r="AJ327" s="55" t="e">
        <f ca="1">VLOOKUP(AE327,ModelOutputs,5,FALSE)+AJ326</f>
        <v>#N/A</v>
      </c>
      <c r="AK327" s="55" t="e">
        <f ca="1">VLOOKUP(AE327,ModelOutputs,4,FALSE)+AK326</f>
        <v>#N/A</v>
      </c>
    </row>
    <row r="328" spans="18:37">
      <c r="R328" s="83" t="e">
        <f ca="1"/>
        <v>#N/A</v>
      </c>
      <c r="S328" s="55" t="e">
        <f t="shared" ca="1" si="70"/>
        <v>#N/A</v>
      </c>
      <c r="T328" s="55" t="e">
        <f t="shared" ca="1" si="65"/>
        <v>#N/A</v>
      </c>
      <c r="U328" s="55" t="e">
        <f t="shared" ca="1" si="66"/>
        <v>#N/A</v>
      </c>
      <c r="V328" s="55" t="e">
        <f t="shared" ca="1" si="67"/>
        <v>#N/A</v>
      </c>
      <c r="W328" s="55" t="e">
        <f t="shared" ca="1" si="71"/>
        <v>#N/A</v>
      </c>
      <c r="X328" s="55" t="e">
        <f t="shared" ca="1" si="72"/>
        <v>#N/A</v>
      </c>
      <c r="Y328" s="55" t="e">
        <f t="shared" ca="1" si="73"/>
        <v>#N/A</v>
      </c>
      <c r="Z328" t="e">
        <f ca="1">VLOOKUP(S328,ModelOutputs,10,FALSE)*AWC</f>
        <v>#N/A</v>
      </c>
      <c r="AA328" t="e">
        <f t="shared" ca="1" si="74"/>
        <v>#N/A</v>
      </c>
      <c r="AB328" t="e">
        <f t="shared" ca="1" si="68"/>
        <v>#N/A</v>
      </c>
      <c r="AC328" t="e">
        <f t="shared" ca="1" si="69"/>
        <v>#N/A</v>
      </c>
      <c r="AD328" s="83" t="e">
        <f ca="1"/>
        <v>#N/A</v>
      </c>
      <c r="AE328" s="55" t="e">
        <f t="shared" ca="1" si="75"/>
        <v>#N/A</v>
      </c>
      <c r="AF328" s="55" t="e">
        <f t="shared" ca="1" si="76"/>
        <v>#N/A</v>
      </c>
      <c r="AG328" s="55" t="e">
        <f t="shared" ca="1" si="77"/>
        <v>#N/A</v>
      </c>
      <c r="AH328" s="55" t="e">
        <f t="shared" ca="1" si="78"/>
        <v>#N/A</v>
      </c>
      <c r="AI328" s="55" t="e">
        <f ca="1">-VLOOKUP(AE328,ModelOutputs,9,FALSE)+AI327</f>
        <v>#N/A</v>
      </c>
      <c r="AJ328" s="55" t="e">
        <f ca="1">VLOOKUP(AE328,ModelOutputs,5,FALSE)+AJ327</f>
        <v>#N/A</v>
      </c>
      <c r="AK328" s="55" t="e">
        <f ca="1">VLOOKUP(AE328,ModelOutputs,4,FALSE)+AK327</f>
        <v>#N/A</v>
      </c>
    </row>
    <row r="329" spans="18:37">
      <c r="R329" s="83" t="e">
        <f ca="1"/>
        <v>#N/A</v>
      </c>
      <c r="S329" s="55" t="e">
        <f t="shared" ca="1" si="70"/>
        <v>#N/A</v>
      </c>
      <c r="T329" s="55" t="e">
        <f t="shared" ca="1" si="65"/>
        <v>#N/A</v>
      </c>
      <c r="U329" s="55" t="e">
        <f t="shared" ca="1" si="66"/>
        <v>#N/A</v>
      </c>
      <c r="V329" s="55" t="e">
        <f t="shared" ca="1" si="67"/>
        <v>#N/A</v>
      </c>
      <c r="W329" s="55" t="e">
        <f t="shared" ca="1" si="71"/>
        <v>#N/A</v>
      </c>
      <c r="X329" s="55" t="e">
        <f t="shared" ca="1" si="72"/>
        <v>#N/A</v>
      </c>
      <c r="Y329" s="55" t="e">
        <f t="shared" ca="1" si="73"/>
        <v>#N/A</v>
      </c>
      <c r="Z329" t="e">
        <f ca="1">VLOOKUP(S329,ModelOutputs,10,FALSE)*AWC</f>
        <v>#N/A</v>
      </c>
      <c r="AA329" t="e">
        <f t="shared" ca="1" si="74"/>
        <v>#N/A</v>
      </c>
      <c r="AB329" t="e">
        <f t="shared" ca="1" si="68"/>
        <v>#N/A</v>
      </c>
      <c r="AC329" t="e">
        <f t="shared" ca="1" si="69"/>
        <v>#N/A</v>
      </c>
      <c r="AD329" s="83" t="e">
        <f ca="1"/>
        <v>#N/A</v>
      </c>
      <c r="AE329" s="55" t="e">
        <f t="shared" ca="1" si="75"/>
        <v>#N/A</v>
      </c>
      <c r="AF329" s="55" t="e">
        <f t="shared" ca="1" si="76"/>
        <v>#N/A</v>
      </c>
      <c r="AG329" s="55" t="e">
        <f t="shared" ca="1" si="77"/>
        <v>#N/A</v>
      </c>
      <c r="AH329" s="55" t="e">
        <f t="shared" ca="1" si="78"/>
        <v>#N/A</v>
      </c>
      <c r="AI329" s="55" t="e">
        <f ca="1">-VLOOKUP(AE329,ModelOutputs,9,FALSE)+AI328</f>
        <v>#N/A</v>
      </c>
      <c r="AJ329" s="55" t="e">
        <f ca="1">VLOOKUP(AE329,ModelOutputs,5,FALSE)+AJ328</f>
        <v>#N/A</v>
      </c>
      <c r="AK329" s="55" t="e">
        <f ca="1">VLOOKUP(AE329,ModelOutputs,4,FALSE)+AK328</f>
        <v>#N/A</v>
      </c>
    </row>
    <row r="330" spans="18:37">
      <c r="R330" s="83" t="e">
        <f ca="1"/>
        <v>#N/A</v>
      </c>
      <c r="S330" s="55" t="e">
        <f t="shared" ca="1" si="70"/>
        <v>#N/A</v>
      </c>
      <c r="T330" s="55" t="e">
        <f t="shared" ca="1" si="65"/>
        <v>#N/A</v>
      </c>
      <c r="U330" s="55" t="e">
        <f t="shared" ca="1" si="66"/>
        <v>#N/A</v>
      </c>
      <c r="V330" s="55" t="e">
        <f t="shared" ca="1" si="67"/>
        <v>#N/A</v>
      </c>
      <c r="W330" s="55" t="e">
        <f t="shared" ca="1" si="71"/>
        <v>#N/A</v>
      </c>
      <c r="X330" s="55" t="e">
        <f t="shared" ca="1" si="72"/>
        <v>#N/A</v>
      </c>
      <c r="Y330" s="55" t="e">
        <f t="shared" ca="1" si="73"/>
        <v>#N/A</v>
      </c>
      <c r="Z330" t="e">
        <f ca="1">VLOOKUP(S330,ModelOutputs,10,FALSE)*AWC</f>
        <v>#N/A</v>
      </c>
      <c r="AA330" t="e">
        <f t="shared" ca="1" si="74"/>
        <v>#N/A</v>
      </c>
      <c r="AB330" t="e">
        <f t="shared" ca="1" si="68"/>
        <v>#N/A</v>
      </c>
      <c r="AC330" t="e">
        <f t="shared" ca="1" si="69"/>
        <v>#N/A</v>
      </c>
      <c r="AD330" s="83" t="e">
        <f ca="1"/>
        <v>#N/A</v>
      </c>
      <c r="AE330" s="55" t="e">
        <f t="shared" ca="1" si="75"/>
        <v>#N/A</v>
      </c>
      <c r="AF330" s="55" t="e">
        <f t="shared" ca="1" si="76"/>
        <v>#N/A</v>
      </c>
      <c r="AG330" s="55" t="e">
        <f t="shared" ca="1" si="77"/>
        <v>#N/A</v>
      </c>
      <c r="AH330" s="55" t="e">
        <f t="shared" ca="1" si="78"/>
        <v>#N/A</v>
      </c>
      <c r="AI330" s="55" t="e">
        <f ca="1">-VLOOKUP(AE330,ModelOutputs,9,FALSE)+AI329</f>
        <v>#N/A</v>
      </c>
      <c r="AJ330" s="55" t="e">
        <f ca="1">VLOOKUP(AE330,ModelOutputs,5,FALSE)+AJ329</f>
        <v>#N/A</v>
      </c>
      <c r="AK330" s="55" t="e">
        <f ca="1">VLOOKUP(AE330,ModelOutputs,4,FALSE)+AK329</f>
        <v>#N/A</v>
      </c>
    </row>
    <row r="331" spans="18:37">
      <c r="R331" s="83" t="e">
        <f ca="1"/>
        <v>#N/A</v>
      </c>
      <c r="S331" s="55" t="e">
        <f t="shared" ca="1" si="70"/>
        <v>#N/A</v>
      </c>
      <c r="T331" s="55" t="e">
        <f t="shared" ca="1" si="65"/>
        <v>#N/A</v>
      </c>
      <c r="U331" s="55" t="e">
        <f t="shared" ca="1" si="66"/>
        <v>#N/A</v>
      </c>
      <c r="V331" s="55" t="e">
        <f t="shared" ca="1" si="67"/>
        <v>#N/A</v>
      </c>
      <c r="W331" s="55" t="e">
        <f t="shared" ca="1" si="71"/>
        <v>#N/A</v>
      </c>
      <c r="X331" s="55" t="e">
        <f t="shared" ca="1" si="72"/>
        <v>#N/A</v>
      </c>
      <c r="Y331" s="55" t="e">
        <f t="shared" ca="1" si="73"/>
        <v>#N/A</v>
      </c>
      <c r="Z331" t="e">
        <f ca="1">VLOOKUP(S331,ModelOutputs,10,FALSE)*AWC</f>
        <v>#N/A</v>
      </c>
      <c r="AA331" t="e">
        <f t="shared" ca="1" si="74"/>
        <v>#N/A</v>
      </c>
      <c r="AB331" t="e">
        <f t="shared" ca="1" si="68"/>
        <v>#N/A</v>
      </c>
      <c r="AC331" t="e">
        <f t="shared" ca="1" si="69"/>
        <v>#N/A</v>
      </c>
      <c r="AD331" s="83" t="e">
        <f ca="1"/>
        <v>#N/A</v>
      </c>
      <c r="AE331" s="55" t="e">
        <f t="shared" ca="1" si="75"/>
        <v>#N/A</v>
      </c>
      <c r="AF331" s="55" t="e">
        <f t="shared" ca="1" si="76"/>
        <v>#N/A</v>
      </c>
      <c r="AG331" s="55" t="e">
        <f t="shared" ca="1" si="77"/>
        <v>#N/A</v>
      </c>
      <c r="AH331" s="55" t="e">
        <f t="shared" ca="1" si="78"/>
        <v>#N/A</v>
      </c>
      <c r="AI331" s="55" t="e">
        <f ca="1">-VLOOKUP(AE331,ModelOutputs,9,FALSE)+AI330</f>
        <v>#N/A</v>
      </c>
      <c r="AJ331" s="55" t="e">
        <f ca="1">VLOOKUP(AE331,ModelOutputs,5,FALSE)+AJ330</f>
        <v>#N/A</v>
      </c>
      <c r="AK331" s="55" t="e">
        <f ca="1">VLOOKUP(AE331,ModelOutputs,4,FALSE)+AK330</f>
        <v>#N/A</v>
      </c>
    </row>
    <row r="332" spans="18:37">
      <c r="R332" s="83" t="e">
        <f ca="1"/>
        <v>#N/A</v>
      </c>
      <c r="S332" s="55" t="e">
        <f t="shared" ca="1" si="70"/>
        <v>#N/A</v>
      </c>
      <c r="T332" s="55" t="e">
        <f t="shared" ca="1" si="65"/>
        <v>#N/A</v>
      </c>
      <c r="U332" s="55" t="e">
        <f t="shared" ca="1" si="66"/>
        <v>#N/A</v>
      </c>
      <c r="V332" s="55" t="e">
        <f t="shared" ca="1" si="67"/>
        <v>#N/A</v>
      </c>
      <c r="W332" s="55" t="e">
        <f t="shared" ca="1" si="71"/>
        <v>#N/A</v>
      </c>
      <c r="X332" s="55" t="e">
        <f t="shared" ca="1" si="72"/>
        <v>#N/A</v>
      </c>
      <c r="Y332" s="55" t="e">
        <f t="shared" ca="1" si="73"/>
        <v>#N/A</v>
      </c>
      <c r="Z332" t="e">
        <f ca="1">VLOOKUP(S332,ModelOutputs,10,FALSE)*AWC</f>
        <v>#N/A</v>
      </c>
      <c r="AA332" t="e">
        <f t="shared" ca="1" si="74"/>
        <v>#N/A</v>
      </c>
      <c r="AB332" t="e">
        <f t="shared" ca="1" si="68"/>
        <v>#N/A</v>
      </c>
      <c r="AC332" t="e">
        <f t="shared" ca="1" si="69"/>
        <v>#N/A</v>
      </c>
      <c r="AD332" s="83" t="e">
        <f ca="1"/>
        <v>#N/A</v>
      </c>
      <c r="AE332" s="55" t="e">
        <f t="shared" ca="1" si="75"/>
        <v>#N/A</v>
      </c>
      <c r="AF332" s="55" t="e">
        <f t="shared" ca="1" si="76"/>
        <v>#N/A</v>
      </c>
      <c r="AG332" s="55" t="e">
        <f t="shared" ca="1" si="77"/>
        <v>#N/A</v>
      </c>
      <c r="AH332" s="55" t="e">
        <f t="shared" ca="1" si="78"/>
        <v>#N/A</v>
      </c>
      <c r="AI332" s="55" t="e">
        <f ca="1">-VLOOKUP(AE332,ModelOutputs,9,FALSE)+AI331</f>
        <v>#N/A</v>
      </c>
      <c r="AJ332" s="55" t="e">
        <f ca="1">VLOOKUP(AE332,ModelOutputs,5,FALSE)+AJ331</f>
        <v>#N/A</v>
      </c>
      <c r="AK332" s="55" t="e">
        <f ca="1">VLOOKUP(AE332,ModelOutputs,4,FALSE)+AK331</f>
        <v>#N/A</v>
      </c>
    </row>
    <row r="333" spans="18:37">
      <c r="R333" s="83" t="e">
        <f ca="1"/>
        <v>#N/A</v>
      </c>
      <c r="S333" s="55" t="e">
        <f t="shared" ca="1" si="70"/>
        <v>#N/A</v>
      </c>
      <c r="T333" s="55" t="e">
        <f t="shared" ca="1" si="65"/>
        <v>#N/A</v>
      </c>
      <c r="U333" s="55" t="e">
        <f t="shared" ca="1" si="66"/>
        <v>#N/A</v>
      </c>
      <c r="V333" s="55" t="e">
        <f t="shared" ca="1" si="67"/>
        <v>#N/A</v>
      </c>
      <c r="W333" s="55" t="e">
        <f t="shared" ca="1" si="71"/>
        <v>#N/A</v>
      </c>
      <c r="X333" s="55" t="e">
        <f t="shared" ca="1" si="72"/>
        <v>#N/A</v>
      </c>
      <c r="Y333" s="55" t="e">
        <f t="shared" ca="1" si="73"/>
        <v>#N/A</v>
      </c>
      <c r="Z333" t="e">
        <f ca="1">VLOOKUP(S333,ModelOutputs,10,FALSE)*AWC</f>
        <v>#N/A</v>
      </c>
      <c r="AA333" t="e">
        <f t="shared" ca="1" si="74"/>
        <v>#N/A</v>
      </c>
      <c r="AB333" t="e">
        <f t="shared" ca="1" si="68"/>
        <v>#N/A</v>
      </c>
      <c r="AC333" t="e">
        <f t="shared" ca="1" si="69"/>
        <v>#N/A</v>
      </c>
      <c r="AD333" s="83" t="e">
        <f ca="1"/>
        <v>#N/A</v>
      </c>
      <c r="AE333" s="55" t="e">
        <f t="shared" ca="1" si="75"/>
        <v>#N/A</v>
      </c>
      <c r="AF333" s="55" t="e">
        <f t="shared" ca="1" si="76"/>
        <v>#N/A</v>
      </c>
      <c r="AG333" s="55" t="e">
        <f t="shared" ca="1" si="77"/>
        <v>#N/A</v>
      </c>
      <c r="AH333" s="55" t="e">
        <f t="shared" ca="1" si="78"/>
        <v>#N/A</v>
      </c>
      <c r="AI333" s="55" t="e">
        <f ca="1">-VLOOKUP(AE333,ModelOutputs,9,FALSE)+AI332</f>
        <v>#N/A</v>
      </c>
      <c r="AJ333" s="55" t="e">
        <f ca="1">VLOOKUP(AE333,ModelOutputs,5,FALSE)+AJ332</f>
        <v>#N/A</v>
      </c>
      <c r="AK333" s="55" t="e">
        <f ca="1">VLOOKUP(AE333,ModelOutputs,4,FALSE)+AK332</f>
        <v>#N/A</v>
      </c>
    </row>
    <row r="334" spans="18:37">
      <c r="R334" s="83" t="e">
        <f ca="1"/>
        <v>#N/A</v>
      </c>
      <c r="S334" s="55" t="e">
        <f t="shared" ca="1" si="70"/>
        <v>#N/A</v>
      </c>
      <c r="T334" s="55" t="e">
        <f t="shared" ca="1" si="65"/>
        <v>#N/A</v>
      </c>
      <c r="U334" s="55" t="e">
        <f t="shared" ca="1" si="66"/>
        <v>#N/A</v>
      </c>
      <c r="V334" s="55" t="e">
        <f t="shared" ca="1" si="67"/>
        <v>#N/A</v>
      </c>
      <c r="W334" s="55" t="e">
        <f t="shared" ca="1" si="71"/>
        <v>#N/A</v>
      </c>
      <c r="X334" s="55" t="e">
        <f t="shared" ca="1" si="72"/>
        <v>#N/A</v>
      </c>
      <c r="Y334" s="55" t="e">
        <f t="shared" ca="1" si="73"/>
        <v>#N/A</v>
      </c>
      <c r="Z334" t="e">
        <f ca="1">VLOOKUP(S334,ModelOutputs,10,FALSE)*AWC</f>
        <v>#N/A</v>
      </c>
      <c r="AA334" t="e">
        <f t="shared" ca="1" si="74"/>
        <v>#N/A</v>
      </c>
      <c r="AB334" t="e">
        <f t="shared" ca="1" si="68"/>
        <v>#N/A</v>
      </c>
      <c r="AC334" t="e">
        <f t="shared" ca="1" si="69"/>
        <v>#N/A</v>
      </c>
      <c r="AD334" s="83" t="e">
        <f ca="1"/>
        <v>#N/A</v>
      </c>
      <c r="AE334" s="55" t="e">
        <f t="shared" ca="1" si="75"/>
        <v>#N/A</v>
      </c>
      <c r="AF334" s="55" t="e">
        <f t="shared" ca="1" si="76"/>
        <v>#N/A</v>
      </c>
      <c r="AG334" s="55" t="e">
        <f t="shared" ca="1" si="77"/>
        <v>#N/A</v>
      </c>
      <c r="AH334" s="55" t="e">
        <f t="shared" ca="1" si="78"/>
        <v>#N/A</v>
      </c>
      <c r="AI334" s="55" t="e">
        <f ca="1">-VLOOKUP(AE334,ModelOutputs,9,FALSE)+AI333</f>
        <v>#N/A</v>
      </c>
      <c r="AJ334" s="55" t="e">
        <f ca="1">VLOOKUP(AE334,ModelOutputs,5,FALSE)+AJ333</f>
        <v>#N/A</v>
      </c>
      <c r="AK334" s="55" t="e">
        <f ca="1">VLOOKUP(AE334,ModelOutputs,4,FALSE)+AK333</f>
        <v>#N/A</v>
      </c>
    </row>
    <row r="335" spans="18:37">
      <c r="R335" s="83" t="e">
        <f ca="1"/>
        <v>#N/A</v>
      </c>
      <c r="S335" s="55" t="e">
        <f t="shared" ca="1" si="70"/>
        <v>#N/A</v>
      </c>
      <c r="T335" s="55" t="e">
        <f t="shared" ca="1" si="65"/>
        <v>#N/A</v>
      </c>
      <c r="U335" s="55" t="e">
        <f t="shared" ca="1" si="66"/>
        <v>#N/A</v>
      </c>
      <c r="V335" s="55" t="e">
        <f t="shared" ca="1" si="67"/>
        <v>#N/A</v>
      </c>
      <c r="W335" s="55" t="e">
        <f t="shared" ca="1" si="71"/>
        <v>#N/A</v>
      </c>
      <c r="X335" s="55" t="e">
        <f t="shared" ca="1" si="72"/>
        <v>#N/A</v>
      </c>
      <c r="Y335" s="55" t="e">
        <f t="shared" ca="1" si="73"/>
        <v>#N/A</v>
      </c>
      <c r="Z335" t="e">
        <f ca="1">VLOOKUP(S335,ModelOutputs,10,FALSE)*AWC</f>
        <v>#N/A</v>
      </c>
      <c r="AA335" t="e">
        <f t="shared" ca="1" si="74"/>
        <v>#N/A</v>
      </c>
      <c r="AB335" t="e">
        <f t="shared" ca="1" si="68"/>
        <v>#N/A</v>
      </c>
      <c r="AC335" t="e">
        <f t="shared" ca="1" si="69"/>
        <v>#N/A</v>
      </c>
      <c r="AD335" s="83" t="e">
        <f ca="1"/>
        <v>#N/A</v>
      </c>
      <c r="AE335" s="55" t="e">
        <f t="shared" ca="1" si="75"/>
        <v>#N/A</v>
      </c>
      <c r="AF335" s="55" t="e">
        <f t="shared" ca="1" si="76"/>
        <v>#N/A</v>
      </c>
      <c r="AG335" s="55" t="e">
        <f t="shared" ca="1" si="77"/>
        <v>#N/A</v>
      </c>
      <c r="AH335" s="55" t="e">
        <f t="shared" ca="1" si="78"/>
        <v>#N/A</v>
      </c>
      <c r="AI335" s="55" t="e">
        <f ca="1">-VLOOKUP(AE335,ModelOutputs,9,FALSE)+AI334</f>
        <v>#N/A</v>
      </c>
      <c r="AJ335" s="55" t="e">
        <f ca="1">VLOOKUP(AE335,ModelOutputs,5,FALSE)+AJ334</f>
        <v>#N/A</v>
      </c>
      <c r="AK335" s="55" t="e">
        <f ca="1">VLOOKUP(AE335,ModelOutputs,4,FALSE)+AK334</f>
        <v>#N/A</v>
      </c>
    </row>
    <row r="336" spans="18:37">
      <c r="R336" s="83" t="e">
        <f ca="1"/>
        <v>#N/A</v>
      </c>
      <c r="S336" s="55" t="e">
        <f t="shared" ca="1" si="70"/>
        <v>#N/A</v>
      </c>
      <c r="T336" s="55" t="e">
        <f t="shared" ca="1" si="65"/>
        <v>#N/A</v>
      </c>
      <c r="U336" s="55" t="e">
        <f t="shared" ca="1" si="66"/>
        <v>#N/A</v>
      </c>
      <c r="V336" s="55" t="e">
        <f t="shared" ca="1" si="67"/>
        <v>#N/A</v>
      </c>
      <c r="W336" s="55" t="e">
        <f t="shared" ca="1" si="71"/>
        <v>#N/A</v>
      </c>
      <c r="X336" s="55" t="e">
        <f t="shared" ca="1" si="72"/>
        <v>#N/A</v>
      </c>
      <c r="Y336" s="55" t="e">
        <f t="shared" ca="1" si="73"/>
        <v>#N/A</v>
      </c>
      <c r="Z336" t="e">
        <f ca="1">VLOOKUP(S336,ModelOutputs,10,FALSE)*AWC</f>
        <v>#N/A</v>
      </c>
      <c r="AA336" t="e">
        <f t="shared" ca="1" si="74"/>
        <v>#N/A</v>
      </c>
      <c r="AB336" t="e">
        <f t="shared" ca="1" si="68"/>
        <v>#N/A</v>
      </c>
      <c r="AC336" t="e">
        <f t="shared" ca="1" si="69"/>
        <v>#N/A</v>
      </c>
      <c r="AD336" s="83" t="e">
        <f ca="1"/>
        <v>#N/A</v>
      </c>
      <c r="AE336" s="55" t="e">
        <f t="shared" ca="1" si="75"/>
        <v>#N/A</v>
      </c>
      <c r="AF336" s="55" t="e">
        <f t="shared" ca="1" si="76"/>
        <v>#N/A</v>
      </c>
      <c r="AG336" s="55" t="e">
        <f t="shared" ca="1" si="77"/>
        <v>#N/A</v>
      </c>
      <c r="AH336" s="55" t="e">
        <f t="shared" ca="1" si="78"/>
        <v>#N/A</v>
      </c>
      <c r="AI336" s="55" t="e">
        <f ca="1">-VLOOKUP(AE336,ModelOutputs,9,FALSE)+AI335</f>
        <v>#N/A</v>
      </c>
      <c r="AJ336" s="55" t="e">
        <f ca="1">VLOOKUP(AE336,ModelOutputs,5,FALSE)+AJ335</f>
        <v>#N/A</v>
      </c>
      <c r="AK336" s="55" t="e">
        <f ca="1">VLOOKUP(AE336,ModelOutputs,4,FALSE)+AK335</f>
        <v>#N/A</v>
      </c>
    </row>
    <row r="337" spans="18:37">
      <c r="R337" s="83" t="e">
        <f ca="1"/>
        <v>#N/A</v>
      </c>
      <c r="S337" s="55" t="e">
        <f t="shared" ca="1" si="70"/>
        <v>#N/A</v>
      </c>
      <c r="T337" s="55" t="e">
        <f t="shared" ca="1" si="65"/>
        <v>#N/A</v>
      </c>
      <c r="U337" s="55" t="e">
        <f t="shared" ca="1" si="66"/>
        <v>#N/A</v>
      </c>
      <c r="V337" s="55" t="e">
        <f t="shared" ca="1" si="67"/>
        <v>#N/A</v>
      </c>
      <c r="W337" s="55" t="e">
        <f t="shared" ca="1" si="71"/>
        <v>#N/A</v>
      </c>
      <c r="X337" s="55" t="e">
        <f t="shared" ca="1" si="72"/>
        <v>#N/A</v>
      </c>
      <c r="Y337" s="55" t="e">
        <f t="shared" ca="1" si="73"/>
        <v>#N/A</v>
      </c>
      <c r="Z337" t="e">
        <f ca="1">VLOOKUP(S337,ModelOutputs,10,FALSE)*AWC</f>
        <v>#N/A</v>
      </c>
      <c r="AA337" t="e">
        <f t="shared" ca="1" si="74"/>
        <v>#N/A</v>
      </c>
      <c r="AB337" t="e">
        <f t="shared" ca="1" si="68"/>
        <v>#N/A</v>
      </c>
      <c r="AC337" t="e">
        <f t="shared" ca="1" si="69"/>
        <v>#N/A</v>
      </c>
      <c r="AD337" s="83" t="e">
        <f ca="1"/>
        <v>#N/A</v>
      </c>
      <c r="AE337" s="55" t="e">
        <f t="shared" ca="1" si="75"/>
        <v>#N/A</v>
      </c>
      <c r="AF337" s="55" t="e">
        <f t="shared" ca="1" si="76"/>
        <v>#N/A</v>
      </c>
      <c r="AG337" s="55" t="e">
        <f t="shared" ca="1" si="77"/>
        <v>#N/A</v>
      </c>
      <c r="AH337" s="55" t="e">
        <f t="shared" ca="1" si="78"/>
        <v>#N/A</v>
      </c>
      <c r="AI337" s="55" t="e">
        <f ca="1">-VLOOKUP(AE337,ModelOutputs,9,FALSE)+AI336</f>
        <v>#N/A</v>
      </c>
      <c r="AJ337" s="55" t="e">
        <f ca="1">VLOOKUP(AE337,ModelOutputs,5,FALSE)+AJ336</f>
        <v>#N/A</v>
      </c>
      <c r="AK337" s="55" t="e">
        <f ca="1">VLOOKUP(AE337,ModelOutputs,4,FALSE)+AK336</f>
        <v>#N/A</v>
      </c>
    </row>
    <row r="338" spans="18:37">
      <c r="R338" s="83" t="e">
        <f ca="1"/>
        <v>#N/A</v>
      </c>
      <c r="S338" s="55" t="e">
        <f t="shared" ca="1" si="70"/>
        <v>#N/A</v>
      </c>
      <c r="T338" s="55" t="e">
        <f t="shared" ref="T338:T395" ca="1" si="79">VLOOKUP(S338,ModelOutputs,2,FALSE)</f>
        <v>#N/A</v>
      </c>
      <c r="U338" s="55" t="e">
        <f t="shared" ref="U338:U395" ca="1" si="80">VLOOKUP(S338,ModelOutputs,7,FALSE)</f>
        <v>#N/A</v>
      </c>
      <c r="V338" s="55" t="e">
        <f t="shared" ref="V338:V395" ca="1" si="81">VLOOKUP(S338,ModelOutputs,6,FALSE)</f>
        <v>#N/A</v>
      </c>
      <c r="W338" s="55" t="e">
        <f t="shared" ca="1" si="71"/>
        <v>#N/A</v>
      </c>
      <c r="X338" s="55" t="e">
        <f t="shared" ca="1" si="72"/>
        <v>#N/A</v>
      </c>
      <c r="Y338" s="55" t="e">
        <f t="shared" ca="1" si="73"/>
        <v>#N/A</v>
      </c>
      <c r="Z338" t="e">
        <f ca="1">VLOOKUP(S338,ModelOutputs,10,FALSE)*AWC</f>
        <v>#N/A</v>
      </c>
      <c r="AA338" t="e">
        <f t="shared" ca="1" si="74"/>
        <v>#N/A</v>
      </c>
      <c r="AB338" t="e">
        <f t="shared" ref="AB338:AB395" ca="1" si="82">VLOOKUP(S338,ModelOutputs,12,FALSE)</f>
        <v>#N/A</v>
      </c>
      <c r="AC338" t="e">
        <f t="shared" ref="AC338:AC395" ca="1" si="83">VLOOKUP(S338,ModelOutputs,13,FALSE)</f>
        <v>#N/A</v>
      </c>
      <c r="AD338" s="83" t="e">
        <f ca="1"/>
        <v>#N/A</v>
      </c>
      <c r="AE338" s="55" t="e">
        <f t="shared" ca="1" si="75"/>
        <v>#N/A</v>
      </c>
      <c r="AF338" s="55" t="e">
        <f t="shared" ca="1" si="76"/>
        <v>#N/A</v>
      </c>
      <c r="AG338" s="55" t="e">
        <f t="shared" ca="1" si="77"/>
        <v>#N/A</v>
      </c>
      <c r="AH338" s="55" t="e">
        <f t="shared" ca="1" si="78"/>
        <v>#N/A</v>
      </c>
      <c r="AI338" s="55" t="e">
        <f ca="1">-VLOOKUP(AE338,ModelOutputs,9,FALSE)+AI337</f>
        <v>#N/A</v>
      </c>
      <c r="AJ338" s="55" t="e">
        <f ca="1">VLOOKUP(AE338,ModelOutputs,5,FALSE)+AJ337</f>
        <v>#N/A</v>
      </c>
      <c r="AK338" s="55" t="e">
        <f ca="1">VLOOKUP(AE338,ModelOutputs,4,FALSE)+AK337</f>
        <v>#N/A</v>
      </c>
    </row>
    <row r="339" spans="18:37">
      <c r="R339" s="83" t="e">
        <f ca="1"/>
        <v>#N/A</v>
      </c>
      <c r="S339" s="55" t="e">
        <f t="shared" ref="S339:S395" ca="1" si="84">IF(R339&gt;1,R339,"")</f>
        <v>#N/A</v>
      </c>
      <c r="T339" s="55" t="e">
        <f t="shared" ca="1" si="79"/>
        <v>#N/A</v>
      </c>
      <c r="U339" s="55" t="e">
        <f t="shared" ca="1" si="80"/>
        <v>#N/A</v>
      </c>
      <c r="V339" s="55" t="e">
        <f t="shared" ca="1" si="81"/>
        <v>#N/A</v>
      </c>
      <c r="W339" s="55" t="e">
        <f t="shared" ref="W339:W402" ca="1" si="85">-VLOOKUP(S339,ModelOutputs,9,FALSE)+W338</f>
        <v>#N/A</v>
      </c>
      <c r="X339" s="55" t="e">
        <f t="shared" ref="X339:X402" ca="1" si="86">VLOOKUP(S339,ModelOutputs,5,FALSE)+X338</f>
        <v>#N/A</v>
      </c>
      <c r="Y339" s="55" t="e">
        <f t="shared" ref="Y339:Y402" ca="1" si="87">VLOOKUP(S339,ModelOutputs,4,FALSE)+Y338</f>
        <v>#N/A</v>
      </c>
      <c r="Z339" t="e">
        <f ca="1">VLOOKUP(S339,ModelOutputs,10,FALSE)*AWC</f>
        <v>#N/A</v>
      </c>
      <c r="AA339" t="e">
        <f t="shared" ref="AA339:AA395" ca="1" si="88">VLOOKUP(S339,ModelOutputs,11,FALSE)+AA338</f>
        <v>#N/A</v>
      </c>
      <c r="AB339" t="e">
        <f t="shared" ca="1" si="82"/>
        <v>#N/A</v>
      </c>
      <c r="AC339" t="e">
        <f t="shared" ca="1" si="83"/>
        <v>#N/A</v>
      </c>
      <c r="AD339" s="83" t="e">
        <f ca="1"/>
        <v>#N/A</v>
      </c>
      <c r="AE339" s="55" t="e">
        <f t="shared" ca="1" si="75"/>
        <v>#N/A</v>
      </c>
      <c r="AF339" s="55" t="e">
        <f t="shared" ca="1" si="76"/>
        <v>#N/A</v>
      </c>
      <c r="AG339" s="55" t="e">
        <f t="shared" ca="1" si="77"/>
        <v>#N/A</v>
      </c>
      <c r="AH339" s="55" t="e">
        <f t="shared" ca="1" si="78"/>
        <v>#N/A</v>
      </c>
      <c r="AI339" s="55" t="e">
        <f ca="1">-VLOOKUP(AE339,ModelOutputs,9,FALSE)+AI338</f>
        <v>#N/A</v>
      </c>
      <c r="AJ339" s="55" t="e">
        <f ca="1">VLOOKUP(AE339,ModelOutputs,5,FALSE)+AJ338</f>
        <v>#N/A</v>
      </c>
      <c r="AK339" s="55" t="e">
        <f ca="1">VLOOKUP(AE339,ModelOutputs,4,FALSE)+AK338</f>
        <v>#N/A</v>
      </c>
    </row>
    <row r="340" spans="18:37">
      <c r="R340" s="83" t="e">
        <f ca="1"/>
        <v>#N/A</v>
      </c>
      <c r="S340" s="55" t="e">
        <f t="shared" ca="1" si="84"/>
        <v>#N/A</v>
      </c>
      <c r="T340" s="55" t="e">
        <f t="shared" ca="1" si="79"/>
        <v>#N/A</v>
      </c>
      <c r="U340" s="55" t="e">
        <f t="shared" ca="1" si="80"/>
        <v>#N/A</v>
      </c>
      <c r="V340" s="55" t="e">
        <f t="shared" ca="1" si="81"/>
        <v>#N/A</v>
      </c>
      <c r="W340" s="55" t="e">
        <f t="shared" ca="1" si="85"/>
        <v>#N/A</v>
      </c>
      <c r="X340" s="55" t="e">
        <f t="shared" ca="1" si="86"/>
        <v>#N/A</v>
      </c>
      <c r="Y340" s="55" t="e">
        <f t="shared" ca="1" si="87"/>
        <v>#N/A</v>
      </c>
      <c r="Z340" t="e">
        <f ca="1">VLOOKUP(S340,ModelOutputs,10,FALSE)*AWC</f>
        <v>#N/A</v>
      </c>
      <c r="AA340" t="e">
        <f t="shared" ca="1" si="88"/>
        <v>#N/A</v>
      </c>
      <c r="AB340" t="e">
        <f t="shared" ca="1" si="82"/>
        <v>#N/A</v>
      </c>
      <c r="AC340" t="e">
        <f t="shared" ca="1" si="83"/>
        <v>#N/A</v>
      </c>
      <c r="AD340" s="83" t="e">
        <f ca="1"/>
        <v>#N/A</v>
      </c>
      <c r="AE340" s="55" t="e">
        <f t="shared" ca="1" si="75"/>
        <v>#N/A</v>
      </c>
      <c r="AF340" s="55" t="e">
        <f t="shared" ca="1" si="76"/>
        <v>#N/A</v>
      </c>
      <c r="AG340" s="55" t="e">
        <f t="shared" ca="1" si="77"/>
        <v>#N/A</v>
      </c>
      <c r="AH340" s="55" t="e">
        <f t="shared" ca="1" si="78"/>
        <v>#N/A</v>
      </c>
      <c r="AI340" s="55" t="e">
        <f ca="1">-VLOOKUP(AE340,ModelOutputs,9,FALSE)+AI339</f>
        <v>#N/A</v>
      </c>
      <c r="AJ340" s="55" t="e">
        <f ca="1">VLOOKUP(AE340,ModelOutputs,5,FALSE)+AJ339</f>
        <v>#N/A</v>
      </c>
      <c r="AK340" s="55" t="e">
        <f ca="1">VLOOKUP(AE340,ModelOutputs,4,FALSE)+AK339</f>
        <v>#N/A</v>
      </c>
    </row>
    <row r="341" spans="18:37">
      <c r="R341" s="83" t="e">
        <f ca="1"/>
        <v>#N/A</v>
      </c>
      <c r="S341" s="55" t="e">
        <f t="shared" ca="1" si="84"/>
        <v>#N/A</v>
      </c>
      <c r="T341" s="55" t="e">
        <f t="shared" ca="1" si="79"/>
        <v>#N/A</v>
      </c>
      <c r="U341" s="55" t="e">
        <f t="shared" ca="1" si="80"/>
        <v>#N/A</v>
      </c>
      <c r="V341" s="55" t="e">
        <f t="shared" ca="1" si="81"/>
        <v>#N/A</v>
      </c>
      <c r="W341" s="55" t="e">
        <f t="shared" ca="1" si="85"/>
        <v>#N/A</v>
      </c>
      <c r="X341" s="55" t="e">
        <f t="shared" ca="1" si="86"/>
        <v>#N/A</v>
      </c>
      <c r="Y341" s="55" t="e">
        <f t="shared" ca="1" si="87"/>
        <v>#N/A</v>
      </c>
      <c r="Z341" t="e">
        <f ca="1">VLOOKUP(S341,ModelOutputs,10,FALSE)*AWC</f>
        <v>#N/A</v>
      </c>
      <c r="AA341" t="e">
        <f t="shared" ca="1" si="88"/>
        <v>#N/A</v>
      </c>
      <c r="AB341" t="e">
        <f t="shared" ca="1" si="82"/>
        <v>#N/A</v>
      </c>
      <c r="AC341" t="e">
        <f t="shared" ca="1" si="83"/>
        <v>#N/A</v>
      </c>
      <c r="AD341" s="83" t="e">
        <f ca="1"/>
        <v>#N/A</v>
      </c>
      <c r="AE341" s="55" t="e">
        <f t="shared" ref="AE341:AE395" ca="1" si="89">IF(AD341&gt;1,AD341,"")</f>
        <v>#N/A</v>
      </c>
      <c r="AF341" s="55" t="e">
        <f t="shared" ref="AF341:AF395" ca="1" si="90">VLOOKUP(AE341,ModelOutputs,2,FALSE)</f>
        <v>#N/A</v>
      </c>
      <c r="AG341" s="55" t="e">
        <f t="shared" ref="AG341:AG395" ca="1" si="91">VLOOKUP(AE341,ModelOutputs,7,FALSE)</f>
        <v>#N/A</v>
      </c>
      <c r="AH341" s="55" t="e">
        <f t="shared" ref="AH341:AH395" ca="1" si="92">VLOOKUP(AE341,ModelOutputs,6,FALSE)</f>
        <v>#N/A</v>
      </c>
      <c r="AI341" s="55" t="e">
        <f ca="1">-VLOOKUP(AE341,ModelOutputs,9,FALSE)+AI340</f>
        <v>#N/A</v>
      </c>
      <c r="AJ341" s="55" t="e">
        <f ca="1">VLOOKUP(AE341,ModelOutputs,5,FALSE)+AJ340</f>
        <v>#N/A</v>
      </c>
      <c r="AK341" s="55" t="e">
        <f ca="1">VLOOKUP(AE341,ModelOutputs,4,FALSE)+AK340</f>
        <v>#N/A</v>
      </c>
    </row>
    <row r="342" spans="18:37">
      <c r="R342" s="83" t="e">
        <f ca="1"/>
        <v>#N/A</v>
      </c>
      <c r="S342" s="55" t="e">
        <f t="shared" ca="1" si="84"/>
        <v>#N/A</v>
      </c>
      <c r="T342" s="55" t="e">
        <f t="shared" ca="1" si="79"/>
        <v>#N/A</v>
      </c>
      <c r="U342" s="55" t="e">
        <f t="shared" ca="1" si="80"/>
        <v>#N/A</v>
      </c>
      <c r="V342" s="55" t="e">
        <f t="shared" ca="1" si="81"/>
        <v>#N/A</v>
      </c>
      <c r="W342" s="55" t="e">
        <f t="shared" ca="1" si="85"/>
        <v>#N/A</v>
      </c>
      <c r="X342" s="55" t="e">
        <f t="shared" ca="1" si="86"/>
        <v>#N/A</v>
      </c>
      <c r="Y342" s="55" t="e">
        <f t="shared" ca="1" si="87"/>
        <v>#N/A</v>
      </c>
      <c r="Z342" t="e">
        <f ca="1">VLOOKUP(S342,ModelOutputs,10,FALSE)*AWC</f>
        <v>#N/A</v>
      </c>
      <c r="AA342" t="e">
        <f t="shared" ca="1" si="88"/>
        <v>#N/A</v>
      </c>
      <c r="AB342" t="e">
        <f t="shared" ca="1" si="82"/>
        <v>#N/A</v>
      </c>
      <c r="AC342" t="e">
        <f t="shared" ca="1" si="83"/>
        <v>#N/A</v>
      </c>
      <c r="AD342" s="83" t="e">
        <f ca="1"/>
        <v>#N/A</v>
      </c>
      <c r="AE342" s="55" t="e">
        <f t="shared" ca="1" si="89"/>
        <v>#N/A</v>
      </c>
      <c r="AF342" s="55" t="e">
        <f t="shared" ca="1" si="90"/>
        <v>#N/A</v>
      </c>
      <c r="AG342" s="55" t="e">
        <f t="shared" ca="1" si="91"/>
        <v>#N/A</v>
      </c>
      <c r="AH342" s="55" t="e">
        <f t="shared" ca="1" si="92"/>
        <v>#N/A</v>
      </c>
      <c r="AI342" s="55" t="e">
        <f ca="1">-VLOOKUP(AE342,ModelOutputs,9,FALSE)+AI341</f>
        <v>#N/A</v>
      </c>
      <c r="AJ342" s="55" t="e">
        <f ca="1">VLOOKUP(AE342,ModelOutputs,5,FALSE)+AJ341</f>
        <v>#N/A</v>
      </c>
      <c r="AK342" s="55" t="e">
        <f ca="1">VLOOKUP(AE342,ModelOutputs,4,FALSE)+AK341</f>
        <v>#N/A</v>
      </c>
    </row>
    <row r="343" spans="18:37">
      <c r="R343" s="83" t="e">
        <f ca="1"/>
        <v>#N/A</v>
      </c>
      <c r="S343" s="55" t="e">
        <f t="shared" ca="1" si="84"/>
        <v>#N/A</v>
      </c>
      <c r="T343" s="55" t="e">
        <f t="shared" ca="1" si="79"/>
        <v>#N/A</v>
      </c>
      <c r="U343" s="55" t="e">
        <f t="shared" ca="1" si="80"/>
        <v>#N/A</v>
      </c>
      <c r="V343" s="55" t="e">
        <f t="shared" ca="1" si="81"/>
        <v>#N/A</v>
      </c>
      <c r="W343" s="55" t="e">
        <f t="shared" ca="1" si="85"/>
        <v>#N/A</v>
      </c>
      <c r="X343" s="55" t="e">
        <f t="shared" ca="1" si="86"/>
        <v>#N/A</v>
      </c>
      <c r="Y343" s="55" t="e">
        <f t="shared" ca="1" si="87"/>
        <v>#N/A</v>
      </c>
      <c r="Z343" t="e">
        <f ca="1">VLOOKUP(S343,ModelOutputs,10,FALSE)*AWC</f>
        <v>#N/A</v>
      </c>
      <c r="AA343" t="e">
        <f t="shared" ca="1" si="88"/>
        <v>#N/A</v>
      </c>
      <c r="AB343" t="e">
        <f t="shared" ca="1" si="82"/>
        <v>#N/A</v>
      </c>
      <c r="AC343" t="e">
        <f t="shared" ca="1" si="83"/>
        <v>#N/A</v>
      </c>
      <c r="AD343" s="83" t="e">
        <f ca="1"/>
        <v>#N/A</v>
      </c>
      <c r="AE343" s="55" t="e">
        <f t="shared" ca="1" si="89"/>
        <v>#N/A</v>
      </c>
      <c r="AF343" s="55" t="e">
        <f t="shared" ca="1" si="90"/>
        <v>#N/A</v>
      </c>
      <c r="AG343" s="55" t="e">
        <f t="shared" ca="1" si="91"/>
        <v>#N/A</v>
      </c>
      <c r="AH343" s="55" t="e">
        <f t="shared" ca="1" si="92"/>
        <v>#N/A</v>
      </c>
      <c r="AI343" s="55" t="e">
        <f ca="1">-VLOOKUP(AE343,ModelOutputs,9,FALSE)+AI342</f>
        <v>#N/A</v>
      </c>
      <c r="AJ343" s="55" t="e">
        <f ca="1">VLOOKUP(AE343,ModelOutputs,5,FALSE)+AJ342</f>
        <v>#N/A</v>
      </c>
      <c r="AK343" s="55" t="e">
        <f ca="1">VLOOKUP(AE343,ModelOutputs,4,FALSE)+AK342</f>
        <v>#N/A</v>
      </c>
    </row>
    <row r="344" spans="18:37">
      <c r="R344" s="83" t="e">
        <f ca="1"/>
        <v>#N/A</v>
      </c>
      <c r="S344" s="55" t="e">
        <f t="shared" ca="1" si="84"/>
        <v>#N/A</v>
      </c>
      <c r="T344" s="55" t="e">
        <f t="shared" ca="1" si="79"/>
        <v>#N/A</v>
      </c>
      <c r="U344" s="55" t="e">
        <f t="shared" ca="1" si="80"/>
        <v>#N/A</v>
      </c>
      <c r="V344" s="55" t="e">
        <f t="shared" ca="1" si="81"/>
        <v>#N/A</v>
      </c>
      <c r="W344" s="55" t="e">
        <f t="shared" ca="1" si="85"/>
        <v>#N/A</v>
      </c>
      <c r="X344" s="55" t="e">
        <f t="shared" ca="1" si="86"/>
        <v>#N/A</v>
      </c>
      <c r="Y344" s="55" t="e">
        <f t="shared" ca="1" si="87"/>
        <v>#N/A</v>
      </c>
      <c r="Z344" t="e">
        <f ca="1">VLOOKUP(S344,ModelOutputs,10,FALSE)*AWC</f>
        <v>#N/A</v>
      </c>
      <c r="AA344" t="e">
        <f t="shared" ca="1" si="88"/>
        <v>#N/A</v>
      </c>
      <c r="AB344" t="e">
        <f t="shared" ca="1" si="82"/>
        <v>#N/A</v>
      </c>
      <c r="AC344" t="e">
        <f t="shared" ca="1" si="83"/>
        <v>#N/A</v>
      </c>
      <c r="AD344" s="83" t="e">
        <f ca="1"/>
        <v>#N/A</v>
      </c>
      <c r="AE344" s="55" t="e">
        <f t="shared" ca="1" si="89"/>
        <v>#N/A</v>
      </c>
      <c r="AF344" s="55" t="e">
        <f t="shared" ca="1" si="90"/>
        <v>#N/A</v>
      </c>
      <c r="AG344" s="55" t="e">
        <f t="shared" ca="1" si="91"/>
        <v>#N/A</v>
      </c>
      <c r="AH344" s="55" t="e">
        <f t="shared" ca="1" si="92"/>
        <v>#N/A</v>
      </c>
      <c r="AI344" s="55" t="e">
        <f ca="1">-VLOOKUP(AE344,ModelOutputs,9,FALSE)+AI343</f>
        <v>#N/A</v>
      </c>
      <c r="AJ344" s="55" t="e">
        <f ca="1">VLOOKUP(AE344,ModelOutputs,5,FALSE)+AJ343</f>
        <v>#N/A</v>
      </c>
      <c r="AK344" s="55" t="e">
        <f ca="1">VLOOKUP(AE344,ModelOutputs,4,FALSE)+AK343</f>
        <v>#N/A</v>
      </c>
    </row>
    <row r="345" spans="18:37">
      <c r="R345" s="83" t="e">
        <f ca="1"/>
        <v>#N/A</v>
      </c>
      <c r="S345" s="55" t="e">
        <f t="shared" ca="1" si="84"/>
        <v>#N/A</v>
      </c>
      <c r="T345" s="55" t="e">
        <f t="shared" ca="1" si="79"/>
        <v>#N/A</v>
      </c>
      <c r="U345" s="55" t="e">
        <f t="shared" ca="1" si="80"/>
        <v>#N/A</v>
      </c>
      <c r="V345" s="55" t="e">
        <f t="shared" ca="1" si="81"/>
        <v>#N/A</v>
      </c>
      <c r="W345" s="55" t="e">
        <f t="shared" ca="1" si="85"/>
        <v>#N/A</v>
      </c>
      <c r="X345" s="55" t="e">
        <f t="shared" ca="1" si="86"/>
        <v>#N/A</v>
      </c>
      <c r="Y345" s="55" t="e">
        <f t="shared" ca="1" si="87"/>
        <v>#N/A</v>
      </c>
      <c r="Z345" t="e">
        <f ca="1">VLOOKUP(S345,ModelOutputs,10,FALSE)*AWC</f>
        <v>#N/A</v>
      </c>
      <c r="AA345" t="e">
        <f t="shared" ca="1" si="88"/>
        <v>#N/A</v>
      </c>
      <c r="AB345" t="e">
        <f t="shared" ca="1" si="82"/>
        <v>#N/A</v>
      </c>
      <c r="AC345" t="e">
        <f t="shared" ca="1" si="83"/>
        <v>#N/A</v>
      </c>
      <c r="AD345" s="83" t="e">
        <f ca="1"/>
        <v>#N/A</v>
      </c>
      <c r="AE345" s="55" t="e">
        <f t="shared" ca="1" si="89"/>
        <v>#N/A</v>
      </c>
      <c r="AF345" s="55" t="e">
        <f t="shared" ca="1" si="90"/>
        <v>#N/A</v>
      </c>
      <c r="AG345" s="55" t="e">
        <f t="shared" ca="1" si="91"/>
        <v>#N/A</v>
      </c>
      <c r="AH345" s="55" t="e">
        <f t="shared" ca="1" si="92"/>
        <v>#N/A</v>
      </c>
      <c r="AI345" s="55" t="e">
        <f ca="1">-VLOOKUP(AE345,ModelOutputs,9,FALSE)+AI344</f>
        <v>#N/A</v>
      </c>
      <c r="AJ345" s="55" t="e">
        <f ca="1">VLOOKUP(AE345,ModelOutputs,5,FALSE)+AJ344</f>
        <v>#N/A</v>
      </c>
      <c r="AK345" s="55" t="e">
        <f ca="1">VLOOKUP(AE345,ModelOutputs,4,FALSE)+AK344</f>
        <v>#N/A</v>
      </c>
    </row>
    <row r="346" spans="18:37">
      <c r="R346" s="83" t="e">
        <f ca="1"/>
        <v>#N/A</v>
      </c>
      <c r="S346" s="55" t="e">
        <f t="shared" ca="1" si="84"/>
        <v>#N/A</v>
      </c>
      <c r="T346" s="55" t="e">
        <f t="shared" ca="1" si="79"/>
        <v>#N/A</v>
      </c>
      <c r="U346" s="55" t="e">
        <f t="shared" ca="1" si="80"/>
        <v>#N/A</v>
      </c>
      <c r="V346" s="55" t="e">
        <f t="shared" ca="1" si="81"/>
        <v>#N/A</v>
      </c>
      <c r="W346" s="55" t="e">
        <f t="shared" ca="1" si="85"/>
        <v>#N/A</v>
      </c>
      <c r="X346" s="55" t="e">
        <f t="shared" ca="1" si="86"/>
        <v>#N/A</v>
      </c>
      <c r="Y346" s="55" t="e">
        <f t="shared" ca="1" si="87"/>
        <v>#N/A</v>
      </c>
      <c r="Z346" t="e">
        <f ca="1">VLOOKUP(S346,ModelOutputs,10,FALSE)*AWC</f>
        <v>#N/A</v>
      </c>
      <c r="AA346" t="e">
        <f t="shared" ca="1" si="88"/>
        <v>#N/A</v>
      </c>
      <c r="AB346" t="e">
        <f t="shared" ca="1" si="82"/>
        <v>#N/A</v>
      </c>
      <c r="AC346" t="e">
        <f t="shared" ca="1" si="83"/>
        <v>#N/A</v>
      </c>
      <c r="AD346" s="83" t="e">
        <f ca="1"/>
        <v>#N/A</v>
      </c>
      <c r="AE346" s="55" t="e">
        <f t="shared" ca="1" si="89"/>
        <v>#N/A</v>
      </c>
      <c r="AF346" s="55" t="e">
        <f t="shared" ca="1" si="90"/>
        <v>#N/A</v>
      </c>
      <c r="AG346" s="55" t="e">
        <f t="shared" ca="1" si="91"/>
        <v>#N/A</v>
      </c>
      <c r="AH346" s="55" t="e">
        <f t="shared" ca="1" si="92"/>
        <v>#N/A</v>
      </c>
      <c r="AI346" s="55" t="e">
        <f ca="1">-VLOOKUP(AE346,ModelOutputs,9,FALSE)+AI345</f>
        <v>#N/A</v>
      </c>
      <c r="AJ346" s="55" t="e">
        <f ca="1">VLOOKUP(AE346,ModelOutputs,5,FALSE)+AJ345</f>
        <v>#N/A</v>
      </c>
      <c r="AK346" s="55" t="e">
        <f ca="1">VLOOKUP(AE346,ModelOutputs,4,FALSE)+AK345</f>
        <v>#N/A</v>
      </c>
    </row>
    <row r="347" spans="18:37">
      <c r="R347" s="83" t="e">
        <f ca="1"/>
        <v>#N/A</v>
      </c>
      <c r="S347" s="55" t="e">
        <f t="shared" ca="1" si="84"/>
        <v>#N/A</v>
      </c>
      <c r="T347" s="55" t="e">
        <f t="shared" ca="1" si="79"/>
        <v>#N/A</v>
      </c>
      <c r="U347" s="55" t="e">
        <f t="shared" ca="1" si="80"/>
        <v>#N/A</v>
      </c>
      <c r="V347" s="55" t="e">
        <f t="shared" ca="1" si="81"/>
        <v>#N/A</v>
      </c>
      <c r="W347" s="55" t="e">
        <f t="shared" ca="1" si="85"/>
        <v>#N/A</v>
      </c>
      <c r="X347" s="55" t="e">
        <f t="shared" ca="1" si="86"/>
        <v>#N/A</v>
      </c>
      <c r="Y347" s="55" t="e">
        <f t="shared" ca="1" si="87"/>
        <v>#N/A</v>
      </c>
      <c r="Z347" t="e">
        <f ca="1">VLOOKUP(S347,ModelOutputs,10,FALSE)*AWC</f>
        <v>#N/A</v>
      </c>
      <c r="AA347" t="e">
        <f t="shared" ca="1" si="88"/>
        <v>#N/A</v>
      </c>
      <c r="AB347" t="e">
        <f t="shared" ca="1" si="82"/>
        <v>#N/A</v>
      </c>
      <c r="AC347" t="e">
        <f t="shared" ca="1" si="83"/>
        <v>#N/A</v>
      </c>
      <c r="AD347" s="83" t="e">
        <f ca="1"/>
        <v>#N/A</v>
      </c>
      <c r="AE347" s="55" t="e">
        <f t="shared" ca="1" si="89"/>
        <v>#N/A</v>
      </c>
      <c r="AF347" s="55" t="e">
        <f t="shared" ca="1" si="90"/>
        <v>#N/A</v>
      </c>
      <c r="AG347" s="55" t="e">
        <f t="shared" ca="1" si="91"/>
        <v>#N/A</v>
      </c>
      <c r="AH347" s="55" t="e">
        <f t="shared" ca="1" si="92"/>
        <v>#N/A</v>
      </c>
      <c r="AI347" s="55" t="e">
        <f ca="1">-VLOOKUP(AE347,ModelOutputs,9,FALSE)+AI346</f>
        <v>#N/A</v>
      </c>
      <c r="AJ347" s="55" t="e">
        <f ca="1">VLOOKUP(AE347,ModelOutputs,5,FALSE)+AJ346</f>
        <v>#N/A</v>
      </c>
      <c r="AK347" s="55" t="e">
        <f ca="1">VLOOKUP(AE347,ModelOutputs,4,FALSE)+AK346</f>
        <v>#N/A</v>
      </c>
    </row>
    <row r="348" spans="18:37">
      <c r="R348" s="83" t="e">
        <f ca="1"/>
        <v>#N/A</v>
      </c>
      <c r="S348" s="55" t="e">
        <f t="shared" ca="1" si="84"/>
        <v>#N/A</v>
      </c>
      <c r="T348" s="55" t="e">
        <f t="shared" ca="1" si="79"/>
        <v>#N/A</v>
      </c>
      <c r="U348" s="55" t="e">
        <f t="shared" ca="1" si="80"/>
        <v>#N/A</v>
      </c>
      <c r="V348" s="55" t="e">
        <f t="shared" ca="1" si="81"/>
        <v>#N/A</v>
      </c>
      <c r="W348" s="55" t="e">
        <f t="shared" ca="1" si="85"/>
        <v>#N/A</v>
      </c>
      <c r="X348" s="55" t="e">
        <f t="shared" ca="1" si="86"/>
        <v>#N/A</v>
      </c>
      <c r="Y348" s="55" t="e">
        <f t="shared" ca="1" si="87"/>
        <v>#N/A</v>
      </c>
      <c r="Z348" t="e">
        <f ca="1">VLOOKUP(S348,ModelOutputs,10,FALSE)*AWC</f>
        <v>#N/A</v>
      </c>
      <c r="AA348" t="e">
        <f t="shared" ca="1" si="88"/>
        <v>#N/A</v>
      </c>
      <c r="AB348" t="e">
        <f t="shared" ca="1" si="82"/>
        <v>#N/A</v>
      </c>
      <c r="AC348" t="e">
        <f t="shared" ca="1" si="83"/>
        <v>#N/A</v>
      </c>
      <c r="AD348" s="83" t="e">
        <f ca="1"/>
        <v>#N/A</v>
      </c>
      <c r="AE348" s="55" t="e">
        <f t="shared" ca="1" si="89"/>
        <v>#N/A</v>
      </c>
      <c r="AF348" s="55" t="e">
        <f t="shared" ca="1" si="90"/>
        <v>#N/A</v>
      </c>
      <c r="AG348" s="55" t="e">
        <f t="shared" ca="1" si="91"/>
        <v>#N/A</v>
      </c>
      <c r="AH348" s="55" t="e">
        <f t="shared" ca="1" si="92"/>
        <v>#N/A</v>
      </c>
      <c r="AI348" s="55" t="e">
        <f ca="1">-VLOOKUP(AE348,ModelOutputs,9,FALSE)+AI347</f>
        <v>#N/A</v>
      </c>
      <c r="AJ348" s="55" t="e">
        <f ca="1">VLOOKUP(AE348,ModelOutputs,5,FALSE)+AJ347</f>
        <v>#N/A</v>
      </c>
      <c r="AK348" s="55" t="e">
        <f ca="1">VLOOKUP(AE348,ModelOutputs,4,FALSE)+AK347</f>
        <v>#N/A</v>
      </c>
    </row>
    <row r="349" spans="18:37">
      <c r="R349" s="83" t="e">
        <f ca="1"/>
        <v>#N/A</v>
      </c>
      <c r="S349" s="55" t="e">
        <f t="shared" ca="1" si="84"/>
        <v>#N/A</v>
      </c>
      <c r="T349" s="55" t="e">
        <f t="shared" ca="1" si="79"/>
        <v>#N/A</v>
      </c>
      <c r="U349" s="55" t="e">
        <f t="shared" ca="1" si="80"/>
        <v>#N/A</v>
      </c>
      <c r="V349" s="55" t="e">
        <f t="shared" ca="1" si="81"/>
        <v>#N/A</v>
      </c>
      <c r="W349" s="55" t="e">
        <f t="shared" ca="1" si="85"/>
        <v>#N/A</v>
      </c>
      <c r="X349" s="55" t="e">
        <f t="shared" ca="1" si="86"/>
        <v>#N/A</v>
      </c>
      <c r="Y349" s="55" t="e">
        <f t="shared" ca="1" si="87"/>
        <v>#N/A</v>
      </c>
      <c r="Z349" t="e">
        <f ca="1">VLOOKUP(S349,ModelOutputs,10,FALSE)*AWC</f>
        <v>#N/A</v>
      </c>
      <c r="AA349" t="e">
        <f t="shared" ca="1" si="88"/>
        <v>#N/A</v>
      </c>
      <c r="AB349" t="e">
        <f t="shared" ca="1" si="82"/>
        <v>#N/A</v>
      </c>
      <c r="AC349" t="e">
        <f t="shared" ca="1" si="83"/>
        <v>#N/A</v>
      </c>
      <c r="AD349" s="83" t="e">
        <f ca="1"/>
        <v>#N/A</v>
      </c>
      <c r="AE349" s="55" t="e">
        <f t="shared" ca="1" si="89"/>
        <v>#N/A</v>
      </c>
      <c r="AF349" s="55" t="e">
        <f t="shared" ca="1" si="90"/>
        <v>#N/A</v>
      </c>
      <c r="AG349" s="55" t="e">
        <f t="shared" ca="1" si="91"/>
        <v>#N/A</v>
      </c>
      <c r="AH349" s="55" t="e">
        <f t="shared" ca="1" si="92"/>
        <v>#N/A</v>
      </c>
      <c r="AI349" s="55" t="e">
        <f ca="1">-VLOOKUP(AE349,ModelOutputs,9,FALSE)+AI348</f>
        <v>#N/A</v>
      </c>
      <c r="AJ349" s="55" t="e">
        <f ca="1">VLOOKUP(AE349,ModelOutputs,5,FALSE)+AJ348</f>
        <v>#N/A</v>
      </c>
      <c r="AK349" s="55" t="e">
        <f ca="1">VLOOKUP(AE349,ModelOutputs,4,FALSE)+AK348</f>
        <v>#N/A</v>
      </c>
    </row>
    <row r="350" spans="18:37">
      <c r="R350" s="83" t="e">
        <f ca="1"/>
        <v>#N/A</v>
      </c>
      <c r="S350" s="55" t="e">
        <f t="shared" ca="1" si="84"/>
        <v>#N/A</v>
      </c>
      <c r="T350" s="55" t="e">
        <f t="shared" ca="1" si="79"/>
        <v>#N/A</v>
      </c>
      <c r="U350" s="55" t="e">
        <f t="shared" ca="1" si="80"/>
        <v>#N/A</v>
      </c>
      <c r="V350" s="55" t="e">
        <f t="shared" ca="1" si="81"/>
        <v>#N/A</v>
      </c>
      <c r="W350" s="55" t="e">
        <f t="shared" ca="1" si="85"/>
        <v>#N/A</v>
      </c>
      <c r="X350" s="55" t="e">
        <f t="shared" ca="1" si="86"/>
        <v>#N/A</v>
      </c>
      <c r="Y350" s="55" t="e">
        <f t="shared" ca="1" si="87"/>
        <v>#N/A</v>
      </c>
      <c r="Z350" t="e">
        <f ca="1">VLOOKUP(S350,ModelOutputs,10,FALSE)*AWC</f>
        <v>#N/A</v>
      </c>
      <c r="AA350" t="e">
        <f t="shared" ca="1" si="88"/>
        <v>#N/A</v>
      </c>
      <c r="AB350" t="e">
        <f t="shared" ca="1" si="82"/>
        <v>#N/A</v>
      </c>
      <c r="AC350" t="e">
        <f t="shared" ca="1" si="83"/>
        <v>#N/A</v>
      </c>
      <c r="AD350" s="83" t="e">
        <f ca="1"/>
        <v>#N/A</v>
      </c>
      <c r="AE350" s="55" t="e">
        <f t="shared" ca="1" si="89"/>
        <v>#N/A</v>
      </c>
      <c r="AF350" s="55" t="e">
        <f t="shared" ca="1" si="90"/>
        <v>#N/A</v>
      </c>
      <c r="AG350" s="55" t="e">
        <f t="shared" ca="1" si="91"/>
        <v>#N/A</v>
      </c>
      <c r="AH350" s="55" t="e">
        <f t="shared" ca="1" si="92"/>
        <v>#N/A</v>
      </c>
      <c r="AI350" s="55" t="e">
        <f ca="1">-VLOOKUP(AE350,ModelOutputs,9,FALSE)+AI349</f>
        <v>#N/A</v>
      </c>
      <c r="AJ350" s="55" t="e">
        <f ca="1">VLOOKUP(AE350,ModelOutputs,5,FALSE)+AJ349</f>
        <v>#N/A</v>
      </c>
      <c r="AK350" s="55" t="e">
        <f ca="1">VLOOKUP(AE350,ModelOutputs,4,FALSE)+AK349</f>
        <v>#N/A</v>
      </c>
    </row>
    <row r="351" spans="18:37">
      <c r="R351" s="83" t="e">
        <f ca="1"/>
        <v>#N/A</v>
      </c>
      <c r="S351" s="55" t="e">
        <f t="shared" ca="1" si="84"/>
        <v>#N/A</v>
      </c>
      <c r="T351" s="55" t="e">
        <f t="shared" ca="1" si="79"/>
        <v>#N/A</v>
      </c>
      <c r="U351" s="55" t="e">
        <f t="shared" ca="1" si="80"/>
        <v>#N/A</v>
      </c>
      <c r="V351" s="55" t="e">
        <f t="shared" ca="1" si="81"/>
        <v>#N/A</v>
      </c>
      <c r="W351" s="55" t="e">
        <f t="shared" ca="1" si="85"/>
        <v>#N/A</v>
      </c>
      <c r="X351" s="55" t="e">
        <f t="shared" ca="1" si="86"/>
        <v>#N/A</v>
      </c>
      <c r="Y351" s="55" t="e">
        <f t="shared" ca="1" si="87"/>
        <v>#N/A</v>
      </c>
      <c r="Z351" t="e">
        <f ca="1">VLOOKUP(S351,ModelOutputs,10,FALSE)*AWC</f>
        <v>#N/A</v>
      </c>
      <c r="AA351" t="e">
        <f t="shared" ca="1" si="88"/>
        <v>#N/A</v>
      </c>
      <c r="AB351" t="e">
        <f t="shared" ca="1" si="82"/>
        <v>#N/A</v>
      </c>
      <c r="AC351" t="e">
        <f t="shared" ca="1" si="83"/>
        <v>#N/A</v>
      </c>
      <c r="AD351" s="83" t="e">
        <f ca="1"/>
        <v>#N/A</v>
      </c>
      <c r="AE351" s="55" t="e">
        <f t="shared" ca="1" si="89"/>
        <v>#N/A</v>
      </c>
      <c r="AF351" s="55" t="e">
        <f t="shared" ca="1" si="90"/>
        <v>#N/A</v>
      </c>
      <c r="AG351" s="55" t="e">
        <f t="shared" ca="1" si="91"/>
        <v>#N/A</v>
      </c>
      <c r="AH351" s="55" t="e">
        <f t="shared" ca="1" si="92"/>
        <v>#N/A</v>
      </c>
      <c r="AI351" s="55" t="e">
        <f ca="1">-VLOOKUP(AE351,ModelOutputs,9,FALSE)+AI350</f>
        <v>#N/A</v>
      </c>
      <c r="AJ351" s="55" t="e">
        <f ca="1">VLOOKUP(AE351,ModelOutputs,5,FALSE)+AJ350</f>
        <v>#N/A</v>
      </c>
      <c r="AK351" s="55" t="e">
        <f ca="1">VLOOKUP(AE351,ModelOutputs,4,FALSE)+AK350</f>
        <v>#N/A</v>
      </c>
    </row>
    <row r="352" spans="18:37">
      <c r="R352" s="83" t="e">
        <f ca="1"/>
        <v>#N/A</v>
      </c>
      <c r="S352" s="55" t="e">
        <f t="shared" ca="1" si="84"/>
        <v>#N/A</v>
      </c>
      <c r="T352" s="55" t="e">
        <f t="shared" ca="1" si="79"/>
        <v>#N/A</v>
      </c>
      <c r="U352" s="55" t="e">
        <f t="shared" ca="1" si="80"/>
        <v>#N/A</v>
      </c>
      <c r="V352" s="55" t="e">
        <f t="shared" ca="1" si="81"/>
        <v>#N/A</v>
      </c>
      <c r="W352" s="55" t="e">
        <f t="shared" ca="1" si="85"/>
        <v>#N/A</v>
      </c>
      <c r="X352" s="55" t="e">
        <f t="shared" ca="1" si="86"/>
        <v>#N/A</v>
      </c>
      <c r="Y352" s="55" t="e">
        <f t="shared" ca="1" si="87"/>
        <v>#N/A</v>
      </c>
      <c r="Z352" t="e">
        <f ca="1">VLOOKUP(S352,ModelOutputs,10,FALSE)*AWC</f>
        <v>#N/A</v>
      </c>
      <c r="AA352" t="e">
        <f t="shared" ca="1" si="88"/>
        <v>#N/A</v>
      </c>
      <c r="AB352" t="e">
        <f t="shared" ca="1" si="82"/>
        <v>#N/A</v>
      </c>
      <c r="AC352" t="e">
        <f t="shared" ca="1" si="83"/>
        <v>#N/A</v>
      </c>
      <c r="AD352" s="83" t="e">
        <f ca="1"/>
        <v>#N/A</v>
      </c>
      <c r="AE352" s="55" t="e">
        <f t="shared" ca="1" si="89"/>
        <v>#N/A</v>
      </c>
      <c r="AF352" s="55" t="e">
        <f t="shared" ca="1" si="90"/>
        <v>#N/A</v>
      </c>
      <c r="AG352" s="55" t="e">
        <f t="shared" ca="1" si="91"/>
        <v>#N/A</v>
      </c>
      <c r="AH352" s="55" t="e">
        <f t="shared" ca="1" si="92"/>
        <v>#N/A</v>
      </c>
      <c r="AI352" s="55" t="e">
        <f ca="1">-VLOOKUP(AE352,ModelOutputs,9,FALSE)+AI351</f>
        <v>#N/A</v>
      </c>
      <c r="AJ352" s="55" t="e">
        <f ca="1">VLOOKUP(AE352,ModelOutputs,5,FALSE)+AJ351</f>
        <v>#N/A</v>
      </c>
      <c r="AK352" s="55" t="e">
        <f ca="1">VLOOKUP(AE352,ModelOutputs,4,FALSE)+AK351</f>
        <v>#N/A</v>
      </c>
    </row>
    <row r="353" spans="18:37">
      <c r="R353" s="83" t="e">
        <f ca="1"/>
        <v>#N/A</v>
      </c>
      <c r="S353" s="55" t="e">
        <f t="shared" ca="1" si="84"/>
        <v>#N/A</v>
      </c>
      <c r="T353" s="55" t="e">
        <f t="shared" ca="1" si="79"/>
        <v>#N/A</v>
      </c>
      <c r="U353" s="55" t="e">
        <f t="shared" ca="1" si="80"/>
        <v>#N/A</v>
      </c>
      <c r="V353" s="55" t="e">
        <f t="shared" ca="1" si="81"/>
        <v>#N/A</v>
      </c>
      <c r="W353" s="55" t="e">
        <f t="shared" ca="1" si="85"/>
        <v>#N/A</v>
      </c>
      <c r="X353" s="55" t="e">
        <f t="shared" ca="1" si="86"/>
        <v>#N/A</v>
      </c>
      <c r="Y353" s="55" t="e">
        <f t="shared" ca="1" si="87"/>
        <v>#N/A</v>
      </c>
      <c r="Z353" t="e">
        <f ca="1">VLOOKUP(S353,ModelOutputs,10,FALSE)*AWC</f>
        <v>#N/A</v>
      </c>
      <c r="AA353" t="e">
        <f t="shared" ca="1" si="88"/>
        <v>#N/A</v>
      </c>
      <c r="AB353" t="e">
        <f t="shared" ca="1" si="82"/>
        <v>#N/A</v>
      </c>
      <c r="AC353" t="e">
        <f t="shared" ca="1" si="83"/>
        <v>#N/A</v>
      </c>
      <c r="AD353" s="83" t="e">
        <f ca="1"/>
        <v>#N/A</v>
      </c>
      <c r="AE353" s="55" t="e">
        <f t="shared" ca="1" si="89"/>
        <v>#N/A</v>
      </c>
      <c r="AF353" s="55" t="e">
        <f t="shared" ca="1" si="90"/>
        <v>#N/A</v>
      </c>
      <c r="AG353" s="55" t="e">
        <f t="shared" ca="1" si="91"/>
        <v>#N/A</v>
      </c>
      <c r="AH353" s="55" t="e">
        <f t="shared" ca="1" si="92"/>
        <v>#N/A</v>
      </c>
      <c r="AI353" s="55" t="e">
        <f ca="1">-VLOOKUP(AE353,ModelOutputs,9,FALSE)+AI352</f>
        <v>#N/A</v>
      </c>
      <c r="AJ353" s="55" t="e">
        <f ca="1">VLOOKUP(AE353,ModelOutputs,5,FALSE)+AJ352</f>
        <v>#N/A</v>
      </c>
      <c r="AK353" s="55" t="e">
        <f ca="1">VLOOKUP(AE353,ModelOutputs,4,FALSE)+AK352</f>
        <v>#N/A</v>
      </c>
    </row>
    <row r="354" spans="18:37">
      <c r="R354" s="83" t="e">
        <f ca="1"/>
        <v>#N/A</v>
      </c>
      <c r="S354" s="55" t="e">
        <f t="shared" ca="1" si="84"/>
        <v>#N/A</v>
      </c>
      <c r="T354" s="55" t="e">
        <f t="shared" ca="1" si="79"/>
        <v>#N/A</v>
      </c>
      <c r="U354" s="55" t="e">
        <f t="shared" ca="1" si="80"/>
        <v>#N/A</v>
      </c>
      <c r="V354" s="55" t="e">
        <f t="shared" ca="1" si="81"/>
        <v>#N/A</v>
      </c>
      <c r="W354" s="55" t="e">
        <f t="shared" ca="1" si="85"/>
        <v>#N/A</v>
      </c>
      <c r="X354" s="55" t="e">
        <f t="shared" ca="1" si="86"/>
        <v>#N/A</v>
      </c>
      <c r="Y354" s="55" t="e">
        <f t="shared" ca="1" si="87"/>
        <v>#N/A</v>
      </c>
      <c r="Z354" t="e">
        <f ca="1">VLOOKUP(S354,ModelOutputs,10,FALSE)*AWC</f>
        <v>#N/A</v>
      </c>
      <c r="AA354" t="e">
        <f t="shared" ca="1" si="88"/>
        <v>#N/A</v>
      </c>
      <c r="AB354" t="e">
        <f t="shared" ca="1" si="82"/>
        <v>#N/A</v>
      </c>
      <c r="AC354" t="e">
        <f t="shared" ca="1" si="83"/>
        <v>#N/A</v>
      </c>
      <c r="AD354" s="83" t="e">
        <f ca="1"/>
        <v>#N/A</v>
      </c>
      <c r="AE354" s="55" t="e">
        <f t="shared" ca="1" si="89"/>
        <v>#N/A</v>
      </c>
      <c r="AF354" s="55" t="e">
        <f t="shared" ca="1" si="90"/>
        <v>#N/A</v>
      </c>
      <c r="AG354" s="55" t="e">
        <f t="shared" ca="1" si="91"/>
        <v>#N/A</v>
      </c>
      <c r="AH354" s="55" t="e">
        <f t="shared" ca="1" si="92"/>
        <v>#N/A</v>
      </c>
      <c r="AI354" s="55" t="e">
        <f ca="1">-VLOOKUP(AE354,ModelOutputs,9,FALSE)+AI353</f>
        <v>#N/A</v>
      </c>
      <c r="AJ354" s="55" t="e">
        <f ca="1">VLOOKUP(AE354,ModelOutputs,5,FALSE)+AJ353</f>
        <v>#N/A</v>
      </c>
      <c r="AK354" s="55" t="e">
        <f ca="1">VLOOKUP(AE354,ModelOutputs,4,FALSE)+AK353</f>
        <v>#N/A</v>
      </c>
    </row>
    <row r="355" spans="18:37">
      <c r="R355" s="83" t="e">
        <f ca="1"/>
        <v>#N/A</v>
      </c>
      <c r="S355" s="55" t="e">
        <f t="shared" ca="1" si="84"/>
        <v>#N/A</v>
      </c>
      <c r="T355" s="55" t="e">
        <f t="shared" ca="1" si="79"/>
        <v>#N/A</v>
      </c>
      <c r="U355" s="55" t="e">
        <f t="shared" ca="1" si="80"/>
        <v>#N/A</v>
      </c>
      <c r="V355" s="55" t="e">
        <f t="shared" ca="1" si="81"/>
        <v>#N/A</v>
      </c>
      <c r="W355" s="55" t="e">
        <f t="shared" ca="1" si="85"/>
        <v>#N/A</v>
      </c>
      <c r="X355" s="55" t="e">
        <f t="shared" ca="1" si="86"/>
        <v>#N/A</v>
      </c>
      <c r="Y355" s="55" t="e">
        <f t="shared" ca="1" si="87"/>
        <v>#N/A</v>
      </c>
      <c r="Z355" t="e">
        <f ca="1">VLOOKUP(S355,ModelOutputs,10,FALSE)*AWC</f>
        <v>#N/A</v>
      </c>
      <c r="AA355" t="e">
        <f t="shared" ca="1" si="88"/>
        <v>#N/A</v>
      </c>
      <c r="AB355" t="e">
        <f t="shared" ca="1" si="82"/>
        <v>#N/A</v>
      </c>
      <c r="AC355" t="e">
        <f t="shared" ca="1" si="83"/>
        <v>#N/A</v>
      </c>
      <c r="AD355" s="83" t="e">
        <f ca="1"/>
        <v>#N/A</v>
      </c>
      <c r="AE355" s="55" t="e">
        <f t="shared" ca="1" si="89"/>
        <v>#N/A</v>
      </c>
      <c r="AF355" s="55" t="e">
        <f t="shared" ca="1" si="90"/>
        <v>#N/A</v>
      </c>
      <c r="AG355" s="55" t="e">
        <f t="shared" ca="1" si="91"/>
        <v>#N/A</v>
      </c>
      <c r="AH355" s="55" t="e">
        <f t="shared" ca="1" si="92"/>
        <v>#N/A</v>
      </c>
      <c r="AI355" s="55" t="e">
        <f ca="1">-VLOOKUP(AE355,ModelOutputs,9,FALSE)+AI354</f>
        <v>#N/A</v>
      </c>
      <c r="AJ355" s="55" t="e">
        <f ca="1">VLOOKUP(AE355,ModelOutputs,5,FALSE)+AJ354</f>
        <v>#N/A</v>
      </c>
      <c r="AK355" s="55" t="e">
        <f ca="1">VLOOKUP(AE355,ModelOutputs,4,FALSE)+AK354</f>
        <v>#N/A</v>
      </c>
    </row>
    <row r="356" spans="18:37">
      <c r="R356" s="83" t="e">
        <f ca="1"/>
        <v>#N/A</v>
      </c>
      <c r="S356" s="55" t="e">
        <f t="shared" ca="1" si="84"/>
        <v>#N/A</v>
      </c>
      <c r="T356" s="55" t="e">
        <f t="shared" ca="1" si="79"/>
        <v>#N/A</v>
      </c>
      <c r="U356" s="55" t="e">
        <f t="shared" ca="1" si="80"/>
        <v>#N/A</v>
      </c>
      <c r="V356" s="55" t="e">
        <f t="shared" ca="1" si="81"/>
        <v>#N/A</v>
      </c>
      <c r="W356" s="55" t="e">
        <f t="shared" ca="1" si="85"/>
        <v>#N/A</v>
      </c>
      <c r="X356" s="55" t="e">
        <f t="shared" ca="1" si="86"/>
        <v>#N/A</v>
      </c>
      <c r="Y356" s="55" t="e">
        <f t="shared" ca="1" si="87"/>
        <v>#N/A</v>
      </c>
      <c r="Z356" t="e">
        <f ca="1">VLOOKUP(S356,ModelOutputs,10,FALSE)*AWC</f>
        <v>#N/A</v>
      </c>
      <c r="AA356" t="e">
        <f t="shared" ca="1" si="88"/>
        <v>#N/A</v>
      </c>
      <c r="AB356" t="e">
        <f t="shared" ca="1" si="82"/>
        <v>#N/A</v>
      </c>
      <c r="AC356" t="e">
        <f t="shared" ca="1" si="83"/>
        <v>#N/A</v>
      </c>
      <c r="AD356" s="83" t="e">
        <f ca="1"/>
        <v>#N/A</v>
      </c>
      <c r="AE356" s="55" t="e">
        <f t="shared" ca="1" si="89"/>
        <v>#N/A</v>
      </c>
      <c r="AF356" s="55" t="e">
        <f t="shared" ca="1" si="90"/>
        <v>#N/A</v>
      </c>
      <c r="AG356" s="55" t="e">
        <f t="shared" ca="1" si="91"/>
        <v>#N/A</v>
      </c>
      <c r="AH356" s="55" t="e">
        <f t="shared" ca="1" si="92"/>
        <v>#N/A</v>
      </c>
      <c r="AI356" s="55" t="e">
        <f ca="1">-VLOOKUP(AE356,ModelOutputs,9,FALSE)+AI355</f>
        <v>#N/A</v>
      </c>
      <c r="AJ356" s="55" t="e">
        <f ca="1">VLOOKUP(AE356,ModelOutputs,5,FALSE)+AJ355</f>
        <v>#N/A</v>
      </c>
      <c r="AK356" s="55" t="e">
        <f ca="1">VLOOKUP(AE356,ModelOutputs,4,FALSE)+AK355</f>
        <v>#N/A</v>
      </c>
    </row>
    <row r="357" spans="18:37">
      <c r="R357" s="83" t="e">
        <f ca="1"/>
        <v>#N/A</v>
      </c>
      <c r="S357" s="55" t="e">
        <f t="shared" ca="1" si="84"/>
        <v>#N/A</v>
      </c>
      <c r="T357" s="55" t="e">
        <f t="shared" ca="1" si="79"/>
        <v>#N/A</v>
      </c>
      <c r="U357" s="55" t="e">
        <f t="shared" ca="1" si="80"/>
        <v>#N/A</v>
      </c>
      <c r="V357" s="55" t="e">
        <f t="shared" ca="1" si="81"/>
        <v>#N/A</v>
      </c>
      <c r="W357" s="55" t="e">
        <f t="shared" ca="1" si="85"/>
        <v>#N/A</v>
      </c>
      <c r="X357" s="55" t="e">
        <f t="shared" ca="1" si="86"/>
        <v>#N/A</v>
      </c>
      <c r="Y357" s="55" t="e">
        <f t="shared" ca="1" si="87"/>
        <v>#N/A</v>
      </c>
      <c r="Z357" t="e">
        <f ca="1">VLOOKUP(S357,ModelOutputs,10,FALSE)*AWC</f>
        <v>#N/A</v>
      </c>
      <c r="AA357" t="e">
        <f t="shared" ca="1" si="88"/>
        <v>#N/A</v>
      </c>
      <c r="AB357" t="e">
        <f t="shared" ca="1" si="82"/>
        <v>#N/A</v>
      </c>
      <c r="AC357" t="e">
        <f t="shared" ca="1" si="83"/>
        <v>#N/A</v>
      </c>
      <c r="AD357" s="83" t="e">
        <f ca="1"/>
        <v>#N/A</v>
      </c>
      <c r="AE357" s="55" t="e">
        <f t="shared" ca="1" si="89"/>
        <v>#N/A</v>
      </c>
      <c r="AF357" s="55" t="e">
        <f t="shared" ca="1" si="90"/>
        <v>#N/A</v>
      </c>
      <c r="AG357" s="55" t="e">
        <f t="shared" ca="1" si="91"/>
        <v>#N/A</v>
      </c>
      <c r="AH357" s="55" t="e">
        <f t="shared" ca="1" si="92"/>
        <v>#N/A</v>
      </c>
      <c r="AI357" s="55" t="e">
        <f ca="1">-VLOOKUP(AE357,ModelOutputs,9,FALSE)+AI356</f>
        <v>#N/A</v>
      </c>
      <c r="AJ357" s="55" t="e">
        <f ca="1">VLOOKUP(AE357,ModelOutputs,5,FALSE)+AJ356</f>
        <v>#N/A</v>
      </c>
      <c r="AK357" s="55" t="e">
        <f ca="1">VLOOKUP(AE357,ModelOutputs,4,FALSE)+AK356</f>
        <v>#N/A</v>
      </c>
    </row>
    <row r="358" spans="18:37">
      <c r="R358" s="83" t="e">
        <f ca="1"/>
        <v>#N/A</v>
      </c>
      <c r="S358" s="55" t="e">
        <f t="shared" ca="1" si="84"/>
        <v>#N/A</v>
      </c>
      <c r="T358" s="55" t="e">
        <f t="shared" ca="1" si="79"/>
        <v>#N/A</v>
      </c>
      <c r="U358" s="55" t="e">
        <f t="shared" ca="1" si="80"/>
        <v>#N/A</v>
      </c>
      <c r="V358" s="55" t="e">
        <f t="shared" ca="1" si="81"/>
        <v>#N/A</v>
      </c>
      <c r="W358" s="55" t="e">
        <f t="shared" ca="1" si="85"/>
        <v>#N/A</v>
      </c>
      <c r="X358" s="55" t="e">
        <f t="shared" ca="1" si="86"/>
        <v>#N/A</v>
      </c>
      <c r="Y358" s="55" t="e">
        <f t="shared" ca="1" si="87"/>
        <v>#N/A</v>
      </c>
      <c r="Z358" t="e">
        <f ca="1">VLOOKUP(S358,ModelOutputs,10,FALSE)*AWC</f>
        <v>#N/A</v>
      </c>
      <c r="AA358" t="e">
        <f t="shared" ca="1" si="88"/>
        <v>#N/A</v>
      </c>
      <c r="AB358" t="e">
        <f t="shared" ca="1" si="82"/>
        <v>#N/A</v>
      </c>
      <c r="AC358" t="e">
        <f t="shared" ca="1" si="83"/>
        <v>#N/A</v>
      </c>
      <c r="AD358" s="83" t="e">
        <f ca="1"/>
        <v>#N/A</v>
      </c>
      <c r="AE358" s="55" t="e">
        <f t="shared" ca="1" si="89"/>
        <v>#N/A</v>
      </c>
      <c r="AF358" s="55" t="e">
        <f t="shared" ca="1" si="90"/>
        <v>#N/A</v>
      </c>
      <c r="AG358" s="55" t="e">
        <f t="shared" ca="1" si="91"/>
        <v>#N/A</v>
      </c>
      <c r="AH358" s="55" t="e">
        <f t="shared" ca="1" si="92"/>
        <v>#N/A</v>
      </c>
      <c r="AI358" s="55" t="e">
        <f ca="1">-VLOOKUP(AE358,ModelOutputs,9,FALSE)+AI357</f>
        <v>#N/A</v>
      </c>
      <c r="AJ358" s="55" t="e">
        <f ca="1">VLOOKUP(AE358,ModelOutputs,5,FALSE)+AJ357</f>
        <v>#N/A</v>
      </c>
      <c r="AK358" s="55" t="e">
        <f ca="1">VLOOKUP(AE358,ModelOutputs,4,FALSE)+AK357</f>
        <v>#N/A</v>
      </c>
    </row>
    <row r="359" spans="18:37">
      <c r="R359" s="83" t="e">
        <f ca="1"/>
        <v>#N/A</v>
      </c>
      <c r="S359" s="55" t="e">
        <f t="shared" ca="1" si="84"/>
        <v>#N/A</v>
      </c>
      <c r="T359" s="55" t="e">
        <f t="shared" ca="1" si="79"/>
        <v>#N/A</v>
      </c>
      <c r="U359" s="55" t="e">
        <f t="shared" ca="1" si="80"/>
        <v>#N/A</v>
      </c>
      <c r="V359" s="55" t="e">
        <f t="shared" ca="1" si="81"/>
        <v>#N/A</v>
      </c>
      <c r="W359" s="55" t="e">
        <f t="shared" ca="1" si="85"/>
        <v>#N/A</v>
      </c>
      <c r="X359" s="55" t="e">
        <f t="shared" ca="1" si="86"/>
        <v>#N/A</v>
      </c>
      <c r="Y359" s="55" t="e">
        <f t="shared" ca="1" si="87"/>
        <v>#N/A</v>
      </c>
      <c r="Z359" t="e">
        <f ca="1">VLOOKUP(S359,ModelOutputs,10,FALSE)*AWC</f>
        <v>#N/A</v>
      </c>
      <c r="AA359" t="e">
        <f t="shared" ca="1" si="88"/>
        <v>#N/A</v>
      </c>
      <c r="AB359" t="e">
        <f t="shared" ca="1" si="82"/>
        <v>#N/A</v>
      </c>
      <c r="AC359" t="e">
        <f t="shared" ca="1" si="83"/>
        <v>#N/A</v>
      </c>
      <c r="AD359" s="83" t="e">
        <f ca="1"/>
        <v>#N/A</v>
      </c>
      <c r="AE359" s="55" t="e">
        <f t="shared" ca="1" si="89"/>
        <v>#N/A</v>
      </c>
      <c r="AF359" s="55" t="e">
        <f t="shared" ca="1" si="90"/>
        <v>#N/A</v>
      </c>
      <c r="AG359" s="55" t="e">
        <f t="shared" ca="1" si="91"/>
        <v>#N/A</v>
      </c>
      <c r="AH359" s="55" t="e">
        <f t="shared" ca="1" si="92"/>
        <v>#N/A</v>
      </c>
      <c r="AI359" s="55" t="e">
        <f ca="1">-VLOOKUP(AE359,ModelOutputs,9,FALSE)+AI358</f>
        <v>#N/A</v>
      </c>
      <c r="AJ359" s="55" t="e">
        <f ca="1">VLOOKUP(AE359,ModelOutputs,5,FALSE)+AJ358</f>
        <v>#N/A</v>
      </c>
      <c r="AK359" s="55" t="e">
        <f ca="1">VLOOKUP(AE359,ModelOutputs,4,FALSE)+AK358</f>
        <v>#N/A</v>
      </c>
    </row>
    <row r="360" spans="18:37">
      <c r="R360" s="83" t="e">
        <f ca="1"/>
        <v>#N/A</v>
      </c>
      <c r="S360" s="55" t="e">
        <f t="shared" ca="1" si="84"/>
        <v>#N/A</v>
      </c>
      <c r="T360" s="55" t="e">
        <f t="shared" ca="1" si="79"/>
        <v>#N/A</v>
      </c>
      <c r="U360" s="55" t="e">
        <f t="shared" ca="1" si="80"/>
        <v>#N/A</v>
      </c>
      <c r="V360" s="55" t="e">
        <f t="shared" ca="1" si="81"/>
        <v>#N/A</v>
      </c>
      <c r="W360" s="55" t="e">
        <f t="shared" ca="1" si="85"/>
        <v>#N/A</v>
      </c>
      <c r="X360" s="55" t="e">
        <f t="shared" ca="1" si="86"/>
        <v>#N/A</v>
      </c>
      <c r="Y360" s="55" t="e">
        <f t="shared" ca="1" si="87"/>
        <v>#N/A</v>
      </c>
      <c r="Z360" t="e">
        <f ca="1">VLOOKUP(S360,ModelOutputs,10,FALSE)*AWC</f>
        <v>#N/A</v>
      </c>
      <c r="AA360" t="e">
        <f t="shared" ca="1" si="88"/>
        <v>#N/A</v>
      </c>
      <c r="AB360" t="e">
        <f t="shared" ca="1" si="82"/>
        <v>#N/A</v>
      </c>
      <c r="AC360" t="e">
        <f t="shared" ca="1" si="83"/>
        <v>#N/A</v>
      </c>
      <c r="AD360" s="83" t="e">
        <f ca="1"/>
        <v>#N/A</v>
      </c>
      <c r="AE360" s="55" t="e">
        <f t="shared" ca="1" si="89"/>
        <v>#N/A</v>
      </c>
      <c r="AF360" s="55" t="e">
        <f t="shared" ca="1" si="90"/>
        <v>#N/A</v>
      </c>
      <c r="AG360" s="55" t="e">
        <f t="shared" ca="1" si="91"/>
        <v>#N/A</v>
      </c>
      <c r="AH360" s="55" t="e">
        <f t="shared" ca="1" si="92"/>
        <v>#N/A</v>
      </c>
      <c r="AI360" s="55" t="e">
        <f ca="1">-VLOOKUP(AE360,ModelOutputs,9,FALSE)+AI359</f>
        <v>#N/A</v>
      </c>
      <c r="AJ360" s="55" t="e">
        <f ca="1">VLOOKUP(AE360,ModelOutputs,5,FALSE)+AJ359</f>
        <v>#N/A</v>
      </c>
      <c r="AK360" s="55" t="e">
        <f ca="1">VLOOKUP(AE360,ModelOutputs,4,FALSE)+AK359</f>
        <v>#N/A</v>
      </c>
    </row>
    <row r="361" spans="18:37">
      <c r="R361" s="83" t="e">
        <f ca="1"/>
        <v>#N/A</v>
      </c>
      <c r="S361" s="55" t="e">
        <f t="shared" ca="1" si="84"/>
        <v>#N/A</v>
      </c>
      <c r="T361" s="55" t="e">
        <f t="shared" ca="1" si="79"/>
        <v>#N/A</v>
      </c>
      <c r="U361" s="55" t="e">
        <f t="shared" ca="1" si="80"/>
        <v>#N/A</v>
      </c>
      <c r="V361" s="55" t="e">
        <f t="shared" ca="1" si="81"/>
        <v>#N/A</v>
      </c>
      <c r="W361" s="55" t="e">
        <f t="shared" ca="1" si="85"/>
        <v>#N/A</v>
      </c>
      <c r="X361" s="55" t="e">
        <f t="shared" ca="1" si="86"/>
        <v>#N/A</v>
      </c>
      <c r="Y361" s="55" t="e">
        <f t="shared" ca="1" si="87"/>
        <v>#N/A</v>
      </c>
      <c r="Z361" t="e">
        <f ca="1">VLOOKUP(S361,ModelOutputs,10,FALSE)*AWC</f>
        <v>#N/A</v>
      </c>
      <c r="AA361" t="e">
        <f t="shared" ca="1" si="88"/>
        <v>#N/A</v>
      </c>
      <c r="AB361" t="e">
        <f t="shared" ca="1" si="82"/>
        <v>#N/A</v>
      </c>
      <c r="AC361" t="e">
        <f t="shared" ca="1" si="83"/>
        <v>#N/A</v>
      </c>
      <c r="AD361" s="83" t="e">
        <f ca="1"/>
        <v>#N/A</v>
      </c>
      <c r="AE361" s="55" t="e">
        <f t="shared" ca="1" si="89"/>
        <v>#N/A</v>
      </c>
      <c r="AF361" s="55" t="e">
        <f t="shared" ca="1" si="90"/>
        <v>#N/A</v>
      </c>
      <c r="AG361" s="55" t="e">
        <f t="shared" ca="1" si="91"/>
        <v>#N/A</v>
      </c>
      <c r="AH361" s="55" t="e">
        <f t="shared" ca="1" si="92"/>
        <v>#N/A</v>
      </c>
      <c r="AI361" s="55" t="e">
        <f ca="1">-VLOOKUP(AE361,ModelOutputs,9,FALSE)+AI360</f>
        <v>#N/A</v>
      </c>
      <c r="AJ361" s="55" t="e">
        <f ca="1">VLOOKUP(AE361,ModelOutputs,5,FALSE)+AJ360</f>
        <v>#N/A</v>
      </c>
      <c r="AK361" s="55" t="e">
        <f ca="1">VLOOKUP(AE361,ModelOutputs,4,FALSE)+AK360</f>
        <v>#N/A</v>
      </c>
    </row>
    <row r="362" spans="18:37">
      <c r="R362" s="83" t="e">
        <f ca="1"/>
        <v>#N/A</v>
      </c>
      <c r="S362" s="55" t="e">
        <f t="shared" ca="1" si="84"/>
        <v>#N/A</v>
      </c>
      <c r="T362" s="55" t="e">
        <f t="shared" ca="1" si="79"/>
        <v>#N/A</v>
      </c>
      <c r="U362" s="55" t="e">
        <f t="shared" ca="1" si="80"/>
        <v>#N/A</v>
      </c>
      <c r="V362" s="55" t="e">
        <f t="shared" ca="1" si="81"/>
        <v>#N/A</v>
      </c>
      <c r="W362" s="55" t="e">
        <f t="shared" ca="1" si="85"/>
        <v>#N/A</v>
      </c>
      <c r="X362" s="55" t="e">
        <f t="shared" ca="1" si="86"/>
        <v>#N/A</v>
      </c>
      <c r="Y362" s="55" t="e">
        <f t="shared" ca="1" si="87"/>
        <v>#N/A</v>
      </c>
      <c r="Z362" t="e">
        <f ca="1">VLOOKUP(S362,ModelOutputs,10,FALSE)*AWC</f>
        <v>#N/A</v>
      </c>
      <c r="AA362" t="e">
        <f t="shared" ca="1" si="88"/>
        <v>#N/A</v>
      </c>
      <c r="AB362" t="e">
        <f t="shared" ca="1" si="82"/>
        <v>#N/A</v>
      </c>
      <c r="AC362" t="e">
        <f t="shared" ca="1" si="83"/>
        <v>#N/A</v>
      </c>
      <c r="AD362" s="83" t="e">
        <f ca="1"/>
        <v>#N/A</v>
      </c>
      <c r="AE362" s="55" t="e">
        <f t="shared" ca="1" si="89"/>
        <v>#N/A</v>
      </c>
      <c r="AF362" s="55" t="e">
        <f t="shared" ca="1" si="90"/>
        <v>#N/A</v>
      </c>
      <c r="AG362" s="55" t="e">
        <f t="shared" ca="1" si="91"/>
        <v>#N/A</v>
      </c>
      <c r="AH362" s="55" t="e">
        <f t="shared" ca="1" si="92"/>
        <v>#N/A</v>
      </c>
      <c r="AI362" s="55" t="e">
        <f ca="1">-VLOOKUP(AE362,ModelOutputs,9,FALSE)+AI361</f>
        <v>#N/A</v>
      </c>
      <c r="AJ362" s="55" t="e">
        <f ca="1">VLOOKUP(AE362,ModelOutputs,5,FALSE)+AJ361</f>
        <v>#N/A</v>
      </c>
      <c r="AK362" s="55" t="e">
        <f ca="1">VLOOKUP(AE362,ModelOutputs,4,FALSE)+AK361</f>
        <v>#N/A</v>
      </c>
    </row>
    <row r="363" spans="18:37">
      <c r="R363" s="83" t="e">
        <f ca="1"/>
        <v>#N/A</v>
      </c>
      <c r="S363" s="55" t="e">
        <f t="shared" ca="1" si="84"/>
        <v>#N/A</v>
      </c>
      <c r="T363" s="55" t="e">
        <f t="shared" ca="1" si="79"/>
        <v>#N/A</v>
      </c>
      <c r="U363" s="55" t="e">
        <f t="shared" ca="1" si="80"/>
        <v>#N/A</v>
      </c>
      <c r="V363" s="55" t="e">
        <f t="shared" ca="1" si="81"/>
        <v>#N/A</v>
      </c>
      <c r="W363" s="55" t="e">
        <f t="shared" ca="1" si="85"/>
        <v>#N/A</v>
      </c>
      <c r="X363" s="55" t="e">
        <f t="shared" ca="1" si="86"/>
        <v>#N/A</v>
      </c>
      <c r="Y363" s="55" t="e">
        <f t="shared" ca="1" si="87"/>
        <v>#N/A</v>
      </c>
      <c r="Z363" t="e">
        <f ca="1">VLOOKUP(S363,ModelOutputs,10,FALSE)*AWC</f>
        <v>#N/A</v>
      </c>
      <c r="AA363" t="e">
        <f t="shared" ca="1" si="88"/>
        <v>#N/A</v>
      </c>
      <c r="AB363" t="e">
        <f t="shared" ca="1" si="82"/>
        <v>#N/A</v>
      </c>
      <c r="AC363" t="e">
        <f t="shared" ca="1" si="83"/>
        <v>#N/A</v>
      </c>
      <c r="AD363" s="83" t="e">
        <f ca="1"/>
        <v>#N/A</v>
      </c>
      <c r="AE363" s="55" t="e">
        <f t="shared" ca="1" si="89"/>
        <v>#N/A</v>
      </c>
      <c r="AF363" s="55" t="e">
        <f t="shared" ca="1" si="90"/>
        <v>#N/A</v>
      </c>
      <c r="AG363" s="55" t="e">
        <f t="shared" ca="1" si="91"/>
        <v>#N/A</v>
      </c>
      <c r="AH363" s="55" t="e">
        <f t="shared" ca="1" si="92"/>
        <v>#N/A</v>
      </c>
      <c r="AI363" s="55" t="e">
        <f ca="1">-VLOOKUP(AE363,ModelOutputs,9,FALSE)+AI362</f>
        <v>#N/A</v>
      </c>
      <c r="AJ363" s="55" t="e">
        <f ca="1">VLOOKUP(AE363,ModelOutputs,5,FALSE)+AJ362</f>
        <v>#N/A</v>
      </c>
      <c r="AK363" s="55" t="e">
        <f ca="1">VLOOKUP(AE363,ModelOutputs,4,FALSE)+AK362</f>
        <v>#N/A</v>
      </c>
    </row>
    <row r="364" spans="18:37">
      <c r="R364" s="83" t="e">
        <f ca="1"/>
        <v>#N/A</v>
      </c>
      <c r="S364" s="55" t="e">
        <f t="shared" ca="1" si="84"/>
        <v>#N/A</v>
      </c>
      <c r="T364" s="55" t="e">
        <f t="shared" ca="1" si="79"/>
        <v>#N/A</v>
      </c>
      <c r="U364" s="55" t="e">
        <f t="shared" ca="1" si="80"/>
        <v>#N/A</v>
      </c>
      <c r="V364" s="55" t="e">
        <f t="shared" ca="1" si="81"/>
        <v>#N/A</v>
      </c>
      <c r="W364" s="55" t="e">
        <f t="shared" ca="1" si="85"/>
        <v>#N/A</v>
      </c>
      <c r="X364" s="55" t="e">
        <f t="shared" ca="1" si="86"/>
        <v>#N/A</v>
      </c>
      <c r="Y364" s="55" t="e">
        <f t="shared" ca="1" si="87"/>
        <v>#N/A</v>
      </c>
      <c r="Z364" t="e">
        <f ca="1">VLOOKUP(S364,ModelOutputs,10,FALSE)*AWC</f>
        <v>#N/A</v>
      </c>
      <c r="AA364" t="e">
        <f t="shared" ca="1" si="88"/>
        <v>#N/A</v>
      </c>
      <c r="AB364" t="e">
        <f t="shared" ca="1" si="82"/>
        <v>#N/A</v>
      </c>
      <c r="AC364" t="e">
        <f t="shared" ca="1" si="83"/>
        <v>#N/A</v>
      </c>
      <c r="AD364" s="83" t="e">
        <f ca="1"/>
        <v>#N/A</v>
      </c>
      <c r="AE364" s="55" t="e">
        <f t="shared" ca="1" si="89"/>
        <v>#N/A</v>
      </c>
      <c r="AF364" s="55" t="e">
        <f t="shared" ca="1" si="90"/>
        <v>#N/A</v>
      </c>
      <c r="AG364" s="55" t="e">
        <f t="shared" ca="1" si="91"/>
        <v>#N/A</v>
      </c>
      <c r="AH364" s="55" t="e">
        <f t="shared" ca="1" si="92"/>
        <v>#N/A</v>
      </c>
      <c r="AI364" s="55" t="e">
        <f ca="1">-VLOOKUP(AE364,ModelOutputs,9,FALSE)+AI363</f>
        <v>#N/A</v>
      </c>
      <c r="AJ364" s="55" t="e">
        <f ca="1">VLOOKUP(AE364,ModelOutputs,5,FALSE)+AJ363</f>
        <v>#N/A</v>
      </c>
      <c r="AK364" s="55" t="e">
        <f ca="1">VLOOKUP(AE364,ModelOutputs,4,FALSE)+AK363</f>
        <v>#N/A</v>
      </c>
    </row>
    <row r="365" spans="18:37">
      <c r="R365" s="83" t="e">
        <f ca="1"/>
        <v>#N/A</v>
      </c>
      <c r="S365" s="55" t="e">
        <f t="shared" ca="1" si="84"/>
        <v>#N/A</v>
      </c>
      <c r="T365" s="55" t="e">
        <f t="shared" ca="1" si="79"/>
        <v>#N/A</v>
      </c>
      <c r="U365" s="55" t="e">
        <f t="shared" ca="1" si="80"/>
        <v>#N/A</v>
      </c>
      <c r="V365" s="55" t="e">
        <f t="shared" ca="1" si="81"/>
        <v>#N/A</v>
      </c>
      <c r="W365" s="55" t="e">
        <f t="shared" ca="1" si="85"/>
        <v>#N/A</v>
      </c>
      <c r="X365" s="55" t="e">
        <f t="shared" ca="1" si="86"/>
        <v>#N/A</v>
      </c>
      <c r="Y365" s="55" t="e">
        <f t="shared" ca="1" si="87"/>
        <v>#N/A</v>
      </c>
      <c r="Z365" t="e">
        <f ca="1">VLOOKUP(S365,ModelOutputs,10,FALSE)*AWC</f>
        <v>#N/A</v>
      </c>
      <c r="AA365" t="e">
        <f t="shared" ca="1" si="88"/>
        <v>#N/A</v>
      </c>
      <c r="AB365" t="e">
        <f t="shared" ca="1" si="82"/>
        <v>#N/A</v>
      </c>
      <c r="AC365" t="e">
        <f t="shared" ca="1" si="83"/>
        <v>#N/A</v>
      </c>
      <c r="AD365" s="83" t="e">
        <f ca="1"/>
        <v>#N/A</v>
      </c>
      <c r="AE365" s="55" t="e">
        <f t="shared" ca="1" si="89"/>
        <v>#N/A</v>
      </c>
      <c r="AF365" s="55" t="e">
        <f t="shared" ca="1" si="90"/>
        <v>#N/A</v>
      </c>
      <c r="AG365" s="55" t="e">
        <f t="shared" ca="1" si="91"/>
        <v>#N/A</v>
      </c>
      <c r="AH365" s="55" t="e">
        <f t="shared" ca="1" si="92"/>
        <v>#N/A</v>
      </c>
      <c r="AI365" s="55" t="e">
        <f ca="1">-VLOOKUP(AE365,ModelOutputs,9,FALSE)+AI364</f>
        <v>#N/A</v>
      </c>
      <c r="AJ365" s="55" t="e">
        <f ca="1">VLOOKUP(AE365,ModelOutputs,5,FALSE)+AJ364</f>
        <v>#N/A</v>
      </c>
      <c r="AK365" s="55" t="e">
        <f ca="1">VLOOKUP(AE365,ModelOutputs,4,FALSE)+AK364</f>
        <v>#N/A</v>
      </c>
    </row>
    <row r="366" spans="18:37">
      <c r="R366" s="83" t="e">
        <f ca="1"/>
        <v>#N/A</v>
      </c>
      <c r="S366" s="55" t="e">
        <f t="shared" ca="1" si="84"/>
        <v>#N/A</v>
      </c>
      <c r="T366" s="55" t="e">
        <f t="shared" ca="1" si="79"/>
        <v>#N/A</v>
      </c>
      <c r="U366" s="55" t="e">
        <f t="shared" ca="1" si="80"/>
        <v>#N/A</v>
      </c>
      <c r="V366" s="55" t="e">
        <f t="shared" ca="1" si="81"/>
        <v>#N/A</v>
      </c>
      <c r="W366" s="55" t="e">
        <f t="shared" ca="1" si="85"/>
        <v>#N/A</v>
      </c>
      <c r="X366" s="55" t="e">
        <f t="shared" ca="1" si="86"/>
        <v>#N/A</v>
      </c>
      <c r="Y366" s="55" t="e">
        <f t="shared" ca="1" si="87"/>
        <v>#N/A</v>
      </c>
      <c r="Z366" t="e">
        <f ca="1">VLOOKUP(S366,ModelOutputs,10,FALSE)*AWC</f>
        <v>#N/A</v>
      </c>
      <c r="AA366" t="e">
        <f t="shared" ca="1" si="88"/>
        <v>#N/A</v>
      </c>
      <c r="AB366" t="e">
        <f t="shared" ca="1" si="82"/>
        <v>#N/A</v>
      </c>
      <c r="AC366" t="e">
        <f t="shared" ca="1" si="83"/>
        <v>#N/A</v>
      </c>
      <c r="AD366" s="83" t="e">
        <f ca="1"/>
        <v>#N/A</v>
      </c>
      <c r="AE366" s="55" t="e">
        <f t="shared" ca="1" si="89"/>
        <v>#N/A</v>
      </c>
      <c r="AF366" s="55" t="e">
        <f t="shared" ca="1" si="90"/>
        <v>#N/A</v>
      </c>
      <c r="AG366" s="55" t="e">
        <f t="shared" ca="1" si="91"/>
        <v>#N/A</v>
      </c>
      <c r="AH366" s="55" t="e">
        <f t="shared" ca="1" si="92"/>
        <v>#N/A</v>
      </c>
      <c r="AI366" s="55" t="e">
        <f ca="1">-VLOOKUP(AE366,ModelOutputs,9,FALSE)+AI365</f>
        <v>#N/A</v>
      </c>
      <c r="AJ366" s="55" t="e">
        <f ca="1">VLOOKUP(AE366,ModelOutputs,5,FALSE)+AJ365</f>
        <v>#N/A</v>
      </c>
      <c r="AK366" s="55" t="e">
        <f ca="1">VLOOKUP(AE366,ModelOutputs,4,FALSE)+AK365</f>
        <v>#N/A</v>
      </c>
    </row>
    <row r="367" spans="18:37">
      <c r="R367" s="83" t="e">
        <f ca="1"/>
        <v>#N/A</v>
      </c>
      <c r="S367" s="55" t="e">
        <f t="shared" ca="1" si="84"/>
        <v>#N/A</v>
      </c>
      <c r="T367" s="55" t="e">
        <f t="shared" ca="1" si="79"/>
        <v>#N/A</v>
      </c>
      <c r="U367" s="55" t="e">
        <f t="shared" ca="1" si="80"/>
        <v>#N/A</v>
      </c>
      <c r="V367" s="55" t="e">
        <f t="shared" ca="1" si="81"/>
        <v>#N/A</v>
      </c>
      <c r="W367" s="55" t="e">
        <f t="shared" ca="1" si="85"/>
        <v>#N/A</v>
      </c>
      <c r="X367" s="55" t="e">
        <f t="shared" ca="1" si="86"/>
        <v>#N/A</v>
      </c>
      <c r="Y367" s="55" t="e">
        <f t="shared" ca="1" si="87"/>
        <v>#N/A</v>
      </c>
      <c r="Z367" t="e">
        <f ca="1">VLOOKUP(S367,ModelOutputs,10,FALSE)*AWC</f>
        <v>#N/A</v>
      </c>
      <c r="AA367" t="e">
        <f t="shared" ca="1" si="88"/>
        <v>#N/A</v>
      </c>
      <c r="AB367" t="e">
        <f t="shared" ca="1" si="82"/>
        <v>#N/A</v>
      </c>
      <c r="AC367" t="e">
        <f t="shared" ca="1" si="83"/>
        <v>#N/A</v>
      </c>
      <c r="AD367" s="83" t="e">
        <f ca="1"/>
        <v>#N/A</v>
      </c>
      <c r="AE367" s="55" t="e">
        <f t="shared" ca="1" si="89"/>
        <v>#N/A</v>
      </c>
      <c r="AF367" s="55" t="e">
        <f t="shared" ca="1" si="90"/>
        <v>#N/A</v>
      </c>
      <c r="AG367" s="55" t="e">
        <f t="shared" ca="1" si="91"/>
        <v>#N/A</v>
      </c>
      <c r="AH367" s="55" t="e">
        <f t="shared" ca="1" si="92"/>
        <v>#N/A</v>
      </c>
      <c r="AI367" s="55" t="e">
        <f ca="1">-VLOOKUP(AE367,ModelOutputs,9,FALSE)+AI366</f>
        <v>#N/A</v>
      </c>
      <c r="AJ367" s="55" t="e">
        <f ca="1">VLOOKUP(AE367,ModelOutputs,5,FALSE)+AJ366</f>
        <v>#N/A</v>
      </c>
      <c r="AK367" s="55" t="e">
        <f ca="1">VLOOKUP(AE367,ModelOutputs,4,FALSE)+AK366</f>
        <v>#N/A</v>
      </c>
    </row>
    <row r="368" spans="18:37">
      <c r="R368" s="83" t="e">
        <f ca="1"/>
        <v>#N/A</v>
      </c>
      <c r="S368" s="55" t="e">
        <f t="shared" ca="1" si="84"/>
        <v>#N/A</v>
      </c>
      <c r="T368" s="55" t="e">
        <f t="shared" ca="1" si="79"/>
        <v>#N/A</v>
      </c>
      <c r="U368" s="55" t="e">
        <f t="shared" ca="1" si="80"/>
        <v>#N/A</v>
      </c>
      <c r="V368" s="55" t="e">
        <f t="shared" ca="1" si="81"/>
        <v>#N/A</v>
      </c>
      <c r="W368" s="55" t="e">
        <f t="shared" ca="1" si="85"/>
        <v>#N/A</v>
      </c>
      <c r="X368" s="55" t="e">
        <f t="shared" ca="1" si="86"/>
        <v>#N/A</v>
      </c>
      <c r="Y368" s="55" t="e">
        <f t="shared" ca="1" si="87"/>
        <v>#N/A</v>
      </c>
      <c r="Z368" t="e">
        <f ca="1">VLOOKUP(S368,ModelOutputs,10,FALSE)*AWC</f>
        <v>#N/A</v>
      </c>
      <c r="AA368" t="e">
        <f t="shared" ca="1" si="88"/>
        <v>#N/A</v>
      </c>
      <c r="AB368" t="e">
        <f t="shared" ca="1" si="82"/>
        <v>#N/A</v>
      </c>
      <c r="AC368" t="e">
        <f t="shared" ca="1" si="83"/>
        <v>#N/A</v>
      </c>
      <c r="AD368" s="83" t="e">
        <f ca="1"/>
        <v>#N/A</v>
      </c>
      <c r="AE368" s="55" t="e">
        <f t="shared" ca="1" si="89"/>
        <v>#N/A</v>
      </c>
      <c r="AF368" s="55" t="e">
        <f t="shared" ca="1" si="90"/>
        <v>#N/A</v>
      </c>
      <c r="AG368" s="55" t="e">
        <f t="shared" ca="1" si="91"/>
        <v>#N/A</v>
      </c>
      <c r="AH368" s="55" t="e">
        <f t="shared" ca="1" si="92"/>
        <v>#N/A</v>
      </c>
      <c r="AI368" s="55" t="e">
        <f ca="1">-VLOOKUP(AE368,ModelOutputs,9,FALSE)+AI367</f>
        <v>#N/A</v>
      </c>
      <c r="AJ368" s="55" t="e">
        <f ca="1">VLOOKUP(AE368,ModelOutputs,5,FALSE)+AJ367</f>
        <v>#N/A</v>
      </c>
      <c r="AK368" s="55" t="e">
        <f ca="1">VLOOKUP(AE368,ModelOutputs,4,FALSE)+AK367</f>
        <v>#N/A</v>
      </c>
    </row>
    <row r="369" spans="18:37">
      <c r="R369" s="83" t="e">
        <f ca="1"/>
        <v>#N/A</v>
      </c>
      <c r="S369" s="55" t="e">
        <f t="shared" ca="1" si="84"/>
        <v>#N/A</v>
      </c>
      <c r="T369" s="55" t="e">
        <f t="shared" ca="1" si="79"/>
        <v>#N/A</v>
      </c>
      <c r="U369" s="55" t="e">
        <f t="shared" ca="1" si="80"/>
        <v>#N/A</v>
      </c>
      <c r="V369" s="55" t="e">
        <f t="shared" ca="1" si="81"/>
        <v>#N/A</v>
      </c>
      <c r="W369" s="55" t="e">
        <f t="shared" ca="1" si="85"/>
        <v>#N/A</v>
      </c>
      <c r="X369" s="55" t="e">
        <f t="shared" ca="1" si="86"/>
        <v>#N/A</v>
      </c>
      <c r="Y369" s="55" t="e">
        <f t="shared" ca="1" si="87"/>
        <v>#N/A</v>
      </c>
      <c r="Z369" t="e">
        <f ca="1">VLOOKUP(S369,ModelOutputs,10,FALSE)*AWC</f>
        <v>#N/A</v>
      </c>
      <c r="AA369" t="e">
        <f t="shared" ca="1" si="88"/>
        <v>#N/A</v>
      </c>
      <c r="AB369" t="e">
        <f t="shared" ca="1" si="82"/>
        <v>#N/A</v>
      </c>
      <c r="AC369" t="e">
        <f t="shared" ca="1" si="83"/>
        <v>#N/A</v>
      </c>
      <c r="AD369" s="83" t="e">
        <f ca="1"/>
        <v>#N/A</v>
      </c>
      <c r="AE369" s="55" t="e">
        <f t="shared" ca="1" si="89"/>
        <v>#N/A</v>
      </c>
      <c r="AF369" s="55" t="e">
        <f t="shared" ca="1" si="90"/>
        <v>#N/A</v>
      </c>
      <c r="AG369" s="55" t="e">
        <f t="shared" ca="1" si="91"/>
        <v>#N/A</v>
      </c>
      <c r="AH369" s="55" t="e">
        <f t="shared" ca="1" si="92"/>
        <v>#N/A</v>
      </c>
      <c r="AI369" s="55" t="e">
        <f ca="1">-VLOOKUP(AE369,ModelOutputs,9,FALSE)+AI368</f>
        <v>#N/A</v>
      </c>
      <c r="AJ369" s="55" t="e">
        <f ca="1">VLOOKUP(AE369,ModelOutputs,5,FALSE)+AJ368</f>
        <v>#N/A</v>
      </c>
      <c r="AK369" s="55" t="e">
        <f ca="1">VLOOKUP(AE369,ModelOutputs,4,FALSE)+AK368</f>
        <v>#N/A</v>
      </c>
    </row>
    <row r="370" spans="18:37">
      <c r="R370" s="83" t="e">
        <f ca="1"/>
        <v>#N/A</v>
      </c>
      <c r="S370" s="55" t="e">
        <f t="shared" ca="1" si="84"/>
        <v>#N/A</v>
      </c>
      <c r="T370" s="55" t="e">
        <f t="shared" ca="1" si="79"/>
        <v>#N/A</v>
      </c>
      <c r="U370" s="55" t="e">
        <f t="shared" ca="1" si="80"/>
        <v>#N/A</v>
      </c>
      <c r="V370" s="55" t="e">
        <f t="shared" ca="1" si="81"/>
        <v>#N/A</v>
      </c>
      <c r="W370" s="55" t="e">
        <f t="shared" ca="1" si="85"/>
        <v>#N/A</v>
      </c>
      <c r="X370" s="55" t="e">
        <f t="shared" ca="1" si="86"/>
        <v>#N/A</v>
      </c>
      <c r="Y370" s="55" t="e">
        <f t="shared" ca="1" si="87"/>
        <v>#N/A</v>
      </c>
      <c r="Z370" t="e">
        <f ca="1">VLOOKUP(S370,ModelOutputs,10,FALSE)*AWC</f>
        <v>#N/A</v>
      </c>
      <c r="AA370" t="e">
        <f t="shared" ca="1" si="88"/>
        <v>#N/A</v>
      </c>
      <c r="AB370" t="e">
        <f t="shared" ca="1" si="82"/>
        <v>#N/A</v>
      </c>
      <c r="AC370" t="e">
        <f t="shared" ca="1" si="83"/>
        <v>#N/A</v>
      </c>
      <c r="AD370" s="83" t="e">
        <f ca="1"/>
        <v>#N/A</v>
      </c>
      <c r="AE370" s="55" t="e">
        <f t="shared" ca="1" si="89"/>
        <v>#N/A</v>
      </c>
      <c r="AF370" s="55" t="e">
        <f t="shared" ca="1" si="90"/>
        <v>#N/A</v>
      </c>
      <c r="AG370" s="55" t="e">
        <f t="shared" ca="1" si="91"/>
        <v>#N/A</v>
      </c>
      <c r="AH370" s="55" t="e">
        <f t="shared" ca="1" si="92"/>
        <v>#N/A</v>
      </c>
      <c r="AI370" s="55" t="e">
        <f ca="1">-VLOOKUP(AE370,ModelOutputs,9,FALSE)+AI369</f>
        <v>#N/A</v>
      </c>
      <c r="AJ370" s="55" t="e">
        <f ca="1">VLOOKUP(AE370,ModelOutputs,5,FALSE)+AJ369</f>
        <v>#N/A</v>
      </c>
      <c r="AK370" s="55" t="e">
        <f ca="1">VLOOKUP(AE370,ModelOutputs,4,FALSE)+AK369</f>
        <v>#N/A</v>
      </c>
    </row>
    <row r="371" spans="18:37">
      <c r="R371" s="83" t="e">
        <f ca="1"/>
        <v>#N/A</v>
      </c>
      <c r="S371" s="55" t="e">
        <f t="shared" ca="1" si="84"/>
        <v>#N/A</v>
      </c>
      <c r="T371" s="55" t="e">
        <f t="shared" ca="1" si="79"/>
        <v>#N/A</v>
      </c>
      <c r="U371" s="55" t="e">
        <f t="shared" ca="1" si="80"/>
        <v>#N/A</v>
      </c>
      <c r="V371" s="55" t="e">
        <f t="shared" ca="1" si="81"/>
        <v>#N/A</v>
      </c>
      <c r="W371" s="55" t="e">
        <f t="shared" ca="1" si="85"/>
        <v>#N/A</v>
      </c>
      <c r="X371" s="55" t="e">
        <f t="shared" ca="1" si="86"/>
        <v>#N/A</v>
      </c>
      <c r="Y371" s="55" t="e">
        <f t="shared" ca="1" si="87"/>
        <v>#N/A</v>
      </c>
      <c r="Z371" t="e">
        <f ca="1">VLOOKUP(S371,ModelOutputs,10,FALSE)*AWC</f>
        <v>#N/A</v>
      </c>
      <c r="AA371" t="e">
        <f t="shared" ca="1" si="88"/>
        <v>#N/A</v>
      </c>
      <c r="AB371" t="e">
        <f t="shared" ca="1" si="82"/>
        <v>#N/A</v>
      </c>
      <c r="AC371" t="e">
        <f t="shared" ca="1" si="83"/>
        <v>#N/A</v>
      </c>
      <c r="AD371" s="83" t="e">
        <f ca="1"/>
        <v>#N/A</v>
      </c>
      <c r="AE371" s="55" t="e">
        <f t="shared" ca="1" si="89"/>
        <v>#N/A</v>
      </c>
      <c r="AF371" s="55" t="e">
        <f t="shared" ca="1" si="90"/>
        <v>#N/A</v>
      </c>
      <c r="AG371" s="55" t="e">
        <f t="shared" ca="1" si="91"/>
        <v>#N/A</v>
      </c>
      <c r="AH371" s="55" t="e">
        <f t="shared" ca="1" si="92"/>
        <v>#N/A</v>
      </c>
      <c r="AI371" s="55" t="e">
        <f ca="1">-VLOOKUP(AE371,ModelOutputs,9,FALSE)+AI370</f>
        <v>#N/A</v>
      </c>
      <c r="AJ371" s="55" t="e">
        <f ca="1">VLOOKUP(AE371,ModelOutputs,5,FALSE)+AJ370</f>
        <v>#N/A</v>
      </c>
      <c r="AK371" s="55" t="e">
        <f ca="1">VLOOKUP(AE371,ModelOutputs,4,FALSE)+AK370</f>
        <v>#N/A</v>
      </c>
    </row>
    <row r="372" spans="18:37">
      <c r="R372" s="83" t="e">
        <f ca="1"/>
        <v>#N/A</v>
      </c>
      <c r="S372" s="55" t="e">
        <f t="shared" ca="1" si="84"/>
        <v>#N/A</v>
      </c>
      <c r="T372" s="55" t="e">
        <f t="shared" ca="1" si="79"/>
        <v>#N/A</v>
      </c>
      <c r="U372" s="55" t="e">
        <f t="shared" ca="1" si="80"/>
        <v>#N/A</v>
      </c>
      <c r="V372" s="55" t="e">
        <f t="shared" ca="1" si="81"/>
        <v>#N/A</v>
      </c>
      <c r="W372" s="55" t="e">
        <f t="shared" ca="1" si="85"/>
        <v>#N/A</v>
      </c>
      <c r="X372" s="55" t="e">
        <f t="shared" ca="1" si="86"/>
        <v>#N/A</v>
      </c>
      <c r="Y372" s="55" t="e">
        <f t="shared" ca="1" si="87"/>
        <v>#N/A</v>
      </c>
      <c r="Z372" t="e">
        <f ca="1">VLOOKUP(S372,ModelOutputs,10,FALSE)*AWC</f>
        <v>#N/A</v>
      </c>
      <c r="AA372" t="e">
        <f t="shared" ca="1" si="88"/>
        <v>#N/A</v>
      </c>
      <c r="AB372" t="e">
        <f t="shared" ca="1" si="82"/>
        <v>#N/A</v>
      </c>
      <c r="AC372" t="e">
        <f t="shared" ca="1" si="83"/>
        <v>#N/A</v>
      </c>
      <c r="AD372" s="83" t="e">
        <f ca="1"/>
        <v>#N/A</v>
      </c>
      <c r="AE372" s="55" t="e">
        <f t="shared" ca="1" si="89"/>
        <v>#N/A</v>
      </c>
      <c r="AF372" s="55" t="e">
        <f t="shared" ca="1" si="90"/>
        <v>#N/A</v>
      </c>
      <c r="AG372" s="55" t="e">
        <f t="shared" ca="1" si="91"/>
        <v>#N/A</v>
      </c>
      <c r="AH372" s="55" t="e">
        <f t="shared" ca="1" si="92"/>
        <v>#N/A</v>
      </c>
      <c r="AI372" s="55" t="e">
        <f ca="1">-VLOOKUP(AE372,ModelOutputs,9,FALSE)+AI371</f>
        <v>#N/A</v>
      </c>
      <c r="AJ372" s="55" t="e">
        <f ca="1">VLOOKUP(AE372,ModelOutputs,5,FALSE)+AJ371</f>
        <v>#N/A</v>
      </c>
      <c r="AK372" s="55" t="e">
        <f ca="1">VLOOKUP(AE372,ModelOutputs,4,FALSE)+AK371</f>
        <v>#N/A</v>
      </c>
    </row>
    <row r="373" spans="18:37">
      <c r="R373" s="83" t="e">
        <f ca="1"/>
        <v>#N/A</v>
      </c>
      <c r="S373" s="55" t="e">
        <f t="shared" ca="1" si="84"/>
        <v>#N/A</v>
      </c>
      <c r="T373" s="55" t="e">
        <f t="shared" ca="1" si="79"/>
        <v>#N/A</v>
      </c>
      <c r="U373" s="55" t="e">
        <f t="shared" ca="1" si="80"/>
        <v>#N/A</v>
      </c>
      <c r="V373" s="55" t="e">
        <f t="shared" ca="1" si="81"/>
        <v>#N/A</v>
      </c>
      <c r="W373" s="55" t="e">
        <f t="shared" ca="1" si="85"/>
        <v>#N/A</v>
      </c>
      <c r="X373" s="55" t="e">
        <f t="shared" ca="1" si="86"/>
        <v>#N/A</v>
      </c>
      <c r="Y373" s="55" t="e">
        <f t="shared" ca="1" si="87"/>
        <v>#N/A</v>
      </c>
      <c r="Z373" t="e">
        <f ca="1">VLOOKUP(S373,ModelOutputs,10,FALSE)*AWC</f>
        <v>#N/A</v>
      </c>
      <c r="AA373" t="e">
        <f t="shared" ca="1" si="88"/>
        <v>#N/A</v>
      </c>
      <c r="AB373" t="e">
        <f t="shared" ca="1" si="82"/>
        <v>#N/A</v>
      </c>
      <c r="AC373" t="e">
        <f t="shared" ca="1" si="83"/>
        <v>#N/A</v>
      </c>
      <c r="AD373" s="83" t="e">
        <f ca="1"/>
        <v>#N/A</v>
      </c>
      <c r="AE373" s="55" t="e">
        <f t="shared" ca="1" si="89"/>
        <v>#N/A</v>
      </c>
      <c r="AF373" s="55" t="e">
        <f t="shared" ca="1" si="90"/>
        <v>#N/A</v>
      </c>
      <c r="AG373" s="55" t="e">
        <f t="shared" ca="1" si="91"/>
        <v>#N/A</v>
      </c>
      <c r="AH373" s="55" t="e">
        <f t="shared" ca="1" si="92"/>
        <v>#N/A</v>
      </c>
      <c r="AI373" s="55" t="e">
        <f ca="1">-VLOOKUP(AE373,ModelOutputs,9,FALSE)+AI372</f>
        <v>#N/A</v>
      </c>
      <c r="AJ373" s="55" t="e">
        <f ca="1">VLOOKUP(AE373,ModelOutputs,5,FALSE)+AJ372</f>
        <v>#N/A</v>
      </c>
      <c r="AK373" s="55" t="e">
        <f ca="1">VLOOKUP(AE373,ModelOutputs,4,FALSE)+AK372</f>
        <v>#N/A</v>
      </c>
    </row>
    <row r="374" spans="18:37">
      <c r="R374" s="83" t="e">
        <f ca="1"/>
        <v>#N/A</v>
      </c>
      <c r="S374" s="55" t="e">
        <f t="shared" ca="1" si="84"/>
        <v>#N/A</v>
      </c>
      <c r="T374" s="55" t="e">
        <f t="shared" ca="1" si="79"/>
        <v>#N/A</v>
      </c>
      <c r="U374" s="55" t="e">
        <f t="shared" ca="1" si="80"/>
        <v>#N/A</v>
      </c>
      <c r="V374" s="55" t="e">
        <f t="shared" ca="1" si="81"/>
        <v>#N/A</v>
      </c>
      <c r="W374" s="55" t="e">
        <f t="shared" ca="1" si="85"/>
        <v>#N/A</v>
      </c>
      <c r="X374" s="55" t="e">
        <f t="shared" ca="1" si="86"/>
        <v>#N/A</v>
      </c>
      <c r="Y374" s="55" t="e">
        <f t="shared" ca="1" si="87"/>
        <v>#N/A</v>
      </c>
      <c r="Z374" t="e">
        <f ca="1">VLOOKUP(S374,ModelOutputs,10,FALSE)*AWC</f>
        <v>#N/A</v>
      </c>
      <c r="AA374" t="e">
        <f t="shared" ca="1" si="88"/>
        <v>#N/A</v>
      </c>
      <c r="AB374" t="e">
        <f t="shared" ca="1" si="82"/>
        <v>#N/A</v>
      </c>
      <c r="AC374" t="e">
        <f t="shared" ca="1" si="83"/>
        <v>#N/A</v>
      </c>
      <c r="AD374" s="83" t="e">
        <f ca="1"/>
        <v>#N/A</v>
      </c>
      <c r="AE374" s="55" t="e">
        <f t="shared" ca="1" si="89"/>
        <v>#N/A</v>
      </c>
      <c r="AF374" s="55" t="e">
        <f t="shared" ca="1" si="90"/>
        <v>#N/A</v>
      </c>
      <c r="AG374" s="55" t="e">
        <f t="shared" ca="1" si="91"/>
        <v>#N/A</v>
      </c>
      <c r="AH374" s="55" t="e">
        <f t="shared" ca="1" si="92"/>
        <v>#N/A</v>
      </c>
      <c r="AI374" s="55" t="e">
        <f ca="1">-VLOOKUP(AE374,ModelOutputs,9,FALSE)+AI373</f>
        <v>#N/A</v>
      </c>
      <c r="AJ374" s="55" t="e">
        <f ca="1">VLOOKUP(AE374,ModelOutputs,5,FALSE)+AJ373</f>
        <v>#N/A</v>
      </c>
      <c r="AK374" s="55" t="e">
        <f ca="1">VLOOKUP(AE374,ModelOutputs,4,FALSE)+AK373</f>
        <v>#N/A</v>
      </c>
    </row>
    <row r="375" spans="18:37">
      <c r="R375" s="83" t="e">
        <f ca="1"/>
        <v>#N/A</v>
      </c>
      <c r="S375" s="55" t="e">
        <f t="shared" ca="1" si="84"/>
        <v>#N/A</v>
      </c>
      <c r="T375" s="55" t="e">
        <f t="shared" ca="1" si="79"/>
        <v>#N/A</v>
      </c>
      <c r="U375" s="55" t="e">
        <f t="shared" ca="1" si="80"/>
        <v>#N/A</v>
      </c>
      <c r="V375" s="55" t="e">
        <f t="shared" ca="1" si="81"/>
        <v>#N/A</v>
      </c>
      <c r="W375" s="55" t="e">
        <f t="shared" ca="1" si="85"/>
        <v>#N/A</v>
      </c>
      <c r="X375" s="55" t="e">
        <f t="shared" ca="1" si="86"/>
        <v>#N/A</v>
      </c>
      <c r="Y375" s="55" t="e">
        <f t="shared" ca="1" si="87"/>
        <v>#N/A</v>
      </c>
      <c r="Z375" t="e">
        <f ca="1">VLOOKUP(S375,ModelOutputs,10,FALSE)*AWC</f>
        <v>#N/A</v>
      </c>
      <c r="AA375" t="e">
        <f t="shared" ca="1" si="88"/>
        <v>#N/A</v>
      </c>
      <c r="AB375" t="e">
        <f t="shared" ca="1" si="82"/>
        <v>#N/A</v>
      </c>
      <c r="AC375" t="e">
        <f t="shared" ca="1" si="83"/>
        <v>#N/A</v>
      </c>
      <c r="AD375" s="83" t="e">
        <f ca="1"/>
        <v>#N/A</v>
      </c>
      <c r="AE375" s="55" t="e">
        <f t="shared" ca="1" si="89"/>
        <v>#N/A</v>
      </c>
      <c r="AF375" s="55" t="e">
        <f t="shared" ca="1" si="90"/>
        <v>#N/A</v>
      </c>
      <c r="AG375" s="55" t="e">
        <f t="shared" ca="1" si="91"/>
        <v>#N/A</v>
      </c>
      <c r="AH375" s="55" t="e">
        <f t="shared" ca="1" si="92"/>
        <v>#N/A</v>
      </c>
      <c r="AI375" s="55" t="e">
        <f ca="1">-VLOOKUP(AE375,ModelOutputs,9,FALSE)+AI374</f>
        <v>#N/A</v>
      </c>
      <c r="AJ375" s="55" t="e">
        <f ca="1">VLOOKUP(AE375,ModelOutputs,5,FALSE)+AJ374</f>
        <v>#N/A</v>
      </c>
      <c r="AK375" s="55" t="e">
        <f ca="1">VLOOKUP(AE375,ModelOutputs,4,FALSE)+AK374</f>
        <v>#N/A</v>
      </c>
    </row>
    <row r="376" spans="18:37">
      <c r="R376" s="83" t="e">
        <f ca="1"/>
        <v>#N/A</v>
      </c>
      <c r="S376" s="55" t="e">
        <f t="shared" ca="1" si="84"/>
        <v>#N/A</v>
      </c>
      <c r="T376" s="55" t="e">
        <f t="shared" ca="1" si="79"/>
        <v>#N/A</v>
      </c>
      <c r="U376" s="55" t="e">
        <f t="shared" ca="1" si="80"/>
        <v>#N/A</v>
      </c>
      <c r="V376" s="55" t="e">
        <f t="shared" ca="1" si="81"/>
        <v>#N/A</v>
      </c>
      <c r="W376" s="55" t="e">
        <f t="shared" ca="1" si="85"/>
        <v>#N/A</v>
      </c>
      <c r="X376" s="55" t="e">
        <f t="shared" ca="1" si="86"/>
        <v>#N/A</v>
      </c>
      <c r="Y376" s="55" t="e">
        <f t="shared" ca="1" si="87"/>
        <v>#N/A</v>
      </c>
      <c r="Z376" t="e">
        <f ca="1">VLOOKUP(S376,ModelOutputs,10,FALSE)*AWC</f>
        <v>#N/A</v>
      </c>
      <c r="AA376" t="e">
        <f t="shared" ca="1" si="88"/>
        <v>#N/A</v>
      </c>
      <c r="AB376" t="e">
        <f t="shared" ca="1" si="82"/>
        <v>#N/A</v>
      </c>
      <c r="AC376" t="e">
        <f t="shared" ca="1" si="83"/>
        <v>#N/A</v>
      </c>
      <c r="AD376" s="83" t="e">
        <f ca="1"/>
        <v>#N/A</v>
      </c>
      <c r="AE376" s="55" t="e">
        <f t="shared" ca="1" si="89"/>
        <v>#N/A</v>
      </c>
      <c r="AF376" s="55" t="e">
        <f t="shared" ca="1" si="90"/>
        <v>#N/A</v>
      </c>
      <c r="AG376" s="55" t="e">
        <f t="shared" ca="1" si="91"/>
        <v>#N/A</v>
      </c>
      <c r="AH376" s="55" t="e">
        <f t="shared" ca="1" si="92"/>
        <v>#N/A</v>
      </c>
      <c r="AI376" s="55" t="e">
        <f ca="1">-VLOOKUP(AE376,ModelOutputs,9,FALSE)+AI375</f>
        <v>#N/A</v>
      </c>
      <c r="AJ376" s="55" t="e">
        <f ca="1">VLOOKUP(AE376,ModelOutputs,5,FALSE)+AJ375</f>
        <v>#N/A</v>
      </c>
      <c r="AK376" s="55" t="e">
        <f ca="1">VLOOKUP(AE376,ModelOutputs,4,FALSE)+AK375</f>
        <v>#N/A</v>
      </c>
    </row>
    <row r="377" spans="18:37">
      <c r="R377" s="83" t="e">
        <f ca="1"/>
        <v>#N/A</v>
      </c>
      <c r="S377" s="55" t="e">
        <f t="shared" ca="1" si="84"/>
        <v>#N/A</v>
      </c>
      <c r="T377" s="55" t="e">
        <f t="shared" ca="1" si="79"/>
        <v>#N/A</v>
      </c>
      <c r="U377" s="55" t="e">
        <f t="shared" ca="1" si="80"/>
        <v>#N/A</v>
      </c>
      <c r="V377" s="55" t="e">
        <f t="shared" ca="1" si="81"/>
        <v>#N/A</v>
      </c>
      <c r="W377" s="55" t="e">
        <f t="shared" ca="1" si="85"/>
        <v>#N/A</v>
      </c>
      <c r="X377" s="55" t="e">
        <f t="shared" ca="1" si="86"/>
        <v>#N/A</v>
      </c>
      <c r="Y377" s="55" t="e">
        <f t="shared" ca="1" si="87"/>
        <v>#N/A</v>
      </c>
      <c r="Z377" t="e">
        <f ca="1">VLOOKUP(S377,ModelOutputs,10,FALSE)*AWC</f>
        <v>#N/A</v>
      </c>
      <c r="AA377" t="e">
        <f t="shared" ca="1" si="88"/>
        <v>#N/A</v>
      </c>
      <c r="AB377" t="e">
        <f t="shared" ca="1" si="82"/>
        <v>#N/A</v>
      </c>
      <c r="AC377" t="e">
        <f t="shared" ca="1" si="83"/>
        <v>#N/A</v>
      </c>
      <c r="AD377" s="83" t="e">
        <f ca="1"/>
        <v>#N/A</v>
      </c>
      <c r="AE377" s="55" t="e">
        <f t="shared" ca="1" si="89"/>
        <v>#N/A</v>
      </c>
      <c r="AF377" s="55" t="e">
        <f t="shared" ca="1" si="90"/>
        <v>#N/A</v>
      </c>
      <c r="AG377" s="55" t="e">
        <f t="shared" ca="1" si="91"/>
        <v>#N/A</v>
      </c>
      <c r="AH377" s="55" t="e">
        <f t="shared" ca="1" si="92"/>
        <v>#N/A</v>
      </c>
      <c r="AI377" s="55" t="e">
        <f ca="1">-VLOOKUP(AE377,ModelOutputs,9,FALSE)+AI376</f>
        <v>#N/A</v>
      </c>
      <c r="AJ377" s="55" t="e">
        <f ca="1">VLOOKUP(AE377,ModelOutputs,5,FALSE)+AJ376</f>
        <v>#N/A</v>
      </c>
      <c r="AK377" s="55" t="e">
        <f ca="1">VLOOKUP(AE377,ModelOutputs,4,FALSE)+AK376</f>
        <v>#N/A</v>
      </c>
    </row>
    <row r="378" spans="18:37">
      <c r="R378" s="83" t="e">
        <f ca="1"/>
        <v>#N/A</v>
      </c>
      <c r="S378" s="55" t="e">
        <f t="shared" ca="1" si="84"/>
        <v>#N/A</v>
      </c>
      <c r="T378" s="55" t="e">
        <f t="shared" ca="1" si="79"/>
        <v>#N/A</v>
      </c>
      <c r="U378" s="55" t="e">
        <f t="shared" ca="1" si="80"/>
        <v>#N/A</v>
      </c>
      <c r="V378" s="55" t="e">
        <f t="shared" ca="1" si="81"/>
        <v>#N/A</v>
      </c>
      <c r="W378" s="55" t="e">
        <f t="shared" ca="1" si="85"/>
        <v>#N/A</v>
      </c>
      <c r="X378" s="55" t="e">
        <f t="shared" ca="1" si="86"/>
        <v>#N/A</v>
      </c>
      <c r="Y378" s="55" t="e">
        <f t="shared" ca="1" si="87"/>
        <v>#N/A</v>
      </c>
      <c r="Z378" t="e">
        <f ca="1">VLOOKUP(S378,ModelOutputs,10,FALSE)*AWC</f>
        <v>#N/A</v>
      </c>
      <c r="AA378" t="e">
        <f t="shared" ca="1" si="88"/>
        <v>#N/A</v>
      </c>
      <c r="AB378" t="e">
        <f t="shared" ca="1" si="82"/>
        <v>#N/A</v>
      </c>
      <c r="AC378" t="e">
        <f t="shared" ca="1" si="83"/>
        <v>#N/A</v>
      </c>
      <c r="AD378" s="83" t="e">
        <f ca="1"/>
        <v>#N/A</v>
      </c>
      <c r="AE378" s="55" t="e">
        <f t="shared" ca="1" si="89"/>
        <v>#N/A</v>
      </c>
      <c r="AF378" s="55" t="e">
        <f t="shared" ca="1" si="90"/>
        <v>#N/A</v>
      </c>
      <c r="AG378" s="55" t="e">
        <f t="shared" ca="1" si="91"/>
        <v>#N/A</v>
      </c>
      <c r="AH378" s="55" t="e">
        <f t="shared" ca="1" si="92"/>
        <v>#N/A</v>
      </c>
      <c r="AI378" s="55" t="e">
        <f ca="1">-VLOOKUP(AE378,ModelOutputs,9,FALSE)+AI377</f>
        <v>#N/A</v>
      </c>
      <c r="AJ378" s="55" t="e">
        <f ca="1">VLOOKUP(AE378,ModelOutputs,5,FALSE)+AJ377</f>
        <v>#N/A</v>
      </c>
      <c r="AK378" s="55" t="e">
        <f ca="1">VLOOKUP(AE378,ModelOutputs,4,FALSE)+AK377</f>
        <v>#N/A</v>
      </c>
    </row>
    <row r="379" spans="18:37">
      <c r="R379" s="83" t="e">
        <f ca="1"/>
        <v>#N/A</v>
      </c>
      <c r="S379" s="55" t="e">
        <f t="shared" ca="1" si="84"/>
        <v>#N/A</v>
      </c>
      <c r="T379" s="55" t="e">
        <f t="shared" ca="1" si="79"/>
        <v>#N/A</v>
      </c>
      <c r="U379" s="55" t="e">
        <f t="shared" ca="1" si="80"/>
        <v>#N/A</v>
      </c>
      <c r="V379" s="55" t="e">
        <f t="shared" ca="1" si="81"/>
        <v>#N/A</v>
      </c>
      <c r="W379" s="55" t="e">
        <f t="shared" ca="1" si="85"/>
        <v>#N/A</v>
      </c>
      <c r="X379" s="55" t="e">
        <f t="shared" ca="1" si="86"/>
        <v>#N/A</v>
      </c>
      <c r="Y379" s="55" t="e">
        <f t="shared" ca="1" si="87"/>
        <v>#N/A</v>
      </c>
      <c r="Z379" t="e">
        <f ca="1">VLOOKUP(S379,ModelOutputs,10,FALSE)*AWC</f>
        <v>#N/A</v>
      </c>
      <c r="AA379" t="e">
        <f t="shared" ca="1" si="88"/>
        <v>#N/A</v>
      </c>
      <c r="AB379" t="e">
        <f t="shared" ca="1" si="82"/>
        <v>#N/A</v>
      </c>
      <c r="AC379" t="e">
        <f t="shared" ca="1" si="83"/>
        <v>#N/A</v>
      </c>
      <c r="AD379" s="83" t="e">
        <f ca="1"/>
        <v>#N/A</v>
      </c>
      <c r="AE379" s="55" t="e">
        <f t="shared" ca="1" si="89"/>
        <v>#N/A</v>
      </c>
      <c r="AF379" s="55" t="e">
        <f t="shared" ca="1" si="90"/>
        <v>#N/A</v>
      </c>
      <c r="AG379" s="55" t="e">
        <f t="shared" ca="1" si="91"/>
        <v>#N/A</v>
      </c>
      <c r="AH379" s="55" t="e">
        <f t="shared" ca="1" si="92"/>
        <v>#N/A</v>
      </c>
      <c r="AI379" s="55" t="e">
        <f ca="1">-VLOOKUP(AE379,ModelOutputs,9,FALSE)+AI378</f>
        <v>#N/A</v>
      </c>
      <c r="AJ379" s="55" t="e">
        <f ca="1">VLOOKUP(AE379,ModelOutputs,5,FALSE)+AJ378</f>
        <v>#N/A</v>
      </c>
      <c r="AK379" s="55" t="e">
        <f ca="1">VLOOKUP(AE379,ModelOutputs,4,FALSE)+AK378</f>
        <v>#N/A</v>
      </c>
    </row>
    <row r="380" spans="18:37">
      <c r="R380" s="83" t="e">
        <f ca="1"/>
        <v>#N/A</v>
      </c>
      <c r="S380" s="55" t="e">
        <f t="shared" ca="1" si="84"/>
        <v>#N/A</v>
      </c>
      <c r="T380" s="55" t="e">
        <f t="shared" ca="1" si="79"/>
        <v>#N/A</v>
      </c>
      <c r="U380" s="55" t="e">
        <f t="shared" ca="1" si="80"/>
        <v>#N/A</v>
      </c>
      <c r="V380" s="55" t="e">
        <f t="shared" ca="1" si="81"/>
        <v>#N/A</v>
      </c>
      <c r="W380" s="55" t="e">
        <f t="shared" ca="1" si="85"/>
        <v>#N/A</v>
      </c>
      <c r="X380" s="55" t="e">
        <f t="shared" ca="1" si="86"/>
        <v>#N/A</v>
      </c>
      <c r="Y380" s="55" t="e">
        <f t="shared" ca="1" si="87"/>
        <v>#N/A</v>
      </c>
      <c r="Z380" t="e">
        <f ca="1">VLOOKUP(S380,ModelOutputs,10,FALSE)*AWC</f>
        <v>#N/A</v>
      </c>
      <c r="AA380" t="e">
        <f t="shared" ca="1" si="88"/>
        <v>#N/A</v>
      </c>
      <c r="AB380" t="e">
        <f t="shared" ca="1" si="82"/>
        <v>#N/A</v>
      </c>
      <c r="AC380" t="e">
        <f t="shared" ca="1" si="83"/>
        <v>#N/A</v>
      </c>
      <c r="AD380" s="83" t="e">
        <f ca="1"/>
        <v>#N/A</v>
      </c>
      <c r="AE380" s="55" t="e">
        <f t="shared" ca="1" si="89"/>
        <v>#N/A</v>
      </c>
      <c r="AF380" s="55" t="e">
        <f t="shared" ca="1" si="90"/>
        <v>#N/A</v>
      </c>
      <c r="AG380" s="55" t="e">
        <f t="shared" ca="1" si="91"/>
        <v>#N/A</v>
      </c>
      <c r="AH380" s="55" t="e">
        <f t="shared" ca="1" si="92"/>
        <v>#N/A</v>
      </c>
      <c r="AI380" s="55" t="e">
        <f ca="1">-VLOOKUP(AE380,ModelOutputs,9,FALSE)+AI379</f>
        <v>#N/A</v>
      </c>
      <c r="AJ380" s="55" t="e">
        <f ca="1">VLOOKUP(AE380,ModelOutputs,5,FALSE)+AJ379</f>
        <v>#N/A</v>
      </c>
      <c r="AK380" s="55" t="e">
        <f ca="1">VLOOKUP(AE380,ModelOutputs,4,FALSE)+AK379</f>
        <v>#N/A</v>
      </c>
    </row>
    <row r="381" spans="18:37">
      <c r="R381" s="83" t="e">
        <f ca="1"/>
        <v>#N/A</v>
      </c>
      <c r="S381" s="55" t="e">
        <f t="shared" ca="1" si="84"/>
        <v>#N/A</v>
      </c>
      <c r="T381" s="55" t="e">
        <f t="shared" ca="1" si="79"/>
        <v>#N/A</v>
      </c>
      <c r="U381" s="55" t="e">
        <f t="shared" ca="1" si="80"/>
        <v>#N/A</v>
      </c>
      <c r="V381" s="55" t="e">
        <f t="shared" ca="1" si="81"/>
        <v>#N/A</v>
      </c>
      <c r="W381" s="55" t="e">
        <f t="shared" ca="1" si="85"/>
        <v>#N/A</v>
      </c>
      <c r="X381" s="55" t="e">
        <f t="shared" ca="1" si="86"/>
        <v>#N/A</v>
      </c>
      <c r="Y381" s="55" t="e">
        <f t="shared" ca="1" si="87"/>
        <v>#N/A</v>
      </c>
      <c r="Z381" t="e">
        <f ca="1">VLOOKUP(S381,ModelOutputs,10,FALSE)*AWC</f>
        <v>#N/A</v>
      </c>
      <c r="AA381" t="e">
        <f t="shared" ca="1" si="88"/>
        <v>#N/A</v>
      </c>
      <c r="AB381" t="e">
        <f t="shared" ca="1" si="82"/>
        <v>#N/A</v>
      </c>
      <c r="AC381" t="e">
        <f t="shared" ca="1" si="83"/>
        <v>#N/A</v>
      </c>
      <c r="AD381" s="83" t="e">
        <f ca="1"/>
        <v>#N/A</v>
      </c>
      <c r="AE381" s="55" t="e">
        <f t="shared" ca="1" si="89"/>
        <v>#N/A</v>
      </c>
      <c r="AF381" s="55" t="e">
        <f t="shared" ca="1" si="90"/>
        <v>#N/A</v>
      </c>
      <c r="AG381" s="55" t="e">
        <f t="shared" ca="1" si="91"/>
        <v>#N/A</v>
      </c>
      <c r="AH381" s="55" t="e">
        <f t="shared" ca="1" si="92"/>
        <v>#N/A</v>
      </c>
      <c r="AI381" s="55" t="e">
        <f ca="1">-VLOOKUP(AE381,ModelOutputs,9,FALSE)+AI380</f>
        <v>#N/A</v>
      </c>
      <c r="AJ381" s="55" t="e">
        <f ca="1">VLOOKUP(AE381,ModelOutputs,5,FALSE)+AJ380</f>
        <v>#N/A</v>
      </c>
      <c r="AK381" s="55" t="e">
        <f ca="1">VLOOKUP(AE381,ModelOutputs,4,FALSE)+AK380</f>
        <v>#N/A</v>
      </c>
    </row>
    <row r="382" spans="18:37">
      <c r="R382" s="83" t="e">
        <f ca="1"/>
        <v>#N/A</v>
      </c>
      <c r="S382" s="55" t="e">
        <f t="shared" ca="1" si="84"/>
        <v>#N/A</v>
      </c>
      <c r="T382" s="55" t="e">
        <f t="shared" ca="1" si="79"/>
        <v>#N/A</v>
      </c>
      <c r="U382" s="55" t="e">
        <f t="shared" ca="1" si="80"/>
        <v>#N/A</v>
      </c>
      <c r="V382" s="55" t="e">
        <f t="shared" ca="1" si="81"/>
        <v>#N/A</v>
      </c>
      <c r="W382" s="55" t="e">
        <f t="shared" ca="1" si="85"/>
        <v>#N/A</v>
      </c>
      <c r="X382" s="55" t="e">
        <f t="shared" ca="1" si="86"/>
        <v>#N/A</v>
      </c>
      <c r="Y382" s="55" t="e">
        <f t="shared" ca="1" si="87"/>
        <v>#N/A</v>
      </c>
      <c r="Z382" t="e">
        <f ca="1">VLOOKUP(S382,ModelOutputs,10,FALSE)*AWC</f>
        <v>#N/A</v>
      </c>
      <c r="AA382" t="e">
        <f t="shared" ca="1" si="88"/>
        <v>#N/A</v>
      </c>
      <c r="AB382" t="e">
        <f t="shared" ca="1" si="82"/>
        <v>#N/A</v>
      </c>
      <c r="AC382" t="e">
        <f t="shared" ca="1" si="83"/>
        <v>#N/A</v>
      </c>
      <c r="AD382" s="83" t="e">
        <f ca="1"/>
        <v>#N/A</v>
      </c>
      <c r="AE382" s="55" t="e">
        <f t="shared" ca="1" si="89"/>
        <v>#N/A</v>
      </c>
      <c r="AF382" s="55" t="e">
        <f t="shared" ca="1" si="90"/>
        <v>#N/A</v>
      </c>
      <c r="AG382" s="55" t="e">
        <f t="shared" ca="1" si="91"/>
        <v>#N/A</v>
      </c>
      <c r="AH382" s="55" t="e">
        <f t="shared" ca="1" si="92"/>
        <v>#N/A</v>
      </c>
      <c r="AI382" s="55" t="e">
        <f ca="1">-VLOOKUP(AE382,ModelOutputs,9,FALSE)+AI381</f>
        <v>#N/A</v>
      </c>
      <c r="AJ382" s="55" t="e">
        <f ca="1">VLOOKUP(AE382,ModelOutputs,5,FALSE)+AJ381</f>
        <v>#N/A</v>
      </c>
      <c r="AK382" s="55" t="e">
        <f ca="1">VLOOKUP(AE382,ModelOutputs,4,FALSE)+AK381</f>
        <v>#N/A</v>
      </c>
    </row>
    <row r="383" spans="18:37">
      <c r="R383" s="83" t="e">
        <f ca="1"/>
        <v>#N/A</v>
      </c>
      <c r="S383" s="55" t="e">
        <f t="shared" ca="1" si="84"/>
        <v>#N/A</v>
      </c>
      <c r="T383" s="55" t="e">
        <f t="shared" ca="1" si="79"/>
        <v>#N/A</v>
      </c>
      <c r="U383" s="55" t="e">
        <f t="shared" ca="1" si="80"/>
        <v>#N/A</v>
      </c>
      <c r="V383" s="55" t="e">
        <f t="shared" ca="1" si="81"/>
        <v>#N/A</v>
      </c>
      <c r="W383" s="55" t="e">
        <f t="shared" ca="1" si="85"/>
        <v>#N/A</v>
      </c>
      <c r="X383" s="55" t="e">
        <f t="shared" ca="1" si="86"/>
        <v>#N/A</v>
      </c>
      <c r="Y383" s="55" t="e">
        <f t="shared" ca="1" si="87"/>
        <v>#N/A</v>
      </c>
      <c r="Z383" t="e">
        <f ca="1">VLOOKUP(S383,ModelOutputs,10,FALSE)*AWC</f>
        <v>#N/A</v>
      </c>
      <c r="AA383" t="e">
        <f t="shared" ca="1" si="88"/>
        <v>#N/A</v>
      </c>
      <c r="AB383" t="e">
        <f t="shared" ca="1" si="82"/>
        <v>#N/A</v>
      </c>
      <c r="AC383" t="e">
        <f t="shared" ca="1" si="83"/>
        <v>#N/A</v>
      </c>
      <c r="AD383" s="83" t="e">
        <f ca="1"/>
        <v>#N/A</v>
      </c>
      <c r="AE383" s="55" t="e">
        <f t="shared" ca="1" si="89"/>
        <v>#N/A</v>
      </c>
      <c r="AF383" s="55" t="e">
        <f t="shared" ca="1" si="90"/>
        <v>#N/A</v>
      </c>
      <c r="AG383" s="55" t="e">
        <f t="shared" ca="1" si="91"/>
        <v>#N/A</v>
      </c>
      <c r="AH383" s="55" t="e">
        <f t="shared" ca="1" si="92"/>
        <v>#N/A</v>
      </c>
      <c r="AI383" s="55" t="e">
        <f ca="1">-VLOOKUP(AE383,ModelOutputs,9,FALSE)+AI382</f>
        <v>#N/A</v>
      </c>
      <c r="AJ383" s="55" t="e">
        <f ca="1">VLOOKUP(AE383,ModelOutputs,5,FALSE)+AJ382</f>
        <v>#N/A</v>
      </c>
      <c r="AK383" s="55" t="e">
        <f ca="1">VLOOKUP(AE383,ModelOutputs,4,FALSE)+AK382</f>
        <v>#N/A</v>
      </c>
    </row>
    <row r="384" spans="18:37">
      <c r="R384" s="83" t="e">
        <f ca="1"/>
        <v>#N/A</v>
      </c>
      <c r="S384" s="55" t="e">
        <f t="shared" ca="1" si="84"/>
        <v>#N/A</v>
      </c>
      <c r="T384" s="55" t="e">
        <f t="shared" ca="1" si="79"/>
        <v>#N/A</v>
      </c>
      <c r="U384" s="55" t="e">
        <f t="shared" ca="1" si="80"/>
        <v>#N/A</v>
      </c>
      <c r="V384" s="55" t="e">
        <f t="shared" ca="1" si="81"/>
        <v>#N/A</v>
      </c>
      <c r="W384" s="55" t="e">
        <f t="shared" ca="1" si="85"/>
        <v>#N/A</v>
      </c>
      <c r="X384" s="55" t="e">
        <f t="shared" ca="1" si="86"/>
        <v>#N/A</v>
      </c>
      <c r="Y384" s="55" t="e">
        <f t="shared" ca="1" si="87"/>
        <v>#N/A</v>
      </c>
      <c r="Z384" t="e">
        <f ca="1">VLOOKUP(S384,ModelOutputs,10,FALSE)*AWC</f>
        <v>#N/A</v>
      </c>
      <c r="AA384" t="e">
        <f t="shared" ca="1" si="88"/>
        <v>#N/A</v>
      </c>
      <c r="AB384" t="e">
        <f t="shared" ca="1" si="82"/>
        <v>#N/A</v>
      </c>
      <c r="AC384" t="e">
        <f t="shared" ca="1" si="83"/>
        <v>#N/A</v>
      </c>
      <c r="AD384" s="83" t="e">
        <f ca="1"/>
        <v>#N/A</v>
      </c>
      <c r="AE384" s="55" t="e">
        <f t="shared" ca="1" si="89"/>
        <v>#N/A</v>
      </c>
      <c r="AF384" s="55" t="e">
        <f t="shared" ca="1" si="90"/>
        <v>#N/A</v>
      </c>
      <c r="AG384" s="55" t="e">
        <f t="shared" ca="1" si="91"/>
        <v>#N/A</v>
      </c>
      <c r="AH384" s="55" t="e">
        <f t="shared" ca="1" si="92"/>
        <v>#N/A</v>
      </c>
      <c r="AI384" s="55" t="e">
        <f ca="1">-VLOOKUP(AE384,ModelOutputs,9,FALSE)+AI383</f>
        <v>#N/A</v>
      </c>
      <c r="AJ384" s="55" t="e">
        <f ca="1">VLOOKUP(AE384,ModelOutputs,5,FALSE)+AJ383</f>
        <v>#N/A</v>
      </c>
      <c r="AK384" s="55" t="e">
        <f ca="1">VLOOKUP(AE384,ModelOutputs,4,FALSE)+AK383</f>
        <v>#N/A</v>
      </c>
    </row>
    <row r="385" spans="18:37">
      <c r="R385" s="83" t="e">
        <f ca="1"/>
        <v>#N/A</v>
      </c>
      <c r="S385" s="55" t="e">
        <f t="shared" ca="1" si="84"/>
        <v>#N/A</v>
      </c>
      <c r="T385" s="55" t="e">
        <f t="shared" ca="1" si="79"/>
        <v>#N/A</v>
      </c>
      <c r="U385" s="55" t="e">
        <f t="shared" ca="1" si="80"/>
        <v>#N/A</v>
      </c>
      <c r="V385" s="55" t="e">
        <f t="shared" ca="1" si="81"/>
        <v>#N/A</v>
      </c>
      <c r="W385" s="55" t="e">
        <f t="shared" ca="1" si="85"/>
        <v>#N/A</v>
      </c>
      <c r="X385" s="55" t="e">
        <f t="shared" ca="1" si="86"/>
        <v>#N/A</v>
      </c>
      <c r="Y385" s="55" t="e">
        <f t="shared" ca="1" si="87"/>
        <v>#N/A</v>
      </c>
      <c r="Z385" t="e">
        <f ca="1">VLOOKUP(S385,ModelOutputs,10,FALSE)*AWC</f>
        <v>#N/A</v>
      </c>
      <c r="AA385" t="e">
        <f t="shared" ca="1" si="88"/>
        <v>#N/A</v>
      </c>
      <c r="AB385" t="e">
        <f t="shared" ca="1" si="82"/>
        <v>#N/A</v>
      </c>
      <c r="AC385" t="e">
        <f t="shared" ca="1" si="83"/>
        <v>#N/A</v>
      </c>
      <c r="AD385" s="83" t="e">
        <f ca="1"/>
        <v>#N/A</v>
      </c>
      <c r="AE385" s="55" t="e">
        <f t="shared" ca="1" si="89"/>
        <v>#N/A</v>
      </c>
      <c r="AF385" s="55" t="e">
        <f t="shared" ca="1" si="90"/>
        <v>#N/A</v>
      </c>
      <c r="AG385" s="55" t="e">
        <f t="shared" ca="1" si="91"/>
        <v>#N/A</v>
      </c>
      <c r="AH385" s="55" t="e">
        <f t="shared" ca="1" si="92"/>
        <v>#N/A</v>
      </c>
      <c r="AI385" s="55" t="e">
        <f ca="1">-VLOOKUP(AE385,ModelOutputs,9,FALSE)+AI384</f>
        <v>#N/A</v>
      </c>
      <c r="AJ385" s="55" t="e">
        <f ca="1">VLOOKUP(AE385,ModelOutputs,5,FALSE)+AJ384</f>
        <v>#N/A</v>
      </c>
      <c r="AK385" s="55" t="e">
        <f ca="1">VLOOKUP(AE385,ModelOutputs,4,FALSE)+AK384</f>
        <v>#N/A</v>
      </c>
    </row>
    <row r="386" spans="18:37">
      <c r="R386" s="83" t="e">
        <f ca="1"/>
        <v>#N/A</v>
      </c>
      <c r="S386" s="55" t="e">
        <f t="shared" ca="1" si="84"/>
        <v>#N/A</v>
      </c>
      <c r="T386" s="55" t="e">
        <f t="shared" ca="1" si="79"/>
        <v>#N/A</v>
      </c>
      <c r="U386" s="55" t="e">
        <f t="shared" ca="1" si="80"/>
        <v>#N/A</v>
      </c>
      <c r="V386" s="55" t="e">
        <f t="shared" ca="1" si="81"/>
        <v>#N/A</v>
      </c>
      <c r="W386" s="55" t="e">
        <f t="shared" ca="1" si="85"/>
        <v>#N/A</v>
      </c>
      <c r="X386" s="55" t="e">
        <f t="shared" ca="1" si="86"/>
        <v>#N/A</v>
      </c>
      <c r="Y386" s="55" t="e">
        <f t="shared" ca="1" si="87"/>
        <v>#N/A</v>
      </c>
      <c r="Z386" t="e">
        <f ca="1">VLOOKUP(S386,ModelOutputs,10,FALSE)*AWC</f>
        <v>#N/A</v>
      </c>
      <c r="AA386" t="e">
        <f t="shared" ca="1" si="88"/>
        <v>#N/A</v>
      </c>
      <c r="AB386" t="e">
        <f t="shared" ca="1" si="82"/>
        <v>#N/A</v>
      </c>
      <c r="AC386" t="e">
        <f t="shared" ca="1" si="83"/>
        <v>#N/A</v>
      </c>
      <c r="AD386" s="83" t="e">
        <f ca="1"/>
        <v>#N/A</v>
      </c>
      <c r="AE386" s="55" t="e">
        <f t="shared" ca="1" si="89"/>
        <v>#N/A</v>
      </c>
      <c r="AF386" s="55" t="e">
        <f t="shared" ca="1" si="90"/>
        <v>#N/A</v>
      </c>
      <c r="AG386" s="55" t="e">
        <f t="shared" ca="1" si="91"/>
        <v>#N/A</v>
      </c>
      <c r="AH386" s="55" t="e">
        <f t="shared" ca="1" si="92"/>
        <v>#N/A</v>
      </c>
      <c r="AI386" s="55" t="e">
        <f ca="1">-VLOOKUP(AE386,ModelOutputs,9,FALSE)+AI385</f>
        <v>#N/A</v>
      </c>
      <c r="AJ386" s="55" t="e">
        <f ca="1">VLOOKUP(AE386,ModelOutputs,5,FALSE)+AJ385</f>
        <v>#N/A</v>
      </c>
      <c r="AK386" s="55" t="e">
        <f ca="1">VLOOKUP(AE386,ModelOutputs,4,FALSE)+AK385</f>
        <v>#N/A</v>
      </c>
    </row>
    <row r="387" spans="18:37">
      <c r="R387" s="83" t="e">
        <f ca="1"/>
        <v>#N/A</v>
      </c>
      <c r="S387" s="55" t="e">
        <f t="shared" ca="1" si="84"/>
        <v>#N/A</v>
      </c>
      <c r="T387" s="55" t="e">
        <f t="shared" ca="1" si="79"/>
        <v>#N/A</v>
      </c>
      <c r="U387" s="55" t="e">
        <f t="shared" ca="1" si="80"/>
        <v>#N/A</v>
      </c>
      <c r="V387" s="55" t="e">
        <f t="shared" ca="1" si="81"/>
        <v>#N/A</v>
      </c>
      <c r="W387" s="55" t="e">
        <f t="shared" ca="1" si="85"/>
        <v>#N/A</v>
      </c>
      <c r="X387" s="55" t="e">
        <f t="shared" ca="1" si="86"/>
        <v>#N/A</v>
      </c>
      <c r="Y387" s="55" t="e">
        <f t="shared" ca="1" si="87"/>
        <v>#N/A</v>
      </c>
      <c r="Z387" t="e">
        <f ca="1">VLOOKUP(S387,ModelOutputs,10,FALSE)*AWC</f>
        <v>#N/A</v>
      </c>
      <c r="AA387" t="e">
        <f t="shared" ca="1" si="88"/>
        <v>#N/A</v>
      </c>
      <c r="AB387" t="e">
        <f t="shared" ca="1" si="82"/>
        <v>#N/A</v>
      </c>
      <c r="AC387" t="e">
        <f t="shared" ca="1" si="83"/>
        <v>#N/A</v>
      </c>
      <c r="AD387" s="83" t="e">
        <f ca="1"/>
        <v>#N/A</v>
      </c>
      <c r="AE387" s="55" t="e">
        <f t="shared" ca="1" si="89"/>
        <v>#N/A</v>
      </c>
      <c r="AF387" s="55" t="e">
        <f t="shared" ca="1" si="90"/>
        <v>#N/A</v>
      </c>
      <c r="AG387" s="55" t="e">
        <f t="shared" ca="1" si="91"/>
        <v>#N/A</v>
      </c>
      <c r="AH387" s="55" t="e">
        <f t="shared" ca="1" si="92"/>
        <v>#N/A</v>
      </c>
      <c r="AI387" s="55" t="e">
        <f ca="1">-VLOOKUP(AE387,ModelOutputs,9,FALSE)+AI386</f>
        <v>#N/A</v>
      </c>
      <c r="AJ387" s="55" t="e">
        <f ca="1">VLOOKUP(AE387,ModelOutputs,5,FALSE)+AJ386</f>
        <v>#N/A</v>
      </c>
      <c r="AK387" s="55" t="e">
        <f ca="1">VLOOKUP(AE387,ModelOutputs,4,FALSE)+AK386</f>
        <v>#N/A</v>
      </c>
    </row>
    <row r="388" spans="18:37">
      <c r="R388" s="83" t="e">
        <f ca="1"/>
        <v>#N/A</v>
      </c>
      <c r="S388" s="55" t="e">
        <f t="shared" ca="1" si="84"/>
        <v>#N/A</v>
      </c>
      <c r="T388" s="55" t="e">
        <f t="shared" ca="1" si="79"/>
        <v>#N/A</v>
      </c>
      <c r="U388" s="55" t="e">
        <f t="shared" ca="1" si="80"/>
        <v>#N/A</v>
      </c>
      <c r="V388" s="55" t="e">
        <f t="shared" ca="1" si="81"/>
        <v>#N/A</v>
      </c>
      <c r="W388" s="55" t="e">
        <f t="shared" ca="1" si="85"/>
        <v>#N/A</v>
      </c>
      <c r="X388" s="55" t="e">
        <f t="shared" ca="1" si="86"/>
        <v>#N/A</v>
      </c>
      <c r="Y388" s="55" t="e">
        <f t="shared" ca="1" si="87"/>
        <v>#N/A</v>
      </c>
      <c r="Z388" t="e">
        <f ca="1">VLOOKUP(S388,ModelOutputs,10,FALSE)*AWC</f>
        <v>#N/A</v>
      </c>
      <c r="AA388" t="e">
        <f t="shared" ca="1" si="88"/>
        <v>#N/A</v>
      </c>
      <c r="AB388" t="e">
        <f t="shared" ca="1" si="82"/>
        <v>#N/A</v>
      </c>
      <c r="AC388" t="e">
        <f t="shared" ca="1" si="83"/>
        <v>#N/A</v>
      </c>
      <c r="AD388" s="83" t="e">
        <f ca="1"/>
        <v>#N/A</v>
      </c>
      <c r="AE388" s="55" t="e">
        <f t="shared" ca="1" si="89"/>
        <v>#N/A</v>
      </c>
      <c r="AF388" s="55" t="e">
        <f t="shared" ca="1" si="90"/>
        <v>#N/A</v>
      </c>
      <c r="AG388" s="55" t="e">
        <f t="shared" ca="1" si="91"/>
        <v>#N/A</v>
      </c>
      <c r="AH388" s="55" t="e">
        <f t="shared" ca="1" si="92"/>
        <v>#N/A</v>
      </c>
      <c r="AI388" s="55" t="e">
        <f ca="1">-VLOOKUP(AE388,ModelOutputs,9,FALSE)+AI387</f>
        <v>#N/A</v>
      </c>
      <c r="AJ388" s="55" t="e">
        <f ca="1">VLOOKUP(AE388,ModelOutputs,5,FALSE)+AJ387</f>
        <v>#N/A</v>
      </c>
      <c r="AK388" s="55" t="e">
        <f ca="1">VLOOKUP(AE388,ModelOutputs,4,FALSE)+AK387</f>
        <v>#N/A</v>
      </c>
    </row>
    <row r="389" spans="18:37">
      <c r="R389" s="83" t="e">
        <f ca="1"/>
        <v>#N/A</v>
      </c>
      <c r="S389" s="55" t="e">
        <f t="shared" ca="1" si="84"/>
        <v>#N/A</v>
      </c>
      <c r="T389" s="55" t="e">
        <f t="shared" ca="1" si="79"/>
        <v>#N/A</v>
      </c>
      <c r="U389" s="55" t="e">
        <f t="shared" ca="1" si="80"/>
        <v>#N/A</v>
      </c>
      <c r="V389" s="55" t="e">
        <f t="shared" ca="1" si="81"/>
        <v>#N/A</v>
      </c>
      <c r="W389" s="55" t="e">
        <f t="shared" ca="1" si="85"/>
        <v>#N/A</v>
      </c>
      <c r="X389" s="55" t="e">
        <f t="shared" ca="1" si="86"/>
        <v>#N/A</v>
      </c>
      <c r="Y389" s="55" t="e">
        <f t="shared" ca="1" si="87"/>
        <v>#N/A</v>
      </c>
      <c r="Z389" t="e">
        <f ca="1">VLOOKUP(S389,ModelOutputs,10,FALSE)*AWC</f>
        <v>#N/A</v>
      </c>
      <c r="AA389" t="e">
        <f t="shared" ca="1" si="88"/>
        <v>#N/A</v>
      </c>
      <c r="AB389" t="e">
        <f t="shared" ca="1" si="82"/>
        <v>#N/A</v>
      </c>
      <c r="AC389" t="e">
        <f t="shared" ca="1" si="83"/>
        <v>#N/A</v>
      </c>
      <c r="AD389" s="83" t="e">
        <f ca="1"/>
        <v>#N/A</v>
      </c>
      <c r="AE389" s="55" t="e">
        <f t="shared" ca="1" si="89"/>
        <v>#N/A</v>
      </c>
      <c r="AF389" s="55" t="e">
        <f t="shared" ca="1" si="90"/>
        <v>#N/A</v>
      </c>
      <c r="AG389" s="55" t="e">
        <f t="shared" ca="1" si="91"/>
        <v>#N/A</v>
      </c>
      <c r="AH389" s="55" t="e">
        <f t="shared" ca="1" si="92"/>
        <v>#N/A</v>
      </c>
      <c r="AI389" s="55" t="e">
        <f ca="1">-VLOOKUP(AE389,ModelOutputs,9,FALSE)+AI388</f>
        <v>#N/A</v>
      </c>
      <c r="AJ389" s="55" t="e">
        <f ca="1">VLOOKUP(AE389,ModelOutputs,5,FALSE)+AJ388</f>
        <v>#N/A</v>
      </c>
      <c r="AK389" s="55" t="e">
        <f ca="1">VLOOKUP(AE389,ModelOutputs,4,FALSE)+AK388</f>
        <v>#N/A</v>
      </c>
    </row>
    <row r="390" spans="18:37">
      <c r="R390" s="83" t="e">
        <f ca="1"/>
        <v>#N/A</v>
      </c>
      <c r="S390" s="55" t="e">
        <f t="shared" ca="1" si="84"/>
        <v>#N/A</v>
      </c>
      <c r="T390" s="55" t="e">
        <f t="shared" ca="1" si="79"/>
        <v>#N/A</v>
      </c>
      <c r="U390" s="55" t="e">
        <f t="shared" ca="1" si="80"/>
        <v>#N/A</v>
      </c>
      <c r="V390" s="55" t="e">
        <f t="shared" ca="1" si="81"/>
        <v>#N/A</v>
      </c>
      <c r="W390" s="55" t="e">
        <f t="shared" ca="1" si="85"/>
        <v>#N/A</v>
      </c>
      <c r="X390" s="55" t="e">
        <f t="shared" ca="1" si="86"/>
        <v>#N/A</v>
      </c>
      <c r="Y390" s="55" t="e">
        <f t="shared" ca="1" si="87"/>
        <v>#N/A</v>
      </c>
      <c r="Z390" t="e">
        <f ca="1">VLOOKUP(S390,ModelOutputs,10,FALSE)*AWC</f>
        <v>#N/A</v>
      </c>
      <c r="AA390" t="e">
        <f t="shared" ca="1" si="88"/>
        <v>#N/A</v>
      </c>
      <c r="AB390" t="e">
        <f t="shared" ca="1" si="82"/>
        <v>#N/A</v>
      </c>
      <c r="AC390" t="e">
        <f t="shared" ca="1" si="83"/>
        <v>#N/A</v>
      </c>
      <c r="AD390" s="83" t="e">
        <f ca="1"/>
        <v>#N/A</v>
      </c>
      <c r="AE390" s="55" t="e">
        <f t="shared" ca="1" si="89"/>
        <v>#N/A</v>
      </c>
      <c r="AF390" s="55" t="e">
        <f t="shared" ca="1" si="90"/>
        <v>#N/A</v>
      </c>
      <c r="AG390" s="55" t="e">
        <f t="shared" ca="1" si="91"/>
        <v>#N/A</v>
      </c>
      <c r="AH390" s="55" t="e">
        <f t="shared" ca="1" si="92"/>
        <v>#N/A</v>
      </c>
      <c r="AI390" s="55" t="e">
        <f ca="1">-VLOOKUP(AE390,ModelOutputs,9,FALSE)+AI389</f>
        <v>#N/A</v>
      </c>
      <c r="AJ390" s="55" t="e">
        <f ca="1">VLOOKUP(AE390,ModelOutputs,5,FALSE)+AJ389</f>
        <v>#N/A</v>
      </c>
      <c r="AK390" s="55" t="e">
        <f ca="1">VLOOKUP(AE390,ModelOutputs,4,FALSE)+AK389</f>
        <v>#N/A</v>
      </c>
    </row>
    <row r="391" spans="18:37">
      <c r="R391" s="83" t="e">
        <f ca="1"/>
        <v>#N/A</v>
      </c>
      <c r="S391" s="55" t="e">
        <f t="shared" ca="1" si="84"/>
        <v>#N/A</v>
      </c>
      <c r="T391" s="55" t="e">
        <f t="shared" ca="1" si="79"/>
        <v>#N/A</v>
      </c>
      <c r="U391" s="55" t="e">
        <f t="shared" ca="1" si="80"/>
        <v>#N/A</v>
      </c>
      <c r="V391" s="55" t="e">
        <f t="shared" ca="1" si="81"/>
        <v>#N/A</v>
      </c>
      <c r="W391" s="55" t="e">
        <f t="shared" ca="1" si="85"/>
        <v>#N/A</v>
      </c>
      <c r="X391" s="55" t="e">
        <f t="shared" ca="1" si="86"/>
        <v>#N/A</v>
      </c>
      <c r="Y391" s="55" t="e">
        <f t="shared" ca="1" si="87"/>
        <v>#N/A</v>
      </c>
      <c r="Z391" t="e">
        <f ca="1">VLOOKUP(S391,ModelOutputs,10,FALSE)*AWC</f>
        <v>#N/A</v>
      </c>
      <c r="AA391" t="e">
        <f t="shared" ca="1" si="88"/>
        <v>#N/A</v>
      </c>
      <c r="AB391" t="e">
        <f t="shared" ca="1" si="82"/>
        <v>#N/A</v>
      </c>
      <c r="AC391" t="e">
        <f t="shared" ca="1" si="83"/>
        <v>#N/A</v>
      </c>
      <c r="AD391" s="83" t="e">
        <f ca="1"/>
        <v>#N/A</v>
      </c>
      <c r="AE391" s="55" t="e">
        <f t="shared" ca="1" si="89"/>
        <v>#N/A</v>
      </c>
      <c r="AF391" s="55" t="e">
        <f t="shared" ca="1" si="90"/>
        <v>#N/A</v>
      </c>
      <c r="AG391" s="55" t="e">
        <f t="shared" ca="1" si="91"/>
        <v>#N/A</v>
      </c>
      <c r="AH391" s="55" t="e">
        <f t="shared" ca="1" si="92"/>
        <v>#N/A</v>
      </c>
      <c r="AI391" s="55" t="e">
        <f ca="1">-VLOOKUP(AE391,ModelOutputs,9,FALSE)+AI390</f>
        <v>#N/A</v>
      </c>
      <c r="AJ391" s="55" t="e">
        <f ca="1">VLOOKUP(AE391,ModelOutputs,5,FALSE)+AJ390</f>
        <v>#N/A</v>
      </c>
      <c r="AK391" s="55" t="e">
        <f ca="1">VLOOKUP(AE391,ModelOutputs,4,FALSE)+AK390</f>
        <v>#N/A</v>
      </c>
    </row>
    <row r="392" spans="18:37">
      <c r="R392" s="83" t="e">
        <f ca="1"/>
        <v>#N/A</v>
      </c>
      <c r="S392" s="55" t="e">
        <f t="shared" ca="1" si="84"/>
        <v>#N/A</v>
      </c>
      <c r="T392" s="55" t="e">
        <f t="shared" ca="1" si="79"/>
        <v>#N/A</v>
      </c>
      <c r="U392" s="55" t="e">
        <f t="shared" ca="1" si="80"/>
        <v>#N/A</v>
      </c>
      <c r="V392" s="55" t="e">
        <f t="shared" ca="1" si="81"/>
        <v>#N/A</v>
      </c>
      <c r="W392" s="55" t="e">
        <f t="shared" ca="1" si="85"/>
        <v>#N/A</v>
      </c>
      <c r="X392" s="55" t="e">
        <f t="shared" ca="1" si="86"/>
        <v>#N/A</v>
      </c>
      <c r="Y392" s="55" t="e">
        <f t="shared" ca="1" si="87"/>
        <v>#N/A</v>
      </c>
      <c r="Z392" t="e">
        <f ca="1">VLOOKUP(S392,ModelOutputs,10,FALSE)*AWC</f>
        <v>#N/A</v>
      </c>
      <c r="AA392" t="e">
        <f t="shared" ca="1" si="88"/>
        <v>#N/A</v>
      </c>
      <c r="AB392" t="e">
        <f t="shared" ca="1" si="82"/>
        <v>#N/A</v>
      </c>
      <c r="AC392" t="e">
        <f t="shared" ca="1" si="83"/>
        <v>#N/A</v>
      </c>
      <c r="AD392" s="83" t="e">
        <f ca="1"/>
        <v>#N/A</v>
      </c>
      <c r="AE392" s="55" t="e">
        <f t="shared" ca="1" si="89"/>
        <v>#N/A</v>
      </c>
      <c r="AF392" s="55" t="e">
        <f t="shared" ca="1" si="90"/>
        <v>#N/A</v>
      </c>
      <c r="AG392" s="55" t="e">
        <f t="shared" ca="1" si="91"/>
        <v>#N/A</v>
      </c>
      <c r="AH392" s="55" t="e">
        <f t="shared" ca="1" si="92"/>
        <v>#N/A</v>
      </c>
      <c r="AI392" s="55" t="e">
        <f ca="1">-VLOOKUP(AE392,ModelOutputs,9,FALSE)+AI391</f>
        <v>#N/A</v>
      </c>
      <c r="AJ392" s="55" t="e">
        <f ca="1">VLOOKUP(AE392,ModelOutputs,5,FALSE)+AJ391</f>
        <v>#N/A</v>
      </c>
      <c r="AK392" s="55" t="e">
        <f ca="1">VLOOKUP(AE392,ModelOutputs,4,FALSE)+AK391</f>
        <v>#N/A</v>
      </c>
    </row>
    <row r="393" spans="18:37">
      <c r="R393" s="83" t="e">
        <f ca="1"/>
        <v>#N/A</v>
      </c>
      <c r="S393" s="55" t="e">
        <f t="shared" ca="1" si="84"/>
        <v>#N/A</v>
      </c>
      <c r="T393" s="55" t="e">
        <f t="shared" ca="1" si="79"/>
        <v>#N/A</v>
      </c>
      <c r="U393" s="55" t="e">
        <f t="shared" ca="1" si="80"/>
        <v>#N/A</v>
      </c>
      <c r="V393" s="55" t="e">
        <f t="shared" ca="1" si="81"/>
        <v>#N/A</v>
      </c>
      <c r="W393" s="55" t="e">
        <f t="shared" ca="1" si="85"/>
        <v>#N/A</v>
      </c>
      <c r="X393" s="55" t="e">
        <f t="shared" ca="1" si="86"/>
        <v>#N/A</v>
      </c>
      <c r="Y393" s="55" t="e">
        <f t="shared" ca="1" si="87"/>
        <v>#N/A</v>
      </c>
      <c r="Z393" t="e">
        <f ca="1">VLOOKUP(S393,ModelOutputs,10,FALSE)*AWC</f>
        <v>#N/A</v>
      </c>
      <c r="AA393" t="e">
        <f t="shared" ca="1" si="88"/>
        <v>#N/A</v>
      </c>
      <c r="AB393" t="e">
        <f t="shared" ca="1" si="82"/>
        <v>#N/A</v>
      </c>
      <c r="AC393" t="e">
        <f t="shared" ca="1" si="83"/>
        <v>#N/A</v>
      </c>
      <c r="AD393" s="83" t="e">
        <f ca="1"/>
        <v>#N/A</v>
      </c>
      <c r="AE393" s="55" t="e">
        <f t="shared" ca="1" si="89"/>
        <v>#N/A</v>
      </c>
      <c r="AF393" s="55" t="e">
        <f t="shared" ca="1" si="90"/>
        <v>#N/A</v>
      </c>
      <c r="AG393" s="55" t="e">
        <f t="shared" ca="1" si="91"/>
        <v>#N/A</v>
      </c>
      <c r="AH393" s="55" t="e">
        <f t="shared" ca="1" si="92"/>
        <v>#N/A</v>
      </c>
      <c r="AI393" s="55" t="e">
        <f ca="1">-VLOOKUP(AE393,ModelOutputs,9,FALSE)+AI392</f>
        <v>#N/A</v>
      </c>
      <c r="AJ393" s="55" t="e">
        <f ca="1">VLOOKUP(AE393,ModelOutputs,5,FALSE)+AJ392</f>
        <v>#N/A</v>
      </c>
      <c r="AK393" s="55" t="e">
        <f ca="1">VLOOKUP(AE393,ModelOutputs,4,FALSE)+AK392</f>
        <v>#N/A</v>
      </c>
    </row>
    <row r="394" spans="18:37">
      <c r="R394" s="83" t="e">
        <f ca="1"/>
        <v>#N/A</v>
      </c>
      <c r="S394" s="55" t="e">
        <f t="shared" ca="1" si="84"/>
        <v>#N/A</v>
      </c>
      <c r="T394" s="55" t="e">
        <f t="shared" ca="1" si="79"/>
        <v>#N/A</v>
      </c>
      <c r="U394" s="55" t="e">
        <f t="shared" ca="1" si="80"/>
        <v>#N/A</v>
      </c>
      <c r="V394" s="55" t="e">
        <f t="shared" ca="1" si="81"/>
        <v>#N/A</v>
      </c>
      <c r="W394" s="55" t="e">
        <f t="shared" ca="1" si="85"/>
        <v>#N/A</v>
      </c>
      <c r="X394" s="55" t="e">
        <f t="shared" ca="1" si="86"/>
        <v>#N/A</v>
      </c>
      <c r="Y394" s="55" t="e">
        <f t="shared" ca="1" si="87"/>
        <v>#N/A</v>
      </c>
      <c r="Z394" t="e">
        <f ca="1">VLOOKUP(S394,ModelOutputs,10,FALSE)*AWC</f>
        <v>#N/A</v>
      </c>
      <c r="AA394" t="e">
        <f t="shared" ca="1" si="88"/>
        <v>#N/A</v>
      </c>
      <c r="AB394" t="e">
        <f t="shared" ca="1" si="82"/>
        <v>#N/A</v>
      </c>
      <c r="AC394" t="e">
        <f t="shared" ca="1" si="83"/>
        <v>#N/A</v>
      </c>
      <c r="AD394" s="83" t="e">
        <f ca="1"/>
        <v>#N/A</v>
      </c>
      <c r="AE394" s="55" t="e">
        <f t="shared" ca="1" si="89"/>
        <v>#N/A</v>
      </c>
      <c r="AF394" s="55" t="e">
        <f t="shared" ca="1" si="90"/>
        <v>#N/A</v>
      </c>
      <c r="AG394" s="55" t="e">
        <f t="shared" ca="1" si="91"/>
        <v>#N/A</v>
      </c>
      <c r="AH394" s="55" t="e">
        <f t="shared" ca="1" si="92"/>
        <v>#N/A</v>
      </c>
      <c r="AI394" s="55" t="e">
        <f ca="1">-VLOOKUP(AE394,ModelOutputs,9,FALSE)+AI393</f>
        <v>#N/A</v>
      </c>
      <c r="AJ394" s="55" t="e">
        <f ca="1">VLOOKUP(AE394,ModelOutputs,5,FALSE)+AJ393</f>
        <v>#N/A</v>
      </c>
      <c r="AK394" s="55" t="e">
        <f ca="1">VLOOKUP(AE394,ModelOutputs,4,FALSE)+AK393</f>
        <v>#N/A</v>
      </c>
    </row>
    <row r="395" spans="18:37">
      <c r="R395" s="83" t="e">
        <f ca="1"/>
        <v>#N/A</v>
      </c>
      <c r="S395" s="55" t="e">
        <f t="shared" ca="1" si="84"/>
        <v>#N/A</v>
      </c>
      <c r="T395" s="55" t="e">
        <f t="shared" ca="1" si="79"/>
        <v>#N/A</v>
      </c>
      <c r="U395" s="55" t="e">
        <f t="shared" ca="1" si="80"/>
        <v>#N/A</v>
      </c>
      <c r="V395" s="55" t="e">
        <f t="shared" ca="1" si="81"/>
        <v>#N/A</v>
      </c>
      <c r="W395" s="55" t="e">
        <f t="shared" ca="1" si="85"/>
        <v>#N/A</v>
      </c>
      <c r="X395" s="55" t="e">
        <f t="shared" ca="1" si="86"/>
        <v>#N/A</v>
      </c>
      <c r="Y395" s="55" t="e">
        <f t="shared" ca="1" si="87"/>
        <v>#N/A</v>
      </c>
      <c r="Z395" t="e">
        <f ca="1">VLOOKUP(S395,ModelOutputs,10,FALSE)*AWC</f>
        <v>#N/A</v>
      </c>
      <c r="AA395" t="e">
        <f t="shared" ca="1" si="88"/>
        <v>#N/A</v>
      </c>
      <c r="AB395" t="e">
        <f t="shared" ca="1" si="82"/>
        <v>#N/A</v>
      </c>
      <c r="AC395" t="e">
        <f t="shared" ca="1" si="83"/>
        <v>#N/A</v>
      </c>
      <c r="AD395" s="83" t="e">
        <f ca="1"/>
        <v>#N/A</v>
      </c>
      <c r="AE395" s="55" t="e">
        <f t="shared" ca="1" si="89"/>
        <v>#N/A</v>
      </c>
      <c r="AF395" s="55" t="e">
        <f t="shared" ca="1" si="90"/>
        <v>#N/A</v>
      </c>
      <c r="AG395" s="55" t="e">
        <f t="shared" ca="1" si="91"/>
        <v>#N/A</v>
      </c>
      <c r="AH395" s="55" t="e">
        <f t="shared" ca="1" si="92"/>
        <v>#N/A</v>
      </c>
      <c r="AI395" s="55" t="e">
        <f ca="1">-VLOOKUP(AE395,ModelOutputs,9,FALSE)+AI394</f>
        <v>#N/A</v>
      </c>
      <c r="AJ395" s="55" t="e">
        <f ca="1">VLOOKUP(AE395,ModelOutputs,5,FALSE)+AJ394</f>
        <v>#N/A</v>
      </c>
      <c r="AK395" s="55" t="e">
        <f ca="1">VLOOKUP(AE395,ModelOutputs,4,FALSE)+AK394</f>
        <v>#N/A</v>
      </c>
    </row>
    <row r="396" spans="18:37">
      <c r="R396" s="55" t="e">
        <f ca="1"/>
        <v>#N/A</v>
      </c>
      <c r="S396" s="55" t="e">
        <f t="shared" ref="S396:S459" ca="1" si="93">IF(R396&gt;1,R396,"")</f>
        <v>#N/A</v>
      </c>
      <c r="T396" s="55" t="e">
        <f t="shared" ref="T396:T459" ca="1" si="94">VLOOKUP(S396,ModelOutputs,2,FALSE)</f>
        <v>#N/A</v>
      </c>
      <c r="U396" s="55" t="e">
        <f t="shared" ref="U396:U459" ca="1" si="95">VLOOKUP(S396,ModelOutputs,7,FALSE)</f>
        <v>#N/A</v>
      </c>
      <c r="V396" s="55" t="e">
        <f t="shared" ref="V396:V459" ca="1" si="96">VLOOKUP(S396,ModelOutputs,6,FALSE)</f>
        <v>#N/A</v>
      </c>
      <c r="W396" s="55" t="e">
        <f t="shared" ca="1" si="85"/>
        <v>#N/A</v>
      </c>
      <c r="X396" s="55" t="e">
        <f t="shared" ca="1" si="86"/>
        <v>#N/A</v>
      </c>
      <c r="Y396" s="55" t="e">
        <f t="shared" ca="1" si="87"/>
        <v>#N/A</v>
      </c>
      <c r="Z396" t="e">
        <f ca="1">VLOOKUP(S396,ModelOutputs,10,FALSE)*AWC</f>
        <v>#N/A</v>
      </c>
      <c r="AA396" t="e">
        <f t="shared" ref="AA396:AA459" ca="1" si="97">VLOOKUP(S396,ModelOutputs,11,FALSE)+AA395</f>
        <v>#N/A</v>
      </c>
      <c r="AB396" t="e">
        <f t="shared" ref="AB396:AB459" ca="1" si="98">VLOOKUP(S396,ModelOutputs,12,FALSE)</f>
        <v>#N/A</v>
      </c>
      <c r="AC396" t="e">
        <f t="shared" ref="AC396:AC459" ca="1" si="99">VLOOKUP(S396,ModelOutputs,13,FALSE)</f>
        <v>#N/A</v>
      </c>
      <c r="AD396" s="83" t="e">
        <f ca="1"/>
        <v>#N/A</v>
      </c>
      <c r="AE396" s="55" t="e">
        <f t="shared" ref="AE396:AE459" ca="1" si="100">IF(AD396&gt;1,AD396,"")</f>
        <v>#N/A</v>
      </c>
      <c r="AF396" s="55" t="e">
        <f t="shared" ref="AF396:AF459" ca="1" si="101">VLOOKUP(AE396,ModelOutputs,2,FALSE)</f>
        <v>#N/A</v>
      </c>
      <c r="AG396" s="55" t="e">
        <f t="shared" ref="AG396:AG459" ca="1" si="102">VLOOKUP(AE396,ModelOutputs,7,FALSE)</f>
        <v>#N/A</v>
      </c>
      <c r="AH396" s="55" t="e">
        <f t="shared" ref="AH396:AH459" ca="1" si="103">VLOOKUP(AE396,ModelOutputs,6,FALSE)</f>
        <v>#N/A</v>
      </c>
      <c r="AI396" s="55" t="e">
        <f ca="1">-VLOOKUP(AE396,ModelOutputs,9,FALSE)+AI395</f>
        <v>#N/A</v>
      </c>
      <c r="AJ396" s="55" t="e">
        <f ca="1">VLOOKUP(AE396,ModelOutputs,5,FALSE)+AJ395</f>
        <v>#N/A</v>
      </c>
      <c r="AK396" s="55" t="e">
        <f ca="1">VLOOKUP(AE396,ModelOutputs,4,FALSE)+AK395</f>
        <v>#N/A</v>
      </c>
    </row>
    <row r="397" spans="18:37">
      <c r="R397" s="55" t="e">
        <f ca="1"/>
        <v>#N/A</v>
      </c>
      <c r="S397" s="55" t="e">
        <f t="shared" ca="1" si="93"/>
        <v>#N/A</v>
      </c>
      <c r="T397" s="55" t="e">
        <f t="shared" ca="1" si="94"/>
        <v>#N/A</v>
      </c>
      <c r="U397" s="55" t="e">
        <f t="shared" ca="1" si="95"/>
        <v>#N/A</v>
      </c>
      <c r="V397" s="55" t="e">
        <f t="shared" ca="1" si="96"/>
        <v>#N/A</v>
      </c>
      <c r="W397" s="55" t="e">
        <f t="shared" ca="1" si="85"/>
        <v>#N/A</v>
      </c>
      <c r="X397" s="55" t="e">
        <f t="shared" ca="1" si="86"/>
        <v>#N/A</v>
      </c>
      <c r="Y397" s="55" t="e">
        <f t="shared" ca="1" si="87"/>
        <v>#N/A</v>
      </c>
      <c r="Z397" t="e">
        <f ca="1">VLOOKUP(S397,ModelOutputs,10,FALSE)*AWC</f>
        <v>#N/A</v>
      </c>
      <c r="AA397" t="e">
        <f t="shared" ca="1" si="97"/>
        <v>#N/A</v>
      </c>
      <c r="AB397" t="e">
        <f t="shared" ca="1" si="98"/>
        <v>#N/A</v>
      </c>
      <c r="AC397" t="e">
        <f t="shared" ca="1" si="99"/>
        <v>#N/A</v>
      </c>
      <c r="AD397" s="83" t="e">
        <f ca="1"/>
        <v>#N/A</v>
      </c>
      <c r="AE397" s="55" t="e">
        <f t="shared" ca="1" si="100"/>
        <v>#N/A</v>
      </c>
      <c r="AF397" s="55" t="e">
        <f t="shared" ca="1" si="101"/>
        <v>#N/A</v>
      </c>
      <c r="AG397" s="55" t="e">
        <f t="shared" ca="1" si="102"/>
        <v>#N/A</v>
      </c>
      <c r="AH397" s="55" t="e">
        <f t="shared" ca="1" si="103"/>
        <v>#N/A</v>
      </c>
      <c r="AI397" s="55" t="e">
        <f ca="1">-VLOOKUP(AE397,ModelOutputs,9,FALSE)+AI396</f>
        <v>#N/A</v>
      </c>
      <c r="AJ397" s="55" t="e">
        <f ca="1">VLOOKUP(AE397,ModelOutputs,5,FALSE)+AJ396</f>
        <v>#N/A</v>
      </c>
      <c r="AK397" s="55" t="e">
        <f ca="1">VLOOKUP(AE397,ModelOutputs,4,FALSE)+AK396</f>
        <v>#N/A</v>
      </c>
    </row>
    <row r="398" spans="18:37">
      <c r="R398" s="55" t="e">
        <f ca="1"/>
        <v>#N/A</v>
      </c>
      <c r="S398" s="55" t="e">
        <f t="shared" ca="1" si="93"/>
        <v>#N/A</v>
      </c>
      <c r="T398" s="55" t="e">
        <f t="shared" ca="1" si="94"/>
        <v>#N/A</v>
      </c>
      <c r="U398" s="55" t="e">
        <f t="shared" ca="1" si="95"/>
        <v>#N/A</v>
      </c>
      <c r="V398" s="55" t="e">
        <f t="shared" ca="1" si="96"/>
        <v>#N/A</v>
      </c>
      <c r="W398" s="55" t="e">
        <f t="shared" ca="1" si="85"/>
        <v>#N/A</v>
      </c>
      <c r="X398" s="55" t="e">
        <f t="shared" ca="1" si="86"/>
        <v>#N/A</v>
      </c>
      <c r="Y398" s="55" t="e">
        <f t="shared" ca="1" si="87"/>
        <v>#N/A</v>
      </c>
      <c r="Z398" t="e">
        <f ca="1">VLOOKUP(S398,ModelOutputs,10,FALSE)*AWC</f>
        <v>#N/A</v>
      </c>
      <c r="AA398" t="e">
        <f t="shared" ca="1" si="97"/>
        <v>#N/A</v>
      </c>
      <c r="AB398" t="e">
        <f t="shared" ca="1" si="98"/>
        <v>#N/A</v>
      </c>
      <c r="AC398" t="e">
        <f t="shared" ca="1" si="99"/>
        <v>#N/A</v>
      </c>
      <c r="AD398" s="83" t="e">
        <f ca="1"/>
        <v>#N/A</v>
      </c>
      <c r="AE398" s="55" t="e">
        <f t="shared" ca="1" si="100"/>
        <v>#N/A</v>
      </c>
      <c r="AF398" s="55" t="e">
        <f t="shared" ca="1" si="101"/>
        <v>#N/A</v>
      </c>
      <c r="AG398" s="55" t="e">
        <f t="shared" ca="1" si="102"/>
        <v>#N/A</v>
      </c>
      <c r="AH398" s="55" t="e">
        <f t="shared" ca="1" si="103"/>
        <v>#N/A</v>
      </c>
      <c r="AI398" s="55" t="e">
        <f ca="1">-VLOOKUP(AE398,ModelOutputs,9,FALSE)+AI397</f>
        <v>#N/A</v>
      </c>
      <c r="AJ398" s="55" t="e">
        <f ca="1">VLOOKUP(AE398,ModelOutputs,5,FALSE)+AJ397</f>
        <v>#N/A</v>
      </c>
      <c r="AK398" s="55" t="e">
        <f ca="1">VLOOKUP(AE398,ModelOutputs,4,FALSE)+AK397</f>
        <v>#N/A</v>
      </c>
    </row>
    <row r="399" spans="18:37">
      <c r="R399" s="55" t="e">
        <f ca="1"/>
        <v>#N/A</v>
      </c>
      <c r="S399" s="55" t="e">
        <f t="shared" ca="1" si="93"/>
        <v>#N/A</v>
      </c>
      <c r="T399" s="55" t="e">
        <f t="shared" ca="1" si="94"/>
        <v>#N/A</v>
      </c>
      <c r="U399" s="55" t="e">
        <f t="shared" ca="1" si="95"/>
        <v>#N/A</v>
      </c>
      <c r="V399" s="55" t="e">
        <f t="shared" ca="1" si="96"/>
        <v>#N/A</v>
      </c>
      <c r="W399" s="55" t="e">
        <f t="shared" ca="1" si="85"/>
        <v>#N/A</v>
      </c>
      <c r="X399" s="55" t="e">
        <f t="shared" ca="1" si="86"/>
        <v>#N/A</v>
      </c>
      <c r="Y399" s="55" t="e">
        <f t="shared" ca="1" si="87"/>
        <v>#N/A</v>
      </c>
      <c r="Z399" t="e">
        <f ca="1">VLOOKUP(S399,ModelOutputs,10,FALSE)*AWC</f>
        <v>#N/A</v>
      </c>
      <c r="AA399" t="e">
        <f t="shared" ca="1" si="97"/>
        <v>#N/A</v>
      </c>
      <c r="AB399" t="e">
        <f t="shared" ca="1" si="98"/>
        <v>#N/A</v>
      </c>
      <c r="AC399" t="e">
        <f t="shared" ca="1" si="99"/>
        <v>#N/A</v>
      </c>
      <c r="AD399" s="83" t="e">
        <f ca="1"/>
        <v>#N/A</v>
      </c>
      <c r="AE399" s="55" t="e">
        <f t="shared" ca="1" si="100"/>
        <v>#N/A</v>
      </c>
      <c r="AF399" s="55" t="e">
        <f t="shared" ca="1" si="101"/>
        <v>#N/A</v>
      </c>
      <c r="AG399" s="55" t="e">
        <f t="shared" ca="1" si="102"/>
        <v>#N/A</v>
      </c>
      <c r="AH399" s="55" t="e">
        <f t="shared" ca="1" si="103"/>
        <v>#N/A</v>
      </c>
      <c r="AI399" s="55" t="e">
        <f ca="1">-VLOOKUP(AE399,ModelOutputs,9,FALSE)+AI398</f>
        <v>#N/A</v>
      </c>
      <c r="AJ399" s="55" t="e">
        <f ca="1">VLOOKUP(AE399,ModelOutputs,5,FALSE)+AJ398</f>
        <v>#N/A</v>
      </c>
      <c r="AK399" s="55" t="e">
        <f ca="1">VLOOKUP(AE399,ModelOutputs,4,FALSE)+AK398</f>
        <v>#N/A</v>
      </c>
    </row>
    <row r="400" spans="18:37">
      <c r="R400" s="55" t="e">
        <f ca="1"/>
        <v>#N/A</v>
      </c>
      <c r="S400" s="55" t="e">
        <f t="shared" ca="1" si="93"/>
        <v>#N/A</v>
      </c>
      <c r="T400" s="55" t="e">
        <f t="shared" ca="1" si="94"/>
        <v>#N/A</v>
      </c>
      <c r="U400" s="55" t="e">
        <f t="shared" ca="1" si="95"/>
        <v>#N/A</v>
      </c>
      <c r="V400" s="55" t="e">
        <f t="shared" ca="1" si="96"/>
        <v>#N/A</v>
      </c>
      <c r="W400" s="55" t="e">
        <f t="shared" ca="1" si="85"/>
        <v>#N/A</v>
      </c>
      <c r="X400" s="55" t="e">
        <f t="shared" ca="1" si="86"/>
        <v>#N/A</v>
      </c>
      <c r="Y400" s="55" t="e">
        <f t="shared" ca="1" si="87"/>
        <v>#N/A</v>
      </c>
      <c r="Z400" t="e">
        <f ca="1">VLOOKUP(S400,ModelOutputs,10,FALSE)*AWC</f>
        <v>#N/A</v>
      </c>
      <c r="AA400" t="e">
        <f t="shared" ca="1" si="97"/>
        <v>#N/A</v>
      </c>
      <c r="AB400" t="e">
        <f t="shared" ca="1" si="98"/>
        <v>#N/A</v>
      </c>
      <c r="AC400" t="e">
        <f t="shared" ca="1" si="99"/>
        <v>#N/A</v>
      </c>
      <c r="AD400" s="83" t="e">
        <f ca="1"/>
        <v>#N/A</v>
      </c>
      <c r="AE400" s="55" t="e">
        <f t="shared" ca="1" si="100"/>
        <v>#N/A</v>
      </c>
      <c r="AF400" s="55" t="e">
        <f t="shared" ca="1" si="101"/>
        <v>#N/A</v>
      </c>
      <c r="AG400" s="55" t="e">
        <f t="shared" ca="1" si="102"/>
        <v>#N/A</v>
      </c>
      <c r="AH400" s="55" t="e">
        <f t="shared" ca="1" si="103"/>
        <v>#N/A</v>
      </c>
      <c r="AI400" s="55" t="e">
        <f ca="1">-VLOOKUP(AE400,ModelOutputs,9,FALSE)+AI399</f>
        <v>#N/A</v>
      </c>
      <c r="AJ400" s="55" t="e">
        <f ca="1">VLOOKUP(AE400,ModelOutputs,5,FALSE)+AJ399</f>
        <v>#N/A</v>
      </c>
      <c r="AK400" s="55" t="e">
        <f ca="1">VLOOKUP(AE400,ModelOutputs,4,FALSE)+AK399</f>
        <v>#N/A</v>
      </c>
    </row>
    <row r="401" spans="18:37">
      <c r="R401" s="55" t="e">
        <f ca="1"/>
        <v>#N/A</v>
      </c>
      <c r="S401" s="55" t="e">
        <f t="shared" ca="1" si="93"/>
        <v>#N/A</v>
      </c>
      <c r="T401" s="55" t="e">
        <f t="shared" ca="1" si="94"/>
        <v>#N/A</v>
      </c>
      <c r="U401" s="55" t="e">
        <f t="shared" ca="1" si="95"/>
        <v>#N/A</v>
      </c>
      <c r="V401" s="55" t="e">
        <f t="shared" ca="1" si="96"/>
        <v>#N/A</v>
      </c>
      <c r="W401" s="55" t="e">
        <f t="shared" ca="1" si="85"/>
        <v>#N/A</v>
      </c>
      <c r="X401" s="55" t="e">
        <f t="shared" ca="1" si="86"/>
        <v>#N/A</v>
      </c>
      <c r="Y401" s="55" t="e">
        <f t="shared" ca="1" si="87"/>
        <v>#N/A</v>
      </c>
      <c r="Z401" t="e">
        <f ca="1">VLOOKUP(S401,ModelOutputs,10,FALSE)*AWC</f>
        <v>#N/A</v>
      </c>
      <c r="AA401" t="e">
        <f t="shared" ca="1" si="97"/>
        <v>#N/A</v>
      </c>
      <c r="AB401" t="e">
        <f t="shared" ca="1" si="98"/>
        <v>#N/A</v>
      </c>
      <c r="AC401" t="e">
        <f t="shared" ca="1" si="99"/>
        <v>#N/A</v>
      </c>
      <c r="AD401" s="83" t="e">
        <f ca="1"/>
        <v>#N/A</v>
      </c>
      <c r="AE401" s="55" t="e">
        <f t="shared" ca="1" si="100"/>
        <v>#N/A</v>
      </c>
      <c r="AF401" s="55" t="e">
        <f t="shared" ca="1" si="101"/>
        <v>#N/A</v>
      </c>
      <c r="AG401" s="55" t="e">
        <f t="shared" ca="1" si="102"/>
        <v>#N/A</v>
      </c>
      <c r="AH401" s="55" t="e">
        <f t="shared" ca="1" si="103"/>
        <v>#N/A</v>
      </c>
      <c r="AI401" s="55" t="e">
        <f ca="1">-VLOOKUP(AE401,ModelOutputs,9,FALSE)+AI400</f>
        <v>#N/A</v>
      </c>
      <c r="AJ401" s="55" t="e">
        <f ca="1">VLOOKUP(AE401,ModelOutputs,5,FALSE)+AJ400</f>
        <v>#N/A</v>
      </c>
      <c r="AK401" s="55" t="e">
        <f ca="1">VLOOKUP(AE401,ModelOutputs,4,FALSE)+AK400</f>
        <v>#N/A</v>
      </c>
    </row>
    <row r="402" spans="18:37">
      <c r="R402" s="55" t="e">
        <f ca="1"/>
        <v>#N/A</v>
      </c>
      <c r="S402" s="55" t="e">
        <f t="shared" ca="1" si="93"/>
        <v>#N/A</v>
      </c>
      <c r="T402" s="55" t="e">
        <f t="shared" ca="1" si="94"/>
        <v>#N/A</v>
      </c>
      <c r="U402" s="55" t="e">
        <f t="shared" ca="1" si="95"/>
        <v>#N/A</v>
      </c>
      <c r="V402" s="55" t="e">
        <f t="shared" ca="1" si="96"/>
        <v>#N/A</v>
      </c>
      <c r="W402" s="55" t="e">
        <f t="shared" ca="1" si="85"/>
        <v>#N/A</v>
      </c>
      <c r="X402" s="55" t="e">
        <f t="shared" ca="1" si="86"/>
        <v>#N/A</v>
      </c>
      <c r="Y402" s="55" t="e">
        <f t="shared" ca="1" si="87"/>
        <v>#N/A</v>
      </c>
      <c r="Z402" t="e">
        <f ca="1">VLOOKUP(S402,ModelOutputs,10,FALSE)*AWC</f>
        <v>#N/A</v>
      </c>
      <c r="AA402" t="e">
        <f t="shared" ca="1" si="97"/>
        <v>#N/A</v>
      </c>
      <c r="AB402" t="e">
        <f t="shared" ca="1" si="98"/>
        <v>#N/A</v>
      </c>
      <c r="AC402" t="e">
        <f t="shared" ca="1" si="99"/>
        <v>#N/A</v>
      </c>
      <c r="AD402" s="83" t="e">
        <f ca="1"/>
        <v>#N/A</v>
      </c>
      <c r="AE402" s="55" t="e">
        <f t="shared" ca="1" si="100"/>
        <v>#N/A</v>
      </c>
      <c r="AF402" s="55" t="e">
        <f t="shared" ca="1" si="101"/>
        <v>#N/A</v>
      </c>
      <c r="AG402" s="55" t="e">
        <f t="shared" ca="1" si="102"/>
        <v>#N/A</v>
      </c>
      <c r="AH402" s="55" t="e">
        <f t="shared" ca="1" si="103"/>
        <v>#N/A</v>
      </c>
      <c r="AI402" s="55" t="e">
        <f ca="1">-VLOOKUP(AE402,ModelOutputs,9,FALSE)+AI401</f>
        <v>#N/A</v>
      </c>
      <c r="AJ402" s="55" t="e">
        <f ca="1">VLOOKUP(AE402,ModelOutputs,5,FALSE)+AJ401</f>
        <v>#N/A</v>
      </c>
      <c r="AK402" s="55" t="e">
        <f ca="1">VLOOKUP(AE402,ModelOutputs,4,FALSE)+AK401</f>
        <v>#N/A</v>
      </c>
    </row>
    <row r="403" spans="18:37">
      <c r="R403" s="55" t="e">
        <f ca="1"/>
        <v>#N/A</v>
      </c>
      <c r="S403" s="55" t="e">
        <f t="shared" ca="1" si="93"/>
        <v>#N/A</v>
      </c>
      <c r="T403" s="55" t="e">
        <f t="shared" ca="1" si="94"/>
        <v>#N/A</v>
      </c>
      <c r="U403" s="55" t="e">
        <f t="shared" ca="1" si="95"/>
        <v>#N/A</v>
      </c>
      <c r="V403" s="55" t="e">
        <f t="shared" ca="1" si="96"/>
        <v>#N/A</v>
      </c>
      <c r="W403" s="55" t="e">
        <f t="shared" ref="W403:W466" ca="1" si="104">-VLOOKUP(S403,ModelOutputs,9,FALSE)+W402</f>
        <v>#N/A</v>
      </c>
      <c r="X403" s="55" t="e">
        <f t="shared" ref="X403:X466" ca="1" si="105">VLOOKUP(S403,ModelOutputs,5,FALSE)+X402</f>
        <v>#N/A</v>
      </c>
      <c r="Y403" s="55" t="e">
        <f t="shared" ref="Y403:Y466" ca="1" si="106">VLOOKUP(S403,ModelOutputs,4,FALSE)+Y402</f>
        <v>#N/A</v>
      </c>
      <c r="Z403" t="e">
        <f ca="1">VLOOKUP(S403,ModelOutputs,10,FALSE)*AWC</f>
        <v>#N/A</v>
      </c>
      <c r="AA403" t="e">
        <f t="shared" ca="1" si="97"/>
        <v>#N/A</v>
      </c>
      <c r="AB403" t="e">
        <f t="shared" ca="1" si="98"/>
        <v>#N/A</v>
      </c>
      <c r="AC403" t="e">
        <f t="shared" ca="1" si="99"/>
        <v>#N/A</v>
      </c>
      <c r="AD403" s="83" t="e">
        <f ca="1"/>
        <v>#N/A</v>
      </c>
      <c r="AE403" s="55" t="e">
        <f t="shared" ca="1" si="100"/>
        <v>#N/A</v>
      </c>
      <c r="AF403" s="55" t="e">
        <f t="shared" ca="1" si="101"/>
        <v>#N/A</v>
      </c>
      <c r="AG403" s="55" t="e">
        <f t="shared" ca="1" si="102"/>
        <v>#N/A</v>
      </c>
      <c r="AH403" s="55" t="e">
        <f t="shared" ca="1" si="103"/>
        <v>#N/A</v>
      </c>
      <c r="AI403" s="55" t="e">
        <f ca="1">-VLOOKUP(AE403,ModelOutputs,9,FALSE)+AI402</f>
        <v>#N/A</v>
      </c>
      <c r="AJ403" s="55" t="e">
        <f ca="1">VLOOKUP(AE403,ModelOutputs,5,FALSE)+AJ402</f>
        <v>#N/A</v>
      </c>
      <c r="AK403" s="55" t="e">
        <f ca="1">VLOOKUP(AE403,ModelOutputs,4,FALSE)+AK402</f>
        <v>#N/A</v>
      </c>
    </row>
    <row r="404" spans="18:37">
      <c r="R404" s="55" t="e">
        <f ca="1"/>
        <v>#N/A</v>
      </c>
      <c r="S404" s="55" t="e">
        <f t="shared" ca="1" si="93"/>
        <v>#N/A</v>
      </c>
      <c r="T404" s="55" t="e">
        <f t="shared" ca="1" si="94"/>
        <v>#N/A</v>
      </c>
      <c r="U404" s="55" t="e">
        <f t="shared" ca="1" si="95"/>
        <v>#N/A</v>
      </c>
      <c r="V404" s="55" t="e">
        <f t="shared" ca="1" si="96"/>
        <v>#N/A</v>
      </c>
      <c r="W404" s="55" t="e">
        <f t="shared" ca="1" si="104"/>
        <v>#N/A</v>
      </c>
      <c r="X404" s="55" t="e">
        <f t="shared" ca="1" si="105"/>
        <v>#N/A</v>
      </c>
      <c r="Y404" s="55" t="e">
        <f t="shared" ca="1" si="106"/>
        <v>#N/A</v>
      </c>
      <c r="Z404" t="e">
        <f ca="1">VLOOKUP(S404,ModelOutputs,10,FALSE)*AWC</f>
        <v>#N/A</v>
      </c>
      <c r="AA404" t="e">
        <f t="shared" ca="1" si="97"/>
        <v>#N/A</v>
      </c>
      <c r="AB404" t="e">
        <f t="shared" ca="1" si="98"/>
        <v>#N/A</v>
      </c>
      <c r="AC404" t="e">
        <f t="shared" ca="1" si="99"/>
        <v>#N/A</v>
      </c>
      <c r="AD404" s="83" t="e">
        <f ca="1"/>
        <v>#N/A</v>
      </c>
      <c r="AE404" s="55" t="e">
        <f t="shared" ca="1" si="100"/>
        <v>#N/A</v>
      </c>
      <c r="AF404" s="55" t="e">
        <f t="shared" ca="1" si="101"/>
        <v>#N/A</v>
      </c>
      <c r="AG404" s="55" t="e">
        <f t="shared" ca="1" si="102"/>
        <v>#N/A</v>
      </c>
      <c r="AH404" s="55" t="e">
        <f t="shared" ca="1" si="103"/>
        <v>#N/A</v>
      </c>
      <c r="AI404" s="55" t="e">
        <f ca="1">-VLOOKUP(AE404,ModelOutputs,9,FALSE)+AI403</f>
        <v>#N/A</v>
      </c>
      <c r="AJ404" s="55" t="e">
        <f ca="1">VLOOKUP(AE404,ModelOutputs,5,FALSE)+AJ403</f>
        <v>#N/A</v>
      </c>
      <c r="AK404" s="55" t="e">
        <f ca="1">VLOOKUP(AE404,ModelOutputs,4,FALSE)+AK403</f>
        <v>#N/A</v>
      </c>
    </row>
    <row r="405" spans="18:37">
      <c r="R405" s="55" t="e">
        <f ca="1"/>
        <v>#N/A</v>
      </c>
      <c r="S405" s="55" t="e">
        <f t="shared" ca="1" si="93"/>
        <v>#N/A</v>
      </c>
      <c r="T405" s="55" t="e">
        <f t="shared" ca="1" si="94"/>
        <v>#N/A</v>
      </c>
      <c r="U405" s="55" t="e">
        <f t="shared" ca="1" si="95"/>
        <v>#N/A</v>
      </c>
      <c r="V405" s="55" t="e">
        <f t="shared" ca="1" si="96"/>
        <v>#N/A</v>
      </c>
      <c r="W405" s="55" t="e">
        <f t="shared" ca="1" si="104"/>
        <v>#N/A</v>
      </c>
      <c r="X405" s="55" t="e">
        <f t="shared" ca="1" si="105"/>
        <v>#N/A</v>
      </c>
      <c r="Y405" s="55" t="e">
        <f t="shared" ca="1" si="106"/>
        <v>#N/A</v>
      </c>
      <c r="Z405" t="e">
        <f ca="1">VLOOKUP(S405,ModelOutputs,10,FALSE)*AWC</f>
        <v>#N/A</v>
      </c>
      <c r="AA405" t="e">
        <f t="shared" ca="1" si="97"/>
        <v>#N/A</v>
      </c>
      <c r="AB405" t="e">
        <f t="shared" ca="1" si="98"/>
        <v>#N/A</v>
      </c>
      <c r="AC405" t="e">
        <f t="shared" ca="1" si="99"/>
        <v>#N/A</v>
      </c>
      <c r="AD405" s="83" t="e">
        <f ca="1"/>
        <v>#N/A</v>
      </c>
      <c r="AE405" s="55" t="e">
        <f t="shared" ca="1" si="100"/>
        <v>#N/A</v>
      </c>
      <c r="AF405" s="55" t="e">
        <f t="shared" ca="1" si="101"/>
        <v>#N/A</v>
      </c>
      <c r="AG405" s="55" t="e">
        <f t="shared" ca="1" si="102"/>
        <v>#N/A</v>
      </c>
      <c r="AH405" s="55" t="e">
        <f t="shared" ca="1" si="103"/>
        <v>#N/A</v>
      </c>
      <c r="AI405" s="55" t="e">
        <f ca="1">-VLOOKUP(AE405,ModelOutputs,9,FALSE)+AI404</f>
        <v>#N/A</v>
      </c>
      <c r="AJ405" s="55" t="e">
        <f ca="1">VLOOKUP(AE405,ModelOutputs,5,FALSE)+AJ404</f>
        <v>#N/A</v>
      </c>
      <c r="AK405" s="55" t="e">
        <f ca="1">VLOOKUP(AE405,ModelOutputs,4,FALSE)+AK404</f>
        <v>#N/A</v>
      </c>
    </row>
    <row r="406" spans="18:37">
      <c r="R406" s="55" t="e">
        <f ca="1"/>
        <v>#N/A</v>
      </c>
      <c r="S406" s="55" t="e">
        <f t="shared" ca="1" si="93"/>
        <v>#N/A</v>
      </c>
      <c r="T406" s="55" t="e">
        <f t="shared" ca="1" si="94"/>
        <v>#N/A</v>
      </c>
      <c r="U406" s="55" t="e">
        <f t="shared" ca="1" si="95"/>
        <v>#N/A</v>
      </c>
      <c r="V406" s="55" t="e">
        <f t="shared" ca="1" si="96"/>
        <v>#N/A</v>
      </c>
      <c r="W406" s="55" t="e">
        <f t="shared" ca="1" si="104"/>
        <v>#N/A</v>
      </c>
      <c r="X406" s="55" t="e">
        <f t="shared" ca="1" si="105"/>
        <v>#N/A</v>
      </c>
      <c r="Y406" s="55" t="e">
        <f t="shared" ca="1" si="106"/>
        <v>#N/A</v>
      </c>
      <c r="Z406" t="e">
        <f ca="1">VLOOKUP(S406,ModelOutputs,10,FALSE)*AWC</f>
        <v>#N/A</v>
      </c>
      <c r="AA406" t="e">
        <f t="shared" ca="1" si="97"/>
        <v>#N/A</v>
      </c>
      <c r="AB406" t="e">
        <f t="shared" ca="1" si="98"/>
        <v>#N/A</v>
      </c>
      <c r="AC406" t="e">
        <f t="shared" ca="1" si="99"/>
        <v>#N/A</v>
      </c>
      <c r="AD406" s="83" t="e">
        <f ca="1"/>
        <v>#N/A</v>
      </c>
      <c r="AE406" s="55" t="e">
        <f t="shared" ca="1" si="100"/>
        <v>#N/A</v>
      </c>
      <c r="AF406" s="55" t="e">
        <f t="shared" ca="1" si="101"/>
        <v>#N/A</v>
      </c>
      <c r="AG406" s="55" t="e">
        <f t="shared" ca="1" si="102"/>
        <v>#N/A</v>
      </c>
      <c r="AH406" s="55" t="e">
        <f t="shared" ca="1" si="103"/>
        <v>#N/A</v>
      </c>
      <c r="AI406" s="55" t="e">
        <f ca="1">-VLOOKUP(AE406,ModelOutputs,9,FALSE)+AI405</f>
        <v>#N/A</v>
      </c>
      <c r="AJ406" s="55" t="e">
        <f ca="1">VLOOKUP(AE406,ModelOutputs,5,FALSE)+AJ405</f>
        <v>#N/A</v>
      </c>
      <c r="AK406" s="55" t="e">
        <f ca="1">VLOOKUP(AE406,ModelOutputs,4,FALSE)+AK405</f>
        <v>#N/A</v>
      </c>
    </row>
    <row r="407" spans="18:37">
      <c r="R407" s="55" t="e">
        <f ca="1"/>
        <v>#N/A</v>
      </c>
      <c r="S407" s="55" t="e">
        <f t="shared" ca="1" si="93"/>
        <v>#N/A</v>
      </c>
      <c r="T407" s="55" t="e">
        <f t="shared" ca="1" si="94"/>
        <v>#N/A</v>
      </c>
      <c r="U407" s="55" t="e">
        <f t="shared" ca="1" si="95"/>
        <v>#N/A</v>
      </c>
      <c r="V407" s="55" t="e">
        <f t="shared" ca="1" si="96"/>
        <v>#N/A</v>
      </c>
      <c r="W407" s="55" t="e">
        <f t="shared" ca="1" si="104"/>
        <v>#N/A</v>
      </c>
      <c r="X407" s="55" t="e">
        <f t="shared" ca="1" si="105"/>
        <v>#N/A</v>
      </c>
      <c r="Y407" s="55" t="e">
        <f t="shared" ca="1" si="106"/>
        <v>#N/A</v>
      </c>
      <c r="Z407" t="e">
        <f ca="1">VLOOKUP(S407,ModelOutputs,10,FALSE)*AWC</f>
        <v>#N/A</v>
      </c>
      <c r="AA407" t="e">
        <f t="shared" ca="1" si="97"/>
        <v>#N/A</v>
      </c>
      <c r="AB407" t="e">
        <f t="shared" ca="1" si="98"/>
        <v>#N/A</v>
      </c>
      <c r="AC407" t="e">
        <f t="shared" ca="1" si="99"/>
        <v>#N/A</v>
      </c>
      <c r="AD407" s="83" t="e">
        <f ca="1"/>
        <v>#N/A</v>
      </c>
      <c r="AE407" s="55" t="e">
        <f t="shared" ca="1" si="100"/>
        <v>#N/A</v>
      </c>
      <c r="AF407" s="55" t="e">
        <f t="shared" ca="1" si="101"/>
        <v>#N/A</v>
      </c>
      <c r="AG407" s="55" t="e">
        <f t="shared" ca="1" si="102"/>
        <v>#N/A</v>
      </c>
      <c r="AH407" s="55" t="e">
        <f t="shared" ca="1" si="103"/>
        <v>#N/A</v>
      </c>
      <c r="AI407" s="55" t="e">
        <f ca="1">-VLOOKUP(AE407,ModelOutputs,9,FALSE)+AI406</f>
        <v>#N/A</v>
      </c>
      <c r="AJ407" s="55" t="e">
        <f ca="1">VLOOKUP(AE407,ModelOutputs,5,FALSE)+AJ406</f>
        <v>#N/A</v>
      </c>
      <c r="AK407" s="55" t="e">
        <f ca="1">VLOOKUP(AE407,ModelOutputs,4,FALSE)+AK406</f>
        <v>#N/A</v>
      </c>
    </row>
    <row r="408" spans="18:37">
      <c r="R408" s="55" t="e">
        <f ca="1"/>
        <v>#N/A</v>
      </c>
      <c r="S408" s="55" t="e">
        <f t="shared" ca="1" si="93"/>
        <v>#N/A</v>
      </c>
      <c r="T408" s="55" t="e">
        <f t="shared" ca="1" si="94"/>
        <v>#N/A</v>
      </c>
      <c r="U408" s="55" t="e">
        <f t="shared" ca="1" si="95"/>
        <v>#N/A</v>
      </c>
      <c r="V408" s="55" t="e">
        <f t="shared" ca="1" si="96"/>
        <v>#N/A</v>
      </c>
      <c r="W408" s="55" t="e">
        <f t="shared" ca="1" si="104"/>
        <v>#N/A</v>
      </c>
      <c r="X408" s="55" t="e">
        <f t="shared" ca="1" si="105"/>
        <v>#N/A</v>
      </c>
      <c r="Y408" s="55" t="e">
        <f t="shared" ca="1" si="106"/>
        <v>#N/A</v>
      </c>
      <c r="Z408" t="e">
        <f ca="1">VLOOKUP(S408,ModelOutputs,10,FALSE)*AWC</f>
        <v>#N/A</v>
      </c>
      <c r="AA408" t="e">
        <f t="shared" ca="1" si="97"/>
        <v>#N/A</v>
      </c>
      <c r="AB408" t="e">
        <f t="shared" ca="1" si="98"/>
        <v>#N/A</v>
      </c>
      <c r="AC408" t="e">
        <f t="shared" ca="1" si="99"/>
        <v>#N/A</v>
      </c>
      <c r="AD408" s="83" t="e">
        <f ca="1"/>
        <v>#N/A</v>
      </c>
      <c r="AE408" s="55" t="e">
        <f t="shared" ca="1" si="100"/>
        <v>#N/A</v>
      </c>
      <c r="AF408" s="55" t="e">
        <f t="shared" ca="1" si="101"/>
        <v>#N/A</v>
      </c>
      <c r="AG408" s="55" t="e">
        <f t="shared" ca="1" si="102"/>
        <v>#N/A</v>
      </c>
      <c r="AH408" s="55" t="e">
        <f t="shared" ca="1" si="103"/>
        <v>#N/A</v>
      </c>
      <c r="AI408" s="55" t="e">
        <f ca="1">-VLOOKUP(AE408,ModelOutputs,9,FALSE)+AI407</f>
        <v>#N/A</v>
      </c>
      <c r="AJ408" s="55" t="e">
        <f ca="1">VLOOKUP(AE408,ModelOutputs,5,FALSE)+AJ407</f>
        <v>#N/A</v>
      </c>
      <c r="AK408" s="55" t="e">
        <f ca="1">VLOOKUP(AE408,ModelOutputs,4,FALSE)+AK407</f>
        <v>#N/A</v>
      </c>
    </row>
    <row r="409" spans="18:37">
      <c r="R409" s="55" t="e">
        <f ca="1"/>
        <v>#N/A</v>
      </c>
      <c r="S409" s="55" t="e">
        <f t="shared" ca="1" si="93"/>
        <v>#N/A</v>
      </c>
      <c r="T409" s="55" t="e">
        <f t="shared" ca="1" si="94"/>
        <v>#N/A</v>
      </c>
      <c r="U409" s="55" t="e">
        <f t="shared" ca="1" si="95"/>
        <v>#N/A</v>
      </c>
      <c r="V409" s="55" t="e">
        <f t="shared" ca="1" si="96"/>
        <v>#N/A</v>
      </c>
      <c r="W409" s="55" t="e">
        <f t="shared" ca="1" si="104"/>
        <v>#N/A</v>
      </c>
      <c r="X409" s="55" t="e">
        <f t="shared" ca="1" si="105"/>
        <v>#N/A</v>
      </c>
      <c r="Y409" s="55" t="e">
        <f t="shared" ca="1" si="106"/>
        <v>#N/A</v>
      </c>
      <c r="Z409" t="e">
        <f ca="1">VLOOKUP(S409,ModelOutputs,10,FALSE)*AWC</f>
        <v>#N/A</v>
      </c>
      <c r="AA409" t="e">
        <f t="shared" ca="1" si="97"/>
        <v>#N/A</v>
      </c>
      <c r="AB409" t="e">
        <f t="shared" ca="1" si="98"/>
        <v>#N/A</v>
      </c>
      <c r="AC409" t="e">
        <f t="shared" ca="1" si="99"/>
        <v>#N/A</v>
      </c>
      <c r="AD409" s="83" t="e">
        <f ca="1"/>
        <v>#N/A</v>
      </c>
      <c r="AE409" s="55" t="e">
        <f t="shared" ca="1" si="100"/>
        <v>#N/A</v>
      </c>
      <c r="AF409" s="55" t="e">
        <f t="shared" ca="1" si="101"/>
        <v>#N/A</v>
      </c>
      <c r="AG409" s="55" t="e">
        <f t="shared" ca="1" si="102"/>
        <v>#N/A</v>
      </c>
      <c r="AH409" s="55" t="e">
        <f t="shared" ca="1" si="103"/>
        <v>#N/A</v>
      </c>
      <c r="AI409" s="55" t="e">
        <f ca="1">-VLOOKUP(AE409,ModelOutputs,9,FALSE)+AI408</f>
        <v>#N/A</v>
      </c>
      <c r="AJ409" s="55" t="e">
        <f ca="1">VLOOKUP(AE409,ModelOutputs,5,FALSE)+AJ408</f>
        <v>#N/A</v>
      </c>
      <c r="AK409" s="55" t="e">
        <f ca="1">VLOOKUP(AE409,ModelOutputs,4,FALSE)+AK408</f>
        <v>#N/A</v>
      </c>
    </row>
    <row r="410" spans="18:37">
      <c r="R410" s="55" t="e">
        <f ca="1"/>
        <v>#N/A</v>
      </c>
      <c r="S410" s="55" t="e">
        <f t="shared" ca="1" si="93"/>
        <v>#N/A</v>
      </c>
      <c r="T410" s="55" t="e">
        <f t="shared" ca="1" si="94"/>
        <v>#N/A</v>
      </c>
      <c r="U410" s="55" t="e">
        <f t="shared" ca="1" si="95"/>
        <v>#N/A</v>
      </c>
      <c r="V410" s="55" t="e">
        <f t="shared" ca="1" si="96"/>
        <v>#N/A</v>
      </c>
      <c r="W410" s="55" t="e">
        <f t="shared" ca="1" si="104"/>
        <v>#N/A</v>
      </c>
      <c r="X410" s="55" t="e">
        <f t="shared" ca="1" si="105"/>
        <v>#N/A</v>
      </c>
      <c r="Y410" s="55" t="e">
        <f t="shared" ca="1" si="106"/>
        <v>#N/A</v>
      </c>
      <c r="Z410" t="e">
        <f ca="1">VLOOKUP(S410,ModelOutputs,10,FALSE)*AWC</f>
        <v>#N/A</v>
      </c>
      <c r="AA410" t="e">
        <f t="shared" ca="1" si="97"/>
        <v>#N/A</v>
      </c>
      <c r="AB410" t="e">
        <f t="shared" ca="1" si="98"/>
        <v>#N/A</v>
      </c>
      <c r="AC410" t="e">
        <f t="shared" ca="1" si="99"/>
        <v>#N/A</v>
      </c>
      <c r="AD410" s="83" t="e">
        <f ca="1"/>
        <v>#N/A</v>
      </c>
      <c r="AE410" s="55" t="e">
        <f t="shared" ca="1" si="100"/>
        <v>#N/A</v>
      </c>
      <c r="AF410" s="55" t="e">
        <f t="shared" ca="1" si="101"/>
        <v>#N/A</v>
      </c>
      <c r="AG410" s="55" t="e">
        <f t="shared" ca="1" si="102"/>
        <v>#N/A</v>
      </c>
      <c r="AH410" s="55" t="e">
        <f t="shared" ca="1" si="103"/>
        <v>#N/A</v>
      </c>
      <c r="AI410" s="55" t="e">
        <f ca="1">-VLOOKUP(AE410,ModelOutputs,9,FALSE)+AI409</f>
        <v>#N/A</v>
      </c>
      <c r="AJ410" s="55" t="e">
        <f ca="1">VLOOKUP(AE410,ModelOutputs,5,FALSE)+AJ409</f>
        <v>#N/A</v>
      </c>
      <c r="AK410" s="55" t="e">
        <f ca="1">VLOOKUP(AE410,ModelOutputs,4,FALSE)+AK409</f>
        <v>#N/A</v>
      </c>
    </row>
    <row r="411" spans="18:37">
      <c r="R411" s="55" t="e">
        <f ca="1"/>
        <v>#N/A</v>
      </c>
      <c r="S411" s="55" t="e">
        <f t="shared" ca="1" si="93"/>
        <v>#N/A</v>
      </c>
      <c r="T411" s="55" t="e">
        <f t="shared" ca="1" si="94"/>
        <v>#N/A</v>
      </c>
      <c r="U411" s="55" t="e">
        <f t="shared" ca="1" si="95"/>
        <v>#N/A</v>
      </c>
      <c r="V411" s="55" t="e">
        <f t="shared" ca="1" si="96"/>
        <v>#N/A</v>
      </c>
      <c r="W411" s="55" t="e">
        <f t="shared" ca="1" si="104"/>
        <v>#N/A</v>
      </c>
      <c r="X411" s="55" t="e">
        <f t="shared" ca="1" si="105"/>
        <v>#N/A</v>
      </c>
      <c r="Y411" s="55" t="e">
        <f t="shared" ca="1" si="106"/>
        <v>#N/A</v>
      </c>
      <c r="Z411" t="e">
        <f ca="1">VLOOKUP(S411,ModelOutputs,10,FALSE)*AWC</f>
        <v>#N/A</v>
      </c>
      <c r="AA411" t="e">
        <f t="shared" ca="1" si="97"/>
        <v>#N/A</v>
      </c>
      <c r="AB411" t="e">
        <f t="shared" ca="1" si="98"/>
        <v>#N/A</v>
      </c>
      <c r="AC411" t="e">
        <f t="shared" ca="1" si="99"/>
        <v>#N/A</v>
      </c>
      <c r="AD411" s="83" t="e">
        <f ca="1"/>
        <v>#N/A</v>
      </c>
      <c r="AE411" s="55" t="e">
        <f t="shared" ca="1" si="100"/>
        <v>#N/A</v>
      </c>
      <c r="AF411" s="55" t="e">
        <f t="shared" ca="1" si="101"/>
        <v>#N/A</v>
      </c>
      <c r="AG411" s="55" t="e">
        <f t="shared" ca="1" si="102"/>
        <v>#N/A</v>
      </c>
      <c r="AH411" s="55" t="e">
        <f t="shared" ca="1" si="103"/>
        <v>#N/A</v>
      </c>
      <c r="AI411" s="55" t="e">
        <f ca="1">-VLOOKUP(AE411,ModelOutputs,9,FALSE)+AI410</f>
        <v>#N/A</v>
      </c>
      <c r="AJ411" s="55" t="e">
        <f ca="1">VLOOKUP(AE411,ModelOutputs,5,FALSE)+AJ410</f>
        <v>#N/A</v>
      </c>
      <c r="AK411" s="55" t="e">
        <f ca="1">VLOOKUP(AE411,ModelOutputs,4,FALSE)+AK410</f>
        <v>#N/A</v>
      </c>
    </row>
    <row r="412" spans="18:37">
      <c r="R412" s="55" t="e">
        <f ca="1"/>
        <v>#N/A</v>
      </c>
      <c r="S412" s="55" t="e">
        <f t="shared" ca="1" si="93"/>
        <v>#N/A</v>
      </c>
      <c r="T412" s="55" t="e">
        <f t="shared" ca="1" si="94"/>
        <v>#N/A</v>
      </c>
      <c r="U412" s="55" t="e">
        <f t="shared" ca="1" si="95"/>
        <v>#N/A</v>
      </c>
      <c r="V412" s="55" t="e">
        <f t="shared" ca="1" si="96"/>
        <v>#N/A</v>
      </c>
      <c r="W412" s="55" t="e">
        <f t="shared" ca="1" si="104"/>
        <v>#N/A</v>
      </c>
      <c r="X412" s="55" t="e">
        <f t="shared" ca="1" si="105"/>
        <v>#N/A</v>
      </c>
      <c r="Y412" s="55" t="e">
        <f t="shared" ca="1" si="106"/>
        <v>#N/A</v>
      </c>
      <c r="Z412" t="e">
        <f ca="1">VLOOKUP(S412,ModelOutputs,10,FALSE)*AWC</f>
        <v>#N/A</v>
      </c>
      <c r="AA412" t="e">
        <f t="shared" ca="1" si="97"/>
        <v>#N/A</v>
      </c>
      <c r="AB412" t="e">
        <f t="shared" ca="1" si="98"/>
        <v>#N/A</v>
      </c>
      <c r="AC412" t="e">
        <f t="shared" ca="1" si="99"/>
        <v>#N/A</v>
      </c>
      <c r="AD412" s="83" t="e">
        <f ca="1"/>
        <v>#N/A</v>
      </c>
      <c r="AE412" s="55" t="e">
        <f t="shared" ca="1" si="100"/>
        <v>#N/A</v>
      </c>
      <c r="AF412" s="55" t="e">
        <f t="shared" ca="1" si="101"/>
        <v>#N/A</v>
      </c>
      <c r="AG412" s="55" t="e">
        <f t="shared" ca="1" si="102"/>
        <v>#N/A</v>
      </c>
      <c r="AH412" s="55" t="e">
        <f t="shared" ca="1" si="103"/>
        <v>#N/A</v>
      </c>
      <c r="AI412" s="55" t="e">
        <f ca="1">-VLOOKUP(AE412,ModelOutputs,9,FALSE)+AI411</f>
        <v>#N/A</v>
      </c>
      <c r="AJ412" s="55" t="e">
        <f ca="1">VLOOKUP(AE412,ModelOutputs,5,FALSE)+AJ411</f>
        <v>#N/A</v>
      </c>
      <c r="AK412" s="55" t="e">
        <f ca="1">VLOOKUP(AE412,ModelOutputs,4,FALSE)+AK411</f>
        <v>#N/A</v>
      </c>
    </row>
    <row r="413" spans="18:37">
      <c r="R413" s="55" t="e">
        <f ca="1"/>
        <v>#N/A</v>
      </c>
      <c r="S413" s="55" t="e">
        <f t="shared" ca="1" si="93"/>
        <v>#N/A</v>
      </c>
      <c r="T413" s="55" t="e">
        <f t="shared" ca="1" si="94"/>
        <v>#N/A</v>
      </c>
      <c r="U413" s="55" t="e">
        <f t="shared" ca="1" si="95"/>
        <v>#N/A</v>
      </c>
      <c r="V413" s="55" t="e">
        <f t="shared" ca="1" si="96"/>
        <v>#N/A</v>
      </c>
      <c r="W413" s="55" t="e">
        <f t="shared" ca="1" si="104"/>
        <v>#N/A</v>
      </c>
      <c r="X413" s="55" t="e">
        <f t="shared" ca="1" si="105"/>
        <v>#N/A</v>
      </c>
      <c r="Y413" s="55" t="e">
        <f t="shared" ca="1" si="106"/>
        <v>#N/A</v>
      </c>
      <c r="Z413" t="e">
        <f ca="1">VLOOKUP(S413,ModelOutputs,10,FALSE)*AWC</f>
        <v>#N/A</v>
      </c>
      <c r="AA413" t="e">
        <f t="shared" ca="1" si="97"/>
        <v>#N/A</v>
      </c>
      <c r="AB413" t="e">
        <f t="shared" ca="1" si="98"/>
        <v>#N/A</v>
      </c>
      <c r="AC413" t="e">
        <f t="shared" ca="1" si="99"/>
        <v>#N/A</v>
      </c>
      <c r="AD413" s="83" t="e">
        <f ca="1"/>
        <v>#N/A</v>
      </c>
      <c r="AE413" s="55" t="e">
        <f t="shared" ca="1" si="100"/>
        <v>#N/A</v>
      </c>
      <c r="AF413" s="55" t="e">
        <f t="shared" ca="1" si="101"/>
        <v>#N/A</v>
      </c>
      <c r="AG413" s="55" t="e">
        <f t="shared" ca="1" si="102"/>
        <v>#N/A</v>
      </c>
      <c r="AH413" s="55" t="e">
        <f t="shared" ca="1" si="103"/>
        <v>#N/A</v>
      </c>
      <c r="AI413" s="55" t="e">
        <f ca="1">-VLOOKUP(AE413,ModelOutputs,9,FALSE)+AI412</f>
        <v>#N/A</v>
      </c>
      <c r="AJ413" s="55" t="e">
        <f ca="1">VLOOKUP(AE413,ModelOutputs,5,FALSE)+AJ412</f>
        <v>#N/A</v>
      </c>
      <c r="AK413" s="55" t="e">
        <f ca="1">VLOOKUP(AE413,ModelOutputs,4,FALSE)+AK412</f>
        <v>#N/A</v>
      </c>
    </row>
    <row r="414" spans="18:37">
      <c r="R414" s="55" t="e">
        <f ca="1"/>
        <v>#N/A</v>
      </c>
      <c r="S414" s="55" t="e">
        <f t="shared" ca="1" si="93"/>
        <v>#N/A</v>
      </c>
      <c r="T414" s="55" t="e">
        <f t="shared" ca="1" si="94"/>
        <v>#N/A</v>
      </c>
      <c r="U414" s="55" t="e">
        <f t="shared" ca="1" si="95"/>
        <v>#N/A</v>
      </c>
      <c r="V414" s="55" t="e">
        <f t="shared" ca="1" si="96"/>
        <v>#N/A</v>
      </c>
      <c r="W414" s="55" t="e">
        <f t="shared" ca="1" si="104"/>
        <v>#N/A</v>
      </c>
      <c r="X414" s="55" t="e">
        <f t="shared" ca="1" si="105"/>
        <v>#N/A</v>
      </c>
      <c r="Y414" s="55" t="e">
        <f t="shared" ca="1" si="106"/>
        <v>#N/A</v>
      </c>
      <c r="Z414" t="e">
        <f ca="1">VLOOKUP(S414,ModelOutputs,10,FALSE)*AWC</f>
        <v>#N/A</v>
      </c>
      <c r="AA414" t="e">
        <f t="shared" ca="1" si="97"/>
        <v>#N/A</v>
      </c>
      <c r="AB414" t="e">
        <f t="shared" ca="1" si="98"/>
        <v>#N/A</v>
      </c>
      <c r="AC414" t="e">
        <f t="shared" ca="1" si="99"/>
        <v>#N/A</v>
      </c>
      <c r="AD414" s="83" t="e">
        <f ca="1"/>
        <v>#N/A</v>
      </c>
      <c r="AE414" s="55" t="e">
        <f t="shared" ca="1" si="100"/>
        <v>#N/A</v>
      </c>
      <c r="AF414" s="55" t="e">
        <f t="shared" ca="1" si="101"/>
        <v>#N/A</v>
      </c>
      <c r="AG414" s="55" t="e">
        <f t="shared" ca="1" si="102"/>
        <v>#N/A</v>
      </c>
      <c r="AH414" s="55" t="e">
        <f t="shared" ca="1" si="103"/>
        <v>#N/A</v>
      </c>
      <c r="AI414" s="55" t="e">
        <f ca="1">-VLOOKUP(AE414,ModelOutputs,9,FALSE)+AI413</f>
        <v>#N/A</v>
      </c>
      <c r="AJ414" s="55" t="e">
        <f ca="1">VLOOKUP(AE414,ModelOutputs,5,FALSE)+AJ413</f>
        <v>#N/A</v>
      </c>
      <c r="AK414" s="55" t="e">
        <f ca="1">VLOOKUP(AE414,ModelOutputs,4,FALSE)+AK413</f>
        <v>#N/A</v>
      </c>
    </row>
    <row r="415" spans="18:37">
      <c r="R415" s="55" t="e">
        <f ca="1"/>
        <v>#N/A</v>
      </c>
      <c r="S415" s="55" t="e">
        <f t="shared" ca="1" si="93"/>
        <v>#N/A</v>
      </c>
      <c r="T415" s="55" t="e">
        <f t="shared" ca="1" si="94"/>
        <v>#N/A</v>
      </c>
      <c r="U415" s="55" t="e">
        <f t="shared" ca="1" si="95"/>
        <v>#N/A</v>
      </c>
      <c r="V415" s="55" t="e">
        <f t="shared" ca="1" si="96"/>
        <v>#N/A</v>
      </c>
      <c r="W415" s="55" t="e">
        <f t="shared" ca="1" si="104"/>
        <v>#N/A</v>
      </c>
      <c r="X415" s="55" t="e">
        <f t="shared" ca="1" si="105"/>
        <v>#N/A</v>
      </c>
      <c r="Y415" s="55" t="e">
        <f t="shared" ca="1" si="106"/>
        <v>#N/A</v>
      </c>
      <c r="Z415" t="e">
        <f ca="1">VLOOKUP(S415,ModelOutputs,10,FALSE)*AWC</f>
        <v>#N/A</v>
      </c>
      <c r="AA415" t="e">
        <f t="shared" ca="1" si="97"/>
        <v>#N/A</v>
      </c>
      <c r="AB415" t="e">
        <f t="shared" ca="1" si="98"/>
        <v>#N/A</v>
      </c>
      <c r="AC415" t="e">
        <f t="shared" ca="1" si="99"/>
        <v>#N/A</v>
      </c>
      <c r="AD415" s="83" t="e">
        <f ca="1"/>
        <v>#N/A</v>
      </c>
      <c r="AE415" s="55" t="e">
        <f t="shared" ca="1" si="100"/>
        <v>#N/A</v>
      </c>
      <c r="AF415" s="55" t="e">
        <f t="shared" ca="1" si="101"/>
        <v>#N/A</v>
      </c>
      <c r="AG415" s="55" t="e">
        <f t="shared" ca="1" si="102"/>
        <v>#N/A</v>
      </c>
      <c r="AH415" s="55" t="e">
        <f t="shared" ca="1" si="103"/>
        <v>#N/A</v>
      </c>
      <c r="AI415" s="55" t="e">
        <f ca="1">-VLOOKUP(AE415,ModelOutputs,9,FALSE)+AI414</f>
        <v>#N/A</v>
      </c>
      <c r="AJ415" s="55" t="e">
        <f ca="1">VLOOKUP(AE415,ModelOutputs,5,FALSE)+AJ414</f>
        <v>#N/A</v>
      </c>
      <c r="AK415" s="55" t="e">
        <f ca="1">VLOOKUP(AE415,ModelOutputs,4,FALSE)+AK414</f>
        <v>#N/A</v>
      </c>
    </row>
    <row r="416" spans="18:37">
      <c r="R416" s="55" t="e">
        <f ca="1"/>
        <v>#N/A</v>
      </c>
      <c r="S416" s="55" t="e">
        <f t="shared" ca="1" si="93"/>
        <v>#N/A</v>
      </c>
      <c r="T416" s="55" t="e">
        <f t="shared" ca="1" si="94"/>
        <v>#N/A</v>
      </c>
      <c r="U416" s="55" t="e">
        <f t="shared" ca="1" si="95"/>
        <v>#N/A</v>
      </c>
      <c r="V416" s="55" t="e">
        <f t="shared" ca="1" si="96"/>
        <v>#N/A</v>
      </c>
      <c r="W416" s="55" t="e">
        <f t="shared" ca="1" si="104"/>
        <v>#N/A</v>
      </c>
      <c r="X416" s="55" t="e">
        <f t="shared" ca="1" si="105"/>
        <v>#N/A</v>
      </c>
      <c r="Y416" s="55" t="e">
        <f t="shared" ca="1" si="106"/>
        <v>#N/A</v>
      </c>
      <c r="Z416" t="e">
        <f ca="1">VLOOKUP(S416,ModelOutputs,10,FALSE)*AWC</f>
        <v>#N/A</v>
      </c>
      <c r="AA416" t="e">
        <f t="shared" ca="1" si="97"/>
        <v>#N/A</v>
      </c>
      <c r="AB416" t="e">
        <f t="shared" ca="1" si="98"/>
        <v>#N/A</v>
      </c>
      <c r="AC416" t="e">
        <f t="shared" ca="1" si="99"/>
        <v>#N/A</v>
      </c>
      <c r="AD416" s="83" t="e">
        <f ca="1"/>
        <v>#N/A</v>
      </c>
      <c r="AE416" s="55" t="e">
        <f t="shared" ca="1" si="100"/>
        <v>#N/A</v>
      </c>
      <c r="AF416" s="55" t="e">
        <f t="shared" ca="1" si="101"/>
        <v>#N/A</v>
      </c>
      <c r="AG416" s="55" t="e">
        <f t="shared" ca="1" si="102"/>
        <v>#N/A</v>
      </c>
      <c r="AH416" s="55" t="e">
        <f t="shared" ca="1" si="103"/>
        <v>#N/A</v>
      </c>
      <c r="AI416" s="55" t="e">
        <f ca="1">-VLOOKUP(AE416,ModelOutputs,9,FALSE)+AI415</f>
        <v>#N/A</v>
      </c>
      <c r="AJ416" s="55" t="e">
        <f ca="1">VLOOKUP(AE416,ModelOutputs,5,FALSE)+AJ415</f>
        <v>#N/A</v>
      </c>
      <c r="AK416" s="55" t="e">
        <f ca="1">VLOOKUP(AE416,ModelOutputs,4,FALSE)+AK415</f>
        <v>#N/A</v>
      </c>
    </row>
    <row r="417" spans="18:37">
      <c r="R417" s="55" t="e">
        <f ca="1"/>
        <v>#N/A</v>
      </c>
      <c r="S417" s="55" t="e">
        <f t="shared" ca="1" si="93"/>
        <v>#N/A</v>
      </c>
      <c r="T417" s="55" t="e">
        <f t="shared" ca="1" si="94"/>
        <v>#N/A</v>
      </c>
      <c r="U417" s="55" t="e">
        <f t="shared" ca="1" si="95"/>
        <v>#N/A</v>
      </c>
      <c r="V417" s="55" t="e">
        <f t="shared" ca="1" si="96"/>
        <v>#N/A</v>
      </c>
      <c r="W417" s="55" t="e">
        <f t="shared" ca="1" si="104"/>
        <v>#N/A</v>
      </c>
      <c r="X417" s="55" t="e">
        <f t="shared" ca="1" si="105"/>
        <v>#N/A</v>
      </c>
      <c r="Y417" s="55" t="e">
        <f t="shared" ca="1" si="106"/>
        <v>#N/A</v>
      </c>
      <c r="Z417" t="e">
        <f ca="1">VLOOKUP(S417,ModelOutputs,10,FALSE)*AWC</f>
        <v>#N/A</v>
      </c>
      <c r="AA417" t="e">
        <f t="shared" ca="1" si="97"/>
        <v>#N/A</v>
      </c>
      <c r="AB417" t="e">
        <f t="shared" ca="1" si="98"/>
        <v>#N/A</v>
      </c>
      <c r="AC417" t="e">
        <f t="shared" ca="1" si="99"/>
        <v>#N/A</v>
      </c>
      <c r="AD417" s="83" t="e">
        <f ca="1"/>
        <v>#N/A</v>
      </c>
      <c r="AE417" s="55" t="e">
        <f t="shared" ca="1" si="100"/>
        <v>#N/A</v>
      </c>
      <c r="AF417" s="55" t="e">
        <f t="shared" ca="1" si="101"/>
        <v>#N/A</v>
      </c>
      <c r="AG417" s="55" t="e">
        <f t="shared" ca="1" si="102"/>
        <v>#N/A</v>
      </c>
      <c r="AH417" s="55" t="e">
        <f t="shared" ca="1" si="103"/>
        <v>#N/A</v>
      </c>
      <c r="AI417" s="55" t="e">
        <f ca="1">-VLOOKUP(AE417,ModelOutputs,9,FALSE)+AI416</f>
        <v>#N/A</v>
      </c>
      <c r="AJ417" s="55" t="e">
        <f ca="1">VLOOKUP(AE417,ModelOutputs,5,FALSE)+AJ416</f>
        <v>#N/A</v>
      </c>
      <c r="AK417" s="55" t="e">
        <f ca="1">VLOOKUP(AE417,ModelOutputs,4,FALSE)+AK416</f>
        <v>#N/A</v>
      </c>
    </row>
    <row r="418" spans="18:37">
      <c r="R418" s="55" t="e">
        <f ca="1"/>
        <v>#N/A</v>
      </c>
      <c r="S418" s="55" t="e">
        <f t="shared" ca="1" si="93"/>
        <v>#N/A</v>
      </c>
      <c r="T418" s="55" t="e">
        <f t="shared" ca="1" si="94"/>
        <v>#N/A</v>
      </c>
      <c r="U418" s="55" t="e">
        <f t="shared" ca="1" si="95"/>
        <v>#N/A</v>
      </c>
      <c r="V418" s="55" t="e">
        <f t="shared" ca="1" si="96"/>
        <v>#N/A</v>
      </c>
      <c r="W418" s="55" t="e">
        <f t="shared" ca="1" si="104"/>
        <v>#N/A</v>
      </c>
      <c r="X418" s="55" t="e">
        <f t="shared" ca="1" si="105"/>
        <v>#N/A</v>
      </c>
      <c r="Y418" s="55" t="e">
        <f t="shared" ca="1" si="106"/>
        <v>#N/A</v>
      </c>
      <c r="Z418" t="e">
        <f ca="1">VLOOKUP(S418,ModelOutputs,10,FALSE)*AWC</f>
        <v>#N/A</v>
      </c>
      <c r="AA418" t="e">
        <f t="shared" ca="1" si="97"/>
        <v>#N/A</v>
      </c>
      <c r="AB418" t="e">
        <f t="shared" ca="1" si="98"/>
        <v>#N/A</v>
      </c>
      <c r="AC418" t="e">
        <f t="shared" ca="1" si="99"/>
        <v>#N/A</v>
      </c>
      <c r="AD418" s="83" t="e">
        <f ca="1"/>
        <v>#N/A</v>
      </c>
      <c r="AE418" s="55" t="e">
        <f t="shared" ca="1" si="100"/>
        <v>#N/A</v>
      </c>
      <c r="AF418" s="55" t="e">
        <f t="shared" ca="1" si="101"/>
        <v>#N/A</v>
      </c>
      <c r="AG418" s="55" t="e">
        <f t="shared" ca="1" si="102"/>
        <v>#N/A</v>
      </c>
      <c r="AH418" s="55" t="e">
        <f t="shared" ca="1" si="103"/>
        <v>#N/A</v>
      </c>
      <c r="AI418" s="55" t="e">
        <f ca="1">-VLOOKUP(AE418,ModelOutputs,9,FALSE)+AI417</f>
        <v>#N/A</v>
      </c>
      <c r="AJ418" s="55" t="e">
        <f ca="1">VLOOKUP(AE418,ModelOutputs,5,FALSE)+AJ417</f>
        <v>#N/A</v>
      </c>
      <c r="AK418" s="55" t="e">
        <f ca="1">VLOOKUP(AE418,ModelOutputs,4,FALSE)+AK417</f>
        <v>#N/A</v>
      </c>
    </row>
    <row r="419" spans="18:37">
      <c r="R419" s="55" t="e">
        <f ca="1"/>
        <v>#N/A</v>
      </c>
      <c r="S419" s="55" t="e">
        <f t="shared" ca="1" si="93"/>
        <v>#N/A</v>
      </c>
      <c r="T419" s="55" t="e">
        <f t="shared" ca="1" si="94"/>
        <v>#N/A</v>
      </c>
      <c r="U419" s="55" t="e">
        <f t="shared" ca="1" si="95"/>
        <v>#N/A</v>
      </c>
      <c r="V419" s="55" t="e">
        <f t="shared" ca="1" si="96"/>
        <v>#N/A</v>
      </c>
      <c r="W419" s="55" t="e">
        <f t="shared" ca="1" si="104"/>
        <v>#N/A</v>
      </c>
      <c r="X419" s="55" t="e">
        <f t="shared" ca="1" si="105"/>
        <v>#N/A</v>
      </c>
      <c r="Y419" s="55" t="e">
        <f t="shared" ca="1" si="106"/>
        <v>#N/A</v>
      </c>
      <c r="Z419" t="e">
        <f ca="1">VLOOKUP(S419,ModelOutputs,10,FALSE)*AWC</f>
        <v>#N/A</v>
      </c>
      <c r="AA419" t="e">
        <f t="shared" ca="1" si="97"/>
        <v>#N/A</v>
      </c>
      <c r="AB419" t="e">
        <f t="shared" ca="1" si="98"/>
        <v>#N/A</v>
      </c>
      <c r="AC419" t="e">
        <f t="shared" ca="1" si="99"/>
        <v>#N/A</v>
      </c>
      <c r="AD419" s="83" t="e">
        <f ca="1"/>
        <v>#N/A</v>
      </c>
      <c r="AE419" s="55" t="e">
        <f t="shared" ca="1" si="100"/>
        <v>#N/A</v>
      </c>
      <c r="AF419" s="55" t="e">
        <f t="shared" ca="1" si="101"/>
        <v>#N/A</v>
      </c>
      <c r="AG419" s="55" t="e">
        <f t="shared" ca="1" si="102"/>
        <v>#N/A</v>
      </c>
      <c r="AH419" s="55" t="e">
        <f t="shared" ca="1" si="103"/>
        <v>#N/A</v>
      </c>
      <c r="AI419" s="55" t="e">
        <f ca="1">-VLOOKUP(AE419,ModelOutputs,9,FALSE)+AI418</f>
        <v>#N/A</v>
      </c>
      <c r="AJ419" s="55" t="e">
        <f ca="1">VLOOKUP(AE419,ModelOutputs,5,FALSE)+AJ418</f>
        <v>#N/A</v>
      </c>
      <c r="AK419" s="55" t="e">
        <f ca="1">VLOOKUP(AE419,ModelOutputs,4,FALSE)+AK418</f>
        <v>#N/A</v>
      </c>
    </row>
    <row r="420" spans="18:37">
      <c r="R420" s="55" t="e">
        <f ca="1"/>
        <v>#N/A</v>
      </c>
      <c r="S420" s="55" t="e">
        <f t="shared" ca="1" si="93"/>
        <v>#N/A</v>
      </c>
      <c r="T420" s="55" t="e">
        <f t="shared" ca="1" si="94"/>
        <v>#N/A</v>
      </c>
      <c r="U420" s="55" t="e">
        <f t="shared" ca="1" si="95"/>
        <v>#N/A</v>
      </c>
      <c r="V420" s="55" t="e">
        <f t="shared" ca="1" si="96"/>
        <v>#N/A</v>
      </c>
      <c r="W420" s="55" t="e">
        <f t="shared" ca="1" si="104"/>
        <v>#N/A</v>
      </c>
      <c r="X420" s="55" t="e">
        <f t="shared" ca="1" si="105"/>
        <v>#N/A</v>
      </c>
      <c r="Y420" s="55" t="e">
        <f t="shared" ca="1" si="106"/>
        <v>#N/A</v>
      </c>
      <c r="Z420" t="e">
        <f ca="1">VLOOKUP(S420,ModelOutputs,10,FALSE)*AWC</f>
        <v>#N/A</v>
      </c>
      <c r="AA420" t="e">
        <f t="shared" ca="1" si="97"/>
        <v>#N/A</v>
      </c>
      <c r="AB420" t="e">
        <f t="shared" ca="1" si="98"/>
        <v>#N/A</v>
      </c>
      <c r="AC420" t="e">
        <f t="shared" ca="1" si="99"/>
        <v>#N/A</v>
      </c>
      <c r="AD420" s="83" t="e">
        <f ca="1"/>
        <v>#N/A</v>
      </c>
      <c r="AE420" s="55" t="e">
        <f t="shared" ca="1" si="100"/>
        <v>#N/A</v>
      </c>
      <c r="AF420" s="55" t="e">
        <f t="shared" ca="1" si="101"/>
        <v>#N/A</v>
      </c>
      <c r="AG420" s="55" t="e">
        <f t="shared" ca="1" si="102"/>
        <v>#N/A</v>
      </c>
      <c r="AH420" s="55" t="e">
        <f t="shared" ca="1" si="103"/>
        <v>#N/A</v>
      </c>
      <c r="AI420" s="55" t="e">
        <f ca="1">-VLOOKUP(AE420,ModelOutputs,9,FALSE)+AI419</f>
        <v>#N/A</v>
      </c>
      <c r="AJ420" s="55" t="e">
        <f ca="1">VLOOKUP(AE420,ModelOutputs,5,FALSE)+AJ419</f>
        <v>#N/A</v>
      </c>
      <c r="AK420" s="55" t="e">
        <f ca="1">VLOOKUP(AE420,ModelOutputs,4,FALSE)+AK419</f>
        <v>#N/A</v>
      </c>
    </row>
    <row r="421" spans="18:37">
      <c r="R421" s="55" t="e">
        <f ca="1"/>
        <v>#N/A</v>
      </c>
      <c r="S421" s="55" t="e">
        <f t="shared" ca="1" si="93"/>
        <v>#N/A</v>
      </c>
      <c r="T421" s="55" t="e">
        <f t="shared" ca="1" si="94"/>
        <v>#N/A</v>
      </c>
      <c r="U421" s="55" t="e">
        <f t="shared" ca="1" si="95"/>
        <v>#N/A</v>
      </c>
      <c r="V421" s="55" t="e">
        <f t="shared" ca="1" si="96"/>
        <v>#N/A</v>
      </c>
      <c r="W421" s="55" t="e">
        <f t="shared" ca="1" si="104"/>
        <v>#N/A</v>
      </c>
      <c r="X421" s="55" t="e">
        <f t="shared" ca="1" si="105"/>
        <v>#N/A</v>
      </c>
      <c r="Y421" s="55" t="e">
        <f t="shared" ca="1" si="106"/>
        <v>#N/A</v>
      </c>
      <c r="Z421" t="e">
        <f ca="1">VLOOKUP(S421,ModelOutputs,10,FALSE)*AWC</f>
        <v>#N/A</v>
      </c>
      <c r="AA421" t="e">
        <f t="shared" ca="1" si="97"/>
        <v>#N/A</v>
      </c>
      <c r="AB421" t="e">
        <f t="shared" ca="1" si="98"/>
        <v>#N/A</v>
      </c>
      <c r="AC421" t="e">
        <f t="shared" ca="1" si="99"/>
        <v>#N/A</v>
      </c>
      <c r="AD421" s="83" t="e">
        <f ca="1"/>
        <v>#N/A</v>
      </c>
      <c r="AE421" s="55" t="e">
        <f t="shared" ca="1" si="100"/>
        <v>#N/A</v>
      </c>
      <c r="AF421" s="55" t="e">
        <f t="shared" ca="1" si="101"/>
        <v>#N/A</v>
      </c>
      <c r="AG421" s="55" t="e">
        <f t="shared" ca="1" si="102"/>
        <v>#N/A</v>
      </c>
      <c r="AH421" s="55" t="e">
        <f t="shared" ca="1" si="103"/>
        <v>#N/A</v>
      </c>
      <c r="AI421" s="55" t="e">
        <f ca="1">-VLOOKUP(AE421,ModelOutputs,9,FALSE)+AI420</f>
        <v>#N/A</v>
      </c>
      <c r="AJ421" s="55" t="e">
        <f ca="1">VLOOKUP(AE421,ModelOutputs,5,FALSE)+AJ420</f>
        <v>#N/A</v>
      </c>
      <c r="AK421" s="55" t="e">
        <f ca="1">VLOOKUP(AE421,ModelOutputs,4,FALSE)+AK420</f>
        <v>#N/A</v>
      </c>
    </row>
    <row r="422" spans="18:37">
      <c r="R422" s="55" t="e">
        <f ca="1"/>
        <v>#N/A</v>
      </c>
      <c r="S422" s="55" t="e">
        <f t="shared" ca="1" si="93"/>
        <v>#N/A</v>
      </c>
      <c r="T422" s="55" t="e">
        <f t="shared" ca="1" si="94"/>
        <v>#N/A</v>
      </c>
      <c r="U422" s="55" t="e">
        <f t="shared" ca="1" si="95"/>
        <v>#N/A</v>
      </c>
      <c r="V422" s="55" t="e">
        <f t="shared" ca="1" si="96"/>
        <v>#N/A</v>
      </c>
      <c r="W422" s="55" t="e">
        <f t="shared" ca="1" si="104"/>
        <v>#N/A</v>
      </c>
      <c r="X422" s="55" t="e">
        <f t="shared" ca="1" si="105"/>
        <v>#N/A</v>
      </c>
      <c r="Y422" s="55" t="e">
        <f t="shared" ca="1" si="106"/>
        <v>#N/A</v>
      </c>
      <c r="Z422" t="e">
        <f ca="1">VLOOKUP(S422,ModelOutputs,10,FALSE)*AWC</f>
        <v>#N/A</v>
      </c>
      <c r="AA422" t="e">
        <f t="shared" ca="1" si="97"/>
        <v>#N/A</v>
      </c>
      <c r="AB422" t="e">
        <f t="shared" ca="1" si="98"/>
        <v>#N/A</v>
      </c>
      <c r="AC422" t="e">
        <f t="shared" ca="1" si="99"/>
        <v>#N/A</v>
      </c>
      <c r="AD422" s="83" t="e">
        <f ca="1"/>
        <v>#N/A</v>
      </c>
      <c r="AE422" s="55" t="e">
        <f t="shared" ca="1" si="100"/>
        <v>#N/A</v>
      </c>
      <c r="AF422" s="55" t="e">
        <f t="shared" ca="1" si="101"/>
        <v>#N/A</v>
      </c>
      <c r="AG422" s="55" t="e">
        <f t="shared" ca="1" si="102"/>
        <v>#N/A</v>
      </c>
      <c r="AH422" s="55" t="e">
        <f t="shared" ca="1" si="103"/>
        <v>#N/A</v>
      </c>
      <c r="AI422" s="55" t="e">
        <f ca="1">-VLOOKUP(AE422,ModelOutputs,9,FALSE)+AI421</f>
        <v>#N/A</v>
      </c>
      <c r="AJ422" s="55" t="e">
        <f ca="1">VLOOKUP(AE422,ModelOutputs,5,FALSE)+AJ421</f>
        <v>#N/A</v>
      </c>
      <c r="AK422" s="55" t="e">
        <f ca="1">VLOOKUP(AE422,ModelOutputs,4,FALSE)+AK421</f>
        <v>#N/A</v>
      </c>
    </row>
    <row r="423" spans="18:37">
      <c r="R423" s="55" t="e">
        <f ca="1"/>
        <v>#N/A</v>
      </c>
      <c r="S423" s="55" t="e">
        <f t="shared" ca="1" si="93"/>
        <v>#N/A</v>
      </c>
      <c r="T423" s="55" t="e">
        <f t="shared" ca="1" si="94"/>
        <v>#N/A</v>
      </c>
      <c r="U423" s="55" t="e">
        <f t="shared" ca="1" si="95"/>
        <v>#N/A</v>
      </c>
      <c r="V423" s="55" t="e">
        <f t="shared" ca="1" si="96"/>
        <v>#N/A</v>
      </c>
      <c r="W423" s="55" t="e">
        <f t="shared" ca="1" si="104"/>
        <v>#N/A</v>
      </c>
      <c r="X423" s="55" t="e">
        <f t="shared" ca="1" si="105"/>
        <v>#N/A</v>
      </c>
      <c r="Y423" s="55" t="e">
        <f t="shared" ca="1" si="106"/>
        <v>#N/A</v>
      </c>
      <c r="Z423" t="e">
        <f ca="1">VLOOKUP(S423,ModelOutputs,10,FALSE)*AWC</f>
        <v>#N/A</v>
      </c>
      <c r="AA423" t="e">
        <f t="shared" ca="1" si="97"/>
        <v>#N/A</v>
      </c>
      <c r="AB423" t="e">
        <f t="shared" ca="1" si="98"/>
        <v>#N/A</v>
      </c>
      <c r="AC423" t="e">
        <f t="shared" ca="1" si="99"/>
        <v>#N/A</v>
      </c>
      <c r="AD423" s="83" t="e">
        <f ca="1"/>
        <v>#N/A</v>
      </c>
      <c r="AE423" s="55" t="e">
        <f t="shared" ca="1" si="100"/>
        <v>#N/A</v>
      </c>
      <c r="AF423" s="55" t="e">
        <f t="shared" ca="1" si="101"/>
        <v>#N/A</v>
      </c>
      <c r="AG423" s="55" t="e">
        <f t="shared" ca="1" si="102"/>
        <v>#N/A</v>
      </c>
      <c r="AH423" s="55" t="e">
        <f t="shared" ca="1" si="103"/>
        <v>#N/A</v>
      </c>
      <c r="AI423" s="55" t="e">
        <f ca="1">-VLOOKUP(AE423,ModelOutputs,9,FALSE)+AI422</f>
        <v>#N/A</v>
      </c>
      <c r="AJ423" s="55" t="e">
        <f ca="1">VLOOKUP(AE423,ModelOutputs,5,FALSE)+AJ422</f>
        <v>#N/A</v>
      </c>
      <c r="AK423" s="55" t="e">
        <f ca="1">VLOOKUP(AE423,ModelOutputs,4,FALSE)+AK422</f>
        <v>#N/A</v>
      </c>
    </row>
    <row r="424" spans="18:37">
      <c r="R424" s="55" t="e">
        <f ca="1"/>
        <v>#N/A</v>
      </c>
      <c r="S424" s="55" t="e">
        <f t="shared" ca="1" si="93"/>
        <v>#N/A</v>
      </c>
      <c r="T424" s="55" t="e">
        <f t="shared" ca="1" si="94"/>
        <v>#N/A</v>
      </c>
      <c r="U424" s="55" t="e">
        <f t="shared" ca="1" si="95"/>
        <v>#N/A</v>
      </c>
      <c r="V424" s="55" t="e">
        <f t="shared" ca="1" si="96"/>
        <v>#N/A</v>
      </c>
      <c r="W424" s="55" t="e">
        <f t="shared" ca="1" si="104"/>
        <v>#N/A</v>
      </c>
      <c r="X424" s="55" t="e">
        <f t="shared" ca="1" si="105"/>
        <v>#N/A</v>
      </c>
      <c r="Y424" s="55" t="e">
        <f t="shared" ca="1" si="106"/>
        <v>#N/A</v>
      </c>
      <c r="Z424" t="e">
        <f ca="1">VLOOKUP(S424,ModelOutputs,10,FALSE)*AWC</f>
        <v>#N/A</v>
      </c>
      <c r="AA424" t="e">
        <f t="shared" ca="1" si="97"/>
        <v>#N/A</v>
      </c>
      <c r="AB424" t="e">
        <f t="shared" ca="1" si="98"/>
        <v>#N/A</v>
      </c>
      <c r="AC424" t="e">
        <f t="shared" ca="1" si="99"/>
        <v>#N/A</v>
      </c>
      <c r="AD424" s="83" t="e">
        <f ca="1"/>
        <v>#N/A</v>
      </c>
      <c r="AE424" s="55" t="e">
        <f t="shared" ca="1" si="100"/>
        <v>#N/A</v>
      </c>
      <c r="AF424" s="55" t="e">
        <f t="shared" ca="1" si="101"/>
        <v>#N/A</v>
      </c>
      <c r="AG424" s="55" t="e">
        <f t="shared" ca="1" si="102"/>
        <v>#N/A</v>
      </c>
      <c r="AH424" s="55" t="e">
        <f t="shared" ca="1" si="103"/>
        <v>#N/A</v>
      </c>
      <c r="AI424" s="55" t="e">
        <f ca="1">-VLOOKUP(AE424,ModelOutputs,9,FALSE)+AI423</f>
        <v>#N/A</v>
      </c>
      <c r="AJ424" s="55" t="e">
        <f ca="1">VLOOKUP(AE424,ModelOutputs,5,FALSE)+AJ423</f>
        <v>#N/A</v>
      </c>
      <c r="AK424" s="55" t="e">
        <f ca="1">VLOOKUP(AE424,ModelOutputs,4,FALSE)+AK423</f>
        <v>#N/A</v>
      </c>
    </row>
    <row r="425" spans="18:37">
      <c r="R425" s="55" t="e">
        <f ca="1"/>
        <v>#N/A</v>
      </c>
      <c r="S425" s="55" t="e">
        <f t="shared" ca="1" si="93"/>
        <v>#N/A</v>
      </c>
      <c r="T425" s="55" t="e">
        <f t="shared" ca="1" si="94"/>
        <v>#N/A</v>
      </c>
      <c r="U425" s="55" t="e">
        <f t="shared" ca="1" si="95"/>
        <v>#N/A</v>
      </c>
      <c r="V425" s="55" t="e">
        <f t="shared" ca="1" si="96"/>
        <v>#N/A</v>
      </c>
      <c r="W425" s="55" t="e">
        <f t="shared" ca="1" si="104"/>
        <v>#N/A</v>
      </c>
      <c r="X425" s="55" t="e">
        <f t="shared" ca="1" si="105"/>
        <v>#N/A</v>
      </c>
      <c r="Y425" s="55" t="e">
        <f t="shared" ca="1" si="106"/>
        <v>#N/A</v>
      </c>
      <c r="Z425" t="e">
        <f ca="1">VLOOKUP(S425,ModelOutputs,10,FALSE)*AWC</f>
        <v>#N/A</v>
      </c>
      <c r="AA425" t="e">
        <f t="shared" ca="1" si="97"/>
        <v>#N/A</v>
      </c>
      <c r="AB425" t="e">
        <f t="shared" ca="1" si="98"/>
        <v>#N/A</v>
      </c>
      <c r="AC425" t="e">
        <f t="shared" ca="1" si="99"/>
        <v>#N/A</v>
      </c>
      <c r="AD425" s="83" t="e">
        <f ca="1"/>
        <v>#N/A</v>
      </c>
      <c r="AE425" s="55" t="e">
        <f t="shared" ca="1" si="100"/>
        <v>#N/A</v>
      </c>
      <c r="AF425" s="55" t="e">
        <f t="shared" ca="1" si="101"/>
        <v>#N/A</v>
      </c>
      <c r="AG425" s="55" t="e">
        <f t="shared" ca="1" si="102"/>
        <v>#N/A</v>
      </c>
      <c r="AH425" s="55" t="e">
        <f t="shared" ca="1" si="103"/>
        <v>#N/A</v>
      </c>
      <c r="AI425" s="55" t="e">
        <f ca="1">-VLOOKUP(AE425,ModelOutputs,9,FALSE)+AI424</f>
        <v>#N/A</v>
      </c>
      <c r="AJ425" s="55" t="e">
        <f ca="1">VLOOKUP(AE425,ModelOutputs,5,FALSE)+AJ424</f>
        <v>#N/A</v>
      </c>
      <c r="AK425" s="55" t="e">
        <f ca="1">VLOOKUP(AE425,ModelOutputs,4,FALSE)+AK424</f>
        <v>#N/A</v>
      </c>
    </row>
    <row r="426" spans="18:37">
      <c r="R426" s="55" t="e">
        <f ca="1"/>
        <v>#N/A</v>
      </c>
      <c r="S426" s="55" t="e">
        <f t="shared" ca="1" si="93"/>
        <v>#N/A</v>
      </c>
      <c r="T426" s="55" t="e">
        <f t="shared" ca="1" si="94"/>
        <v>#N/A</v>
      </c>
      <c r="U426" s="55" t="e">
        <f t="shared" ca="1" si="95"/>
        <v>#N/A</v>
      </c>
      <c r="V426" s="55" t="e">
        <f t="shared" ca="1" si="96"/>
        <v>#N/A</v>
      </c>
      <c r="W426" s="55" t="e">
        <f t="shared" ca="1" si="104"/>
        <v>#N/A</v>
      </c>
      <c r="X426" s="55" t="e">
        <f t="shared" ca="1" si="105"/>
        <v>#N/A</v>
      </c>
      <c r="Y426" s="55" t="e">
        <f t="shared" ca="1" si="106"/>
        <v>#N/A</v>
      </c>
      <c r="Z426" t="e">
        <f ca="1">VLOOKUP(S426,ModelOutputs,10,FALSE)*AWC</f>
        <v>#N/A</v>
      </c>
      <c r="AA426" t="e">
        <f t="shared" ca="1" si="97"/>
        <v>#N/A</v>
      </c>
      <c r="AB426" t="e">
        <f t="shared" ca="1" si="98"/>
        <v>#N/A</v>
      </c>
      <c r="AC426" t="e">
        <f t="shared" ca="1" si="99"/>
        <v>#N/A</v>
      </c>
      <c r="AD426" s="83" t="e">
        <f ca="1"/>
        <v>#N/A</v>
      </c>
      <c r="AE426" s="55" t="e">
        <f t="shared" ca="1" si="100"/>
        <v>#N/A</v>
      </c>
      <c r="AF426" s="55" t="e">
        <f t="shared" ca="1" si="101"/>
        <v>#N/A</v>
      </c>
      <c r="AG426" s="55" t="e">
        <f t="shared" ca="1" si="102"/>
        <v>#N/A</v>
      </c>
      <c r="AH426" s="55" t="e">
        <f t="shared" ca="1" si="103"/>
        <v>#N/A</v>
      </c>
      <c r="AI426" s="55" t="e">
        <f ca="1">-VLOOKUP(AE426,ModelOutputs,9,FALSE)+AI425</f>
        <v>#N/A</v>
      </c>
      <c r="AJ426" s="55" t="e">
        <f ca="1">VLOOKUP(AE426,ModelOutputs,5,FALSE)+AJ425</f>
        <v>#N/A</v>
      </c>
      <c r="AK426" s="55" t="e">
        <f ca="1">VLOOKUP(AE426,ModelOutputs,4,FALSE)+AK425</f>
        <v>#N/A</v>
      </c>
    </row>
    <row r="427" spans="18:37">
      <c r="R427" s="55" t="e">
        <f ca="1"/>
        <v>#N/A</v>
      </c>
      <c r="S427" s="55" t="e">
        <f t="shared" ca="1" si="93"/>
        <v>#N/A</v>
      </c>
      <c r="T427" s="55" t="e">
        <f t="shared" ca="1" si="94"/>
        <v>#N/A</v>
      </c>
      <c r="U427" s="55" t="e">
        <f t="shared" ca="1" si="95"/>
        <v>#N/A</v>
      </c>
      <c r="V427" s="55" t="e">
        <f t="shared" ca="1" si="96"/>
        <v>#N/A</v>
      </c>
      <c r="W427" s="55" t="e">
        <f t="shared" ca="1" si="104"/>
        <v>#N/A</v>
      </c>
      <c r="X427" s="55" t="e">
        <f t="shared" ca="1" si="105"/>
        <v>#N/A</v>
      </c>
      <c r="Y427" s="55" t="e">
        <f t="shared" ca="1" si="106"/>
        <v>#N/A</v>
      </c>
      <c r="Z427" t="e">
        <f ca="1">VLOOKUP(S427,ModelOutputs,10,FALSE)*AWC</f>
        <v>#N/A</v>
      </c>
      <c r="AA427" t="e">
        <f t="shared" ca="1" si="97"/>
        <v>#N/A</v>
      </c>
      <c r="AB427" t="e">
        <f t="shared" ca="1" si="98"/>
        <v>#N/A</v>
      </c>
      <c r="AC427" t="e">
        <f t="shared" ca="1" si="99"/>
        <v>#N/A</v>
      </c>
      <c r="AD427" s="83" t="e">
        <f ca="1"/>
        <v>#N/A</v>
      </c>
      <c r="AE427" s="55" t="e">
        <f t="shared" ca="1" si="100"/>
        <v>#N/A</v>
      </c>
      <c r="AF427" s="55" t="e">
        <f t="shared" ca="1" si="101"/>
        <v>#N/A</v>
      </c>
      <c r="AG427" s="55" t="e">
        <f t="shared" ca="1" si="102"/>
        <v>#N/A</v>
      </c>
      <c r="AH427" s="55" t="e">
        <f t="shared" ca="1" si="103"/>
        <v>#N/A</v>
      </c>
      <c r="AI427" s="55" t="e">
        <f ca="1">-VLOOKUP(AE427,ModelOutputs,9,FALSE)+AI426</f>
        <v>#N/A</v>
      </c>
      <c r="AJ427" s="55" t="e">
        <f ca="1">VLOOKUP(AE427,ModelOutputs,5,FALSE)+AJ426</f>
        <v>#N/A</v>
      </c>
      <c r="AK427" s="55" t="e">
        <f ca="1">VLOOKUP(AE427,ModelOutputs,4,FALSE)+AK426</f>
        <v>#N/A</v>
      </c>
    </row>
    <row r="428" spans="18:37">
      <c r="R428" s="55" t="e">
        <f ca="1"/>
        <v>#N/A</v>
      </c>
      <c r="S428" s="55" t="e">
        <f t="shared" ca="1" si="93"/>
        <v>#N/A</v>
      </c>
      <c r="T428" s="55" t="e">
        <f t="shared" ca="1" si="94"/>
        <v>#N/A</v>
      </c>
      <c r="U428" s="55" t="e">
        <f t="shared" ca="1" si="95"/>
        <v>#N/A</v>
      </c>
      <c r="V428" s="55" t="e">
        <f t="shared" ca="1" si="96"/>
        <v>#N/A</v>
      </c>
      <c r="W428" s="55" t="e">
        <f t="shared" ca="1" si="104"/>
        <v>#N/A</v>
      </c>
      <c r="X428" s="55" t="e">
        <f t="shared" ca="1" si="105"/>
        <v>#N/A</v>
      </c>
      <c r="Y428" s="55" t="e">
        <f t="shared" ca="1" si="106"/>
        <v>#N/A</v>
      </c>
      <c r="Z428" t="e">
        <f ca="1">VLOOKUP(S428,ModelOutputs,10,FALSE)*AWC</f>
        <v>#N/A</v>
      </c>
      <c r="AA428" t="e">
        <f t="shared" ca="1" si="97"/>
        <v>#N/A</v>
      </c>
      <c r="AB428" t="e">
        <f t="shared" ca="1" si="98"/>
        <v>#N/A</v>
      </c>
      <c r="AC428" t="e">
        <f t="shared" ca="1" si="99"/>
        <v>#N/A</v>
      </c>
      <c r="AD428" s="83" t="e">
        <f ca="1"/>
        <v>#N/A</v>
      </c>
      <c r="AE428" s="55" t="e">
        <f t="shared" ca="1" si="100"/>
        <v>#N/A</v>
      </c>
      <c r="AF428" s="55" t="e">
        <f t="shared" ca="1" si="101"/>
        <v>#N/A</v>
      </c>
      <c r="AG428" s="55" t="e">
        <f t="shared" ca="1" si="102"/>
        <v>#N/A</v>
      </c>
      <c r="AH428" s="55" t="e">
        <f t="shared" ca="1" si="103"/>
        <v>#N/A</v>
      </c>
      <c r="AI428" s="55" t="e">
        <f ca="1">-VLOOKUP(AE428,ModelOutputs,9,FALSE)+AI427</f>
        <v>#N/A</v>
      </c>
      <c r="AJ428" s="55" t="e">
        <f ca="1">VLOOKUP(AE428,ModelOutputs,5,FALSE)+AJ427</f>
        <v>#N/A</v>
      </c>
      <c r="AK428" s="55" t="e">
        <f ca="1">VLOOKUP(AE428,ModelOutputs,4,FALSE)+AK427</f>
        <v>#N/A</v>
      </c>
    </row>
    <row r="429" spans="18:37">
      <c r="R429" s="55" t="e">
        <f ca="1"/>
        <v>#N/A</v>
      </c>
      <c r="S429" s="55" t="e">
        <f t="shared" ca="1" si="93"/>
        <v>#N/A</v>
      </c>
      <c r="T429" s="55" t="e">
        <f t="shared" ca="1" si="94"/>
        <v>#N/A</v>
      </c>
      <c r="U429" s="55" t="e">
        <f t="shared" ca="1" si="95"/>
        <v>#N/A</v>
      </c>
      <c r="V429" s="55" t="e">
        <f t="shared" ca="1" si="96"/>
        <v>#N/A</v>
      </c>
      <c r="W429" s="55" t="e">
        <f t="shared" ca="1" si="104"/>
        <v>#N/A</v>
      </c>
      <c r="X429" s="55" t="e">
        <f t="shared" ca="1" si="105"/>
        <v>#N/A</v>
      </c>
      <c r="Y429" s="55" t="e">
        <f t="shared" ca="1" si="106"/>
        <v>#N/A</v>
      </c>
      <c r="Z429" t="e">
        <f ca="1">VLOOKUP(S429,ModelOutputs,10,FALSE)*AWC</f>
        <v>#N/A</v>
      </c>
      <c r="AA429" t="e">
        <f t="shared" ca="1" si="97"/>
        <v>#N/A</v>
      </c>
      <c r="AB429" t="e">
        <f t="shared" ca="1" si="98"/>
        <v>#N/A</v>
      </c>
      <c r="AC429" t="e">
        <f t="shared" ca="1" si="99"/>
        <v>#N/A</v>
      </c>
      <c r="AD429" s="83" t="e">
        <f ca="1"/>
        <v>#N/A</v>
      </c>
      <c r="AE429" s="55" t="e">
        <f t="shared" ca="1" si="100"/>
        <v>#N/A</v>
      </c>
      <c r="AF429" s="55" t="e">
        <f t="shared" ca="1" si="101"/>
        <v>#N/A</v>
      </c>
      <c r="AG429" s="55" t="e">
        <f t="shared" ca="1" si="102"/>
        <v>#N/A</v>
      </c>
      <c r="AH429" s="55" t="e">
        <f t="shared" ca="1" si="103"/>
        <v>#N/A</v>
      </c>
      <c r="AI429" s="55" t="e">
        <f ca="1">-VLOOKUP(AE429,ModelOutputs,9,FALSE)+AI428</f>
        <v>#N/A</v>
      </c>
      <c r="AJ429" s="55" t="e">
        <f ca="1">VLOOKUP(AE429,ModelOutputs,5,FALSE)+AJ428</f>
        <v>#N/A</v>
      </c>
      <c r="AK429" s="55" t="e">
        <f ca="1">VLOOKUP(AE429,ModelOutputs,4,FALSE)+AK428</f>
        <v>#N/A</v>
      </c>
    </row>
    <row r="430" spans="18:37">
      <c r="R430" s="55" t="e">
        <f ca="1"/>
        <v>#N/A</v>
      </c>
      <c r="S430" s="55" t="e">
        <f t="shared" ca="1" si="93"/>
        <v>#N/A</v>
      </c>
      <c r="T430" s="55" t="e">
        <f t="shared" ca="1" si="94"/>
        <v>#N/A</v>
      </c>
      <c r="U430" s="55" t="e">
        <f t="shared" ca="1" si="95"/>
        <v>#N/A</v>
      </c>
      <c r="V430" s="55" t="e">
        <f t="shared" ca="1" si="96"/>
        <v>#N/A</v>
      </c>
      <c r="W430" s="55" t="e">
        <f t="shared" ca="1" si="104"/>
        <v>#N/A</v>
      </c>
      <c r="X430" s="55" t="e">
        <f t="shared" ca="1" si="105"/>
        <v>#N/A</v>
      </c>
      <c r="Y430" s="55" t="e">
        <f t="shared" ca="1" si="106"/>
        <v>#N/A</v>
      </c>
      <c r="Z430" t="e">
        <f ca="1">VLOOKUP(S430,ModelOutputs,10,FALSE)*AWC</f>
        <v>#N/A</v>
      </c>
      <c r="AA430" t="e">
        <f t="shared" ca="1" si="97"/>
        <v>#N/A</v>
      </c>
      <c r="AB430" t="e">
        <f t="shared" ca="1" si="98"/>
        <v>#N/A</v>
      </c>
      <c r="AC430" t="e">
        <f t="shared" ca="1" si="99"/>
        <v>#N/A</v>
      </c>
      <c r="AD430" s="83" t="e">
        <f ca="1"/>
        <v>#N/A</v>
      </c>
      <c r="AE430" s="55" t="e">
        <f t="shared" ca="1" si="100"/>
        <v>#N/A</v>
      </c>
      <c r="AF430" s="55" t="e">
        <f t="shared" ca="1" si="101"/>
        <v>#N/A</v>
      </c>
      <c r="AG430" s="55" t="e">
        <f t="shared" ca="1" si="102"/>
        <v>#N/A</v>
      </c>
      <c r="AH430" s="55" t="e">
        <f t="shared" ca="1" si="103"/>
        <v>#N/A</v>
      </c>
      <c r="AI430" s="55" t="e">
        <f ca="1">-VLOOKUP(AE430,ModelOutputs,9,FALSE)+AI429</f>
        <v>#N/A</v>
      </c>
      <c r="AJ430" s="55" t="e">
        <f ca="1">VLOOKUP(AE430,ModelOutputs,5,FALSE)+AJ429</f>
        <v>#N/A</v>
      </c>
      <c r="AK430" s="55" t="e">
        <f ca="1">VLOOKUP(AE430,ModelOutputs,4,FALSE)+AK429</f>
        <v>#N/A</v>
      </c>
    </row>
    <row r="431" spans="18:37">
      <c r="R431" s="55" t="e">
        <f ca="1"/>
        <v>#N/A</v>
      </c>
      <c r="S431" s="55" t="e">
        <f t="shared" ca="1" si="93"/>
        <v>#N/A</v>
      </c>
      <c r="T431" s="55" t="e">
        <f t="shared" ca="1" si="94"/>
        <v>#N/A</v>
      </c>
      <c r="U431" s="55" t="e">
        <f t="shared" ca="1" si="95"/>
        <v>#N/A</v>
      </c>
      <c r="V431" s="55" t="e">
        <f t="shared" ca="1" si="96"/>
        <v>#N/A</v>
      </c>
      <c r="W431" s="55" t="e">
        <f t="shared" ca="1" si="104"/>
        <v>#N/A</v>
      </c>
      <c r="X431" s="55" t="e">
        <f t="shared" ca="1" si="105"/>
        <v>#N/A</v>
      </c>
      <c r="Y431" s="55" t="e">
        <f t="shared" ca="1" si="106"/>
        <v>#N/A</v>
      </c>
      <c r="Z431" t="e">
        <f ca="1">VLOOKUP(S431,ModelOutputs,10,FALSE)*AWC</f>
        <v>#N/A</v>
      </c>
      <c r="AA431" t="e">
        <f t="shared" ca="1" si="97"/>
        <v>#N/A</v>
      </c>
      <c r="AB431" t="e">
        <f t="shared" ca="1" si="98"/>
        <v>#N/A</v>
      </c>
      <c r="AC431" t="e">
        <f t="shared" ca="1" si="99"/>
        <v>#N/A</v>
      </c>
      <c r="AD431" s="83" t="e">
        <f ca="1"/>
        <v>#N/A</v>
      </c>
      <c r="AE431" s="55" t="e">
        <f t="shared" ca="1" si="100"/>
        <v>#N/A</v>
      </c>
      <c r="AF431" s="55" t="e">
        <f t="shared" ca="1" si="101"/>
        <v>#N/A</v>
      </c>
      <c r="AG431" s="55" t="e">
        <f t="shared" ca="1" si="102"/>
        <v>#N/A</v>
      </c>
      <c r="AH431" s="55" t="e">
        <f t="shared" ca="1" si="103"/>
        <v>#N/A</v>
      </c>
      <c r="AI431" s="55" t="e">
        <f ca="1">-VLOOKUP(AE431,ModelOutputs,9,FALSE)+AI430</f>
        <v>#N/A</v>
      </c>
      <c r="AJ431" s="55" t="e">
        <f ca="1">VLOOKUP(AE431,ModelOutputs,5,FALSE)+AJ430</f>
        <v>#N/A</v>
      </c>
      <c r="AK431" s="55" t="e">
        <f ca="1">VLOOKUP(AE431,ModelOutputs,4,FALSE)+AK430</f>
        <v>#N/A</v>
      </c>
    </row>
    <row r="432" spans="18:37">
      <c r="R432" s="55" t="e">
        <f ca="1"/>
        <v>#N/A</v>
      </c>
      <c r="S432" s="55" t="e">
        <f t="shared" ca="1" si="93"/>
        <v>#N/A</v>
      </c>
      <c r="T432" s="55" t="e">
        <f t="shared" ca="1" si="94"/>
        <v>#N/A</v>
      </c>
      <c r="U432" s="55" t="e">
        <f t="shared" ca="1" si="95"/>
        <v>#N/A</v>
      </c>
      <c r="V432" s="55" t="e">
        <f t="shared" ca="1" si="96"/>
        <v>#N/A</v>
      </c>
      <c r="W432" s="55" t="e">
        <f t="shared" ca="1" si="104"/>
        <v>#N/A</v>
      </c>
      <c r="X432" s="55" t="e">
        <f t="shared" ca="1" si="105"/>
        <v>#N/A</v>
      </c>
      <c r="Y432" s="55" t="e">
        <f t="shared" ca="1" si="106"/>
        <v>#N/A</v>
      </c>
      <c r="Z432" t="e">
        <f ca="1">VLOOKUP(S432,ModelOutputs,10,FALSE)*AWC</f>
        <v>#N/A</v>
      </c>
      <c r="AA432" t="e">
        <f t="shared" ca="1" si="97"/>
        <v>#N/A</v>
      </c>
      <c r="AB432" t="e">
        <f t="shared" ca="1" si="98"/>
        <v>#N/A</v>
      </c>
      <c r="AC432" t="e">
        <f t="shared" ca="1" si="99"/>
        <v>#N/A</v>
      </c>
      <c r="AD432" s="83" t="e">
        <f ca="1"/>
        <v>#N/A</v>
      </c>
      <c r="AE432" s="55" t="e">
        <f t="shared" ca="1" si="100"/>
        <v>#N/A</v>
      </c>
      <c r="AF432" s="55" t="e">
        <f t="shared" ca="1" si="101"/>
        <v>#N/A</v>
      </c>
      <c r="AG432" s="55" t="e">
        <f t="shared" ca="1" si="102"/>
        <v>#N/A</v>
      </c>
      <c r="AH432" s="55" t="e">
        <f t="shared" ca="1" si="103"/>
        <v>#N/A</v>
      </c>
      <c r="AI432" s="55" t="e">
        <f ca="1">-VLOOKUP(AE432,ModelOutputs,9,FALSE)+AI431</f>
        <v>#N/A</v>
      </c>
      <c r="AJ432" s="55" t="e">
        <f ca="1">VLOOKUP(AE432,ModelOutputs,5,FALSE)+AJ431</f>
        <v>#N/A</v>
      </c>
      <c r="AK432" s="55" t="e">
        <f ca="1">VLOOKUP(AE432,ModelOutputs,4,FALSE)+AK431</f>
        <v>#N/A</v>
      </c>
    </row>
    <row r="433" spans="18:37">
      <c r="R433" s="55" t="e">
        <f ca="1"/>
        <v>#N/A</v>
      </c>
      <c r="S433" s="55" t="e">
        <f t="shared" ca="1" si="93"/>
        <v>#N/A</v>
      </c>
      <c r="T433" s="55" t="e">
        <f t="shared" ca="1" si="94"/>
        <v>#N/A</v>
      </c>
      <c r="U433" s="55" t="e">
        <f t="shared" ca="1" si="95"/>
        <v>#N/A</v>
      </c>
      <c r="V433" s="55" t="e">
        <f t="shared" ca="1" si="96"/>
        <v>#N/A</v>
      </c>
      <c r="W433" s="55" t="e">
        <f t="shared" ca="1" si="104"/>
        <v>#N/A</v>
      </c>
      <c r="X433" s="55" t="e">
        <f t="shared" ca="1" si="105"/>
        <v>#N/A</v>
      </c>
      <c r="Y433" s="55" t="e">
        <f t="shared" ca="1" si="106"/>
        <v>#N/A</v>
      </c>
      <c r="Z433" t="e">
        <f ca="1">VLOOKUP(S433,ModelOutputs,10,FALSE)*AWC</f>
        <v>#N/A</v>
      </c>
      <c r="AA433" t="e">
        <f t="shared" ca="1" si="97"/>
        <v>#N/A</v>
      </c>
      <c r="AB433" t="e">
        <f t="shared" ca="1" si="98"/>
        <v>#N/A</v>
      </c>
      <c r="AC433" t="e">
        <f t="shared" ca="1" si="99"/>
        <v>#N/A</v>
      </c>
      <c r="AD433" s="83" t="e">
        <f ca="1"/>
        <v>#N/A</v>
      </c>
      <c r="AE433" s="55" t="e">
        <f t="shared" ca="1" si="100"/>
        <v>#N/A</v>
      </c>
      <c r="AF433" s="55" t="e">
        <f t="shared" ca="1" si="101"/>
        <v>#N/A</v>
      </c>
      <c r="AG433" s="55" t="e">
        <f t="shared" ca="1" si="102"/>
        <v>#N/A</v>
      </c>
      <c r="AH433" s="55" t="e">
        <f t="shared" ca="1" si="103"/>
        <v>#N/A</v>
      </c>
      <c r="AI433" s="55" t="e">
        <f ca="1">-VLOOKUP(AE433,ModelOutputs,9,FALSE)+AI432</f>
        <v>#N/A</v>
      </c>
      <c r="AJ433" s="55" t="e">
        <f ca="1">VLOOKUP(AE433,ModelOutputs,5,FALSE)+AJ432</f>
        <v>#N/A</v>
      </c>
      <c r="AK433" s="55" t="e">
        <f ca="1">VLOOKUP(AE433,ModelOutputs,4,FALSE)+AK432</f>
        <v>#N/A</v>
      </c>
    </row>
    <row r="434" spans="18:37">
      <c r="R434" s="55" t="e">
        <f ca="1"/>
        <v>#N/A</v>
      </c>
      <c r="S434" s="55" t="e">
        <f t="shared" ca="1" si="93"/>
        <v>#N/A</v>
      </c>
      <c r="T434" s="55" t="e">
        <f t="shared" ca="1" si="94"/>
        <v>#N/A</v>
      </c>
      <c r="U434" s="55" t="e">
        <f t="shared" ca="1" si="95"/>
        <v>#N/A</v>
      </c>
      <c r="V434" s="55" t="e">
        <f t="shared" ca="1" si="96"/>
        <v>#N/A</v>
      </c>
      <c r="W434" s="55" t="e">
        <f t="shared" ca="1" si="104"/>
        <v>#N/A</v>
      </c>
      <c r="X434" s="55" t="e">
        <f t="shared" ca="1" si="105"/>
        <v>#N/A</v>
      </c>
      <c r="Y434" s="55" t="e">
        <f t="shared" ca="1" si="106"/>
        <v>#N/A</v>
      </c>
      <c r="Z434" t="e">
        <f ca="1">VLOOKUP(S434,ModelOutputs,10,FALSE)*AWC</f>
        <v>#N/A</v>
      </c>
      <c r="AA434" t="e">
        <f t="shared" ca="1" si="97"/>
        <v>#N/A</v>
      </c>
      <c r="AB434" t="e">
        <f t="shared" ca="1" si="98"/>
        <v>#N/A</v>
      </c>
      <c r="AC434" t="e">
        <f t="shared" ca="1" si="99"/>
        <v>#N/A</v>
      </c>
      <c r="AD434" s="83" t="e">
        <f ca="1"/>
        <v>#N/A</v>
      </c>
      <c r="AE434" s="55" t="e">
        <f t="shared" ca="1" si="100"/>
        <v>#N/A</v>
      </c>
      <c r="AF434" s="55" t="e">
        <f t="shared" ca="1" si="101"/>
        <v>#N/A</v>
      </c>
      <c r="AG434" s="55" t="e">
        <f t="shared" ca="1" si="102"/>
        <v>#N/A</v>
      </c>
      <c r="AH434" s="55" t="e">
        <f t="shared" ca="1" si="103"/>
        <v>#N/A</v>
      </c>
      <c r="AI434" s="55" t="e">
        <f ca="1">-VLOOKUP(AE434,ModelOutputs,9,FALSE)+AI433</f>
        <v>#N/A</v>
      </c>
      <c r="AJ434" s="55" t="e">
        <f ca="1">VLOOKUP(AE434,ModelOutputs,5,FALSE)+AJ433</f>
        <v>#N/A</v>
      </c>
      <c r="AK434" s="55" t="e">
        <f ca="1">VLOOKUP(AE434,ModelOutputs,4,FALSE)+AK433</f>
        <v>#N/A</v>
      </c>
    </row>
    <row r="435" spans="18:37">
      <c r="R435" s="55" t="e">
        <f ca="1"/>
        <v>#N/A</v>
      </c>
      <c r="S435" s="55" t="e">
        <f t="shared" ca="1" si="93"/>
        <v>#N/A</v>
      </c>
      <c r="T435" s="55" t="e">
        <f t="shared" ca="1" si="94"/>
        <v>#N/A</v>
      </c>
      <c r="U435" s="55" t="e">
        <f t="shared" ca="1" si="95"/>
        <v>#N/A</v>
      </c>
      <c r="V435" s="55" t="e">
        <f t="shared" ca="1" si="96"/>
        <v>#N/A</v>
      </c>
      <c r="W435" s="55" t="e">
        <f t="shared" ca="1" si="104"/>
        <v>#N/A</v>
      </c>
      <c r="X435" s="55" t="e">
        <f t="shared" ca="1" si="105"/>
        <v>#N/A</v>
      </c>
      <c r="Y435" s="55" t="e">
        <f t="shared" ca="1" si="106"/>
        <v>#N/A</v>
      </c>
      <c r="Z435" t="e">
        <f ca="1">VLOOKUP(S435,ModelOutputs,10,FALSE)*AWC</f>
        <v>#N/A</v>
      </c>
      <c r="AA435" t="e">
        <f t="shared" ca="1" si="97"/>
        <v>#N/A</v>
      </c>
      <c r="AB435" t="e">
        <f t="shared" ca="1" si="98"/>
        <v>#N/A</v>
      </c>
      <c r="AC435" t="e">
        <f t="shared" ca="1" si="99"/>
        <v>#N/A</v>
      </c>
      <c r="AD435" s="83" t="e">
        <f ca="1"/>
        <v>#N/A</v>
      </c>
      <c r="AE435" s="55" t="e">
        <f t="shared" ca="1" si="100"/>
        <v>#N/A</v>
      </c>
      <c r="AF435" s="55" t="e">
        <f t="shared" ca="1" si="101"/>
        <v>#N/A</v>
      </c>
      <c r="AG435" s="55" t="e">
        <f t="shared" ca="1" si="102"/>
        <v>#N/A</v>
      </c>
      <c r="AH435" s="55" t="e">
        <f t="shared" ca="1" si="103"/>
        <v>#N/A</v>
      </c>
      <c r="AI435" s="55" t="e">
        <f ca="1">-VLOOKUP(AE435,ModelOutputs,9,FALSE)+AI434</f>
        <v>#N/A</v>
      </c>
      <c r="AJ435" s="55" t="e">
        <f ca="1">VLOOKUP(AE435,ModelOutputs,5,FALSE)+AJ434</f>
        <v>#N/A</v>
      </c>
      <c r="AK435" s="55" t="e">
        <f ca="1">VLOOKUP(AE435,ModelOutputs,4,FALSE)+AK434</f>
        <v>#N/A</v>
      </c>
    </row>
    <row r="436" spans="18:37">
      <c r="R436" s="55" t="e">
        <f ca="1"/>
        <v>#N/A</v>
      </c>
      <c r="S436" s="55" t="e">
        <f t="shared" ca="1" si="93"/>
        <v>#N/A</v>
      </c>
      <c r="T436" s="55" t="e">
        <f t="shared" ca="1" si="94"/>
        <v>#N/A</v>
      </c>
      <c r="U436" s="55" t="e">
        <f t="shared" ca="1" si="95"/>
        <v>#N/A</v>
      </c>
      <c r="V436" s="55" t="e">
        <f t="shared" ca="1" si="96"/>
        <v>#N/A</v>
      </c>
      <c r="W436" s="55" t="e">
        <f t="shared" ca="1" si="104"/>
        <v>#N/A</v>
      </c>
      <c r="X436" s="55" t="e">
        <f t="shared" ca="1" si="105"/>
        <v>#N/A</v>
      </c>
      <c r="Y436" s="55" t="e">
        <f t="shared" ca="1" si="106"/>
        <v>#N/A</v>
      </c>
      <c r="Z436" t="e">
        <f ca="1">VLOOKUP(S436,ModelOutputs,10,FALSE)*AWC</f>
        <v>#N/A</v>
      </c>
      <c r="AA436" t="e">
        <f t="shared" ca="1" si="97"/>
        <v>#N/A</v>
      </c>
      <c r="AB436" t="e">
        <f t="shared" ca="1" si="98"/>
        <v>#N/A</v>
      </c>
      <c r="AC436" t="e">
        <f t="shared" ca="1" si="99"/>
        <v>#N/A</v>
      </c>
      <c r="AD436" s="83" t="e">
        <f ca="1"/>
        <v>#N/A</v>
      </c>
      <c r="AE436" s="55" t="e">
        <f t="shared" ca="1" si="100"/>
        <v>#N/A</v>
      </c>
      <c r="AF436" s="55" t="e">
        <f t="shared" ca="1" si="101"/>
        <v>#N/A</v>
      </c>
      <c r="AG436" s="55" t="e">
        <f t="shared" ca="1" si="102"/>
        <v>#N/A</v>
      </c>
      <c r="AH436" s="55" t="e">
        <f t="shared" ca="1" si="103"/>
        <v>#N/A</v>
      </c>
      <c r="AI436" s="55" t="e">
        <f ca="1">-VLOOKUP(AE436,ModelOutputs,9,FALSE)+AI435</f>
        <v>#N/A</v>
      </c>
      <c r="AJ436" s="55" t="e">
        <f ca="1">VLOOKUP(AE436,ModelOutputs,5,FALSE)+AJ435</f>
        <v>#N/A</v>
      </c>
      <c r="AK436" s="55" t="e">
        <f ca="1">VLOOKUP(AE436,ModelOutputs,4,FALSE)+AK435</f>
        <v>#N/A</v>
      </c>
    </row>
    <row r="437" spans="18:37">
      <c r="R437" s="55" t="e">
        <f ca="1"/>
        <v>#N/A</v>
      </c>
      <c r="S437" s="55" t="e">
        <f t="shared" ca="1" si="93"/>
        <v>#N/A</v>
      </c>
      <c r="T437" s="55" t="e">
        <f t="shared" ca="1" si="94"/>
        <v>#N/A</v>
      </c>
      <c r="U437" s="55" t="e">
        <f t="shared" ca="1" si="95"/>
        <v>#N/A</v>
      </c>
      <c r="V437" s="55" t="e">
        <f t="shared" ca="1" si="96"/>
        <v>#N/A</v>
      </c>
      <c r="W437" s="55" t="e">
        <f t="shared" ca="1" si="104"/>
        <v>#N/A</v>
      </c>
      <c r="X437" s="55" t="e">
        <f t="shared" ca="1" si="105"/>
        <v>#N/A</v>
      </c>
      <c r="Y437" s="55" t="e">
        <f t="shared" ca="1" si="106"/>
        <v>#N/A</v>
      </c>
      <c r="Z437" t="e">
        <f ca="1">VLOOKUP(S437,ModelOutputs,10,FALSE)*AWC</f>
        <v>#N/A</v>
      </c>
      <c r="AA437" t="e">
        <f t="shared" ca="1" si="97"/>
        <v>#N/A</v>
      </c>
      <c r="AB437" t="e">
        <f t="shared" ca="1" si="98"/>
        <v>#N/A</v>
      </c>
      <c r="AC437" t="e">
        <f t="shared" ca="1" si="99"/>
        <v>#N/A</v>
      </c>
      <c r="AD437" s="83" t="e">
        <f ca="1"/>
        <v>#N/A</v>
      </c>
      <c r="AE437" s="55" t="e">
        <f t="shared" ca="1" si="100"/>
        <v>#N/A</v>
      </c>
      <c r="AF437" s="55" t="e">
        <f t="shared" ca="1" si="101"/>
        <v>#N/A</v>
      </c>
      <c r="AG437" s="55" t="e">
        <f t="shared" ca="1" si="102"/>
        <v>#N/A</v>
      </c>
      <c r="AH437" s="55" t="e">
        <f t="shared" ca="1" si="103"/>
        <v>#N/A</v>
      </c>
      <c r="AI437" s="55" t="e">
        <f ca="1">-VLOOKUP(AE437,ModelOutputs,9,FALSE)+AI436</f>
        <v>#N/A</v>
      </c>
      <c r="AJ437" s="55" t="e">
        <f ca="1">VLOOKUP(AE437,ModelOutputs,5,FALSE)+AJ436</f>
        <v>#N/A</v>
      </c>
      <c r="AK437" s="55" t="e">
        <f ca="1">VLOOKUP(AE437,ModelOutputs,4,FALSE)+AK436</f>
        <v>#N/A</v>
      </c>
    </row>
    <row r="438" spans="18:37">
      <c r="R438" s="55" t="e">
        <f ca="1"/>
        <v>#N/A</v>
      </c>
      <c r="S438" s="55" t="e">
        <f t="shared" ca="1" si="93"/>
        <v>#N/A</v>
      </c>
      <c r="T438" s="55" t="e">
        <f t="shared" ca="1" si="94"/>
        <v>#N/A</v>
      </c>
      <c r="U438" s="55" t="e">
        <f t="shared" ca="1" si="95"/>
        <v>#N/A</v>
      </c>
      <c r="V438" s="55" t="e">
        <f t="shared" ca="1" si="96"/>
        <v>#N/A</v>
      </c>
      <c r="W438" s="55" t="e">
        <f t="shared" ca="1" si="104"/>
        <v>#N/A</v>
      </c>
      <c r="X438" s="55" t="e">
        <f t="shared" ca="1" si="105"/>
        <v>#N/A</v>
      </c>
      <c r="Y438" s="55" t="e">
        <f t="shared" ca="1" si="106"/>
        <v>#N/A</v>
      </c>
      <c r="Z438" t="e">
        <f ca="1">VLOOKUP(S438,ModelOutputs,10,FALSE)*AWC</f>
        <v>#N/A</v>
      </c>
      <c r="AA438" t="e">
        <f t="shared" ca="1" si="97"/>
        <v>#N/A</v>
      </c>
      <c r="AB438" t="e">
        <f t="shared" ca="1" si="98"/>
        <v>#N/A</v>
      </c>
      <c r="AC438" t="e">
        <f t="shared" ca="1" si="99"/>
        <v>#N/A</v>
      </c>
      <c r="AD438" s="83" t="e">
        <f ca="1"/>
        <v>#N/A</v>
      </c>
      <c r="AE438" s="55" t="e">
        <f t="shared" ca="1" si="100"/>
        <v>#N/A</v>
      </c>
      <c r="AF438" s="55" t="e">
        <f t="shared" ca="1" si="101"/>
        <v>#N/A</v>
      </c>
      <c r="AG438" s="55" t="e">
        <f t="shared" ca="1" si="102"/>
        <v>#N/A</v>
      </c>
      <c r="AH438" s="55" t="e">
        <f t="shared" ca="1" si="103"/>
        <v>#N/A</v>
      </c>
      <c r="AI438" s="55" t="e">
        <f ca="1">-VLOOKUP(AE438,ModelOutputs,9,FALSE)+AI437</f>
        <v>#N/A</v>
      </c>
      <c r="AJ438" s="55" t="e">
        <f ca="1">VLOOKUP(AE438,ModelOutputs,5,FALSE)+AJ437</f>
        <v>#N/A</v>
      </c>
      <c r="AK438" s="55" t="e">
        <f ca="1">VLOOKUP(AE438,ModelOutputs,4,FALSE)+AK437</f>
        <v>#N/A</v>
      </c>
    </row>
    <row r="439" spans="18:37">
      <c r="R439" s="55" t="e">
        <f ca="1"/>
        <v>#N/A</v>
      </c>
      <c r="S439" s="55" t="e">
        <f t="shared" ca="1" si="93"/>
        <v>#N/A</v>
      </c>
      <c r="T439" s="55" t="e">
        <f t="shared" ca="1" si="94"/>
        <v>#N/A</v>
      </c>
      <c r="U439" s="55" t="e">
        <f t="shared" ca="1" si="95"/>
        <v>#N/A</v>
      </c>
      <c r="V439" s="55" t="e">
        <f t="shared" ca="1" si="96"/>
        <v>#N/A</v>
      </c>
      <c r="W439" s="55" t="e">
        <f t="shared" ca="1" si="104"/>
        <v>#N/A</v>
      </c>
      <c r="X439" s="55" t="e">
        <f t="shared" ca="1" si="105"/>
        <v>#N/A</v>
      </c>
      <c r="Y439" s="55" t="e">
        <f t="shared" ca="1" si="106"/>
        <v>#N/A</v>
      </c>
      <c r="Z439" t="e">
        <f ca="1">VLOOKUP(S439,ModelOutputs,10,FALSE)*AWC</f>
        <v>#N/A</v>
      </c>
      <c r="AA439" t="e">
        <f t="shared" ca="1" si="97"/>
        <v>#N/A</v>
      </c>
      <c r="AB439" t="e">
        <f t="shared" ca="1" si="98"/>
        <v>#N/A</v>
      </c>
      <c r="AC439" t="e">
        <f t="shared" ca="1" si="99"/>
        <v>#N/A</v>
      </c>
      <c r="AD439" s="83" t="e">
        <f ca="1"/>
        <v>#N/A</v>
      </c>
      <c r="AE439" s="55" t="e">
        <f t="shared" ca="1" si="100"/>
        <v>#N/A</v>
      </c>
      <c r="AF439" s="55" t="e">
        <f t="shared" ca="1" si="101"/>
        <v>#N/A</v>
      </c>
      <c r="AG439" s="55" t="e">
        <f t="shared" ca="1" si="102"/>
        <v>#N/A</v>
      </c>
      <c r="AH439" s="55" t="e">
        <f t="shared" ca="1" si="103"/>
        <v>#N/A</v>
      </c>
      <c r="AI439" s="55" t="e">
        <f ca="1">-VLOOKUP(AE439,ModelOutputs,9,FALSE)+AI438</f>
        <v>#N/A</v>
      </c>
      <c r="AJ439" s="55" t="e">
        <f ca="1">VLOOKUP(AE439,ModelOutputs,5,FALSE)+AJ438</f>
        <v>#N/A</v>
      </c>
      <c r="AK439" s="55" t="e">
        <f ca="1">VLOOKUP(AE439,ModelOutputs,4,FALSE)+AK438</f>
        <v>#N/A</v>
      </c>
    </row>
    <row r="440" spans="18:37">
      <c r="R440" s="55" t="e">
        <f ca="1"/>
        <v>#N/A</v>
      </c>
      <c r="S440" s="55" t="e">
        <f t="shared" ca="1" si="93"/>
        <v>#N/A</v>
      </c>
      <c r="T440" s="55" t="e">
        <f t="shared" ca="1" si="94"/>
        <v>#N/A</v>
      </c>
      <c r="U440" s="55" t="e">
        <f t="shared" ca="1" si="95"/>
        <v>#N/A</v>
      </c>
      <c r="V440" s="55" t="e">
        <f t="shared" ca="1" si="96"/>
        <v>#N/A</v>
      </c>
      <c r="W440" s="55" t="e">
        <f t="shared" ca="1" si="104"/>
        <v>#N/A</v>
      </c>
      <c r="X440" s="55" t="e">
        <f t="shared" ca="1" si="105"/>
        <v>#N/A</v>
      </c>
      <c r="Y440" s="55" t="e">
        <f t="shared" ca="1" si="106"/>
        <v>#N/A</v>
      </c>
      <c r="Z440" t="e">
        <f ca="1">VLOOKUP(S440,ModelOutputs,10,FALSE)*AWC</f>
        <v>#N/A</v>
      </c>
      <c r="AA440" t="e">
        <f t="shared" ca="1" si="97"/>
        <v>#N/A</v>
      </c>
      <c r="AB440" t="e">
        <f t="shared" ca="1" si="98"/>
        <v>#N/A</v>
      </c>
      <c r="AC440" t="e">
        <f t="shared" ca="1" si="99"/>
        <v>#N/A</v>
      </c>
      <c r="AD440" s="83" t="e">
        <f ca="1"/>
        <v>#N/A</v>
      </c>
      <c r="AE440" s="55" t="e">
        <f t="shared" ca="1" si="100"/>
        <v>#N/A</v>
      </c>
      <c r="AF440" s="55" t="e">
        <f t="shared" ca="1" si="101"/>
        <v>#N/A</v>
      </c>
      <c r="AG440" s="55" t="e">
        <f t="shared" ca="1" si="102"/>
        <v>#N/A</v>
      </c>
      <c r="AH440" s="55" t="e">
        <f t="shared" ca="1" si="103"/>
        <v>#N/A</v>
      </c>
      <c r="AI440" s="55" t="e">
        <f ca="1">-VLOOKUP(AE440,ModelOutputs,9,FALSE)+AI439</f>
        <v>#N/A</v>
      </c>
      <c r="AJ440" s="55" t="e">
        <f ca="1">VLOOKUP(AE440,ModelOutputs,5,FALSE)+AJ439</f>
        <v>#N/A</v>
      </c>
      <c r="AK440" s="55" t="e">
        <f ca="1">VLOOKUP(AE440,ModelOutputs,4,FALSE)+AK439</f>
        <v>#N/A</v>
      </c>
    </row>
    <row r="441" spans="18:37">
      <c r="R441" s="55" t="e">
        <f ca="1"/>
        <v>#N/A</v>
      </c>
      <c r="S441" s="55" t="e">
        <f t="shared" ca="1" si="93"/>
        <v>#N/A</v>
      </c>
      <c r="T441" s="55" t="e">
        <f t="shared" ca="1" si="94"/>
        <v>#N/A</v>
      </c>
      <c r="U441" s="55" t="e">
        <f t="shared" ca="1" si="95"/>
        <v>#N/A</v>
      </c>
      <c r="V441" s="55" t="e">
        <f t="shared" ca="1" si="96"/>
        <v>#N/A</v>
      </c>
      <c r="W441" s="55" t="e">
        <f t="shared" ca="1" si="104"/>
        <v>#N/A</v>
      </c>
      <c r="X441" s="55" t="e">
        <f t="shared" ca="1" si="105"/>
        <v>#N/A</v>
      </c>
      <c r="Y441" s="55" t="e">
        <f t="shared" ca="1" si="106"/>
        <v>#N/A</v>
      </c>
      <c r="Z441" t="e">
        <f ca="1">VLOOKUP(S441,ModelOutputs,10,FALSE)*AWC</f>
        <v>#N/A</v>
      </c>
      <c r="AA441" t="e">
        <f t="shared" ca="1" si="97"/>
        <v>#N/A</v>
      </c>
      <c r="AB441" t="e">
        <f t="shared" ca="1" si="98"/>
        <v>#N/A</v>
      </c>
      <c r="AC441" t="e">
        <f t="shared" ca="1" si="99"/>
        <v>#N/A</v>
      </c>
      <c r="AD441" s="83" t="e">
        <f ca="1"/>
        <v>#N/A</v>
      </c>
      <c r="AE441" s="55" t="e">
        <f t="shared" ca="1" si="100"/>
        <v>#N/A</v>
      </c>
      <c r="AF441" s="55" t="e">
        <f t="shared" ca="1" si="101"/>
        <v>#N/A</v>
      </c>
      <c r="AG441" s="55" t="e">
        <f t="shared" ca="1" si="102"/>
        <v>#N/A</v>
      </c>
      <c r="AH441" s="55" t="e">
        <f t="shared" ca="1" si="103"/>
        <v>#N/A</v>
      </c>
      <c r="AI441" s="55" t="e">
        <f ca="1">-VLOOKUP(AE441,ModelOutputs,9,FALSE)+AI440</f>
        <v>#N/A</v>
      </c>
      <c r="AJ441" s="55" t="e">
        <f ca="1">VLOOKUP(AE441,ModelOutputs,5,FALSE)+AJ440</f>
        <v>#N/A</v>
      </c>
      <c r="AK441" s="55" t="e">
        <f ca="1">VLOOKUP(AE441,ModelOutputs,4,FALSE)+AK440</f>
        <v>#N/A</v>
      </c>
    </row>
    <row r="442" spans="18:37">
      <c r="R442" s="55" t="e">
        <f ca="1"/>
        <v>#N/A</v>
      </c>
      <c r="S442" s="55" t="e">
        <f t="shared" ca="1" si="93"/>
        <v>#N/A</v>
      </c>
      <c r="T442" s="55" t="e">
        <f t="shared" ca="1" si="94"/>
        <v>#N/A</v>
      </c>
      <c r="U442" s="55" t="e">
        <f t="shared" ca="1" si="95"/>
        <v>#N/A</v>
      </c>
      <c r="V442" s="55" t="e">
        <f t="shared" ca="1" si="96"/>
        <v>#N/A</v>
      </c>
      <c r="W442" s="55" t="e">
        <f t="shared" ca="1" si="104"/>
        <v>#N/A</v>
      </c>
      <c r="X442" s="55" t="e">
        <f t="shared" ca="1" si="105"/>
        <v>#N/A</v>
      </c>
      <c r="Y442" s="55" t="e">
        <f t="shared" ca="1" si="106"/>
        <v>#N/A</v>
      </c>
      <c r="Z442" t="e">
        <f ca="1">VLOOKUP(S442,ModelOutputs,10,FALSE)*AWC</f>
        <v>#N/A</v>
      </c>
      <c r="AA442" t="e">
        <f t="shared" ca="1" si="97"/>
        <v>#N/A</v>
      </c>
      <c r="AB442" t="e">
        <f t="shared" ca="1" si="98"/>
        <v>#N/A</v>
      </c>
      <c r="AC442" t="e">
        <f t="shared" ca="1" si="99"/>
        <v>#N/A</v>
      </c>
      <c r="AD442" s="83" t="e">
        <f ca="1"/>
        <v>#N/A</v>
      </c>
      <c r="AE442" s="55" t="e">
        <f t="shared" ca="1" si="100"/>
        <v>#N/A</v>
      </c>
      <c r="AF442" s="55" t="e">
        <f t="shared" ca="1" si="101"/>
        <v>#N/A</v>
      </c>
      <c r="AG442" s="55" t="e">
        <f t="shared" ca="1" si="102"/>
        <v>#N/A</v>
      </c>
      <c r="AH442" s="55" t="e">
        <f t="shared" ca="1" si="103"/>
        <v>#N/A</v>
      </c>
      <c r="AI442" s="55" t="e">
        <f ca="1">-VLOOKUP(AE442,ModelOutputs,9,FALSE)+AI441</f>
        <v>#N/A</v>
      </c>
      <c r="AJ442" s="55" t="e">
        <f ca="1">VLOOKUP(AE442,ModelOutputs,5,FALSE)+AJ441</f>
        <v>#N/A</v>
      </c>
      <c r="AK442" s="55" t="e">
        <f ca="1">VLOOKUP(AE442,ModelOutputs,4,FALSE)+AK441</f>
        <v>#N/A</v>
      </c>
    </row>
    <row r="443" spans="18:37">
      <c r="R443" s="55" t="e">
        <f ca="1"/>
        <v>#N/A</v>
      </c>
      <c r="S443" s="55" t="e">
        <f t="shared" ca="1" si="93"/>
        <v>#N/A</v>
      </c>
      <c r="T443" s="55" t="e">
        <f t="shared" ca="1" si="94"/>
        <v>#N/A</v>
      </c>
      <c r="U443" s="55" t="e">
        <f t="shared" ca="1" si="95"/>
        <v>#N/A</v>
      </c>
      <c r="V443" s="55" t="e">
        <f t="shared" ca="1" si="96"/>
        <v>#N/A</v>
      </c>
      <c r="W443" s="55" t="e">
        <f t="shared" ca="1" si="104"/>
        <v>#N/A</v>
      </c>
      <c r="X443" s="55" t="e">
        <f t="shared" ca="1" si="105"/>
        <v>#N/A</v>
      </c>
      <c r="Y443" s="55" t="e">
        <f t="shared" ca="1" si="106"/>
        <v>#N/A</v>
      </c>
      <c r="Z443" t="e">
        <f ca="1">VLOOKUP(S443,ModelOutputs,10,FALSE)*AWC</f>
        <v>#N/A</v>
      </c>
      <c r="AA443" t="e">
        <f t="shared" ca="1" si="97"/>
        <v>#N/A</v>
      </c>
      <c r="AB443" t="e">
        <f t="shared" ca="1" si="98"/>
        <v>#N/A</v>
      </c>
      <c r="AC443" t="e">
        <f t="shared" ca="1" si="99"/>
        <v>#N/A</v>
      </c>
      <c r="AD443" s="83" t="e">
        <f ca="1"/>
        <v>#N/A</v>
      </c>
      <c r="AE443" s="55" t="e">
        <f t="shared" ca="1" si="100"/>
        <v>#N/A</v>
      </c>
      <c r="AF443" s="55" t="e">
        <f t="shared" ca="1" si="101"/>
        <v>#N/A</v>
      </c>
      <c r="AG443" s="55" t="e">
        <f t="shared" ca="1" si="102"/>
        <v>#N/A</v>
      </c>
      <c r="AH443" s="55" t="e">
        <f t="shared" ca="1" si="103"/>
        <v>#N/A</v>
      </c>
      <c r="AI443" s="55" t="e">
        <f ca="1">-VLOOKUP(AE443,ModelOutputs,9,FALSE)+AI442</f>
        <v>#N/A</v>
      </c>
      <c r="AJ443" s="55" t="e">
        <f ca="1">VLOOKUP(AE443,ModelOutputs,5,FALSE)+AJ442</f>
        <v>#N/A</v>
      </c>
      <c r="AK443" s="55" t="e">
        <f ca="1">VLOOKUP(AE443,ModelOutputs,4,FALSE)+AK442</f>
        <v>#N/A</v>
      </c>
    </row>
    <row r="444" spans="18:37">
      <c r="R444" s="55" t="e">
        <f ca="1"/>
        <v>#N/A</v>
      </c>
      <c r="S444" s="55" t="e">
        <f t="shared" ca="1" si="93"/>
        <v>#N/A</v>
      </c>
      <c r="T444" s="55" t="e">
        <f t="shared" ca="1" si="94"/>
        <v>#N/A</v>
      </c>
      <c r="U444" s="55" t="e">
        <f t="shared" ca="1" si="95"/>
        <v>#N/A</v>
      </c>
      <c r="V444" s="55" t="e">
        <f t="shared" ca="1" si="96"/>
        <v>#N/A</v>
      </c>
      <c r="W444" s="55" t="e">
        <f t="shared" ca="1" si="104"/>
        <v>#N/A</v>
      </c>
      <c r="X444" s="55" t="e">
        <f t="shared" ca="1" si="105"/>
        <v>#N/A</v>
      </c>
      <c r="Y444" s="55" t="e">
        <f t="shared" ca="1" si="106"/>
        <v>#N/A</v>
      </c>
      <c r="Z444" t="e">
        <f ca="1">VLOOKUP(S444,ModelOutputs,10,FALSE)*AWC</f>
        <v>#N/A</v>
      </c>
      <c r="AA444" t="e">
        <f t="shared" ca="1" si="97"/>
        <v>#N/A</v>
      </c>
      <c r="AB444" t="e">
        <f t="shared" ca="1" si="98"/>
        <v>#N/A</v>
      </c>
      <c r="AC444" t="e">
        <f t="shared" ca="1" si="99"/>
        <v>#N/A</v>
      </c>
      <c r="AD444" s="83" t="e">
        <f ca="1"/>
        <v>#N/A</v>
      </c>
      <c r="AE444" s="55" t="e">
        <f t="shared" ca="1" si="100"/>
        <v>#N/A</v>
      </c>
      <c r="AF444" s="55" t="e">
        <f t="shared" ca="1" si="101"/>
        <v>#N/A</v>
      </c>
      <c r="AG444" s="55" t="e">
        <f t="shared" ca="1" si="102"/>
        <v>#N/A</v>
      </c>
      <c r="AH444" s="55" t="e">
        <f t="shared" ca="1" si="103"/>
        <v>#N/A</v>
      </c>
      <c r="AI444" s="55" t="e">
        <f ca="1">-VLOOKUP(AE444,ModelOutputs,9,FALSE)+AI443</f>
        <v>#N/A</v>
      </c>
      <c r="AJ444" s="55" t="e">
        <f ca="1">VLOOKUP(AE444,ModelOutputs,5,FALSE)+AJ443</f>
        <v>#N/A</v>
      </c>
      <c r="AK444" s="55" t="e">
        <f ca="1">VLOOKUP(AE444,ModelOutputs,4,FALSE)+AK443</f>
        <v>#N/A</v>
      </c>
    </row>
    <row r="445" spans="18:37">
      <c r="R445" s="55" t="e">
        <f ca="1"/>
        <v>#N/A</v>
      </c>
      <c r="S445" s="55" t="e">
        <f t="shared" ca="1" si="93"/>
        <v>#N/A</v>
      </c>
      <c r="T445" s="55" t="e">
        <f t="shared" ca="1" si="94"/>
        <v>#N/A</v>
      </c>
      <c r="U445" s="55" t="e">
        <f t="shared" ca="1" si="95"/>
        <v>#N/A</v>
      </c>
      <c r="V445" s="55" t="e">
        <f t="shared" ca="1" si="96"/>
        <v>#N/A</v>
      </c>
      <c r="W445" s="55" t="e">
        <f t="shared" ca="1" si="104"/>
        <v>#N/A</v>
      </c>
      <c r="X445" s="55" t="e">
        <f t="shared" ca="1" si="105"/>
        <v>#N/A</v>
      </c>
      <c r="Y445" s="55" t="e">
        <f t="shared" ca="1" si="106"/>
        <v>#N/A</v>
      </c>
      <c r="Z445" t="e">
        <f ca="1">VLOOKUP(S445,ModelOutputs,10,FALSE)*AWC</f>
        <v>#N/A</v>
      </c>
      <c r="AA445" t="e">
        <f t="shared" ca="1" si="97"/>
        <v>#N/A</v>
      </c>
      <c r="AB445" t="e">
        <f t="shared" ca="1" si="98"/>
        <v>#N/A</v>
      </c>
      <c r="AC445" t="e">
        <f t="shared" ca="1" si="99"/>
        <v>#N/A</v>
      </c>
      <c r="AD445" s="83" t="e">
        <f ca="1"/>
        <v>#N/A</v>
      </c>
      <c r="AE445" s="55" t="e">
        <f t="shared" ca="1" si="100"/>
        <v>#N/A</v>
      </c>
      <c r="AF445" s="55" t="e">
        <f t="shared" ca="1" si="101"/>
        <v>#N/A</v>
      </c>
      <c r="AG445" s="55" t="e">
        <f t="shared" ca="1" si="102"/>
        <v>#N/A</v>
      </c>
      <c r="AH445" s="55" t="e">
        <f t="shared" ca="1" si="103"/>
        <v>#N/A</v>
      </c>
      <c r="AI445" s="55" t="e">
        <f ca="1">-VLOOKUP(AE445,ModelOutputs,9,FALSE)+AI444</f>
        <v>#N/A</v>
      </c>
      <c r="AJ445" s="55" t="e">
        <f ca="1">VLOOKUP(AE445,ModelOutputs,5,FALSE)+AJ444</f>
        <v>#N/A</v>
      </c>
      <c r="AK445" s="55" t="e">
        <f ca="1">VLOOKUP(AE445,ModelOutputs,4,FALSE)+AK444</f>
        <v>#N/A</v>
      </c>
    </row>
    <row r="446" spans="18:37">
      <c r="R446" s="55" t="e">
        <f ca="1"/>
        <v>#N/A</v>
      </c>
      <c r="S446" s="55" t="e">
        <f t="shared" ca="1" si="93"/>
        <v>#N/A</v>
      </c>
      <c r="T446" s="55" t="e">
        <f t="shared" ca="1" si="94"/>
        <v>#N/A</v>
      </c>
      <c r="U446" s="55" t="e">
        <f t="shared" ca="1" si="95"/>
        <v>#N/A</v>
      </c>
      <c r="V446" s="55" t="e">
        <f t="shared" ca="1" si="96"/>
        <v>#N/A</v>
      </c>
      <c r="W446" s="55" t="e">
        <f t="shared" ca="1" si="104"/>
        <v>#N/A</v>
      </c>
      <c r="X446" s="55" t="e">
        <f t="shared" ca="1" si="105"/>
        <v>#N/A</v>
      </c>
      <c r="Y446" s="55" t="e">
        <f t="shared" ca="1" si="106"/>
        <v>#N/A</v>
      </c>
      <c r="Z446" t="e">
        <f ca="1">VLOOKUP(S446,ModelOutputs,10,FALSE)*AWC</f>
        <v>#N/A</v>
      </c>
      <c r="AA446" t="e">
        <f t="shared" ca="1" si="97"/>
        <v>#N/A</v>
      </c>
      <c r="AB446" t="e">
        <f t="shared" ca="1" si="98"/>
        <v>#N/A</v>
      </c>
      <c r="AC446" t="e">
        <f t="shared" ca="1" si="99"/>
        <v>#N/A</v>
      </c>
      <c r="AD446" s="83" t="e">
        <f ca="1"/>
        <v>#N/A</v>
      </c>
      <c r="AE446" s="55" t="e">
        <f t="shared" ca="1" si="100"/>
        <v>#N/A</v>
      </c>
      <c r="AF446" s="55" t="e">
        <f t="shared" ca="1" si="101"/>
        <v>#N/A</v>
      </c>
      <c r="AG446" s="55" t="e">
        <f t="shared" ca="1" si="102"/>
        <v>#N/A</v>
      </c>
      <c r="AH446" s="55" t="e">
        <f t="shared" ca="1" si="103"/>
        <v>#N/A</v>
      </c>
      <c r="AI446" s="55" t="e">
        <f ca="1">-VLOOKUP(AE446,ModelOutputs,9,FALSE)+AI445</f>
        <v>#N/A</v>
      </c>
      <c r="AJ446" s="55" t="e">
        <f ca="1">VLOOKUP(AE446,ModelOutputs,5,FALSE)+AJ445</f>
        <v>#N/A</v>
      </c>
      <c r="AK446" s="55" t="e">
        <f ca="1">VLOOKUP(AE446,ModelOutputs,4,FALSE)+AK445</f>
        <v>#N/A</v>
      </c>
    </row>
    <row r="447" spans="18:37">
      <c r="R447" s="55" t="e">
        <f ca="1"/>
        <v>#N/A</v>
      </c>
      <c r="S447" s="55" t="e">
        <f t="shared" ca="1" si="93"/>
        <v>#N/A</v>
      </c>
      <c r="T447" s="55" t="e">
        <f t="shared" ca="1" si="94"/>
        <v>#N/A</v>
      </c>
      <c r="U447" s="55" t="e">
        <f t="shared" ca="1" si="95"/>
        <v>#N/A</v>
      </c>
      <c r="V447" s="55" t="e">
        <f t="shared" ca="1" si="96"/>
        <v>#N/A</v>
      </c>
      <c r="W447" s="55" t="e">
        <f t="shared" ca="1" si="104"/>
        <v>#N/A</v>
      </c>
      <c r="X447" s="55" t="e">
        <f t="shared" ca="1" si="105"/>
        <v>#N/A</v>
      </c>
      <c r="Y447" s="55" t="e">
        <f t="shared" ca="1" si="106"/>
        <v>#N/A</v>
      </c>
      <c r="Z447" t="e">
        <f ca="1">VLOOKUP(S447,ModelOutputs,10,FALSE)*AWC</f>
        <v>#N/A</v>
      </c>
      <c r="AA447" t="e">
        <f t="shared" ca="1" si="97"/>
        <v>#N/A</v>
      </c>
      <c r="AB447" t="e">
        <f t="shared" ca="1" si="98"/>
        <v>#N/A</v>
      </c>
      <c r="AC447" t="e">
        <f t="shared" ca="1" si="99"/>
        <v>#N/A</v>
      </c>
      <c r="AD447" s="83" t="e">
        <f ca="1"/>
        <v>#N/A</v>
      </c>
      <c r="AE447" s="55" t="e">
        <f t="shared" ca="1" si="100"/>
        <v>#N/A</v>
      </c>
      <c r="AF447" s="55" t="e">
        <f t="shared" ca="1" si="101"/>
        <v>#N/A</v>
      </c>
      <c r="AG447" s="55" t="e">
        <f t="shared" ca="1" si="102"/>
        <v>#N/A</v>
      </c>
      <c r="AH447" s="55" t="e">
        <f t="shared" ca="1" si="103"/>
        <v>#N/A</v>
      </c>
      <c r="AI447" s="55" t="e">
        <f ca="1">-VLOOKUP(AE447,ModelOutputs,9,FALSE)+AI446</f>
        <v>#N/A</v>
      </c>
      <c r="AJ447" s="55" t="e">
        <f ca="1">VLOOKUP(AE447,ModelOutputs,5,FALSE)+AJ446</f>
        <v>#N/A</v>
      </c>
      <c r="AK447" s="55" t="e">
        <f ca="1">VLOOKUP(AE447,ModelOutputs,4,FALSE)+AK446</f>
        <v>#N/A</v>
      </c>
    </row>
    <row r="448" spans="18:37">
      <c r="R448" s="55" t="e">
        <f ca="1"/>
        <v>#N/A</v>
      </c>
      <c r="S448" s="55" t="e">
        <f t="shared" ca="1" si="93"/>
        <v>#N/A</v>
      </c>
      <c r="T448" s="55" t="e">
        <f t="shared" ca="1" si="94"/>
        <v>#N/A</v>
      </c>
      <c r="U448" s="55" t="e">
        <f t="shared" ca="1" si="95"/>
        <v>#N/A</v>
      </c>
      <c r="V448" s="55" t="e">
        <f t="shared" ca="1" si="96"/>
        <v>#N/A</v>
      </c>
      <c r="W448" s="55" t="e">
        <f t="shared" ca="1" si="104"/>
        <v>#N/A</v>
      </c>
      <c r="X448" s="55" t="e">
        <f t="shared" ca="1" si="105"/>
        <v>#N/A</v>
      </c>
      <c r="Y448" s="55" t="e">
        <f t="shared" ca="1" si="106"/>
        <v>#N/A</v>
      </c>
      <c r="Z448" t="e">
        <f ca="1">VLOOKUP(S448,ModelOutputs,10,FALSE)*AWC</f>
        <v>#N/A</v>
      </c>
      <c r="AA448" t="e">
        <f t="shared" ca="1" si="97"/>
        <v>#N/A</v>
      </c>
      <c r="AB448" t="e">
        <f t="shared" ca="1" si="98"/>
        <v>#N/A</v>
      </c>
      <c r="AC448" t="e">
        <f t="shared" ca="1" si="99"/>
        <v>#N/A</v>
      </c>
      <c r="AD448" s="83" t="e">
        <f ca="1"/>
        <v>#N/A</v>
      </c>
      <c r="AE448" s="55" t="e">
        <f t="shared" ca="1" si="100"/>
        <v>#N/A</v>
      </c>
      <c r="AF448" s="55" t="e">
        <f t="shared" ca="1" si="101"/>
        <v>#N/A</v>
      </c>
      <c r="AG448" s="55" t="e">
        <f t="shared" ca="1" si="102"/>
        <v>#N/A</v>
      </c>
      <c r="AH448" s="55" t="e">
        <f t="shared" ca="1" si="103"/>
        <v>#N/A</v>
      </c>
      <c r="AI448" s="55" t="e">
        <f ca="1">-VLOOKUP(AE448,ModelOutputs,9,FALSE)+AI447</f>
        <v>#N/A</v>
      </c>
      <c r="AJ448" s="55" t="e">
        <f ca="1">VLOOKUP(AE448,ModelOutputs,5,FALSE)+AJ447</f>
        <v>#N/A</v>
      </c>
      <c r="AK448" s="55" t="e">
        <f ca="1">VLOOKUP(AE448,ModelOutputs,4,FALSE)+AK447</f>
        <v>#N/A</v>
      </c>
    </row>
    <row r="449" spans="18:37">
      <c r="R449" s="55" t="e">
        <f ca="1"/>
        <v>#N/A</v>
      </c>
      <c r="S449" s="55" t="e">
        <f t="shared" ca="1" si="93"/>
        <v>#N/A</v>
      </c>
      <c r="T449" s="55" t="e">
        <f t="shared" ca="1" si="94"/>
        <v>#N/A</v>
      </c>
      <c r="U449" s="55" t="e">
        <f t="shared" ca="1" si="95"/>
        <v>#N/A</v>
      </c>
      <c r="V449" s="55" t="e">
        <f t="shared" ca="1" si="96"/>
        <v>#N/A</v>
      </c>
      <c r="W449" s="55" t="e">
        <f t="shared" ca="1" si="104"/>
        <v>#N/A</v>
      </c>
      <c r="X449" s="55" t="e">
        <f t="shared" ca="1" si="105"/>
        <v>#N/A</v>
      </c>
      <c r="Y449" s="55" t="e">
        <f t="shared" ca="1" si="106"/>
        <v>#N/A</v>
      </c>
      <c r="Z449" t="e">
        <f ca="1">VLOOKUP(S449,ModelOutputs,10,FALSE)*AWC</f>
        <v>#N/A</v>
      </c>
      <c r="AA449" t="e">
        <f t="shared" ca="1" si="97"/>
        <v>#N/A</v>
      </c>
      <c r="AB449" t="e">
        <f t="shared" ca="1" si="98"/>
        <v>#N/A</v>
      </c>
      <c r="AC449" t="e">
        <f t="shared" ca="1" si="99"/>
        <v>#N/A</v>
      </c>
      <c r="AD449" s="83" t="e">
        <f ca="1"/>
        <v>#N/A</v>
      </c>
      <c r="AE449" s="55" t="e">
        <f t="shared" ca="1" si="100"/>
        <v>#N/A</v>
      </c>
      <c r="AF449" s="55" t="e">
        <f t="shared" ca="1" si="101"/>
        <v>#N/A</v>
      </c>
      <c r="AG449" s="55" t="e">
        <f t="shared" ca="1" si="102"/>
        <v>#N/A</v>
      </c>
      <c r="AH449" s="55" t="e">
        <f t="shared" ca="1" si="103"/>
        <v>#N/A</v>
      </c>
      <c r="AI449" s="55" t="e">
        <f ca="1">-VLOOKUP(AE449,ModelOutputs,9,FALSE)+AI448</f>
        <v>#N/A</v>
      </c>
      <c r="AJ449" s="55" t="e">
        <f ca="1">VLOOKUP(AE449,ModelOutputs,5,FALSE)+AJ448</f>
        <v>#N/A</v>
      </c>
      <c r="AK449" s="55" t="e">
        <f ca="1">VLOOKUP(AE449,ModelOutputs,4,FALSE)+AK448</f>
        <v>#N/A</v>
      </c>
    </row>
    <row r="450" spans="18:37">
      <c r="R450" s="55" t="e">
        <f ca="1"/>
        <v>#N/A</v>
      </c>
      <c r="S450" s="55" t="e">
        <f t="shared" ca="1" si="93"/>
        <v>#N/A</v>
      </c>
      <c r="T450" s="55" t="e">
        <f t="shared" ca="1" si="94"/>
        <v>#N/A</v>
      </c>
      <c r="U450" s="55" t="e">
        <f t="shared" ca="1" si="95"/>
        <v>#N/A</v>
      </c>
      <c r="V450" s="55" t="e">
        <f t="shared" ca="1" si="96"/>
        <v>#N/A</v>
      </c>
      <c r="W450" s="55" t="e">
        <f t="shared" ca="1" si="104"/>
        <v>#N/A</v>
      </c>
      <c r="X450" s="55" t="e">
        <f t="shared" ca="1" si="105"/>
        <v>#N/A</v>
      </c>
      <c r="Y450" s="55" t="e">
        <f t="shared" ca="1" si="106"/>
        <v>#N/A</v>
      </c>
      <c r="Z450" t="e">
        <f ca="1">VLOOKUP(S450,ModelOutputs,10,FALSE)*AWC</f>
        <v>#N/A</v>
      </c>
      <c r="AA450" t="e">
        <f t="shared" ca="1" si="97"/>
        <v>#N/A</v>
      </c>
      <c r="AB450" t="e">
        <f t="shared" ca="1" si="98"/>
        <v>#N/A</v>
      </c>
      <c r="AC450" t="e">
        <f t="shared" ca="1" si="99"/>
        <v>#N/A</v>
      </c>
      <c r="AD450" s="83" t="e">
        <f ca="1"/>
        <v>#N/A</v>
      </c>
      <c r="AE450" s="55" t="e">
        <f t="shared" ca="1" si="100"/>
        <v>#N/A</v>
      </c>
      <c r="AF450" s="55" t="e">
        <f t="shared" ca="1" si="101"/>
        <v>#N/A</v>
      </c>
      <c r="AG450" s="55" t="e">
        <f t="shared" ca="1" si="102"/>
        <v>#N/A</v>
      </c>
      <c r="AH450" s="55" t="e">
        <f t="shared" ca="1" si="103"/>
        <v>#N/A</v>
      </c>
      <c r="AI450" s="55" t="e">
        <f ca="1">-VLOOKUP(AE450,ModelOutputs,9,FALSE)+AI449</f>
        <v>#N/A</v>
      </c>
      <c r="AJ450" s="55" t="e">
        <f ca="1">VLOOKUP(AE450,ModelOutputs,5,FALSE)+AJ449</f>
        <v>#N/A</v>
      </c>
      <c r="AK450" s="55" t="e">
        <f ca="1">VLOOKUP(AE450,ModelOutputs,4,FALSE)+AK449</f>
        <v>#N/A</v>
      </c>
    </row>
    <row r="451" spans="18:37">
      <c r="R451" s="55" t="e">
        <f ca="1"/>
        <v>#N/A</v>
      </c>
      <c r="S451" s="55" t="e">
        <f t="shared" ca="1" si="93"/>
        <v>#N/A</v>
      </c>
      <c r="T451" s="55" t="e">
        <f t="shared" ca="1" si="94"/>
        <v>#N/A</v>
      </c>
      <c r="U451" s="55" t="e">
        <f t="shared" ca="1" si="95"/>
        <v>#N/A</v>
      </c>
      <c r="V451" s="55" t="e">
        <f t="shared" ca="1" si="96"/>
        <v>#N/A</v>
      </c>
      <c r="W451" s="55" t="e">
        <f t="shared" ca="1" si="104"/>
        <v>#N/A</v>
      </c>
      <c r="X451" s="55" t="e">
        <f t="shared" ca="1" si="105"/>
        <v>#N/A</v>
      </c>
      <c r="Y451" s="55" t="e">
        <f t="shared" ca="1" si="106"/>
        <v>#N/A</v>
      </c>
      <c r="Z451" t="e">
        <f ca="1">VLOOKUP(S451,ModelOutputs,10,FALSE)*AWC</f>
        <v>#N/A</v>
      </c>
      <c r="AA451" t="e">
        <f t="shared" ca="1" si="97"/>
        <v>#N/A</v>
      </c>
      <c r="AB451" t="e">
        <f t="shared" ca="1" si="98"/>
        <v>#N/A</v>
      </c>
      <c r="AC451" t="e">
        <f t="shared" ca="1" si="99"/>
        <v>#N/A</v>
      </c>
      <c r="AD451" s="83" t="e">
        <f ca="1"/>
        <v>#N/A</v>
      </c>
      <c r="AE451" s="55" t="e">
        <f t="shared" ca="1" si="100"/>
        <v>#N/A</v>
      </c>
      <c r="AF451" s="55" t="e">
        <f t="shared" ca="1" si="101"/>
        <v>#N/A</v>
      </c>
      <c r="AG451" s="55" t="e">
        <f t="shared" ca="1" si="102"/>
        <v>#N/A</v>
      </c>
      <c r="AH451" s="55" t="e">
        <f t="shared" ca="1" si="103"/>
        <v>#N/A</v>
      </c>
      <c r="AI451" s="55" t="e">
        <f ca="1">-VLOOKUP(AE451,ModelOutputs,9,FALSE)+AI450</f>
        <v>#N/A</v>
      </c>
      <c r="AJ451" s="55" t="e">
        <f ca="1">VLOOKUP(AE451,ModelOutputs,5,FALSE)+AJ450</f>
        <v>#N/A</v>
      </c>
      <c r="AK451" s="55" t="e">
        <f ca="1">VLOOKUP(AE451,ModelOutputs,4,FALSE)+AK450</f>
        <v>#N/A</v>
      </c>
    </row>
    <row r="452" spans="18:37">
      <c r="R452" s="55" t="e">
        <f ca="1"/>
        <v>#N/A</v>
      </c>
      <c r="S452" s="55" t="e">
        <f t="shared" ca="1" si="93"/>
        <v>#N/A</v>
      </c>
      <c r="T452" s="55" t="e">
        <f t="shared" ca="1" si="94"/>
        <v>#N/A</v>
      </c>
      <c r="U452" s="55" t="e">
        <f t="shared" ca="1" si="95"/>
        <v>#N/A</v>
      </c>
      <c r="V452" s="55" t="e">
        <f t="shared" ca="1" si="96"/>
        <v>#N/A</v>
      </c>
      <c r="W452" s="55" t="e">
        <f t="shared" ca="1" si="104"/>
        <v>#N/A</v>
      </c>
      <c r="X452" s="55" t="e">
        <f t="shared" ca="1" si="105"/>
        <v>#N/A</v>
      </c>
      <c r="Y452" s="55" t="e">
        <f t="shared" ca="1" si="106"/>
        <v>#N/A</v>
      </c>
      <c r="Z452" t="e">
        <f ca="1">VLOOKUP(S452,ModelOutputs,10,FALSE)*AWC</f>
        <v>#N/A</v>
      </c>
      <c r="AA452" t="e">
        <f t="shared" ca="1" si="97"/>
        <v>#N/A</v>
      </c>
      <c r="AB452" t="e">
        <f t="shared" ca="1" si="98"/>
        <v>#N/A</v>
      </c>
      <c r="AC452" t="e">
        <f t="shared" ca="1" si="99"/>
        <v>#N/A</v>
      </c>
      <c r="AD452" s="83" t="e">
        <f ca="1"/>
        <v>#N/A</v>
      </c>
      <c r="AE452" s="55" t="e">
        <f t="shared" ca="1" si="100"/>
        <v>#N/A</v>
      </c>
      <c r="AF452" s="55" t="e">
        <f t="shared" ca="1" si="101"/>
        <v>#N/A</v>
      </c>
      <c r="AG452" s="55" t="e">
        <f t="shared" ca="1" si="102"/>
        <v>#N/A</v>
      </c>
      <c r="AH452" s="55" t="e">
        <f t="shared" ca="1" si="103"/>
        <v>#N/A</v>
      </c>
      <c r="AI452" s="55" t="e">
        <f ca="1">-VLOOKUP(AE452,ModelOutputs,9,FALSE)+AI451</f>
        <v>#N/A</v>
      </c>
      <c r="AJ452" s="55" t="e">
        <f ca="1">VLOOKUP(AE452,ModelOutputs,5,FALSE)+AJ451</f>
        <v>#N/A</v>
      </c>
      <c r="AK452" s="55" t="e">
        <f ca="1">VLOOKUP(AE452,ModelOutputs,4,FALSE)+AK451</f>
        <v>#N/A</v>
      </c>
    </row>
    <row r="453" spans="18:37">
      <c r="R453" s="55" t="e">
        <f ca="1"/>
        <v>#N/A</v>
      </c>
      <c r="S453" s="55" t="e">
        <f t="shared" ca="1" si="93"/>
        <v>#N/A</v>
      </c>
      <c r="T453" s="55" t="e">
        <f t="shared" ca="1" si="94"/>
        <v>#N/A</v>
      </c>
      <c r="U453" s="55" t="e">
        <f t="shared" ca="1" si="95"/>
        <v>#N/A</v>
      </c>
      <c r="V453" s="55" t="e">
        <f t="shared" ca="1" si="96"/>
        <v>#N/A</v>
      </c>
      <c r="W453" s="55" t="e">
        <f t="shared" ca="1" si="104"/>
        <v>#N/A</v>
      </c>
      <c r="X453" s="55" t="e">
        <f t="shared" ca="1" si="105"/>
        <v>#N/A</v>
      </c>
      <c r="Y453" s="55" t="e">
        <f t="shared" ca="1" si="106"/>
        <v>#N/A</v>
      </c>
      <c r="Z453" t="e">
        <f ca="1">VLOOKUP(S453,ModelOutputs,10,FALSE)*AWC</f>
        <v>#N/A</v>
      </c>
      <c r="AA453" t="e">
        <f t="shared" ca="1" si="97"/>
        <v>#N/A</v>
      </c>
      <c r="AB453" t="e">
        <f t="shared" ca="1" si="98"/>
        <v>#N/A</v>
      </c>
      <c r="AC453" t="e">
        <f t="shared" ca="1" si="99"/>
        <v>#N/A</v>
      </c>
      <c r="AD453" s="83" t="e">
        <f ca="1"/>
        <v>#N/A</v>
      </c>
      <c r="AE453" s="55" t="e">
        <f t="shared" ca="1" si="100"/>
        <v>#N/A</v>
      </c>
      <c r="AF453" s="55" t="e">
        <f t="shared" ca="1" si="101"/>
        <v>#N/A</v>
      </c>
      <c r="AG453" s="55" t="e">
        <f t="shared" ca="1" si="102"/>
        <v>#N/A</v>
      </c>
      <c r="AH453" s="55" t="e">
        <f t="shared" ca="1" si="103"/>
        <v>#N/A</v>
      </c>
      <c r="AI453" s="55" t="e">
        <f ca="1">-VLOOKUP(AE453,ModelOutputs,9,FALSE)+AI452</f>
        <v>#N/A</v>
      </c>
      <c r="AJ453" s="55" t="e">
        <f ca="1">VLOOKUP(AE453,ModelOutputs,5,FALSE)+AJ452</f>
        <v>#N/A</v>
      </c>
      <c r="AK453" s="55" t="e">
        <f ca="1">VLOOKUP(AE453,ModelOutputs,4,FALSE)+AK452</f>
        <v>#N/A</v>
      </c>
    </row>
    <row r="454" spans="18:37">
      <c r="R454" s="55" t="e">
        <f ca="1"/>
        <v>#N/A</v>
      </c>
      <c r="S454" s="55" t="e">
        <f t="shared" ca="1" si="93"/>
        <v>#N/A</v>
      </c>
      <c r="T454" s="55" t="e">
        <f t="shared" ca="1" si="94"/>
        <v>#N/A</v>
      </c>
      <c r="U454" s="55" t="e">
        <f t="shared" ca="1" si="95"/>
        <v>#N/A</v>
      </c>
      <c r="V454" s="55" t="e">
        <f t="shared" ca="1" si="96"/>
        <v>#N/A</v>
      </c>
      <c r="W454" s="55" t="e">
        <f t="shared" ca="1" si="104"/>
        <v>#N/A</v>
      </c>
      <c r="X454" s="55" t="e">
        <f t="shared" ca="1" si="105"/>
        <v>#N/A</v>
      </c>
      <c r="Y454" s="55" t="e">
        <f t="shared" ca="1" si="106"/>
        <v>#N/A</v>
      </c>
      <c r="Z454" t="e">
        <f ca="1">VLOOKUP(S454,ModelOutputs,10,FALSE)*AWC</f>
        <v>#N/A</v>
      </c>
      <c r="AA454" t="e">
        <f t="shared" ca="1" si="97"/>
        <v>#N/A</v>
      </c>
      <c r="AB454" t="e">
        <f t="shared" ca="1" si="98"/>
        <v>#N/A</v>
      </c>
      <c r="AC454" t="e">
        <f t="shared" ca="1" si="99"/>
        <v>#N/A</v>
      </c>
      <c r="AD454" s="83" t="e">
        <f ca="1"/>
        <v>#N/A</v>
      </c>
      <c r="AE454" s="55" t="e">
        <f t="shared" ca="1" si="100"/>
        <v>#N/A</v>
      </c>
      <c r="AF454" s="55" t="e">
        <f t="shared" ca="1" si="101"/>
        <v>#N/A</v>
      </c>
      <c r="AG454" s="55" t="e">
        <f t="shared" ca="1" si="102"/>
        <v>#N/A</v>
      </c>
      <c r="AH454" s="55" t="e">
        <f t="shared" ca="1" si="103"/>
        <v>#N/A</v>
      </c>
      <c r="AI454" s="55" t="e">
        <f ca="1">-VLOOKUP(AE454,ModelOutputs,9,FALSE)+AI453</f>
        <v>#N/A</v>
      </c>
      <c r="AJ454" s="55" t="e">
        <f ca="1">VLOOKUP(AE454,ModelOutputs,5,FALSE)+AJ453</f>
        <v>#N/A</v>
      </c>
      <c r="AK454" s="55" t="e">
        <f ca="1">VLOOKUP(AE454,ModelOutputs,4,FALSE)+AK453</f>
        <v>#N/A</v>
      </c>
    </row>
    <row r="455" spans="18:37">
      <c r="R455" s="55" t="e">
        <f ca="1"/>
        <v>#N/A</v>
      </c>
      <c r="S455" s="55" t="e">
        <f t="shared" ca="1" si="93"/>
        <v>#N/A</v>
      </c>
      <c r="T455" s="55" t="e">
        <f t="shared" ca="1" si="94"/>
        <v>#N/A</v>
      </c>
      <c r="U455" s="55" t="e">
        <f t="shared" ca="1" si="95"/>
        <v>#N/A</v>
      </c>
      <c r="V455" s="55" t="e">
        <f t="shared" ca="1" si="96"/>
        <v>#N/A</v>
      </c>
      <c r="W455" s="55" t="e">
        <f t="shared" ca="1" si="104"/>
        <v>#N/A</v>
      </c>
      <c r="X455" s="55" t="e">
        <f t="shared" ca="1" si="105"/>
        <v>#N/A</v>
      </c>
      <c r="Y455" s="55" t="e">
        <f t="shared" ca="1" si="106"/>
        <v>#N/A</v>
      </c>
      <c r="Z455" t="e">
        <f ca="1">VLOOKUP(S455,ModelOutputs,10,FALSE)*AWC</f>
        <v>#N/A</v>
      </c>
      <c r="AA455" t="e">
        <f t="shared" ca="1" si="97"/>
        <v>#N/A</v>
      </c>
      <c r="AB455" t="e">
        <f t="shared" ca="1" si="98"/>
        <v>#N/A</v>
      </c>
      <c r="AC455" t="e">
        <f t="shared" ca="1" si="99"/>
        <v>#N/A</v>
      </c>
      <c r="AD455" s="83" t="e">
        <f ca="1"/>
        <v>#N/A</v>
      </c>
      <c r="AE455" s="55" t="e">
        <f t="shared" ca="1" si="100"/>
        <v>#N/A</v>
      </c>
      <c r="AF455" s="55" t="e">
        <f t="shared" ca="1" si="101"/>
        <v>#N/A</v>
      </c>
      <c r="AG455" s="55" t="e">
        <f t="shared" ca="1" si="102"/>
        <v>#N/A</v>
      </c>
      <c r="AH455" s="55" t="e">
        <f t="shared" ca="1" si="103"/>
        <v>#N/A</v>
      </c>
      <c r="AI455" s="55" t="e">
        <f ca="1">-VLOOKUP(AE455,ModelOutputs,9,FALSE)+AI454</f>
        <v>#N/A</v>
      </c>
      <c r="AJ455" s="55" t="e">
        <f ca="1">VLOOKUP(AE455,ModelOutputs,5,FALSE)+AJ454</f>
        <v>#N/A</v>
      </c>
      <c r="AK455" s="55" t="e">
        <f ca="1">VLOOKUP(AE455,ModelOutputs,4,FALSE)+AK454</f>
        <v>#N/A</v>
      </c>
    </row>
    <row r="456" spans="18:37">
      <c r="R456" s="55" t="e">
        <f ca="1"/>
        <v>#N/A</v>
      </c>
      <c r="S456" s="55" t="e">
        <f t="shared" ca="1" si="93"/>
        <v>#N/A</v>
      </c>
      <c r="T456" s="55" t="e">
        <f t="shared" ca="1" si="94"/>
        <v>#N/A</v>
      </c>
      <c r="U456" s="55" t="e">
        <f t="shared" ca="1" si="95"/>
        <v>#N/A</v>
      </c>
      <c r="V456" s="55" t="e">
        <f t="shared" ca="1" si="96"/>
        <v>#N/A</v>
      </c>
      <c r="W456" s="55" t="e">
        <f t="shared" ca="1" si="104"/>
        <v>#N/A</v>
      </c>
      <c r="X456" s="55" t="e">
        <f t="shared" ca="1" si="105"/>
        <v>#N/A</v>
      </c>
      <c r="Y456" s="55" t="e">
        <f t="shared" ca="1" si="106"/>
        <v>#N/A</v>
      </c>
      <c r="Z456" t="e">
        <f ca="1">VLOOKUP(S456,ModelOutputs,10,FALSE)*AWC</f>
        <v>#N/A</v>
      </c>
      <c r="AA456" t="e">
        <f t="shared" ca="1" si="97"/>
        <v>#N/A</v>
      </c>
      <c r="AB456" t="e">
        <f t="shared" ca="1" si="98"/>
        <v>#N/A</v>
      </c>
      <c r="AC456" t="e">
        <f t="shared" ca="1" si="99"/>
        <v>#N/A</v>
      </c>
      <c r="AD456" s="83" t="e">
        <f ca="1"/>
        <v>#N/A</v>
      </c>
      <c r="AE456" s="55" t="e">
        <f t="shared" ca="1" si="100"/>
        <v>#N/A</v>
      </c>
      <c r="AF456" s="55" t="e">
        <f t="shared" ca="1" si="101"/>
        <v>#N/A</v>
      </c>
      <c r="AG456" s="55" t="e">
        <f t="shared" ca="1" si="102"/>
        <v>#N/A</v>
      </c>
      <c r="AH456" s="55" t="e">
        <f t="shared" ca="1" si="103"/>
        <v>#N/A</v>
      </c>
      <c r="AI456" s="55" t="e">
        <f ca="1">-VLOOKUP(AE456,ModelOutputs,9,FALSE)+AI455</f>
        <v>#N/A</v>
      </c>
      <c r="AJ456" s="55" t="e">
        <f ca="1">VLOOKUP(AE456,ModelOutputs,5,FALSE)+AJ455</f>
        <v>#N/A</v>
      </c>
      <c r="AK456" s="55" t="e">
        <f ca="1">VLOOKUP(AE456,ModelOutputs,4,FALSE)+AK455</f>
        <v>#N/A</v>
      </c>
    </row>
    <row r="457" spans="18:37">
      <c r="R457" s="55" t="e">
        <f ca="1"/>
        <v>#N/A</v>
      </c>
      <c r="S457" s="55" t="e">
        <f t="shared" ca="1" si="93"/>
        <v>#N/A</v>
      </c>
      <c r="T457" s="55" t="e">
        <f t="shared" ca="1" si="94"/>
        <v>#N/A</v>
      </c>
      <c r="U457" s="55" t="e">
        <f t="shared" ca="1" si="95"/>
        <v>#N/A</v>
      </c>
      <c r="V457" s="55" t="e">
        <f t="shared" ca="1" si="96"/>
        <v>#N/A</v>
      </c>
      <c r="W457" s="55" t="e">
        <f t="shared" ca="1" si="104"/>
        <v>#N/A</v>
      </c>
      <c r="X457" s="55" t="e">
        <f t="shared" ca="1" si="105"/>
        <v>#N/A</v>
      </c>
      <c r="Y457" s="55" t="e">
        <f t="shared" ca="1" si="106"/>
        <v>#N/A</v>
      </c>
      <c r="Z457" t="e">
        <f ca="1">VLOOKUP(S457,ModelOutputs,10,FALSE)*AWC</f>
        <v>#N/A</v>
      </c>
      <c r="AA457" t="e">
        <f t="shared" ca="1" si="97"/>
        <v>#N/A</v>
      </c>
      <c r="AB457" t="e">
        <f t="shared" ca="1" si="98"/>
        <v>#N/A</v>
      </c>
      <c r="AC457" t="e">
        <f t="shared" ca="1" si="99"/>
        <v>#N/A</v>
      </c>
      <c r="AD457" s="83" t="e">
        <f ca="1"/>
        <v>#N/A</v>
      </c>
      <c r="AE457" s="55" t="e">
        <f t="shared" ca="1" si="100"/>
        <v>#N/A</v>
      </c>
      <c r="AF457" s="55" t="e">
        <f t="shared" ca="1" si="101"/>
        <v>#N/A</v>
      </c>
      <c r="AG457" s="55" t="e">
        <f t="shared" ca="1" si="102"/>
        <v>#N/A</v>
      </c>
      <c r="AH457" s="55" t="e">
        <f t="shared" ca="1" si="103"/>
        <v>#N/A</v>
      </c>
      <c r="AI457" s="55" t="e">
        <f ca="1">-VLOOKUP(AE457,ModelOutputs,9,FALSE)+AI456</f>
        <v>#N/A</v>
      </c>
      <c r="AJ457" s="55" t="e">
        <f ca="1">VLOOKUP(AE457,ModelOutputs,5,FALSE)+AJ456</f>
        <v>#N/A</v>
      </c>
      <c r="AK457" s="55" t="e">
        <f ca="1">VLOOKUP(AE457,ModelOutputs,4,FALSE)+AK456</f>
        <v>#N/A</v>
      </c>
    </row>
    <row r="458" spans="18:37">
      <c r="R458" s="55" t="e">
        <f ca="1"/>
        <v>#N/A</v>
      </c>
      <c r="S458" s="55" t="e">
        <f t="shared" ca="1" si="93"/>
        <v>#N/A</v>
      </c>
      <c r="T458" s="55" t="e">
        <f t="shared" ca="1" si="94"/>
        <v>#N/A</v>
      </c>
      <c r="U458" s="55" t="e">
        <f t="shared" ca="1" si="95"/>
        <v>#N/A</v>
      </c>
      <c r="V458" s="55" t="e">
        <f t="shared" ca="1" si="96"/>
        <v>#N/A</v>
      </c>
      <c r="W458" s="55" t="e">
        <f t="shared" ca="1" si="104"/>
        <v>#N/A</v>
      </c>
      <c r="X458" s="55" t="e">
        <f t="shared" ca="1" si="105"/>
        <v>#N/A</v>
      </c>
      <c r="Y458" s="55" t="e">
        <f t="shared" ca="1" si="106"/>
        <v>#N/A</v>
      </c>
      <c r="Z458" t="e">
        <f ca="1">VLOOKUP(S458,ModelOutputs,10,FALSE)*AWC</f>
        <v>#N/A</v>
      </c>
      <c r="AA458" t="e">
        <f t="shared" ca="1" si="97"/>
        <v>#N/A</v>
      </c>
      <c r="AB458" t="e">
        <f t="shared" ca="1" si="98"/>
        <v>#N/A</v>
      </c>
      <c r="AC458" t="e">
        <f t="shared" ca="1" si="99"/>
        <v>#N/A</v>
      </c>
      <c r="AD458" s="83" t="e">
        <f ca="1"/>
        <v>#N/A</v>
      </c>
      <c r="AE458" s="55" t="e">
        <f t="shared" ca="1" si="100"/>
        <v>#N/A</v>
      </c>
      <c r="AF458" s="55" t="e">
        <f t="shared" ca="1" si="101"/>
        <v>#N/A</v>
      </c>
      <c r="AG458" s="55" t="e">
        <f t="shared" ca="1" si="102"/>
        <v>#N/A</v>
      </c>
      <c r="AH458" s="55" t="e">
        <f t="shared" ca="1" si="103"/>
        <v>#N/A</v>
      </c>
      <c r="AI458" s="55" t="e">
        <f ca="1">-VLOOKUP(AE458,ModelOutputs,9,FALSE)+AI457</f>
        <v>#N/A</v>
      </c>
      <c r="AJ458" s="55" t="e">
        <f ca="1">VLOOKUP(AE458,ModelOutputs,5,FALSE)+AJ457</f>
        <v>#N/A</v>
      </c>
      <c r="AK458" s="55" t="e">
        <f ca="1">VLOOKUP(AE458,ModelOutputs,4,FALSE)+AK457</f>
        <v>#N/A</v>
      </c>
    </row>
    <row r="459" spans="18:37">
      <c r="R459" s="55" t="e">
        <f ca="1"/>
        <v>#N/A</v>
      </c>
      <c r="S459" s="55" t="e">
        <f t="shared" ca="1" si="93"/>
        <v>#N/A</v>
      </c>
      <c r="T459" s="55" t="e">
        <f t="shared" ca="1" si="94"/>
        <v>#N/A</v>
      </c>
      <c r="U459" s="55" t="e">
        <f t="shared" ca="1" si="95"/>
        <v>#N/A</v>
      </c>
      <c r="V459" s="55" t="e">
        <f t="shared" ca="1" si="96"/>
        <v>#N/A</v>
      </c>
      <c r="W459" s="55" t="e">
        <f t="shared" ca="1" si="104"/>
        <v>#N/A</v>
      </c>
      <c r="X459" s="55" t="e">
        <f t="shared" ca="1" si="105"/>
        <v>#N/A</v>
      </c>
      <c r="Y459" s="55" t="e">
        <f t="shared" ca="1" si="106"/>
        <v>#N/A</v>
      </c>
      <c r="Z459" t="e">
        <f ca="1">VLOOKUP(S459,ModelOutputs,10,FALSE)*AWC</f>
        <v>#N/A</v>
      </c>
      <c r="AA459" t="e">
        <f t="shared" ca="1" si="97"/>
        <v>#N/A</v>
      </c>
      <c r="AB459" t="e">
        <f t="shared" ca="1" si="98"/>
        <v>#N/A</v>
      </c>
      <c r="AC459" t="e">
        <f t="shared" ca="1" si="99"/>
        <v>#N/A</v>
      </c>
      <c r="AD459" s="83" t="e">
        <f ca="1"/>
        <v>#N/A</v>
      </c>
      <c r="AE459" s="55" t="e">
        <f t="shared" ca="1" si="100"/>
        <v>#N/A</v>
      </c>
      <c r="AF459" s="55" t="e">
        <f t="shared" ca="1" si="101"/>
        <v>#N/A</v>
      </c>
      <c r="AG459" s="55" t="e">
        <f t="shared" ca="1" si="102"/>
        <v>#N/A</v>
      </c>
      <c r="AH459" s="55" t="e">
        <f t="shared" ca="1" si="103"/>
        <v>#N/A</v>
      </c>
      <c r="AI459" s="55" t="e">
        <f ca="1">-VLOOKUP(AE459,ModelOutputs,9,FALSE)+AI458</f>
        <v>#N/A</v>
      </c>
      <c r="AJ459" s="55" t="e">
        <f ca="1">VLOOKUP(AE459,ModelOutputs,5,FALSE)+AJ458</f>
        <v>#N/A</v>
      </c>
      <c r="AK459" s="55" t="e">
        <f ca="1">VLOOKUP(AE459,ModelOutputs,4,FALSE)+AK458</f>
        <v>#N/A</v>
      </c>
    </row>
    <row r="460" spans="18:37">
      <c r="R460" s="55" t="e">
        <f ca="1"/>
        <v>#N/A</v>
      </c>
      <c r="S460" s="55" t="e">
        <f t="shared" ref="S460:S523" ca="1" si="107">IF(R460&gt;1,R460,"")</f>
        <v>#N/A</v>
      </c>
      <c r="T460" s="55" t="e">
        <f t="shared" ref="T460:T523" ca="1" si="108">VLOOKUP(S460,ModelOutputs,2,FALSE)</f>
        <v>#N/A</v>
      </c>
      <c r="U460" s="55" t="e">
        <f t="shared" ref="U460:U523" ca="1" si="109">VLOOKUP(S460,ModelOutputs,7,FALSE)</f>
        <v>#N/A</v>
      </c>
      <c r="V460" s="55" t="e">
        <f t="shared" ref="V460:V523" ca="1" si="110">VLOOKUP(S460,ModelOutputs,6,FALSE)</f>
        <v>#N/A</v>
      </c>
      <c r="W460" s="55" t="e">
        <f t="shared" ca="1" si="104"/>
        <v>#N/A</v>
      </c>
      <c r="X460" s="55" t="e">
        <f t="shared" ca="1" si="105"/>
        <v>#N/A</v>
      </c>
      <c r="Y460" s="55" t="e">
        <f t="shared" ca="1" si="106"/>
        <v>#N/A</v>
      </c>
      <c r="Z460" t="e">
        <f ca="1">VLOOKUP(S460,ModelOutputs,10,FALSE)*AWC</f>
        <v>#N/A</v>
      </c>
      <c r="AA460" t="e">
        <f t="shared" ref="AA460:AA523" ca="1" si="111">VLOOKUP(S460,ModelOutputs,11,FALSE)+AA459</f>
        <v>#N/A</v>
      </c>
      <c r="AB460" t="e">
        <f t="shared" ref="AB460:AB523" ca="1" si="112">VLOOKUP(S460,ModelOutputs,12,FALSE)</f>
        <v>#N/A</v>
      </c>
      <c r="AC460" t="e">
        <f t="shared" ref="AC460:AC523" ca="1" si="113">VLOOKUP(S460,ModelOutputs,13,FALSE)</f>
        <v>#N/A</v>
      </c>
      <c r="AD460" s="83" t="e">
        <f ca="1"/>
        <v>#N/A</v>
      </c>
      <c r="AE460" s="55" t="e">
        <f t="shared" ref="AE460:AE523" ca="1" si="114">IF(AD460&gt;1,AD460,"")</f>
        <v>#N/A</v>
      </c>
      <c r="AF460" s="55" t="e">
        <f t="shared" ref="AF460:AF523" ca="1" si="115">VLOOKUP(AE460,ModelOutputs,2,FALSE)</f>
        <v>#N/A</v>
      </c>
      <c r="AG460" s="55" t="e">
        <f t="shared" ref="AG460:AG523" ca="1" si="116">VLOOKUP(AE460,ModelOutputs,7,FALSE)</f>
        <v>#N/A</v>
      </c>
      <c r="AH460" s="55" t="e">
        <f t="shared" ref="AH460:AH523" ca="1" si="117">VLOOKUP(AE460,ModelOutputs,6,FALSE)</f>
        <v>#N/A</v>
      </c>
      <c r="AI460" s="55" t="e">
        <f ca="1">-VLOOKUP(AE460,ModelOutputs,9,FALSE)+AI459</f>
        <v>#N/A</v>
      </c>
      <c r="AJ460" s="55" t="e">
        <f ca="1">VLOOKUP(AE460,ModelOutputs,5,FALSE)+AJ459</f>
        <v>#N/A</v>
      </c>
      <c r="AK460" s="55" t="e">
        <f ca="1">VLOOKUP(AE460,ModelOutputs,4,FALSE)+AK459</f>
        <v>#N/A</v>
      </c>
    </row>
    <row r="461" spans="18:37">
      <c r="R461" s="55" t="e">
        <f ca="1"/>
        <v>#N/A</v>
      </c>
      <c r="S461" s="55" t="e">
        <f t="shared" ca="1" si="107"/>
        <v>#N/A</v>
      </c>
      <c r="T461" s="55" t="e">
        <f t="shared" ca="1" si="108"/>
        <v>#N/A</v>
      </c>
      <c r="U461" s="55" t="e">
        <f t="shared" ca="1" si="109"/>
        <v>#N/A</v>
      </c>
      <c r="V461" s="55" t="e">
        <f t="shared" ca="1" si="110"/>
        <v>#N/A</v>
      </c>
      <c r="W461" s="55" t="e">
        <f t="shared" ca="1" si="104"/>
        <v>#N/A</v>
      </c>
      <c r="X461" s="55" t="e">
        <f t="shared" ca="1" si="105"/>
        <v>#N/A</v>
      </c>
      <c r="Y461" s="55" t="e">
        <f t="shared" ca="1" si="106"/>
        <v>#N/A</v>
      </c>
      <c r="Z461" t="e">
        <f ca="1">VLOOKUP(S461,ModelOutputs,10,FALSE)*AWC</f>
        <v>#N/A</v>
      </c>
      <c r="AA461" t="e">
        <f t="shared" ca="1" si="111"/>
        <v>#N/A</v>
      </c>
      <c r="AB461" t="e">
        <f t="shared" ca="1" si="112"/>
        <v>#N/A</v>
      </c>
      <c r="AC461" t="e">
        <f t="shared" ca="1" si="113"/>
        <v>#N/A</v>
      </c>
      <c r="AD461" s="83" t="e">
        <f ca="1"/>
        <v>#N/A</v>
      </c>
      <c r="AE461" s="55" t="e">
        <f t="shared" ca="1" si="114"/>
        <v>#N/A</v>
      </c>
      <c r="AF461" s="55" t="e">
        <f t="shared" ca="1" si="115"/>
        <v>#N/A</v>
      </c>
      <c r="AG461" s="55" t="e">
        <f t="shared" ca="1" si="116"/>
        <v>#N/A</v>
      </c>
      <c r="AH461" s="55" t="e">
        <f t="shared" ca="1" si="117"/>
        <v>#N/A</v>
      </c>
      <c r="AI461" s="55" t="e">
        <f ca="1">-VLOOKUP(AE461,ModelOutputs,9,FALSE)+AI460</f>
        <v>#N/A</v>
      </c>
      <c r="AJ461" s="55" t="e">
        <f ca="1">VLOOKUP(AE461,ModelOutputs,5,FALSE)+AJ460</f>
        <v>#N/A</v>
      </c>
      <c r="AK461" s="55" t="e">
        <f ca="1">VLOOKUP(AE461,ModelOutputs,4,FALSE)+AK460</f>
        <v>#N/A</v>
      </c>
    </row>
    <row r="462" spans="18:37">
      <c r="R462" s="55" t="e">
        <f ca="1"/>
        <v>#N/A</v>
      </c>
      <c r="S462" s="55" t="e">
        <f t="shared" ca="1" si="107"/>
        <v>#N/A</v>
      </c>
      <c r="T462" s="55" t="e">
        <f t="shared" ca="1" si="108"/>
        <v>#N/A</v>
      </c>
      <c r="U462" s="55" t="e">
        <f t="shared" ca="1" si="109"/>
        <v>#N/A</v>
      </c>
      <c r="V462" s="55" t="e">
        <f t="shared" ca="1" si="110"/>
        <v>#N/A</v>
      </c>
      <c r="W462" s="55" t="e">
        <f t="shared" ca="1" si="104"/>
        <v>#N/A</v>
      </c>
      <c r="X462" s="55" t="e">
        <f t="shared" ca="1" si="105"/>
        <v>#N/A</v>
      </c>
      <c r="Y462" s="55" t="e">
        <f t="shared" ca="1" si="106"/>
        <v>#N/A</v>
      </c>
      <c r="Z462" t="e">
        <f ca="1">VLOOKUP(S462,ModelOutputs,10,FALSE)*AWC</f>
        <v>#N/A</v>
      </c>
      <c r="AA462" t="e">
        <f t="shared" ca="1" si="111"/>
        <v>#N/A</v>
      </c>
      <c r="AB462" t="e">
        <f t="shared" ca="1" si="112"/>
        <v>#N/A</v>
      </c>
      <c r="AC462" t="e">
        <f t="shared" ca="1" si="113"/>
        <v>#N/A</v>
      </c>
      <c r="AD462" s="83" t="e">
        <f ca="1"/>
        <v>#N/A</v>
      </c>
      <c r="AE462" s="55" t="e">
        <f t="shared" ca="1" si="114"/>
        <v>#N/A</v>
      </c>
      <c r="AF462" s="55" t="e">
        <f t="shared" ca="1" si="115"/>
        <v>#N/A</v>
      </c>
      <c r="AG462" s="55" t="e">
        <f t="shared" ca="1" si="116"/>
        <v>#N/A</v>
      </c>
      <c r="AH462" s="55" t="e">
        <f t="shared" ca="1" si="117"/>
        <v>#N/A</v>
      </c>
      <c r="AI462" s="55" t="e">
        <f ca="1">-VLOOKUP(AE462,ModelOutputs,9,FALSE)+AI461</f>
        <v>#N/A</v>
      </c>
      <c r="AJ462" s="55" t="e">
        <f ca="1">VLOOKUP(AE462,ModelOutputs,5,FALSE)+AJ461</f>
        <v>#N/A</v>
      </c>
      <c r="AK462" s="55" t="e">
        <f ca="1">VLOOKUP(AE462,ModelOutputs,4,FALSE)+AK461</f>
        <v>#N/A</v>
      </c>
    </row>
    <row r="463" spans="18:37">
      <c r="R463" s="55" t="e">
        <f ca="1"/>
        <v>#N/A</v>
      </c>
      <c r="S463" s="55" t="e">
        <f t="shared" ca="1" si="107"/>
        <v>#N/A</v>
      </c>
      <c r="T463" s="55" t="e">
        <f t="shared" ca="1" si="108"/>
        <v>#N/A</v>
      </c>
      <c r="U463" s="55" t="e">
        <f t="shared" ca="1" si="109"/>
        <v>#N/A</v>
      </c>
      <c r="V463" s="55" t="e">
        <f t="shared" ca="1" si="110"/>
        <v>#N/A</v>
      </c>
      <c r="W463" s="55" t="e">
        <f t="shared" ca="1" si="104"/>
        <v>#N/A</v>
      </c>
      <c r="X463" s="55" t="e">
        <f t="shared" ca="1" si="105"/>
        <v>#N/A</v>
      </c>
      <c r="Y463" s="55" t="e">
        <f t="shared" ca="1" si="106"/>
        <v>#N/A</v>
      </c>
      <c r="Z463" t="e">
        <f ca="1">VLOOKUP(S463,ModelOutputs,10,FALSE)*AWC</f>
        <v>#N/A</v>
      </c>
      <c r="AA463" t="e">
        <f t="shared" ca="1" si="111"/>
        <v>#N/A</v>
      </c>
      <c r="AB463" t="e">
        <f t="shared" ca="1" si="112"/>
        <v>#N/A</v>
      </c>
      <c r="AC463" t="e">
        <f t="shared" ca="1" si="113"/>
        <v>#N/A</v>
      </c>
      <c r="AD463" s="83" t="e">
        <f ca="1"/>
        <v>#N/A</v>
      </c>
      <c r="AE463" s="55" t="e">
        <f t="shared" ca="1" si="114"/>
        <v>#N/A</v>
      </c>
      <c r="AF463" s="55" t="e">
        <f t="shared" ca="1" si="115"/>
        <v>#N/A</v>
      </c>
      <c r="AG463" s="55" t="e">
        <f t="shared" ca="1" si="116"/>
        <v>#N/A</v>
      </c>
      <c r="AH463" s="55" t="e">
        <f t="shared" ca="1" si="117"/>
        <v>#N/A</v>
      </c>
      <c r="AI463" s="55" t="e">
        <f ca="1">-VLOOKUP(AE463,ModelOutputs,9,FALSE)+AI462</f>
        <v>#N/A</v>
      </c>
      <c r="AJ463" s="55" t="e">
        <f ca="1">VLOOKUP(AE463,ModelOutputs,5,FALSE)+AJ462</f>
        <v>#N/A</v>
      </c>
      <c r="AK463" s="55" t="e">
        <f ca="1">VLOOKUP(AE463,ModelOutputs,4,FALSE)+AK462</f>
        <v>#N/A</v>
      </c>
    </row>
    <row r="464" spans="18:37">
      <c r="R464" s="55" t="e">
        <f ca="1"/>
        <v>#N/A</v>
      </c>
      <c r="S464" s="55" t="e">
        <f t="shared" ca="1" si="107"/>
        <v>#N/A</v>
      </c>
      <c r="T464" s="55" t="e">
        <f t="shared" ca="1" si="108"/>
        <v>#N/A</v>
      </c>
      <c r="U464" s="55" t="e">
        <f t="shared" ca="1" si="109"/>
        <v>#N/A</v>
      </c>
      <c r="V464" s="55" t="e">
        <f t="shared" ca="1" si="110"/>
        <v>#N/A</v>
      </c>
      <c r="W464" s="55" t="e">
        <f t="shared" ca="1" si="104"/>
        <v>#N/A</v>
      </c>
      <c r="X464" s="55" t="e">
        <f t="shared" ca="1" si="105"/>
        <v>#N/A</v>
      </c>
      <c r="Y464" s="55" t="e">
        <f t="shared" ca="1" si="106"/>
        <v>#N/A</v>
      </c>
      <c r="Z464" t="e">
        <f ca="1">VLOOKUP(S464,ModelOutputs,10,FALSE)*AWC</f>
        <v>#N/A</v>
      </c>
      <c r="AA464" t="e">
        <f t="shared" ca="1" si="111"/>
        <v>#N/A</v>
      </c>
      <c r="AB464" t="e">
        <f t="shared" ca="1" si="112"/>
        <v>#N/A</v>
      </c>
      <c r="AC464" t="e">
        <f t="shared" ca="1" si="113"/>
        <v>#N/A</v>
      </c>
      <c r="AD464" s="83" t="e">
        <f ca="1"/>
        <v>#N/A</v>
      </c>
      <c r="AE464" s="55" t="e">
        <f t="shared" ca="1" si="114"/>
        <v>#N/A</v>
      </c>
      <c r="AF464" s="55" t="e">
        <f t="shared" ca="1" si="115"/>
        <v>#N/A</v>
      </c>
      <c r="AG464" s="55" t="e">
        <f t="shared" ca="1" si="116"/>
        <v>#N/A</v>
      </c>
      <c r="AH464" s="55" t="e">
        <f t="shared" ca="1" si="117"/>
        <v>#N/A</v>
      </c>
      <c r="AI464" s="55" t="e">
        <f ca="1">-VLOOKUP(AE464,ModelOutputs,9,FALSE)+AI463</f>
        <v>#N/A</v>
      </c>
      <c r="AJ464" s="55" t="e">
        <f ca="1">VLOOKUP(AE464,ModelOutputs,5,FALSE)+AJ463</f>
        <v>#N/A</v>
      </c>
      <c r="AK464" s="55" t="e">
        <f ca="1">VLOOKUP(AE464,ModelOutputs,4,FALSE)+AK463</f>
        <v>#N/A</v>
      </c>
    </row>
    <row r="465" spans="18:37">
      <c r="R465" s="55" t="e">
        <f ca="1"/>
        <v>#N/A</v>
      </c>
      <c r="S465" s="55" t="e">
        <f t="shared" ca="1" si="107"/>
        <v>#N/A</v>
      </c>
      <c r="T465" s="55" t="e">
        <f t="shared" ca="1" si="108"/>
        <v>#N/A</v>
      </c>
      <c r="U465" s="55" t="e">
        <f t="shared" ca="1" si="109"/>
        <v>#N/A</v>
      </c>
      <c r="V465" s="55" t="e">
        <f t="shared" ca="1" si="110"/>
        <v>#N/A</v>
      </c>
      <c r="W465" s="55" t="e">
        <f t="shared" ca="1" si="104"/>
        <v>#N/A</v>
      </c>
      <c r="X465" s="55" t="e">
        <f t="shared" ca="1" si="105"/>
        <v>#N/A</v>
      </c>
      <c r="Y465" s="55" t="e">
        <f t="shared" ca="1" si="106"/>
        <v>#N/A</v>
      </c>
      <c r="Z465" t="e">
        <f ca="1">VLOOKUP(S465,ModelOutputs,10,FALSE)*AWC</f>
        <v>#N/A</v>
      </c>
      <c r="AA465" t="e">
        <f t="shared" ca="1" si="111"/>
        <v>#N/A</v>
      </c>
      <c r="AB465" t="e">
        <f t="shared" ca="1" si="112"/>
        <v>#N/A</v>
      </c>
      <c r="AC465" t="e">
        <f t="shared" ca="1" si="113"/>
        <v>#N/A</v>
      </c>
      <c r="AD465" s="83" t="e">
        <f ca="1"/>
        <v>#N/A</v>
      </c>
      <c r="AE465" s="55" t="e">
        <f t="shared" ca="1" si="114"/>
        <v>#N/A</v>
      </c>
      <c r="AF465" s="55" t="e">
        <f t="shared" ca="1" si="115"/>
        <v>#N/A</v>
      </c>
      <c r="AG465" s="55" t="e">
        <f t="shared" ca="1" si="116"/>
        <v>#N/A</v>
      </c>
      <c r="AH465" s="55" t="e">
        <f t="shared" ca="1" si="117"/>
        <v>#N/A</v>
      </c>
      <c r="AI465" s="55" t="e">
        <f ca="1">-VLOOKUP(AE465,ModelOutputs,9,FALSE)+AI464</f>
        <v>#N/A</v>
      </c>
      <c r="AJ465" s="55" t="e">
        <f ca="1">VLOOKUP(AE465,ModelOutputs,5,FALSE)+AJ464</f>
        <v>#N/A</v>
      </c>
      <c r="AK465" s="55" t="e">
        <f ca="1">VLOOKUP(AE465,ModelOutputs,4,FALSE)+AK464</f>
        <v>#N/A</v>
      </c>
    </row>
    <row r="466" spans="18:37">
      <c r="R466" s="55" t="e">
        <f ca="1"/>
        <v>#N/A</v>
      </c>
      <c r="S466" s="55" t="e">
        <f t="shared" ca="1" si="107"/>
        <v>#N/A</v>
      </c>
      <c r="T466" s="55" t="e">
        <f t="shared" ca="1" si="108"/>
        <v>#N/A</v>
      </c>
      <c r="U466" s="55" t="e">
        <f t="shared" ca="1" si="109"/>
        <v>#N/A</v>
      </c>
      <c r="V466" s="55" t="e">
        <f t="shared" ca="1" si="110"/>
        <v>#N/A</v>
      </c>
      <c r="W466" s="55" t="e">
        <f t="shared" ca="1" si="104"/>
        <v>#N/A</v>
      </c>
      <c r="X466" s="55" t="e">
        <f t="shared" ca="1" si="105"/>
        <v>#N/A</v>
      </c>
      <c r="Y466" s="55" t="e">
        <f t="shared" ca="1" si="106"/>
        <v>#N/A</v>
      </c>
      <c r="Z466" t="e">
        <f ca="1">VLOOKUP(S466,ModelOutputs,10,FALSE)*AWC</f>
        <v>#N/A</v>
      </c>
      <c r="AA466" t="e">
        <f t="shared" ca="1" si="111"/>
        <v>#N/A</v>
      </c>
      <c r="AB466" t="e">
        <f t="shared" ca="1" si="112"/>
        <v>#N/A</v>
      </c>
      <c r="AC466" t="e">
        <f t="shared" ca="1" si="113"/>
        <v>#N/A</v>
      </c>
      <c r="AD466" s="83" t="e">
        <f ca="1"/>
        <v>#N/A</v>
      </c>
      <c r="AE466" s="55" t="e">
        <f t="shared" ca="1" si="114"/>
        <v>#N/A</v>
      </c>
      <c r="AF466" s="55" t="e">
        <f t="shared" ca="1" si="115"/>
        <v>#N/A</v>
      </c>
      <c r="AG466" s="55" t="e">
        <f t="shared" ca="1" si="116"/>
        <v>#N/A</v>
      </c>
      <c r="AH466" s="55" t="e">
        <f t="shared" ca="1" si="117"/>
        <v>#N/A</v>
      </c>
      <c r="AI466" s="55" t="e">
        <f ca="1">-VLOOKUP(AE466,ModelOutputs,9,FALSE)+AI465</f>
        <v>#N/A</v>
      </c>
      <c r="AJ466" s="55" t="e">
        <f ca="1">VLOOKUP(AE466,ModelOutputs,5,FALSE)+AJ465</f>
        <v>#N/A</v>
      </c>
      <c r="AK466" s="55" t="e">
        <f ca="1">VLOOKUP(AE466,ModelOutputs,4,FALSE)+AK465</f>
        <v>#N/A</v>
      </c>
    </row>
    <row r="467" spans="18:37">
      <c r="R467" s="55" t="e">
        <f ca="1"/>
        <v>#N/A</v>
      </c>
      <c r="S467" s="55" t="e">
        <f t="shared" ca="1" si="107"/>
        <v>#N/A</v>
      </c>
      <c r="T467" s="55" t="e">
        <f t="shared" ca="1" si="108"/>
        <v>#N/A</v>
      </c>
      <c r="U467" s="55" t="e">
        <f t="shared" ca="1" si="109"/>
        <v>#N/A</v>
      </c>
      <c r="V467" s="55" t="e">
        <f t="shared" ca="1" si="110"/>
        <v>#N/A</v>
      </c>
      <c r="W467" s="55" t="e">
        <f t="shared" ref="W467:W530" ca="1" si="118">-VLOOKUP(S467,ModelOutputs,9,FALSE)+W466</f>
        <v>#N/A</v>
      </c>
      <c r="X467" s="55" t="e">
        <f t="shared" ref="X467:X530" ca="1" si="119">VLOOKUP(S467,ModelOutputs,5,FALSE)+X466</f>
        <v>#N/A</v>
      </c>
      <c r="Y467" s="55" t="e">
        <f t="shared" ref="Y467:Y530" ca="1" si="120">VLOOKUP(S467,ModelOutputs,4,FALSE)+Y466</f>
        <v>#N/A</v>
      </c>
      <c r="Z467" t="e">
        <f ca="1">VLOOKUP(S467,ModelOutputs,10,FALSE)*AWC</f>
        <v>#N/A</v>
      </c>
      <c r="AA467" t="e">
        <f t="shared" ca="1" si="111"/>
        <v>#N/A</v>
      </c>
      <c r="AB467" t="e">
        <f t="shared" ca="1" si="112"/>
        <v>#N/A</v>
      </c>
      <c r="AC467" t="e">
        <f t="shared" ca="1" si="113"/>
        <v>#N/A</v>
      </c>
      <c r="AD467" s="83" t="e">
        <f ca="1"/>
        <v>#N/A</v>
      </c>
      <c r="AE467" s="55" t="e">
        <f t="shared" ca="1" si="114"/>
        <v>#N/A</v>
      </c>
      <c r="AF467" s="55" t="e">
        <f t="shared" ca="1" si="115"/>
        <v>#N/A</v>
      </c>
      <c r="AG467" s="55" t="e">
        <f t="shared" ca="1" si="116"/>
        <v>#N/A</v>
      </c>
      <c r="AH467" s="55" t="e">
        <f t="shared" ca="1" si="117"/>
        <v>#N/A</v>
      </c>
      <c r="AI467" s="55" t="e">
        <f ca="1">-VLOOKUP(AE467,ModelOutputs,9,FALSE)+AI466</f>
        <v>#N/A</v>
      </c>
      <c r="AJ467" s="55" t="e">
        <f ca="1">VLOOKUP(AE467,ModelOutputs,5,FALSE)+AJ466</f>
        <v>#N/A</v>
      </c>
      <c r="AK467" s="55" t="e">
        <f ca="1">VLOOKUP(AE467,ModelOutputs,4,FALSE)+AK466</f>
        <v>#N/A</v>
      </c>
    </row>
    <row r="468" spans="18:37">
      <c r="R468" s="55" t="e">
        <f ca="1"/>
        <v>#N/A</v>
      </c>
      <c r="S468" s="55" t="e">
        <f t="shared" ca="1" si="107"/>
        <v>#N/A</v>
      </c>
      <c r="T468" s="55" t="e">
        <f t="shared" ca="1" si="108"/>
        <v>#N/A</v>
      </c>
      <c r="U468" s="55" t="e">
        <f t="shared" ca="1" si="109"/>
        <v>#N/A</v>
      </c>
      <c r="V468" s="55" t="e">
        <f t="shared" ca="1" si="110"/>
        <v>#N/A</v>
      </c>
      <c r="W468" s="55" t="e">
        <f t="shared" ca="1" si="118"/>
        <v>#N/A</v>
      </c>
      <c r="X468" s="55" t="e">
        <f t="shared" ca="1" si="119"/>
        <v>#N/A</v>
      </c>
      <c r="Y468" s="55" t="e">
        <f t="shared" ca="1" si="120"/>
        <v>#N/A</v>
      </c>
      <c r="Z468" t="e">
        <f ca="1">VLOOKUP(S468,ModelOutputs,10,FALSE)*AWC</f>
        <v>#N/A</v>
      </c>
      <c r="AA468" t="e">
        <f t="shared" ca="1" si="111"/>
        <v>#N/A</v>
      </c>
      <c r="AB468" t="e">
        <f t="shared" ca="1" si="112"/>
        <v>#N/A</v>
      </c>
      <c r="AC468" t="e">
        <f t="shared" ca="1" si="113"/>
        <v>#N/A</v>
      </c>
      <c r="AD468" s="83" t="e">
        <f ca="1"/>
        <v>#N/A</v>
      </c>
      <c r="AE468" s="55" t="e">
        <f t="shared" ca="1" si="114"/>
        <v>#N/A</v>
      </c>
      <c r="AF468" s="55" t="e">
        <f t="shared" ca="1" si="115"/>
        <v>#N/A</v>
      </c>
      <c r="AG468" s="55" t="e">
        <f t="shared" ca="1" si="116"/>
        <v>#N/A</v>
      </c>
      <c r="AH468" s="55" t="e">
        <f t="shared" ca="1" si="117"/>
        <v>#N/A</v>
      </c>
      <c r="AI468" s="55" t="e">
        <f ca="1">-VLOOKUP(AE468,ModelOutputs,9,FALSE)+AI467</f>
        <v>#N/A</v>
      </c>
      <c r="AJ468" s="55" t="e">
        <f ca="1">VLOOKUP(AE468,ModelOutputs,5,FALSE)+AJ467</f>
        <v>#N/A</v>
      </c>
      <c r="AK468" s="55" t="e">
        <f ca="1">VLOOKUP(AE468,ModelOutputs,4,FALSE)+AK467</f>
        <v>#N/A</v>
      </c>
    </row>
    <row r="469" spans="18:37">
      <c r="R469" s="55" t="e">
        <f ca="1"/>
        <v>#N/A</v>
      </c>
      <c r="S469" s="55" t="e">
        <f t="shared" ca="1" si="107"/>
        <v>#N/A</v>
      </c>
      <c r="T469" s="55" t="e">
        <f t="shared" ca="1" si="108"/>
        <v>#N/A</v>
      </c>
      <c r="U469" s="55" t="e">
        <f t="shared" ca="1" si="109"/>
        <v>#N/A</v>
      </c>
      <c r="V469" s="55" t="e">
        <f t="shared" ca="1" si="110"/>
        <v>#N/A</v>
      </c>
      <c r="W469" s="55" t="e">
        <f t="shared" ca="1" si="118"/>
        <v>#N/A</v>
      </c>
      <c r="X469" s="55" t="e">
        <f t="shared" ca="1" si="119"/>
        <v>#N/A</v>
      </c>
      <c r="Y469" s="55" t="e">
        <f t="shared" ca="1" si="120"/>
        <v>#N/A</v>
      </c>
      <c r="Z469" t="e">
        <f ca="1">VLOOKUP(S469,ModelOutputs,10,FALSE)*AWC</f>
        <v>#N/A</v>
      </c>
      <c r="AA469" t="e">
        <f t="shared" ca="1" si="111"/>
        <v>#N/A</v>
      </c>
      <c r="AB469" t="e">
        <f t="shared" ca="1" si="112"/>
        <v>#N/A</v>
      </c>
      <c r="AC469" t="e">
        <f t="shared" ca="1" si="113"/>
        <v>#N/A</v>
      </c>
      <c r="AD469" s="83" t="e">
        <f ca="1"/>
        <v>#N/A</v>
      </c>
      <c r="AE469" s="55" t="e">
        <f t="shared" ca="1" si="114"/>
        <v>#N/A</v>
      </c>
      <c r="AF469" s="55" t="e">
        <f t="shared" ca="1" si="115"/>
        <v>#N/A</v>
      </c>
      <c r="AG469" s="55" t="e">
        <f t="shared" ca="1" si="116"/>
        <v>#N/A</v>
      </c>
      <c r="AH469" s="55" t="e">
        <f t="shared" ca="1" si="117"/>
        <v>#N/A</v>
      </c>
      <c r="AI469" s="55" t="e">
        <f ca="1">-VLOOKUP(AE469,ModelOutputs,9,FALSE)+AI468</f>
        <v>#N/A</v>
      </c>
      <c r="AJ469" s="55" t="e">
        <f ca="1">VLOOKUP(AE469,ModelOutputs,5,FALSE)+AJ468</f>
        <v>#N/A</v>
      </c>
      <c r="AK469" s="55" t="e">
        <f ca="1">VLOOKUP(AE469,ModelOutputs,4,FALSE)+AK468</f>
        <v>#N/A</v>
      </c>
    </row>
    <row r="470" spans="18:37">
      <c r="R470" s="55" t="e">
        <f ca="1"/>
        <v>#N/A</v>
      </c>
      <c r="S470" s="55" t="e">
        <f t="shared" ca="1" si="107"/>
        <v>#N/A</v>
      </c>
      <c r="T470" s="55" t="e">
        <f t="shared" ca="1" si="108"/>
        <v>#N/A</v>
      </c>
      <c r="U470" s="55" t="e">
        <f t="shared" ca="1" si="109"/>
        <v>#N/A</v>
      </c>
      <c r="V470" s="55" t="e">
        <f t="shared" ca="1" si="110"/>
        <v>#N/A</v>
      </c>
      <c r="W470" s="55" t="e">
        <f t="shared" ca="1" si="118"/>
        <v>#N/A</v>
      </c>
      <c r="X470" s="55" t="e">
        <f t="shared" ca="1" si="119"/>
        <v>#N/A</v>
      </c>
      <c r="Y470" s="55" t="e">
        <f t="shared" ca="1" si="120"/>
        <v>#N/A</v>
      </c>
      <c r="Z470" t="e">
        <f ca="1">VLOOKUP(S470,ModelOutputs,10,FALSE)*AWC</f>
        <v>#N/A</v>
      </c>
      <c r="AA470" t="e">
        <f t="shared" ca="1" si="111"/>
        <v>#N/A</v>
      </c>
      <c r="AB470" t="e">
        <f t="shared" ca="1" si="112"/>
        <v>#N/A</v>
      </c>
      <c r="AC470" t="e">
        <f t="shared" ca="1" si="113"/>
        <v>#N/A</v>
      </c>
      <c r="AD470" s="83" t="e">
        <f ca="1"/>
        <v>#N/A</v>
      </c>
      <c r="AE470" s="55" t="e">
        <f t="shared" ca="1" si="114"/>
        <v>#N/A</v>
      </c>
      <c r="AF470" s="55" t="e">
        <f t="shared" ca="1" si="115"/>
        <v>#N/A</v>
      </c>
      <c r="AG470" s="55" t="e">
        <f t="shared" ca="1" si="116"/>
        <v>#N/A</v>
      </c>
      <c r="AH470" s="55" t="e">
        <f t="shared" ca="1" si="117"/>
        <v>#N/A</v>
      </c>
      <c r="AI470" s="55" t="e">
        <f ca="1">-VLOOKUP(AE470,ModelOutputs,9,FALSE)+AI469</f>
        <v>#N/A</v>
      </c>
      <c r="AJ470" s="55" t="e">
        <f ca="1">VLOOKUP(AE470,ModelOutputs,5,FALSE)+AJ469</f>
        <v>#N/A</v>
      </c>
      <c r="AK470" s="55" t="e">
        <f ca="1">VLOOKUP(AE470,ModelOutputs,4,FALSE)+AK469</f>
        <v>#N/A</v>
      </c>
    </row>
    <row r="471" spans="18:37">
      <c r="R471" s="55" t="e">
        <f ca="1"/>
        <v>#N/A</v>
      </c>
      <c r="S471" s="55" t="e">
        <f t="shared" ca="1" si="107"/>
        <v>#N/A</v>
      </c>
      <c r="T471" s="55" t="e">
        <f t="shared" ca="1" si="108"/>
        <v>#N/A</v>
      </c>
      <c r="U471" s="55" t="e">
        <f t="shared" ca="1" si="109"/>
        <v>#N/A</v>
      </c>
      <c r="V471" s="55" t="e">
        <f t="shared" ca="1" si="110"/>
        <v>#N/A</v>
      </c>
      <c r="W471" s="55" t="e">
        <f t="shared" ca="1" si="118"/>
        <v>#N/A</v>
      </c>
      <c r="X471" s="55" t="e">
        <f t="shared" ca="1" si="119"/>
        <v>#N/A</v>
      </c>
      <c r="Y471" s="55" t="e">
        <f t="shared" ca="1" si="120"/>
        <v>#N/A</v>
      </c>
      <c r="Z471" t="e">
        <f ca="1">VLOOKUP(S471,ModelOutputs,10,FALSE)*AWC</f>
        <v>#N/A</v>
      </c>
      <c r="AA471" t="e">
        <f t="shared" ca="1" si="111"/>
        <v>#N/A</v>
      </c>
      <c r="AB471" t="e">
        <f t="shared" ca="1" si="112"/>
        <v>#N/A</v>
      </c>
      <c r="AC471" t="e">
        <f t="shared" ca="1" si="113"/>
        <v>#N/A</v>
      </c>
      <c r="AD471" s="83" t="e">
        <f ca="1"/>
        <v>#N/A</v>
      </c>
      <c r="AE471" s="55" t="e">
        <f t="shared" ca="1" si="114"/>
        <v>#N/A</v>
      </c>
      <c r="AF471" s="55" t="e">
        <f t="shared" ca="1" si="115"/>
        <v>#N/A</v>
      </c>
      <c r="AG471" s="55" t="e">
        <f t="shared" ca="1" si="116"/>
        <v>#N/A</v>
      </c>
      <c r="AH471" s="55" t="e">
        <f t="shared" ca="1" si="117"/>
        <v>#N/A</v>
      </c>
      <c r="AI471" s="55" t="e">
        <f ca="1">-VLOOKUP(AE471,ModelOutputs,9,FALSE)+AI470</f>
        <v>#N/A</v>
      </c>
      <c r="AJ471" s="55" t="e">
        <f ca="1">VLOOKUP(AE471,ModelOutputs,5,FALSE)+AJ470</f>
        <v>#N/A</v>
      </c>
      <c r="AK471" s="55" t="e">
        <f ca="1">VLOOKUP(AE471,ModelOutputs,4,FALSE)+AK470</f>
        <v>#N/A</v>
      </c>
    </row>
    <row r="472" spans="18:37">
      <c r="R472" s="55" t="e">
        <f ca="1"/>
        <v>#N/A</v>
      </c>
      <c r="S472" s="55" t="e">
        <f t="shared" ca="1" si="107"/>
        <v>#N/A</v>
      </c>
      <c r="T472" s="55" t="e">
        <f t="shared" ca="1" si="108"/>
        <v>#N/A</v>
      </c>
      <c r="U472" s="55" t="e">
        <f t="shared" ca="1" si="109"/>
        <v>#N/A</v>
      </c>
      <c r="V472" s="55" t="e">
        <f t="shared" ca="1" si="110"/>
        <v>#N/A</v>
      </c>
      <c r="W472" s="55" t="e">
        <f t="shared" ca="1" si="118"/>
        <v>#N/A</v>
      </c>
      <c r="X472" s="55" t="e">
        <f t="shared" ca="1" si="119"/>
        <v>#N/A</v>
      </c>
      <c r="Y472" s="55" t="e">
        <f t="shared" ca="1" si="120"/>
        <v>#N/A</v>
      </c>
      <c r="Z472" t="e">
        <f ca="1">VLOOKUP(S472,ModelOutputs,10,FALSE)*AWC</f>
        <v>#N/A</v>
      </c>
      <c r="AA472" t="e">
        <f t="shared" ca="1" si="111"/>
        <v>#N/A</v>
      </c>
      <c r="AB472" t="e">
        <f t="shared" ca="1" si="112"/>
        <v>#N/A</v>
      </c>
      <c r="AC472" t="e">
        <f t="shared" ca="1" si="113"/>
        <v>#N/A</v>
      </c>
      <c r="AD472" s="83" t="e">
        <f ca="1"/>
        <v>#N/A</v>
      </c>
      <c r="AE472" s="55" t="e">
        <f t="shared" ca="1" si="114"/>
        <v>#N/A</v>
      </c>
      <c r="AF472" s="55" t="e">
        <f t="shared" ca="1" si="115"/>
        <v>#N/A</v>
      </c>
      <c r="AG472" s="55" t="e">
        <f t="shared" ca="1" si="116"/>
        <v>#N/A</v>
      </c>
      <c r="AH472" s="55" t="e">
        <f t="shared" ca="1" si="117"/>
        <v>#N/A</v>
      </c>
      <c r="AI472" s="55" t="e">
        <f ca="1">-VLOOKUP(AE472,ModelOutputs,9,FALSE)+AI471</f>
        <v>#N/A</v>
      </c>
      <c r="AJ472" s="55" t="e">
        <f ca="1">VLOOKUP(AE472,ModelOutputs,5,FALSE)+AJ471</f>
        <v>#N/A</v>
      </c>
      <c r="AK472" s="55" t="e">
        <f ca="1">VLOOKUP(AE472,ModelOutputs,4,FALSE)+AK471</f>
        <v>#N/A</v>
      </c>
    </row>
    <row r="473" spans="18:37">
      <c r="R473" s="55" t="e">
        <f ca="1"/>
        <v>#N/A</v>
      </c>
      <c r="S473" s="55" t="e">
        <f t="shared" ca="1" si="107"/>
        <v>#N/A</v>
      </c>
      <c r="T473" s="55" t="e">
        <f t="shared" ca="1" si="108"/>
        <v>#N/A</v>
      </c>
      <c r="U473" s="55" t="e">
        <f t="shared" ca="1" si="109"/>
        <v>#N/A</v>
      </c>
      <c r="V473" s="55" t="e">
        <f t="shared" ca="1" si="110"/>
        <v>#N/A</v>
      </c>
      <c r="W473" s="55" t="e">
        <f t="shared" ca="1" si="118"/>
        <v>#N/A</v>
      </c>
      <c r="X473" s="55" t="e">
        <f t="shared" ca="1" si="119"/>
        <v>#N/A</v>
      </c>
      <c r="Y473" s="55" t="e">
        <f t="shared" ca="1" si="120"/>
        <v>#N/A</v>
      </c>
      <c r="Z473" t="e">
        <f ca="1">VLOOKUP(S473,ModelOutputs,10,FALSE)*AWC</f>
        <v>#N/A</v>
      </c>
      <c r="AA473" t="e">
        <f t="shared" ca="1" si="111"/>
        <v>#N/A</v>
      </c>
      <c r="AB473" t="e">
        <f t="shared" ca="1" si="112"/>
        <v>#N/A</v>
      </c>
      <c r="AC473" t="e">
        <f t="shared" ca="1" si="113"/>
        <v>#N/A</v>
      </c>
      <c r="AD473" s="83" t="e">
        <f ca="1"/>
        <v>#N/A</v>
      </c>
      <c r="AE473" s="55" t="e">
        <f t="shared" ca="1" si="114"/>
        <v>#N/A</v>
      </c>
      <c r="AF473" s="55" t="e">
        <f t="shared" ca="1" si="115"/>
        <v>#N/A</v>
      </c>
      <c r="AG473" s="55" t="e">
        <f t="shared" ca="1" si="116"/>
        <v>#N/A</v>
      </c>
      <c r="AH473" s="55" t="e">
        <f t="shared" ca="1" si="117"/>
        <v>#N/A</v>
      </c>
      <c r="AI473" s="55" t="e">
        <f ca="1">-VLOOKUP(AE473,ModelOutputs,9,FALSE)+AI472</f>
        <v>#N/A</v>
      </c>
      <c r="AJ473" s="55" t="e">
        <f ca="1">VLOOKUP(AE473,ModelOutputs,5,FALSE)+AJ472</f>
        <v>#N/A</v>
      </c>
      <c r="AK473" s="55" t="e">
        <f ca="1">VLOOKUP(AE473,ModelOutputs,4,FALSE)+AK472</f>
        <v>#N/A</v>
      </c>
    </row>
    <row r="474" spans="18:37">
      <c r="R474" s="55" t="e">
        <f ca="1"/>
        <v>#N/A</v>
      </c>
      <c r="S474" s="55" t="e">
        <f t="shared" ca="1" si="107"/>
        <v>#N/A</v>
      </c>
      <c r="T474" s="55" t="e">
        <f t="shared" ca="1" si="108"/>
        <v>#N/A</v>
      </c>
      <c r="U474" s="55" t="e">
        <f t="shared" ca="1" si="109"/>
        <v>#N/A</v>
      </c>
      <c r="V474" s="55" t="e">
        <f t="shared" ca="1" si="110"/>
        <v>#N/A</v>
      </c>
      <c r="W474" s="55" t="e">
        <f t="shared" ca="1" si="118"/>
        <v>#N/A</v>
      </c>
      <c r="X474" s="55" t="e">
        <f t="shared" ca="1" si="119"/>
        <v>#N/A</v>
      </c>
      <c r="Y474" s="55" t="e">
        <f t="shared" ca="1" si="120"/>
        <v>#N/A</v>
      </c>
      <c r="Z474" t="e">
        <f ca="1">VLOOKUP(S474,ModelOutputs,10,FALSE)*AWC</f>
        <v>#N/A</v>
      </c>
      <c r="AA474" t="e">
        <f t="shared" ca="1" si="111"/>
        <v>#N/A</v>
      </c>
      <c r="AB474" t="e">
        <f t="shared" ca="1" si="112"/>
        <v>#N/A</v>
      </c>
      <c r="AC474" t="e">
        <f t="shared" ca="1" si="113"/>
        <v>#N/A</v>
      </c>
      <c r="AD474" s="83" t="e">
        <f ca="1"/>
        <v>#N/A</v>
      </c>
      <c r="AE474" s="55" t="e">
        <f t="shared" ca="1" si="114"/>
        <v>#N/A</v>
      </c>
      <c r="AF474" s="55" t="e">
        <f t="shared" ca="1" si="115"/>
        <v>#N/A</v>
      </c>
      <c r="AG474" s="55" t="e">
        <f t="shared" ca="1" si="116"/>
        <v>#N/A</v>
      </c>
      <c r="AH474" s="55" t="e">
        <f t="shared" ca="1" si="117"/>
        <v>#N/A</v>
      </c>
      <c r="AI474" s="55" t="e">
        <f ca="1">-VLOOKUP(AE474,ModelOutputs,9,FALSE)+AI473</f>
        <v>#N/A</v>
      </c>
      <c r="AJ474" s="55" t="e">
        <f ca="1">VLOOKUP(AE474,ModelOutputs,5,FALSE)+AJ473</f>
        <v>#N/A</v>
      </c>
      <c r="AK474" s="55" t="e">
        <f ca="1">VLOOKUP(AE474,ModelOutputs,4,FALSE)+AK473</f>
        <v>#N/A</v>
      </c>
    </row>
    <row r="475" spans="18:37">
      <c r="R475" s="55" t="e">
        <f ca="1"/>
        <v>#N/A</v>
      </c>
      <c r="S475" s="55" t="e">
        <f t="shared" ca="1" si="107"/>
        <v>#N/A</v>
      </c>
      <c r="T475" s="55" t="e">
        <f t="shared" ca="1" si="108"/>
        <v>#N/A</v>
      </c>
      <c r="U475" s="55" t="e">
        <f t="shared" ca="1" si="109"/>
        <v>#N/A</v>
      </c>
      <c r="V475" s="55" t="e">
        <f t="shared" ca="1" si="110"/>
        <v>#N/A</v>
      </c>
      <c r="W475" s="55" t="e">
        <f t="shared" ca="1" si="118"/>
        <v>#N/A</v>
      </c>
      <c r="X475" s="55" t="e">
        <f t="shared" ca="1" si="119"/>
        <v>#N/A</v>
      </c>
      <c r="Y475" s="55" t="e">
        <f t="shared" ca="1" si="120"/>
        <v>#N/A</v>
      </c>
      <c r="Z475" t="e">
        <f ca="1">VLOOKUP(S475,ModelOutputs,10,FALSE)*AWC</f>
        <v>#N/A</v>
      </c>
      <c r="AA475" t="e">
        <f t="shared" ca="1" si="111"/>
        <v>#N/A</v>
      </c>
      <c r="AB475" t="e">
        <f t="shared" ca="1" si="112"/>
        <v>#N/A</v>
      </c>
      <c r="AC475" t="e">
        <f t="shared" ca="1" si="113"/>
        <v>#N/A</v>
      </c>
      <c r="AD475" s="83" t="e">
        <f ca="1"/>
        <v>#N/A</v>
      </c>
      <c r="AE475" s="55" t="e">
        <f t="shared" ca="1" si="114"/>
        <v>#N/A</v>
      </c>
      <c r="AF475" s="55" t="e">
        <f t="shared" ca="1" si="115"/>
        <v>#N/A</v>
      </c>
      <c r="AG475" s="55" t="e">
        <f t="shared" ca="1" si="116"/>
        <v>#N/A</v>
      </c>
      <c r="AH475" s="55" t="e">
        <f t="shared" ca="1" si="117"/>
        <v>#N/A</v>
      </c>
      <c r="AI475" s="55" t="e">
        <f ca="1">-VLOOKUP(AE475,ModelOutputs,9,FALSE)+AI474</f>
        <v>#N/A</v>
      </c>
      <c r="AJ475" s="55" t="e">
        <f ca="1">VLOOKUP(AE475,ModelOutputs,5,FALSE)+AJ474</f>
        <v>#N/A</v>
      </c>
      <c r="AK475" s="55" t="e">
        <f ca="1">VLOOKUP(AE475,ModelOutputs,4,FALSE)+AK474</f>
        <v>#N/A</v>
      </c>
    </row>
    <row r="476" spans="18:37">
      <c r="R476" s="55" t="e">
        <f ca="1"/>
        <v>#N/A</v>
      </c>
      <c r="S476" s="55" t="e">
        <f t="shared" ca="1" si="107"/>
        <v>#N/A</v>
      </c>
      <c r="T476" s="55" t="e">
        <f t="shared" ca="1" si="108"/>
        <v>#N/A</v>
      </c>
      <c r="U476" s="55" t="e">
        <f t="shared" ca="1" si="109"/>
        <v>#N/A</v>
      </c>
      <c r="V476" s="55" t="e">
        <f t="shared" ca="1" si="110"/>
        <v>#N/A</v>
      </c>
      <c r="W476" s="55" t="e">
        <f t="shared" ca="1" si="118"/>
        <v>#N/A</v>
      </c>
      <c r="X476" s="55" t="e">
        <f t="shared" ca="1" si="119"/>
        <v>#N/A</v>
      </c>
      <c r="Y476" s="55" t="e">
        <f t="shared" ca="1" si="120"/>
        <v>#N/A</v>
      </c>
      <c r="Z476" t="e">
        <f ca="1">VLOOKUP(S476,ModelOutputs,10,FALSE)*AWC</f>
        <v>#N/A</v>
      </c>
      <c r="AA476" t="e">
        <f t="shared" ca="1" si="111"/>
        <v>#N/A</v>
      </c>
      <c r="AB476" t="e">
        <f t="shared" ca="1" si="112"/>
        <v>#N/A</v>
      </c>
      <c r="AC476" t="e">
        <f t="shared" ca="1" si="113"/>
        <v>#N/A</v>
      </c>
      <c r="AD476" s="83" t="e">
        <f ca="1"/>
        <v>#N/A</v>
      </c>
      <c r="AE476" s="55" t="e">
        <f t="shared" ca="1" si="114"/>
        <v>#N/A</v>
      </c>
      <c r="AF476" s="55" t="e">
        <f t="shared" ca="1" si="115"/>
        <v>#N/A</v>
      </c>
      <c r="AG476" s="55" t="e">
        <f t="shared" ca="1" si="116"/>
        <v>#N/A</v>
      </c>
      <c r="AH476" s="55" t="e">
        <f t="shared" ca="1" si="117"/>
        <v>#N/A</v>
      </c>
      <c r="AI476" s="55" t="e">
        <f ca="1">-VLOOKUP(AE476,ModelOutputs,9,FALSE)+AI475</f>
        <v>#N/A</v>
      </c>
      <c r="AJ476" s="55" t="e">
        <f ca="1">VLOOKUP(AE476,ModelOutputs,5,FALSE)+AJ475</f>
        <v>#N/A</v>
      </c>
      <c r="AK476" s="55" t="e">
        <f ca="1">VLOOKUP(AE476,ModelOutputs,4,FALSE)+AK475</f>
        <v>#N/A</v>
      </c>
    </row>
    <row r="477" spans="18:37">
      <c r="R477" s="55" t="e">
        <f ca="1"/>
        <v>#N/A</v>
      </c>
      <c r="S477" s="55" t="e">
        <f t="shared" ca="1" si="107"/>
        <v>#N/A</v>
      </c>
      <c r="T477" s="55" t="e">
        <f t="shared" ca="1" si="108"/>
        <v>#N/A</v>
      </c>
      <c r="U477" s="55" t="e">
        <f t="shared" ca="1" si="109"/>
        <v>#N/A</v>
      </c>
      <c r="V477" s="55" t="e">
        <f t="shared" ca="1" si="110"/>
        <v>#N/A</v>
      </c>
      <c r="W477" s="55" t="e">
        <f t="shared" ca="1" si="118"/>
        <v>#N/A</v>
      </c>
      <c r="X477" s="55" t="e">
        <f t="shared" ca="1" si="119"/>
        <v>#N/A</v>
      </c>
      <c r="Y477" s="55" t="e">
        <f t="shared" ca="1" si="120"/>
        <v>#N/A</v>
      </c>
      <c r="Z477" t="e">
        <f ca="1">VLOOKUP(S477,ModelOutputs,10,FALSE)*AWC</f>
        <v>#N/A</v>
      </c>
      <c r="AA477" t="e">
        <f t="shared" ca="1" si="111"/>
        <v>#N/A</v>
      </c>
      <c r="AB477" t="e">
        <f t="shared" ca="1" si="112"/>
        <v>#N/A</v>
      </c>
      <c r="AC477" t="e">
        <f t="shared" ca="1" si="113"/>
        <v>#N/A</v>
      </c>
      <c r="AD477" s="83" t="e">
        <f ca="1"/>
        <v>#N/A</v>
      </c>
      <c r="AE477" s="55" t="e">
        <f t="shared" ca="1" si="114"/>
        <v>#N/A</v>
      </c>
      <c r="AF477" s="55" t="e">
        <f t="shared" ca="1" si="115"/>
        <v>#N/A</v>
      </c>
      <c r="AG477" s="55" t="e">
        <f t="shared" ca="1" si="116"/>
        <v>#N/A</v>
      </c>
      <c r="AH477" s="55" t="e">
        <f t="shared" ca="1" si="117"/>
        <v>#N/A</v>
      </c>
      <c r="AI477" s="55" t="e">
        <f ca="1">-VLOOKUP(AE477,ModelOutputs,9,FALSE)+AI476</f>
        <v>#N/A</v>
      </c>
      <c r="AJ477" s="55" t="e">
        <f ca="1">VLOOKUP(AE477,ModelOutputs,5,FALSE)+AJ476</f>
        <v>#N/A</v>
      </c>
      <c r="AK477" s="55" t="e">
        <f ca="1">VLOOKUP(AE477,ModelOutputs,4,FALSE)+AK476</f>
        <v>#N/A</v>
      </c>
    </row>
    <row r="478" spans="18:37">
      <c r="R478" s="55" t="e">
        <f ca="1"/>
        <v>#N/A</v>
      </c>
      <c r="S478" s="55" t="e">
        <f t="shared" ca="1" si="107"/>
        <v>#N/A</v>
      </c>
      <c r="T478" s="55" t="e">
        <f t="shared" ca="1" si="108"/>
        <v>#N/A</v>
      </c>
      <c r="U478" s="55" t="e">
        <f t="shared" ca="1" si="109"/>
        <v>#N/A</v>
      </c>
      <c r="V478" s="55" t="e">
        <f t="shared" ca="1" si="110"/>
        <v>#N/A</v>
      </c>
      <c r="W478" s="55" t="e">
        <f t="shared" ca="1" si="118"/>
        <v>#N/A</v>
      </c>
      <c r="X478" s="55" t="e">
        <f t="shared" ca="1" si="119"/>
        <v>#N/A</v>
      </c>
      <c r="Y478" s="55" t="e">
        <f t="shared" ca="1" si="120"/>
        <v>#N/A</v>
      </c>
      <c r="Z478" t="e">
        <f ca="1">VLOOKUP(S478,ModelOutputs,10,FALSE)*AWC</f>
        <v>#N/A</v>
      </c>
      <c r="AA478" t="e">
        <f t="shared" ca="1" si="111"/>
        <v>#N/A</v>
      </c>
      <c r="AB478" t="e">
        <f t="shared" ca="1" si="112"/>
        <v>#N/A</v>
      </c>
      <c r="AC478" t="e">
        <f t="shared" ca="1" si="113"/>
        <v>#N/A</v>
      </c>
      <c r="AD478" s="83" t="e">
        <f ca="1"/>
        <v>#N/A</v>
      </c>
      <c r="AE478" s="55" t="e">
        <f t="shared" ca="1" si="114"/>
        <v>#N/A</v>
      </c>
      <c r="AF478" s="55" t="e">
        <f t="shared" ca="1" si="115"/>
        <v>#N/A</v>
      </c>
      <c r="AG478" s="55" t="e">
        <f t="shared" ca="1" si="116"/>
        <v>#N/A</v>
      </c>
      <c r="AH478" s="55" t="e">
        <f t="shared" ca="1" si="117"/>
        <v>#N/A</v>
      </c>
      <c r="AI478" s="55" t="e">
        <f ca="1">-VLOOKUP(AE478,ModelOutputs,9,FALSE)+AI477</f>
        <v>#N/A</v>
      </c>
      <c r="AJ478" s="55" t="e">
        <f ca="1">VLOOKUP(AE478,ModelOutputs,5,FALSE)+AJ477</f>
        <v>#N/A</v>
      </c>
      <c r="AK478" s="55" t="e">
        <f ca="1">VLOOKUP(AE478,ModelOutputs,4,FALSE)+AK477</f>
        <v>#N/A</v>
      </c>
    </row>
    <row r="479" spans="18:37">
      <c r="R479" s="55" t="e">
        <f ca="1"/>
        <v>#N/A</v>
      </c>
      <c r="S479" s="55" t="e">
        <f t="shared" ca="1" si="107"/>
        <v>#N/A</v>
      </c>
      <c r="T479" s="55" t="e">
        <f t="shared" ca="1" si="108"/>
        <v>#N/A</v>
      </c>
      <c r="U479" s="55" t="e">
        <f t="shared" ca="1" si="109"/>
        <v>#N/A</v>
      </c>
      <c r="V479" s="55" t="e">
        <f t="shared" ca="1" si="110"/>
        <v>#N/A</v>
      </c>
      <c r="W479" s="55" t="e">
        <f t="shared" ca="1" si="118"/>
        <v>#N/A</v>
      </c>
      <c r="X479" s="55" t="e">
        <f t="shared" ca="1" si="119"/>
        <v>#N/A</v>
      </c>
      <c r="Y479" s="55" t="e">
        <f t="shared" ca="1" si="120"/>
        <v>#N/A</v>
      </c>
      <c r="Z479" t="e">
        <f ca="1">VLOOKUP(S479,ModelOutputs,10,FALSE)*AWC</f>
        <v>#N/A</v>
      </c>
      <c r="AA479" t="e">
        <f t="shared" ca="1" si="111"/>
        <v>#N/A</v>
      </c>
      <c r="AB479" t="e">
        <f t="shared" ca="1" si="112"/>
        <v>#N/A</v>
      </c>
      <c r="AC479" t="e">
        <f t="shared" ca="1" si="113"/>
        <v>#N/A</v>
      </c>
      <c r="AD479" s="83" t="e">
        <f ca="1"/>
        <v>#N/A</v>
      </c>
      <c r="AE479" s="55" t="e">
        <f t="shared" ca="1" si="114"/>
        <v>#N/A</v>
      </c>
      <c r="AF479" s="55" t="e">
        <f t="shared" ca="1" si="115"/>
        <v>#N/A</v>
      </c>
      <c r="AG479" s="55" t="e">
        <f t="shared" ca="1" si="116"/>
        <v>#N/A</v>
      </c>
      <c r="AH479" s="55" t="e">
        <f t="shared" ca="1" si="117"/>
        <v>#N/A</v>
      </c>
      <c r="AI479" s="55" t="e">
        <f ca="1">-VLOOKUP(AE479,ModelOutputs,9,FALSE)+AI478</f>
        <v>#N/A</v>
      </c>
      <c r="AJ479" s="55" t="e">
        <f ca="1">VLOOKUP(AE479,ModelOutputs,5,FALSE)+AJ478</f>
        <v>#N/A</v>
      </c>
      <c r="AK479" s="55" t="e">
        <f ca="1">VLOOKUP(AE479,ModelOutputs,4,FALSE)+AK478</f>
        <v>#N/A</v>
      </c>
    </row>
    <row r="480" spans="18:37">
      <c r="R480" s="55" t="e">
        <f ca="1"/>
        <v>#N/A</v>
      </c>
      <c r="S480" s="55" t="e">
        <f t="shared" ca="1" si="107"/>
        <v>#N/A</v>
      </c>
      <c r="T480" s="55" t="e">
        <f t="shared" ca="1" si="108"/>
        <v>#N/A</v>
      </c>
      <c r="U480" s="55" t="e">
        <f t="shared" ca="1" si="109"/>
        <v>#N/A</v>
      </c>
      <c r="V480" s="55" t="e">
        <f t="shared" ca="1" si="110"/>
        <v>#N/A</v>
      </c>
      <c r="W480" s="55" t="e">
        <f t="shared" ca="1" si="118"/>
        <v>#N/A</v>
      </c>
      <c r="X480" s="55" t="e">
        <f t="shared" ca="1" si="119"/>
        <v>#N/A</v>
      </c>
      <c r="Y480" s="55" t="e">
        <f t="shared" ca="1" si="120"/>
        <v>#N/A</v>
      </c>
      <c r="Z480" t="e">
        <f ca="1">VLOOKUP(S480,ModelOutputs,10,FALSE)*AWC</f>
        <v>#N/A</v>
      </c>
      <c r="AA480" t="e">
        <f t="shared" ca="1" si="111"/>
        <v>#N/A</v>
      </c>
      <c r="AB480" t="e">
        <f t="shared" ca="1" si="112"/>
        <v>#N/A</v>
      </c>
      <c r="AC480" t="e">
        <f t="shared" ca="1" si="113"/>
        <v>#N/A</v>
      </c>
      <c r="AD480" s="83" t="e">
        <f ca="1"/>
        <v>#N/A</v>
      </c>
      <c r="AE480" s="55" t="e">
        <f t="shared" ca="1" si="114"/>
        <v>#N/A</v>
      </c>
      <c r="AF480" s="55" t="e">
        <f t="shared" ca="1" si="115"/>
        <v>#N/A</v>
      </c>
      <c r="AG480" s="55" t="e">
        <f t="shared" ca="1" si="116"/>
        <v>#N/A</v>
      </c>
      <c r="AH480" s="55" t="e">
        <f t="shared" ca="1" si="117"/>
        <v>#N/A</v>
      </c>
      <c r="AI480" s="55" t="e">
        <f ca="1">-VLOOKUP(AE480,ModelOutputs,9,FALSE)+AI479</f>
        <v>#N/A</v>
      </c>
      <c r="AJ480" s="55" t="e">
        <f ca="1">VLOOKUP(AE480,ModelOutputs,5,FALSE)+AJ479</f>
        <v>#N/A</v>
      </c>
      <c r="AK480" s="55" t="e">
        <f ca="1">VLOOKUP(AE480,ModelOutputs,4,FALSE)+AK479</f>
        <v>#N/A</v>
      </c>
    </row>
    <row r="481" spans="18:37">
      <c r="R481" s="55" t="e">
        <f ca="1"/>
        <v>#N/A</v>
      </c>
      <c r="S481" s="55" t="e">
        <f t="shared" ca="1" si="107"/>
        <v>#N/A</v>
      </c>
      <c r="T481" s="55" t="e">
        <f t="shared" ca="1" si="108"/>
        <v>#N/A</v>
      </c>
      <c r="U481" s="55" t="e">
        <f t="shared" ca="1" si="109"/>
        <v>#N/A</v>
      </c>
      <c r="V481" s="55" t="e">
        <f t="shared" ca="1" si="110"/>
        <v>#N/A</v>
      </c>
      <c r="W481" s="55" t="e">
        <f t="shared" ca="1" si="118"/>
        <v>#N/A</v>
      </c>
      <c r="X481" s="55" t="e">
        <f t="shared" ca="1" si="119"/>
        <v>#N/A</v>
      </c>
      <c r="Y481" s="55" t="e">
        <f t="shared" ca="1" si="120"/>
        <v>#N/A</v>
      </c>
      <c r="Z481" t="e">
        <f ca="1">VLOOKUP(S481,ModelOutputs,10,FALSE)*AWC</f>
        <v>#N/A</v>
      </c>
      <c r="AA481" t="e">
        <f t="shared" ca="1" si="111"/>
        <v>#N/A</v>
      </c>
      <c r="AB481" t="e">
        <f t="shared" ca="1" si="112"/>
        <v>#N/A</v>
      </c>
      <c r="AC481" t="e">
        <f t="shared" ca="1" si="113"/>
        <v>#N/A</v>
      </c>
      <c r="AD481" s="83" t="e">
        <f ca="1"/>
        <v>#N/A</v>
      </c>
      <c r="AE481" s="55" t="e">
        <f t="shared" ca="1" si="114"/>
        <v>#N/A</v>
      </c>
      <c r="AF481" s="55" t="e">
        <f t="shared" ca="1" si="115"/>
        <v>#N/A</v>
      </c>
      <c r="AG481" s="55" t="e">
        <f t="shared" ca="1" si="116"/>
        <v>#N/A</v>
      </c>
      <c r="AH481" s="55" t="e">
        <f t="shared" ca="1" si="117"/>
        <v>#N/A</v>
      </c>
      <c r="AI481" s="55" t="e">
        <f ca="1">-VLOOKUP(AE481,ModelOutputs,9,FALSE)+AI480</f>
        <v>#N/A</v>
      </c>
      <c r="AJ481" s="55" t="e">
        <f ca="1">VLOOKUP(AE481,ModelOutputs,5,FALSE)+AJ480</f>
        <v>#N/A</v>
      </c>
      <c r="AK481" s="55" t="e">
        <f ca="1">VLOOKUP(AE481,ModelOutputs,4,FALSE)+AK480</f>
        <v>#N/A</v>
      </c>
    </row>
    <row r="482" spans="18:37">
      <c r="R482" s="55" t="e">
        <f ca="1"/>
        <v>#N/A</v>
      </c>
      <c r="S482" s="55" t="e">
        <f t="shared" ca="1" si="107"/>
        <v>#N/A</v>
      </c>
      <c r="T482" s="55" t="e">
        <f t="shared" ca="1" si="108"/>
        <v>#N/A</v>
      </c>
      <c r="U482" s="55" t="e">
        <f t="shared" ca="1" si="109"/>
        <v>#N/A</v>
      </c>
      <c r="V482" s="55" t="e">
        <f t="shared" ca="1" si="110"/>
        <v>#N/A</v>
      </c>
      <c r="W482" s="55" t="e">
        <f t="shared" ca="1" si="118"/>
        <v>#N/A</v>
      </c>
      <c r="X482" s="55" t="e">
        <f t="shared" ca="1" si="119"/>
        <v>#N/A</v>
      </c>
      <c r="Y482" s="55" t="e">
        <f t="shared" ca="1" si="120"/>
        <v>#N/A</v>
      </c>
      <c r="Z482" t="e">
        <f ca="1">VLOOKUP(S482,ModelOutputs,10,FALSE)*AWC</f>
        <v>#N/A</v>
      </c>
      <c r="AA482" t="e">
        <f t="shared" ca="1" si="111"/>
        <v>#N/A</v>
      </c>
      <c r="AB482" t="e">
        <f t="shared" ca="1" si="112"/>
        <v>#N/A</v>
      </c>
      <c r="AC482" t="e">
        <f t="shared" ca="1" si="113"/>
        <v>#N/A</v>
      </c>
      <c r="AD482" s="83" t="e">
        <f ca="1"/>
        <v>#N/A</v>
      </c>
      <c r="AE482" s="55" t="e">
        <f t="shared" ca="1" si="114"/>
        <v>#N/A</v>
      </c>
      <c r="AF482" s="55" t="e">
        <f t="shared" ca="1" si="115"/>
        <v>#N/A</v>
      </c>
      <c r="AG482" s="55" t="e">
        <f t="shared" ca="1" si="116"/>
        <v>#N/A</v>
      </c>
      <c r="AH482" s="55" t="e">
        <f t="shared" ca="1" si="117"/>
        <v>#N/A</v>
      </c>
      <c r="AI482" s="55" t="e">
        <f ca="1">-VLOOKUP(AE482,ModelOutputs,9,FALSE)+AI481</f>
        <v>#N/A</v>
      </c>
      <c r="AJ482" s="55" t="e">
        <f ca="1">VLOOKUP(AE482,ModelOutputs,5,FALSE)+AJ481</f>
        <v>#N/A</v>
      </c>
      <c r="AK482" s="55" t="e">
        <f ca="1">VLOOKUP(AE482,ModelOutputs,4,FALSE)+AK481</f>
        <v>#N/A</v>
      </c>
    </row>
    <row r="483" spans="18:37">
      <c r="R483" s="55" t="e">
        <f ca="1"/>
        <v>#N/A</v>
      </c>
      <c r="S483" s="55" t="e">
        <f t="shared" ca="1" si="107"/>
        <v>#N/A</v>
      </c>
      <c r="T483" s="55" t="e">
        <f t="shared" ca="1" si="108"/>
        <v>#N/A</v>
      </c>
      <c r="U483" s="55" t="e">
        <f t="shared" ca="1" si="109"/>
        <v>#N/A</v>
      </c>
      <c r="V483" s="55" t="e">
        <f t="shared" ca="1" si="110"/>
        <v>#N/A</v>
      </c>
      <c r="W483" s="55" t="e">
        <f t="shared" ca="1" si="118"/>
        <v>#N/A</v>
      </c>
      <c r="X483" s="55" t="e">
        <f t="shared" ca="1" si="119"/>
        <v>#N/A</v>
      </c>
      <c r="Y483" s="55" t="e">
        <f t="shared" ca="1" si="120"/>
        <v>#N/A</v>
      </c>
      <c r="Z483" t="e">
        <f ca="1">VLOOKUP(S483,ModelOutputs,10,FALSE)*AWC</f>
        <v>#N/A</v>
      </c>
      <c r="AA483" t="e">
        <f t="shared" ca="1" si="111"/>
        <v>#N/A</v>
      </c>
      <c r="AB483" t="e">
        <f t="shared" ca="1" si="112"/>
        <v>#N/A</v>
      </c>
      <c r="AC483" t="e">
        <f t="shared" ca="1" si="113"/>
        <v>#N/A</v>
      </c>
      <c r="AD483" s="83" t="e">
        <f ca="1"/>
        <v>#N/A</v>
      </c>
      <c r="AE483" s="55" t="e">
        <f t="shared" ca="1" si="114"/>
        <v>#N/A</v>
      </c>
      <c r="AF483" s="55" t="e">
        <f t="shared" ca="1" si="115"/>
        <v>#N/A</v>
      </c>
      <c r="AG483" s="55" t="e">
        <f t="shared" ca="1" si="116"/>
        <v>#N/A</v>
      </c>
      <c r="AH483" s="55" t="e">
        <f t="shared" ca="1" si="117"/>
        <v>#N/A</v>
      </c>
      <c r="AI483" s="55" t="e">
        <f ca="1">-VLOOKUP(AE483,ModelOutputs,9,FALSE)+AI482</f>
        <v>#N/A</v>
      </c>
      <c r="AJ483" s="55" t="e">
        <f ca="1">VLOOKUP(AE483,ModelOutputs,5,FALSE)+AJ482</f>
        <v>#N/A</v>
      </c>
      <c r="AK483" s="55" t="e">
        <f ca="1">VLOOKUP(AE483,ModelOutputs,4,FALSE)+AK482</f>
        <v>#N/A</v>
      </c>
    </row>
    <row r="484" spans="18:37">
      <c r="R484" s="55" t="e">
        <f ca="1"/>
        <v>#N/A</v>
      </c>
      <c r="S484" s="55" t="e">
        <f t="shared" ca="1" si="107"/>
        <v>#N/A</v>
      </c>
      <c r="T484" s="55" t="e">
        <f t="shared" ca="1" si="108"/>
        <v>#N/A</v>
      </c>
      <c r="U484" s="55" t="e">
        <f t="shared" ca="1" si="109"/>
        <v>#N/A</v>
      </c>
      <c r="V484" s="55" t="e">
        <f t="shared" ca="1" si="110"/>
        <v>#N/A</v>
      </c>
      <c r="W484" s="55" t="e">
        <f t="shared" ca="1" si="118"/>
        <v>#N/A</v>
      </c>
      <c r="X484" s="55" t="e">
        <f t="shared" ca="1" si="119"/>
        <v>#N/A</v>
      </c>
      <c r="Y484" s="55" t="e">
        <f t="shared" ca="1" si="120"/>
        <v>#N/A</v>
      </c>
      <c r="Z484" t="e">
        <f ca="1">VLOOKUP(S484,ModelOutputs,10,FALSE)*AWC</f>
        <v>#N/A</v>
      </c>
      <c r="AA484" t="e">
        <f t="shared" ca="1" si="111"/>
        <v>#N/A</v>
      </c>
      <c r="AB484" t="e">
        <f t="shared" ca="1" si="112"/>
        <v>#N/A</v>
      </c>
      <c r="AC484" t="e">
        <f t="shared" ca="1" si="113"/>
        <v>#N/A</v>
      </c>
      <c r="AD484" s="83" t="e">
        <f ca="1"/>
        <v>#N/A</v>
      </c>
      <c r="AE484" s="55" t="e">
        <f t="shared" ca="1" si="114"/>
        <v>#N/A</v>
      </c>
      <c r="AF484" s="55" t="e">
        <f t="shared" ca="1" si="115"/>
        <v>#N/A</v>
      </c>
      <c r="AG484" s="55" t="e">
        <f t="shared" ca="1" si="116"/>
        <v>#N/A</v>
      </c>
      <c r="AH484" s="55" t="e">
        <f t="shared" ca="1" si="117"/>
        <v>#N/A</v>
      </c>
      <c r="AI484" s="55" t="e">
        <f ca="1">-VLOOKUP(AE484,ModelOutputs,9,FALSE)+AI483</f>
        <v>#N/A</v>
      </c>
      <c r="AJ484" s="55" t="e">
        <f ca="1">VLOOKUP(AE484,ModelOutputs,5,FALSE)+AJ483</f>
        <v>#N/A</v>
      </c>
      <c r="AK484" s="55" t="e">
        <f ca="1">VLOOKUP(AE484,ModelOutputs,4,FALSE)+AK483</f>
        <v>#N/A</v>
      </c>
    </row>
    <row r="485" spans="18:37">
      <c r="R485" s="55" t="e">
        <f ca="1"/>
        <v>#N/A</v>
      </c>
      <c r="S485" s="55" t="e">
        <f t="shared" ca="1" si="107"/>
        <v>#N/A</v>
      </c>
      <c r="T485" s="55" t="e">
        <f t="shared" ca="1" si="108"/>
        <v>#N/A</v>
      </c>
      <c r="U485" s="55" t="e">
        <f t="shared" ca="1" si="109"/>
        <v>#N/A</v>
      </c>
      <c r="V485" s="55" t="e">
        <f t="shared" ca="1" si="110"/>
        <v>#N/A</v>
      </c>
      <c r="W485" s="55" t="e">
        <f t="shared" ca="1" si="118"/>
        <v>#N/A</v>
      </c>
      <c r="X485" s="55" t="e">
        <f t="shared" ca="1" si="119"/>
        <v>#N/A</v>
      </c>
      <c r="Y485" s="55" t="e">
        <f t="shared" ca="1" si="120"/>
        <v>#N/A</v>
      </c>
      <c r="Z485" t="e">
        <f ca="1">VLOOKUP(S485,ModelOutputs,10,FALSE)*AWC</f>
        <v>#N/A</v>
      </c>
      <c r="AA485" t="e">
        <f t="shared" ca="1" si="111"/>
        <v>#N/A</v>
      </c>
      <c r="AB485" t="e">
        <f t="shared" ca="1" si="112"/>
        <v>#N/A</v>
      </c>
      <c r="AC485" t="e">
        <f t="shared" ca="1" si="113"/>
        <v>#N/A</v>
      </c>
      <c r="AD485" s="83" t="e">
        <f ca="1"/>
        <v>#N/A</v>
      </c>
      <c r="AE485" s="55" t="e">
        <f t="shared" ca="1" si="114"/>
        <v>#N/A</v>
      </c>
      <c r="AF485" s="55" t="e">
        <f t="shared" ca="1" si="115"/>
        <v>#N/A</v>
      </c>
      <c r="AG485" s="55" t="e">
        <f t="shared" ca="1" si="116"/>
        <v>#N/A</v>
      </c>
      <c r="AH485" s="55" t="e">
        <f t="shared" ca="1" si="117"/>
        <v>#N/A</v>
      </c>
      <c r="AI485" s="55" t="e">
        <f ca="1">-VLOOKUP(AE485,ModelOutputs,9,FALSE)+AI484</f>
        <v>#N/A</v>
      </c>
      <c r="AJ485" s="55" t="e">
        <f ca="1">VLOOKUP(AE485,ModelOutputs,5,FALSE)+AJ484</f>
        <v>#N/A</v>
      </c>
      <c r="AK485" s="55" t="e">
        <f ca="1">VLOOKUP(AE485,ModelOutputs,4,FALSE)+AK484</f>
        <v>#N/A</v>
      </c>
    </row>
    <row r="486" spans="18:37">
      <c r="R486" s="55" t="e">
        <f ca="1"/>
        <v>#N/A</v>
      </c>
      <c r="S486" s="55" t="e">
        <f t="shared" ca="1" si="107"/>
        <v>#N/A</v>
      </c>
      <c r="T486" s="55" t="e">
        <f t="shared" ca="1" si="108"/>
        <v>#N/A</v>
      </c>
      <c r="U486" s="55" t="e">
        <f t="shared" ca="1" si="109"/>
        <v>#N/A</v>
      </c>
      <c r="V486" s="55" t="e">
        <f t="shared" ca="1" si="110"/>
        <v>#N/A</v>
      </c>
      <c r="W486" s="55" t="e">
        <f t="shared" ca="1" si="118"/>
        <v>#N/A</v>
      </c>
      <c r="X486" s="55" t="e">
        <f t="shared" ca="1" si="119"/>
        <v>#N/A</v>
      </c>
      <c r="Y486" s="55" t="e">
        <f t="shared" ca="1" si="120"/>
        <v>#N/A</v>
      </c>
      <c r="Z486" t="e">
        <f ca="1">VLOOKUP(S486,ModelOutputs,10,FALSE)*AWC</f>
        <v>#N/A</v>
      </c>
      <c r="AA486" t="e">
        <f t="shared" ca="1" si="111"/>
        <v>#N/A</v>
      </c>
      <c r="AB486" t="e">
        <f t="shared" ca="1" si="112"/>
        <v>#N/A</v>
      </c>
      <c r="AC486" t="e">
        <f t="shared" ca="1" si="113"/>
        <v>#N/A</v>
      </c>
      <c r="AD486" s="83" t="e">
        <f ca="1"/>
        <v>#N/A</v>
      </c>
      <c r="AE486" s="55" t="e">
        <f t="shared" ca="1" si="114"/>
        <v>#N/A</v>
      </c>
      <c r="AF486" s="55" t="e">
        <f t="shared" ca="1" si="115"/>
        <v>#N/A</v>
      </c>
      <c r="AG486" s="55" t="e">
        <f t="shared" ca="1" si="116"/>
        <v>#N/A</v>
      </c>
      <c r="AH486" s="55" t="e">
        <f t="shared" ca="1" si="117"/>
        <v>#N/A</v>
      </c>
      <c r="AI486" s="55" t="e">
        <f ca="1">-VLOOKUP(AE486,ModelOutputs,9,FALSE)+AI485</f>
        <v>#N/A</v>
      </c>
      <c r="AJ486" s="55" t="e">
        <f ca="1">VLOOKUP(AE486,ModelOutputs,5,FALSE)+AJ485</f>
        <v>#N/A</v>
      </c>
      <c r="AK486" s="55" t="e">
        <f ca="1">VLOOKUP(AE486,ModelOutputs,4,FALSE)+AK485</f>
        <v>#N/A</v>
      </c>
    </row>
    <row r="487" spans="18:37">
      <c r="R487" s="55" t="e">
        <f ca="1"/>
        <v>#N/A</v>
      </c>
      <c r="S487" s="55" t="e">
        <f t="shared" ca="1" si="107"/>
        <v>#N/A</v>
      </c>
      <c r="T487" s="55" t="e">
        <f t="shared" ca="1" si="108"/>
        <v>#N/A</v>
      </c>
      <c r="U487" s="55" t="e">
        <f t="shared" ca="1" si="109"/>
        <v>#N/A</v>
      </c>
      <c r="V487" s="55" t="e">
        <f t="shared" ca="1" si="110"/>
        <v>#N/A</v>
      </c>
      <c r="W487" s="55" t="e">
        <f t="shared" ca="1" si="118"/>
        <v>#N/A</v>
      </c>
      <c r="X487" s="55" t="e">
        <f t="shared" ca="1" si="119"/>
        <v>#N/A</v>
      </c>
      <c r="Y487" s="55" t="e">
        <f t="shared" ca="1" si="120"/>
        <v>#N/A</v>
      </c>
      <c r="Z487" t="e">
        <f ca="1">VLOOKUP(S487,ModelOutputs,10,FALSE)*AWC</f>
        <v>#N/A</v>
      </c>
      <c r="AA487" t="e">
        <f t="shared" ca="1" si="111"/>
        <v>#N/A</v>
      </c>
      <c r="AB487" t="e">
        <f t="shared" ca="1" si="112"/>
        <v>#N/A</v>
      </c>
      <c r="AC487" t="e">
        <f t="shared" ca="1" si="113"/>
        <v>#N/A</v>
      </c>
      <c r="AD487" s="83" t="e">
        <f ca="1"/>
        <v>#N/A</v>
      </c>
      <c r="AE487" s="55" t="e">
        <f t="shared" ca="1" si="114"/>
        <v>#N/A</v>
      </c>
      <c r="AF487" s="55" t="e">
        <f t="shared" ca="1" si="115"/>
        <v>#N/A</v>
      </c>
      <c r="AG487" s="55" t="e">
        <f t="shared" ca="1" si="116"/>
        <v>#N/A</v>
      </c>
      <c r="AH487" s="55" t="e">
        <f t="shared" ca="1" si="117"/>
        <v>#N/A</v>
      </c>
      <c r="AI487" s="55" t="e">
        <f ca="1">-VLOOKUP(AE487,ModelOutputs,9,FALSE)+AI486</f>
        <v>#N/A</v>
      </c>
      <c r="AJ487" s="55" t="e">
        <f ca="1">VLOOKUP(AE487,ModelOutputs,5,FALSE)+AJ486</f>
        <v>#N/A</v>
      </c>
      <c r="AK487" s="55" t="e">
        <f ca="1">VLOOKUP(AE487,ModelOutputs,4,FALSE)+AK486</f>
        <v>#N/A</v>
      </c>
    </row>
    <row r="488" spans="18:37">
      <c r="R488" s="55" t="e">
        <f ca="1"/>
        <v>#N/A</v>
      </c>
      <c r="S488" s="55" t="e">
        <f t="shared" ca="1" si="107"/>
        <v>#N/A</v>
      </c>
      <c r="T488" s="55" t="e">
        <f t="shared" ca="1" si="108"/>
        <v>#N/A</v>
      </c>
      <c r="U488" s="55" t="e">
        <f t="shared" ca="1" si="109"/>
        <v>#N/A</v>
      </c>
      <c r="V488" s="55" t="e">
        <f t="shared" ca="1" si="110"/>
        <v>#N/A</v>
      </c>
      <c r="W488" s="55" t="e">
        <f t="shared" ca="1" si="118"/>
        <v>#N/A</v>
      </c>
      <c r="X488" s="55" t="e">
        <f t="shared" ca="1" si="119"/>
        <v>#N/A</v>
      </c>
      <c r="Y488" s="55" t="e">
        <f t="shared" ca="1" si="120"/>
        <v>#N/A</v>
      </c>
      <c r="Z488" t="e">
        <f ca="1">VLOOKUP(S488,ModelOutputs,10,FALSE)*AWC</f>
        <v>#N/A</v>
      </c>
      <c r="AA488" t="e">
        <f t="shared" ca="1" si="111"/>
        <v>#N/A</v>
      </c>
      <c r="AB488" t="e">
        <f t="shared" ca="1" si="112"/>
        <v>#N/A</v>
      </c>
      <c r="AC488" t="e">
        <f t="shared" ca="1" si="113"/>
        <v>#N/A</v>
      </c>
      <c r="AD488" s="83" t="e">
        <f ca="1"/>
        <v>#N/A</v>
      </c>
      <c r="AE488" s="55" t="e">
        <f t="shared" ca="1" si="114"/>
        <v>#N/A</v>
      </c>
      <c r="AF488" s="55" t="e">
        <f t="shared" ca="1" si="115"/>
        <v>#N/A</v>
      </c>
      <c r="AG488" s="55" t="e">
        <f t="shared" ca="1" si="116"/>
        <v>#N/A</v>
      </c>
      <c r="AH488" s="55" t="e">
        <f t="shared" ca="1" si="117"/>
        <v>#N/A</v>
      </c>
      <c r="AI488" s="55" t="e">
        <f ca="1">-VLOOKUP(AE488,ModelOutputs,9,FALSE)+AI487</f>
        <v>#N/A</v>
      </c>
      <c r="AJ488" s="55" t="e">
        <f ca="1">VLOOKUP(AE488,ModelOutputs,5,FALSE)+AJ487</f>
        <v>#N/A</v>
      </c>
      <c r="AK488" s="55" t="e">
        <f ca="1">VLOOKUP(AE488,ModelOutputs,4,FALSE)+AK487</f>
        <v>#N/A</v>
      </c>
    </row>
    <row r="489" spans="18:37">
      <c r="R489" s="55" t="e">
        <f ca="1"/>
        <v>#N/A</v>
      </c>
      <c r="S489" s="55" t="e">
        <f t="shared" ca="1" si="107"/>
        <v>#N/A</v>
      </c>
      <c r="T489" s="55" t="e">
        <f t="shared" ca="1" si="108"/>
        <v>#N/A</v>
      </c>
      <c r="U489" s="55" t="e">
        <f t="shared" ca="1" si="109"/>
        <v>#N/A</v>
      </c>
      <c r="V489" s="55" t="e">
        <f t="shared" ca="1" si="110"/>
        <v>#N/A</v>
      </c>
      <c r="W489" s="55" t="e">
        <f t="shared" ca="1" si="118"/>
        <v>#N/A</v>
      </c>
      <c r="X489" s="55" t="e">
        <f t="shared" ca="1" si="119"/>
        <v>#N/A</v>
      </c>
      <c r="Y489" s="55" t="e">
        <f t="shared" ca="1" si="120"/>
        <v>#N/A</v>
      </c>
      <c r="Z489" t="e">
        <f ca="1">VLOOKUP(S489,ModelOutputs,10,FALSE)*AWC</f>
        <v>#N/A</v>
      </c>
      <c r="AA489" t="e">
        <f t="shared" ca="1" si="111"/>
        <v>#N/A</v>
      </c>
      <c r="AB489" t="e">
        <f t="shared" ca="1" si="112"/>
        <v>#N/A</v>
      </c>
      <c r="AC489" t="e">
        <f t="shared" ca="1" si="113"/>
        <v>#N/A</v>
      </c>
      <c r="AD489" s="83" t="e">
        <f ca="1"/>
        <v>#N/A</v>
      </c>
      <c r="AE489" s="55" t="e">
        <f t="shared" ca="1" si="114"/>
        <v>#N/A</v>
      </c>
      <c r="AF489" s="55" t="e">
        <f t="shared" ca="1" si="115"/>
        <v>#N/A</v>
      </c>
      <c r="AG489" s="55" t="e">
        <f t="shared" ca="1" si="116"/>
        <v>#N/A</v>
      </c>
      <c r="AH489" s="55" t="e">
        <f t="shared" ca="1" si="117"/>
        <v>#N/A</v>
      </c>
      <c r="AI489" s="55" t="e">
        <f ca="1">-VLOOKUP(AE489,ModelOutputs,9,FALSE)+AI488</f>
        <v>#N/A</v>
      </c>
      <c r="AJ489" s="55" t="e">
        <f ca="1">VLOOKUP(AE489,ModelOutputs,5,FALSE)+AJ488</f>
        <v>#N/A</v>
      </c>
      <c r="AK489" s="55" t="e">
        <f ca="1">VLOOKUP(AE489,ModelOutputs,4,FALSE)+AK488</f>
        <v>#N/A</v>
      </c>
    </row>
    <row r="490" spans="18:37">
      <c r="R490" s="55" t="e">
        <f ca="1"/>
        <v>#N/A</v>
      </c>
      <c r="S490" s="55" t="e">
        <f t="shared" ca="1" si="107"/>
        <v>#N/A</v>
      </c>
      <c r="T490" s="55" t="e">
        <f t="shared" ca="1" si="108"/>
        <v>#N/A</v>
      </c>
      <c r="U490" s="55" t="e">
        <f t="shared" ca="1" si="109"/>
        <v>#N/A</v>
      </c>
      <c r="V490" s="55" t="e">
        <f t="shared" ca="1" si="110"/>
        <v>#N/A</v>
      </c>
      <c r="W490" s="55" t="e">
        <f t="shared" ca="1" si="118"/>
        <v>#N/A</v>
      </c>
      <c r="X490" s="55" t="e">
        <f t="shared" ca="1" si="119"/>
        <v>#N/A</v>
      </c>
      <c r="Y490" s="55" t="e">
        <f t="shared" ca="1" si="120"/>
        <v>#N/A</v>
      </c>
      <c r="Z490" t="e">
        <f ca="1">VLOOKUP(S490,ModelOutputs,10,FALSE)*AWC</f>
        <v>#N/A</v>
      </c>
      <c r="AA490" t="e">
        <f t="shared" ca="1" si="111"/>
        <v>#N/A</v>
      </c>
      <c r="AB490" t="e">
        <f t="shared" ca="1" si="112"/>
        <v>#N/A</v>
      </c>
      <c r="AC490" t="e">
        <f t="shared" ca="1" si="113"/>
        <v>#N/A</v>
      </c>
      <c r="AD490" s="83" t="e">
        <f ca="1"/>
        <v>#N/A</v>
      </c>
      <c r="AE490" s="55" t="e">
        <f t="shared" ca="1" si="114"/>
        <v>#N/A</v>
      </c>
      <c r="AF490" s="55" t="e">
        <f t="shared" ca="1" si="115"/>
        <v>#N/A</v>
      </c>
      <c r="AG490" s="55" t="e">
        <f t="shared" ca="1" si="116"/>
        <v>#N/A</v>
      </c>
      <c r="AH490" s="55" t="e">
        <f t="shared" ca="1" si="117"/>
        <v>#N/A</v>
      </c>
      <c r="AI490" s="55" t="e">
        <f ca="1">-VLOOKUP(AE490,ModelOutputs,9,FALSE)+AI489</f>
        <v>#N/A</v>
      </c>
      <c r="AJ490" s="55" t="e">
        <f ca="1">VLOOKUP(AE490,ModelOutputs,5,FALSE)+AJ489</f>
        <v>#N/A</v>
      </c>
      <c r="AK490" s="55" t="e">
        <f ca="1">VLOOKUP(AE490,ModelOutputs,4,FALSE)+AK489</f>
        <v>#N/A</v>
      </c>
    </row>
    <row r="491" spans="18:37">
      <c r="R491" s="55" t="e">
        <f ca="1"/>
        <v>#N/A</v>
      </c>
      <c r="S491" s="55" t="e">
        <f t="shared" ca="1" si="107"/>
        <v>#N/A</v>
      </c>
      <c r="T491" s="55" t="e">
        <f t="shared" ca="1" si="108"/>
        <v>#N/A</v>
      </c>
      <c r="U491" s="55" t="e">
        <f t="shared" ca="1" si="109"/>
        <v>#N/A</v>
      </c>
      <c r="V491" s="55" t="e">
        <f t="shared" ca="1" si="110"/>
        <v>#N/A</v>
      </c>
      <c r="W491" s="55" t="e">
        <f t="shared" ca="1" si="118"/>
        <v>#N/A</v>
      </c>
      <c r="X491" s="55" t="e">
        <f t="shared" ca="1" si="119"/>
        <v>#N/A</v>
      </c>
      <c r="Y491" s="55" t="e">
        <f t="shared" ca="1" si="120"/>
        <v>#N/A</v>
      </c>
      <c r="Z491" t="e">
        <f ca="1">VLOOKUP(S491,ModelOutputs,10,FALSE)*AWC</f>
        <v>#N/A</v>
      </c>
      <c r="AA491" t="e">
        <f t="shared" ca="1" si="111"/>
        <v>#N/A</v>
      </c>
      <c r="AB491" t="e">
        <f t="shared" ca="1" si="112"/>
        <v>#N/A</v>
      </c>
      <c r="AC491" t="e">
        <f t="shared" ca="1" si="113"/>
        <v>#N/A</v>
      </c>
      <c r="AD491" s="83" t="e">
        <f ca="1"/>
        <v>#N/A</v>
      </c>
      <c r="AE491" s="55" t="e">
        <f t="shared" ca="1" si="114"/>
        <v>#N/A</v>
      </c>
      <c r="AF491" s="55" t="e">
        <f t="shared" ca="1" si="115"/>
        <v>#N/A</v>
      </c>
      <c r="AG491" s="55" t="e">
        <f t="shared" ca="1" si="116"/>
        <v>#N/A</v>
      </c>
      <c r="AH491" s="55" t="e">
        <f t="shared" ca="1" si="117"/>
        <v>#N/A</v>
      </c>
      <c r="AI491" s="55" t="e">
        <f ca="1">-VLOOKUP(AE491,ModelOutputs,9,FALSE)+AI490</f>
        <v>#N/A</v>
      </c>
      <c r="AJ491" s="55" t="e">
        <f ca="1">VLOOKUP(AE491,ModelOutputs,5,FALSE)+AJ490</f>
        <v>#N/A</v>
      </c>
      <c r="AK491" s="55" t="e">
        <f ca="1">VLOOKUP(AE491,ModelOutputs,4,FALSE)+AK490</f>
        <v>#N/A</v>
      </c>
    </row>
    <row r="492" spans="18:37">
      <c r="R492" s="55" t="e">
        <f ca="1"/>
        <v>#N/A</v>
      </c>
      <c r="S492" s="55" t="e">
        <f t="shared" ca="1" si="107"/>
        <v>#N/A</v>
      </c>
      <c r="T492" s="55" t="e">
        <f t="shared" ca="1" si="108"/>
        <v>#N/A</v>
      </c>
      <c r="U492" s="55" t="e">
        <f t="shared" ca="1" si="109"/>
        <v>#N/A</v>
      </c>
      <c r="V492" s="55" t="e">
        <f t="shared" ca="1" si="110"/>
        <v>#N/A</v>
      </c>
      <c r="W492" s="55" t="e">
        <f t="shared" ca="1" si="118"/>
        <v>#N/A</v>
      </c>
      <c r="X492" s="55" t="e">
        <f t="shared" ca="1" si="119"/>
        <v>#N/A</v>
      </c>
      <c r="Y492" s="55" t="e">
        <f t="shared" ca="1" si="120"/>
        <v>#N/A</v>
      </c>
      <c r="Z492" t="e">
        <f ca="1">VLOOKUP(S492,ModelOutputs,10,FALSE)*AWC</f>
        <v>#N/A</v>
      </c>
      <c r="AA492" t="e">
        <f t="shared" ca="1" si="111"/>
        <v>#N/A</v>
      </c>
      <c r="AB492" t="e">
        <f t="shared" ca="1" si="112"/>
        <v>#N/A</v>
      </c>
      <c r="AC492" t="e">
        <f t="shared" ca="1" si="113"/>
        <v>#N/A</v>
      </c>
      <c r="AD492" s="83" t="e">
        <f ca="1"/>
        <v>#N/A</v>
      </c>
      <c r="AE492" s="55" t="e">
        <f t="shared" ca="1" si="114"/>
        <v>#N/A</v>
      </c>
      <c r="AF492" s="55" t="e">
        <f t="shared" ca="1" si="115"/>
        <v>#N/A</v>
      </c>
      <c r="AG492" s="55" t="e">
        <f t="shared" ca="1" si="116"/>
        <v>#N/A</v>
      </c>
      <c r="AH492" s="55" t="e">
        <f t="shared" ca="1" si="117"/>
        <v>#N/A</v>
      </c>
      <c r="AI492" s="55" t="e">
        <f ca="1">-VLOOKUP(AE492,ModelOutputs,9,FALSE)+AI491</f>
        <v>#N/A</v>
      </c>
      <c r="AJ492" s="55" t="e">
        <f ca="1">VLOOKUP(AE492,ModelOutputs,5,FALSE)+AJ491</f>
        <v>#N/A</v>
      </c>
      <c r="AK492" s="55" t="e">
        <f ca="1">VLOOKUP(AE492,ModelOutputs,4,FALSE)+AK491</f>
        <v>#N/A</v>
      </c>
    </row>
    <row r="493" spans="18:37">
      <c r="R493" s="55" t="e">
        <f ca="1"/>
        <v>#N/A</v>
      </c>
      <c r="S493" s="55" t="e">
        <f t="shared" ca="1" si="107"/>
        <v>#N/A</v>
      </c>
      <c r="T493" s="55" t="e">
        <f t="shared" ca="1" si="108"/>
        <v>#N/A</v>
      </c>
      <c r="U493" s="55" t="e">
        <f t="shared" ca="1" si="109"/>
        <v>#N/A</v>
      </c>
      <c r="V493" s="55" t="e">
        <f t="shared" ca="1" si="110"/>
        <v>#N/A</v>
      </c>
      <c r="W493" s="55" t="e">
        <f t="shared" ca="1" si="118"/>
        <v>#N/A</v>
      </c>
      <c r="X493" s="55" t="e">
        <f t="shared" ca="1" si="119"/>
        <v>#N/A</v>
      </c>
      <c r="Y493" s="55" t="e">
        <f t="shared" ca="1" si="120"/>
        <v>#N/A</v>
      </c>
      <c r="Z493" t="e">
        <f ca="1">VLOOKUP(S493,ModelOutputs,10,FALSE)*AWC</f>
        <v>#N/A</v>
      </c>
      <c r="AA493" t="e">
        <f t="shared" ca="1" si="111"/>
        <v>#N/A</v>
      </c>
      <c r="AB493" t="e">
        <f t="shared" ca="1" si="112"/>
        <v>#N/A</v>
      </c>
      <c r="AC493" t="e">
        <f t="shared" ca="1" si="113"/>
        <v>#N/A</v>
      </c>
      <c r="AD493" s="83" t="e">
        <f ca="1"/>
        <v>#N/A</v>
      </c>
      <c r="AE493" s="55" t="e">
        <f t="shared" ca="1" si="114"/>
        <v>#N/A</v>
      </c>
      <c r="AF493" s="55" t="e">
        <f t="shared" ca="1" si="115"/>
        <v>#N/A</v>
      </c>
      <c r="AG493" s="55" t="e">
        <f t="shared" ca="1" si="116"/>
        <v>#N/A</v>
      </c>
      <c r="AH493" s="55" t="e">
        <f t="shared" ca="1" si="117"/>
        <v>#N/A</v>
      </c>
      <c r="AI493" s="55" t="e">
        <f ca="1">-VLOOKUP(AE493,ModelOutputs,9,FALSE)+AI492</f>
        <v>#N/A</v>
      </c>
      <c r="AJ493" s="55" t="e">
        <f ca="1">VLOOKUP(AE493,ModelOutputs,5,FALSE)+AJ492</f>
        <v>#N/A</v>
      </c>
      <c r="AK493" s="55" t="e">
        <f ca="1">VLOOKUP(AE493,ModelOutputs,4,FALSE)+AK492</f>
        <v>#N/A</v>
      </c>
    </row>
    <row r="494" spans="18:37">
      <c r="R494" s="55" t="e">
        <f ca="1"/>
        <v>#N/A</v>
      </c>
      <c r="S494" s="55" t="e">
        <f t="shared" ca="1" si="107"/>
        <v>#N/A</v>
      </c>
      <c r="T494" s="55" t="e">
        <f t="shared" ca="1" si="108"/>
        <v>#N/A</v>
      </c>
      <c r="U494" s="55" t="e">
        <f t="shared" ca="1" si="109"/>
        <v>#N/A</v>
      </c>
      <c r="V494" s="55" t="e">
        <f t="shared" ca="1" si="110"/>
        <v>#N/A</v>
      </c>
      <c r="W494" s="55" t="e">
        <f t="shared" ca="1" si="118"/>
        <v>#N/A</v>
      </c>
      <c r="X494" s="55" t="e">
        <f t="shared" ca="1" si="119"/>
        <v>#N/A</v>
      </c>
      <c r="Y494" s="55" t="e">
        <f t="shared" ca="1" si="120"/>
        <v>#N/A</v>
      </c>
      <c r="Z494" t="e">
        <f ca="1">VLOOKUP(S494,ModelOutputs,10,FALSE)*AWC</f>
        <v>#N/A</v>
      </c>
      <c r="AA494" t="e">
        <f t="shared" ca="1" si="111"/>
        <v>#N/A</v>
      </c>
      <c r="AB494" t="e">
        <f t="shared" ca="1" si="112"/>
        <v>#N/A</v>
      </c>
      <c r="AC494" t="e">
        <f t="shared" ca="1" si="113"/>
        <v>#N/A</v>
      </c>
      <c r="AD494" s="83" t="e">
        <f ca="1"/>
        <v>#N/A</v>
      </c>
      <c r="AE494" s="55" t="e">
        <f t="shared" ca="1" si="114"/>
        <v>#N/A</v>
      </c>
      <c r="AF494" s="55" t="e">
        <f t="shared" ca="1" si="115"/>
        <v>#N/A</v>
      </c>
      <c r="AG494" s="55" t="e">
        <f t="shared" ca="1" si="116"/>
        <v>#N/A</v>
      </c>
      <c r="AH494" s="55" t="e">
        <f t="shared" ca="1" si="117"/>
        <v>#N/A</v>
      </c>
      <c r="AI494" s="55" t="e">
        <f ca="1">-VLOOKUP(AE494,ModelOutputs,9,FALSE)+AI493</f>
        <v>#N/A</v>
      </c>
      <c r="AJ494" s="55" t="e">
        <f ca="1">VLOOKUP(AE494,ModelOutputs,5,FALSE)+AJ493</f>
        <v>#N/A</v>
      </c>
      <c r="AK494" s="55" t="e">
        <f ca="1">VLOOKUP(AE494,ModelOutputs,4,FALSE)+AK493</f>
        <v>#N/A</v>
      </c>
    </row>
    <row r="495" spans="18:37">
      <c r="R495" s="55" t="e">
        <f ca="1"/>
        <v>#N/A</v>
      </c>
      <c r="S495" s="55" t="e">
        <f t="shared" ca="1" si="107"/>
        <v>#N/A</v>
      </c>
      <c r="T495" s="55" t="e">
        <f t="shared" ca="1" si="108"/>
        <v>#N/A</v>
      </c>
      <c r="U495" s="55" t="e">
        <f t="shared" ca="1" si="109"/>
        <v>#N/A</v>
      </c>
      <c r="V495" s="55" t="e">
        <f t="shared" ca="1" si="110"/>
        <v>#N/A</v>
      </c>
      <c r="W495" s="55" t="e">
        <f t="shared" ca="1" si="118"/>
        <v>#N/A</v>
      </c>
      <c r="X495" s="55" t="e">
        <f t="shared" ca="1" si="119"/>
        <v>#N/A</v>
      </c>
      <c r="Y495" s="55" t="e">
        <f t="shared" ca="1" si="120"/>
        <v>#N/A</v>
      </c>
      <c r="Z495" t="e">
        <f ca="1">VLOOKUP(S495,ModelOutputs,10,FALSE)*AWC</f>
        <v>#N/A</v>
      </c>
      <c r="AA495" t="e">
        <f t="shared" ca="1" si="111"/>
        <v>#N/A</v>
      </c>
      <c r="AB495" t="e">
        <f t="shared" ca="1" si="112"/>
        <v>#N/A</v>
      </c>
      <c r="AC495" t="e">
        <f t="shared" ca="1" si="113"/>
        <v>#N/A</v>
      </c>
      <c r="AD495" s="83" t="e">
        <f ca="1"/>
        <v>#N/A</v>
      </c>
      <c r="AE495" s="55" t="e">
        <f t="shared" ca="1" si="114"/>
        <v>#N/A</v>
      </c>
      <c r="AF495" s="55" t="e">
        <f t="shared" ca="1" si="115"/>
        <v>#N/A</v>
      </c>
      <c r="AG495" s="55" t="e">
        <f t="shared" ca="1" si="116"/>
        <v>#N/A</v>
      </c>
      <c r="AH495" s="55" t="e">
        <f t="shared" ca="1" si="117"/>
        <v>#N/A</v>
      </c>
      <c r="AI495" s="55" t="e">
        <f ca="1">-VLOOKUP(AE495,ModelOutputs,9,FALSE)+AI494</f>
        <v>#N/A</v>
      </c>
      <c r="AJ495" s="55" t="e">
        <f ca="1">VLOOKUP(AE495,ModelOutputs,5,FALSE)+AJ494</f>
        <v>#N/A</v>
      </c>
      <c r="AK495" s="55" t="e">
        <f ca="1">VLOOKUP(AE495,ModelOutputs,4,FALSE)+AK494</f>
        <v>#N/A</v>
      </c>
    </row>
    <row r="496" spans="18:37">
      <c r="R496" s="55" t="e">
        <f ca="1"/>
        <v>#N/A</v>
      </c>
      <c r="S496" s="55" t="e">
        <f t="shared" ca="1" si="107"/>
        <v>#N/A</v>
      </c>
      <c r="T496" s="55" t="e">
        <f t="shared" ca="1" si="108"/>
        <v>#N/A</v>
      </c>
      <c r="U496" s="55" t="e">
        <f t="shared" ca="1" si="109"/>
        <v>#N/A</v>
      </c>
      <c r="V496" s="55" t="e">
        <f t="shared" ca="1" si="110"/>
        <v>#N/A</v>
      </c>
      <c r="W496" s="55" t="e">
        <f t="shared" ca="1" si="118"/>
        <v>#N/A</v>
      </c>
      <c r="X496" s="55" t="e">
        <f t="shared" ca="1" si="119"/>
        <v>#N/A</v>
      </c>
      <c r="Y496" s="55" t="e">
        <f t="shared" ca="1" si="120"/>
        <v>#N/A</v>
      </c>
      <c r="Z496" t="e">
        <f ca="1">VLOOKUP(S496,ModelOutputs,10,FALSE)*AWC</f>
        <v>#N/A</v>
      </c>
      <c r="AA496" t="e">
        <f t="shared" ca="1" si="111"/>
        <v>#N/A</v>
      </c>
      <c r="AB496" t="e">
        <f t="shared" ca="1" si="112"/>
        <v>#N/A</v>
      </c>
      <c r="AC496" t="e">
        <f t="shared" ca="1" si="113"/>
        <v>#N/A</v>
      </c>
      <c r="AD496" s="83" t="e">
        <f ca="1"/>
        <v>#N/A</v>
      </c>
      <c r="AE496" s="55" t="e">
        <f t="shared" ca="1" si="114"/>
        <v>#N/A</v>
      </c>
      <c r="AF496" s="55" t="e">
        <f t="shared" ca="1" si="115"/>
        <v>#N/A</v>
      </c>
      <c r="AG496" s="55" t="e">
        <f t="shared" ca="1" si="116"/>
        <v>#N/A</v>
      </c>
      <c r="AH496" s="55" t="e">
        <f t="shared" ca="1" si="117"/>
        <v>#N/A</v>
      </c>
      <c r="AI496" s="55" t="e">
        <f ca="1">-VLOOKUP(AE496,ModelOutputs,9,FALSE)+AI495</f>
        <v>#N/A</v>
      </c>
      <c r="AJ496" s="55" t="e">
        <f ca="1">VLOOKUP(AE496,ModelOutputs,5,FALSE)+AJ495</f>
        <v>#N/A</v>
      </c>
      <c r="AK496" s="55" t="e">
        <f ca="1">VLOOKUP(AE496,ModelOutputs,4,FALSE)+AK495</f>
        <v>#N/A</v>
      </c>
    </row>
    <row r="497" spans="18:37">
      <c r="R497" s="55" t="e">
        <f ca="1"/>
        <v>#N/A</v>
      </c>
      <c r="S497" s="55" t="e">
        <f t="shared" ca="1" si="107"/>
        <v>#N/A</v>
      </c>
      <c r="T497" s="55" t="e">
        <f t="shared" ca="1" si="108"/>
        <v>#N/A</v>
      </c>
      <c r="U497" s="55" t="e">
        <f t="shared" ca="1" si="109"/>
        <v>#N/A</v>
      </c>
      <c r="V497" s="55" t="e">
        <f t="shared" ca="1" si="110"/>
        <v>#N/A</v>
      </c>
      <c r="W497" s="55" t="e">
        <f t="shared" ca="1" si="118"/>
        <v>#N/A</v>
      </c>
      <c r="X497" s="55" t="e">
        <f t="shared" ca="1" si="119"/>
        <v>#N/A</v>
      </c>
      <c r="Y497" s="55" t="e">
        <f t="shared" ca="1" si="120"/>
        <v>#N/A</v>
      </c>
      <c r="Z497" t="e">
        <f ca="1">VLOOKUP(S497,ModelOutputs,10,FALSE)*AWC</f>
        <v>#N/A</v>
      </c>
      <c r="AA497" t="e">
        <f t="shared" ca="1" si="111"/>
        <v>#N/A</v>
      </c>
      <c r="AB497" t="e">
        <f t="shared" ca="1" si="112"/>
        <v>#N/A</v>
      </c>
      <c r="AC497" t="e">
        <f t="shared" ca="1" si="113"/>
        <v>#N/A</v>
      </c>
      <c r="AD497" s="83" t="e">
        <f ca="1"/>
        <v>#N/A</v>
      </c>
      <c r="AE497" s="55" t="e">
        <f t="shared" ca="1" si="114"/>
        <v>#N/A</v>
      </c>
      <c r="AF497" s="55" t="e">
        <f t="shared" ca="1" si="115"/>
        <v>#N/A</v>
      </c>
      <c r="AG497" s="55" t="e">
        <f t="shared" ca="1" si="116"/>
        <v>#N/A</v>
      </c>
      <c r="AH497" s="55" t="e">
        <f t="shared" ca="1" si="117"/>
        <v>#N/A</v>
      </c>
      <c r="AI497" s="55" t="e">
        <f ca="1">-VLOOKUP(AE497,ModelOutputs,9,FALSE)+AI496</f>
        <v>#N/A</v>
      </c>
      <c r="AJ497" s="55" t="e">
        <f ca="1">VLOOKUP(AE497,ModelOutputs,5,FALSE)+AJ496</f>
        <v>#N/A</v>
      </c>
      <c r="AK497" s="55" t="e">
        <f ca="1">VLOOKUP(AE497,ModelOutputs,4,FALSE)+AK496</f>
        <v>#N/A</v>
      </c>
    </row>
    <row r="498" spans="18:37">
      <c r="R498" s="55" t="e">
        <f ca="1"/>
        <v>#N/A</v>
      </c>
      <c r="S498" s="55" t="e">
        <f t="shared" ca="1" si="107"/>
        <v>#N/A</v>
      </c>
      <c r="T498" s="55" t="e">
        <f t="shared" ca="1" si="108"/>
        <v>#N/A</v>
      </c>
      <c r="U498" s="55" t="e">
        <f t="shared" ca="1" si="109"/>
        <v>#N/A</v>
      </c>
      <c r="V498" s="55" t="e">
        <f t="shared" ca="1" si="110"/>
        <v>#N/A</v>
      </c>
      <c r="W498" s="55" t="e">
        <f t="shared" ca="1" si="118"/>
        <v>#N/A</v>
      </c>
      <c r="X498" s="55" t="e">
        <f t="shared" ca="1" si="119"/>
        <v>#N/A</v>
      </c>
      <c r="Y498" s="55" t="e">
        <f t="shared" ca="1" si="120"/>
        <v>#N/A</v>
      </c>
      <c r="Z498" t="e">
        <f ca="1">VLOOKUP(S498,ModelOutputs,10,FALSE)*AWC</f>
        <v>#N/A</v>
      </c>
      <c r="AA498" t="e">
        <f t="shared" ca="1" si="111"/>
        <v>#N/A</v>
      </c>
      <c r="AB498" t="e">
        <f t="shared" ca="1" si="112"/>
        <v>#N/A</v>
      </c>
      <c r="AC498" t="e">
        <f t="shared" ca="1" si="113"/>
        <v>#N/A</v>
      </c>
      <c r="AD498" s="83" t="e">
        <f ca="1"/>
        <v>#N/A</v>
      </c>
      <c r="AE498" s="55" t="e">
        <f t="shared" ca="1" si="114"/>
        <v>#N/A</v>
      </c>
      <c r="AF498" s="55" t="e">
        <f t="shared" ca="1" si="115"/>
        <v>#N/A</v>
      </c>
      <c r="AG498" s="55" t="e">
        <f t="shared" ca="1" si="116"/>
        <v>#N/A</v>
      </c>
      <c r="AH498" s="55" t="e">
        <f t="shared" ca="1" si="117"/>
        <v>#N/A</v>
      </c>
      <c r="AI498" s="55" t="e">
        <f ca="1">-VLOOKUP(AE498,ModelOutputs,9,FALSE)+AI497</f>
        <v>#N/A</v>
      </c>
      <c r="AJ498" s="55" t="e">
        <f ca="1">VLOOKUP(AE498,ModelOutputs,5,FALSE)+AJ497</f>
        <v>#N/A</v>
      </c>
      <c r="AK498" s="55" t="e">
        <f ca="1">VLOOKUP(AE498,ModelOutputs,4,FALSE)+AK497</f>
        <v>#N/A</v>
      </c>
    </row>
    <row r="499" spans="18:37">
      <c r="R499" s="55" t="e">
        <f ca="1"/>
        <v>#N/A</v>
      </c>
      <c r="S499" s="55" t="e">
        <f t="shared" ca="1" si="107"/>
        <v>#N/A</v>
      </c>
      <c r="T499" s="55" t="e">
        <f t="shared" ca="1" si="108"/>
        <v>#N/A</v>
      </c>
      <c r="U499" s="55" t="e">
        <f t="shared" ca="1" si="109"/>
        <v>#N/A</v>
      </c>
      <c r="V499" s="55" t="e">
        <f t="shared" ca="1" si="110"/>
        <v>#N/A</v>
      </c>
      <c r="W499" s="55" t="e">
        <f t="shared" ca="1" si="118"/>
        <v>#N/A</v>
      </c>
      <c r="X499" s="55" t="e">
        <f t="shared" ca="1" si="119"/>
        <v>#N/A</v>
      </c>
      <c r="Y499" s="55" t="e">
        <f t="shared" ca="1" si="120"/>
        <v>#N/A</v>
      </c>
      <c r="Z499" t="e">
        <f ca="1">VLOOKUP(S499,ModelOutputs,10,FALSE)*AWC</f>
        <v>#N/A</v>
      </c>
      <c r="AA499" t="e">
        <f t="shared" ca="1" si="111"/>
        <v>#N/A</v>
      </c>
      <c r="AB499" t="e">
        <f t="shared" ca="1" si="112"/>
        <v>#N/A</v>
      </c>
      <c r="AC499" t="e">
        <f t="shared" ca="1" si="113"/>
        <v>#N/A</v>
      </c>
      <c r="AD499" s="83" t="e">
        <f ca="1"/>
        <v>#N/A</v>
      </c>
      <c r="AE499" s="55" t="e">
        <f t="shared" ca="1" si="114"/>
        <v>#N/A</v>
      </c>
      <c r="AF499" s="55" t="e">
        <f t="shared" ca="1" si="115"/>
        <v>#N/A</v>
      </c>
      <c r="AG499" s="55" t="e">
        <f t="shared" ca="1" si="116"/>
        <v>#N/A</v>
      </c>
      <c r="AH499" s="55" t="e">
        <f t="shared" ca="1" si="117"/>
        <v>#N/A</v>
      </c>
      <c r="AI499" s="55" t="e">
        <f ca="1">-VLOOKUP(AE499,ModelOutputs,9,FALSE)+AI498</f>
        <v>#N/A</v>
      </c>
      <c r="AJ499" s="55" t="e">
        <f ca="1">VLOOKUP(AE499,ModelOutputs,5,FALSE)+AJ498</f>
        <v>#N/A</v>
      </c>
      <c r="AK499" s="55" t="e">
        <f ca="1">VLOOKUP(AE499,ModelOutputs,4,FALSE)+AK498</f>
        <v>#N/A</v>
      </c>
    </row>
    <row r="500" spans="18:37">
      <c r="R500" s="55" t="e">
        <f ca="1"/>
        <v>#N/A</v>
      </c>
      <c r="S500" s="55" t="e">
        <f t="shared" ca="1" si="107"/>
        <v>#N/A</v>
      </c>
      <c r="T500" s="55" t="e">
        <f t="shared" ca="1" si="108"/>
        <v>#N/A</v>
      </c>
      <c r="U500" s="55" t="e">
        <f t="shared" ca="1" si="109"/>
        <v>#N/A</v>
      </c>
      <c r="V500" s="55" t="e">
        <f t="shared" ca="1" si="110"/>
        <v>#N/A</v>
      </c>
      <c r="W500" s="55" t="e">
        <f t="shared" ca="1" si="118"/>
        <v>#N/A</v>
      </c>
      <c r="X500" s="55" t="e">
        <f t="shared" ca="1" si="119"/>
        <v>#N/A</v>
      </c>
      <c r="Y500" s="55" t="e">
        <f t="shared" ca="1" si="120"/>
        <v>#N/A</v>
      </c>
      <c r="Z500" t="e">
        <f ca="1">VLOOKUP(S500,ModelOutputs,10,FALSE)*AWC</f>
        <v>#N/A</v>
      </c>
      <c r="AA500" t="e">
        <f t="shared" ca="1" si="111"/>
        <v>#N/A</v>
      </c>
      <c r="AB500" t="e">
        <f t="shared" ca="1" si="112"/>
        <v>#N/A</v>
      </c>
      <c r="AC500" t="e">
        <f t="shared" ca="1" si="113"/>
        <v>#N/A</v>
      </c>
      <c r="AD500" s="83" t="e">
        <f ca="1"/>
        <v>#N/A</v>
      </c>
      <c r="AE500" s="55" t="e">
        <f t="shared" ca="1" si="114"/>
        <v>#N/A</v>
      </c>
      <c r="AF500" s="55" t="e">
        <f t="shared" ca="1" si="115"/>
        <v>#N/A</v>
      </c>
      <c r="AG500" s="55" t="e">
        <f t="shared" ca="1" si="116"/>
        <v>#N/A</v>
      </c>
      <c r="AH500" s="55" t="e">
        <f t="shared" ca="1" si="117"/>
        <v>#N/A</v>
      </c>
      <c r="AI500" s="55" t="e">
        <f ca="1">-VLOOKUP(AE500,ModelOutputs,9,FALSE)+AI499</f>
        <v>#N/A</v>
      </c>
      <c r="AJ500" s="55" t="e">
        <f ca="1">VLOOKUP(AE500,ModelOutputs,5,FALSE)+AJ499</f>
        <v>#N/A</v>
      </c>
      <c r="AK500" s="55" t="e">
        <f ca="1">VLOOKUP(AE500,ModelOutputs,4,FALSE)+AK499</f>
        <v>#N/A</v>
      </c>
    </row>
    <row r="501" spans="18:37">
      <c r="R501" s="55" t="e">
        <f ca="1"/>
        <v>#N/A</v>
      </c>
      <c r="S501" s="55" t="e">
        <f t="shared" ca="1" si="107"/>
        <v>#N/A</v>
      </c>
      <c r="T501" s="55" t="e">
        <f t="shared" ca="1" si="108"/>
        <v>#N/A</v>
      </c>
      <c r="U501" s="55" t="e">
        <f t="shared" ca="1" si="109"/>
        <v>#N/A</v>
      </c>
      <c r="V501" s="55" t="e">
        <f t="shared" ca="1" si="110"/>
        <v>#N/A</v>
      </c>
      <c r="W501" s="55" t="e">
        <f t="shared" ca="1" si="118"/>
        <v>#N/A</v>
      </c>
      <c r="X501" s="55" t="e">
        <f t="shared" ca="1" si="119"/>
        <v>#N/A</v>
      </c>
      <c r="Y501" s="55" t="e">
        <f t="shared" ca="1" si="120"/>
        <v>#N/A</v>
      </c>
      <c r="Z501" t="e">
        <f ca="1">VLOOKUP(S501,ModelOutputs,10,FALSE)*AWC</f>
        <v>#N/A</v>
      </c>
      <c r="AA501" t="e">
        <f t="shared" ca="1" si="111"/>
        <v>#N/A</v>
      </c>
      <c r="AB501" t="e">
        <f t="shared" ca="1" si="112"/>
        <v>#N/A</v>
      </c>
      <c r="AC501" t="e">
        <f t="shared" ca="1" si="113"/>
        <v>#N/A</v>
      </c>
      <c r="AD501" s="83" t="e">
        <f ca="1"/>
        <v>#N/A</v>
      </c>
      <c r="AE501" s="55" t="e">
        <f t="shared" ca="1" si="114"/>
        <v>#N/A</v>
      </c>
      <c r="AF501" s="55" t="e">
        <f t="shared" ca="1" si="115"/>
        <v>#N/A</v>
      </c>
      <c r="AG501" s="55" t="e">
        <f t="shared" ca="1" si="116"/>
        <v>#N/A</v>
      </c>
      <c r="AH501" s="55" t="e">
        <f t="shared" ca="1" si="117"/>
        <v>#N/A</v>
      </c>
      <c r="AI501" s="55" t="e">
        <f ca="1">-VLOOKUP(AE501,ModelOutputs,9,FALSE)+AI500</f>
        <v>#N/A</v>
      </c>
      <c r="AJ501" s="55" t="e">
        <f ca="1">VLOOKUP(AE501,ModelOutputs,5,FALSE)+AJ500</f>
        <v>#N/A</v>
      </c>
      <c r="AK501" s="55" t="e">
        <f ca="1">VLOOKUP(AE501,ModelOutputs,4,FALSE)+AK500</f>
        <v>#N/A</v>
      </c>
    </row>
    <row r="502" spans="18:37">
      <c r="R502" s="55" t="e">
        <f ca="1"/>
        <v>#N/A</v>
      </c>
      <c r="S502" s="55" t="e">
        <f t="shared" ca="1" si="107"/>
        <v>#N/A</v>
      </c>
      <c r="T502" s="55" t="e">
        <f t="shared" ca="1" si="108"/>
        <v>#N/A</v>
      </c>
      <c r="U502" s="55" t="e">
        <f t="shared" ca="1" si="109"/>
        <v>#N/A</v>
      </c>
      <c r="V502" s="55" t="e">
        <f t="shared" ca="1" si="110"/>
        <v>#N/A</v>
      </c>
      <c r="W502" s="55" t="e">
        <f t="shared" ca="1" si="118"/>
        <v>#N/A</v>
      </c>
      <c r="X502" s="55" t="e">
        <f t="shared" ca="1" si="119"/>
        <v>#N/A</v>
      </c>
      <c r="Y502" s="55" t="e">
        <f t="shared" ca="1" si="120"/>
        <v>#N/A</v>
      </c>
      <c r="Z502" t="e">
        <f ca="1">VLOOKUP(S502,ModelOutputs,10,FALSE)*AWC</f>
        <v>#N/A</v>
      </c>
      <c r="AA502" t="e">
        <f t="shared" ca="1" si="111"/>
        <v>#N/A</v>
      </c>
      <c r="AB502" t="e">
        <f t="shared" ca="1" si="112"/>
        <v>#N/A</v>
      </c>
      <c r="AC502" t="e">
        <f t="shared" ca="1" si="113"/>
        <v>#N/A</v>
      </c>
      <c r="AD502" s="83" t="e">
        <f ca="1"/>
        <v>#N/A</v>
      </c>
      <c r="AE502" s="55" t="e">
        <f t="shared" ca="1" si="114"/>
        <v>#N/A</v>
      </c>
      <c r="AF502" s="55" t="e">
        <f t="shared" ca="1" si="115"/>
        <v>#N/A</v>
      </c>
      <c r="AG502" s="55" t="e">
        <f t="shared" ca="1" si="116"/>
        <v>#N/A</v>
      </c>
      <c r="AH502" s="55" t="e">
        <f t="shared" ca="1" si="117"/>
        <v>#N/A</v>
      </c>
      <c r="AI502" s="55" t="e">
        <f ca="1">-VLOOKUP(AE502,ModelOutputs,9,FALSE)+AI501</f>
        <v>#N/A</v>
      </c>
      <c r="AJ502" s="55" t="e">
        <f ca="1">VLOOKUP(AE502,ModelOutputs,5,FALSE)+AJ501</f>
        <v>#N/A</v>
      </c>
      <c r="AK502" s="55" t="e">
        <f ca="1">VLOOKUP(AE502,ModelOutputs,4,FALSE)+AK501</f>
        <v>#N/A</v>
      </c>
    </row>
    <row r="503" spans="18:37">
      <c r="R503" s="55" t="e">
        <f ca="1"/>
        <v>#N/A</v>
      </c>
      <c r="S503" s="55" t="e">
        <f t="shared" ca="1" si="107"/>
        <v>#N/A</v>
      </c>
      <c r="T503" s="55" t="e">
        <f t="shared" ca="1" si="108"/>
        <v>#N/A</v>
      </c>
      <c r="U503" s="55" t="e">
        <f t="shared" ca="1" si="109"/>
        <v>#N/A</v>
      </c>
      <c r="V503" s="55" t="e">
        <f t="shared" ca="1" si="110"/>
        <v>#N/A</v>
      </c>
      <c r="W503" s="55" t="e">
        <f t="shared" ca="1" si="118"/>
        <v>#N/A</v>
      </c>
      <c r="X503" s="55" t="e">
        <f t="shared" ca="1" si="119"/>
        <v>#N/A</v>
      </c>
      <c r="Y503" s="55" t="e">
        <f t="shared" ca="1" si="120"/>
        <v>#N/A</v>
      </c>
      <c r="Z503" t="e">
        <f ca="1">VLOOKUP(S503,ModelOutputs,10,FALSE)*AWC</f>
        <v>#N/A</v>
      </c>
      <c r="AA503" t="e">
        <f t="shared" ca="1" si="111"/>
        <v>#N/A</v>
      </c>
      <c r="AB503" t="e">
        <f t="shared" ca="1" si="112"/>
        <v>#N/A</v>
      </c>
      <c r="AC503" t="e">
        <f t="shared" ca="1" si="113"/>
        <v>#N/A</v>
      </c>
      <c r="AD503" s="83" t="e">
        <f ca="1"/>
        <v>#N/A</v>
      </c>
      <c r="AE503" s="55" t="e">
        <f t="shared" ca="1" si="114"/>
        <v>#N/A</v>
      </c>
      <c r="AF503" s="55" t="e">
        <f t="shared" ca="1" si="115"/>
        <v>#N/A</v>
      </c>
      <c r="AG503" s="55" t="e">
        <f t="shared" ca="1" si="116"/>
        <v>#N/A</v>
      </c>
      <c r="AH503" s="55" t="e">
        <f t="shared" ca="1" si="117"/>
        <v>#N/A</v>
      </c>
      <c r="AI503" s="55" t="e">
        <f ca="1">-VLOOKUP(AE503,ModelOutputs,9,FALSE)+AI502</f>
        <v>#N/A</v>
      </c>
      <c r="AJ503" s="55" t="e">
        <f ca="1">VLOOKUP(AE503,ModelOutputs,5,FALSE)+AJ502</f>
        <v>#N/A</v>
      </c>
      <c r="AK503" s="55" t="e">
        <f ca="1">VLOOKUP(AE503,ModelOutputs,4,FALSE)+AK502</f>
        <v>#N/A</v>
      </c>
    </row>
    <row r="504" spans="18:37">
      <c r="R504" s="55" t="e">
        <f ca="1"/>
        <v>#N/A</v>
      </c>
      <c r="S504" s="55" t="e">
        <f t="shared" ca="1" si="107"/>
        <v>#N/A</v>
      </c>
      <c r="T504" s="55" t="e">
        <f t="shared" ca="1" si="108"/>
        <v>#N/A</v>
      </c>
      <c r="U504" s="55" t="e">
        <f t="shared" ca="1" si="109"/>
        <v>#N/A</v>
      </c>
      <c r="V504" s="55" t="e">
        <f t="shared" ca="1" si="110"/>
        <v>#N/A</v>
      </c>
      <c r="W504" s="55" t="e">
        <f t="shared" ca="1" si="118"/>
        <v>#N/A</v>
      </c>
      <c r="X504" s="55" t="e">
        <f t="shared" ca="1" si="119"/>
        <v>#N/A</v>
      </c>
      <c r="Y504" s="55" t="e">
        <f t="shared" ca="1" si="120"/>
        <v>#N/A</v>
      </c>
      <c r="Z504" t="e">
        <f ca="1">VLOOKUP(S504,ModelOutputs,10,FALSE)*AWC</f>
        <v>#N/A</v>
      </c>
      <c r="AA504" t="e">
        <f t="shared" ca="1" si="111"/>
        <v>#N/A</v>
      </c>
      <c r="AB504" t="e">
        <f t="shared" ca="1" si="112"/>
        <v>#N/A</v>
      </c>
      <c r="AC504" t="e">
        <f t="shared" ca="1" si="113"/>
        <v>#N/A</v>
      </c>
      <c r="AD504" s="83" t="e">
        <f ca="1"/>
        <v>#N/A</v>
      </c>
      <c r="AE504" s="55" t="e">
        <f t="shared" ca="1" si="114"/>
        <v>#N/A</v>
      </c>
      <c r="AF504" s="55" t="e">
        <f t="shared" ca="1" si="115"/>
        <v>#N/A</v>
      </c>
      <c r="AG504" s="55" t="e">
        <f t="shared" ca="1" si="116"/>
        <v>#N/A</v>
      </c>
      <c r="AH504" s="55" t="e">
        <f t="shared" ca="1" si="117"/>
        <v>#N/A</v>
      </c>
      <c r="AI504" s="55" t="e">
        <f ca="1">-VLOOKUP(AE504,ModelOutputs,9,FALSE)+AI503</f>
        <v>#N/A</v>
      </c>
      <c r="AJ504" s="55" t="e">
        <f ca="1">VLOOKUP(AE504,ModelOutputs,5,FALSE)+AJ503</f>
        <v>#N/A</v>
      </c>
      <c r="AK504" s="55" t="e">
        <f ca="1">VLOOKUP(AE504,ModelOutputs,4,FALSE)+AK503</f>
        <v>#N/A</v>
      </c>
    </row>
    <row r="505" spans="18:37">
      <c r="R505" s="55" t="e">
        <f ca="1"/>
        <v>#N/A</v>
      </c>
      <c r="S505" s="55" t="e">
        <f t="shared" ca="1" si="107"/>
        <v>#N/A</v>
      </c>
      <c r="T505" s="55" t="e">
        <f t="shared" ca="1" si="108"/>
        <v>#N/A</v>
      </c>
      <c r="U505" s="55" t="e">
        <f t="shared" ca="1" si="109"/>
        <v>#N/A</v>
      </c>
      <c r="V505" s="55" t="e">
        <f t="shared" ca="1" si="110"/>
        <v>#N/A</v>
      </c>
      <c r="W505" s="55" t="e">
        <f t="shared" ca="1" si="118"/>
        <v>#N/A</v>
      </c>
      <c r="X505" s="55" t="e">
        <f t="shared" ca="1" si="119"/>
        <v>#N/A</v>
      </c>
      <c r="Y505" s="55" t="e">
        <f t="shared" ca="1" si="120"/>
        <v>#N/A</v>
      </c>
      <c r="Z505" t="e">
        <f ca="1">VLOOKUP(S505,ModelOutputs,10,FALSE)*AWC</f>
        <v>#N/A</v>
      </c>
      <c r="AA505" t="e">
        <f t="shared" ca="1" si="111"/>
        <v>#N/A</v>
      </c>
      <c r="AB505" t="e">
        <f t="shared" ca="1" si="112"/>
        <v>#N/A</v>
      </c>
      <c r="AC505" t="e">
        <f t="shared" ca="1" si="113"/>
        <v>#N/A</v>
      </c>
      <c r="AD505" s="83" t="e">
        <f ca="1"/>
        <v>#N/A</v>
      </c>
      <c r="AE505" s="55" t="e">
        <f t="shared" ca="1" si="114"/>
        <v>#N/A</v>
      </c>
      <c r="AF505" s="55" t="e">
        <f t="shared" ca="1" si="115"/>
        <v>#N/A</v>
      </c>
      <c r="AG505" s="55" t="e">
        <f t="shared" ca="1" si="116"/>
        <v>#N/A</v>
      </c>
      <c r="AH505" s="55" t="e">
        <f t="shared" ca="1" si="117"/>
        <v>#N/A</v>
      </c>
      <c r="AI505" s="55" t="e">
        <f ca="1">-VLOOKUP(AE505,ModelOutputs,9,FALSE)+AI504</f>
        <v>#N/A</v>
      </c>
      <c r="AJ505" s="55" t="e">
        <f ca="1">VLOOKUP(AE505,ModelOutputs,5,FALSE)+AJ504</f>
        <v>#N/A</v>
      </c>
      <c r="AK505" s="55" t="e">
        <f ca="1">VLOOKUP(AE505,ModelOutputs,4,FALSE)+AK504</f>
        <v>#N/A</v>
      </c>
    </row>
    <row r="506" spans="18:37">
      <c r="R506" s="55" t="e">
        <f ca="1"/>
        <v>#N/A</v>
      </c>
      <c r="S506" s="55" t="e">
        <f t="shared" ca="1" si="107"/>
        <v>#N/A</v>
      </c>
      <c r="T506" s="55" t="e">
        <f t="shared" ca="1" si="108"/>
        <v>#N/A</v>
      </c>
      <c r="U506" s="55" t="e">
        <f t="shared" ca="1" si="109"/>
        <v>#N/A</v>
      </c>
      <c r="V506" s="55" t="e">
        <f t="shared" ca="1" si="110"/>
        <v>#N/A</v>
      </c>
      <c r="W506" s="55" t="e">
        <f t="shared" ca="1" si="118"/>
        <v>#N/A</v>
      </c>
      <c r="X506" s="55" t="e">
        <f t="shared" ca="1" si="119"/>
        <v>#N/A</v>
      </c>
      <c r="Y506" s="55" t="e">
        <f t="shared" ca="1" si="120"/>
        <v>#N/A</v>
      </c>
      <c r="Z506" t="e">
        <f ca="1">VLOOKUP(S506,ModelOutputs,10,FALSE)*AWC</f>
        <v>#N/A</v>
      </c>
      <c r="AA506" t="e">
        <f t="shared" ca="1" si="111"/>
        <v>#N/A</v>
      </c>
      <c r="AB506" t="e">
        <f t="shared" ca="1" si="112"/>
        <v>#N/A</v>
      </c>
      <c r="AC506" t="e">
        <f t="shared" ca="1" si="113"/>
        <v>#N/A</v>
      </c>
      <c r="AD506" s="83" t="e">
        <f ca="1"/>
        <v>#N/A</v>
      </c>
      <c r="AE506" s="55" t="e">
        <f t="shared" ca="1" si="114"/>
        <v>#N/A</v>
      </c>
      <c r="AF506" s="55" t="e">
        <f t="shared" ca="1" si="115"/>
        <v>#N/A</v>
      </c>
      <c r="AG506" s="55" t="e">
        <f t="shared" ca="1" si="116"/>
        <v>#N/A</v>
      </c>
      <c r="AH506" s="55" t="e">
        <f t="shared" ca="1" si="117"/>
        <v>#N/A</v>
      </c>
      <c r="AI506" s="55" t="e">
        <f ca="1">-VLOOKUP(AE506,ModelOutputs,9,FALSE)+AI505</f>
        <v>#N/A</v>
      </c>
      <c r="AJ506" s="55" t="e">
        <f ca="1">VLOOKUP(AE506,ModelOutputs,5,FALSE)+AJ505</f>
        <v>#N/A</v>
      </c>
      <c r="AK506" s="55" t="e">
        <f ca="1">VLOOKUP(AE506,ModelOutputs,4,FALSE)+AK505</f>
        <v>#N/A</v>
      </c>
    </row>
    <row r="507" spans="18:37">
      <c r="R507" s="55" t="e">
        <f ca="1"/>
        <v>#N/A</v>
      </c>
      <c r="S507" s="55" t="e">
        <f t="shared" ca="1" si="107"/>
        <v>#N/A</v>
      </c>
      <c r="T507" s="55" t="e">
        <f t="shared" ca="1" si="108"/>
        <v>#N/A</v>
      </c>
      <c r="U507" s="55" t="e">
        <f t="shared" ca="1" si="109"/>
        <v>#N/A</v>
      </c>
      <c r="V507" s="55" t="e">
        <f t="shared" ca="1" si="110"/>
        <v>#N/A</v>
      </c>
      <c r="W507" s="55" t="e">
        <f t="shared" ca="1" si="118"/>
        <v>#N/A</v>
      </c>
      <c r="X507" s="55" t="e">
        <f t="shared" ca="1" si="119"/>
        <v>#N/A</v>
      </c>
      <c r="Y507" s="55" t="e">
        <f t="shared" ca="1" si="120"/>
        <v>#N/A</v>
      </c>
      <c r="Z507" t="e">
        <f ca="1">VLOOKUP(S507,ModelOutputs,10,FALSE)*AWC</f>
        <v>#N/A</v>
      </c>
      <c r="AA507" t="e">
        <f t="shared" ca="1" si="111"/>
        <v>#N/A</v>
      </c>
      <c r="AB507" t="e">
        <f t="shared" ca="1" si="112"/>
        <v>#N/A</v>
      </c>
      <c r="AC507" t="e">
        <f t="shared" ca="1" si="113"/>
        <v>#N/A</v>
      </c>
      <c r="AD507" s="83" t="e">
        <f ca="1"/>
        <v>#N/A</v>
      </c>
      <c r="AE507" s="55" t="e">
        <f t="shared" ca="1" si="114"/>
        <v>#N/A</v>
      </c>
      <c r="AF507" s="55" t="e">
        <f t="shared" ca="1" si="115"/>
        <v>#N/A</v>
      </c>
      <c r="AG507" s="55" t="e">
        <f t="shared" ca="1" si="116"/>
        <v>#N/A</v>
      </c>
      <c r="AH507" s="55" t="e">
        <f t="shared" ca="1" si="117"/>
        <v>#N/A</v>
      </c>
      <c r="AI507" s="55" t="e">
        <f ca="1">-VLOOKUP(AE507,ModelOutputs,9,FALSE)+AI506</f>
        <v>#N/A</v>
      </c>
      <c r="AJ507" s="55" t="e">
        <f ca="1">VLOOKUP(AE507,ModelOutputs,5,FALSE)+AJ506</f>
        <v>#N/A</v>
      </c>
      <c r="AK507" s="55" t="e">
        <f ca="1">VLOOKUP(AE507,ModelOutputs,4,FALSE)+AK506</f>
        <v>#N/A</v>
      </c>
    </row>
    <row r="508" spans="18:37">
      <c r="R508" s="55" t="e">
        <f ca="1"/>
        <v>#N/A</v>
      </c>
      <c r="S508" s="55" t="e">
        <f t="shared" ca="1" si="107"/>
        <v>#N/A</v>
      </c>
      <c r="T508" s="55" t="e">
        <f t="shared" ca="1" si="108"/>
        <v>#N/A</v>
      </c>
      <c r="U508" s="55" t="e">
        <f t="shared" ca="1" si="109"/>
        <v>#N/A</v>
      </c>
      <c r="V508" s="55" t="e">
        <f t="shared" ca="1" si="110"/>
        <v>#N/A</v>
      </c>
      <c r="W508" s="55" t="e">
        <f t="shared" ca="1" si="118"/>
        <v>#N/A</v>
      </c>
      <c r="X508" s="55" t="e">
        <f t="shared" ca="1" si="119"/>
        <v>#N/A</v>
      </c>
      <c r="Y508" s="55" t="e">
        <f t="shared" ca="1" si="120"/>
        <v>#N/A</v>
      </c>
      <c r="Z508" t="e">
        <f ca="1">VLOOKUP(S508,ModelOutputs,10,FALSE)*AWC</f>
        <v>#N/A</v>
      </c>
      <c r="AA508" t="e">
        <f t="shared" ca="1" si="111"/>
        <v>#N/A</v>
      </c>
      <c r="AB508" t="e">
        <f t="shared" ca="1" si="112"/>
        <v>#N/A</v>
      </c>
      <c r="AC508" t="e">
        <f t="shared" ca="1" si="113"/>
        <v>#N/A</v>
      </c>
      <c r="AD508" s="83" t="e">
        <f ca="1"/>
        <v>#N/A</v>
      </c>
      <c r="AE508" s="55" t="e">
        <f t="shared" ca="1" si="114"/>
        <v>#N/A</v>
      </c>
      <c r="AF508" s="55" t="e">
        <f t="shared" ca="1" si="115"/>
        <v>#N/A</v>
      </c>
      <c r="AG508" s="55" t="e">
        <f t="shared" ca="1" si="116"/>
        <v>#N/A</v>
      </c>
      <c r="AH508" s="55" t="e">
        <f t="shared" ca="1" si="117"/>
        <v>#N/A</v>
      </c>
      <c r="AI508" s="55" t="e">
        <f ca="1">-VLOOKUP(AE508,ModelOutputs,9,FALSE)+AI507</f>
        <v>#N/A</v>
      </c>
      <c r="AJ508" s="55" t="e">
        <f ca="1">VLOOKUP(AE508,ModelOutputs,5,FALSE)+AJ507</f>
        <v>#N/A</v>
      </c>
      <c r="AK508" s="55" t="e">
        <f ca="1">VLOOKUP(AE508,ModelOutputs,4,FALSE)+AK507</f>
        <v>#N/A</v>
      </c>
    </row>
    <row r="509" spans="18:37">
      <c r="R509" s="55" t="e">
        <f ca="1"/>
        <v>#N/A</v>
      </c>
      <c r="S509" s="55" t="e">
        <f t="shared" ca="1" si="107"/>
        <v>#N/A</v>
      </c>
      <c r="T509" s="55" t="e">
        <f t="shared" ca="1" si="108"/>
        <v>#N/A</v>
      </c>
      <c r="U509" s="55" t="e">
        <f t="shared" ca="1" si="109"/>
        <v>#N/A</v>
      </c>
      <c r="V509" s="55" t="e">
        <f t="shared" ca="1" si="110"/>
        <v>#N/A</v>
      </c>
      <c r="W509" s="55" t="e">
        <f t="shared" ca="1" si="118"/>
        <v>#N/A</v>
      </c>
      <c r="X509" s="55" t="e">
        <f t="shared" ca="1" si="119"/>
        <v>#N/A</v>
      </c>
      <c r="Y509" s="55" t="e">
        <f t="shared" ca="1" si="120"/>
        <v>#N/A</v>
      </c>
      <c r="Z509" t="e">
        <f ca="1">VLOOKUP(S509,ModelOutputs,10,FALSE)*AWC</f>
        <v>#N/A</v>
      </c>
      <c r="AA509" t="e">
        <f t="shared" ca="1" si="111"/>
        <v>#N/A</v>
      </c>
      <c r="AB509" t="e">
        <f t="shared" ca="1" si="112"/>
        <v>#N/A</v>
      </c>
      <c r="AC509" t="e">
        <f t="shared" ca="1" si="113"/>
        <v>#N/A</v>
      </c>
      <c r="AD509" s="83" t="e">
        <f ca="1"/>
        <v>#N/A</v>
      </c>
      <c r="AE509" s="55" t="e">
        <f t="shared" ca="1" si="114"/>
        <v>#N/A</v>
      </c>
      <c r="AF509" s="55" t="e">
        <f t="shared" ca="1" si="115"/>
        <v>#N/A</v>
      </c>
      <c r="AG509" s="55" t="e">
        <f t="shared" ca="1" si="116"/>
        <v>#N/A</v>
      </c>
      <c r="AH509" s="55" t="e">
        <f t="shared" ca="1" si="117"/>
        <v>#N/A</v>
      </c>
      <c r="AI509" s="55" t="e">
        <f ca="1">-VLOOKUP(AE509,ModelOutputs,9,FALSE)+AI508</f>
        <v>#N/A</v>
      </c>
      <c r="AJ509" s="55" t="e">
        <f ca="1">VLOOKUP(AE509,ModelOutputs,5,FALSE)+AJ508</f>
        <v>#N/A</v>
      </c>
      <c r="AK509" s="55" t="e">
        <f ca="1">VLOOKUP(AE509,ModelOutputs,4,FALSE)+AK508</f>
        <v>#N/A</v>
      </c>
    </row>
    <row r="510" spans="18:37">
      <c r="R510" s="55" t="e">
        <f ca="1"/>
        <v>#N/A</v>
      </c>
      <c r="S510" s="55" t="e">
        <f t="shared" ca="1" si="107"/>
        <v>#N/A</v>
      </c>
      <c r="T510" s="55" t="e">
        <f t="shared" ca="1" si="108"/>
        <v>#N/A</v>
      </c>
      <c r="U510" s="55" t="e">
        <f t="shared" ca="1" si="109"/>
        <v>#N/A</v>
      </c>
      <c r="V510" s="55" t="e">
        <f t="shared" ca="1" si="110"/>
        <v>#N/A</v>
      </c>
      <c r="W510" s="55" t="e">
        <f t="shared" ca="1" si="118"/>
        <v>#N/A</v>
      </c>
      <c r="X510" s="55" t="e">
        <f t="shared" ca="1" si="119"/>
        <v>#N/A</v>
      </c>
      <c r="Y510" s="55" t="e">
        <f t="shared" ca="1" si="120"/>
        <v>#N/A</v>
      </c>
      <c r="Z510" t="e">
        <f ca="1">VLOOKUP(S510,ModelOutputs,10,FALSE)*AWC</f>
        <v>#N/A</v>
      </c>
      <c r="AA510" t="e">
        <f t="shared" ca="1" si="111"/>
        <v>#N/A</v>
      </c>
      <c r="AB510" t="e">
        <f t="shared" ca="1" si="112"/>
        <v>#N/A</v>
      </c>
      <c r="AC510" t="e">
        <f t="shared" ca="1" si="113"/>
        <v>#N/A</v>
      </c>
      <c r="AD510" s="83" t="e">
        <f ca="1"/>
        <v>#N/A</v>
      </c>
      <c r="AE510" s="55" t="e">
        <f t="shared" ca="1" si="114"/>
        <v>#N/A</v>
      </c>
      <c r="AF510" s="55" t="e">
        <f t="shared" ca="1" si="115"/>
        <v>#N/A</v>
      </c>
      <c r="AG510" s="55" t="e">
        <f t="shared" ca="1" si="116"/>
        <v>#N/A</v>
      </c>
      <c r="AH510" s="55" t="e">
        <f t="shared" ca="1" si="117"/>
        <v>#N/A</v>
      </c>
      <c r="AI510" s="55" t="e">
        <f ca="1">-VLOOKUP(AE510,ModelOutputs,9,FALSE)+AI509</f>
        <v>#N/A</v>
      </c>
      <c r="AJ510" s="55" t="e">
        <f ca="1">VLOOKUP(AE510,ModelOutputs,5,FALSE)+AJ509</f>
        <v>#N/A</v>
      </c>
      <c r="AK510" s="55" t="e">
        <f ca="1">VLOOKUP(AE510,ModelOutputs,4,FALSE)+AK509</f>
        <v>#N/A</v>
      </c>
    </row>
    <row r="511" spans="18:37">
      <c r="R511" s="55" t="e">
        <f ca="1"/>
        <v>#N/A</v>
      </c>
      <c r="S511" s="55" t="e">
        <f t="shared" ca="1" si="107"/>
        <v>#N/A</v>
      </c>
      <c r="T511" s="55" t="e">
        <f t="shared" ca="1" si="108"/>
        <v>#N/A</v>
      </c>
      <c r="U511" s="55" t="e">
        <f t="shared" ca="1" si="109"/>
        <v>#N/A</v>
      </c>
      <c r="V511" s="55" t="e">
        <f t="shared" ca="1" si="110"/>
        <v>#N/A</v>
      </c>
      <c r="W511" s="55" t="e">
        <f t="shared" ca="1" si="118"/>
        <v>#N/A</v>
      </c>
      <c r="X511" s="55" t="e">
        <f t="shared" ca="1" si="119"/>
        <v>#N/A</v>
      </c>
      <c r="Y511" s="55" t="e">
        <f t="shared" ca="1" si="120"/>
        <v>#N/A</v>
      </c>
      <c r="Z511" t="e">
        <f ca="1">VLOOKUP(S511,ModelOutputs,10,FALSE)*AWC</f>
        <v>#N/A</v>
      </c>
      <c r="AA511" t="e">
        <f t="shared" ca="1" si="111"/>
        <v>#N/A</v>
      </c>
      <c r="AB511" t="e">
        <f t="shared" ca="1" si="112"/>
        <v>#N/A</v>
      </c>
      <c r="AC511" t="e">
        <f t="shared" ca="1" si="113"/>
        <v>#N/A</v>
      </c>
      <c r="AD511" s="83" t="e">
        <f ca="1"/>
        <v>#N/A</v>
      </c>
      <c r="AE511" s="55" t="e">
        <f t="shared" ca="1" si="114"/>
        <v>#N/A</v>
      </c>
      <c r="AF511" s="55" t="e">
        <f t="shared" ca="1" si="115"/>
        <v>#N/A</v>
      </c>
      <c r="AG511" s="55" t="e">
        <f t="shared" ca="1" si="116"/>
        <v>#N/A</v>
      </c>
      <c r="AH511" s="55" t="e">
        <f t="shared" ca="1" si="117"/>
        <v>#N/A</v>
      </c>
      <c r="AI511" s="55" t="e">
        <f ca="1">-VLOOKUP(AE511,ModelOutputs,9,FALSE)+AI510</f>
        <v>#N/A</v>
      </c>
      <c r="AJ511" s="55" t="e">
        <f ca="1">VLOOKUP(AE511,ModelOutputs,5,FALSE)+AJ510</f>
        <v>#N/A</v>
      </c>
      <c r="AK511" s="55" t="e">
        <f ca="1">VLOOKUP(AE511,ModelOutputs,4,FALSE)+AK510</f>
        <v>#N/A</v>
      </c>
    </row>
    <row r="512" spans="18:37">
      <c r="R512" s="55" t="e">
        <f ca="1"/>
        <v>#N/A</v>
      </c>
      <c r="S512" s="55" t="e">
        <f t="shared" ca="1" si="107"/>
        <v>#N/A</v>
      </c>
      <c r="T512" s="55" t="e">
        <f t="shared" ca="1" si="108"/>
        <v>#N/A</v>
      </c>
      <c r="U512" s="55" t="e">
        <f t="shared" ca="1" si="109"/>
        <v>#N/A</v>
      </c>
      <c r="V512" s="55" t="e">
        <f t="shared" ca="1" si="110"/>
        <v>#N/A</v>
      </c>
      <c r="W512" s="55" t="e">
        <f t="shared" ca="1" si="118"/>
        <v>#N/A</v>
      </c>
      <c r="X512" s="55" t="e">
        <f t="shared" ca="1" si="119"/>
        <v>#N/A</v>
      </c>
      <c r="Y512" s="55" t="e">
        <f t="shared" ca="1" si="120"/>
        <v>#N/A</v>
      </c>
      <c r="Z512" t="e">
        <f ca="1">VLOOKUP(S512,ModelOutputs,10,FALSE)*AWC</f>
        <v>#N/A</v>
      </c>
      <c r="AA512" t="e">
        <f t="shared" ca="1" si="111"/>
        <v>#N/A</v>
      </c>
      <c r="AB512" t="e">
        <f t="shared" ca="1" si="112"/>
        <v>#N/A</v>
      </c>
      <c r="AC512" t="e">
        <f t="shared" ca="1" si="113"/>
        <v>#N/A</v>
      </c>
      <c r="AD512" s="83" t="e">
        <f ca="1"/>
        <v>#N/A</v>
      </c>
      <c r="AE512" s="55" t="e">
        <f t="shared" ca="1" si="114"/>
        <v>#N/A</v>
      </c>
      <c r="AF512" s="55" t="e">
        <f t="shared" ca="1" si="115"/>
        <v>#N/A</v>
      </c>
      <c r="AG512" s="55" t="e">
        <f t="shared" ca="1" si="116"/>
        <v>#N/A</v>
      </c>
      <c r="AH512" s="55" t="e">
        <f t="shared" ca="1" si="117"/>
        <v>#N/A</v>
      </c>
      <c r="AI512" s="55" t="e">
        <f ca="1">-VLOOKUP(AE512,ModelOutputs,9,FALSE)+AI511</f>
        <v>#N/A</v>
      </c>
      <c r="AJ512" s="55" t="e">
        <f ca="1">VLOOKUP(AE512,ModelOutputs,5,FALSE)+AJ511</f>
        <v>#N/A</v>
      </c>
      <c r="AK512" s="55" t="e">
        <f ca="1">VLOOKUP(AE512,ModelOutputs,4,FALSE)+AK511</f>
        <v>#N/A</v>
      </c>
    </row>
    <row r="513" spans="18:37">
      <c r="R513" s="55" t="e">
        <f ca="1"/>
        <v>#N/A</v>
      </c>
      <c r="S513" s="55" t="e">
        <f t="shared" ca="1" si="107"/>
        <v>#N/A</v>
      </c>
      <c r="T513" s="55" t="e">
        <f t="shared" ca="1" si="108"/>
        <v>#N/A</v>
      </c>
      <c r="U513" s="55" t="e">
        <f t="shared" ca="1" si="109"/>
        <v>#N/A</v>
      </c>
      <c r="V513" s="55" t="e">
        <f t="shared" ca="1" si="110"/>
        <v>#N/A</v>
      </c>
      <c r="W513" s="55" t="e">
        <f t="shared" ca="1" si="118"/>
        <v>#N/A</v>
      </c>
      <c r="X513" s="55" t="e">
        <f t="shared" ca="1" si="119"/>
        <v>#N/A</v>
      </c>
      <c r="Y513" s="55" t="e">
        <f t="shared" ca="1" si="120"/>
        <v>#N/A</v>
      </c>
      <c r="Z513" t="e">
        <f ca="1">VLOOKUP(S513,ModelOutputs,10,FALSE)*AWC</f>
        <v>#N/A</v>
      </c>
      <c r="AA513" t="e">
        <f t="shared" ca="1" si="111"/>
        <v>#N/A</v>
      </c>
      <c r="AB513" t="e">
        <f t="shared" ca="1" si="112"/>
        <v>#N/A</v>
      </c>
      <c r="AC513" t="e">
        <f t="shared" ca="1" si="113"/>
        <v>#N/A</v>
      </c>
      <c r="AD513" s="83" t="e">
        <f ca="1"/>
        <v>#N/A</v>
      </c>
      <c r="AE513" s="55" t="e">
        <f t="shared" ca="1" si="114"/>
        <v>#N/A</v>
      </c>
      <c r="AF513" s="55" t="e">
        <f t="shared" ca="1" si="115"/>
        <v>#N/A</v>
      </c>
      <c r="AG513" s="55" t="e">
        <f t="shared" ca="1" si="116"/>
        <v>#N/A</v>
      </c>
      <c r="AH513" s="55" t="e">
        <f t="shared" ca="1" si="117"/>
        <v>#N/A</v>
      </c>
      <c r="AI513" s="55" t="e">
        <f ca="1">-VLOOKUP(AE513,ModelOutputs,9,FALSE)+AI512</f>
        <v>#N/A</v>
      </c>
      <c r="AJ513" s="55" t="e">
        <f ca="1">VLOOKUP(AE513,ModelOutputs,5,FALSE)+AJ512</f>
        <v>#N/A</v>
      </c>
      <c r="AK513" s="55" t="e">
        <f ca="1">VLOOKUP(AE513,ModelOutputs,4,FALSE)+AK512</f>
        <v>#N/A</v>
      </c>
    </row>
    <row r="514" spans="18:37">
      <c r="R514" s="55" t="e">
        <f ca="1"/>
        <v>#N/A</v>
      </c>
      <c r="S514" s="55" t="e">
        <f t="shared" ca="1" si="107"/>
        <v>#N/A</v>
      </c>
      <c r="T514" s="55" t="e">
        <f t="shared" ca="1" si="108"/>
        <v>#N/A</v>
      </c>
      <c r="U514" s="55" t="e">
        <f t="shared" ca="1" si="109"/>
        <v>#N/A</v>
      </c>
      <c r="V514" s="55" t="e">
        <f t="shared" ca="1" si="110"/>
        <v>#N/A</v>
      </c>
      <c r="W514" s="55" t="e">
        <f t="shared" ca="1" si="118"/>
        <v>#N/A</v>
      </c>
      <c r="X514" s="55" t="e">
        <f t="shared" ca="1" si="119"/>
        <v>#N/A</v>
      </c>
      <c r="Y514" s="55" t="e">
        <f t="shared" ca="1" si="120"/>
        <v>#N/A</v>
      </c>
      <c r="Z514" t="e">
        <f ca="1">VLOOKUP(S514,ModelOutputs,10,FALSE)*AWC</f>
        <v>#N/A</v>
      </c>
      <c r="AA514" t="e">
        <f t="shared" ca="1" si="111"/>
        <v>#N/A</v>
      </c>
      <c r="AB514" t="e">
        <f t="shared" ca="1" si="112"/>
        <v>#N/A</v>
      </c>
      <c r="AC514" t="e">
        <f t="shared" ca="1" si="113"/>
        <v>#N/A</v>
      </c>
      <c r="AD514" s="83" t="e">
        <f ca="1"/>
        <v>#N/A</v>
      </c>
      <c r="AE514" s="55" t="e">
        <f t="shared" ca="1" si="114"/>
        <v>#N/A</v>
      </c>
      <c r="AF514" s="55" t="e">
        <f t="shared" ca="1" si="115"/>
        <v>#N/A</v>
      </c>
      <c r="AG514" s="55" t="e">
        <f t="shared" ca="1" si="116"/>
        <v>#N/A</v>
      </c>
      <c r="AH514" s="55" t="e">
        <f t="shared" ca="1" si="117"/>
        <v>#N/A</v>
      </c>
      <c r="AI514" s="55" t="e">
        <f ca="1">-VLOOKUP(AE514,ModelOutputs,9,FALSE)+AI513</f>
        <v>#N/A</v>
      </c>
      <c r="AJ514" s="55" t="e">
        <f ca="1">VLOOKUP(AE514,ModelOutputs,5,FALSE)+AJ513</f>
        <v>#N/A</v>
      </c>
      <c r="AK514" s="55" t="e">
        <f ca="1">VLOOKUP(AE514,ModelOutputs,4,FALSE)+AK513</f>
        <v>#N/A</v>
      </c>
    </row>
    <row r="515" spans="18:37">
      <c r="R515" s="55" t="e">
        <f ca="1"/>
        <v>#N/A</v>
      </c>
      <c r="S515" s="55" t="e">
        <f t="shared" ca="1" si="107"/>
        <v>#N/A</v>
      </c>
      <c r="T515" s="55" t="e">
        <f t="shared" ca="1" si="108"/>
        <v>#N/A</v>
      </c>
      <c r="U515" s="55" t="e">
        <f t="shared" ca="1" si="109"/>
        <v>#N/A</v>
      </c>
      <c r="V515" s="55" t="e">
        <f t="shared" ca="1" si="110"/>
        <v>#N/A</v>
      </c>
      <c r="W515" s="55" t="e">
        <f t="shared" ca="1" si="118"/>
        <v>#N/A</v>
      </c>
      <c r="X515" s="55" t="e">
        <f t="shared" ca="1" si="119"/>
        <v>#N/A</v>
      </c>
      <c r="Y515" s="55" t="e">
        <f t="shared" ca="1" si="120"/>
        <v>#N/A</v>
      </c>
      <c r="Z515" t="e">
        <f ca="1">VLOOKUP(S515,ModelOutputs,10,FALSE)*AWC</f>
        <v>#N/A</v>
      </c>
      <c r="AA515" t="e">
        <f t="shared" ca="1" si="111"/>
        <v>#N/A</v>
      </c>
      <c r="AB515" t="e">
        <f t="shared" ca="1" si="112"/>
        <v>#N/A</v>
      </c>
      <c r="AC515" t="e">
        <f t="shared" ca="1" si="113"/>
        <v>#N/A</v>
      </c>
      <c r="AD515" s="83" t="e">
        <f ca="1"/>
        <v>#N/A</v>
      </c>
      <c r="AE515" s="55" t="e">
        <f t="shared" ca="1" si="114"/>
        <v>#N/A</v>
      </c>
      <c r="AF515" s="55" t="e">
        <f t="shared" ca="1" si="115"/>
        <v>#N/A</v>
      </c>
      <c r="AG515" s="55" t="e">
        <f t="shared" ca="1" si="116"/>
        <v>#N/A</v>
      </c>
      <c r="AH515" s="55" t="e">
        <f t="shared" ca="1" si="117"/>
        <v>#N/A</v>
      </c>
      <c r="AI515" s="55" t="e">
        <f ca="1">-VLOOKUP(AE515,ModelOutputs,9,FALSE)+AI514</f>
        <v>#N/A</v>
      </c>
      <c r="AJ515" s="55" t="e">
        <f ca="1">VLOOKUP(AE515,ModelOutputs,5,FALSE)+AJ514</f>
        <v>#N/A</v>
      </c>
      <c r="AK515" s="55" t="e">
        <f ca="1">VLOOKUP(AE515,ModelOutputs,4,FALSE)+AK514</f>
        <v>#N/A</v>
      </c>
    </row>
    <row r="516" spans="18:37">
      <c r="R516" s="55" t="e">
        <f ca="1"/>
        <v>#N/A</v>
      </c>
      <c r="S516" s="55" t="e">
        <f t="shared" ca="1" si="107"/>
        <v>#N/A</v>
      </c>
      <c r="T516" s="55" t="e">
        <f t="shared" ca="1" si="108"/>
        <v>#N/A</v>
      </c>
      <c r="U516" s="55" t="e">
        <f t="shared" ca="1" si="109"/>
        <v>#N/A</v>
      </c>
      <c r="V516" s="55" t="e">
        <f t="shared" ca="1" si="110"/>
        <v>#N/A</v>
      </c>
      <c r="W516" s="55" t="e">
        <f t="shared" ca="1" si="118"/>
        <v>#N/A</v>
      </c>
      <c r="X516" s="55" t="e">
        <f t="shared" ca="1" si="119"/>
        <v>#N/A</v>
      </c>
      <c r="Y516" s="55" t="e">
        <f t="shared" ca="1" si="120"/>
        <v>#N/A</v>
      </c>
      <c r="Z516" t="e">
        <f ca="1">VLOOKUP(S516,ModelOutputs,10,FALSE)*AWC</f>
        <v>#N/A</v>
      </c>
      <c r="AA516" t="e">
        <f t="shared" ca="1" si="111"/>
        <v>#N/A</v>
      </c>
      <c r="AB516" t="e">
        <f t="shared" ca="1" si="112"/>
        <v>#N/A</v>
      </c>
      <c r="AC516" t="e">
        <f t="shared" ca="1" si="113"/>
        <v>#N/A</v>
      </c>
      <c r="AD516" s="83" t="e">
        <f ca="1"/>
        <v>#N/A</v>
      </c>
      <c r="AE516" s="55" t="e">
        <f t="shared" ca="1" si="114"/>
        <v>#N/A</v>
      </c>
      <c r="AF516" s="55" t="e">
        <f t="shared" ca="1" si="115"/>
        <v>#N/A</v>
      </c>
      <c r="AG516" s="55" t="e">
        <f t="shared" ca="1" si="116"/>
        <v>#N/A</v>
      </c>
      <c r="AH516" s="55" t="e">
        <f t="shared" ca="1" si="117"/>
        <v>#N/A</v>
      </c>
      <c r="AI516" s="55" t="e">
        <f ca="1">-VLOOKUP(AE516,ModelOutputs,9,FALSE)+AI515</f>
        <v>#N/A</v>
      </c>
      <c r="AJ516" s="55" t="e">
        <f ca="1">VLOOKUP(AE516,ModelOutputs,5,FALSE)+AJ515</f>
        <v>#N/A</v>
      </c>
      <c r="AK516" s="55" t="e">
        <f ca="1">VLOOKUP(AE516,ModelOutputs,4,FALSE)+AK515</f>
        <v>#N/A</v>
      </c>
    </row>
    <row r="517" spans="18:37">
      <c r="R517" s="55" t="e">
        <f ca="1"/>
        <v>#N/A</v>
      </c>
      <c r="S517" s="55" t="e">
        <f t="shared" ca="1" si="107"/>
        <v>#N/A</v>
      </c>
      <c r="T517" s="55" t="e">
        <f t="shared" ca="1" si="108"/>
        <v>#N/A</v>
      </c>
      <c r="U517" s="55" t="e">
        <f t="shared" ca="1" si="109"/>
        <v>#N/A</v>
      </c>
      <c r="V517" s="55" t="e">
        <f t="shared" ca="1" si="110"/>
        <v>#N/A</v>
      </c>
      <c r="W517" s="55" t="e">
        <f t="shared" ca="1" si="118"/>
        <v>#N/A</v>
      </c>
      <c r="X517" s="55" t="e">
        <f t="shared" ca="1" si="119"/>
        <v>#N/A</v>
      </c>
      <c r="Y517" s="55" t="e">
        <f t="shared" ca="1" si="120"/>
        <v>#N/A</v>
      </c>
      <c r="Z517" t="e">
        <f ca="1">VLOOKUP(S517,ModelOutputs,10,FALSE)*AWC</f>
        <v>#N/A</v>
      </c>
      <c r="AA517" t="e">
        <f t="shared" ca="1" si="111"/>
        <v>#N/A</v>
      </c>
      <c r="AB517" t="e">
        <f t="shared" ca="1" si="112"/>
        <v>#N/A</v>
      </c>
      <c r="AC517" t="e">
        <f t="shared" ca="1" si="113"/>
        <v>#N/A</v>
      </c>
      <c r="AD517" s="83" t="e">
        <f ca="1"/>
        <v>#N/A</v>
      </c>
      <c r="AE517" s="55" t="e">
        <f t="shared" ca="1" si="114"/>
        <v>#N/A</v>
      </c>
      <c r="AF517" s="55" t="e">
        <f t="shared" ca="1" si="115"/>
        <v>#N/A</v>
      </c>
      <c r="AG517" s="55" t="e">
        <f t="shared" ca="1" si="116"/>
        <v>#N/A</v>
      </c>
      <c r="AH517" s="55" t="e">
        <f t="shared" ca="1" si="117"/>
        <v>#N/A</v>
      </c>
      <c r="AI517" s="55" t="e">
        <f ca="1">-VLOOKUP(AE517,ModelOutputs,9,FALSE)+AI516</f>
        <v>#N/A</v>
      </c>
      <c r="AJ517" s="55" t="e">
        <f ca="1">VLOOKUP(AE517,ModelOutputs,5,FALSE)+AJ516</f>
        <v>#N/A</v>
      </c>
      <c r="AK517" s="55" t="e">
        <f ca="1">VLOOKUP(AE517,ModelOutputs,4,FALSE)+AK516</f>
        <v>#N/A</v>
      </c>
    </row>
    <row r="518" spans="18:37">
      <c r="R518" s="55" t="e">
        <f ca="1"/>
        <v>#N/A</v>
      </c>
      <c r="S518" s="55" t="e">
        <f t="shared" ca="1" si="107"/>
        <v>#N/A</v>
      </c>
      <c r="T518" s="55" t="e">
        <f t="shared" ca="1" si="108"/>
        <v>#N/A</v>
      </c>
      <c r="U518" s="55" t="e">
        <f t="shared" ca="1" si="109"/>
        <v>#N/A</v>
      </c>
      <c r="V518" s="55" t="e">
        <f t="shared" ca="1" si="110"/>
        <v>#N/A</v>
      </c>
      <c r="W518" s="55" t="e">
        <f t="shared" ca="1" si="118"/>
        <v>#N/A</v>
      </c>
      <c r="X518" s="55" t="e">
        <f t="shared" ca="1" si="119"/>
        <v>#N/A</v>
      </c>
      <c r="Y518" s="55" t="e">
        <f t="shared" ca="1" si="120"/>
        <v>#N/A</v>
      </c>
      <c r="Z518" t="e">
        <f ca="1">VLOOKUP(S518,ModelOutputs,10,FALSE)*AWC</f>
        <v>#N/A</v>
      </c>
      <c r="AA518" t="e">
        <f t="shared" ca="1" si="111"/>
        <v>#N/A</v>
      </c>
      <c r="AB518" t="e">
        <f t="shared" ca="1" si="112"/>
        <v>#N/A</v>
      </c>
      <c r="AC518" t="e">
        <f t="shared" ca="1" si="113"/>
        <v>#N/A</v>
      </c>
      <c r="AD518" s="83" t="e">
        <f ca="1"/>
        <v>#N/A</v>
      </c>
      <c r="AE518" s="55" t="e">
        <f t="shared" ca="1" si="114"/>
        <v>#N/A</v>
      </c>
      <c r="AF518" s="55" t="e">
        <f t="shared" ca="1" si="115"/>
        <v>#N/A</v>
      </c>
      <c r="AG518" s="55" t="e">
        <f t="shared" ca="1" si="116"/>
        <v>#N/A</v>
      </c>
      <c r="AH518" s="55" t="e">
        <f t="shared" ca="1" si="117"/>
        <v>#N/A</v>
      </c>
      <c r="AI518" s="55" t="e">
        <f ca="1">-VLOOKUP(AE518,ModelOutputs,9,FALSE)+AI517</f>
        <v>#N/A</v>
      </c>
      <c r="AJ518" s="55" t="e">
        <f ca="1">VLOOKUP(AE518,ModelOutputs,5,FALSE)+AJ517</f>
        <v>#N/A</v>
      </c>
      <c r="AK518" s="55" t="e">
        <f ca="1">VLOOKUP(AE518,ModelOutputs,4,FALSE)+AK517</f>
        <v>#N/A</v>
      </c>
    </row>
    <row r="519" spans="18:37">
      <c r="R519" s="55" t="e">
        <f ca="1"/>
        <v>#N/A</v>
      </c>
      <c r="S519" s="55" t="e">
        <f t="shared" ca="1" si="107"/>
        <v>#N/A</v>
      </c>
      <c r="T519" s="55" t="e">
        <f t="shared" ca="1" si="108"/>
        <v>#N/A</v>
      </c>
      <c r="U519" s="55" t="e">
        <f t="shared" ca="1" si="109"/>
        <v>#N/A</v>
      </c>
      <c r="V519" s="55" t="e">
        <f t="shared" ca="1" si="110"/>
        <v>#N/A</v>
      </c>
      <c r="W519" s="55" t="e">
        <f t="shared" ca="1" si="118"/>
        <v>#N/A</v>
      </c>
      <c r="X519" s="55" t="e">
        <f t="shared" ca="1" si="119"/>
        <v>#N/A</v>
      </c>
      <c r="Y519" s="55" t="e">
        <f t="shared" ca="1" si="120"/>
        <v>#N/A</v>
      </c>
      <c r="Z519" t="e">
        <f ca="1">VLOOKUP(S519,ModelOutputs,10,FALSE)*AWC</f>
        <v>#N/A</v>
      </c>
      <c r="AA519" t="e">
        <f t="shared" ca="1" si="111"/>
        <v>#N/A</v>
      </c>
      <c r="AB519" t="e">
        <f t="shared" ca="1" si="112"/>
        <v>#N/A</v>
      </c>
      <c r="AC519" t="e">
        <f t="shared" ca="1" si="113"/>
        <v>#N/A</v>
      </c>
      <c r="AD519" s="83" t="e">
        <f ca="1"/>
        <v>#N/A</v>
      </c>
      <c r="AE519" s="55" t="e">
        <f t="shared" ca="1" si="114"/>
        <v>#N/A</v>
      </c>
      <c r="AF519" s="55" t="e">
        <f t="shared" ca="1" si="115"/>
        <v>#N/A</v>
      </c>
      <c r="AG519" s="55" t="e">
        <f t="shared" ca="1" si="116"/>
        <v>#N/A</v>
      </c>
      <c r="AH519" s="55" t="e">
        <f t="shared" ca="1" si="117"/>
        <v>#N/A</v>
      </c>
      <c r="AI519" s="55" t="e">
        <f ca="1">-VLOOKUP(AE519,ModelOutputs,9,FALSE)+AI518</f>
        <v>#N/A</v>
      </c>
      <c r="AJ519" s="55" t="e">
        <f ca="1">VLOOKUP(AE519,ModelOutputs,5,FALSE)+AJ518</f>
        <v>#N/A</v>
      </c>
      <c r="AK519" s="55" t="e">
        <f ca="1">VLOOKUP(AE519,ModelOutputs,4,FALSE)+AK518</f>
        <v>#N/A</v>
      </c>
    </row>
    <row r="520" spans="18:37">
      <c r="R520" s="55" t="e">
        <f ca="1"/>
        <v>#N/A</v>
      </c>
      <c r="S520" s="55" t="e">
        <f t="shared" ca="1" si="107"/>
        <v>#N/A</v>
      </c>
      <c r="T520" s="55" t="e">
        <f t="shared" ca="1" si="108"/>
        <v>#N/A</v>
      </c>
      <c r="U520" s="55" t="e">
        <f t="shared" ca="1" si="109"/>
        <v>#N/A</v>
      </c>
      <c r="V520" s="55" t="e">
        <f t="shared" ca="1" si="110"/>
        <v>#N/A</v>
      </c>
      <c r="W520" s="55" t="e">
        <f t="shared" ca="1" si="118"/>
        <v>#N/A</v>
      </c>
      <c r="X520" s="55" t="e">
        <f t="shared" ca="1" si="119"/>
        <v>#N/A</v>
      </c>
      <c r="Y520" s="55" t="e">
        <f t="shared" ca="1" si="120"/>
        <v>#N/A</v>
      </c>
      <c r="Z520" t="e">
        <f ca="1">VLOOKUP(S520,ModelOutputs,10,FALSE)*AWC</f>
        <v>#N/A</v>
      </c>
      <c r="AA520" t="e">
        <f t="shared" ca="1" si="111"/>
        <v>#N/A</v>
      </c>
      <c r="AB520" t="e">
        <f t="shared" ca="1" si="112"/>
        <v>#N/A</v>
      </c>
      <c r="AC520" t="e">
        <f t="shared" ca="1" si="113"/>
        <v>#N/A</v>
      </c>
      <c r="AD520" s="83" t="e">
        <f ca="1"/>
        <v>#N/A</v>
      </c>
      <c r="AE520" s="55" t="e">
        <f t="shared" ca="1" si="114"/>
        <v>#N/A</v>
      </c>
      <c r="AF520" s="55" t="e">
        <f t="shared" ca="1" si="115"/>
        <v>#N/A</v>
      </c>
      <c r="AG520" s="55" t="e">
        <f t="shared" ca="1" si="116"/>
        <v>#N/A</v>
      </c>
      <c r="AH520" s="55" t="e">
        <f t="shared" ca="1" si="117"/>
        <v>#N/A</v>
      </c>
      <c r="AI520" s="55" t="e">
        <f ca="1">-VLOOKUP(AE520,ModelOutputs,9,FALSE)+AI519</f>
        <v>#N/A</v>
      </c>
      <c r="AJ520" s="55" t="e">
        <f ca="1">VLOOKUP(AE520,ModelOutputs,5,FALSE)+AJ519</f>
        <v>#N/A</v>
      </c>
      <c r="AK520" s="55" t="e">
        <f ca="1">VLOOKUP(AE520,ModelOutputs,4,FALSE)+AK519</f>
        <v>#N/A</v>
      </c>
    </row>
    <row r="521" spans="18:37">
      <c r="R521" s="55" t="e">
        <f ca="1"/>
        <v>#N/A</v>
      </c>
      <c r="S521" s="55" t="e">
        <f t="shared" ca="1" si="107"/>
        <v>#N/A</v>
      </c>
      <c r="T521" s="55" t="e">
        <f t="shared" ca="1" si="108"/>
        <v>#N/A</v>
      </c>
      <c r="U521" s="55" t="e">
        <f t="shared" ca="1" si="109"/>
        <v>#N/A</v>
      </c>
      <c r="V521" s="55" t="e">
        <f t="shared" ca="1" si="110"/>
        <v>#N/A</v>
      </c>
      <c r="W521" s="55" t="e">
        <f t="shared" ca="1" si="118"/>
        <v>#N/A</v>
      </c>
      <c r="X521" s="55" t="e">
        <f t="shared" ca="1" si="119"/>
        <v>#N/A</v>
      </c>
      <c r="Y521" s="55" t="e">
        <f t="shared" ca="1" si="120"/>
        <v>#N/A</v>
      </c>
      <c r="Z521" t="e">
        <f ca="1">VLOOKUP(S521,ModelOutputs,10,FALSE)*AWC</f>
        <v>#N/A</v>
      </c>
      <c r="AA521" t="e">
        <f t="shared" ca="1" si="111"/>
        <v>#N/A</v>
      </c>
      <c r="AB521" t="e">
        <f t="shared" ca="1" si="112"/>
        <v>#N/A</v>
      </c>
      <c r="AC521" t="e">
        <f t="shared" ca="1" si="113"/>
        <v>#N/A</v>
      </c>
      <c r="AD521" s="83" t="e">
        <f ca="1"/>
        <v>#N/A</v>
      </c>
      <c r="AE521" s="55" t="e">
        <f t="shared" ca="1" si="114"/>
        <v>#N/A</v>
      </c>
      <c r="AF521" s="55" t="e">
        <f t="shared" ca="1" si="115"/>
        <v>#N/A</v>
      </c>
      <c r="AG521" s="55" t="e">
        <f t="shared" ca="1" si="116"/>
        <v>#N/A</v>
      </c>
      <c r="AH521" s="55" t="e">
        <f t="shared" ca="1" si="117"/>
        <v>#N/A</v>
      </c>
      <c r="AI521" s="55" t="e">
        <f ca="1">-VLOOKUP(AE521,ModelOutputs,9,FALSE)+AI520</f>
        <v>#N/A</v>
      </c>
      <c r="AJ521" s="55" t="e">
        <f ca="1">VLOOKUP(AE521,ModelOutputs,5,FALSE)+AJ520</f>
        <v>#N/A</v>
      </c>
      <c r="AK521" s="55" t="e">
        <f ca="1">VLOOKUP(AE521,ModelOutputs,4,FALSE)+AK520</f>
        <v>#N/A</v>
      </c>
    </row>
    <row r="522" spans="18:37">
      <c r="R522" s="55" t="e">
        <f ca="1"/>
        <v>#N/A</v>
      </c>
      <c r="S522" s="55" t="e">
        <f t="shared" ca="1" si="107"/>
        <v>#N/A</v>
      </c>
      <c r="T522" s="55" t="e">
        <f t="shared" ca="1" si="108"/>
        <v>#N/A</v>
      </c>
      <c r="U522" s="55" t="e">
        <f t="shared" ca="1" si="109"/>
        <v>#N/A</v>
      </c>
      <c r="V522" s="55" t="e">
        <f t="shared" ca="1" si="110"/>
        <v>#N/A</v>
      </c>
      <c r="W522" s="55" t="e">
        <f t="shared" ca="1" si="118"/>
        <v>#N/A</v>
      </c>
      <c r="X522" s="55" t="e">
        <f t="shared" ca="1" si="119"/>
        <v>#N/A</v>
      </c>
      <c r="Y522" s="55" t="e">
        <f t="shared" ca="1" si="120"/>
        <v>#N/A</v>
      </c>
      <c r="Z522" t="e">
        <f ca="1">VLOOKUP(S522,ModelOutputs,10,FALSE)*AWC</f>
        <v>#N/A</v>
      </c>
      <c r="AA522" t="e">
        <f t="shared" ca="1" si="111"/>
        <v>#N/A</v>
      </c>
      <c r="AB522" t="e">
        <f t="shared" ca="1" si="112"/>
        <v>#N/A</v>
      </c>
      <c r="AC522" t="e">
        <f t="shared" ca="1" si="113"/>
        <v>#N/A</v>
      </c>
      <c r="AD522" s="83" t="e">
        <f ca="1"/>
        <v>#N/A</v>
      </c>
      <c r="AE522" s="55" t="e">
        <f t="shared" ca="1" si="114"/>
        <v>#N/A</v>
      </c>
      <c r="AF522" s="55" t="e">
        <f t="shared" ca="1" si="115"/>
        <v>#N/A</v>
      </c>
      <c r="AG522" s="55" t="e">
        <f t="shared" ca="1" si="116"/>
        <v>#N/A</v>
      </c>
      <c r="AH522" s="55" t="e">
        <f t="shared" ca="1" si="117"/>
        <v>#N/A</v>
      </c>
      <c r="AI522" s="55" t="e">
        <f ca="1">-VLOOKUP(AE522,ModelOutputs,9,FALSE)+AI521</f>
        <v>#N/A</v>
      </c>
      <c r="AJ522" s="55" t="e">
        <f ca="1">VLOOKUP(AE522,ModelOutputs,5,FALSE)+AJ521</f>
        <v>#N/A</v>
      </c>
      <c r="AK522" s="55" t="e">
        <f ca="1">VLOOKUP(AE522,ModelOutputs,4,FALSE)+AK521</f>
        <v>#N/A</v>
      </c>
    </row>
    <row r="523" spans="18:37">
      <c r="R523" s="55" t="e">
        <f ca="1"/>
        <v>#N/A</v>
      </c>
      <c r="S523" s="55" t="e">
        <f t="shared" ca="1" si="107"/>
        <v>#N/A</v>
      </c>
      <c r="T523" s="55" t="e">
        <f t="shared" ca="1" si="108"/>
        <v>#N/A</v>
      </c>
      <c r="U523" s="55" t="e">
        <f t="shared" ca="1" si="109"/>
        <v>#N/A</v>
      </c>
      <c r="V523" s="55" t="e">
        <f t="shared" ca="1" si="110"/>
        <v>#N/A</v>
      </c>
      <c r="W523" s="55" t="e">
        <f t="shared" ca="1" si="118"/>
        <v>#N/A</v>
      </c>
      <c r="X523" s="55" t="e">
        <f t="shared" ca="1" si="119"/>
        <v>#N/A</v>
      </c>
      <c r="Y523" s="55" t="e">
        <f t="shared" ca="1" si="120"/>
        <v>#N/A</v>
      </c>
      <c r="Z523" t="e">
        <f ca="1">VLOOKUP(S523,ModelOutputs,10,FALSE)*AWC</f>
        <v>#N/A</v>
      </c>
      <c r="AA523" t="e">
        <f t="shared" ca="1" si="111"/>
        <v>#N/A</v>
      </c>
      <c r="AB523" t="e">
        <f t="shared" ca="1" si="112"/>
        <v>#N/A</v>
      </c>
      <c r="AC523" t="e">
        <f t="shared" ca="1" si="113"/>
        <v>#N/A</v>
      </c>
      <c r="AD523" s="83" t="e">
        <f ca="1"/>
        <v>#N/A</v>
      </c>
      <c r="AE523" s="55" t="e">
        <f t="shared" ca="1" si="114"/>
        <v>#N/A</v>
      </c>
      <c r="AF523" s="55" t="e">
        <f t="shared" ca="1" si="115"/>
        <v>#N/A</v>
      </c>
      <c r="AG523" s="55" t="e">
        <f t="shared" ca="1" si="116"/>
        <v>#N/A</v>
      </c>
      <c r="AH523" s="55" t="e">
        <f t="shared" ca="1" si="117"/>
        <v>#N/A</v>
      </c>
      <c r="AI523" s="55" t="e">
        <f ca="1">-VLOOKUP(AE523,ModelOutputs,9,FALSE)+AI522</f>
        <v>#N/A</v>
      </c>
      <c r="AJ523" s="55" t="e">
        <f ca="1">VLOOKUP(AE523,ModelOutputs,5,FALSE)+AJ522</f>
        <v>#N/A</v>
      </c>
      <c r="AK523" s="55" t="e">
        <f ca="1">VLOOKUP(AE523,ModelOutputs,4,FALSE)+AK522</f>
        <v>#N/A</v>
      </c>
    </row>
    <row r="524" spans="18:37">
      <c r="R524" s="55" t="e">
        <f ca="1"/>
        <v>#N/A</v>
      </c>
      <c r="S524" s="55" t="e">
        <f t="shared" ref="S524:S587" ca="1" si="121">IF(R524&gt;1,R524,"")</f>
        <v>#N/A</v>
      </c>
      <c r="T524" s="55" t="e">
        <f t="shared" ref="T524:T587" ca="1" si="122">VLOOKUP(S524,ModelOutputs,2,FALSE)</f>
        <v>#N/A</v>
      </c>
      <c r="U524" s="55" t="e">
        <f t="shared" ref="U524:U587" ca="1" si="123">VLOOKUP(S524,ModelOutputs,7,FALSE)</f>
        <v>#N/A</v>
      </c>
      <c r="V524" s="55" t="e">
        <f t="shared" ref="V524:V587" ca="1" si="124">VLOOKUP(S524,ModelOutputs,6,FALSE)</f>
        <v>#N/A</v>
      </c>
      <c r="W524" s="55" t="e">
        <f t="shared" ca="1" si="118"/>
        <v>#N/A</v>
      </c>
      <c r="X524" s="55" t="e">
        <f t="shared" ca="1" si="119"/>
        <v>#N/A</v>
      </c>
      <c r="Y524" s="55" t="e">
        <f t="shared" ca="1" si="120"/>
        <v>#N/A</v>
      </c>
      <c r="Z524" t="e">
        <f ca="1">VLOOKUP(S524,ModelOutputs,10,FALSE)*AWC</f>
        <v>#N/A</v>
      </c>
      <c r="AA524" t="e">
        <f t="shared" ref="AA524:AA587" ca="1" si="125">VLOOKUP(S524,ModelOutputs,11,FALSE)+AA523</f>
        <v>#N/A</v>
      </c>
      <c r="AB524" t="e">
        <f t="shared" ref="AB524:AB587" ca="1" si="126">VLOOKUP(S524,ModelOutputs,12,FALSE)</f>
        <v>#N/A</v>
      </c>
      <c r="AC524" t="e">
        <f t="shared" ref="AC524:AC587" ca="1" si="127">VLOOKUP(S524,ModelOutputs,13,FALSE)</f>
        <v>#N/A</v>
      </c>
      <c r="AD524" s="83" t="e">
        <f ca="1"/>
        <v>#N/A</v>
      </c>
      <c r="AE524" s="55" t="e">
        <f t="shared" ref="AE524:AE587" ca="1" si="128">IF(AD524&gt;1,AD524,"")</f>
        <v>#N/A</v>
      </c>
      <c r="AF524" s="55" t="e">
        <f t="shared" ref="AF524:AF587" ca="1" si="129">VLOOKUP(AE524,ModelOutputs,2,FALSE)</f>
        <v>#N/A</v>
      </c>
      <c r="AG524" s="55" t="e">
        <f t="shared" ref="AG524:AG587" ca="1" si="130">VLOOKUP(AE524,ModelOutputs,7,FALSE)</f>
        <v>#N/A</v>
      </c>
      <c r="AH524" s="55" t="e">
        <f t="shared" ref="AH524:AH587" ca="1" si="131">VLOOKUP(AE524,ModelOutputs,6,FALSE)</f>
        <v>#N/A</v>
      </c>
      <c r="AI524" s="55" t="e">
        <f ca="1">-VLOOKUP(AE524,ModelOutputs,9,FALSE)+AI523</f>
        <v>#N/A</v>
      </c>
      <c r="AJ524" s="55" t="e">
        <f ca="1">VLOOKUP(AE524,ModelOutputs,5,FALSE)+AJ523</f>
        <v>#N/A</v>
      </c>
      <c r="AK524" s="55" t="e">
        <f ca="1">VLOOKUP(AE524,ModelOutputs,4,FALSE)+AK523</f>
        <v>#N/A</v>
      </c>
    </row>
    <row r="525" spans="18:37">
      <c r="R525" s="55" t="e">
        <f ca="1"/>
        <v>#N/A</v>
      </c>
      <c r="S525" s="55" t="e">
        <f t="shared" ca="1" si="121"/>
        <v>#N/A</v>
      </c>
      <c r="T525" s="55" t="e">
        <f t="shared" ca="1" si="122"/>
        <v>#N/A</v>
      </c>
      <c r="U525" s="55" t="e">
        <f t="shared" ca="1" si="123"/>
        <v>#N/A</v>
      </c>
      <c r="V525" s="55" t="e">
        <f t="shared" ca="1" si="124"/>
        <v>#N/A</v>
      </c>
      <c r="W525" s="55" t="e">
        <f t="shared" ca="1" si="118"/>
        <v>#N/A</v>
      </c>
      <c r="X525" s="55" t="e">
        <f t="shared" ca="1" si="119"/>
        <v>#N/A</v>
      </c>
      <c r="Y525" s="55" t="e">
        <f t="shared" ca="1" si="120"/>
        <v>#N/A</v>
      </c>
      <c r="Z525" t="e">
        <f ca="1">VLOOKUP(S525,ModelOutputs,10,FALSE)*AWC</f>
        <v>#N/A</v>
      </c>
      <c r="AA525" t="e">
        <f t="shared" ca="1" si="125"/>
        <v>#N/A</v>
      </c>
      <c r="AB525" t="e">
        <f t="shared" ca="1" si="126"/>
        <v>#N/A</v>
      </c>
      <c r="AC525" t="e">
        <f t="shared" ca="1" si="127"/>
        <v>#N/A</v>
      </c>
      <c r="AD525" s="83" t="e">
        <f ca="1"/>
        <v>#N/A</v>
      </c>
      <c r="AE525" s="55" t="e">
        <f t="shared" ca="1" si="128"/>
        <v>#N/A</v>
      </c>
      <c r="AF525" s="55" t="e">
        <f t="shared" ca="1" si="129"/>
        <v>#N/A</v>
      </c>
      <c r="AG525" s="55" t="e">
        <f t="shared" ca="1" si="130"/>
        <v>#N/A</v>
      </c>
      <c r="AH525" s="55" t="e">
        <f t="shared" ca="1" si="131"/>
        <v>#N/A</v>
      </c>
      <c r="AI525" s="55" t="e">
        <f ca="1">-VLOOKUP(AE525,ModelOutputs,9,FALSE)+AI524</f>
        <v>#N/A</v>
      </c>
      <c r="AJ525" s="55" t="e">
        <f ca="1">VLOOKUP(AE525,ModelOutputs,5,FALSE)+AJ524</f>
        <v>#N/A</v>
      </c>
      <c r="AK525" s="55" t="e">
        <f ca="1">VLOOKUP(AE525,ModelOutputs,4,FALSE)+AK524</f>
        <v>#N/A</v>
      </c>
    </row>
    <row r="526" spans="18:37">
      <c r="R526" s="55" t="e">
        <f ca="1"/>
        <v>#N/A</v>
      </c>
      <c r="S526" s="55" t="e">
        <f t="shared" ca="1" si="121"/>
        <v>#N/A</v>
      </c>
      <c r="T526" s="55" t="e">
        <f t="shared" ca="1" si="122"/>
        <v>#N/A</v>
      </c>
      <c r="U526" s="55" t="e">
        <f t="shared" ca="1" si="123"/>
        <v>#N/A</v>
      </c>
      <c r="V526" s="55" t="e">
        <f t="shared" ca="1" si="124"/>
        <v>#N/A</v>
      </c>
      <c r="W526" s="55" t="e">
        <f t="shared" ca="1" si="118"/>
        <v>#N/A</v>
      </c>
      <c r="X526" s="55" t="e">
        <f t="shared" ca="1" si="119"/>
        <v>#N/A</v>
      </c>
      <c r="Y526" s="55" t="e">
        <f t="shared" ca="1" si="120"/>
        <v>#N/A</v>
      </c>
      <c r="Z526" t="e">
        <f ca="1">VLOOKUP(S526,ModelOutputs,10,FALSE)*AWC</f>
        <v>#N/A</v>
      </c>
      <c r="AA526" t="e">
        <f t="shared" ca="1" si="125"/>
        <v>#N/A</v>
      </c>
      <c r="AB526" t="e">
        <f t="shared" ca="1" si="126"/>
        <v>#N/A</v>
      </c>
      <c r="AC526" t="e">
        <f t="shared" ca="1" si="127"/>
        <v>#N/A</v>
      </c>
      <c r="AD526" s="83" t="e">
        <f ca="1"/>
        <v>#N/A</v>
      </c>
      <c r="AE526" s="55" t="e">
        <f t="shared" ca="1" si="128"/>
        <v>#N/A</v>
      </c>
      <c r="AF526" s="55" t="e">
        <f t="shared" ca="1" si="129"/>
        <v>#N/A</v>
      </c>
      <c r="AG526" s="55" t="e">
        <f t="shared" ca="1" si="130"/>
        <v>#N/A</v>
      </c>
      <c r="AH526" s="55" t="e">
        <f t="shared" ca="1" si="131"/>
        <v>#N/A</v>
      </c>
      <c r="AI526" s="55" t="e">
        <f ca="1">-VLOOKUP(AE526,ModelOutputs,9,FALSE)+AI525</f>
        <v>#N/A</v>
      </c>
      <c r="AJ526" s="55" t="e">
        <f ca="1">VLOOKUP(AE526,ModelOutputs,5,FALSE)+AJ525</f>
        <v>#N/A</v>
      </c>
      <c r="AK526" s="55" t="e">
        <f ca="1">VLOOKUP(AE526,ModelOutputs,4,FALSE)+AK525</f>
        <v>#N/A</v>
      </c>
    </row>
    <row r="527" spans="18:37">
      <c r="R527" s="55" t="e">
        <f ca="1"/>
        <v>#N/A</v>
      </c>
      <c r="S527" s="55" t="e">
        <f t="shared" ca="1" si="121"/>
        <v>#N/A</v>
      </c>
      <c r="T527" s="55" t="e">
        <f t="shared" ca="1" si="122"/>
        <v>#N/A</v>
      </c>
      <c r="U527" s="55" t="e">
        <f t="shared" ca="1" si="123"/>
        <v>#N/A</v>
      </c>
      <c r="V527" s="55" t="e">
        <f t="shared" ca="1" si="124"/>
        <v>#N/A</v>
      </c>
      <c r="W527" s="55" t="e">
        <f t="shared" ca="1" si="118"/>
        <v>#N/A</v>
      </c>
      <c r="X527" s="55" t="e">
        <f t="shared" ca="1" si="119"/>
        <v>#N/A</v>
      </c>
      <c r="Y527" s="55" t="e">
        <f t="shared" ca="1" si="120"/>
        <v>#N/A</v>
      </c>
      <c r="Z527" t="e">
        <f ca="1">VLOOKUP(S527,ModelOutputs,10,FALSE)*AWC</f>
        <v>#N/A</v>
      </c>
      <c r="AA527" t="e">
        <f t="shared" ca="1" si="125"/>
        <v>#N/A</v>
      </c>
      <c r="AB527" t="e">
        <f t="shared" ca="1" si="126"/>
        <v>#N/A</v>
      </c>
      <c r="AC527" t="e">
        <f t="shared" ca="1" si="127"/>
        <v>#N/A</v>
      </c>
      <c r="AD527" s="83" t="e">
        <f ca="1"/>
        <v>#N/A</v>
      </c>
      <c r="AE527" s="55" t="e">
        <f t="shared" ca="1" si="128"/>
        <v>#N/A</v>
      </c>
      <c r="AF527" s="55" t="e">
        <f t="shared" ca="1" si="129"/>
        <v>#N/A</v>
      </c>
      <c r="AG527" s="55" t="e">
        <f t="shared" ca="1" si="130"/>
        <v>#N/A</v>
      </c>
      <c r="AH527" s="55" t="e">
        <f t="shared" ca="1" si="131"/>
        <v>#N/A</v>
      </c>
      <c r="AI527" s="55" t="e">
        <f ca="1">-VLOOKUP(AE527,ModelOutputs,9,FALSE)+AI526</f>
        <v>#N/A</v>
      </c>
      <c r="AJ527" s="55" t="e">
        <f ca="1">VLOOKUP(AE527,ModelOutputs,5,FALSE)+AJ526</f>
        <v>#N/A</v>
      </c>
      <c r="AK527" s="55" t="e">
        <f ca="1">VLOOKUP(AE527,ModelOutputs,4,FALSE)+AK526</f>
        <v>#N/A</v>
      </c>
    </row>
    <row r="528" spans="18:37">
      <c r="R528" s="55" t="e">
        <f ca="1"/>
        <v>#N/A</v>
      </c>
      <c r="S528" s="55" t="e">
        <f t="shared" ca="1" si="121"/>
        <v>#N/A</v>
      </c>
      <c r="T528" s="55" t="e">
        <f t="shared" ca="1" si="122"/>
        <v>#N/A</v>
      </c>
      <c r="U528" s="55" t="e">
        <f t="shared" ca="1" si="123"/>
        <v>#N/A</v>
      </c>
      <c r="V528" s="55" t="e">
        <f t="shared" ca="1" si="124"/>
        <v>#N/A</v>
      </c>
      <c r="W528" s="55" t="e">
        <f t="shared" ca="1" si="118"/>
        <v>#N/A</v>
      </c>
      <c r="X528" s="55" t="e">
        <f t="shared" ca="1" si="119"/>
        <v>#N/A</v>
      </c>
      <c r="Y528" s="55" t="e">
        <f t="shared" ca="1" si="120"/>
        <v>#N/A</v>
      </c>
      <c r="Z528" t="e">
        <f ca="1">VLOOKUP(S528,ModelOutputs,10,FALSE)*AWC</f>
        <v>#N/A</v>
      </c>
      <c r="AA528" t="e">
        <f t="shared" ca="1" si="125"/>
        <v>#N/A</v>
      </c>
      <c r="AB528" t="e">
        <f t="shared" ca="1" si="126"/>
        <v>#N/A</v>
      </c>
      <c r="AC528" t="e">
        <f t="shared" ca="1" si="127"/>
        <v>#N/A</v>
      </c>
      <c r="AD528" s="83" t="e">
        <f ca="1"/>
        <v>#N/A</v>
      </c>
      <c r="AE528" s="55" t="e">
        <f t="shared" ca="1" si="128"/>
        <v>#N/A</v>
      </c>
      <c r="AF528" s="55" t="e">
        <f t="shared" ca="1" si="129"/>
        <v>#N/A</v>
      </c>
      <c r="AG528" s="55" t="e">
        <f t="shared" ca="1" si="130"/>
        <v>#N/A</v>
      </c>
      <c r="AH528" s="55" t="e">
        <f t="shared" ca="1" si="131"/>
        <v>#N/A</v>
      </c>
      <c r="AI528" s="55" t="e">
        <f ca="1">-VLOOKUP(AE528,ModelOutputs,9,FALSE)+AI527</f>
        <v>#N/A</v>
      </c>
      <c r="AJ528" s="55" t="e">
        <f ca="1">VLOOKUP(AE528,ModelOutputs,5,FALSE)+AJ527</f>
        <v>#N/A</v>
      </c>
      <c r="AK528" s="55" t="e">
        <f ca="1">VLOOKUP(AE528,ModelOutputs,4,FALSE)+AK527</f>
        <v>#N/A</v>
      </c>
    </row>
    <row r="529" spans="18:37">
      <c r="R529" s="55" t="e">
        <f ca="1"/>
        <v>#N/A</v>
      </c>
      <c r="S529" s="55" t="e">
        <f t="shared" ca="1" si="121"/>
        <v>#N/A</v>
      </c>
      <c r="T529" s="55" t="e">
        <f t="shared" ca="1" si="122"/>
        <v>#N/A</v>
      </c>
      <c r="U529" s="55" t="e">
        <f t="shared" ca="1" si="123"/>
        <v>#N/A</v>
      </c>
      <c r="V529" s="55" t="e">
        <f t="shared" ca="1" si="124"/>
        <v>#N/A</v>
      </c>
      <c r="W529" s="55" t="e">
        <f t="shared" ca="1" si="118"/>
        <v>#N/A</v>
      </c>
      <c r="X529" s="55" t="e">
        <f t="shared" ca="1" si="119"/>
        <v>#N/A</v>
      </c>
      <c r="Y529" s="55" t="e">
        <f t="shared" ca="1" si="120"/>
        <v>#N/A</v>
      </c>
      <c r="Z529" t="e">
        <f ca="1">VLOOKUP(S529,ModelOutputs,10,FALSE)*AWC</f>
        <v>#N/A</v>
      </c>
      <c r="AA529" t="e">
        <f t="shared" ca="1" si="125"/>
        <v>#N/A</v>
      </c>
      <c r="AB529" t="e">
        <f t="shared" ca="1" si="126"/>
        <v>#N/A</v>
      </c>
      <c r="AC529" t="e">
        <f t="shared" ca="1" si="127"/>
        <v>#N/A</v>
      </c>
      <c r="AD529" s="83" t="e">
        <f ca="1"/>
        <v>#N/A</v>
      </c>
      <c r="AE529" s="55" t="e">
        <f t="shared" ca="1" si="128"/>
        <v>#N/A</v>
      </c>
      <c r="AF529" s="55" t="e">
        <f t="shared" ca="1" si="129"/>
        <v>#N/A</v>
      </c>
      <c r="AG529" s="55" t="e">
        <f t="shared" ca="1" si="130"/>
        <v>#N/A</v>
      </c>
      <c r="AH529" s="55" t="e">
        <f t="shared" ca="1" si="131"/>
        <v>#N/A</v>
      </c>
      <c r="AI529" s="55" t="e">
        <f ca="1">-VLOOKUP(AE529,ModelOutputs,9,FALSE)+AI528</f>
        <v>#N/A</v>
      </c>
      <c r="AJ529" s="55" t="e">
        <f ca="1">VLOOKUP(AE529,ModelOutputs,5,FALSE)+AJ528</f>
        <v>#N/A</v>
      </c>
      <c r="AK529" s="55" t="e">
        <f ca="1">VLOOKUP(AE529,ModelOutputs,4,FALSE)+AK528</f>
        <v>#N/A</v>
      </c>
    </row>
    <row r="530" spans="18:37">
      <c r="R530" s="55" t="e">
        <f ca="1"/>
        <v>#N/A</v>
      </c>
      <c r="S530" s="55" t="e">
        <f t="shared" ca="1" si="121"/>
        <v>#N/A</v>
      </c>
      <c r="T530" s="55" t="e">
        <f t="shared" ca="1" si="122"/>
        <v>#N/A</v>
      </c>
      <c r="U530" s="55" t="e">
        <f t="shared" ca="1" si="123"/>
        <v>#N/A</v>
      </c>
      <c r="V530" s="55" t="e">
        <f t="shared" ca="1" si="124"/>
        <v>#N/A</v>
      </c>
      <c r="W530" s="55" t="e">
        <f t="shared" ca="1" si="118"/>
        <v>#N/A</v>
      </c>
      <c r="X530" s="55" t="e">
        <f t="shared" ca="1" si="119"/>
        <v>#N/A</v>
      </c>
      <c r="Y530" s="55" t="e">
        <f t="shared" ca="1" si="120"/>
        <v>#N/A</v>
      </c>
      <c r="Z530" t="e">
        <f ca="1">VLOOKUP(S530,ModelOutputs,10,FALSE)*AWC</f>
        <v>#N/A</v>
      </c>
      <c r="AA530" t="e">
        <f t="shared" ca="1" si="125"/>
        <v>#N/A</v>
      </c>
      <c r="AB530" t="e">
        <f t="shared" ca="1" si="126"/>
        <v>#N/A</v>
      </c>
      <c r="AC530" t="e">
        <f t="shared" ca="1" si="127"/>
        <v>#N/A</v>
      </c>
      <c r="AD530" s="83" t="e">
        <f ca="1"/>
        <v>#N/A</v>
      </c>
      <c r="AE530" s="55" t="e">
        <f t="shared" ca="1" si="128"/>
        <v>#N/A</v>
      </c>
      <c r="AF530" s="55" t="e">
        <f t="shared" ca="1" si="129"/>
        <v>#N/A</v>
      </c>
      <c r="AG530" s="55" t="e">
        <f t="shared" ca="1" si="130"/>
        <v>#N/A</v>
      </c>
      <c r="AH530" s="55" t="e">
        <f t="shared" ca="1" si="131"/>
        <v>#N/A</v>
      </c>
      <c r="AI530" s="55" t="e">
        <f ca="1">-VLOOKUP(AE530,ModelOutputs,9,FALSE)+AI529</f>
        <v>#N/A</v>
      </c>
      <c r="AJ530" s="55" t="e">
        <f ca="1">VLOOKUP(AE530,ModelOutputs,5,FALSE)+AJ529</f>
        <v>#N/A</v>
      </c>
      <c r="AK530" s="55" t="e">
        <f ca="1">VLOOKUP(AE530,ModelOutputs,4,FALSE)+AK529</f>
        <v>#N/A</v>
      </c>
    </row>
    <row r="531" spans="18:37">
      <c r="R531" s="55" t="e">
        <f ca="1"/>
        <v>#N/A</v>
      </c>
      <c r="S531" s="55" t="e">
        <f t="shared" ca="1" si="121"/>
        <v>#N/A</v>
      </c>
      <c r="T531" s="55" t="e">
        <f t="shared" ca="1" si="122"/>
        <v>#N/A</v>
      </c>
      <c r="U531" s="55" t="e">
        <f t="shared" ca="1" si="123"/>
        <v>#N/A</v>
      </c>
      <c r="V531" s="55" t="e">
        <f t="shared" ca="1" si="124"/>
        <v>#N/A</v>
      </c>
      <c r="W531" s="55" t="e">
        <f t="shared" ref="W531:W594" ca="1" si="132">-VLOOKUP(S531,ModelOutputs,9,FALSE)+W530</f>
        <v>#N/A</v>
      </c>
      <c r="X531" s="55" t="e">
        <f t="shared" ref="X531:X594" ca="1" si="133">VLOOKUP(S531,ModelOutputs,5,FALSE)+X530</f>
        <v>#N/A</v>
      </c>
      <c r="Y531" s="55" t="e">
        <f t="shared" ref="Y531:Y594" ca="1" si="134">VLOOKUP(S531,ModelOutputs,4,FALSE)+Y530</f>
        <v>#N/A</v>
      </c>
      <c r="Z531" t="e">
        <f ca="1">VLOOKUP(S531,ModelOutputs,10,FALSE)*AWC</f>
        <v>#N/A</v>
      </c>
      <c r="AA531" t="e">
        <f t="shared" ca="1" si="125"/>
        <v>#N/A</v>
      </c>
      <c r="AB531" t="e">
        <f t="shared" ca="1" si="126"/>
        <v>#N/A</v>
      </c>
      <c r="AC531" t="e">
        <f t="shared" ca="1" si="127"/>
        <v>#N/A</v>
      </c>
      <c r="AD531" s="83" t="e">
        <f ca="1"/>
        <v>#N/A</v>
      </c>
      <c r="AE531" s="55" t="e">
        <f t="shared" ca="1" si="128"/>
        <v>#N/A</v>
      </c>
      <c r="AF531" s="55" t="e">
        <f t="shared" ca="1" si="129"/>
        <v>#N/A</v>
      </c>
      <c r="AG531" s="55" t="e">
        <f t="shared" ca="1" si="130"/>
        <v>#N/A</v>
      </c>
      <c r="AH531" s="55" t="e">
        <f t="shared" ca="1" si="131"/>
        <v>#N/A</v>
      </c>
      <c r="AI531" s="55" t="e">
        <f ca="1">-VLOOKUP(AE531,ModelOutputs,9,FALSE)+AI530</f>
        <v>#N/A</v>
      </c>
      <c r="AJ531" s="55" t="e">
        <f ca="1">VLOOKUP(AE531,ModelOutputs,5,FALSE)+AJ530</f>
        <v>#N/A</v>
      </c>
      <c r="AK531" s="55" t="e">
        <f ca="1">VLOOKUP(AE531,ModelOutputs,4,FALSE)+AK530</f>
        <v>#N/A</v>
      </c>
    </row>
    <row r="532" spans="18:37">
      <c r="R532" s="55" t="e">
        <f ca="1"/>
        <v>#N/A</v>
      </c>
      <c r="S532" s="55" t="e">
        <f t="shared" ca="1" si="121"/>
        <v>#N/A</v>
      </c>
      <c r="T532" s="55" t="e">
        <f t="shared" ca="1" si="122"/>
        <v>#N/A</v>
      </c>
      <c r="U532" s="55" t="e">
        <f t="shared" ca="1" si="123"/>
        <v>#N/A</v>
      </c>
      <c r="V532" s="55" t="e">
        <f t="shared" ca="1" si="124"/>
        <v>#N/A</v>
      </c>
      <c r="W532" s="55" t="e">
        <f t="shared" ca="1" si="132"/>
        <v>#N/A</v>
      </c>
      <c r="X532" s="55" t="e">
        <f t="shared" ca="1" si="133"/>
        <v>#N/A</v>
      </c>
      <c r="Y532" s="55" t="e">
        <f t="shared" ca="1" si="134"/>
        <v>#N/A</v>
      </c>
      <c r="Z532" t="e">
        <f ca="1">VLOOKUP(S532,ModelOutputs,10,FALSE)*AWC</f>
        <v>#N/A</v>
      </c>
      <c r="AA532" t="e">
        <f t="shared" ca="1" si="125"/>
        <v>#N/A</v>
      </c>
      <c r="AB532" t="e">
        <f t="shared" ca="1" si="126"/>
        <v>#N/A</v>
      </c>
      <c r="AC532" t="e">
        <f t="shared" ca="1" si="127"/>
        <v>#N/A</v>
      </c>
      <c r="AD532" s="83" t="e">
        <f ca="1"/>
        <v>#N/A</v>
      </c>
      <c r="AE532" s="55" t="e">
        <f t="shared" ca="1" si="128"/>
        <v>#N/A</v>
      </c>
      <c r="AF532" s="55" t="e">
        <f t="shared" ca="1" si="129"/>
        <v>#N/A</v>
      </c>
      <c r="AG532" s="55" t="e">
        <f t="shared" ca="1" si="130"/>
        <v>#N/A</v>
      </c>
      <c r="AH532" s="55" t="e">
        <f t="shared" ca="1" si="131"/>
        <v>#N/A</v>
      </c>
      <c r="AI532" s="55" t="e">
        <f ca="1">-VLOOKUP(AE532,ModelOutputs,9,FALSE)+AI531</f>
        <v>#N/A</v>
      </c>
      <c r="AJ532" s="55" t="e">
        <f ca="1">VLOOKUP(AE532,ModelOutputs,5,FALSE)+AJ531</f>
        <v>#N/A</v>
      </c>
      <c r="AK532" s="55" t="e">
        <f ca="1">VLOOKUP(AE532,ModelOutputs,4,FALSE)+AK531</f>
        <v>#N/A</v>
      </c>
    </row>
    <row r="533" spans="18:37">
      <c r="R533" s="55" t="e">
        <f ca="1"/>
        <v>#N/A</v>
      </c>
      <c r="S533" s="55" t="e">
        <f t="shared" ca="1" si="121"/>
        <v>#N/A</v>
      </c>
      <c r="T533" s="55" t="e">
        <f t="shared" ca="1" si="122"/>
        <v>#N/A</v>
      </c>
      <c r="U533" s="55" t="e">
        <f t="shared" ca="1" si="123"/>
        <v>#N/A</v>
      </c>
      <c r="V533" s="55" t="e">
        <f t="shared" ca="1" si="124"/>
        <v>#N/A</v>
      </c>
      <c r="W533" s="55" t="e">
        <f t="shared" ca="1" si="132"/>
        <v>#N/A</v>
      </c>
      <c r="X533" s="55" t="e">
        <f t="shared" ca="1" si="133"/>
        <v>#N/A</v>
      </c>
      <c r="Y533" s="55" t="e">
        <f t="shared" ca="1" si="134"/>
        <v>#N/A</v>
      </c>
      <c r="Z533" t="e">
        <f ca="1">VLOOKUP(S533,ModelOutputs,10,FALSE)*AWC</f>
        <v>#N/A</v>
      </c>
      <c r="AA533" t="e">
        <f t="shared" ca="1" si="125"/>
        <v>#N/A</v>
      </c>
      <c r="AB533" t="e">
        <f t="shared" ca="1" si="126"/>
        <v>#N/A</v>
      </c>
      <c r="AC533" t="e">
        <f t="shared" ca="1" si="127"/>
        <v>#N/A</v>
      </c>
      <c r="AD533" s="83" t="e">
        <f ca="1"/>
        <v>#N/A</v>
      </c>
      <c r="AE533" s="55" t="e">
        <f t="shared" ca="1" si="128"/>
        <v>#N/A</v>
      </c>
      <c r="AF533" s="55" t="e">
        <f t="shared" ca="1" si="129"/>
        <v>#N/A</v>
      </c>
      <c r="AG533" s="55" t="e">
        <f t="shared" ca="1" si="130"/>
        <v>#N/A</v>
      </c>
      <c r="AH533" s="55" t="e">
        <f t="shared" ca="1" si="131"/>
        <v>#N/A</v>
      </c>
      <c r="AI533" s="55" t="e">
        <f ca="1">-VLOOKUP(AE533,ModelOutputs,9,FALSE)+AI532</f>
        <v>#N/A</v>
      </c>
      <c r="AJ533" s="55" t="e">
        <f ca="1">VLOOKUP(AE533,ModelOutputs,5,FALSE)+AJ532</f>
        <v>#N/A</v>
      </c>
      <c r="AK533" s="55" t="e">
        <f ca="1">VLOOKUP(AE533,ModelOutputs,4,FALSE)+AK532</f>
        <v>#N/A</v>
      </c>
    </row>
    <row r="534" spans="18:37">
      <c r="R534" s="55" t="e">
        <f ca="1"/>
        <v>#N/A</v>
      </c>
      <c r="S534" s="55" t="e">
        <f t="shared" ca="1" si="121"/>
        <v>#N/A</v>
      </c>
      <c r="T534" s="55" t="e">
        <f t="shared" ca="1" si="122"/>
        <v>#N/A</v>
      </c>
      <c r="U534" s="55" t="e">
        <f t="shared" ca="1" si="123"/>
        <v>#N/A</v>
      </c>
      <c r="V534" s="55" t="e">
        <f t="shared" ca="1" si="124"/>
        <v>#N/A</v>
      </c>
      <c r="W534" s="55" t="e">
        <f t="shared" ca="1" si="132"/>
        <v>#N/A</v>
      </c>
      <c r="X534" s="55" t="e">
        <f t="shared" ca="1" si="133"/>
        <v>#N/A</v>
      </c>
      <c r="Y534" s="55" t="e">
        <f t="shared" ca="1" si="134"/>
        <v>#N/A</v>
      </c>
      <c r="Z534" t="e">
        <f ca="1">VLOOKUP(S534,ModelOutputs,10,FALSE)*AWC</f>
        <v>#N/A</v>
      </c>
      <c r="AA534" t="e">
        <f t="shared" ca="1" si="125"/>
        <v>#N/A</v>
      </c>
      <c r="AB534" t="e">
        <f t="shared" ca="1" si="126"/>
        <v>#N/A</v>
      </c>
      <c r="AC534" t="e">
        <f t="shared" ca="1" si="127"/>
        <v>#N/A</v>
      </c>
      <c r="AD534" s="83" t="e">
        <f ca="1"/>
        <v>#N/A</v>
      </c>
      <c r="AE534" s="55" t="e">
        <f t="shared" ca="1" si="128"/>
        <v>#N/A</v>
      </c>
      <c r="AF534" s="55" t="e">
        <f t="shared" ca="1" si="129"/>
        <v>#N/A</v>
      </c>
      <c r="AG534" s="55" t="e">
        <f t="shared" ca="1" si="130"/>
        <v>#N/A</v>
      </c>
      <c r="AH534" s="55" t="e">
        <f t="shared" ca="1" si="131"/>
        <v>#N/A</v>
      </c>
      <c r="AI534" s="55" t="e">
        <f ca="1">-VLOOKUP(AE534,ModelOutputs,9,FALSE)+AI533</f>
        <v>#N/A</v>
      </c>
      <c r="AJ534" s="55" t="e">
        <f ca="1">VLOOKUP(AE534,ModelOutputs,5,FALSE)+AJ533</f>
        <v>#N/A</v>
      </c>
      <c r="AK534" s="55" t="e">
        <f ca="1">VLOOKUP(AE534,ModelOutputs,4,FALSE)+AK533</f>
        <v>#N/A</v>
      </c>
    </row>
    <row r="535" spans="18:37">
      <c r="R535" s="55" t="e">
        <f ca="1"/>
        <v>#N/A</v>
      </c>
      <c r="S535" s="55" t="e">
        <f t="shared" ca="1" si="121"/>
        <v>#N/A</v>
      </c>
      <c r="T535" s="55" t="e">
        <f t="shared" ca="1" si="122"/>
        <v>#N/A</v>
      </c>
      <c r="U535" s="55" t="e">
        <f t="shared" ca="1" si="123"/>
        <v>#N/A</v>
      </c>
      <c r="V535" s="55" t="e">
        <f t="shared" ca="1" si="124"/>
        <v>#N/A</v>
      </c>
      <c r="W535" s="55" t="e">
        <f t="shared" ca="1" si="132"/>
        <v>#N/A</v>
      </c>
      <c r="X535" s="55" t="e">
        <f t="shared" ca="1" si="133"/>
        <v>#N/A</v>
      </c>
      <c r="Y535" s="55" t="e">
        <f t="shared" ca="1" si="134"/>
        <v>#N/A</v>
      </c>
      <c r="Z535" t="e">
        <f ca="1">VLOOKUP(S535,ModelOutputs,10,FALSE)*AWC</f>
        <v>#N/A</v>
      </c>
      <c r="AA535" t="e">
        <f t="shared" ca="1" si="125"/>
        <v>#N/A</v>
      </c>
      <c r="AB535" t="e">
        <f t="shared" ca="1" si="126"/>
        <v>#N/A</v>
      </c>
      <c r="AC535" t="e">
        <f t="shared" ca="1" si="127"/>
        <v>#N/A</v>
      </c>
      <c r="AD535" s="83" t="e">
        <f ca="1"/>
        <v>#N/A</v>
      </c>
      <c r="AE535" s="55" t="e">
        <f t="shared" ca="1" si="128"/>
        <v>#N/A</v>
      </c>
      <c r="AF535" s="55" t="e">
        <f t="shared" ca="1" si="129"/>
        <v>#N/A</v>
      </c>
      <c r="AG535" s="55" t="e">
        <f t="shared" ca="1" si="130"/>
        <v>#N/A</v>
      </c>
      <c r="AH535" s="55" t="e">
        <f t="shared" ca="1" si="131"/>
        <v>#N/A</v>
      </c>
      <c r="AI535" s="55" t="e">
        <f ca="1">-VLOOKUP(AE535,ModelOutputs,9,FALSE)+AI534</f>
        <v>#N/A</v>
      </c>
      <c r="AJ535" s="55" t="e">
        <f ca="1">VLOOKUP(AE535,ModelOutputs,5,FALSE)+AJ534</f>
        <v>#N/A</v>
      </c>
      <c r="AK535" s="55" t="e">
        <f ca="1">VLOOKUP(AE535,ModelOutputs,4,FALSE)+AK534</f>
        <v>#N/A</v>
      </c>
    </row>
    <row r="536" spans="18:37">
      <c r="R536" s="55" t="e">
        <f ca="1"/>
        <v>#N/A</v>
      </c>
      <c r="S536" s="55" t="e">
        <f t="shared" ca="1" si="121"/>
        <v>#N/A</v>
      </c>
      <c r="T536" s="55" t="e">
        <f t="shared" ca="1" si="122"/>
        <v>#N/A</v>
      </c>
      <c r="U536" s="55" t="e">
        <f t="shared" ca="1" si="123"/>
        <v>#N/A</v>
      </c>
      <c r="V536" s="55" t="e">
        <f t="shared" ca="1" si="124"/>
        <v>#N/A</v>
      </c>
      <c r="W536" s="55" t="e">
        <f t="shared" ca="1" si="132"/>
        <v>#N/A</v>
      </c>
      <c r="X536" s="55" t="e">
        <f t="shared" ca="1" si="133"/>
        <v>#N/A</v>
      </c>
      <c r="Y536" s="55" t="e">
        <f t="shared" ca="1" si="134"/>
        <v>#N/A</v>
      </c>
      <c r="Z536" t="e">
        <f ca="1">VLOOKUP(S536,ModelOutputs,10,FALSE)*AWC</f>
        <v>#N/A</v>
      </c>
      <c r="AA536" t="e">
        <f t="shared" ca="1" si="125"/>
        <v>#N/A</v>
      </c>
      <c r="AB536" t="e">
        <f t="shared" ca="1" si="126"/>
        <v>#N/A</v>
      </c>
      <c r="AC536" t="e">
        <f t="shared" ca="1" si="127"/>
        <v>#N/A</v>
      </c>
      <c r="AD536" s="83" t="e">
        <f ca="1"/>
        <v>#N/A</v>
      </c>
      <c r="AE536" s="55" t="e">
        <f t="shared" ca="1" si="128"/>
        <v>#N/A</v>
      </c>
      <c r="AF536" s="55" t="e">
        <f t="shared" ca="1" si="129"/>
        <v>#N/A</v>
      </c>
      <c r="AG536" s="55" t="e">
        <f t="shared" ca="1" si="130"/>
        <v>#N/A</v>
      </c>
      <c r="AH536" s="55" t="e">
        <f t="shared" ca="1" si="131"/>
        <v>#N/A</v>
      </c>
      <c r="AI536" s="55" t="e">
        <f ca="1">-VLOOKUP(AE536,ModelOutputs,9,FALSE)+AI535</f>
        <v>#N/A</v>
      </c>
      <c r="AJ536" s="55" t="e">
        <f ca="1">VLOOKUP(AE536,ModelOutputs,5,FALSE)+AJ535</f>
        <v>#N/A</v>
      </c>
      <c r="AK536" s="55" t="e">
        <f ca="1">VLOOKUP(AE536,ModelOutputs,4,FALSE)+AK535</f>
        <v>#N/A</v>
      </c>
    </row>
    <row r="537" spans="18:37">
      <c r="R537" s="55" t="e">
        <f ca="1"/>
        <v>#N/A</v>
      </c>
      <c r="S537" s="55" t="e">
        <f t="shared" ca="1" si="121"/>
        <v>#N/A</v>
      </c>
      <c r="T537" s="55" t="e">
        <f t="shared" ca="1" si="122"/>
        <v>#N/A</v>
      </c>
      <c r="U537" s="55" t="e">
        <f t="shared" ca="1" si="123"/>
        <v>#N/A</v>
      </c>
      <c r="V537" s="55" t="e">
        <f t="shared" ca="1" si="124"/>
        <v>#N/A</v>
      </c>
      <c r="W537" s="55" t="e">
        <f t="shared" ca="1" si="132"/>
        <v>#N/A</v>
      </c>
      <c r="X537" s="55" t="e">
        <f t="shared" ca="1" si="133"/>
        <v>#N/A</v>
      </c>
      <c r="Y537" s="55" t="e">
        <f t="shared" ca="1" si="134"/>
        <v>#N/A</v>
      </c>
      <c r="Z537" t="e">
        <f ca="1">VLOOKUP(S537,ModelOutputs,10,FALSE)*AWC</f>
        <v>#N/A</v>
      </c>
      <c r="AA537" t="e">
        <f t="shared" ca="1" si="125"/>
        <v>#N/A</v>
      </c>
      <c r="AB537" t="e">
        <f t="shared" ca="1" si="126"/>
        <v>#N/A</v>
      </c>
      <c r="AC537" t="e">
        <f t="shared" ca="1" si="127"/>
        <v>#N/A</v>
      </c>
      <c r="AD537" s="83" t="e">
        <f ca="1"/>
        <v>#N/A</v>
      </c>
      <c r="AE537" s="55" t="e">
        <f t="shared" ca="1" si="128"/>
        <v>#N/A</v>
      </c>
      <c r="AF537" s="55" t="e">
        <f t="shared" ca="1" si="129"/>
        <v>#N/A</v>
      </c>
      <c r="AG537" s="55" t="e">
        <f t="shared" ca="1" si="130"/>
        <v>#N/A</v>
      </c>
      <c r="AH537" s="55" t="e">
        <f t="shared" ca="1" si="131"/>
        <v>#N/A</v>
      </c>
      <c r="AI537" s="55" t="e">
        <f ca="1">-VLOOKUP(AE537,ModelOutputs,9,FALSE)+AI536</f>
        <v>#N/A</v>
      </c>
      <c r="AJ537" s="55" t="e">
        <f ca="1">VLOOKUP(AE537,ModelOutputs,5,FALSE)+AJ536</f>
        <v>#N/A</v>
      </c>
      <c r="AK537" s="55" t="e">
        <f ca="1">VLOOKUP(AE537,ModelOutputs,4,FALSE)+AK536</f>
        <v>#N/A</v>
      </c>
    </row>
    <row r="538" spans="18:37">
      <c r="R538" s="55" t="e">
        <f ca="1"/>
        <v>#N/A</v>
      </c>
      <c r="S538" s="55" t="e">
        <f t="shared" ca="1" si="121"/>
        <v>#N/A</v>
      </c>
      <c r="T538" s="55" t="e">
        <f t="shared" ca="1" si="122"/>
        <v>#N/A</v>
      </c>
      <c r="U538" s="55" t="e">
        <f t="shared" ca="1" si="123"/>
        <v>#N/A</v>
      </c>
      <c r="V538" s="55" t="e">
        <f t="shared" ca="1" si="124"/>
        <v>#N/A</v>
      </c>
      <c r="W538" s="55" t="e">
        <f t="shared" ca="1" si="132"/>
        <v>#N/A</v>
      </c>
      <c r="X538" s="55" t="e">
        <f t="shared" ca="1" si="133"/>
        <v>#N/A</v>
      </c>
      <c r="Y538" s="55" t="e">
        <f t="shared" ca="1" si="134"/>
        <v>#N/A</v>
      </c>
      <c r="Z538" t="e">
        <f ca="1">VLOOKUP(S538,ModelOutputs,10,FALSE)*AWC</f>
        <v>#N/A</v>
      </c>
      <c r="AA538" t="e">
        <f t="shared" ca="1" si="125"/>
        <v>#N/A</v>
      </c>
      <c r="AB538" t="e">
        <f t="shared" ca="1" si="126"/>
        <v>#N/A</v>
      </c>
      <c r="AC538" t="e">
        <f t="shared" ca="1" si="127"/>
        <v>#N/A</v>
      </c>
      <c r="AD538" s="83" t="e">
        <f ca="1"/>
        <v>#N/A</v>
      </c>
      <c r="AE538" s="55" t="e">
        <f t="shared" ca="1" si="128"/>
        <v>#N/A</v>
      </c>
      <c r="AF538" s="55" t="e">
        <f t="shared" ca="1" si="129"/>
        <v>#N/A</v>
      </c>
      <c r="AG538" s="55" t="e">
        <f t="shared" ca="1" si="130"/>
        <v>#N/A</v>
      </c>
      <c r="AH538" s="55" t="e">
        <f t="shared" ca="1" si="131"/>
        <v>#N/A</v>
      </c>
      <c r="AI538" s="55" t="e">
        <f ca="1">-VLOOKUP(AE538,ModelOutputs,9,FALSE)+AI537</f>
        <v>#N/A</v>
      </c>
      <c r="AJ538" s="55" t="e">
        <f ca="1">VLOOKUP(AE538,ModelOutputs,5,FALSE)+AJ537</f>
        <v>#N/A</v>
      </c>
      <c r="AK538" s="55" t="e">
        <f ca="1">VLOOKUP(AE538,ModelOutputs,4,FALSE)+AK537</f>
        <v>#N/A</v>
      </c>
    </row>
    <row r="539" spans="18:37">
      <c r="R539" s="55" t="e">
        <f ca="1"/>
        <v>#N/A</v>
      </c>
      <c r="S539" s="55" t="e">
        <f t="shared" ca="1" si="121"/>
        <v>#N/A</v>
      </c>
      <c r="T539" s="55" t="e">
        <f t="shared" ca="1" si="122"/>
        <v>#N/A</v>
      </c>
      <c r="U539" s="55" t="e">
        <f t="shared" ca="1" si="123"/>
        <v>#N/A</v>
      </c>
      <c r="V539" s="55" t="e">
        <f t="shared" ca="1" si="124"/>
        <v>#N/A</v>
      </c>
      <c r="W539" s="55" t="e">
        <f t="shared" ca="1" si="132"/>
        <v>#N/A</v>
      </c>
      <c r="X539" s="55" t="e">
        <f t="shared" ca="1" si="133"/>
        <v>#N/A</v>
      </c>
      <c r="Y539" s="55" t="e">
        <f t="shared" ca="1" si="134"/>
        <v>#N/A</v>
      </c>
      <c r="Z539" t="e">
        <f ca="1">VLOOKUP(S539,ModelOutputs,10,FALSE)*AWC</f>
        <v>#N/A</v>
      </c>
      <c r="AA539" t="e">
        <f t="shared" ca="1" si="125"/>
        <v>#N/A</v>
      </c>
      <c r="AB539" t="e">
        <f t="shared" ca="1" si="126"/>
        <v>#N/A</v>
      </c>
      <c r="AC539" t="e">
        <f t="shared" ca="1" si="127"/>
        <v>#N/A</v>
      </c>
      <c r="AD539" s="83" t="e">
        <f ca="1"/>
        <v>#N/A</v>
      </c>
      <c r="AE539" s="55" t="e">
        <f t="shared" ca="1" si="128"/>
        <v>#N/A</v>
      </c>
      <c r="AF539" s="55" t="e">
        <f t="shared" ca="1" si="129"/>
        <v>#N/A</v>
      </c>
      <c r="AG539" s="55" t="e">
        <f t="shared" ca="1" si="130"/>
        <v>#N/A</v>
      </c>
      <c r="AH539" s="55" t="e">
        <f t="shared" ca="1" si="131"/>
        <v>#N/A</v>
      </c>
      <c r="AI539" s="55" t="e">
        <f ca="1">-VLOOKUP(AE539,ModelOutputs,9,FALSE)+AI538</f>
        <v>#N/A</v>
      </c>
      <c r="AJ539" s="55" t="e">
        <f ca="1">VLOOKUP(AE539,ModelOutputs,5,FALSE)+AJ538</f>
        <v>#N/A</v>
      </c>
      <c r="AK539" s="55" t="e">
        <f ca="1">VLOOKUP(AE539,ModelOutputs,4,FALSE)+AK538</f>
        <v>#N/A</v>
      </c>
    </row>
    <row r="540" spans="18:37">
      <c r="R540" s="55" t="e">
        <f ca="1"/>
        <v>#N/A</v>
      </c>
      <c r="S540" s="55" t="e">
        <f t="shared" ca="1" si="121"/>
        <v>#N/A</v>
      </c>
      <c r="T540" s="55" t="e">
        <f t="shared" ca="1" si="122"/>
        <v>#N/A</v>
      </c>
      <c r="U540" s="55" t="e">
        <f t="shared" ca="1" si="123"/>
        <v>#N/A</v>
      </c>
      <c r="V540" s="55" t="e">
        <f t="shared" ca="1" si="124"/>
        <v>#N/A</v>
      </c>
      <c r="W540" s="55" t="e">
        <f t="shared" ca="1" si="132"/>
        <v>#N/A</v>
      </c>
      <c r="X540" s="55" t="e">
        <f t="shared" ca="1" si="133"/>
        <v>#N/A</v>
      </c>
      <c r="Y540" s="55" t="e">
        <f t="shared" ca="1" si="134"/>
        <v>#N/A</v>
      </c>
      <c r="Z540" t="e">
        <f ca="1">VLOOKUP(S540,ModelOutputs,10,FALSE)*AWC</f>
        <v>#N/A</v>
      </c>
      <c r="AA540" t="e">
        <f t="shared" ca="1" si="125"/>
        <v>#N/A</v>
      </c>
      <c r="AB540" t="e">
        <f t="shared" ca="1" si="126"/>
        <v>#N/A</v>
      </c>
      <c r="AC540" t="e">
        <f t="shared" ca="1" si="127"/>
        <v>#N/A</v>
      </c>
      <c r="AD540" s="83" t="e">
        <f ca="1"/>
        <v>#N/A</v>
      </c>
      <c r="AE540" s="55" t="e">
        <f t="shared" ca="1" si="128"/>
        <v>#N/A</v>
      </c>
      <c r="AF540" s="55" t="e">
        <f t="shared" ca="1" si="129"/>
        <v>#N/A</v>
      </c>
      <c r="AG540" s="55" t="e">
        <f t="shared" ca="1" si="130"/>
        <v>#N/A</v>
      </c>
      <c r="AH540" s="55" t="e">
        <f t="shared" ca="1" si="131"/>
        <v>#N/A</v>
      </c>
      <c r="AI540" s="55" t="e">
        <f ca="1">-VLOOKUP(AE540,ModelOutputs,9,FALSE)+AI539</f>
        <v>#N/A</v>
      </c>
      <c r="AJ540" s="55" t="e">
        <f ca="1">VLOOKUP(AE540,ModelOutputs,5,FALSE)+AJ539</f>
        <v>#N/A</v>
      </c>
      <c r="AK540" s="55" t="e">
        <f ca="1">VLOOKUP(AE540,ModelOutputs,4,FALSE)+AK539</f>
        <v>#N/A</v>
      </c>
    </row>
    <row r="541" spans="18:37">
      <c r="R541" s="55" t="e">
        <f ca="1"/>
        <v>#N/A</v>
      </c>
      <c r="S541" s="55" t="e">
        <f t="shared" ca="1" si="121"/>
        <v>#N/A</v>
      </c>
      <c r="T541" s="55" t="e">
        <f t="shared" ca="1" si="122"/>
        <v>#N/A</v>
      </c>
      <c r="U541" s="55" t="e">
        <f t="shared" ca="1" si="123"/>
        <v>#N/A</v>
      </c>
      <c r="V541" s="55" t="e">
        <f t="shared" ca="1" si="124"/>
        <v>#N/A</v>
      </c>
      <c r="W541" s="55" t="e">
        <f t="shared" ca="1" si="132"/>
        <v>#N/A</v>
      </c>
      <c r="X541" s="55" t="e">
        <f t="shared" ca="1" si="133"/>
        <v>#N/A</v>
      </c>
      <c r="Y541" s="55" t="e">
        <f t="shared" ca="1" si="134"/>
        <v>#N/A</v>
      </c>
      <c r="Z541" t="e">
        <f ca="1">VLOOKUP(S541,ModelOutputs,10,FALSE)*AWC</f>
        <v>#N/A</v>
      </c>
      <c r="AA541" t="e">
        <f t="shared" ca="1" si="125"/>
        <v>#N/A</v>
      </c>
      <c r="AB541" t="e">
        <f t="shared" ca="1" si="126"/>
        <v>#N/A</v>
      </c>
      <c r="AC541" t="e">
        <f t="shared" ca="1" si="127"/>
        <v>#N/A</v>
      </c>
      <c r="AD541" s="83" t="e">
        <f ca="1"/>
        <v>#N/A</v>
      </c>
      <c r="AE541" s="55" t="e">
        <f t="shared" ca="1" si="128"/>
        <v>#N/A</v>
      </c>
      <c r="AF541" s="55" t="e">
        <f t="shared" ca="1" si="129"/>
        <v>#N/A</v>
      </c>
      <c r="AG541" s="55" t="e">
        <f t="shared" ca="1" si="130"/>
        <v>#N/A</v>
      </c>
      <c r="AH541" s="55" t="e">
        <f t="shared" ca="1" si="131"/>
        <v>#N/A</v>
      </c>
      <c r="AI541" s="55" t="e">
        <f ca="1">-VLOOKUP(AE541,ModelOutputs,9,FALSE)+AI540</f>
        <v>#N/A</v>
      </c>
      <c r="AJ541" s="55" t="e">
        <f ca="1">VLOOKUP(AE541,ModelOutputs,5,FALSE)+AJ540</f>
        <v>#N/A</v>
      </c>
      <c r="AK541" s="55" t="e">
        <f ca="1">VLOOKUP(AE541,ModelOutputs,4,FALSE)+AK540</f>
        <v>#N/A</v>
      </c>
    </row>
    <row r="542" spans="18:37">
      <c r="R542" s="55" t="e">
        <f ca="1"/>
        <v>#N/A</v>
      </c>
      <c r="S542" s="55" t="e">
        <f t="shared" ca="1" si="121"/>
        <v>#N/A</v>
      </c>
      <c r="T542" s="55" t="e">
        <f t="shared" ca="1" si="122"/>
        <v>#N/A</v>
      </c>
      <c r="U542" s="55" t="e">
        <f t="shared" ca="1" si="123"/>
        <v>#N/A</v>
      </c>
      <c r="V542" s="55" t="e">
        <f t="shared" ca="1" si="124"/>
        <v>#N/A</v>
      </c>
      <c r="W542" s="55" t="e">
        <f t="shared" ca="1" si="132"/>
        <v>#N/A</v>
      </c>
      <c r="X542" s="55" t="e">
        <f t="shared" ca="1" si="133"/>
        <v>#N/A</v>
      </c>
      <c r="Y542" s="55" t="e">
        <f t="shared" ca="1" si="134"/>
        <v>#N/A</v>
      </c>
      <c r="Z542" t="e">
        <f ca="1">VLOOKUP(S542,ModelOutputs,10,FALSE)*AWC</f>
        <v>#N/A</v>
      </c>
      <c r="AA542" t="e">
        <f t="shared" ca="1" si="125"/>
        <v>#N/A</v>
      </c>
      <c r="AB542" t="e">
        <f t="shared" ca="1" si="126"/>
        <v>#N/A</v>
      </c>
      <c r="AC542" t="e">
        <f t="shared" ca="1" si="127"/>
        <v>#N/A</v>
      </c>
      <c r="AD542" s="83" t="e">
        <f ca="1"/>
        <v>#N/A</v>
      </c>
      <c r="AE542" s="55" t="e">
        <f t="shared" ca="1" si="128"/>
        <v>#N/A</v>
      </c>
      <c r="AF542" s="55" t="e">
        <f t="shared" ca="1" si="129"/>
        <v>#N/A</v>
      </c>
      <c r="AG542" s="55" t="e">
        <f t="shared" ca="1" si="130"/>
        <v>#N/A</v>
      </c>
      <c r="AH542" s="55" t="e">
        <f t="shared" ca="1" si="131"/>
        <v>#N/A</v>
      </c>
      <c r="AI542" s="55" t="e">
        <f ca="1">-VLOOKUP(AE542,ModelOutputs,9,FALSE)+AI541</f>
        <v>#N/A</v>
      </c>
      <c r="AJ542" s="55" t="e">
        <f ca="1">VLOOKUP(AE542,ModelOutputs,5,FALSE)+AJ541</f>
        <v>#N/A</v>
      </c>
      <c r="AK542" s="55" t="e">
        <f ca="1">VLOOKUP(AE542,ModelOutputs,4,FALSE)+AK541</f>
        <v>#N/A</v>
      </c>
    </row>
    <row r="543" spans="18:37">
      <c r="R543" s="55" t="e">
        <f ca="1"/>
        <v>#N/A</v>
      </c>
      <c r="S543" s="55" t="e">
        <f t="shared" ca="1" si="121"/>
        <v>#N/A</v>
      </c>
      <c r="T543" s="55" t="e">
        <f t="shared" ca="1" si="122"/>
        <v>#N/A</v>
      </c>
      <c r="U543" s="55" t="e">
        <f t="shared" ca="1" si="123"/>
        <v>#N/A</v>
      </c>
      <c r="V543" s="55" t="e">
        <f t="shared" ca="1" si="124"/>
        <v>#N/A</v>
      </c>
      <c r="W543" s="55" t="e">
        <f t="shared" ca="1" si="132"/>
        <v>#N/A</v>
      </c>
      <c r="X543" s="55" t="e">
        <f t="shared" ca="1" si="133"/>
        <v>#N/A</v>
      </c>
      <c r="Y543" s="55" t="e">
        <f t="shared" ca="1" si="134"/>
        <v>#N/A</v>
      </c>
      <c r="Z543" t="e">
        <f ca="1">VLOOKUP(S543,ModelOutputs,10,FALSE)*AWC</f>
        <v>#N/A</v>
      </c>
      <c r="AA543" t="e">
        <f t="shared" ca="1" si="125"/>
        <v>#N/A</v>
      </c>
      <c r="AB543" t="e">
        <f t="shared" ca="1" si="126"/>
        <v>#N/A</v>
      </c>
      <c r="AC543" t="e">
        <f t="shared" ca="1" si="127"/>
        <v>#N/A</v>
      </c>
      <c r="AD543" s="83" t="e">
        <f ca="1"/>
        <v>#N/A</v>
      </c>
      <c r="AE543" s="55" t="e">
        <f t="shared" ca="1" si="128"/>
        <v>#N/A</v>
      </c>
      <c r="AF543" s="55" t="e">
        <f t="shared" ca="1" si="129"/>
        <v>#N/A</v>
      </c>
      <c r="AG543" s="55" t="e">
        <f t="shared" ca="1" si="130"/>
        <v>#N/A</v>
      </c>
      <c r="AH543" s="55" t="e">
        <f t="shared" ca="1" si="131"/>
        <v>#N/A</v>
      </c>
      <c r="AI543" s="55" t="e">
        <f ca="1">-VLOOKUP(AE543,ModelOutputs,9,FALSE)+AI542</f>
        <v>#N/A</v>
      </c>
      <c r="AJ543" s="55" t="e">
        <f ca="1">VLOOKUP(AE543,ModelOutputs,5,FALSE)+AJ542</f>
        <v>#N/A</v>
      </c>
      <c r="AK543" s="55" t="e">
        <f ca="1">VLOOKUP(AE543,ModelOutputs,4,FALSE)+AK542</f>
        <v>#N/A</v>
      </c>
    </row>
    <row r="544" spans="18:37">
      <c r="R544" s="55" t="e">
        <f ca="1"/>
        <v>#N/A</v>
      </c>
      <c r="S544" s="55" t="e">
        <f t="shared" ca="1" si="121"/>
        <v>#N/A</v>
      </c>
      <c r="T544" s="55" t="e">
        <f t="shared" ca="1" si="122"/>
        <v>#N/A</v>
      </c>
      <c r="U544" s="55" t="e">
        <f t="shared" ca="1" si="123"/>
        <v>#N/A</v>
      </c>
      <c r="V544" s="55" t="e">
        <f t="shared" ca="1" si="124"/>
        <v>#N/A</v>
      </c>
      <c r="W544" s="55" t="e">
        <f t="shared" ca="1" si="132"/>
        <v>#N/A</v>
      </c>
      <c r="X544" s="55" t="e">
        <f t="shared" ca="1" si="133"/>
        <v>#N/A</v>
      </c>
      <c r="Y544" s="55" t="e">
        <f t="shared" ca="1" si="134"/>
        <v>#N/A</v>
      </c>
      <c r="Z544" t="e">
        <f ca="1">VLOOKUP(S544,ModelOutputs,10,FALSE)*AWC</f>
        <v>#N/A</v>
      </c>
      <c r="AA544" t="e">
        <f t="shared" ca="1" si="125"/>
        <v>#N/A</v>
      </c>
      <c r="AB544" t="e">
        <f t="shared" ca="1" si="126"/>
        <v>#N/A</v>
      </c>
      <c r="AC544" t="e">
        <f t="shared" ca="1" si="127"/>
        <v>#N/A</v>
      </c>
      <c r="AD544" s="83" t="e">
        <f ca="1"/>
        <v>#N/A</v>
      </c>
      <c r="AE544" s="55" t="e">
        <f t="shared" ca="1" si="128"/>
        <v>#N/A</v>
      </c>
      <c r="AF544" s="55" t="e">
        <f t="shared" ca="1" si="129"/>
        <v>#N/A</v>
      </c>
      <c r="AG544" s="55" t="e">
        <f t="shared" ca="1" si="130"/>
        <v>#N/A</v>
      </c>
      <c r="AH544" s="55" t="e">
        <f t="shared" ca="1" si="131"/>
        <v>#N/A</v>
      </c>
      <c r="AI544" s="55" t="e">
        <f ca="1">-VLOOKUP(AE544,ModelOutputs,9,FALSE)+AI543</f>
        <v>#N/A</v>
      </c>
      <c r="AJ544" s="55" t="e">
        <f ca="1">VLOOKUP(AE544,ModelOutputs,5,FALSE)+AJ543</f>
        <v>#N/A</v>
      </c>
      <c r="AK544" s="55" t="e">
        <f ca="1">VLOOKUP(AE544,ModelOutputs,4,FALSE)+AK543</f>
        <v>#N/A</v>
      </c>
    </row>
    <row r="545" spans="18:37">
      <c r="R545" s="55" t="e">
        <f ca="1"/>
        <v>#N/A</v>
      </c>
      <c r="S545" s="55" t="e">
        <f t="shared" ca="1" si="121"/>
        <v>#N/A</v>
      </c>
      <c r="T545" s="55" t="e">
        <f t="shared" ca="1" si="122"/>
        <v>#N/A</v>
      </c>
      <c r="U545" s="55" t="e">
        <f t="shared" ca="1" si="123"/>
        <v>#N/A</v>
      </c>
      <c r="V545" s="55" t="e">
        <f t="shared" ca="1" si="124"/>
        <v>#N/A</v>
      </c>
      <c r="W545" s="55" t="e">
        <f t="shared" ca="1" si="132"/>
        <v>#N/A</v>
      </c>
      <c r="X545" s="55" t="e">
        <f t="shared" ca="1" si="133"/>
        <v>#N/A</v>
      </c>
      <c r="Y545" s="55" t="e">
        <f t="shared" ca="1" si="134"/>
        <v>#N/A</v>
      </c>
      <c r="Z545" t="e">
        <f ca="1">VLOOKUP(S545,ModelOutputs,10,FALSE)*AWC</f>
        <v>#N/A</v>
      </c>
      <c r="AA545" t="e">
        <f t="shared" ca="1" si="125"/>
        <v>#N/A</v>
      </c>
      <c r="AB545" t="e">
        <f t="shared" ca="1" si="126"/>
        <v>#N/A</v>
      </c>
      <c r="AC545" t="e">
        <f t="shared" ca="1" si="127"/>
        <v>#N/A</v>
      </c>
      <c r="AD545" s="83" t="e">
        <f ca="1"/>
        <v>#N/A</v>
      </c>
      <c r="AE545" s="55" t="e">
        <f t="shared" ca="1" si="128"/>
        <v>#N/A</v>
      </c>
      <c r="AF545" s="55" t="e">
        <f t="shared" ca="1" si="129"/>
        <v>#N/A</v>
      </c>
      <c r="AG545" s="55" t="e">
        <f t="shared" ca="1" si="130"/>
        <v>#N/A</v>
      </c>
      <c r="AH545" s="55" t="e">
        <f t="shared" ca="1" si="131"/>
        <v>#N/A</v>
      </c>
      <c r="AI545" s="55" t="e">
        <f ca="1">-VLOOKUP(AE545,ModelOutputs,9,FALSE)+AI544</f>
        <v>#N/A</v>
      </c>
      <c r="AJ545" s="55" t="e">
        <f ca="1">VLOOKUP(AE545,ModelOutputs,5,FALSE)+AJ544</f>
        <v>#N/A</v>
      </c>
      <c r="AK545" s="55" t="e">
        <f ca="1">VLOOKUP(AE545,ModelOutputs,4,FALSE)+AK544</f>
        <v>#N/A</v>
      </c>
    </row>
    <row r="546" spans="18:37">
      <c r="R546" s="55" t="e">
        <f ca="1"/>
        <v>#N/A</v>
      </c>
      <c r="S546" s="55" t="e">
        <f t="shared" ca="1" si="121"/>
        <v>#N/A</v>
      </c>
      <c r="T546" s="55" t="e">
        <f t="shared" ca="1" si="122"/>
        <v>#N/A</v>
      </c>
      <c r="U546" s="55" t="e">
        <f t="shared" ca="1" si="123"/>
        <v>#N/A</v>
      </c>
      <c r="V546" s="55" t="e">
        <f t="shared" ca="1" si="124"/>
        <v>#N/A</v>
      </c>
      <c r="W546" s="55" t="e">
        <f t="shared" ca="1" si="132"/>
        <v>#N/A</v>
      </c>
      <c r="X546" s="55" t="e">
        <f t="shared" ca="1" si="133"/>
        <v>#N/A</v>
      </c>
      <c r="Y546" s="55" t="e">
        <f t="shared" ca="1" si="134"/>
        <v>#N/A</v>
      </c>
      <c r="Z546" t="e">
        <f ca="1">VLOOKUP(S546,ModelOutputs,10,FALSE)*AWC</f>
        <v>#N/A</v>
      </c>
      <c r="AA546" t="e">
        <f t="shared" ca="1" si="125"/>
        <v>#N/A</v>
      </c>
      <c r="AB546" t="e">
        <f t="shared" ca="1" si="126"/>
        <v>#N/A</v>
      </c>
      <c r="AC546" t="e">
        <f t="shared" ca="1" si="127"/>
        <v>#N/A</v>
      </c>
      <c r="AD546" s="83" t="e">
        <f ca="1"/>
        <v>#N/A</v>
      </c>
      <c r="AE546" s="55" t="e">
        <f t="shared" ca="1" si="128"/>
        <v>#N/A</v>
      </c>
      <c r="AF546" s="55" t="e">
        <f t="shared" ca="1" si="129"/>
        <v>#N/A</v>
      </c>
      <c r="AG546" s="55" t="e">
        <f t="shared" ca="1" si="130"/>
        <v>#N/A</v>
      </c>
      <c r="AH546" s="55" t="e">
        <f t="shared" ca="1" si="131"/>
        <v>#N/A</v>
      </c>
      <c r="AI546" s="55" t="e">
        <f ca="1">-VLOOKUP(AE546,ModelOutputs,9,FALSE)+AI545</f>
        <v>#N/A</v>
      </c>
      <c r="AJ546" s="55" t="e">
        <f ca="1">VLOOKUP(AE546,ModelOutputs,5,FALSE)+AJ545</f>
        <v>#N/A</v>
      </c>
      <c r="AK546" s="55" t="e">
        <f ca="1">VLOOKUP(AE546,ModelOutputs,4,FALSE)+AK545</f>
        <v>#N/A</v>
      </c>
    </row>
    <row r="547" spans="18:37">
      <c r="R547" s="55" t="e">
        <f ca="1"/>
        <v>#N/A</v>
      </c>
      <c r="S547" s="55" t="e">
        <f t="shared" ca="1" si="121"/>
        <v>#N/A</v>
      </c>
      <c r="T547" s="55" t="e">
        <f t="shared" ca="1" si="122"/>
        <v>#N/A</v>
      </c>
      <c r="U547" s="55" t="e">
        <f t="shared" ca="1" si="123"/>
        <v>#N/A</v>
      </c>
      <c r="V547" s="55" t="e">
        <f t="shared" ca="1" si="124"/>
        <v>#N/A</v>
      </c>
      <c r="W547" s="55" t="e">
        <f t="shared" ca="1" si="132"/>
        <v>#N/A</v>
      </c>
      <c r="X547" s="55" t="e">
        <f t="shared" ca="1" si="133"/>
        <v>#N/A</v>
      </c>
      <c r="Y547" s="55" t="e">
        <f t="shared" ca="1" si="134"/>
        <v>#N/A</v>
      </c>
      <c r="Z547" t="e">
        <f ca="1">VLOOKUP(S547,ModelOutputs,10,FALSE)*AWC</f>
        <v>#N/A</v>
      </c>
      <c r="AA547" t="e">
        <f t="shared" ca="1" si="125"/>
        <v>#N/A</v>
      </c>
      <c r="AB547" t="e">
        <f t="shared" ca="1" si="126"/>
        <v>#N/A</v>
      </c>
      <c r="AC547" t="e">
        <f t="shared" ca="1" si="127"/>
        <v>#N/A</v>
      </c>
      <c r="AD547" s="83" t="e">
        <f ca="1"/>
        <v>#N/A</v>
      </c>
      <c r="AE547" s="55" t="e">
        <f t="shared" ca="1" si="128"/>
        <v>#N/A</v>
      </c>
      <c r="AF547" s="55" t="e">
        <f t="shared" ca="1" si="129"/>
        <v>#N/A</v>
      </c>
      <c r="AG547" s="55" t="e">
        <f t="shared" ca="1" si="130"/>
        <v>#N/A</v>
      </c>
      <c r="AH547" s="55" t="e">
        <f t="shared" ca="1" si="131"/>
        <v>#N/A</v>
      </c>
      <c r="AI547" s="55" t="e">
        <f ca="1">-VLOOKUP(AE547,ModelOutputs,9,FALSE)+AI546</f>
        <v>#N/A</v>
      </c>
      <c r="AJ547" s="55" t="e">
        <f ca="1">VLOOKUP(AE547,ModelOutputs,5,FALSE)+AJ546</f>
        <v>#N/A</v>
      </c>
      <c r="AK547" s="55" t="e">
        <f ca="1">VLOOKUP(AE547,ModelOutputs,4,FALSE)+AK546</f>
        <v>#N/A</v>
      </c>
    </row>
    <row r="548" spans="18:37">
      <c r="R548" s="55" t="e">
        <f ca="1"/>
        <v>#N/A</v>
      </c>
      <c r="S548" s="55" t="e">
        <f t="shared" ca="1" si="121"/>
        <v>#N/A</v>
      </c>
      <c r="T548" s="55" t="e">
        <f t="shared" ca="1" si="122"/>
        <v>#N/A</v>
      </c>
      <c r="U548" s="55" t="e">
        <f t="shared" ca="1" si="123"/>
        <v>#N/A</v>
      </c>
      <c r="V548" s="55" t="e">
        <f t="shared" ca="1" si="124"/>
        <v>#N/A</v>
      </c>
      <c r="W548" s="55" t="e">
        <f t="shared" ca="1" si="132"/>
        <v>#N/A</v>
      </c>
      <c r="X548" s="55" t="e">
        <f t="shared" ca="1" si="133"/>
        <v>#N/A</v>
      </c>
      <c r="Y548" s="55" t="e">
        <f t="shared" ca="1" si="134"/>
        <v>#N/A</v>
      </c>
      <c r="Z548" t="e">
        <f ca="1">VLOOKUP(S548,ModelOutputs,10,FALSE)*AWC</f>
        <v>#N/A</v>
      </c>
      <c r="AA548" t="e">
        <f t="shared" ca="1" si="125"/>
        <v>#N/A</v>
      </c>
      <c r="AB548" t="e">
        <f t="shared" ca="1" si="126"/>
        <v>#N/A</v>
      </c>
      <c r="AC548" t="e">
        <f t="shared" ca="1" si="127"/>
        <v>#N/A</v>
      </c>
      <c r="AD548" s="83" t="e">
        <f ca="1"/>
        <v>#N/A</v>
      </c>
      <c r="AE548" s="55" t="e">
        <f t="shared" ca="1" si="128"/>
        <v>#N/A</v>
      </c>
      <c r="AF548" s="55" t="e">
        <f t="shared" ca="1" si="129"/>
        <v>#N/A</v>
      </c>
      <c r="AG548" s="55" t="e">
        <f t="shared" ca="1" si="130"/>
        <v>#N/A</v>
      </c>
      <c r="AH548" s="55" t="e">
        <f t="shared" ca="1" si="131"/>
        <v>#N/A</v>
      </c>
      <c r="AI548" s="55" t="e">
        <f ca="1">-VLOOKUP(AE548,ModelOutputs,9,FALSE)+AI547</f>
        <v>#N/A</v>
      </c>
      <c r="AJ548" s="55" t="e">
        <f ca="1">VLOOKUP(AE548,ModelOutputs,5,FALSE)+AJ547</f>
        <v>#N/A</v>
      </c>
      <c r="AK548" s="55" t="e">
        <f ca="1">VLOOKUP(AE548,ModelOutputs,4,FALSE)+AK547</f>
        <v>#N/A</v>
      </c>
    </row>
    <row r="549" spans="18:37">
      <c r="R549" s="55" t="e">
        <f ca="1"/>
        <v>#N/A</v>
      </c>
      <c r="S549" s="55" t="e">
        <f t="shared" ca="1" si="121"/>
        <v>#N/A</v>
      </c>
      <c r="T549" s="55" t="e">
        <f t="shared" ca="1" si="122"/>
        <v>#N/A</v>
      </c>
      <c r="U549" s="55" t="e">
        <f t="shared" ca="1" si="123"/>
        <v>#N/A</v>
      </c>
      <c r="V549" s="55" t="e">
        <f t="shared" ca="1" si="124"/>
        <v>#N/A</v>
      </c>
      <c r="W549" s="55" t="e">
        <f t="shared" ca="1" si="132"/>
        <v>#N/A</v>
      </c>
      <c r="X549" s="55" t="e">
        <f t="shared" ca="1" si="133"/>
        <v>#N/A</v>
      </c>
      <c r="Y549" s="55" t="e">
        <f t="shared" ca="1" si="134"/>
        <v>#N/A</v>
      </c>
      <c r="Z549" t="e">
        <f ca="1">VLOOKUP(S549,ModelOutputs,10,FALSE)*AWC</f>
        <v>#N/A</v>
      </c>
      <c r="AA549" t="e">
        <f t="shared" ca="1" si="125"/>
        <v>#N/A</v>
      </c>
      <c r="AB549" t="e">
        <f t="shared" ca="1" si="126"/>
        <v>#N/A</v>
      </c>
      <c r="AC549" t="e">
        <f t="shared" ca="1" si="127"/>
        <v>#N/A</v>
      </c>
      <c r="AD549" s="83" t="e">
        <f ca="1"/>
        <v>#N/A</v>
      </c>
      <c r="AE549" s="55" t="e">
        <f t="shared" ca="1" si="128"/>
        <v>#N/A</v>
      </c>
      <c r="AF549" s="55" t="e">
        <f t="shared" ca="1" si="129"/>
        <v>#N/A</v>
      </c>
      <c r="AG549" s="55" t="e">
        <f t="shared" ca="1" si="130"/>
        <v>#N/A</v>
      </c>
      <c r="AH549" s="55" t="e">
        <f t="shared" ca="1" si="131"/>
        <v>#N/A</v>
      </c>
      <c r="AI549" s="55" t="e">
        <f ca="1">-VLOOKUP(AE549,ModelOutputs,9,FALSE)+AI548</f>
        <v>#N/A</v>
      </c>
      <c r="AJ549" s="55" t="e">
        <f ca="1">VLOOKUP(AE549,ModelOutputs,5,FALSE)+AJ548</f>
        <v>#N/A</v>
      </c>
      <c r="AK549" s="55" t="e">
        <f ca="1">VLOOKUP(AE549,ModelOutputs,4,FALSE)+AK548</f>
        <v>#N/A</v>
      </c>
    </row>
    <row r="550" spans="18:37">
      <c r="R550" s="55" t="e">
        <f ca="1"/>
        <v>#N/A</v>
      </c>
      <c r="S550" s="55" t="e">
        <f t="shared" ca="1" si="121"/>
        <v>#N/A</v>
      </c>
      <c r="T550" s="55" t="e">
        <f t="shared" ca="1" si="122"/>
        <v>#N/A</v>
      </c>
      <c r="U550" s="55" t="e">
        <f t="shared" ca="1" si="123"/>
        <v>#N/A</v>
      </c>
      <c r="V550" s="55" t="e">
        <f t="shared" ca="1" si="124"/>
        <v>#N/A</v>
      </c>
      <c r="W550" s="55" t="e">
        <f t="shared" ca="1" si="132"/>
        <v>#N/A</v>
      </c>
      <c r="X550" s="55" t="e">
        <f t="shared" ca="1" si="133"/>
        <v>#N/A</v>
      </c>
      <c r="Y550" s="55" t="e">
        <f t="shared" ca="1" si="134"/>
        <v>#N/A</v>
      </c>
      <c r="Z550" t="e">
        <f ca="1">VLOOKUP(S550,ModelOutputs,10,FALSE)*AWC</f>
        <v>#N/A</v>
      </c>
      <c r="AA550" t="e">
        <f t="shared" ca="1" si="125"/>
        <v>#N/A</v>
      </c>
      <c r="AB550" t="e">
        <f t="shared" ca="1" si="126"/>
        <v>#N/A</v>
      </c>
      <c r="AC550" t="e">
        <f t="shared" ca="1" si="127"/>
        <v>#N/A</v>
      </c>
      <c r="AD550" s="83" t="e">
        <f ca="1"/>
        <v>#N/A</v>
      </c>
      <c r="AE550" s="55" t="e">
        <f t="shared" ca="1" si="128"/>
        <v>#N/A</v>
      </c>
      <c r="AF550" s="55" t="e">
        <f t="shared" ca="1" si="129"/>
        <v>#N/A</v>
      </c>
      <c r="AG550" s="55" t="e">
        <f t="shared" ca="1" si="130"/>
        <v>#N/A</v>
      </c>
      <c r="AH550" s="55" t="e">
        <f t="shared" ca="1" si="131"/>
        <v>#N/A</v>
      </c>
      <c r="AI550" s="55" t="e">
        <f ca="1">-VLOOKUP(AE550,ModelOutputs,9,FALSE)+AI549</f>
        <v>#N/A</v>
      </c>
      <c r="AJ550" s="55" t="e">
        <f ca="1">VLOOKUP(AE550,ModelOutputs,5,FALSE)+AJ549</f>
        <v>#N/A</v>
      </c>
      <c r="AK550" s="55" t="e">
        <f ca="1">VLOOKUP(AE550,ModelOutputs,4,FALSE)+AK549</f>
        <v>#N/A</v>
      </c>
    </row>
    <row r="551" spans="18:37">
      <c r="R551" s="55" t="e">
        <f ca="1"/>
        <v>#N/A</v>
      </c>
      <c r="S551" s="55" t="e">
        <f t="shared" ca="1" si="121"/>
        <v>#N/A</v>
      </c>
      <c r="T551" s="55" t="e">
        <f t="shared" ca="1" si="122"/>
        <v>#N/A</v>
      </c>
      <c r="U551" s="55" t="e">
        <f t="shared" ca="1" si="123"/>
        <v>#N/A</v>
      </c>
      <c r="V551" s="55" t="e">
        <f t="shared" ca="1" si="124"/>
        <v>#N/A</v>
      </c>
      <c r="W551" s="55" t="e">
        <f t="shared" ca="1" si="132"/>
        <v>#N/A</v>
      </c>
      <c r="X551" s="55" t="e">
        <f t="shared" ca="1" si="133"/>
        <v>#N/A</v>
      </c>
      <c r="Y551" s="55" t="e">
        <f t="shared" ca="1" si="134"/>
        <v>#N/A</v>
      </c>
      <c r="Z551" t="e">
        <f ca="1">VLOOKUP(S551,ModelOutputs,10,FALSE)*AWC</f>
        <v>#N/A</v>
      </c>
      <c r="AA551" t="e">
        <f t="shared" ca="1" si="125"/>
        <v>#N/A</v>
      </c>
      <c r="AB551" t="e">
        <f t="shared" ca="1" si="126"/>
        <v>#N/A</v>
      </c>
      <c r="AC551" t="e">
        <f t="shared" ca="1" si="127"/>
        <v>#N/A</v>
      </c>
      <c r="AD551" s="83" t="e">
        <f ca="1"/>
        <v>#N/A</v>
      </c>
      <c r="AE551" s="55" t="e">
        <f t="shared" ca="1" si="128"/>
        <v>#N/A</v>
      </c>
      <c r="AF551" s="55" t="e">
        <f t="shared" ca="1" si="129"/>
        <v>#N/A</v>
      </c>
      <c r="AG551" s="55" t="e">
        <f t="shared" ca="1" si="130"/>
        <v>#N/A</v>
      </c>
      <c r="AH551" s="55" t="e">
        <f t="shared" ca="1" si="131"/>
        <v>#N/A</v>
      </c>
      <c r="AI551" s="55" t="e">
        <f ca="1">-VLOOKUP(AE551,ModelOutputs,9,FALSE)+AI550</f>
        <v>#N/A</v>
      </c>
      <c r="AJ551" s="55" t="e">
        <f ca="1">VLOOKUP(AE551,ModelOutputs,5,FALSE)+AJ550</f>
        <v>#N/A</v>
      </c>
      <c r="AK551" s="55" t="e">
        <f ca="1">VLOOKUP(AE551,ModelOutputs,4,FALSE)+AK550</f>
        <v>#N/A</v>
      </c>
    </row>
    <row r="552" spans="18:37">
      <c r="R552" s="55" t="e">
        <f ca="1"/>
        <v>#N/A</v>
      </c>
      <c r="S552" s="55" t="e">
        <f t="shared" ca="1" si="121"/>
        <v>#N/A</v>
      </c>
      <c r="T552" s="55" t="e">
        <f t="shared" ca="1" si="122"/>
        <v>#N/A</v>
      </c>
      <c r="U552" s="55" t="e">
        <f t="shared" ca="1" si="123"/>
        <v>#N/A</v>
      </c>
      <c r="V552" s="55" t="e">
        <f t="shared" ca="1" si="124"/>
        <v>#N/A</v>
      </c>
      <c r="W552" s="55" t="e">
        <f t="shared" ca="1" si="132"/>
        <v>#N/A</v>
      </c>
      <c r="X552" s="55" t="e">
        <f t="shared" ca="1" si="133"/>
        <v>#N/A</v>
      </c>
      <c r="Y552" s="55" t="e">
        <f t="shared" ca="1" si="134"/>
        <v>#N/A</v>
      </c>
      <c r="Z552" t="e">
        <f ca="1">VLOOKUP(S552,ModelOutputs,10,FALSE)*AWC</f>
        <v>#N/A</v>
      </c>
      <c r="AA552" t="e">
        <f t="shared" ca="1" si="125"/>
        <v>#N/A</v>
      </c>
      <c r="AB552" t="e">
        <f t="shared" ca="1" si="126"/>
        <v>#N/A</v>
      </c>
      <c r="AC552" t="e">
        <f t="shared" ca="1" si="127"/>
        <v>#N/A</v>
      </c>
      <c r="AD552" s="83" t="e">
        <f ca="1"/>
        <v>#N/A</v>
      </c>
      <c r="AE552" s="55" t="e">
        <f t="shared" ca="1" si="128"/>
        <v>#N/A</v>
      </c>
      <c r="AF552" s="55" t="e">
        <f t="shared" ca="1" si="129"/>
        <v>#N/A</v>
      </c>
      <c r="AG552" s="55" t="e">
        <f t="shared" ca="1" si="130"/>
        <v>#N/A</v>
      </c>
      <c r="AH552" s="55" t="e">
        <f t="shared" ca="1" si="131"/>
        <v>#N/A</v>
      </c>
      <c r="AI552" s="55" t="e">
        <f ca="1">-VLOOKUP(AE552,ModelOutputs,9,FALSE)+AI551</f>
        <v>#N/A</v>
      </c>
      <c r="AJ552" s="55" t="e">
        <f ca="1">VLOOKUP(AE552,ModelOutputs,5,FALSE)+AJ551</f>
        <v>#N/A</v>
      </c>
      <c r="AK552" s="55" t="e">
        <f ca="1">VLOOKUP(AE552,ModelOutputs,4,FALSE)+AK551</f>
        <v>#N/A</v>
      </c>
    </row>
    <row r="553" spans="18:37">
      <c r="R553" s="55" t="e">
        <f ca="1"/>
        <v>#N/A</v>
      </c>
      <c r="S553" s="55" t="e">
        <f t="shared" ca="1" si="121"/>
        <v>#N/A</v>
      </c>
      <c r="T553" s="55" t="e">
        <f t="shared" ca="1" si="122"/>
        <v>#N/A</v>
      </c>
      <c r="U553" s="55" t="e">
        <f t="shared" ca="1" si="123"/>
        <v>#N/A</v>
      </c>
      <c r="V553" s="55" t="e">
        <f t="shared" ca="1" si="124"/>
        <v>#N/A</v>
      </c>
      <c r="W553" s="55" t="e">
        <f t="shared" ca="1" si="132"/>
        <v>#N/A</v>
      </c>
      <c r="X553" s="55" t="e">
        <f t="shared" ca="1" si="133"/>
        <v>#N/A</v>
      </c>
      <c r="Y553" s="55" t="e">
        <f t="shared" ca="1" si="134"/>
        <v>#N/A</v>
      </c>
      <c r="Z553" t="e">
        <f ca="1">VLOOKUP(S553,ModelOutputs,10,FALSE)*AWC</f>
        <v>#N/A</v>
      </c>
      <c r="AA553" t="e">
        <f t="shared" ca="1" si="125"/>
        <v>#N/A</v>
      </c>
      <c r="AB553" t="e">
        <f t="shared" ca="1" si="126"/>
        <v>#N/A</v>
      </c>
      <c r="AC553" t="e">
        <f t="shared" ca="1" si="127"/>
        <v>#N/A</v>
      </c>
      <c r="AD553" s="83" t="e">
        <f ca="1"/>
        <v>#N/A</v>
      </c>
      <c r="AE553" s="55" t="e">
        <f t="shared" ca="1" si="128"/>
        <v>#N/A</v>
      </c>
      <c r="AF553" s="55" t="e">
        <f t="shared" ca="1" si="129"/>
        <v>#N/A</v>
      </c>
      <c r="AG553" s="55" t="e">
        <f t="shared" ca="1" si="130"/>
        <v>#N/A</v>
      </c>
      <c r="AH553" s="55" t="e">
        <f t="shared" ca="1" si="131"/>
        <v>#N/A</v>
      </c>
      <c r="AI553" s="55" t="e">
        <f ca="1">-VLOOKUP(AE553,ModelOutputs,9,FALSE)+AI552</f>
        <v>#N/A</v>
      </c>
      <c r="AJ553" s="55" t="e">
        <f ca="1">VLOOKUP(AE553,ModelOutputs,5,FALSE)+AJ552</f>
        <v>#N/A</v>
      </c>
      <c r="AK553" s="55" t="e">
        <f ca="1">VLOOKUP(AE553,ModelOutputs,4,FALSE)+AK552</f>
        <v>#N/A</v>
      </c>
    </row>
    <row r="554" spans="18:37">
      <c r="R554" s="55" t="e">
        <f ca="1"/>
        <v>#N/A</v>
      </c>
      <c r="S554" s="55" t="e">
        <f t="shared" ca="1" si="121"/>
        <v>#N/A</v>
      </c>
      <c r="T554" s="55" t="e">
        <f t="shared" ca="1" si="122"/>
        <v>#N/A</v>
      </c>
      <c r="U554" s="55" t="e">
        <f t="shared" ca="1" si="123"/>
        <v>#N/A</v>
      </c>
      <c r="V554" s="55" t="e">
        <f t="shared" ca="1" si="124"/>
        <v>#N/A</v>
      </c>
      <c r="W554" s="55" t="e">
        <f t="shared" ca="1" si="132"/>
        <v>#N/A</v>
      </c>
      <c r="X554" s="55" t="e">
        <f t="shared" ca="1" si="133"/>
        <v>#N/A</v>
      </c>
      <c r="Y554" s="55" t="e">
        <f t="shared" ca="1" si="134"/>
        <v>#N/A</v>
      </c>
      <c r="Z554" t="e">
        <f ca="1">VLOOKUP(S554,ModelOutputs,10,FALSE)*AWC</f>
        <v>#N/A</v>
      </c>
      <c r="AA554" t="e">
        <f t="shared" ca="1" si="125"/>
        <v>#N/A</v>
      </c>
      <c r="AB554" t="e">
        <f t="shared" ca="1" si="126"/>
        <v>#N/A</v>
      </c>
      <c r="AC554" t="e">
        <f t="shared" ca="1" si="127"/>
        <v>#N/A</v>
      </c>
      <c r="AD554" s="83" t="e">
        <f ca="1"/>
        <v>#N/A</v>
      </c>
      <c r="AE554" s="55" t="e">
        <f t="shared" ca="1" si="128"/>
        <v>#N/A</v>
      </c>
      <c r="AF554" s="55" t="e">
        <f t="shared" ca="1" si="129"/>
        <v>#N/A</v>
      </c>
      <c r="AG554" s="55" t="e">
        <f t="shared" ca="1" si="130"/>
        <v>#N/A</v>
      </c>
      <c r="AH554" s="55" t="e">
        <f t="shared" ca="1" si="131"/>
        <v>#N/A</v>
      </c>
      <c r="AI554" s="55" t="e">
        <f ca="1">-VLOOKUP(AE554,ModelOutputs,9,FALSE)+AI553</f>
        <v>#N/A</v>
      </c>
      <c r="AJ554" s="55" t="e">
        <f ca="1">VLOOKUP(AE554,ModelOutputs,5,FALSE)+AJ553</f>
        <v>#N/A</v>
      </c>
      <c r="AK554" s="55" t="e">
        <f ca="1">VLOOKUP(AE554,ModelOutputs,4,FALSE)+AK553</f>
        <v>#N/A</v>
      </c>
    </row>
    <row r="555" spans="18:37">
      <c r="R555" s="55" t="e">
        <f ca="1"/>
        <v>#N/A</v>
      </c>
      <c r="S555" s="55" t="e">
        <f t="shared" ca="1" si="121"/>
        <v>#N/A</v>
      </c>
      <c r="T555" s="55" t="e">
        <f t="shared" ca="1" si="122"/>
        <v>#N/A</v>
      </c>
      <c r="U555" s="55" t="e">
        <f t="shared" ca="1" si="123"/>
        <v>#N/A</v>
      </c>
      <c r="V555" s="55" t="e">
        <f t="shared" ca="1" si="124"/>
        <v>#N/A</v>
      </c>
      <c r="W555" s="55" t="e">
        <f t="shared" ca="1" si="132"/>
        <v>#N/A</v>
      </c>
      <c r="X555" s="55" t="e">
        <f t="shared" ca="1" si="133"/>
        <v>#N/A</v>
      </c>
      <c r="Y555" s="55" t="e">
        <f t="shared" ca="1" si="134"/>
        <v>#N/A</v>
      </c>
      <c r="Z555" t="e">
        <f ca="1">VLOOKUP(S555,ModelOutputs,10,FALSE)*AWC</f>
        <v>#N/A</v>
      </c>
      <c r="AA555" t="e">
        <f t="shared" ca="1" si="125"/>
        <v>#N/A</v>
      </c>
      <c r="AB555" t="e">
        <f t="shared" ca="1" si="126"/>
        <v>#N/A</v>
      </c>
      <c r="AC555" t="e">
        <f t="shared" ca="1" si="127"/>
        <v>#N/A</v>
      </c>
      <c r="AD555" s="83" t="e">
        <f ca="1"/>
        <v>#N/A</v>
      </c>
      <c r="AE555" s="55" t="e">
        <f t="shared" ca="1" si="128"/>
        <v>#N/A</v>
      </c>
      <c r="AF555" s="55" t="e">
        <f t="shared" ca="1" si="129"/>
        <v>#N/A</v>
      </c>
      <c r="AG555" s="55" t="e">
        <f t="shared" ca="1" si="130"/>
        <v>#N/A</v>
      </c>
      <c r="AH555" s="55" t="e">
        <f t="shared" ca="1" si="131"/>
        <v>#N/A</v>
      </c>
      <c r="AI555" s="55" t="e">
        <f ca="1">-VLOOKUP(AE555,ModelOutputs,9,FALSE)+AI554</f>
        <v>#N/A</v>
      </c>
      <c r="AJ555" s="55" t="e">
        <f ca="1">VLOOKUP(AE555,ModelOutputs,5,FALSE)+AJ554</f>
        <v>#N/A</v>
      </c>
      <c r="AK555" s="55" t="e">
        <f ca="1">VLOOKUP(AE555,ModelOutputs,4,FALSE)+AK554</f>
        <v>#N/A</v>
      </c>
    </row>
    <row r="556" spans="18:37">
      <c r="R556" s="55" t="e">
        <f ca="1"/>
        <v>#N/A</v>
      </c>
      <c r="S556" s="55" t="e">
        <f t="shared" ca="1" si="121"/>
        <v>#N/A</v>
      </c>
      <c r="T556" s="55" t="e">
        <f t="shared" ca="1" si="122"/>
        <v>#N/A</v>
      </c>
      <c r="U556" s="55" t="e">
        <f t="shared" ca="1" si="123"/>
        <v>#N/A</v>
      </c>
      <c r="V556" s="55" t="e">
        <f t="shared" ca="1" si="124"/>
        <v>#N/A</v>
      </c>
      <c r="W556" s="55" t="e">
        <f t="shared" ca="1" si="132"/>
        <v>#N/A</v>
      </c>
      <c r="X556" s="55" t="e">
        <f t="shared" ca="1" si="133"/>
        <v>#N/A</v>
      </c>
      <c r="Y556" s="55" t="e">
        <f t="shared" ca="1" si="134"/>
        <v>#N/A</v>
      </c>
      <c r="Z556" t="e">
        <f ca="1">VLOOKUP(S556,ModelOutputs,10,FALSE)*AWC</f>
        <v>#N/A</v>
      </c>
      <c r="AA556" t="e">
        <f t="shared" ca="1" si="125"/>
        <v>#N/A</v>
      </c>
      <c r="AB556" t="e">
        <f t="shared" ca="1" si="126"/>
        <v>#N/A</v>
      </c>
      <c r="AC556" t="e">
        <f t="shared" ca="1" si="127"/>
        <v>#N/A</v>
      </c>
      <c r="AD556" s="83" t="e">
        <f ca="1"/>
        <v>#N/A</v>
      </c>
      <c r="AE556" s="55" t="e">
        <f t="shared" ca="1" si="128"/>
        <v>#N/A</v>
      </c>
      <c r="AF556" s="55" t="e">
        <f t="shared" ca="1" si="129"/>
        <v>#N/A</v>
      </c>
      <c r="AG556" s="55" t="e">
        <f t="shared" ca="1" si="130"/>
        <v>#N/A</v>
      </c>
      <c r="AH556" s="55" t="e">
        <f t="shared" ca="1" si="131"/>
        <v>#N/A</v>
      </c>
      <c r="AI556" s="55" t="e">
        <f ca="1">-VLOOKUP(AE556,ModelOutputs,9,FALSE)+AI555</f>
        <v>#N/A</v>
      </c>
      <c r="AJ556" s="55" t="e">
        <f ca="1">VLOOKUP(AE556,ModelOutputs,5,FALSE)+AJ555</f>
        <v>#N/A</v>
      </c>
      <c r="AK556" s="55" t="e">
        <f ca="1">VLOOKUP(AE556,ModelOutputs,4,FALSE)+AK555</f>
        <v>#N/A</v>
      </c>
    </row>
    <row r="557" spans="18:37">
      <c r="R557" s="55" t="e">
        <f ca="1"/>
        <v>#N/A</v>
      </c>
      <c r="S557" s="55" t="e">
        <f t="shared" ca="1" si="121"/>
        <v>#N/A</v>
      </c>
      <c r="T557" s="55" t="e">
        <f t="shared" ca="1" si="122"/>
        <v>#N/A</v>
      </c>
      <c r="U557" s="55" t="e">
        <f t="shared" ca="1" si="123"/>
        <v>#N/A</v>
      </c>
      <c r="V557" s="55" t="e">
        <f t="shared" ca="1" si="124"/>
        <v>#N/A</v>
      </c>
      <c r="W557" s="55" t="e">
        <f t="shared" ca="1" si="132"/>
        <v>#N/A</v>
      </c>
      <c r="X557" s="55" t="e">
        <f t="shared" ca="1" si="133"/>
        <v>#N/A</v>
      </c>
      <c r="Y557" s="55" t="e">
        <f t="shared" ca="1" si="134"/>
        <v>#N/A</v>
      </c>
      <c r="Z557" t="e">
        <f ca="1">VLOOKUP(S557,ModelOutputs,10,FALSE)*AWC</f>
        <v>#N/A</v>
      </c>
      <c r="AA557" t="e">
        <f t="shared" ca="1" si="125"/>
        <v>#N/A</v>
      </c>
      <c r="AB557" t="e">
        <f t="shared" ca="1" si="126"/>
        <v>#N/A</v>
      </c>
      <c r="AC557" t="e">
        <f t="shared" ca="1" si="127"/>
        <v>#N/A</v>
      </c>
      <c r="AD557" s="83" t="e">
        <f ca="1"/>
        <v>#N/A</v>
      </c>
      <c r="AE557" s="55" t="e">
        <f t="shared" ca="1" si="128"/>
        <v>#N/A</v>
      </c>
      <c r="AF557" s="55" t="e">
        <f t="shared" ca="1" si="129"/>
        <v>#N/A</v>
      </c>
      <c r="AG557" s="55" t="e">
        <f t="shared" ca="1" si="130"/>
        <v>#N/A</v>
      </c>
      <c r="AH557" s="55" t="e">
        <f t="shared" ca="1" si="131"/>
        <v>#N/A</v>
      </c>
      <c r="AI557" s="55" t="e">
        <f ca="1">-VLOOKUP(AE557,ModelOutputs,9,FALSE)+AI556</f>
        <v>#N/A</v>
      </c>
      <c r="AJ557" s="55" t="e">
        <f ca="1">VLOOKUP(AE557,ModelOutputs,5,FALSE)+AJ556</f>
        <v>#N/A</v>
      </c>
      <c r="AK557" s="55" t="e">
        <f ca="1">VLOOKUP(AE557,ModelOutputs,4,FALSE)+AK556</f>
        <v>#N/A</v>
      </c>
    </row>
    <row r="558" spans="18:37">
      <c r="R558" s="55" t="e">
        <f ca="1"/>
        <v>#N/A</v>
      </c>
      <c r="S558" s="55" t="e">
        <f t="shared" ca="1" si="121"/>
        <v>#N/A</v>
      </c>
      <c r="T558" s="55" t="e">
        <f t="shared" ca="1" si="122"/>
        <v>#N/A</v>
      </c>
      <c r="U558" s="55" t="e">
        <f t="shared" ca="1" si="123"/>
        <v>#N/A</v>
      </c>
      <c r="V558" s="55" t="e">
        <f t="shared" ca="1" si="124"/>
        <v>#N/A</v>
      </c>
      <c r="W558" s="55" t="e">
        <f t="shared" ca="1" si="132"/>
        <v>#N/A</v>
      </c>
      <c r="X558" s="55" t="e">
        <f t="shared" ca="1" si="133"/>
        <v>#N/A</v>
      </c>
      <c r="Y558" s="55" t="e">
        <f t="shared" ca="1" si="134"/>
        <v>#N/A</v>
      </c>
      <c r="Z558" t="e">
        <f ca="1">VLOOKUP(S558,ModelOutputs,10,FALSE)*AWC</f>
        <v>#N/A</v>
      </c>
      <c r="AA558" t="e">
        <f t="shared" ca="1" si="125"/>
        <v>#N/A</v>
      </c>
      <c r="AB558" t="e">
        <f t="shared" ca="1" si="126"/>
        <v>#N/A</v>
      </c>
      <c r="AC558" t="e">
        <f t="shared" ca="1" si="127"/>
        <v>#N/A</v>
      </c>
      <c r="AD558" s="83" t="e">
        <f ca="1"/>
        <v>#N/A</v>
      </c>
      <c r="AE558" s="55" t="e">
        <f t="shared" ca="1" si="128"/>
        <v>#N/A</v>
      </c>
      <c r="AF558" s="55" t="e">
        <f t="shared" ca="1" si="129"/>
        <v>#N/A</v>
      </c>
      <c r="AG558" s="55" t="e">
        <f t="shared" ca="1" si="130"/>
        <v>#N/A</v>
      </c>
      <c r="AH558" s="55" t="e">
        <f t="shared" ca="1" si="131"/>
        <v>#N/A</v>
      </c>
      <c r="AI558" s="55" t="e">
        <f ca="1">-VLOOKUP(AE558,ModelOutputs,9,FALSE)+AI557</f>
        <v>#N/A</v>
      </c>
      <c r="AJ558" s="55" t="e">
        <f ca="1">VLOOKUP(AE558,ModelOutputs,5,FALSE)+AJ557</f>
        <v>#N/A</v>
      </c>
      <c r="AK558" s="55" t="e">
        <f ca="1">VLOOKUP(AE558,ModelOutputs,4,FALSE)+AK557</f>
        <v>#N/A</v>
      </c>
    </row>
    <row r="559" spans="18:37">
      <c r="R559" s="55" t="e">
        <f ca="1"/>
        <v>#N/A</v>
      </c>
      <c r="S559" s="55" t="e">
        <f t="shared" ca="1" si="121"/>
        <v>#N/A</v>
      </c>
      <c r="T559" s="55" t="e">
        <f t="shared" ca="1" si="122"/>
        <v>#N/A</v>
      </c>
      <c r="U559" s="55" t="e">
        <f t="shared" ca="1" si="123"/>
        <v>#N/A</v>
      </c>
      <c r="V559" s="55" t="e">
        <f t="shared" ca="1" si="124"/>
        <v>#N/A</v>
      </c>
      <c r="W559" s="55" t="e">
        <f t="shared" ca="1" si="132"/>
        <v>#N/A</v>
      </c>
      <c r="X559" s="55" t="e">
        <f t="shared" ca="1" si="133"/>
        <v>#N/A</v>
      </c>
      <c r="Y559" s="55" t="e">
        <f t="shared" ca="1" si="134"/>
        <v>#N/A</v>
      </c>
      <c r="Z559" t="e">
        <f ca="1">VLOOKUP(S559,ModelOutputs,10,FALSE)*AWC</f>
        <v>#N/A</v>
      </c>
      <c r="AA559" t="e">
        <f t="shared" ca="1" si="125"/>
        <v>#N/A</v>
      </c>
      <c r="AB559" t="e">
        <f t="shared" ca="1" si="126"/>
        <v>#N/A</v>
      </c>
      <c r="AC559" t="e">
        <f t="shared" ca="1" si="127"/>
        <v>#N/A</v>
      </c>
      <c r="AD559" s="83" t="e">
        <f ca="1"/>
        <v>#N/A</v>
      </c>
      <c r="AE559" s="55" t="e">
        <f t="shared" ca="1" si="128"/>
        <v>#N/A</v>
      </c>
      <c r="AF559" s="55" t="e">
        <f t="shared" ca="1" si="129"/>
        <v>#N/A</v>
      </c>
      <c r="AG559" s="55" t="e">
        <f t="shared" ca="1" si="130"/>
        <v>#N/A</v>
      </c>
      <c r="AH559" s="55" t="e">
        <f t="shared" ca="1" si="131"/>
        <v>#N/A</v>
      </c>
      <c r="AI559" s="55" t="e">
        <f ca="1">-VLOOKUP(AE559,ModelOutputs,9,FALSE)+AI558</f>
        <v>#N/A</v>
      </c>
      <c r="AJ559" s="55" t="e">
        <f ca="1">VLOOKUP(AE559,ModelOutputs,5,FALSE)+AJ558</f>
        <v>#N/A</v>
      </c>
      <c r="AK559" s="55" t="e">
        <f ca="1">VLOOKUP(AE559,ModelOutputs,4,FALSE)+AK558</f>
        <v>#N/A</v>
      </c>
    </row>
    <row r="560" spans="18:37">
      <c r="R560" s="55" t="e">
        <f ca="1"/>
        <v>#N/A</v>
      </c>
      <c r="S560" s="55" t="e">
        <f t="shared" ca="1" si="121"/>
        <v>#N/A</v>
      </c>
      <c r="T560" s="55" t="e">
        <f t="shared" ca="1" si="122"/>
        <v>#N/A</v>
      </c>
      <c r="U560" s="55" t="e">
        <f t="shared" ca="1" si="123"/>
        <v>#N/A</v>
      </c>
      <c r="V560" s="55" t="e">
        <f t="shared" ca="1" si="124"/>
        <v>#N/A</v>
      </c>
      <c r="W560" s="55" t="e">
        <f t="shared" ca="1" si="132"/>
        <v>#N/A</v>
      </c>
      <c r="X560" s="55" t="e">
        <f t="shared" ca="1" si="133"/>
        <v>#N/A</v>
      </c>
      <c r="Y560" s="55" t="e">
        <f t="shared" ca="1" si="134"/>
        <v>#N/A</v>
      </c>
      <c r="Z560" t="e">
        <f ca="1">VLOOKUP(S560,ModelOutputs,10,FALSE)*AWC</f>
        <v>#N/A</v>
      </c>
      <c r="AA560" t="e">
        <f t="shared" ca="1" si="125"/>
        <v>#N/A</v>
      </c>
      <c r="AB560" t="e">
        <f t="shared" ca="1" si="126"/>
        <v>#N/A</v>
      </c>
      <c r="AC560" t="e">
        <f t="shared" ca="1" si="127"/>
        <v>#N/A</v>
      </c>
      <c r="AD560" s="83" t="e">
        <f ca="1"/>
        <v>#N/A</v>
      </c>
      <c r="AE560" s="55" t="e">
        <f t="shared" ca="1" si="128"/>
        <v>#N/A</v>
      </c>
      <c r="AF560" s="55" t="e">
        <f t="shared" ca="1" si="129"/>
        <v>#N/A</v>
      </c>
      <c r="AG560" s="55" t="e">
        <f t="shared" ca="1" si="130"/>
        <v>#N/A</v>
      </c>
      <c r="AH560" s="55" t="e">
        <f t="shared" ca="1" si="131"/>
        <v>#N/A</v>
      </c>
      <c r="AI560" s="55" t="e">
        <f ca="1">-VLOOKUP(AE560,ModelOutputs,9,FALSE)+AI559</f>
        <v>#N/A</v>
      </c>
      <c r="AJ560" s="55" t="e">
        <f ca="1">VLOOKUP(AE560,ModelOutputs,5,FALSE)+AJ559</f>
        <v>#N/A</v>
      </c>
      <c r="AK560" s="55" t="e">
        <f ca="1">VLOOKUP(AE560,ModelOutputs,4,FALSE)+AK559</f>
        <v>#N/A</v>
      </c>
    </row>
    <row r="561" spans="18:37">
      <c r="R561" s="55" t="e">
        <f ca="1"/>
        <v>#N/A</v>
      </c>
      <c r="S561" s="55" t="e">
        <f t="shared" ca="1" si="121"/>
        <v>#N/A</v>
      </c>
      <c r="T561" s="55" t="e">
        <f t="shared" ca="1" si="122"/>
        <v>#N/A</v>
      </c>
      <c r="U561" s="55" t="e">
        <f t="shared" ca="1" si="123"/>
        <v>#N/A</v>
      </c>
      <c r="V561" s="55" t="e">
        <f t="shared" ca="1" si="124"/>
        <v>#N/A</v>
      </c>
      <c r="W561" s="55" t="e">
        <f t="shared" ca="1" si="132"/>
        <v>#N/A</v>
      </c>
      <c r="X561" s="55" t="e">
        <f t="shared" ca="1" si="133"/>
        <v>#N/A</v>
      </c>
      <c r="Y561" s="55" t="e">
        <f t="shared" ca="1" si="134"/>
        <v>#N/A</v>
      </c>
      <c r="Z561" t="e">
        <f ca="1">VLOOKUP(S561,ModelOutputs,10,FALSE)*AWC</f>
        <v>#N/A</v>
      </c>
      <c r="AA561" t="e">
        <f t="shared" ca="1" si="125"/>
        <v>#N/A</v>
      </c>
      <c r="AB561" t="e">
        <f t="shared" ca="1" si="126"/>
        <v>#N/A</v>
      </c>
      <c r="AC561" t="e">
        <f t="shared" ca="1" si="127"/>
        <v>#N/A</v>
      </c>
      <c r="AD561" s="83" t="e">
        <f ca="1"/>
        <v>#N/A</v>
      </c>
      <c r="AE561" s="55" t="e">
        <f t="shared" ca="1" si="128"/>
        <v>#N/A</v>
      </c>
      <c r="AF561" s="55" t="e">
        <f t="shared" ca="1" si="129"/>
        <v>#N/A</v>
      </c>
      <c r="AG561" s="55" t="e">
        <f t="shared" ca="1" si="130"/>
        <v>#N/A</v>
      </c>
      <c r="AH561" s="55" t="e">
        <f t="shared" ca="1" si="131"/>
        <v>#N/A</v>
      </c>
      <c r="AI561" s="55" t="e">
        <f ca="1">-VLOOKUP(AE561,ModelOutputs,9,FALSE)+AI560</f>
        <v>#N/A</v>
      </c>
      <c r="AJ561" s="55" t="e">
        <f ca="1">VLOOKUP(AE561,ModelOutputs,5,FALSE)+AJ560</f>
        <v>#N/A</v>
      </c>
      <c r="AK561" s="55" t="e">
        <f ca="1">VLOOKUP(AE561,ModelOutputs,4,FALSE)+AK560</f>
        <v>#N/A</v>
      </c>
    </row>
    <row r="562" spans="18:37">
      <c r="R562" s="55" t="e">
        <f ca="1"/>
        <v>#N/A</v>
      </c>
      <c r="S562" s="55" t="e">
        <f t="shared" ca="1" si="121"/>
        <v>#N/A</v>
      </c>
      <c r="T562" s="55" t="e">
        <f t="shared" ca="1" si="122"/>
        <v>#N/A</v>
      </c>
      <c r="U562" s="55" t="e">
        <f t="shared" ca="1" si="123"/>
        <v>#N/A</v>
      </c>
      <c r="V562" s="55" t="e">
        <f t="shared" ca="1" si="124"/>
        <v>#N/A</v>
      </c>
      <c r="W562" s="55" t="e">
        <f t="shared" ca="1" si="132"/>
        <v>#N/A</v>
      </c>
      <c r="X562" s="55" t="e">
        <f t="shared" ca="1" si="133"/>
        <v>#N/A</v>
      </c>
      <c r="Y562" s="55" t="e">
        <f t="shared" ca="1" si="134"/>
        <v>#N/A</v>
      </c>
      <c r="Z562" t="e">
        <f ca="1">VLOOKUP(S562,ModelOutputs,10,FALSE)*AWC</f>
        <v>#N/A</v>
      </c>
      <c r="AA562" t="e">
        <f t="shared" ca="1" si="125"/>
        <v>#N/A</v>
      </c>
      <c r="AB562" t="e">
        <f t="shared" ca="1" si="126"/>
        <v>#N/A</v>
      </c>
      <c r="AC562" t="e">
        <f t="shared" ca="1" si="127"/>
        <v>#N/A</v>
      </c>
      <c r="AD562" s="83" t="e">
        <f ca="1"/>
        <v>#N/A</v>
      </c>
      <c r="AE562" s="55" t="e">
        <f t="shared" ca="1" si="128"/>
        <v>#N/A</v>
      </c>
      <c r="AF562" s="55" t="e">
        <f t="shared" ca="1" si="129"/>
        <v>#N/A</v>
      </c>
      <c r="AG562" s="55" t="e">
        <f t="shared" ca="1" si="130"/>
        <v>#N/A</v>
      </c>
      <c r="AH562" s="55" t="e">
        <f t="shared" ca="1" si="131"/>
        <v>#N/A</v>
      </c>
      <c r="AI562" s="55" t="e">
        <f ca="1">-VLOOKUP(AE562,ModelOutputs,9,FALSE)+AI561</f>
        <v>#N/A</v>
      </c>
      <c r="AJ562" s="55" t="e">
        <f ca="1">VLOOKUP(AE562,ModelOutputs,5,FALSE)+AJ561</f>
        <v>#N/A</v>
      </c>
      <c r="AK562" s="55" t="e">
        <f ca="1">VLOOKUP(AE562,ModelOutputs,4,FALSE)+AK561</f>
        <v>#N/A</v>
      </c>
    </row>
    <row r="563" spans="18:37">
      <c r="R563" s="55" t="e">
        <f ca="1"/>
        <v>#N/A</v>
      </c>
      <c r="S563" s="55" t="e">
        <f t="shared" ca="1" si="121"/>
        <v>#N/A</v>
      </c>
      <c r="T563" s="55" t="e">
        <f t="shared" ca="1" si="122"/>
        <v>#N/A</v>
      </c>
      <c r="U563" s="55" t="e">
        <f t="shared" ca="1" si="123"/>
        <v>#N/A</v>
      </c>
      <c r="V563" s="55" t="e">
        <f t="shared" ca="1" si="124"/>
        <v>#N/A</v>
      </c>
      <c r="W563" s="55" t="e">
        <f t="shared" ca="1" si="132"/>
        <v>#N/A</v>
      </c>
      <c r="X563" s="55" t="e">
        <f t="shared" ca="1" si="133"/>
        <v>#N/A</v>
      </c>
      <c r="Y563" s="55" t="e">
        <f t="shared" ca="1" si="134"/>
        <v>#N/A</v>
      </c>
      <c r="Z563" t="e">
        <f ca="1">VLOOKUP(S563,ModelOutputs,10,FALSE)*AWC</f>
        <v>#N/A</v>
      </c>
      <c r="AA563" t="e">
        <f t="shared" ca="1" si="125"/>
        <v>#N/A</v>
      </c>
      <c r="AB563" t="e">
        <f t="shared" ca="1" si="126"/>
        <v>#N/A</v>
      </c>
      <c r="AC563" t="e">
        <f t="shared" ca="1" si="127"/>
        <v>#N/A</v>
      </c>
      <c r="AD563" s="83" t="e">
        <f ca="1"/>
        <v>#N/A</v>
      </c>
      <c r="AE563" s="55" t="e">
        <f t="shared" ca="1" si="128"/>
        <v>#N/A</v>
      </c>
      <c r="AF563" s="55" t="e">
        <f t="shared" ca="1" si="129"/>
        <v>#N/A</v>
      </c>
      <c r="AG563" s="55" t="e">
        <f t="shared" ca="1" si="130"/>
        <v>#N/A</v>
      </c>
      <c r="AH563" s="55" t="e">
        <f t="shared" ca="1" si="131"/>
        <v>#N/A</v>
      </c>
      <c r="AI563" s="55" t="e">
        <f ca="1">-VLOOKUP(AE563,ModelOutputs,9,FALSE)+AI562</f>
        <v>#N/A</v>
      </c>
      <c r="AJ563" s="55" t="e">
        <f ca="1">VLOOKUP(AE563,ModelOutputs,5,FALSE)+AJ562</f>
        <v>#N/A</v>
      </c>
      <c r="AK563" s="55" t="e">
        <f ca="1">VLOOKUP(AE563,ModelOutputs,4,FALSE)+AK562</f>
        <v>#N/A</v>
      </c>
    </row>
    <row r="564" spans="18:37">
      <c r="R564" s="55" t="e">
        <f ca="1"/>
        <v>#N/A</v>
      </c>
      <c r="S564" s="55" t="e">
        <f t="shared" ca="1" si="121"/>
        <v>#N/A</v>
      </c>
      <c r="T564" s="55" t="e">
        <f t="shared" ca="1" si="122"/>
        <v>#N/A</v>
      </c>
      <c r="U564" s="55" t="e">
        <f t="shared" ca="1" si="123"/>
        <v>#N/A</v>
      </c>
      <c r="V564" s="55" t="e">
        <f t="shared" ca="1" si="124"/>
        <v>#N/A</v>
      </c>
      <c r="W564" s="55" t="e">
        <f t="shared" ca="1" si="132"/>
        <v>#N/A</v>
      </c>
      <c r="X564" s="55" t="e">
        <f t="shared" ca="1" si="133"/>
        <v>#N/A</v>
      </c>
      <c r="Y564" s="55" t="e">
        <f t="shared" ca="1" si="134"/>
        <v>#N/A</v>
      </c>
      <c r="Z564" t="e">
        <f ca="1">VLOOKUP(S564,ModelOutputs,10,FALSE)*AWC</f>
        <v>#N/A</v>
      </c>
      <c r="AA564" t="e">
        <f t="shared" ca="1" si="125"/>
        <v>#N/A</v>
      </c>
      <c r="AB564" t="e">
        <f t="shared" ca="1" si="126"/>
        <v>#N/A</v>
      </c>
      <c r="AC564" t="e">
        <f t="shared" ca="1" si="127"/>
        <v>#N/A</v>
      </c>
      <c r="AD564" s="83" t="e">
        <f ca="1"/>
        <v>#N/A</v>
      </c>
      <c r="AE564" s="55" t="e">
        <f t="shared" ca="1" si="128"/>
        <v>#N/A</v>
      </c>
      <c r="AF564" s="55" t="e">
        <f t="shared" ca="1" si="129"/>
        <v>#N/A</v>
      </c>
      <c r="AG564" s="55" t="e">
        <f t="shared" ca="1" si="130"/>
        <v>#N/A</v>
      </c>
      <c r="AH564" s="55" t="e">
        <f t="shared" ca="1" si="131"/>
        <v>#N/A</v>
      </c>
      <c r="AI564" s="55" t="e">
        <f ca="1">-VLOOKUP(AE564,ModelOutputs,9,FALSE)+AI563</f>
        <v>#N/A</v>
      </c>
      <c r="AJ564" s="55" t="e">
        <f ca="1">VLOOKUP(AE564,ModelOutputs,5,FALSE)+AJ563</f>
        <v>#N/A</v>
      </c>
      <c r="AK564" s="55" t="e">
        <f ca="1">VLOOKUP(AE564,ModelOutputs,4,FALSE)+AK563</f>
        <v>#N/A</v>
      </c>
    </row>
    <row r="565" spans="18:37">
      <c r="R565" s="55" t="e">
        <f ca="1"/>
        <v>#N/A</v>
      </c>
      <c r="S565" s="55" t="e">
        <f t="shared" ca="1" si="121"/>
        <v>#N/A</v>
      </c>
      <c r="T565" s="55" t="e">
        <f t="shared" ca="1" si="122"/>
        <v>#N/A</v>
      </c>
      <c r="U565" s="55" t="e">
        <f t="shared" ca="1" si="123"/>
        <v>#N/A</v>
      </c>
      <c r="V565" s="55" t="e">
        <f t="shared" ca="1" si="124"/>
        <v>#N/A</v>
      </c>
      <c r="W565" s="55" t="e">
        <f t="shared" ca="1" si="132"/>
        <v>#N/A</v>
      </c>
      <c r="X565" s="55" t="e">
        <f t="shared" ca="1" si="133"/>
        <v>#N/A</v>
      </c>
      <c r="Y565" s="55" t="e">
        <f t="shared" ca="1" si="134"/>
        <v>#N/A</v>
      </c>
      <c r="Z565" t="e">
        <f ca="1">VLOOKUP(S565,ModelOutputs,10,FALSE)*AWC</f>
        <v>#N/A</v>
      </c>
      <c r="AA565" t="e">
        <f t="shared" ca="1" si="125"/>
        <v>#N/A</v>
      </c>
      <c r="AB565" t="e">
        <f t="shared" ca="1" si="126"/>
        <v>#N/A</v>
      </c>
      <c r="AC565" t="e">
        <f t="shared" ca="1" si="127"/>
        <v>#N/A</v>
      </c>
      <c r="AD565" s="83" t="e">
        <f ca="1"/>
        <v>#N/A</v>
      </c>
      <c r="AE565" s="55" t="e">
        <f t="shared" ca="1" si="128"/>
        <v>#N/A</v>
      </c>
      <c r="AF565" s="55" t="e">
        <f t="shared" ca="1" si="129"/>
        <v>#N/A</v>
      </c>
      <c r="AG565" s="55" t="e">
        <f t="shared" ca="1" si="130"/>
        <v>#N/A</v>
      </c>
      <c r="AH565" s="55" t="e">
        <f t="shared" ca="1" si="131"/>
        <v>#N/A</v>
      </c>
      <c r="AI565" s="55" t="e">
        <f ca="1">-VLOOKUP(AE565,ModelOutputs,9,FALSE)+AI564</f>
        <v>#N/A</v>
      </c>
      <c r="AJ565" s="55" t="e">
        <f ca="1">VLOOKUP(AE565,ModelOutputs,5,FALSE)+AJ564</f>
        <v>#N/A</v>
      </c>
      <c r="AK565" s="55" t="e">
        <f ca="1">VLOOKUP(AE565,ModelOutputs,4,FALSE)+AK564</f>
        <v>#N/A</v>
      </c>
    </row>
    <row r="566" spans="18:37">
      <c r="R566" s="55" t="e">
        <f ca="1"/>
        <v>#N/A</v>
      </c>
      <c r="S566" s="55" t="e">
        <f t="shared" ca="1" si="121"/>
        <v>#N/A</v>
      </c>
      <c r="T566" s="55" t="e">
        <f t="shared" ca="1" si="122"/>
        <v>#N/A</v>
      </c>
      <c r="U566" s="55" t="e">
        <f t="shared" ca="1" si="123"/>
        <v>#N/A</v>
      </c>
      <c r="V566" s="55" t="e">
        <f t="shared" ca="1" si="124"/>
        <v>#N/A</v>
      </c>
      <c r="W566" s="55" t="e">
        <f t="shared" ca="1" si="132"/>
        <v>#N/A</v>
      </c>
      <c r="X566" s="55" t="e">
        <f t="shared" ca="1" si="133"/>
        <v>#N/A</v>
      </c>
      <c r="Y566" s="55" t="e">
        <f t="shared" ca="1" si="134"/>
        <v>#N/A</v>
      </c>
      <c r="Z566" t="e">
        <f ca="1">VLOOKUP(S566,ModelOutputs,10,FALSE)*AWC</f>
        <v>#N/A</v>
      </c>
      <c r="AA566" t="e">
        <f t="shared" ca="1" si="125"/>
        <v>#N/A</v>
      </c>
      <c r="AB566" t="e">
        <f t="shared" ca="1" si="126"/>
        <v>#N/A</v>
      </c>
      <c r="AC566" t="e">
        <f t="shared" ca="1" si="127"/>
        <v>#N/A</v>
      </c>
      <c r="AD566" s="83" t="e">
        <f ca="1"/>
        <v>#N/A</v>
      </c>
      <c r="AE566" s="55" t="e">
        <f t="shared" ca="1" si="128"/>
        <v>#N/A</v>
      </c>
      <c r="AF566" s="55" t="e">
        <f t="shared" ca="1" si="129"/>
        <v>#N/A</v>
      </c>
      <c r="AG566" s="55" t="e">
        <f t="shared" ca="1" si="130"/>
        <v>#N/A</v>
      </c>
      <c r="AH566" s="55" t="e">
        <f t="shared" ca="1" si="131"/>
        <v>#N/A</v>
      </c>
      <c r="AI566" s="55" t="e">
        <f ca="1">-VLOOKUP(AE566,ModelOutputs,9,FALSE)+AI565</f>
        <v>#N/A</v>
      </c>
      <c r="AJ566" s="55" t="e">
        <f ca="1">VLOOKUP(AE566,ModelOutputs,5,FALSE)+AJ565</f>
        <v>#N/A</v>
      </c>
      <c r="AK566" s="55" t="e">
        <f ca="1">VLOOKUP(AE566,ModelOutputs,4,FALSE)+AK565</f>
        <v>#N/A</v>
      </c>
    </row>
    <row r="567" spans="18:37">
      <c r="R567" s="55" t="e">
        <f ca="1"/>
        <v>#N/A</v>
      </c>
      <c r="S567" s="55" t="e">
        <f t="shared" ca="1" si="121"/>
        <v>#N/A</v>
      </c>
      <c r="T567" s="55" t="e">
        <f t="shared" ca="1" si="122"/>
        <v>#N/A</v>
      </c>
      <c r="U567" s="55" t="e">
        <f t="shared" ca="1" si="123"/>
        <v>#N/A</v>
      </c>
      <c r="V567" s="55" t="e">
        <f t="shared" ca="1" si="124"/>
        <v>#N/A</v>
      </c>
      <c r="W567" s="55" t="e">
        <f t="shared" ca="1" si="132"/>
        <v>#N/A</v>
      </c>
      <c r="X567" s="55" t="e">
        <f t="shared" ca="1" si="133"/>
        <v>#N/A</v>
      </c>
      <c r="Y567" s="55" t="e">
        <f t="shared" ca="1" si="134"/>
        <v>#N/A</v>
      </c>
      <c r="Z567" t="e">
        <f ca="1">VLOOKUP(S567,ModelOutputs,10,FALSE)*AWC</f>
        <v>#N/A</v>
      </c>
      <c r="AA567" t="e">
        <f t="shared" ca="1" si="125"/>
        <v>#N/A</v>
      </c>
      <c r="AB567" t="e">
        <f t="shared" ca="1" si="126"/>
        <v>#N/A</v>
      </c>
      <c r="AC567" t="e">
        <f t="shared" ca="1" si="127"/>
        <v>#N/A</v>
      </c>
      <c r="AD567" s="83" t="e">
        <f ca="1"/>
        <v>#N/A</v>
      </c>
      <c r="AE567" s="55" t="e">
        <f t="shared" ca="1" si="128"/>
        <v>#N/A</v>
      </c>
      <c r="AF567" s="55" t="e">
        <f t="shared" ca="1" si="129"/>
        <v>#N/A</v>
      </c>
      <c r="AG567" s="55" t="e">
        <f t="shared" ca="1" si="130"/>
        <v>#N/A</v>
      </c>
      <c r="AH567" s="55" t="e">
        <f t="shared" ca="1" si="131"/>
        <v>#N/A</v>
      </c>
      <c r="AI567" s="55" t="e">
        <f ca="1">-VLOOKUP(AE567,ModelOutputs,9,FALSE)+AI566</f>
        <v>#N/A</v>
      </c>
      <c r="AJ567" s="55" t="e">
        <f ca="1">VLOOKUP(AE567,ModelOutputs,5,FALSE)+AJ566</f>
        <v>#N/A</v>
      </c>
      <c r="AK567" s="55" t="e">
        <f ca="1">VLOOKUP(AE567,ModelOutputs,4,FALSE)+AK566</f>
        <v>#N/A</v>
      </c>
    </row>
    <row r="568" spans="18:37">
      <c r="R568" s="55" t="e">
        <f ca="1"/>
        <v>#N/A</v>
      </c>
      <c r="S568" s="55" t="e">
        <f t="shared" ca="1" si="121"/>
        <v>#N/A</v>
      </c>
      <c r="T568" s="55" t="e">
        <f t="shared" ca="1" si="122"/>
        <v>#N/A</v>
      </c>
      <c r="U568" s="55" t="e">
        <f t="shared" ca="1" si="123"/>
        <v>#N/A</v>
      </c>
      <c r="V568" s="55" t="e">
        <f t="shared" ca="1" si="124"/>
        <v>#N/A</v>
      </c>
      <c r="W568" s="55" t="e">
        <f t="shared" ca="1" si="132"/>
        <v>#N/A</v>
      </c>
      <c r="X568" s="55" t="e">
        <f t="shared" ca="1" si="133"/>
        <v>#N/A</v>
      </c>
      <c r="Y568" s="55" t="e">
        <f t="shared" ca="1" si="134"/>
        <v>#N/A</v>
      </c>
      <c r="Z568" t="e">
        <f ca="1">VLOOKUP(S568,ModelOutputs,10,FALSE)*AWC</f>
        <v>#N/A</v>
      </c>
      <c r="AA568" t="e">
        <f t="shared" ca="1" si="125"/>
        <v>#N/A</v>
      </c>
      <c r="AB568" t="e">
        <f t="shared" ca="1" si="126"/>
        <v>#N/A</v>
      </c>
      <c r="AC568" t="e">
        <f t="shared" ca="1" si="127"/>
        <v>#N/A</v>
      </c>
      <c r="AD568" s="83" t="e">
        <f ca="1"/>
        <v>#N/A</v>
      </c>
      <c r="AE568" s="55" t="e">
        <f t="shared" ca="1" si="128"/>
        <v>#N/A</v>
      </c>
      <c r="AF568" s="55" t="e">
        <f t="shared" ca="1" si="129"/>
        <v>#N/A</v>
      </c>
      <c r="AG568" s="55" t="e">
        <f t="shared" ca="1" si="130"/>
        <v>#N/A</v>
      </c>
      <c r="AH568" s="55" t="e">
        <f t="shared" ca="1" si="131"/>
        <v>#N/A</v>
      </c>
      <c r="AI568" s="55" t="e">
        <f ca="1">-VLOOKUP(AE568,ModelOutputs,9,FALSE)+AI567</f>
        <v>#N/A</v>
      </c>
      <c r="AJ568" s="55" t="e">
        <f ca="1">VLOOKUP(AE568,ModelOutputs,5,FALSE)+AJ567</f>
        <v>#N/A</v>
      </c>
      <c r="AK568" s="55" t="e">
        <f ca="1">VLOOKUP(AE568,ModelOutputs,4,FALSE)+AK567</f>
        <v>#N/A</v>
      </c>
    </row>
    <row r="569" spans="18:37">
      <c r="R569" s="55" t="e">
        <f ca="1"/>
        <v>#N/A</v>
      </c>
      <c r="S569" s="55" t="e">
        <f t="shared" ca="1" si="121"/>
        <v>#N/A</v>
      </c>
      <c r="T569" s="55" t="e">
        <f t="shared" ca="1" si="122"/>
        <v>#N/A</v>
      </c>
      <c r="U569" s="55" t="e">
        <f t="shared" ca="1" si="123"/>
        <v>#N/A</v>
      </c>
      <c r="V569" s="55" t="e">
        <f t="shared" ca="1" si="124"/>
        <v>#N/A</v>
      </c>
      <c r="W569" s="55" t="e">
        <f t="shared" ca="1" si="132"/>
        <v>#N/A</v>
      </c>
      <c r="X569" s="55" t="e">
        <f t="shared" ca="1" si="133"/>
        <v>#N/A</v>
      </c>
      <c r="Y569" s="55" t="e">
        <f t="shared" ca="1" si="134"/>
        <v>#N/A</v>
      </c>
      <c r="Z569" t="e">
        <f ca="1">VLOOKUP(S569,ModelOutputs,10,FALSE)*AWC</f>
        <v>#N/A</v>
      </c>
      <c r="AA569" t="e">
        <f t="shared" ca="1" si="125"/>
        <v>#N/A</v>
      </c>
      <c r="AB569" t="e">
        <f t="shared" ca="1" si="126"/>
        <v>#N/A</v>
      </c>
      <c r="AC569" t="e">
        <f t="shared" ca="1" si="127"/>
        <v>#N/A</v>
      </c>
      <c r="AD569" s="83" t="e">
        <f ca="1"/>
        <v>#N/A</v>
      </c>
      <c r="AE569" s="55" t="e">
        <f t="shared" ca="1" si="128"/>
        <v>#N/A</v>
      </c>
      <c r="AF569" s="55" t="e">
        <f t="shared" ca="1" si="129"/>
        <v>#N/A</v>
      </c>
      <c r="AG569" s="55" t="e">
        <f t="shared" ca="1" si="130"/>
        <v>#N/A</v>
      </c>
      <c r="AH569" s="55" t="e">
        <f t="shared" ca="1" si="131"/>
        <v>#N/A</v>
      </c>
      <c r="AI569" s="55" t="e">
        <f ca="1">-VLOOKUP(AE569,ModelOutputs,9,FALSE)+AI568</f>
        <v>#N/A</v>
      </c>
      <c r="AJ569" s="55" t="e">
        <f ca="1">VLOOKUP(AE569,ModelOutputs,5,FALSE)+AJ568</f>
        <v>#N/A</v>
      </c>
      <c r="AK569" s="55" t="e">
        <f ca="1">VLOOKUP(AE569,ModelOutputs,4,FALSE)+AK568</f>
        <v>#N/A</v>
      </c>
    </row>
    <row r="570" spans="18:37">
      <c r="R570" s="55" t="e">
        <f ca="1"/>
        <v>#N/A</v>
      </c>
      <c r="S570" s="55" t="e">
        <f t="shared" ca="1" si="121"/>
        <v>#N/A</v>
      </c>
      <c r="T570" s="55" t="e">
        <f t="shared" ca="1" si="122"/>
        <v>#N/A</v>
      </c>
      <c r="U570" s="55" t="e">
        <f t="shared" ca="1" si="123"/>
        <v>#N/A</v>
      </c>
      <c r="V570" s="55" t="e">
        <f t="shared" ca="1" si="124"/>
        <v>#N/A</v>
      </c>
      <c r="W570" s="55" t="e">
        <f t="shared" ca="1" si="132"/>
        <v>#N/A</v>
      </c>
      <c r="X570" s="55" t="e">
        <f t="shared" ca="1" si="133"/>
        <v>#N/A</v>
      </c>
      <c r="Y570" s="55" t="e">
        <f t="shared" ca="1" si="134"/>
        <v>#N/A</v>
      </c>
      <c r="Z570" t="e">
        <f ca="1">VLOOKUP(S570,ModelOutputs,10,FALSE)*AWC</f>
        <v>#N/A</v>
      </c>
      <c r="AA570" t="e">
        <f t="shared" ca="1" si="125"/>
        <v>#N/A</v>
      </c>
      <c r="AB570" t="e">
        <f t="shared" ca="1" si="126"/>
        <v>#N/A</v>
      </c>
      <c r="AC570" t="e">
        <f t="shared" ca="1" si="127"/>
        <v>#N/A</v>
      </c>
      <c r="AD570" s="83" t="e">
        <f ca="1"/>
        <v>#N/A</v>
      </c>
      <c r="AE570" s="55" t="e">
        <f t="shared" ca="1" si="128"/>
        <v>#N/A</v>
      </c>
      <c r="AF570" s="55" t="e">
        <f t="shared" ca="1" si="129"/>
        <v>#N/A</v>
      </c>
      <c r="AG570" s="55" t="e">
        <f t="shared" ca="1" si="130"/>
        <v>#N/A</v>
      </c>
      <c r="AH570" s="55" t="e">
        <f t="shared" ca="1" si="131"/>
        <v>#N/A</v>
      </c>
      <c r="AI570" s="55" t="e">
        <f ca="1">-VLOOKUP(AE570,ModelOutputs,9,FALSE)+AI569</f>
        <v>#N/A</v>
      </c>
      <c r="AJ570" s="55" t="e">
        <f ca="1">VLOOKUP(AE570,ModelOutputs,5,FALSE)+AJ569</f>
        <v>#N/A</v>
      </c>
      <c r="AK570" s="55" t="e">
        <f ca="1">VLOOKUP(AE570,ModelOutputs,4,FALSE)+AK569</f>
        <v>#N/A</v>
      </c>
    </row>
    <row r="571" spans="18:37">
      <c r="R571" s="55" t="e">
        <f ca="1"/>
        <v>#N/A</v>
      </c>
      <c r="S571" s="55" t="e">
        <f t="shared" ca="1" si="121"/>
        <v>#N/A</v>
      </c>
      <c r="T571" s="55" t="e">
        <f t="shared" ca="1" si="122"/>
        <v>#N/A</v>
      </c>
      <c r="U571" s="55" t="e">
        <f t="shared" ca="1" si="123"/>
        <v>#N/A</v>
      </c>
      <c r="V571" s="55" t="e">
        <f t="shared" ca="1" si="124"/>
        <v>#N/A</v>
      </c>
      <c r="W571" s="55" t="e">
        <f t="shared" ca="1" si="132"/>
        <v>#N/A</v>
      </c>
      <c r="X571" s="55" t="e">
        <f t="shared" ca="1" si="133"/>
        <v>#N/A</v>
      </c>
      <c r="Y571" s="55" t="e">
        <f t="shared" ca="1" si="134"/>
        <v>#N/A</v>
      </c>
      <c r="Z571" t="e">
        <f ca="1">VLOOKUP(S571,ModelOutputs,10,FALSE)*AWC</f>
        <v>#N/A</v>
      </c>
      <c r="AA571" t="e">
        <f t="shared" ca="1" si="125"/>
        <v>#N/A</v>
      </c>
      <c r="AB571" t="e">
        <f t="shared" ca="1" si="126"/>
        <v>#N/A</v>
      </c>
      <c r="AC571" t="e">
        <f t="shared" ca="1" si="127"/>
        <v>#N/A</v>
      </c>
      <c r="AD571" s="83" t="e">
        <f ca="1"/>
        <v>#N/A</v>
      </c>
      <c r="AE571" s="55" t="e">
        <f t="shared" ca="1" si="128"/>
        <v>#N/A</v>
      </c>
      <c r="AF571" s="55" t="e">
        <f t="shared" ca="1" si="129"/>
        <v>#N/A</v>
      </c>
      <c r="AG571" s="55" t="e">
        <f t="shared" ca="1" si="130"/>
        <v>#N/A</v>
      </c>
      <c r="AH571" s="55" t="e">
        <f t="shared" ca="1" si="131"/>
        <v>#N/A</v>
      </c>
      <c r="AI571" s="55" t="e">
        <f ca="1">-VLOOKUP(AE571,ModelOutputs,9,FALSE)+AI570</f>
        <v>#N/A</v>
      </c>
      <c r="AJ571" s="55" t="e">
        <f ca="1">VLOOKUP(AE571,ModelOutputs,5,FALSE)+AJ570</f>
        <v>#N/A</v>
      </c>
      <c r="AK571" s="55" t="e">
        <f ca="1">VLOOKUP(AE571,ModelOutputs,4,FALSE)+AK570</f>
        <v>#N/A</v>
      </c>
    </row>
    <row r="572" spans="18:37">
      <c r="R572" s="55" t="e">
        <f ca="1"/>
        <v>#N/A</v>
      </c>
      <c r="S572" s="55" t="e">
        <f t="shared" ca="1" si="121"/>
        <v>#N/A</v>
      </c>
      <c r="T572" s="55" t="e">
        <f t="shared" ca="1" si="122"/>
        <v>#N/A</v>
      </c>
      <c r="U572" s="55" t="e">
        <f t="shared" ca="1" si="123"/>
        <v>#N/A</v>
      </c>
      <c r="V572" s="55" t="e">
        <f t="shared" ca="1" si="124"/>
        <v>#N/A</v>
      </c>
      <c r="W572" s="55" t="e">
        <f t="shared" ca="1" si="132"/>
        <v>#N/A</v>
      </c>
      <c r="X572" s="55" t="e">
        <f t="shared" ca="1" si="133"/>
        <v>#N/A</v>
      </c>
      <c r="Y572" s="55" t="e">
        <f t="shared" ca="1" si="134"/>
        <v>#N/A</v>
      </c>
      <c r="Z572" t="e">
        <f ca="1">VLOOKUP(S572,ModelOutputs,10,FALSE)*AWC</f>
        <v>#N/A</v>
      </c>
      <c r="AA572" t="e">
        <f t="shared" ca="1" si="125"/>
        <v>#N/A</v>
      </c>
      <c r="AB572" t="e">
        <f t="shared" ca="1" si="126"/>
        <v>#N/A</v>
      </c>
      <c r="AC572" t="e">
        <f t="shared" ca="1" si="127"/>
        <v>#N/A</v>
      </c>
      <c r="AD572" s="83" t="e">
        <f ca="1"/>
        <v>#N/A</v>
      </c>
      <c r="AE572" s="55" t="e">
        <f t="shared" ca="1" si="128"/>
        <v>#N/A</v>
      </c>
      <c r="AF572" s="55" t="e">
        <f t="shared" ca="1" si="129"/>
        <v>#N/A</v>
      </c>
      <c r="AG572" s="55" t="e">
        <f t="shared" ca="1" si="130"/>
        <v>#N/A</v>
      </c>
      <c r="AH572" s="55" t="e">
        <f t="shared" ca="1" si="131"/>
        <v>#N/A</v>
      </c>
      <c r="AI572" s="55" t="e">
        <f ca="1">-VLOOKUP(AE572,ModelOutputs,9,FALSE)+AI571</f>
        <v>#N/A</v>
      </c>
      <c r="AJ572" s="55" t="e">
        <f ca="1">VLOOKUP(AE572,ModelOutputs,5,FALSE)+AJ571</f>
        <v>#N/A</v>
      </c>
      <c r="AK572" s="55" t="e">
        <f ca="1">VLOOKUP(AE572,ModelOutputs,4,FALSE)+AK571</f>
        <v>#N/A</v>
      </c>
    </row>
    <row r="573" spans="18:37">
      <c r="R573" s="55" t="e">
        <f ca="1"/>
        <v>#N/A</v>
      </c>
      <c r="S573" s="55" t="e">
        <f t="shared" ca="1" si="121"/>
        <v>#N/A</v>
      </c>
      <c r="T573" s="55" t="e">
        <f t="shared" ca="1" si="122"/>
        <v>#N/A</v>
      </c>
      <c r="U573" s="55" t="e">
        <f t="shared" ca="1" si="123"/>
        <v>#N/A</v>
      </c>
      <c r="V573" s="55" t="e">
        <f t="shared" ca="1" si="124"/>
        <v>#N/A</v>
      </c>
      <c r="W573" s="55" t="e">
        <f t="shared" ca="1" si="132"/>
        <v>#N/A</v>
      </c>
      <c r="X573" s="55" t="e">
        <f t="shared" ca="1" si="133"/>
        <v>#N/A</v>
      </c>
      <c r="Y573" s="55" t="e">
        <f t="shared" ca="1" si="134"/>
        <v>#N/A</v>
      </c>
      <c r="Z573" t="e">
        <f ca="1">VLOOKUP(S573,ModelOutputs,10,FALSE)*AWC</f>
        <v>#N/A</v>
      </c>
      <c r="AA573" t="e">
        <f t="shared" ca="1" si="125"/>
        <v>#N/A</v>
      </c>
      <c r="AB573" t="e">
        <f t="shared" ca="1" si="126"/>
        <v>#N/A</v>
      </c>
      <c r="AC573" t="e">
        <f t="shared" ca="1" si="127"/>
        <v>#N/A</v>
      </c>
      <c r="AD573" s="83" t="e">
        <f ca="1"/>
        <v>#N/A</v>
      </c>
      <c r="AE573" s="55" t="e">
        <f t="shared" ca="1" si="128"/>
        <v>#N/A</v>
      </c>
      <c r="AF573" s="55" t="e">
        <f t="shared" ca="1" si="129"/>
        <v>#N/A</v>
      </c>
      <c r="AG573" s="55" t="e">
        <f t="shared" ca="1" si="130"/>
        <v>#N/A</v>
      </c>
      <c r="AH573" s="55" t="e">
        <f t="shared" ca="1" si="131"/>
        <v>#N/A</v>
      </c>
      <c r="AI573" s="55" t="e">
        <f ca="1">-VLOOKUP(AE573,ModelOutputs,9,FALSE)+AI572</f>
        <v>#N/A</v>
      </c>
      <c r="AJ573" s="55" t="e">
        <f ca="1">VLOOKUP(AE573,ModelOutputs,5,FALSE)+AJ572</f>
        <v>#N/A</v>
      </c>
      <c r="AK573" s="55" t="e">
        <f ca="1">VLOOKUP(AE573,ModelOutputs,4,FALSE)+AK572</f>
        <v>#N/A</v>
      </c>
    </row>
    <row r="574" spans="18:37">
      <c r="R574" s="55" t="e">
        <f ca="1"/>
        <v>#N/A</v>
      </c>
      <c r="S574" s="55" t="e">
        <f t="shared" ca="1" si="121"/>
        <v>#N/A</v>
      </c>
      <c r="T574" s="55" t="e">
        <f t="shared" ca="1" si="122"/>
        <v>#N/A</v>
      </c>
      <c r="U574" s="55" t="e">
        <f t="shared" ca="1" si="123"/>
        <v>#N/A</v>
      </c>
      <c r="V574" s="55" t="e">
        <f t="shared" ca="1" si="124"/>
        <v>#N/A</v>
      </c>
      <c r="W574" s="55" t="e">
        <f t="shared" ca="1" si="132"/>
        <v>#N/A</v>
      </c>
      <c r="X574" s="55" t="e">
        <f t="shared" ca="1" si="133"/>
        <v>#N/A</v>
      </c>
      <c r="Y574" s="55" t="e">
        <f t="shared" ca="1" si="134"/>
        <v>#N/A</v>
      </c>
      <c r="Z574" t="e">
        <f ca="1">VLOOKUP(S574,ModelOutputs,10,FALSE)*AWC</f>
        <v>#N/A</v>
      </c>
      <c r="AA574" t="e">
        <f t="shared" ca="1" si="125"/>
        <v>#N/A</v>
      </c>
      <c r="AB574" t="e">
        <f t="shared" ca="1" si="126"/>
        <v>#N/A</v>
      </c>
      <c r="AC574" t="e">
        <f t="shared" ca="1" si="127"/>
        <v>#N/A</v>
      </c>
      <c r="AD574" s="83" t="e">
        <f ca="1"/>
        <v>#N/A</v>
      </c>
      <c r="AE574" s="55" t="e">
        <f t="shared" ca="1" si="128"/>
        <v>#N/A</v>
      </c>
      <c r="AF574" s="55" t="e">
        <f t="shared" ca="1" si="129"/>
        <v>#N/A</v>
      </c>
      <c r="AG574" s="55" t="e">
        <f t="shared" ca="1" si="130"/>
        <v>#N/A</v>
      </c>
      <c r="AH574" s="55" t="e">
        <f t="shared" ca="1" si="131"/>
        <v>#N/A</v>
      </c>
      <c r="AI574" s="55" t="e">
        <f ca="1">-VLOOKUP(AE574,ModelOutputs,9,FALSE)+AI573</f>
        <v>#N/A</v>
      </c>
      <c r="AJ574" s="55" t="e">
        <f ca="1">VLOOKUP(AE574,ModelOutputs,5,FALSE)+AJ573</f>
        <v>#N/A</v>
      </c>
      <c r="AK574" s="55" t="e">
        <f ca="1">VLOOKUP(AE574,ModelOutputs,4,FALSE)+AK573</f>
        <v>#N/A</v>
      </c>
    </row>
    <row r="575" spans="18:37">
      <c r="R575" s="55" t="e">
        <f ca="1"/>
        <v>#N/A</v>
      </c>
      <c r="S575" s="55" t="e">
        <f t="shared" ca="1" si="121"/>
        <v>#N/A</v>
      </c>
      <c r="T575" s="55" t="e">
        <f t="shared" ca="1" si="122"/>
        <v>#N/A</v>
      </c>
      <c r="U575" s="55" t="e">
        <f t="shared" ca="1" si="123"/>
        <v>#N/A</v>
      </c>
      <c r="V575" s="55" t="e">
        <f t="shared" ca="1" si="124"/>
        <v>#N/A</v>
      </c>
      <c r="W575" s="55" t="e">
        <f t="shared" ca="1" si="132"/>
        <v>#N/A</v>
      </c>
      <c r="X575" s="55" t="e">
        <f t="shared" ca="1" si="133"/>
        <v>#N/A</v>
      </c>
      <c r="Y575" s="55" t="e">
        <f t="shared" ca="1" si="134"/>
        <v>#N/A</v>
      </c>
      <c r="Z575" t="e">
        <f ca="1">VLOOKUP(S575,ModelOutputs,10,FALSE)*AWC</f>
        <v>#N/A</v>
      </c>
      <c r="AA575" t="e">
        <f t="shared" ca="1" si="125"/>
        <v>#N/A</v>
      </c>
      <c r="AB575" t="e">
        <f t="shared" ca="1" si="126"/>
        <v>#N/A</v>
      </c>
      <c r="AC575" t="e">
        <f t="shared" ca="1" si="127"/>
        <v>#N/A</v>
      </c>
      <c r="AD575" s="83" t="e">
        <f ca="1"/>
        <v>#N/A</v>
      </c>
      <c r="AE575" s="55" t="e">
        <f t="shared" ca="1" si="128"/>
        <v>#N/A</v>
      </c>
      <c r="AF575" s="55" t="e">
        <f t="shared" ca="1" si="129"/>
        <v>#N/A</v>
      </c>
      <c r="AG575" s="55" t="e">
        <f t="shared" ca="1" si="130"/>
        <v>#N/A</v>
      </c>
      <c r="AH575" s="55" t="e">
        <f t="shared" ca="1" si="131"/>
        <v>#N/A</v>
      </c>
      <c r="AI575" s="55" t="e">
        <f ca="1">-VLOOKUP(AE575,ModelOutputs,9,FALSE)+AI574</f>
        <v>#N/A</v>
      </c>
      <c r="AJ575" s="55" t="e">
        <f ca="1">VLOOKUP(AE575,ModelOutputs,5,FALSE)+AJ574</f>
        <v>#N/A</v>
      </c>
      <c r="AK575" s="55" t="e">
        <f ca="1">VLOOKUP(AE575,ModelOutputs,4,FALSE)+AK574</f>
        <v>#N/A</v>
      </c>
    </row>
    <row r="576" spans="18:37">
      <c r="R576" s="55" t="e">
        <f ca="1"/>
        <v>#N/A</v>
      </c>
      <c r="S576" s="55" t="e">
        <f t="shared" ca="1" si="121"/>
        <v>#N/A</v>
      </c>
      <c r="T576" s="55" t="e">
        <f t="shared" ca="1" si="122"/>
        <v>#N/A</v>
      </c>
      <c r="U576" s="55" t="e">
        <f t="shared" ca="1" si="123"/>
        <v>#N/A</v>
      </c>
      <c r="V576" s="55" t="e">
        <f t="shared" ca="1" si="124"/>
        <v>#N/A</v>
      </c>
      <c r="W576" s="55" t="e">
        <f t="shared" ca="1" si="132"/>
        <v>#N/A</v>
      </c>
      <c r="X576" s="55" t="e">
        <f t="shared" ca="1" si="133"/>
        <v>#N/A</v>
      </c>
      <c r="Y576" s="55" t="e">
        <f t="shared" ca="1" si="134"/>
        <v>#N/A</v>
      </c>
      <c r="Z576" t="e">
        <f ca="1">VLOOKUP(S576,ModelOutputs,10,FALSE)*AWC</f>
        <v>#N/A</v>
      </c>
      <c r="AA576" t="e">
        <f t="shared" ca="1" si="125"/>
        <v>#N/A</v>
      </c>
      <c r="AB576" t="e">
        <f t="shared" ca="1" si="126"/>
        <v>#N/A</v>
      </c>
      <c r="AC576" t="e">
        <f t="shared" ca="1" si="127"/>
        <v>#N/A</v>
      </c>
      <c r="AD576" s="83" t="e">
        <f ca="1"/>
        <v>#N/A</v>
      </c>
      <c r="AE576" s="55" t="e">
        <f t="shared" ca="1" si="128"/>
        <v>#N/A</v>
      </c>
      <c r="AF576" s="55" t="e">
        <f t="shared" ca="1" si="129"/>
        <v>#N/A</v>
      </c>
      <c r="AG576" s="55" t="e">
        <f t="shared" ca="1" si="130"/>
        <v>#N/A</v>
      </c>
      <c r="AH576" s="55" t="e">
        <f t="shared" ca="1" si="131"/>
        <v>#N/A</v>
      </c>
      <c r="AI576" s="55" t="e">
        <f ca="1">-VLOOKUP(AE576,ModelOutputs,9,FALSE)+AI575</f>
        <v>#N/A</v>
      </c>
      <c r="AJ576" s="55" t="e">
        <f ca="1">VLOOKUP(AE576,ModelOutputs,5,FALSE)+AJ575</f>
        <v>#N/A</v>
      </c>
      <c r="AK576" s="55" t="e">
        <f ca="1">VLOOKUP(AE576,ModelOutputs,4,FALSE)+AK575</f>
        <v>#N/A</v>
      </c>
    </row>
    <row r="577" spans="18:37">
      <c r="R577" s="55" t="e">
        <f ca="1"/>
        <v>#N/A</v>
      </c>
      <c r="S577" s="55" t="e">
        <f t="shared" ca="1" si="121"/>
        <v>#N/A</v>
      </c>
      <c r="T577" s="55" t="e">
        <f t="shared" ca="1" si="122"/>
        <v>#N/A</v>
      </c>
      <c r="U577" s="55" t="e">
        <f t="shared" ca="1" si="123"/>
        <v>#N/A</v>
      </c>
      <c r="V577" s="55" t="e">
        <f t="shared" ca="1" si="124"/>
        <v>#N/A</v>
      </c>
      <c r="W577" s="55" t="e">
        <f t="shared" ca="1" si="132"/>
        <v>#N/A</v>
      </c>
      <c r="X577" s="55" t="e">
        <f t="shared" ca="1" si="133"/>
        <v>#N/A</v>
      </c>
      <c r="Y577" s="55" t="e">
        <f t="shared" ca="1" si="134"/>
        <v>#N/A</v>
      </c>
      <c r="Z577" t="e">
        <f ca="1">VLOOKUP(S577,ModelOutputs,10,FALSE)*AWC</f>
        <v>#N/A</v>
      </c>
      <c r="AA577" t="e">
        <f t="shared" ca="1" si="125"/>
        <v>#N/A</v>
      </c>
      <c r="AB577" t="e">
        <f t="shared" ca="1" si="126"/>
        <v>#N/A</v>
      </c>
      <c r="AC577" t="e">
        <f t="shared" ca="1" si="127"/>
        <v>#N/A</v>
      </c>
      <c r="AD577" s="83" t="e">
        <f ca="1"/>
        <v>#N/A</v>
      </c>
      <c r="AE577" s="55" t="e">
        <f t="shared" ca="1" si="128"/>
        <v>#N/A</v>
      </c>
      <c r="AF577" s="55" t="e">
        <f t="shared" ca="1" si="129"/>
        <v>#N/A</v>
      </c>
      <c r="AG577" s="55" t="e">
        <f t="shared" ca="1" si="130"/>
        <v>#N/A</v>
      </c>
      <c r="AH577" s="55" t="e">
        <f t="shared" ca="1" si="131"/>
        <v>#N/A</v>
      </c>
      <c r="AI577" s="55" t="e">
        <f ca="1">-VLOOKUP(AE577,ModelOutputs,9,FALSE)+AI576</f>
        <v>#N/A</v>
      </c>
      <c r="AJ577" s="55" t="e">
        <f ca="1">VLOOKUP(AE577,ModelOutputs,5,FALSE)+AJ576</f>
        <v>#N/A</v>
      </c>
      <c r="AK577" s="55" t="e">
        <f ca="1">VLOOKUP(AE577,ModelOutputs,4,FALSE)+AK576</f>
        <v>#N/A</v>
      </c>
    </row>
    <row r="578" spans="18:37">
      <c r="R578" s="55" t="e">
        <f ca="1"/>
        <v>#N/A</v>
      </c>
      <c r="S578" s="55" t="e">
        <f t="shared" ca="1" si="121"/>
        <v>#N/A</v>
      </c>
      <c r="T578" s="55" t="e">
        <f t="shared" ca="1" si="122"/>
        <v>#N/A</v>
      </c>
      <c r="U578" s="55" t="e">
        <f t="shared" ca="1" si="123"/>
        <v>#N/A</v>
      </c>
      <c r="V578" s="55" t="e">
        <f t="shared" ca="1" si="124"/>
        <v>#N/A</v>
      </c>
      <c r="W578" s="55" t="e">
        <f t="shared" ca="1" si="132"/>
        <v>#N/A</v>
      </c>
      <c r="X578" s="55" t="e">
        <f t="shared" ca="1" si="133"/>
        <v>#N/A</v>
      </c>
      <c r="Y578" s="55" t="e">
        <f t="shared" ca="1" si="134"/>
        <v>#N/A</v>
      </c>
      <c r="Z578" t="e">
        <f ca="1">VLOOKUP(S578,ModelOutputs,10,FALSE)*AWC</f>
        <v>#N/A</v>
      </c>
      <c r="AA578" t="e">
        <f t="shared" ca="1" si="125"/>
        <v>#N/A</v>
      </c>
      <c r="AB578" t="e">
        <f t="shared" ca="1" si="126"/>
        <v>#N/A</v>
      </c>
      <c r="AC578" t="e">
        <f t="shared" ca="1" si="127"/>
        <v>#N/A</v>
      </c>
      <c r="AD578" s="83" t="e">
        <f ca="1"/>
        <v>#N/A</v>
      </c>
      <c r="AE578" s="55" t="e">
        <f t="shared" ca="1" si="128"/>
        <v>#N/A</v>
      </c>
      <c r="AF578" s="55" t="e">
        <f t="shared" ca="1" si="129"/>
        <v>#N/A</v>
      </c>
      <c r="AG578" s="55" t="e">
        <f t="shared" ca="1" si="130"/>
        <v>#N/A</v>
      </c>
      <c r="AH578" s="55" t="e">
        <f t="shared" ca="1" si="131"/>
        <v>#N/A</v>
      </c>
      <c r="AI578" s="55" t="e">
        <f ca="1">-VLOOKUP(AE578,ModelOutputs,9,FALSE)+AI577</f>
        <v>#N/A</v>
      </c>
      <c r="AJ578" s="55" t="e">
        <f ca="1">VLOOKUP(AE578,ModelOutputs,5,FALSE)+AJ577</f>
        <v>#N/A</v>
      </c>
      <c r="AK578" s="55" t="e">
        <f ca="1">VLOOKUP(AE578,ModelOutputs,4,FALSE)+AK577</f>
        <v>#N/A</v>
      </c>
    </row>
    <row r="579" spans="18:37">
      <c r="R579" s="55" t="e">
        <f ca="1"/>
        <v>#N/A</v>
      </c>
      <c r="S579" s="55" t="e">
        <f t="shared" ca="1" si="121"/>
        <v>#N/A</v>
      </c>
      <c r="T579" s="55" t="e">
        <f t="shared" ca="1" si="122"/>
        <v>#N/A</v>
      </c>
      <c r="U579" s="55" t="e">
        <f t="shared" ca="1" si="123"/>
        <v>#N/A</v>
      </c>
      <c r="V579" s="55" t="e">
        <f t="shared" ca="1" si="124"/>
        <v>#N/A</v>
      </c>
      <c r="W579" s="55" t="e">
        <f t="shared" ca="1" si="132"/>
        <v>#N/A</v>
      </c>
      <c r="X579" s="55" t="e">
        <f t="shared" ca="1" si="133"/>
        <v>#N/A</v>
      </c>
      <c r="Y579" s="55" t="e">
        <f t="shared" ca="1" si="134"/>
        <v>#N/A</v>
      </c>
      <c r="Z579" t="e">
        <f ca="1">VLOOKUP(S579,ModelOutputs,10,FALSE)*AWC</f>
        <v>#N/A</v>
      </c>
      <c r="AA579" t="e">
        <f t="shared" ca="1" si="125"/>
        <v>#N/A</v>
      </c>
      <c r="AB579" t="e">
        <f t="shared" ca="1" si="126"/>
        <v>#N/A</v>
      </c>
      <c r="AC579" t="e">
        <f t="shared" ca="1" si="127"/>
        <v>#N/A</v>
      </c>
      <c r="AD579" s="83" t="e">
        <f ca="1"/>
        <v>#N/A</v>
      </c>
      <c r="AE579" s="55" t="e">
        <f t="shared" ca="1" si="128"/>
        <v>#N/A</v>
      </c>
      <c r="AF579" s="55" t="e">
        <f t="shared" ca="1" si="129"/>
        <v>#N/A</v>
      </c>
      <c r="AG579" s="55" t="e">
        <f t="shared" ca="1" si="130"/>
        <v>#N/A</v>
      </c>
      <c r="AH579" s="55" t="e">
        <f t="shared" ca="1" si="131"/>
        <v>#N/A</v>
      </c>
      <c r="AI579" s="55" t="e">
        <f ca="1">-VLOOKUP(AE579,ModelOutputs,9,FALSE)+AI578</f>
        <v>#N/A</v>
      </c>
      <c r="AJ579" s="55" t="e">
        <f ca="1">VLOOKUP(AE579,ModelOutputs,5,FALSE)+AJ578</f>
        <v>#N/A</v>
      </c>
      <c r="AK579" s="55" t="e">
        <f ca="1">VLOOKUP(AE579,ModelOutputs,4,FALSE)+AK578</f>
        <v>#N/A</v>
      </c>
    </row>
    <row r="580" spans="18:37">
      <c r="R580" s="55" t="e">
        <f ca="1"/>
        <v>#N/A</v>
      </c>
      <c r="S580" s="55" t="e">
        <f t="shared" ca="1" si="121"/>
        <v>#N/A</v>
      </c>
      <c r="T580" s="55" t="e">
        <f t="shared" ca="1" si="122"/>
        <v>#N/A</v>
      </c>
      <c r="U580" s="55" t="e">
        <f t="shared" ca="1" si="123"/>
        <v>#N/A</v>
      </c>
      <c r="V580" s="55" t="e">
        <f t="shared" ca="1" si="124"/>
        <v>#N/A</v>
      </c>
      <c r="W580" s="55" t="e">
        <f t="shared" ca="1" si="132"/>
        <v>#N/A</v>
      </c>
      <c r="X580" s="55" t="e">
        <f t="shared" ca="1" si="133"/>
        <v>#N/A</v>
      </c>
      <c r="Y580" s="55" t="e">
        <f t="shared" ca="1" si="134"/>
        <v>#N/A</v>
      </c>
      <c r="Z580" t="e">
        <f ca="1">VLOOKUP(S580,ModelOutputs,10,FALSE)*AWC</f>
        <v>#N/A</v>
      </c>
      <c r="AA580" t="e">
        <f t="shared" ca="1" si="125"/>
        <v>#N/A</v>
      </c>
      <c r="AB580" t="e">
        <f t="shared" ca="1" si="126"/>
        <v>#N/A</v>
      </c>
      <c r="AC580" t="e">
        <f t="shared" ca="1" si="127"/>
        <v>#N/A</v>
      </c>
      <c r="AD580" s="83" t="e">
        <f ca="1"/>
        <v>#N/A</v>
      </c>
      <c r="AE580" s="55" t="e">
        <f t="shared" ca="1" si="128"/>
        <v>#N/A</v>
      </c>
      <c r="AF580" s="55" t="e">
        <f t="shared" ca="1" si="129"/>
        <v>#N/A</v>
      </c>
      <c r="AG580" s="55" t="e">
        <f t="shared" ca="1" si="130"/>
        <v>#N/A</v>
      </c>
      <c r="AH580" s="55" t="e">
        <f t="shared" ca="1" si="131"/>
        <v>#N/A</v>
      </c>
      <c r="AI580" s="55" t="e">
        <f ca="1">-VLOOKUP(AE580,ModelOutputs,9,FALSE)+AI579</f>
        <v>#N/A</v>
      </c>
      <c r="AJ580" s="55" t="e">
        <f ca="1">VLOOKUP(AE580,ModelOutputs,5,FALSE)+AJ579</f>
        <v>#N/A</v>
      </c>
      <c r="AK580" s="55" t="e">
        <f ca="1">VLOOKUP(AE580,ModelOutputs,4,FALSE)+AK579</f>
        <v>#N/A</v>
      </c>
    </row>
    <row r="581" spans="18:37">
      <c r="R581" s="55" t="e">
        <f ca="1"/>
        <v>#N/A</v>
      </c>
      <c r="S581" s="55" t="e">
        <f t="shared" ca="1" si="121"/>
        <v>#N/A</v>
      </c>
      <c r="T581" s="55" t="e">
        <f t="shared" ca="1" si="122"/>
        <v>#N/A</v>
      </c>
      <c r="U581" s="55" t="e">
        <f t="shared" ca="1" si="123"/>
        <v>#N/A</v>
      </c>
      <c r="V581" s="55" t="e">
        <f t="shared" ca="1" si="124"/>
        <v>#N/A</v>
      </c>
      <c r="W581" s="55" t="e">
        <f t="shared" ca="1" si="132"/>
        <v>#N/A</v>
      </c>
      <c r="X581" s="55" t="e">
        <f t="shared" ca="1" si="133"/>
        <v>#N/A</v>
      </c>
      <c r="Y581" s="55" t="e">
        <f t="shared" ca="1" si="134"/>
        <v>#N/A</v>
      </c>
      <c r="Z581" t="e">
        <f ca="1">VLOOKUP(S581,ModelOutputs,10,FALSE)*AWC</f>
        <v>#N/A</v>
      </c>
      <c r="AA581" t="e">
        <f t="shared" ca="1" si="125"/>
        <v>#N/A</v>
      </c>
      <c r="AB581" t="e">
        <f t="shared" ca="1" si="126"/>
        <v>#N/A</v>
      </c>
      <c r="AC581" t="e">
        <f t="shared" ca="1" si="127"/>
        <v>#N/A</v>
      </c>
      <c r="AD581" s="83" t="e">
        <f ca="1"/>
        <v>#N/A</v>
      </c>
      <c r="AE581" s="55" t="e">
        <f t="shared" ca="1" si="128"/>
        <v>#N/A</v>
      </c>
      <c r="AF581" s="55" t="e">
        <f t="shared" ca="1" si="129"/>
        <v>#N/A</v>
      </c>
      <c r="AG581" s="55" t="e">
        <f t="shared" ca="1" si="130"/>
        <v>#N/A</v>
      </c>
      <c r="AH581" s="55" t="e">
        <f t="shared" ca="1" si="131"/>
        <v>#N/A</v>
      </c>
      <c r="AI581" s="55" t="e">
        <f ca="1">-VLOOKUP(AE581,ModelOutputs,9,FALSE)+AI580</f>
        <v>#N/A</v>
      </c>
      <c r="AJ581" s="55" t="e">
        <f ca="1">VLOOKUP(AE581,ModelOutputs,5,FALSE)+AJ580</f>
        <v>#N/A</v>
      </c>
      <c r="AK581" s="55" t="e">
        <f ca="1">VLOOKUP(AE581,ModelOutputs,4,FALSE)+AK580</f>
        <v>#N/A</v>
      </c>
    </row>
    <row r="582" spans="18:37">
      <c r="R582" s="55" t="e">
        <f ca="1"/>
        <v>#N/A</v>
      </c>
      <c r="S582" s="55" t="e">
        <f t="shared" ca="1" si="121"/>
        <v>#N/A</v>
      </c>
      <c r="T582" s="55" t="e">
        <f t="shared" ca="1" si="122"/>
        <v>#N/A</v>
      </c>
      <c r="U582" s="55" t="e">
        <f t="shared" ca="1" si="123"/>
        <v>#N/A</v>
      </c>
      <c r="V582" s="55" t="e">
        <f t="shared" ca="1" si="124"/>
        <v>#N/A</v>
      </c>
      <c r="W582" s="55" t="e">
        <f t="shared" ca="1" si="132"/>
        <v>#N/A</v>
      </c>
      <c r="X582" s="55" t="e">
        <f t="shared" ca="1" si="133"/>
        <v>#N/A</v>
      </c>
      <c r="Y582" s="55" t="e">
        <f t="shared" ca="1" si="134"/>
        <v>#N/A</v>
      </c>
      <c r="Z582" t="e">
        <f ca="1">VLOOKUP(S582,ModelOutputs,10,FALSE)*AWC</f>
        <v>#N/A</v>
      </c>
      <c r="AA582" t="e">
        <f t="shared" ca="1" si="125"/>
        <v>#N/A</v>
      </c>
      <c r="AB582" t="e">
        <f t="shared" ca="1" si="126"/>
        <v>#N/A</v>
      </c>
      <c r="AC582" t="e">
        <f t="shared" ca="1" si="127"/>
        <v>#N/A</v>
      </c>
      <c r="AD582" s="83" t="e">
        <f ca="1"/>
        <v>#N/A</v>
      </c>
      <c r="AE582" s="55" t="e">
        <f t="shared" ca="1" si="128"/>
        <v>#N/A</v>
      </c>
      <c r="AF582" s="55" t="e">
        <f t="shared" ca="1" si="129"/>
        <v>#N/A</v>
      </c>
      <c r="AG582" s="55" t="e">
        <f t="shared" ca="1" si="130"/>
        <v>#N/A</v>
      </c>
      <c r="AH582" s="55" t="e">
        <f t="shared" ca="1" si="131"/>
        <v>#N/A</v>
      </c>
      <c r="AI582" s="55" t="e">
        <f ca="1">-VLOOKUP(AE582,ModelOutputs,9,FALSE)+AI581</f>
        <v>#N/A</v>
      </c>
      <c r="AJ582" s="55" t="e">
        <f ca="1">VLOOKUP(AE582,ModelOutputs,5,FALSE)+AJ581</f>
        <v>#N/A</v>
      </c>
      <c r="AK582" s="55" t="e">
        <f ca="1">VLOOKUP(AE582,ModelOutputs,4,FALSE)+AK581</f>
        <v>#N/A</v>
      </c>
    </row>
    <row r="583" spans="18:37">
      <c r="R583" s="55" t="e">
        <f ca="1"/>
        <v>#N/A</v>
      </c>
      <c r="S583" s="55" t="e">
        <f t="shared" ca="1" si="121"/>
        <v>#N/A</v>
      </c>
      <c r="T583" s="55" t="e">
        <f t="shared" ca="1" si="122"/>
        <v>#N/A</v>
      </c>
      <c r="U583" s="55" t="e">
        <f t="shared" ca="1" si="123"/>
        <v>#N/A</v>
      </c>
      <c r="V583" s="55" t="e">
        <f t="shared" ca="1" si="124"/>
        <v>#N/A</v>
      </c>
      <c r="W583" s="55" t="e">
        <f t="shared" ca="1" si="132"/>
        <v>#N/A</v>
      </c>
      <c r="X583" s="55" t="e">
        <f t="shared" ca="1" si="133"/>
        <v>#N/A</v>
      </c>
      <c r="Y583" s="55" t="e">
        <f t="shared" ca="1" si="134"/>
        <v>#N/A</v>
      </c>
      <c r="Z583" t="e">
        <f ca="1">VLOOKUP(S583,ModelOutputs,10,FALSE)*AWC</f>
        <v>#N/A</v>
      </c>
      <c r="AA583" t="e">
        <f t="shared" ca="1" si="125"/>
        <v>#N/A</v>
      </c>
      <c r="AB583" t="e">
        <f t="shared" ca="1" si="126"/>
        <v>#N/A</v>
      </c>
      <c r="AC583" t="e">
        <f t="shared" ca="1" si="127"/>
        <v>#N/A</v>
      </c>
      <c r="AD583" s="83" t="e">
        <f ca="1"/>
        <v>#N/A</v>
      </c>
      <c r="AE583" s="55" t="e">
        <f t="shared" ca="1" si="128"/>
        <v>#N/A</v>
      </c>
      <c r="AF583" s="55" t="e">
        <f t="shared" ca="1" si="129"/>
        <v>#N/A</v>
      </c>
      <c r="AG583" s="55" t="e">
        <f t="shared" ca="1" si="130"/>
        <v>#N/A</v>
      </c>
      <c r="AH583" s="55" t="e">
        <f t="shared" ca="1" si="131"/>
        <v>#N/A</v>
      </c>
      <c r="AI583" s="55" t="e">
        <f ca="1">-VLOOKUP(AE583,ModelOutputs,9,FALSE)+AI582</f>
        <v>#N/A</v>
      </c>
      <c r="AJ583" s="55" t="e">
        <f ca="1">VLOOKUP(AE583,ModelOutputs,5,FALSE)+AJ582</f>
        <v>#N/A</v>
      </c>
      <c r="AK583" s="55" t="e">
        <f ca="1">VLOOKUP(AE583,ModelOutputs,4,FALSE)+AK582</f>
        <v>#N/A</v>
      </c>
    </row>
    <row r="584" spans="18:37">
      <c r="R584" s="55" t="e">
        <f ca="1"/>
        <v>#N/A</v>
      </c>
      <c r="S584" s="55" t="e">
        <f t="shared" ca="1" si="121"/>
        <v>#N/A</v>
      </c>
      <c r="T584" s="55" t="e">
        <f t="shared" ca="1" si="122"/>
        <v>#N/A</v>
      </c>
      <c r="U584" s="55" t="e">
        <f t="shared" ca="1" si="123"/>
        <v>#N/A</v>
      </c>
      <c r="V584" s="55" t="e">
        <f t="shared" ca="1" si="124"/>
        <v>#N/A</v>
      </c>
      <c r="W584" s="55" t="e">
        <f t="shared" ca="1" si="132"/>
        <v>#N/A</v>
      </c>
      <c r="X584" s="55" t="e">
        <f t="shared" ca="1" si="133"/>
        <v>#N/A</v>
      </c>
      <c r="Y584" s="55" t="e">
        <f t="shared" ca="1" si="134"/>
        <v>#N/A</v>
      </c>
      <c r="Z584" t="e">
        <f ca="1">VLOOKUP(S584,ModelOutputs,10,FALSE)*AWC</f>
        <v>#N/A</v>
      </c>
      <c r="AA584" t="e">
        <f t="shared" ca="1" si="125"/>
        <v>#N/A</v>
      </c>
      <c r="AB584" t="e">
        <f t="shared" ca="1" si="126"/>
        <v>#N/A</v>
      </c>
      <c r="AC584" t="e">
        <f t="shared" ca="1" si="127"/>
        <v>#N/A</v>
      </c>
      <c r="AD584" s="83" t="e">
        <f ca="1"/>
        <v>#N/A</v>
      </c>
      <c r="AE584" s="55" t="e">
        <f t="shared" ca="1" si="128"/>
        <v>#N/A</v>
      </c>
      <c r="AF584" s="55" t="e">
        <f t="shared" ca="1" si="129"/>
        <v>#N/A</v>
      </c>
      <c r="AG584" s="55" t="e">
        <f t="shared" ca="1" si="130"/>
        <v>#N/A</v>
      </c>
      <c r="AH584" s="55" t="e">
        <f t="shared" ca="1" si="131"/>
        <v>#N/A</v>
      </c>
      <c r="AI584" s="55" t="e">
        <f ca="1">-VLOOKUP(AE584,ModelOutputs,9,FALSE)+AI583</f>
        <v>#N/A</v>
      </c>
      <c r="AJ584" s="55" t="e">
        <f ca="1">VLOOKUP(AE584,ModelOutputs,5,FALSE)+AJ583</f>
        <v>#N/A</v>
      </c>
      <c r="AK584" s="55" t="e">
        <f ca="1">VLOOKUP(AE584,ModelOutputs,4,FALSE)+AK583</f>
        <v>#N/A</v>
      </c>
    </row>
    <row r="585" spans="18:37">
      <c r="R585" s="55" t="e">
        <f ca="1"/>
        <v>#N/A</v>
      </c>
      <c r="S585" s="55" t="e">
        <f t="shared" ca="1" si="121"/>
        <v>#N/A</v>
      </c>
      <c r="T585" s="55" t="e">
        <f t="shared" ca="1" si="122"/>
        <v>#N/A</v>
      </c>
      <c r="U585" s="55" t="e">
        <f t="shared" ca="1" si="123"/>
        <v>#N/A</v>
      </c>
      <c r="V585" s="55" t="e">
        <f t="shared" ca="1" si="124"/>
        <v>#N/A</v>
      </c>
      <c r="W585" s="55" t="e">
        <f t="shared" ca="1" si="132"/>
        <v>#N/A</v>
      </c>
      <c r="X585" s="55" t="e">
        <f t="shared" ca="1" si="133"/>
        <v>#N/A</v>
      </c>
      <c r="Y585" s="55" t="e">
        <f t="shared" ca="1" si="134"/>
        <v>#N/A</v>
      </c>
      <c r="Z585" t="e">
        <f ca="1">VLOOKUP(S585,ModelOutputs,10,FALSE)*AWC</f>
        <v>#N/A</v>
      </c>
      <c r="AA585" t="e">
        <f t="shared" ca="1" si="125"/>
        <v>#N/A</v>
      </c>
      <c r="AB585" t="e">
        <f t="shared" ca="1" si="126"/>
        <v>#N/A</v>
      </c>
      <c r="AC585" t="e">
        <f t="shared" ca="1" si="127"/>
        <v>#N/A</v>
      </c>
      <c r="AD585" s="83" t="e">
        <f ca="1"/>
        <v>#N/A</v>
      </c>
      <c r="AE585" s="55" t="e">
        <f t="shared" ca="1" si="128"/>
        <v>#N/A</v>
      </c>
      <c r="AF585" s="55" t="e">
        <f t="shared" ca="1" si="129"/>
        <v>#N/A</v>
      </c>
      <c r="AG585" s="55" t="e">
        <f t="shared" ca="1" si="130"/>
        <v>#N/A</v>
      </c>
      <c r="AH585" s="55" t="e">
        <f t="shared" ca="1" si="131"/>
        <v>#N/A</v>
      </c>
      <c r="AI585" s="55" t="e">
        <f ca="1">-VLOOKUP(AE585,ModelOutputs,9,FALSE)+AI584</f>
        <v>#N/A</v>
      </c>
      <c r="AJ585" s="55" t="e">
        <f ca="1">VLOOKUP(AE585,ModelOutputs,5,FALSE)+AJ584</f>
        <v>#N/A</v>
      </c>
      <c r="AK585" s="55" t="e">
        <f ca="1">VLOOKUP(AE585,ModelOutputs,4,FALSE)+AK584</f>
        <v>#N/A</v>
      </c>
    </row>
    <row r="586" spans="18:37">
      <c r="R586" s="55" t="e">
        <f ca="1"/>
        <v>#N/A</v>
      </c>
      <c r="S586" s="55" t="e">
        <f t="shared" ca="1" si="121"/>
        <v>#N/A</v>
      </c>
      <c r="T586" s="55" t="e">
        <f t="shared" ca="1" si="122"/>
        <v>#N/A</v>
      </c>
      <c r="U586" s="55" t="e">
        <f t="shared" ca="1" si="123"/>
        <v>#N/A</v>
      </c>
      <c r="V586" s="55" t="e">
        <f t="shared" ca="1" si="124"/>
        <v>#N/A</v>
      </c>
      <c r="W586" s="55" t="e">
        <f t="shared" ca="1" si="132"/>
        <v>#N/A</v>
      </c>
      <c r="X586" s="55" t="e">
        <f t="shared" ca="1" si="133"/>
        <v>#N/A</v>
      </c>
      <c r="Y586" s="55" t="e">
        <f t="shared" ca="1" si="134"/>
        <v>#N/A</v>
      </c>
      <c r="Z586" t="e">
        <f ca="1">VLOOKUP(S586,ModelOutputs,10,FALSE)*AWC</f>
        <v>#N/A</v>
      </c>
      <c r="AA586" t="e">
        <f t="shared" ca="1" si="125"/>
        <v>#N/A</v>
      </c>
      <c r="AB586" t="e">
        <f t="shared" ca="1" si="126"/>
        <v>#N/A</v>
      </c>
      <c r="AC586" t="e">
        <f t="shared" ca="1" si="127"/>
        <v>#N/A</v>
      </c>
      <c r="AD586" s="83" t="e">
        <f ca="1"/>
        <v>#N/A</v>
      </c>
      <c r="AE586" s="55" t="e">
        <f t="shared" ca="1" si="128"/>
        <v>#N/A</v>
      </c>
      <c r="AF586" s="55" t="e">
        <f t="shared" ca="1" si="129"/>
        <v>#N/A</v>
      </c>
      <c r="AG586" s="55" t="e">
        <f t="shared" ca="1" si="130"/>
        <v>#N/A</v>
      </c>
      <c r="AH586" s="55" t="e">
        <f t="shared" ca="1" si="131"/>
        <v>#N/A</v>
      </c>
      <c r="AI586" s="55" t="e">
        <f ca="1">-VLOOKUP(AE586,ModelOutputs,9,FALSE)+AI585</f>
        <v>#N/A</v>
      </c>
      <c r="AJ586" s="55" t="e">
        <f ca="1">VLOOKUP(AE586,ModelOutputs,5,FALSE)+AJ585</f>
        <v>#N/A</v>
      </c>
      <c r="AK586" s="55" t="e">
        <f ca="1">VLOOKUP(AE586,ModelOutputs,4,FALSE)+AK585</f>
        <v>#N/A</v>
      </c>
    </row>
    <row r="587" spans="18:37">
      <c r="R587" s="55" t="e">
        <f ca="1"/>
        <v>#N/A</v>
      </c>
      <c r="S587" s="55" t="e">
        <f t="shared" ca="1" si="121"/>
        <v>#N/A</v>
      </c>
      <c r="T587" s="55" t="e">
        <f t="shared" ca="1" si="122"/>
        <v>#N/A</v>
      </c>
      <c r="U587" s="55" t="e">
        <f t="shared" ca="1" si="123"/>
        <v>#N/A</v>
      </c>
      <c r="V587" s="55" t="e">
        <f t="shared" ca="1" si="124"/>
        <v>#N/A</v>
      </c>
      <c r="W587" s="55" t="e">
        <f t="shared" ca="1" si="132"/>
        <v>#N/A</v>
      </c>
      <c r="X587" s="55" t="e">
        <f t="shared" ca="1" si="133"/>
        <v>#N/A</v>
      </c>
      <c r="Y587" s="55" t="e">
        <f t="shared" ca="1" si="134"/>
        <v>#N/A</v>
      </c>
      <c r="Z587" t="e">
        <f ca="1">VLOOKUP(S587,ModelOutputs,10,FALSE)*AWC</f>
        <v>#N/A</v>
      </c>
      <c r="AA587" t="e">
        <f t="shared" ca="1" si="125"/>
        <v>#N/A</v>
      </c>
      <c r="AB587" t="e">
        <f t="shared" ca="1" si="126"/>
        <v>#N/A</v>
      </c>
      <c r="AC587" t="e">
        <f t="shared" ca="1" si="127"/>
        <v>#N/A</v>
      </c>
      <c r="AD587" s="83" t="e">
        <f ca="1"/>
        <v>#N/A</v>
      </c>
      <c r="AE587" s="55" t="e">
        <f t="shared" ca="1" si="128"/>
        <v>#N/A</v>
      </c>
      <c r="AF587" s="55" t="e">
        <f t="shared" ca="1" si="129"/>
        <v>#N/A</v>
      </c>
      <c r="AG587" s="55" t="e">
        <f t="shared" ca="1" si="130"/>
        <v>#N/A</v>
      </c>
      <c r="AH587" s="55" t="e">
        <f t="shared" ca="1" si="131"/>
        <v>#N/A</v>
      </c>
      <c r="AI587" s="55" t="e">
        <f ca="1">-VLOOKUP(AE587,ModelOutputs,9,FALSE)+AI586</f>
        <v>#N/A</v>
      </c>
      <c r="AJ587" s="55" t="e">
        <f ca="1">VLOOKUP(AE587,ModelOutputs,5,FALSE)+AJ586</f>
        <v>#N/A</v>
      </c>
      <c r="AK587" s="55" t="e">
        <f ca="1">VLOOKUP(AE587,ModelOutputs,4,FALSE)+AK586</f>
        <v>#N/A</v>
      </c>
    </row>
    <row r="588" spans="18:37">
      <c r="R588" s="55" t="e">
        <f ca="1"/>
        <v>#N/A</v>
      </c>
      <c r="S588" s="55" t="e">
        <f t="shared" ref="S588:S651" ca="1" si="135">IF(R588&gt;1,R588,"")</f>
        <v>#N/A</v>
      </c>
      <c r="T588" s="55" t="e">
        <f t="shared" ref="T588:T651" ca="1" si="136">VLOOKUP(S588,ModelOutputs,2,FALSE)</f>
        <v>#N/A</v>
      </c>
      <c r="U588" s="55" t="e">
        <f t="shared" ref="U588:U651" ca="1" si="137">VLOOKUP(S588,ModelOutputs,7,FALSE)</f>
        <v>#N/A</v>
      </c>
      <c r="V588" s="55" t="e">
        <f t="shared" ref="V588:V651" ca="1" si="138">VLOOKUP(S588,ModelOutputs,6,FALSE)</f>
        <v>#N/A</v>
      </c>
      <c r="W588" s="55" t="e">
        <f t="shared" ca="1" si="132"/>
        <v>#N/A</v>
      </c>
      <c r="X588" s="55" t="e">
        <f t="shared" ca="1" si="133"/>
        <v>#N/A</v>
      </c>
      <c r="Y588" s="55" t="e">
        <f t="shared" ca="1" si="134"/>
        <v>#N/A</v>
      </c>
      <c r="Z588" t="e">
        <f ca="1">VLOOKUP(S588,ModelOutputs,10,FALSE)*AWC</f>
        <v>#N/A</v>
      </c>
      <c r="AA588" t="e">
        <f t="shared" ref="AA588:AA651" ca="1" si="139">VLOOKUP(S588,ModelOutputs,11,FALSE)+AA587</f>
        <v>#N/A</v>
      </c>
      <c r="AB588" t="e">
        <f t="shared" ref="AB588:AB651" ca="1" si="140">VLOOKUP(S588,ModelOutputs,12,FALSE)</f>
        <v>#N/A</v>
      </c>
      <c r="AC588" t="e">
        <f t="shared" ref="AC588:AC651" ca="1" si="141">VLOOKUP(S588,ModelOutputs,13,FALSE)</f>
        <v>#N/A</v>
      </c>
      <c r="AD588" s="83" t="e">
        <f ca="1"/>
        <v>#N/A</v>
      </c>
      <c r="AE588" s="55" t="e">
        <f t="shared" ref="AE588:AE651" ca="1" si="142">IF(AD588&gt;1,AD588,"")</f>
        <v>#N/A</v>
      </c>
      <c r="AF588" s="55" t="e">
        <f t="shared" ref="AF588:AF651" ca="1" si="143">VLOOKUP(AE588,ModelOutputs,2,FALSE)</f>
        <v>#N/A</v>
      </c>
      <c r="AG588" s="55" t="e">
        <f t="shared" ref="AG588:AG651" ca="1" si="144">VLOOKUP(AE588,ModelOutputs,7,FALSE)</f>
        <v>#N/A</v>
      </c>
      <c r="AH588" s="55" t="e">
        <f t="shared" ref="AH588:AH651" ca="1" si="145">VLOOKUP(AE588,ModelOutputs,6,FALSE)</f>
        <v>#N/A</v>
      </c>
      <c r="AI588" s="55" t="e">
        <f ca="1">-VLOOKUP(AE588,ModelOutputs,9,FALSE)+AI587</f>
        <v>#N/A</v>
      </c>
      <c r="AJ588" s="55" t="e">
        <f ca="1">VLOOKUP(AE588,ModelOutputs,5,FALSE)+AJ587</f>
        <v>#N/A</v>
      </c>
      <c r="AK588" s="55" t="e">
        <f ca="1">VLOOKUP(AE588,ModelOutputs,4,FALSE)+AK587</f>
        <v>#N/A</v>
      </c>
    </row>
    <row r="589" spans="18:37">
      <c r="R589" s="55" t="e">
        <f ca="1"/>
        <v>#N/A</v>
      </c>
      <c r="S589" s="55" t="e">
        <f t="shared" ca="1" si="135"/>
        <v>#N/A</v>
      </c>
      <c r="T589" s="55" t="e">
        <f t="shared" ca="1" si="136"/>
        <v>#N/A</v>
      </c>
      <c r="U589" s="55" t="e">
        <f t="shared" ca="1" si="137"/>
        <v>#N/A</v>
      </c>
      <c r="V589" s="55" t="e">
        <f t="shared" ca="1" si="138"/>
        <v>#N/A</v>
      </c>
      <c r="W589" s="55" t="e">
        <f t="shared" ca="1" si="132"/>
        <v>#N/A</v>
      </c>
      <c r="X589" s="55" t="e">
        <f t="shared" ca="1" si="133"/>
        <v>#N/A</v>
      </c>
      <c r="Y589" s="55" t="e">
        <f t="shared" ca="1" si="134"/>
        <v>#N/A</v>
      </c>
      <c r="Z589" t="e">
        <f ca="1">VLOOKUP(S589,ModelOutputs,10,FALSE)*AWC</f>
        <v>#N/A</v>
      </c>
      <c r="AA589" t="e">
        <f t="shared" ca="1" si="139"/>
        <v>#N/A</v>
      </c>
      <c r="AB589" t="e">
        <f t="shared" ca="1" si="140"/>
        <v>#N/A</v>
      </c>
      <c r="AC589" t="e">
        <f t="shared" ca="1" si="141"/>
        <v>#N/A</v>
      </c>
      <c r="AD589" s="83" t="e">
        <f ca="1"/>
        <v>#N/A</v>
      </c>
      <c r="AE589" s="55" t="e">
        <f t="shared" ca="1" si="142"/>
        <v>#N/A</v>
      </c>
      <c r="AF589" s="55" t="e">
        <f t="shared" ca="1" si="143"/>
        <v>#N/A</v>
      </c>
      <c r="AG589" s="55" t="e">
        <f t="shared" ca="1" si="144"/>
        <v>#N/A</v>
      </c>
      <c r="AH589" s="55" t="e">
        <f t="shared" ca="1" si="145"/>
        <v>#N/A</v>
      </c>
      <c r="AI589" s="55" t="e">
        <f ca="1">-VLOOKUP(AE589,ModelOutputs,9,FALSE)+AI588</f>
        <v>#N/A</v>
      </c>
      <c r="AJ589" s="55" t="e">
        <f ca="1">VLOOKUP(AE589,ModelOutputs,5,FALSE)+AJ588</f>
        <v>#N/A</v>
      </c>
      <c r="AK589" s="55" t="e">
        <f ca="1">VLOOKUP(AE589,ModelOutputs,4,FALSE)+AK588</f>
        <v>#N/A</v>
      </c>
    </row>
    <row r="590" spans="18:37">
      <c r="R590" s="55" t="e">
        <f ca="1"/>
        <v>#N/A</v>
      </c>
      <c r="S590" s="55" t="e">
        <f t="shared" ca="1" si="135"/>
        <v>#N/A</v>
      </c>
      <c r="T590" s="55" t="e">
        <f t="shared" ca="1" si="136"/>
        <v>#N/A</v>
      </c>
      <c r="U590" s="55" t="e">
        <f t="shared" ca="1" si="137"/>
        <v>#N/A</v>
      </c>
      <c r="V590" s="55" t="e">
        <f t="shared" ca="1" si="138"/>
        <v>#N/A</v>
      </c>
      <c r="W590" s="55" t="e">
        <f t="shared" ca="1" si="132"/>
        <v>#N/A</v>
      </c>
      <c r="X590" s="55" t="e">
        <f t="shared" ca="1" si="133"/>
        <v>#N/A</v>
      </c>
      <c r="Y590" s="55" t="e">
        <f t="shared" ca="1" si="134"/>
        <v>#N/A</v>
      </c>
      <c r="Z590" t="e">
        <f ca="1">VLOOKUP(S590,ModelOutputs,10,FALSE)*AWC</f>
        <v>#N/A</v>
      </c>
      <c r="AA590" t="e">
        <f t="shared" ca="1" si="139"/>
        <v>#N/A</v>
      </c>
      <c r="AB590" t="e">
        <f t="shared" ca="1" si="140"/>
        <v>#N/A</v>
      </c>
      <c r="AC590" t="e">
        <f t="shared" ca="1" si="141"/>
        <v>#N/A</v>
      </c>
      <c r="AD590" s="83" t="e">
        <f ca="1"/>
        <v>#N/A</v>
      </c>
      <c r="AE590" s="55" t="e">
        <f t="shared" ca="1" si="142"/>
        <v>#N/A</v>
      </c>
      <c r="AF590" s="55" t="e">
        <f t="shared" ca="1" si="143"/>
        <v>#N/A</v>
      </c>
      <c r="AG590" s="55" t="e">
        <f t="shared" ca="1" si="144"/>
        <v>#N/A</v>
      </c>
      <c r="AH590" s="55" t="e">
        <f t="shared" ca="1" si="145"/>
        <v>#N/A</v>
      </c>
      <c r="AI590" s="55" t="e">
        <f ca="1">-VLOOKUP(AE590,ModelOutputs,9,FALSE)+AI589</f>
        <v>#N/A</v>
      </c>
      <c r="AJ590" s="55" t="e">
        <f ca="1">VLOOKUP(AE590,ModelOutputs,5,FALSE)+AJ589</f>
        <v>#N/A</v>
      </c>
      <c r="AK590" s="55" t="e">
        <f ca="1">VLOOKUP(AE590,ModelOutputs,4,FALSE)+AK589</f>
        <v>#N/A</v>
      </c>
    </row>
    <row r="591" spans="18:37">
      <c r="R591" s="55" t="e">
        <f ca="1"/>
        <v>#N/A</v>
      </c>
      <c r="S591" s="55" t="e">
        <f t="shared" ca="1" si="135"/>
        <v>#N/A</v>
      </c>
      <c r="T591" s="55" t="e">
        <f t="shared" ca="1" si="136"/>
        <v>#N/A</v>
      </c>
      <c r="U591" s="55" t="e">
        <f t="shared" ca="1" si="137"/>
        <v>#N/A</v>
      </c>
      <c r="V591" s="55" t="e">
        <f t="shared" ca="1" si="138"/>
        <v>#N/A</v>
      </c>
      <c r="W591" s="55" t="e">
        <f t="shared" ca="1" si="132"/>
        <v>#N/A</v>
      </c>
      <c r="X591" s="55" t="e">
        <f t="shared" ca="1" si="133"/>
        <v>#N/A</v>
      </c>
      <c r="Y591" s="55" t="e">
        <f t="shared" ca="1" si="134"/>
        <v>#N/A</v>
      </c>
      <c r="Z591" t="e">
        <f ca="1">VLOOKUP(S591,ModelOutputs,10,FALSE)*AWC</f>
        <v>#N/A</v>
      </c>
      <c r="AA591" t="e">
        <f t="shared" ca="1" si="139"/>
        <v>#N/A</v>
      </c>
      <c r="AB591" t="e">
        <f t="shared" ca="1" si="140"/>
        <v>#N/A</v>
      </c>
      <c r="AC591" t="e">
        <f t="shared" ca="1" si="141"/>
        <v>#N/A</v>
      </c>
      <c r="AD591" s="83" t="e">
        <f ca="1"/>
        <v>#N/A</v>
      </c>
      <c r="AE591" s="55" t="e">
        <f t="shared" ca="1" si="142"/>
        <v>#N/A</v>
      </c>
      <c r="AF591" s="55" t="e">
        <f t="shared" ca="1" si="143"/>
        <v>#N/A</v>
      </c>
      <c r="AG591" s="55" t="e">
        <f t="shared" ca="1" si="144"/>
        <v>#N/A</v>
      </c>
      <c r="AH591" s="55" t="e">
        <f t="shared" ca="1" si="145"/>
        <v>#N/A</v>
      </c>
      <c r="AI591" s="55" t="e">
        <f ca="1">-VLOOKUP(AE591,ModelOutputs,9,FALSE)+AI590</f>
        <v>#N/A</v>
      </c>
      <c r="AJ591" s="55" t="e">
        <f ca="1">VLOOKUP(AE591,ModelOutputs,5,FALSE)+AJ590</f>
        <v>#N/A</v>
      </c>
      <c r="AK591" s="55" t="e">
        <f ca="1">VLOOKUP(AE591,ModelOutputs,4,FALSE)+AK590</f>
        <v>#N/A</v>
      </c>
    </row>
    <row r="592" spans="18:37">
      <c r="R592" s="55" t="e">
        <f ca="1"/>
        <v>#N/A</v>
      </c>
      <c r="S592" s="55" t="e">
        <f t="shared" ca="1" si="135"/>
        <v>#N/A</v>
      </c>
      <c r="T592" s="55" t="e">
        <f t="shared" ca="1" si="136"/>
        <v>#N/A</v>
      </c>
      <c r="U592" s="55" t="e">
        <f t="shared" ca="1" si="137"/>
        <v>#N/A</v>
      </c>
      <c r="V592" s="55" t="e">
        <f t="shared" ca="1" si="138"/>
        <v>#N/A</v>
      </c>
      <c r="W592" s="55" t="e">
        <f t="shared" ca="1" si="132"/>
        <v>#N/A</v>
      </c>
      <c r="X592" s="55" t="e">
        <f t="shared" ca="1" si="133"/>
        <v>#N/A</v>
      </c>
      <c r="Y592" s="55" t="e">
        <f t="shared" ca="1" si="134"/>
        <v>#N/A</v>
      </c>
      <c r="Z592" t="e">
        <f ca="1">VLOOKUP(S592,ModelOutputs,10,FALSE)*AWC</f>
        <v>#N/A</v>
      </c>
      <c r="AA592" t="e">
        <f t="shared" ca="1" si="139"/>
        <v>#N/A</v>
      </c>
      <c r="AB592" t="e">
        <f t="shared" ca="1" si="140"/>
        <v>#N/A</v>
      </c>
      <c r="AC592" t="e">
        <f t="shared" ca="1" si="141"/>
        <v>#N/A</v>
      </c>
      <c r="AD592" s="83" t="e">
        <f ca="1"/>
        <v>#N/A</v>
      </c>
      <c r="AE592" s="55" t="e">
        <f t="shared" ca="1" si="142"/>
        <v>#N/A</v>
      </c>
      <c r="AF592" s="55" t="e">
        <f t="shared" ca="1" si="143"/>
        <v>#N/A</v>
      </c>
      <c r="AG592" s="55" t="e">
        <f t="shared" ca="1" si="144"/>
        <v>#N/A</v>
      </c>
      <c r="AH592" s="55" t="e">
        <f t="shared" ca="1" si="145"/>
        <v>#N/A</v>
      </c>
      <c r="AI592" s="55" t="e">
        <f ca="1">-VLOOKUP(AE592,ModelOutputs,9,FALSE)+AI591</f>
        <v>#N/A</v>
      </c>
      <c r="AJ592" s="55" t="e">
        <f ca="1">VLOOKUP(AE592,ModelOutputs,5,FALSE)+AJ591</f>
        <v>#N/A</v>
      </c>
      <c r="AK592" s="55" t="e">
        <f ca="1">VLOOKUP(AE592,ModelOutputs,4,FALSE)+AK591</f>
        <v>#N/A</v>
      </c>
    </row>
    <row r="593" spans="18:37">
      <c r="R593" s="55" t="e">
        <f ca="1"/>
        <v>#N/A</v>
      </c>
      <c r="S593" s="55" t="e">
        <f t="shared" ca="1" si="135"/>
        <v>#N/A</v>
      </c>
      <c r="T593" s="55" t="e">
        <f t="shared" ca="1" si="136"/>
        <v>#N/A</v>
      </c>
      <c r="U593" s="55" t="e">
        <f t="shared" ca="1" si="137"/>
        <v>#N/A</v>
      </c>
      <c r="V593" s="55" t="e">
        <f t="shared" ca="1" si="138"/>
        <v>#N/A</v>
      </c>
      <c r="W593" s="55" t="e">
        <f t="shared" ca="1" si="132"/>
        <v>#N/A</v>
      </c>
      <c r="X593" s="55" t="e">
        <f t="shared" ca="1" si="133"/>
        <v>#N/A</v>
      </c>
      <c r="Y593" s="55" t="e">
        <f t="shared" ca="1" si="134"/>
        <v>#N/A</v>
      </c>
      <c r="Z593" t="e">
        <f ca="1">VLOOKUP(S593,ModelOutputs,10,FALSE)*AWC</f>
        <v>#N/A</v>
      </c>
      <c r="AA593" t="e">
        <f t="shared" ca="1" si="139"/>
        <v>#N/A</v>
      </c>
      <c r="AB593" t="e">
        <f t="shared" ca="1" si="140"/>
        <v>#N/A</v>
      </c>
      <c r="AC593" t="e">
        <f t="shared" ca="1" si="141"/>
        <v>#N/A</v>
      </c>
      <c r="AD593" s="83" t="e">
        <f ca="1"/>
        <v>#N/A</v>
      </c>
      <c r="AE593" s="55" t="e">
        <f t="shared" ca="1" si="142"/>
        <v>#N/A</v>
      </c>
      <c r="AF593" s="55" t="e">
        <f t="shared" ca="1" si="143"/>
        <v>#N/A</v>
      </c>
      <c r="AG593" s="55" t="e">
        <f t="shared" ca="1" si="144"/>
        <v>#N/A</v>
      </c>
      <c r="AH593" s="55" t="e">
        <f t="shared" ca="1" si="145"/>
        <v>#N/A</v>
      </c>
      <c r="AI593" s="55" t="e">
        <f ca="1">-VLOOKUP(AE593,ModelOutputs,9,FALSE)+AI592</f>
        <v>#N/A</v>
      </c>
      <c r="AJ593" s="55" t="e">
        <f ca="1">VLOOKUP(AE593,ModelOutputs,5,FALSE)+AJ592</f>
        <v>#N/A</v>
      </c>
      <c r="AK593" s="55" t="e">
        <f ca="1">VLOOKUP(AE593,ModelOutputs,4,FALSE)+AK592</f>
        <v>#N/A</v>
      </c>
    </row>
    <row r="594" spans="18:37">
      <c r="R594" s="55" t="e">
        <f ca="1"/>
        <v>#N/A</v>
      </c>
      <c r="S594" s="55" t="e">
        <f t="shared" ca="1" si="135"/>
        <v>#N/A</v>
      </c>
      <c r="T594" s="55" t="e">
        <f t="shared" ca="1" si="136"/>
        <v>#N/A</v>
      </c>
      <c r="U594" s="55" t="e">
        <f t="shared" ca="1" si="137"/>
        <v>#N/A</v>
      </c>
      <c r="V594" s="55" t="e">
        <f t="shared" ca="1" si="138"/>
        <v>#N/A</v>
      </c>
      <c r="W594" s="55" t="e">
        <f t="shared" ca="1" si="132"/>
        <v>#N/A</v>
      </c>
      <c r="X594" s="55" t="e">
        <f t="shared" ca="1" si="133"/>
        <v>#N/A</v>
      </c>
      <c r="Y594" s="55" t="e">
        <f t="shared" ca="1" si="134"/>
        <v>#N/A</v>
      </c>
      <c r="Z594" t="e">
        <f ca="1">VLOOKUP(S594,ModelOutputs,10,FALSE)*AWC</f>
        <v>#N/A</v>
      </c>
      <c r="AA594" t="e">
        <f t="shared" ca="1" si="139"/>
        <v>#N/A</v>
      </c>
      <c r="AB594" t="e">
        <f t="shared" ca="1" si="140"/>
        <v>#N/A</v>
      </c>
      <c r="AC594" t="e">
        <f t="shared" ca="1" si="141"/>
        <v>#N/A</v>
      </c>
      <c r="AD594" s="83" t="e">
        <f ca="1"/>
        <v>#N/A</v>
      </c>
      <c r="AE594" s="55" t="e">
        <f t="shared" ca="1" si="142"/>
        <v>#N/A</v>
      </c>
      <c r="AF594" s="55" t="e">
        <f t="shared" ca="1" si="143"/>
        <v>#N/A</v>
      </c>
      <c r="AG594" s="55" t="e">
        <f t="shared" ca="1" si="144"/>
        <v>#N/A</v>
      </c>
      <c r="AH594" s="55" t="e">
        <f t="shared" ca="1" si="145"/>
        <v>#N/A</v>
      </c>
      <c r="AI594" s="55" t="e">
        <f ca="1">-VLOOKUP(AE594,ModelOutputs,9,FALSE)+AI593</f>
        <v>#N/A</v>
      </c>
      <c r="AJ594" s="55" t="e">
        <f ca="1">VLOOKUP(AE594,ModelOutputs,5,FALSE)+AJ593</f>
        <v>#N/A</v>
      </c>
      <c r="AK594" s="55" t="e">
        <f ca="1">VLOOKUP(AE594,ModelOutputs,4,FALSE)+AK593</f>
        <v>#N/A</v>
      </c>
    </row>
    <row r="595" spans="18:37">
      <c r="R595" s="55" t="e">
        <f ca="1"/>
        <v>#N/A</v>
      </c>
      <c r="S595" s="55" t="e">
        <f t="shared" ca="1" si="135"/>
        <v>#N/A</v>
      </c>
      <c r="T595" s="55" t="e">
        <f t="shared" ca="1" si="136"/>
        <v>#N/A</v>
      </c>
      <c r="U595" s="55" t="e">
        <f t="shared" ca="1" si="137"/>
        <v>#N/A</v>
      </c>
      <c r="V595" s="55" t="e">
        <f t="shared" ca="1" si="138"/>
        <v>#N/A</v>
      </c>
      <c r="W595" s="55" t="e">
        <f t="shared" ref="W595:W662" ca="1" si="146">-VLOOKUP(S595,ModelOutputs,9,FALSE)+W594</f>
        <v>#N/A</v>
      </c>
      <c r="X595" s="55" t="e">
        <f t="shared" ref="X595:X662" ca="1" si="147">VLOOKUP(S595,ModelOutputs,5,FALSE)+X594</f>
        <v>#N/A</v>
      </c>
      <c r="Y595" s="55" t="e">
        <f t="shared" ref="Y595:Y662" ca="1" si="148">VLOOKUP(S595,ModelOutputs,4,FALSE)+Y594</f>
        <v>#N/A</v>
      </c>
      <c r="Z595" t="e">
        <f ca="1">VLOOKUP(S595,ModelOutputs,10,FALSE)*AWC</f>
        <v>#N/A</v>
      </c>
      <c r="AA595" t="e">
        <f t="shared" ca="1" si="139"/>
        <v>#N/A</v>
      </c>
      <c r="AB595" t="e">
        <f t="shared" ca="1" si="140"/>
        <v>#N/A</v>
      </c>
      <c r="AC595" t="e">
        <f t="shared" ca="1" si="141"/>
        <v>#N/A</v>
      </c>
      <c r="AD595" s="83" t="e">
        <f ca="1"/>
        <v>#N/A</v>
      </c>
      <c r="AE595" s="55" t="e">
        <f t="shared" ca="1" si="142"/>
        <v>#N/A</v>
      </c>
      <c r="AF595" s="55" t="e">
        <f t="shared" ca="1" si="143"/>
        <v>#N/A</v>
      </c>
      <c r="AG595" s="55" t="e">
        <f t="shared" ca="1" si="144"/>
        <v>#N/A</v>
      </c>
      <c r="AH595" s="55" t="e">
        <f t="shared" ca="1" si="145"/>
        <v>#N/A</v>
      </c>
      <c r="AI595" s="55" t="e">
        <f ca="1">-VLOOKUP(AE595,ModelOutputs,9,FALSE)+AI594</f>
        <v>#N/A</v>
      </c>
      <c r="AJ595" s="55" t="e">
        <f ca="1">VLOOKUP(AE595,ModelOutputs,5,FALSE)+AJ594</f>
        <v>#N/A</v>
      </c>
      <c r="AK595" s="55" t="e">
        <f ca="1">VLOOKUP(AE595,ModelOutputs,4,FALSE)+AK594</f>
        <v>#N/A</v>
      </c>
    </row>
    <row r="596" spans="18:37">
      <c r="R596" s="55" t="e">
        <f ca="1"/>
        <v>#N/A</v>
      </c>
      <c r="S596" s="55" t="e">
        <f t="shared" ca="1" si="135"/>
        <v>#N/A</v>
      </c>
      <c r="T596" s="55" t="e">
        <f t="shared" ca="1" si="136"/>
        <v>#N/A</v>
      </c>
      <c r="U596" s="55" t="e">
        <f t="shared" ca="1" si="137"/>
        <v>#N/A</v>
      </c>
      <c r="V596" s="55" t="e">
        <f t="shared" ca="1" si="138"/>
        <v>#N/A</v>
      </c>
      <c r="W596" s="55" t="e">
        <f t="shared" ca="1" si="146"/>
        <v>#N/A</v>
      </c>
      <c r="X596" s="55" t="e">
        <f t="shared" ca="1" si="147"/>
        <v>#N/A</v>
      </c>
      <c r="Y596" s="55" t="e">
        <f t="shared" ca="1" si="148"/>
        <v>#N/A</v>
      </c>
      <c r="Z596" t="e">
        <f ca="1">VLOOKUP(S596,ModelOutputs,10,FALSE)*AWC</f>
        <v>#N/A</v>
      </c>
      <c r="AA596" t="e">
        <f t="shared" ca="1" si="139"/>
        <v>#N/A</v>
      </c>
      <c r="AB596" t="e">
        <f t="shared" ca="1" si="140"/>
        <v>#N/A</v>
      </c>
      <c r="AC596" t="e">
        <f t="shared" ca="1" si="141"/>
        <v>#N/A</v>
      </c>
      <c r="AD596" s="83" t="e">
        <f ca="1"/>
        <v>#N/A</v>
      </c>
      <c r="AE596" s="55" t="e">
        <f t="shared" ca="1" si="142"/>
        <v>#N/A</v>
      </c>
      <c r="AF596" s="55" t="e">
        <f t="shared" ca="1" si="143"/>
        <v>#N/A</v>
      </c>
      <c r="AG596" s="55" t="e">
        <f t="shared" ca="1" si="144"/>
        <v>#N/A</v>
      </c>
      <c r="AH596" s="55" t="e">
        <f t="shared" ca="1" si="145"/>
        <v>#N/A</v>
      </c>
      <c r="AI596" s="55" t="e">
        <f ca="1">-VLOOKUP(AE596,ModelOutputs,9,FALSE)+AI595</f>
        <v>#N/A</v>
      </c>
      <c r="AJ596" s="55" t="e">
        <f ca="1">VLOOKUP(AE596,ModelOutputs,5,FALSE)+AJ595</f>
        <v>#N/A</v>
      </c>
      <c r="AK596" s="55" t="e">
        <f ca="1">VLOOKUP(AE596,ModelOutputs,4,FALSE)+AK595</f>
        <v>#N/A</v>
      </c>
    </row>
    <row r="597" spans="18:37">
      <c r="R597" s="55" t="e">
        <f ca="1"/>
        <v>#N/A</v>
      </c>
      <c r="S597" s="55" t="e">
        <f t="shared" ca="1" si="135"/>
        <v>#N/A</v>
      </c>
      <c r="T597" s="55" t="e">
        <f t="shared" ca="1" si="136"/>
        <v>#N/A</v>
      </c>
      <c r="U597" s="55" t="e">
        <f t="shared" ca="1" si="137"/>
        <v>#N/A</v>
      </c>
      <c r="V597" s="55" t="e">
        <f t="shared" ca="1" si="138"/>
        <v>#N/A</v>
      </c>
      <c r="W597" s="55" t="e">
        <f t="shared" ca="1" si="146"/>
        <v>#N/A</v>
      </c>
      <c r="X597" s="55" t="e">
        <f t="shared" ca="1" si="147"/>
        <v>#N/A</v>
      </c>
      <c r="Y597" s="55" t="e">
        <f t="shared" ca="1" si="148"/>
        <v>#N/A</v>
      </c>
      <c r="Z597" t="e">
        <f ca="1">VLOOKUP(S597,ModelOutputs,10,FALSE)*AWC</f>
        <v>#N/A</v>
      </c>
      <c r="AA597" t="e">
        <f t="shared" ca="1" si="139"/>
        <v>#N/A</v>
      </c>
      <c r="AB597" t="e">
        <f t="shared" ca="1" si="140"/>
        <v>#N/A</v>
      </c>
      <c r="AC597" t="e">
        <f t="shared" ca="1" si="141"/>
        <v>#N/A</v>
      </c>
      <c r="AD597" s="83" t="e">
        <f ca="1"/>
        <v>#N/A</v>
      </c>
      <c r="AE597" s="55" t="e">
        <f t="shared" ca="1" si="142"/>
        <v>#N/A</v>
      </c>
      <c r="AF597" s="55" t="e">
        <f t="shared" ca="1" si="143"/>
        <v>#N/A</v>
      </c>
      <c r="AG597" s="55" t="e">
        <f t="shared" ca="1" si="144"/>
        <v>#N/A</v>
      </c>
      <c r="AH597" s="55" t="e">
        <f t="shared" ca="1" si="145"/>
        <v>#N/A</v>
      </c>
      <c r="AI597" s="55" t="e">
        <f ca="1">-VLOOKUP(AE597,ModelOutputs,9,FALSE)+AI596</f>
        <v>#N/A</v>
      </c>
      <c r="AJ597" s="55" t="e">
        <f ca="1">VLOOKUP(AE597,ModelOutputs,5,FALSE)+AJ596</f>
        <v>#N/A</v>
      </c>
      <c r="AK597" s="55" t="e">
        <f ca="1">VLOOKUP(AE597,ModelOutputs,4,FALSE)+AK596</f>
        <v>#N/A</v>
      </c>
    </row>
    <row r="598" spans="18:37">
      <c r="R598" s="55" t="e">
        <f ca="1"/>
        <v>#N/A</v>
      </c>
      <c r="S598" s="55" t="e">
        <f t="shared" ca="1" si="135"/>
        <v>#N/A</v>
      </c>
      <c r="T598" s="55" t="e">
        <f t="shared" ca="1" si="136"/>
        <v>#N/A</v>
      </c>
      <c r="U598" s="55" t="e">
        <f t="shared" ca="1" si="137"/>
        <v>#N/A</v>
      </c>
      <c r="V598" s="55" t="e">
        <f t="shared" ca="1" si="138"/>
        <v>#N/A</v>
      </c>
      <c r="W598" s="55" t="e">
        <f t="shared" ca="1" si="146"/>
        <v>#N/A</v>
      </c>
      <c r="X598" s="55" t="e">
        <f t="shared" ca="1" si="147"/>
        <v>#N/A</v>
      </c>
      <c r="Y598" s="55" t="e">
        <f t="shared" ca="1" si="148"/>
        <v>#N/A</v>
      </c>
      <c r="Z598" t="e">
        <f ca="1">VLOOKUP(S598,ModelOutputs,10,FALSE)*AWC</f>
        <v>#N/A</v>
      </c>
      <c r="AA598" t="e">
        <f t="shared" ca="1" si="139"/>
        <v>#N/A</v>
      </c>
      <c r="AB598" t="e">
        <f t="shared" ca="1" si="140"/>
        <v>#N/A</v>
      </c>
      <c r="AC598" t="e">
        <f t="shared" ca="1" si="141"/>
        <v>#N/A</v>
      </c>
      <c r="AD598" s="83" t="e">
        <f ca="1"/>
        <v>#N/A</v>
      </c>
      <c r="AE598" s="55" t="e">
        <f t="shared" ca="1" si="142"/>
        <v>#N/A</v>
      </c>
      <c r="AF598" s="55" t="e">
        <f t="shared" ca="1" si="143"/>
        <v>#N/A</v>
      </c>
      <c r="AG598" s="55" t="e">
        <f t="shared" ca="1" si="144"/>
        <v>#N/A</v>
      </c>
      <c r="AH598" s="55" t="e">
        <f t="shared" ca="1" si="145"/>
        <v>#N/A</v>
      </c>
      <c r="AI598" s="55" t="e">
        <f ca="1">-VLOOKUP(AE598,ModelOutputs,9,FALSE)+AI597</f>
        <v>#N/A</v>
      </c>
      <c r="AJ598" s="55" t="e">
        <f ca="1">VLOOKUP(AE598,ModelOutputs,5,FALSE)+AJ597</f>
        <v>#N/A</v>
      </c>
      <c r="AK598" s="55" t="e">
        <f ca="1">VLOOKUP(AE598,ModelOutputs,4,FALSE)+AK597</f>
        <v>#N/A</v>
      </c>
    </row>
    <row r="599" spans="18:37">
      <c r="R599" s="55" t="e">
        <f ca="1"/>
        <v>#N/A</v>
      </c>
      <c r="S599" s="55" t="e">
        <f t="shared" ca="1" si="135"/>
        <v>#N/A</v>
      </c>
      <c r="T599" s="55" t="e">
        <f t="shared" ca="1" si="136"/>
        <v>#N/A</v>
      </c>
      <c r="U599" s="55" t="e">
        <f t="shared" ca="1" si="137"/>
        <v>#N/A</v>
      </c>
      <c r="V599" s="55" t="e">
        <f t="shared" ca="1" si="138"/>
        <v>#N/A</v>
      </c>
      <c r="W599" s="55" t="e">
        <f t="shared" ca="1" si="146"/>
        <v>#N/A</v>
      </c>
      <c r="X599" s="55" t="e">
        <f t="shared" ca="1" si="147"/>
        <v>#N/A</v>
      </c>
      <c r="Y599" s="55" t="e">
        <f t="shared" ca="1" si="148"/>
        <v>#N/A</v>
      </c>
      <c r="Z599" t="e">
        <f ca="1">VLOOKUP(S599,ModelOutputs,10,FALSE)*AWC</f>
        <v>#N/A</v>
      </c>
      <c r="AA599" t="e">
        <f t="shared" ca="1" si="139"/>
        <v>#N/A</v>
      </c>
      <c r="AB599" t="e">
        <f t="shared" ca="1" si="140"/>
        <v>#N/A</v>
      </c>
      <c r="AC599" t="e">
        <f t="shared" ca="1" si="141"/>
        <v>#N/A</v>
      </c>
      <c r="AD599" s="83" t="e">
        <f ca="1"/>
        <v>#N/A</v>
      </c>
      <c r="AE599" s="55" t="e">
        <f t="shared" ca="1" si="142"/>
        <v>#N/A</v>
      </c>
      <c r="AF599" s="55" t="e">
        <f t="shared" ca="1" si="143"/>
        <v>#N/A</v>
      </c>
      <c r="AG599" s="55" t="e">
        <f t="shared" ca="1" si="144"/>
        <v>#N/A</v>
      </c>
      <c r="AH599" s="55" t="e">
        <f t="shared" ca="1" si="145"/>
        <v>#N/A</v>
      </c>
      <c r="AI599" s="55" t="e">
        <f ca="1">-VLOOKUP(AE599,ModelOutputs,9,FALSE)+AI598</f>
        <v>#N/A</v>
      </c>
      <c r="AJ599" s="55" t="e">
        <f ca="1">VLOOKUP(AE599,ModelOutputs,5,FALSE)+AJ598</f>
        <v>#N/A</v>
      </c>
      <c r="AK599" s="55" t="e">
        <f ca="1">VLOOKUP(AE599,ModelOutputs,4,FALSE)+AK598</f>
        <v>#N/A</v>
      </c>
    </row>
    <row r="600" spans="18:37">
      <c r="R600" s="55" t="e">
        <f ca="1"/>
        <v>#N/A</v>
      </c>
      <c r="S600" s="55" t="e">
        <f t="shared" ca="1" si="135"/>
        <v>#N/A</v>
      </c>
      <c r="T600" s="55" t="e">
        <f t="shared" ca="1" si="136"/>
        <v>#N/A</v>
      </c>
      <c r="U600" s="55" t="e">
        <f t="shared" ca="1" si="137"/>
        <v>#N/A</v>
      </c>
      <c r="V600" s="55" t="e">
        <f t="shared" ca="1" si="138"/>
        <v>#N/A</v>
      </c>
      <c r="W600" s="55" t="e">
        <f t="shared" ca="1" si="146"/>
        <v>#N/A</v>
      </c>
      <c r="X600" s="55" t="e">
        <f t="shared" ca="1" si="147"/>
        <v>#N/A</v>
      </c>
      <c r="Y600" s="55" t="e">
        <f t="shared" ca="1" si="148"/>
        <v>#N/A</v>
      </c>
      <c r="Z600" t="e">
        <f ca="1">VLOOKUP(S600,ModelOutputs,10,FALSE)*AWC</f>
        <v>#N/A</v>
      </c>
      <c r="AA600" t="e">
        <f t="shared" ca="1" si="139"/>
        <v>#N/A</v>
      </c>
      <c r="AB600" t="e">
        <f t="shared" ca="1" si="140"/>
        <v>#N/A</v>
      </c>
      <c r="AC600" t="e">
        <f t="shared" ca="1" si="141"/>
        <v>#N/A</v>
      </c>
      <c r="AD600" s="83" t="e">
        <f ca="1"/>
        <v>#N/A</v>
      </c>
      <c r="AE600" s="55" t="e">
        <f t="shared" ca="1" si="142"/>
        <v>#N/A</v>
      </c>
      <c r="AF600" s="55" t="e">
        <f t="shared" ca="1" si="143"/>
        <v>#N/A</v>
      </c>
      <c r="AG600" s="55" t="e">
        <f t="shared" ca="1" si="144"/>
        <v>#N/A</v>
      </c>
      <c r="AH600" s="55" t="e">
        <f t="shared" ca="1" si="145"/>
        <v>#N/A</v>
      </c>
      <c r="AI600" s="55" t="e">
        <f ca="1">-VLOOKUP(AE600,ModelOutputs,9,FALSE)+AI599</f>
        <v>#N/A</v>
      </c>
      <c r="AJ600" s="55" t="e">
        <f ca="1">VLOOKUP(AE600,ModelOutputs,5,FALSE)+AJ599</f>
        <v>#N/A</v>
      </c>
      <c r="AK600" s="55" t="e">
        <f ca="1">VLOOKUP(AE600,ModelOutputs,4,FALSE)+AK599</f>
        <v>#N/A</v>
      </c>
    </row>
    <row r="601" spans="18:37">
      <c r="R601" s="55" t="e">
        <f ca="1"/>
        <v>#N/A</v>
      </c>
      <c r="S601" s="55" t="e">
        <f t="shared" ca="1" si="135"/>
        <v>#N/A</v>
      </c>
      <c r="T601" s="55" t="e">
        <f t="shared" ca="1" si="136"/>
        <v>#N/A</v>
      </c>
      <c r="U601" s="55" t="e">
        <f t="shared" ca="1" si="137"/>
        <v>#N/A</v>
      </c>
      <c r="V601" s="55" t="e">
        <f t="shared" ca="1" si="138"/>
        <v>#N/A</v>
      </c>
      <c r="W601" s="55" t="e">
        <f t="shared" ca="1" si="146"/>
        <v>#N/A</v>
      </c>
      <c r="X601" s="55" t="e">
        <f t="shared" ca="1" si="147"/>
        <v>#N/A</v>
      </c>
      <c r="Y601" s="55" t="e">
        <f t="shared" ca="1" si="148"/>
        <v>#N/A</v>
      </c>
      <c r="Z601" t="e">
        <f ca="1">VLOOKUP(S601,ModelOutputs,10,FALSE)*AWC</f>
        <v>#N/A</v>
      </c>
      <c r="AA601" t="e">
        <f t="shared" ca="1" si="139"/>
        <v>#N/A</v>
      </c>
      <c r="AB601" t="e">
        <f t="shared" ca="1" si="140"/>
        <v>#N/A</v>
      </c>
      <c r="AC601" t="e">
        <f t="shared" ca="1" si="141"/>
        <v>#N/A</v>
      </c>
      <c r="AD601" s="83" t="e">
        <f ca="1"/>
        <v>#N/A</v>
      </c>
      <c r="AE601" s="55" t="e">
        <f t="shared" ca="1" si="142"/>
        <v>#N/A</v>
      </c>
      <c r="AF601" s="55" t="e">
        <f t="shared" ca="1" si="143"/>
        <v>#N/A</v>
      </c>
      <c r="AG601" s="55" t="e">
        <f t="shared" ca="1" si="144"/>
        <v>#N/A</v>
      </c>
      <c r="AH601" s="55" t="e">
        <f t="shared" ca="1" si="145"/>
        <v>#N/A</v>
      </c>
      <c r="AI601" s="55" t="e">
        <f ca="1">-VLOOKUP(AE601,ModelOutputs,9,FALSE)+AI600</f>
        <v>#N/A</v>
      </c>
      <c r="AJ601" s="55" t="e">
        <f ca="1">VLOOKUP(AE601,ModelOutputs,5,FALSE)+AJ600</f>
        <v>#N/A</v>
      </c>
      <c r="AK601" s="55" t="e">
        <f ca="1">VLOOKUP(AE601,ModelOutputs,4,FALSE)+AK600</f>
        <v>#N/A</v>
      </c>
    </row>
    <row r="602" spans="18:37">
      <c r="R602" s="55" t="e">
        <f ca="1"/>
        <v>#N/A</v>
      </c>
      <c r="S602" s="55" t="e">
        <f t="shared" ca="1" si="135"/>
        <v>#N/A</v>
      </c>
      <c r="T602" s="55" t="e">
        <f t="shared" ca="1" si="136"/>
        <v>#N/A</v>
      </c>
      <c r="U602" s="55" t="e">
        <f t="shared" ca="1" si="137"/>
        <v>#N/A</v>
      </c>
      <c r="V602" s="55" t="e">
        <f t="shared" ca="1" si="138"/>
        <v>#N/A</v>
      </c>
      <c r="W602" s="55" t="e">
        <f t="shared" ca="1" si="146"/>
        <v>#N/A</v>
      </c>
      <c r="X602" s="55" t="e">
        <f t="shared" ca="1" si="147"/>
        <v>#N/A</v>
      </c>
      <c r="Y602" s="55" t="e">
        <f t="shared" ca="1" si="148"/>
        <v>#N/A</v>
      </c>
      <c r="Z602" t="e">
        <f ca="1">VLOOKUP(S602,ModelOutputs,10,FALSE)*AWC</f>
        <v>#N/A</v>
      </c>
      <c r="AA602" t="e">
        <f t="shared" ca="1" si="139"/>
        <v>#N/A</v>
      </c>
      <c r="AB602" t="e">
        <f t="shared" ca="1" si="140"/>
        <v>#N/A</v>
      </c>
      <c r="AC602" t="e">
        <f t="shared" ca="1" si="141"/>
        <v>#N/A</v>
      </c>
      <c r="AD602" s="83" t="e">
        <f ca="1"/>
        <v>#N/A</v>
      </c>
      <c r="AE602" s="55" t="e">
        <f t="shared" ca="1" si="142"/>
        <v>#N/A</v>
      </c>
      <c r="AF602" s="55" t="e">
        <f t="shared" ca="1" si="143"/>
        <v>#N/A</v>
      </c>
      <c r="AG602" s="55" t="e">
        <f t="shared" ca="1" si="144"/>
        <v>#N/A</v>
      </c>
      <c r="AH602" s="55" t="e">
        <f t="shared" ca="1" si="145"/>
        <v>#N/A</v>
      </c>
      <c r="AI602" s="55" t="e">
        <f ca="1">-VLOOKUP(AE602,ModelOutputs,9,FALSE)+AI601</f>
        <v>#N/A</v>
      </c>
      <c r="AJ602" s="55" t="e">
        <f ca="1">VLOOKUP(AE602,ModelOutputs,5,FALSE)+AJ601</f>
        <v>#N/A</v>
      </c>
      <c r="AK602" s="55" t="e">
        <f ca="1">VLOOKUP(AE602,ModelOutputs,4,FALSE)+AK601</f>
        <v>#N/A</v>
      </c>
    </row>
    <row r="603" spans="18:37">
      <c r="R603" s="55" t="e">
        <f ca="1"/>
        <v>#N/A</v>
      </c>
      <c r="S603" s="55" t="e">
        <f t="shared" ca="1" si="135"/>
        <v>#N/A</v>
      </c>
      <c r="T603" s="55" t="e">
        <f t="shared" ca="1" si="136"/>
        <v>#N/A</v>
      </c>
      <c r="U603" s="55" t="e">
        <f t="shared" ca="1" si="137"/>
        <v>#N/A</v>
      </c>
      <c r="V603" s="55" t="e">
        <f t="shared" ca="1" si="138"/>
        <v>#N/A</v>
      </c>
      <c r="W603" s="55" t="e">
        <f t="shared" ca="1" si="146"/>
        <v>#N/A</v>
      </c>
      <c r="X603" s="55" t="e">
        <f t="shared" ca="1" si="147"/>
        <v>#N/A</v>
      </c>
      <c r="Y603" s="55" t="e">
        <f t="shared" ca="1" si="148"/>
        <v>#N/A</v>
      </c>
      <c r="Z603" t="e">
        <f ca="1">VLOOKUP(S603,ModelOutputs,10,FALSE)*AWC</f>
        <v>#N/A</v>
      </c>
      <c r="AA603" t="e">
        <f t="shared" ca="1" si="139"/>
        <v>#N/A</v>
      </c>
      <c r="AB603" t="e">
        <f t="shared" ca="1" si="140"/>
        <v>#N/A</v>
      </c>
      <c r="AC603" t="e">
        <f t="shared" ca="1" si="141"/>
        <v>#N/A</v>
      </c>
      <c r="AD603" s="83" t="e">
        <f ca="1"/>
        <v>#N/A</v>
      </c>
      <c r="AE603" s="55" t="e">
        <f t="shared" ca="1" si="142"/>
        <v>#N/A</v>
      </c>
      <c r="AF603" s="55" t="e">
        <f t="shared" ca="1" si="143"/>
        <v>#N/A</v>
      </c>
      <c r="AG603" s="55" t="e">
        <f t="shared" ca="1" si="144"/>
        <v>#N/A</v>
      </c>
      <c r="AH603" s="55" t="e">
        <f t="shared" ca="1" si="145"/>
        <v>#N/A</v>
      </c>
      <c r="AI603" s="55" t="e">
        <f ca="1">-VLOOKUP(AE603,ModelOutputs,9,FALSE)+AI602</f>
        <v>#N/A</v>
      </c>
      <c r="AJ603" s="55" t="e">
        <f ca="1">VLOOKUP(AE603,ModelOutputs,5,FALSE)+AJ602</f>
        <v>#N/A</v>
      </c>
      <c r="AK603" s="55" t="e">
        <f ca="1">VLOOKUP(AE603,ModelOutputs,4,FALSE)+AK602</f>
        <v>#N/A</v>
      </c>
    </row>
    <row r="604" spans="18:37">
      <c r="R604" s="55" t="e">
        <f ca="1"/>
        <v>#N/A</v>
      </c>
      <c r="S604" s="55" t="e">
        <f t="shared" ca="1" si="135"/>
        <v>#N/A</v>
      </c>
      <c r="T604" s="55" t="e">
        <f t="shared" ca="1" si="136"/>
        <v>#N/A</v>
      </c>
      <c r="U604" s="55" t="e">
        <f t="shared" ca="1" si="137"/>
        <v>#N/A</v>
      </c>
      <c r="V604" s="55" t="e">
        <f t="shared" ca="1" si="138"/>
        <v>#N/A</v>
      </c>
      <c r="W604" s="55" t="e">
        <f t="shared" ca="1" si="146"/>
        <v>#N/A</v>
      </c>
      <c r="X604" s="55" t="e">
        <f t="shared" ca="1" si="147"/>
        <v>#N/A</v>
      </c>
      <c r="Y604" s="55" t="e">
        <f t="shared" ca="1" si="148"/>
        <v>#N/A</v>
      </c>
      <c r="Z604" t="e">
        <f ca="1">VLOOKUP(S604,ModelOutputs,10,FALSE)*AWC</f>
        <v>#N/A</v>
      </c>
      <c r="AA604" t="e">
        <f t="shared" ca="1" si="139"/>
        <v>#N/A</v>
      </c>
      <c r="AB604" t="e">
        <f t="shared" ca="1" si="140"/>
        <v>#N/A</v>
      </c>
      <c r="AC604" t="e">
        <f t="shared" ca="1" si="141"/>
        <v>#N/A</v>
      </c>
      <c r="AD604" s="83" t="e">
        <f ca="1"/>
        <v>#N/A</v>
      </c>
      <c r="AE604" s="55" t="e">
        <f t="shared" ca="1" si="142"/>
        <v>#N/A</v>
      </c>
      <c r="AF604" s="55" t="e">
        <f t="shared" ca="1" si="143"/>
        <v>#N/A</v>
      </c>
      <c r="AG604" s="55" t="e">
        <f t="shared" ca="1" si="144"/>
        <v>#N/A</v>
      </c>
      <c r="AH604" s="55" t="e">
        <f t="shared" ca="1" si="145"/>
        <v>#N/A</v>
      </c>
      <c r="AI604" s="55" t="e">
        <f ca="1">-VLOOKUP(AE604,ModelOutputs,9,FALSE)+AI603</f>
        <v>#N/A</v>
      </c>
      <c r="AJ604" s="55" t="e">
        <f ca="1">VLOOKUP(AE604,ModelOutputs,5,FALSE)+AJ603</f>
        <v>#N/A</v>
      </c>
      <c r="AK604" s="55" t="e">
        <f ca="1">VLOOKUP(AE604,ModelOutputs,4,FALSE)+AK603</f>
        <v>#N/A</v>
      </c>
    </row>
    <row r="605" spans="18:37">
      <c r="R605" s="55" t="e">
        <f ca="1"/>
        <v>#N/A</v>
      </c>
      <c r="S605" s="55" t="e">
        <f t="shared" ca="1" si="135"/>
        <v>#N/A</v>
      </c>
      <c r="T605" s="55" t="e">
        <f t="shared" ca="1" si="136"/>
        <v>#N/A</v>
      </c>
      <c r="U605" s="55" t="e">
        <f t="shared" ca="1" si="137"/>
        <v>#N/A</v>
      </c>
      <c r="V605" s="55" t="e">
        <f t="shared" ca="1" si="138"/>
        <v>#N/A</v>
      </c>
      <c r="W605" s="55" t="e">
        <f t="shared" ca="1" si="146"/>
        <v>#N/A</v>
      </c>
      <c r="X605" s="55" t="e">
        <f t="shared" ca="1" si="147"/>
        <v>#N/A</v>
      </c>
      <c r="Y605" s="55" t="e">
        <f t="shared" ca="1" si="148"/>
        <v>#N/A</v>
      </c>
      <c r="Z605" t="e">
        <f ca="1">VLOOKUP(S605,ModelOutputs,10,FALSE)*AWC</f>
        <v>#N/A</v>
      </c>
      <c r="AA605" t="e">
        <f t="shared" ca="1" si="139"/>
        <v>#N/A</v>
      </c>
      <c r="AB605" t="e">
        <f t="shared" ca="1" si="140"/>
        <v>#N/A</v>
      </c>
      <c r="AC605" t="e">
        <f t="shared" ca="1" si="141"/>
        <v>#N/A</v>
      </c>
      <c r="AD605" s="83" t="e">
        <f ca="1"/>
        <v>#N/A</v>
      </c>
      <c r="AE605" s="55" t="e">
        <f t="shared" ca="1" si="142"/>
        <v>#N/A</v>
      </c>
      <c r="AF605" s="55" t="e">
        <f t="shared" ca="1" si="143"/>
        <v>#N/A</v>
      </c>
      <c r="AG605" s="55" t="e">
        <f t="shared" ca="1" si="144"/>
        <v>#N/A</v>
      </c>
      <c r="AH605" s="55" t="e">
        <f t="shared" ca="1" si="145"/>
        <v>#N/A</v>
      </c>
      <c r="AI605" s="55" t="e">
        <f ca="1">-VLOOKUP(AE605,ModelOutputs,9,FALSE)+AI604</f>
        <v>#N/A</v>
      </c>
      <c r="AJ605" s="55" t="e">
        <f ca="1">VLOOKUP(AE605,ModelOutputs,5,FALSE)+AJ604</f>
        <v>#N/A</v>
      </c>
      <c r="AK605" s="55" t="e">
        <f ca="1">VLOOKUP(AE605,ModelOutputs,4,FALSE)+AK604</f>
        <v>#N/A</v>
      </c>
    </row>
    <row r="606" spans="18:37">
      <c r="R606" s="55" t="e">
        <f ca="1"/>
        <v>#N/A</v>
      </c>
      <c r="S606" s="55" t="e">
        <f t="shared" ca="1" si="135"/>
        <v>#N/A</v>
      </c>
      <c r="T606" s="55" t="e">
        <f t="shared" ca="1" si="136"/>
        <v>#N/A</v>
      </c>
      <c r="U606" s="55" t="e">
        <f t="shared" ca="1" si="137"/>
        <v>#N/A</v>
      </c>
      <c r="V606" s="55" t="e">
        <f t="shared" ca="1" si="138"/>
        <v>#N/A</v>
      </c>
      <c r="W606" s="55" t="e">
        <f t="shared" ca="1" si="146"/>
        <v>#N/A</v>
      </c>
      <c r="X606" s="55" t="e">
        <f t="shared" ca="1" si="147"/>
        <v>#N/A</v>
      </c>
      <c r="Y606" s="55" t="e">
        <f t="shared" ca="1" si="148"/>
        <v>#N/A</v>
      </c>
      <c r="Z606" t="e">
        <f ca="1">VLOOKUP(S606,ModelOutputs,10,FALSE)*AWC</f>
        <v>#N/A</v>
      </c>
      <c r="AA606" t="e">
        <f t="shared" ca="1" si="139"/>
        <v>#N/A</v>
      </c>
      <c r="AB606" t="e">
        <f t="shared" ca="1" si="140"/>
        <v>#N/A</v>
      </c>
      <c r="AC606" t="e">
        <f t="shared" ca="1" si="141"/>
        <v>#N/A</v>
      </c>
      <c r="AD606" s="83" t="e">
        <f ca="1"/>
        <v>#N/A</v>
      </c>
      <c r="AE606" s="55" t="e">
        <f t="shared" ca="1" si="142"/>
        <v>#N/A</v>
      </c>
      <c r="AF606" s="55" t="e">
        <f t="shared" ca="1" si="143"/>
        <v>#N/A</v>
      </c>
      <c r="AG606" s="55" t="e">
        <f t="shared" ca="1" si="144"/>
        <v>#N/A</v>
      </c>
      <c r="AH606" s="55" t="e">
        <f t="shared" ca="1" si="145"/>
        <v>#N/A</v>
      </c>
      <c r="AI606" s="55" t="e">
        <f ca="1">-VLOOKUP(AE606,ModelOutputs,9,FALSE)+AI605</f>
        <v>#N/A</v>
      </c>
      <c r="AJ606" s="55" t="e">
        <f ca="1">VLOOKUP(AE606,ModelOutputs,5,FALSE)+AJ605</f>
        <v>#N/A</v>
      </c>
      <c r="AK606" s="55" t="e">
        <f ca="1">VLOOKUP(AE606,ModelOutputs,4,FALSE)+AK605</f>
        <v>#N/A</v>
      </c>
    </row>
    <row r="607" spans="18:37">
      <c r="R607" s="55" t="e">
        <f ca="1"/>
        <v>#N/A</v>
      </c>
      <c r="S607" s="55" t="e">
        <f t="shared" ca="1" si="135"/>
        <v>#N/A</v>
      </c>
      <c r="T607" s="55" t="e">
        <f t="shared" ca="1" si="136"/>
        <v>#N/A</v>
      </c>
      <c r="U607" s="55" t="e">
        <f t="shared" ca="1" si="137"/>
        <v>#N/A</v>
      </c>
      <c r="V607" s="55" t="e">
        <f t="shared" ca="1" si="138"/>
        <v>#N/A</v>
      </c>
      <c r="W607" s="55" t="e">
        <f t="shared" ca="1" si="146"/>
        <v>#N/A</v>
      </c>
      <c r="X607" s="55" t="e">
        <f t="shared" ca="1" si="147"/>
        <v>#N/A</v>
      </c>
      <c r="Y607" s="55" t="e">
        <f t="shared" ca="1" si="148"/>
        <v>#N/A</v>
      </c>
      <c r="Z607" t="e">
        <f ca="1">VLOOKUP(S607,ModelOutputs,10,FALSE)*AWC</f>
        <v>#N/A</v>
      </c>
      <c r="AA607" t="e">
        <f t="shared" ca="1" si="139"/>
        <v>#N/A</v>
      </c>
      <c r="AB607" t="e">
        <f t="shared" ca="1" si="140"/>
        <v>#N/A</v>
      </c>
      <c r="AC607" t="e">
        <f t="shared" ca="1" si="141"/>
        <v>#N/A</v>
      </c>
      <c r="AD607" s="83" t="e">
        <f ca="1"/>
        <v>#N/A</v>
      </c>
      <c r="AE607" s="55" t="e">
        <f t="shared" ca="1" si="142"/>
        <v>#N/A</v>
      </c>
      <c r="AF607" s="55" t="e">
        <f t="shared" ca="1" si="143"/>
        <v>#N/A</v>
      </c>
      <c r="AG607" s="55" t="e">
        <f t="shared" ca="1" si="144"/>
        <v>#N/A</v>
      </c>
      <c r="AH607" s="55" t="e">
        <f t="shared" ca="1" si="145"/>
        <v>#N/A</v>
      </c>
      <c r="AI607" s="55" t="e">
        <f ca="1">-VLOOKUP(AE607,ModelOutputs,9,FALSE)+AI606</f>
        <v>#N/A</v>
      </c>
      <c r="AJ607" s="55" t="e">
        <f ca="1">VLOOKUP(AE607,ModelOutputs,5,FALSE)+AJ606</f>
        <v>#N/A</v>
      </c>
      <c r="AK607" s="55" t="e">
        <f ca="1">VLOOKUP(AE607,ModelOutputs,4,FALSE)+AK606</f>
        <v>#N/A</v>
      </c>
    </row>
    <row r="608" spans="18:37">
      <c r="R608" s="55" t="e">
        <f ca="1"/>
        <v>#N/A</v>
      </c>
      <c r="S608" s="55" t="e">
        <f t="shared" ca="1" si="135"/>
        <v>#N/A</v>
      </c>
      <c r="T608" s="55" t="e">
        <f t="shared" ca="1" si="136"/>
        <v>#N/A</v>
      </c>
      <c r="U608" s="55" t="e">
        <f t="shared" ca="1" si="137"/>
        <v>#N/A</v>
      </c>
      <c r="V608" s="55" t="e">
        <f t="shared" ca="1" si="138"/>
        <v>#N/A</v>
      </c>
      <c r="W608" s="55" t="e">
        <f t="shared" ca="1" si="146"/>
        <v>#N/A</v>
      </c>
      <c r="X608" s="55" t="e">
        <f t="shared" ca="1" si="147"/>
        <v>#N/A</v>
      </c>
      <c r="Y608" s="55" t="e">
        <f t="shared" ca="1" si="148"/>
        <v>#N/A</v>
      </c>
      <c r="Z608" t="e">
        <f ca="1">VLOOKUP(S608,ModelOutputs,10,FALSE)*AWC</f>
        <v>#N/A</v>
      </c>
      <c r="AA608" t="e">
        <f t="shared" ca="1" si="139"/>
        <v>#N/A</v>
      </c>
      <c r="AB608" t="e">
        <f t="shared" ca="1" si="140"/>
        <v>#N/A</v>
      </c>
      <c r="AC608" t="e">
        <f t="shared" ca="1" si="141"/>
        <v>#N/A</v>
      </c>
      <c r="AD608" s="83" t="e">
        <f ca="1"/>
        <v>#N/A</v>
      </c>
      <c r="AE608" s="55" t="e">
        <f t="shared" ca="1" si="142"/>
        <v>#N/A</v>
      </c>
      <c r="AF608" s="55" t="e">
        <f t="shared" ca="1" si="143"/>
        <v>#N/A</v>
      </c>
      <c r="AG608" s="55" t="e">
        <f t="shared" ca="1" si="144"/>
        <v>#N/A</v>
      </c>
      <c r="AH608" s="55" t="e">
        <f t="shared" ca="1" si="145"/>
        <v>#N/A</v>
      </c>
      <c r="AI608" s="55" t="e">
        <f ca="1">-VLOOKUP(AE608,ModelOutputs,9,FALSE)+AI607</f>
        <v>#N/A</v>
      </c>
      <c r="AJ608" s="55" t="e">
        <f ca="1">VLOOKUP(AE608,ModelOutputs,5,FALSE)+AJ607</f>
        <v>#N/A</v>
      </c>
      <c r="AK608" s="55" t="e">
        <f ca="1">VLOOKUP(AE608,ModelOutputs,4,FALSE)+AK607</f>
        <v>#N/A</v>
      </c>
    </row>
    <row r="609" spans="18:37">
      <c r="R609" s="55" t="e">
        <f ca="1"/>
        <v>#N/A</v>
      </c>
      <c r="S609" s="55" t="e">
        <f t="shared" ca="1" si="135"/>
        <v>#N/A</v>
      </c>
      <c r="T609" s="55" t="e">
        <f t="shared" ca="1" si="136"/>
        <v>#N/A</v>
      </c>
      <c r="U609" s="55" t="e">
        <f t="shared" ca="1" si="137"/>
        <v>#N/A</v>
      </c>
      <c r="V609" s="55" t="e">
        <f t="shared" ca="1" si="138"/>
        <v>#N/A</v>
      </c>
      <c r="W609" s="55" t="e">
        <f t="shared" ca="1" si="146"/>
        <v>#N/A</v>
      </c>
      <c r="X609" s="55" t="e">
        <f t="shared" ca="1" si="147"/>
        <v>#N/A</v>
      </c>
      <c r="Y609" s="55" t="e">
        <f t="shared" ca="1" si="148"/>
        <v>#N/A</v>
      </c>
      <c r="Z609" t="e">
        <f ca="1">VLOOKUP(S609,ModelOutputs,10,FALSE)*AWC</f>
        <v>#N/A</v>
      </c>
      <c r="AA609" t="e">
        <f t="shared" ca="1" si="139"/>
        <v>#N/A</v>
      </c>
      <c r="AB609" t="e">
        <f t="shared" ca="1" si="140"/>
        <v>#N/A</v>
      </c>
      <c r="AC609" t="e">
        <f t="shared" ca="1" si="141"/>
        <v>#N/A</v>
      </c>
      <c r="AD609" s="83" t="e">
        <f ca="1"/>
        <v>#N/A</v>
      </c>
      <c r="AE609" s="55" t="e">
        <f t="shared" ca="1" si="142"/>
        <v>#N/A</v>
      </c>
      <c r="AF609" s="55" t="e">
        <f t="shared" ca="1" si="143"/>
        <v>#N/A</v>
      </c>
      <c r="AG609" s="55" t="e">
        <f t="shared" ca="1" si="144"/>
        <v>#N/A</v>
      </c>
      <c r="AH609" s="55" t="e">
        <f t="shared" ca="1" si="145"/>
        <v>#N/A</v>
      </c>
      <c r="AI609" s="55" t="e">
        <f ca="1">-VLOOKUP(AE609,ModelOutputs,9,FALSE)+AI608</f>
        <v>#N/A</v>
      </c>
      <c r="AJ609" s="55" t="e">
        <f ca="1">VLOOKUP(AE609,ModelOutputs,5,FALSE)+AJ608</f>
        <v>#N/A</v>
      </c>
      <c r="AK609" s="55" t="e">
        <f ca="1">VLOOKUP(AE609,ModelOutputs,4,FALSE)+AK608</f>
        <v>#N/A</v>
      </c>
    </row>
    <row r="610" spans="18:37">
      <c r="R610" s="55" t="e">
        <f ca="1"/>
        <v>#N/A</v>
      </c>
      <c r="S610" s="55" t="e">
        <f t="shared" ca="1" si="135"/>
        <v>#N/A</v>
      </c>
      <c r="T610" s="55" t="e">
        <f t="shared" ca="1" si="136"/>
        <v>#N/A</v>
      </c>
      <c r="U610" s="55" t="e">
        <f t="shared" ca="1" si="137"/>
        <v>#N/A</v>
      </c>
      <c r="V610" s="55" t="e">
        <f t="shared" ca="1" si="138"/>
        <v>#N/A</v>
      </c>
      <c r="W610" s="55" t="e">
        <f t="shared" ca="1" si="146"/>
        <v>#N/A</v>
      </c>
      <c r="X610" s="55" t="e">
        <f t="shared" ca="1" si="147"/>
        <v>#N/A</v>
      </c>
      <c r="Y610" s="55" t="e">
        <f t="shared" ca="1" si="148"/>
        <v>#N/A</v>
      </c>
      <c r="Z610" t="e">
        <f ca="1">VLOOKUP(S610,ModelOutputs,10,FALSE)*AWC</f>
        <v>#N/A</v>
      </c>
      <c r="AA610" t="e">
        <f t="shared" ca="1" si="139"/>
        <v>#N/A</v>
      </c>
      <c r="AB610" t="e">
        <f t="shared" ca="1" si="140"/>
        <v>#N/A</v>
      </c>
      <c r="AC610" t="e">
        <f t="shared" ca="1" si="141"/>
        <v>#N/A</v>
      </c>
      <c r="AD610" s="83" t="e">
        <f ca="1"/>
        <v>#N/A</v>
      </c>
      <c r="AE610" s="55" t="e">
        <f t="shared" ca="1" si="142"/>
        <v>#N/A</v>
      </c>
      <c r="AF610" s="55" t="e">
        <f t="shared" ca="1" si="143"/>
        <v>#N/A</v>
      </c>
      <c r="AG610" s="55" t="e">
        <f t="shared" ca="1" si="144"/>
        <v>#N/A</v>
      </c>
      <c r="AH610" s="55" t="e">
        <f t="shared" ca="1" si="145"/>
        <v>#N/A</v>
      </c>
      <c r="AI610" s="55" t="e">
        <f ca="1">-VLOOKUP(AE610,ModelOutputs,9,FALSE)+AI609</f>
        <v>#N/A</v>
      </c>
      <c r="AJ610" s="55" t="e">
        <f ca="1">VLOOKUP(AE610,ModelOutputs,5,FALSE)+AJ609</f>
        <v>#N/A</v>
      </c>
      <c r="AK610" s="55" t="e">
        <f ca="1">VLOOKUP(AE610,ModelOutputs,4,FALSE)+AK609</f>
        <v>#N/A</v>
      </c>
    </row>
    <row r="611" spans="18:37">
      <c r="R611" s="55" t="e">
        <f ca="1"/>
        <v>#N/A</v>
      </c>
      <c r="S611" s="55" t="e">
        <f t="shared" ca="1" si="135"/>
        <v>#N/A</v>
      </c>
      <c r="T611" s="55" t="e">
        <f t="shared" ca="1" si="136"/>
        <v>#N/A</v>
      </c>
      <c r="U611" s="55" t="e">
        <f t="shared" ca="1" si="137"/>
        <v>#N/A</v>
      </c>
      <c r="V611" s="55" t="e">
        <f t="shared" ca="1" si="138"/>
        <v>#N/A</v>
      </c>
      <c r="W611" s="55" t="e">
        <f t="shared" ca="1" si="146"/>
        <v>#N/A</v>
      </c>
      <c r="X611" s="55" t="e">
        <f t="shared" ca="1" si="147"/>
        <v>#N/A</v>
      </c>
      <c r="Y611" s="55" t="e">
        <f t="shared" ca="1" si="148"/>
        <v>#N/A</v>
      </c>
      <c r="Z611" t="e">
        <f ca="1">VLOOKUP(S611,ModelOutputs,10,FALSE)*AWC</f>
        <v>#N/A</v>
      </c>
      <c r="AA611" t="e">
        <f t="shared" ca="1" si="139"/>
        <v>#N/A</v>
      </c>
      <c r="AB611" t="e">
        <f t="shared" ca="1" si="140"/>
        <v>#N/A</v>
      </c>
      <c r="AC611" t="e">
        <f t="shared" ca="1" si="141"/>
        <v>#N/A</v>
      </c>
      <c r="AD611" s="83" t="e">
        <f ca="1"/>
        <v>#N/A</v>
      </c>
      <c r="AE611" s="55" t="e">
        <f t="shared" ca="1" si="142"/>
        <v>#N/A</v>
      </c>
      <c r="AF611" s="55" t="e">
        <f t="shared" ca="1" si="143"/>
        <v>#N/A</v>
      </c>
      <c r="AG611" s="55" t="e">
        <f t="shared" ca="1" si="144"/>
        <v>#N/A</v>
      </c>
      <c r="AH611" s="55" t="e">
        <f t="shared" ca="1" si="145"/>
        <v>#N/A</v>
      </c>
      <c r="AI611" s="55" t="e">
        <f ca="1">-VLOOKUP(AE611,ModelOutputs,9,FALSE)+AI610</f>
        <v>#N/A</v>
      </c>
      <c r="AJ611" s="55" t="e">
        <f ca="1">VLOOKUP(AE611,ModelOutputs,5,FALSE)+AJ610</f>
        <v>#N/A</v>
      </c>
      <c r="AK611" s="55" t="e">
        <f ca="1">VLOOKUP(AE611,ModelOutputs,4,FALSE)+AK610</f>
        <v>#N/A</v>
      </c>
    </row>
    <row r="612" spans="18:37">
      <c r="R612" s="55" t="e">
        <f ca="1"/>
        <v>#N/A</v>
      </c>
      <c r="S612" s="55" t="e">
        <f t="shared" ca="1" si="135"/>
        <v>#N/A</v>
      </c>
      <c r="T612" s="55" t="e">
        <f t="shared" ca="1" si="136"/>
        <v>#N/A</v>
      </c>
      <c r="U612" s="55" t="e">
        <f t="shared" ca="1" si="137"/>
        <v>#N/A</v>
      </c>
      <c r="V612" s="55" t="e">
        <f t="shared" ca="1" si="138"/>
        <v>#N/A</v>
      </c>
      <c r="W612" s="55" t="e">
        <f t="shared" ca="1" si="146"/>
        <v>#N/A</v>
      </c>
      <c r="X612" s="55" t="e">
        <f t="shared" ca="1" si="147"/>
        <v>#N/A</v>
      </c>
      <c r="Y612" s="55" t="e">
        <f t="shared" ca="1" si="148"/>
        <v>#N/A</v>
      </c>
      <c r="Z612" t="e">
        <f ca="1">VLOOKUP(S612,ModelOutputs,10,FALSE)*AWC</f>
        <v>#N/A</v>
      </c>
      <c r="AA612" t="e">
        <f t="shared" ca="1" si="139"/>
        <v>#N/A</v>
      </c>
      <c r="AB612" t="e">
        <f t="shared" ca="1" si="140"/>
        <v>#N/A</v>
      </c>
      <c r="AC612" t="e">
        <f t="shared" ca="1" si="141"/>
        <v>#N/A</v>
      </c>
      <c r="AD612" s="83" t="e">
        <f ca="1"/>
        <v>#N/A</v>
      </c>
      <c r="AE612" s="55" t="e">
        <f t="shared" ca="1" si="142"/>
        <v>#N/A</v>
      </c>
      <c r="AF612" s="55" t="e">
        <f t="shared" ca="1" si="143"/>
        <v>#N/A</v>
      </c>
      <c r="AG612" s="55" t="e">
        <f t="shared" ca="1" si="144"/>
        <v>#N/A</v>
      </c>
      <c r="AH612" s="55" t="e">
        <f t="shared" ca="1" si="145"/>
        <v>#N/A</v>
      </c>
      <c r="AI612" s="55" t="e">
        <f ca="1">-VLOOKUP(AE612,ModelOutputs,9,FALSE)+AI611</f>
        <v>#N/A</v>
      </c>
      <c r="AJ612" s="55" t="e">
        <f ca="1">VLOOKUP(AE612,ModelOutputs,5,FALSE)+AJ611</f>
        <v>#N/A</v>
      </c>
      <c r="AK612" s="55" t="e">
        <f ca="1">VLOOKUP(AE612,ModelOutputs,4,FALSE)+AK611</f>
        <v>#N/A</v>
      </c>
    </row>
    <row r="613" spans="18:37">
      <c r="R613" s="55" t="e">
        <f ca="1"/>
        <v>#N/A</v>
      </c>
      <c r="S613" s="55" t="e">
        <f t="shared" ca="1" si="135"/>
        <v>#N/A</v>
      </c>
      <c r="T613" s="55" t="e">
        <f t="shared" ca="1" si="136"/>
        <v>#N/A</v>
      </c>
      <c r="U613" s="55" t="e">
        <f t="shared" ca="1" si="137"/>
        <v>#N/A</v>
      </c>
      <c r="V613" s="55" t="e">
        <f t="shared" ca="1" si="138"/>
        <v>#N/A</v>
      </c>
      <c r="W613" s="55" t="e">
        <f t="shared" ca="1" si="146"/>
        <v>#N/A</v>
      </c>
      <c r="X613" s="55" t="e">
        <f t="shared" ca="1" si="147"/>
        <v>#N/A</v>
      </c>
      <c r="Y613" s="55" t="e">
        <f t="shared" ca="1" si="148"/>
        <v>#N/A</v>
      </c>
      <c r="Z613" t="e">
        <f ca="1">VLOOKUP(S613,ModelOutputs,10,FALSE)*AWC</f>
        <v>#N/A</v>
      </c>
      <c r="AA613" t="e">
        <f t="shared" ca="1" si="139"/>
        <v>#N/A</v>
      </c>
      <c r="AB613" t="e">
        <f t="shared" ca="1" si="140"/>
        <v>#N/A</v>
      </c>
      <c r="AC613" t="e">
        <f t="shared" ca="1" si="141"/>
        <v>#N/A</v>
      </c>
      <c r="AD613" s="83" t="e">
        <f ca="1"/>
        <v>#N/A</v>
      </c>
      <c r="AE613" s="55" t="e">
        <f t="shared" ca="1" si="142"/>
        <v>#N/A</v>
      </c>
      <c r="AF613" s="55" t="e">
        <f t="shared" ca="1" si="143"/>
        <v>#N/A</v>
      </c>
      <c r="AG613" s="55" t="e">
        <f t="shared" ca="1" si="144"/>
        <v>#N/A</v>
      </c>
      <c r="AH613" s="55" t="e">
        <f t="shared" ca="1" si="145"/>
        <v>#N/A</v>
      </c>
      <c r="AI613" s="55" t="e">
        <f ca="1">-VLOOKUP(AE613,ModelOutputs,9,FALSE)+AI612</f>
        <v>#N/A</v>
      </c>
      <c r="AJ613" s="55" t="e">
        <f ca="1">VLOOKUP(AE613,ModelOutputs,5,FALSE)+AJ612</f>
        <v>#N/A</v>
      </c>
      <c r="AK613" s="55" t="e">
        <f ca="1">VLOOKUP(AE613,ModelOutputs,4,FALSE)+AK612</f>
        <v>#N/A</v>
      </c>
    </row>
    <row r="614" spans="18:37">
      <c r="R614" s="55" t="e">
        <f ca="1"/>
        <v>#N/A</v>
      </c>
      <c r="S614" s="55" t="e">
        <f t="shared" ca="1" si="135"/>
        <v>#N/A</v>
      </c>
      <c r="T614" s="55" t="e">
        <f t="shared" ca="1" si="136"/>
        <v>#N/A</v>
      </c>
      <c r="U614" s="55" t="e">
        <f t="shared" ca="1" si="137"/>
        <v>#N/A</v>
      </c>
      <c r="V614" s="55" t="e">
        <f t="shared" ca="1" si="138"/>
        <v>#N/A</v>
      </c>
      <c r="W614" s="55" t="e">
        <f t="shared" ca="1" si="146"/>
        <v>#N/A</v>
      </c>
      <c r="X614" s="55" t="e">
        <f t="shared" ca="1" si="147"/>
        <v>#N/A</v>
      </c>
      <c r="Y614" s="55" t="e">
        <f t="shared" ca="1" si="148"/>
        <v>#N/A</v>
      </c>
      <c r="Z614" t="e">
        <f ca="1">VLOOKUP(S614,ModelOutputs,10,FALSE)*AWC</f>
        <v>#N/A</v>
      </c>
      <c r="AA614" t="e">
        <f t="shared" ca="1" si="139"/>
        <v>#N/A</v>
      </c>
      <c r="AB614" t="e">
        <f t="shared" ca="1" si="140"/>
        <v>#N/A</v>
      </c>
      <c r="AC614" t="e">
        <f t="shared" ca="1" si="141"/>
        <v>#N/A</v>
      </c>
      <c r="AD614" s="83" t="e">
        <f ca="1"/>
        <v>#N/A</v>
      </c>
      <c r="AE614" s="55" t="e">
        <f t="shared" ca="1" si="142"/>
        <v>#N/A</v>
      </c>
      <c r="AF614" s="55" t="e">
        <f t="shared" ca="1" si="143"/>
        <v>#N/A</v>
      </c>
      <c r="AG614" s="55" t="e">
        <f t="shared" ca="1" si="144"/>
        <v>#N/A</v>
      </c>
      <c r="AH614" s="55" t="e">
        <f t="shared" ca="1" si="145"/>
        <v>#N/A</v>
      </c>
      <c r="AI614" s="55" t="e">
        <f ca="1">-VLOOKUP(AE614,ModelOutputs,9,FALSE)+AI613</f>
        <v>#N/A</v>
      </c>
      <c r="AJ614" s="55" t="e">
        <f ca="1">VLOOKUP(AE614,ModelOutputs,5,FALSE)+AJ613</f>
        <v>#N/A</v>
      </c>
      <c r="AK614" s="55" t="e">
        <f ca="1">VLOOKUP(AE614,ModelOutputs,4,FALSE)+AK613</f>
        <v>#N/A</v>
      </c>
    </row>
    <row r="615" spans="18:37">
      <c r="R615" s="55" t="e">
        <f ca="1"/>
        <v>#N/A</v>
      </c>
      <c r="S615" s="55" t="e">
        <f t="shared" ca="1" si="135"/>
        <v>#N/A</v>
      </c>
      <c r="T615" s="55" t="e">
        <f t="shared" ca="1" si="136"/>
        <v>#N/A</v>
      </c>
      <c r="U615" s="55" t="e">
        <f t="shared" ca="1" si="137"/>
        <v>#N/A</v>
      </c>
      <c r="V615" s="55" t="e">
        <f t="shared" ca="1" si="138"/>
        <v>#N/A</v>
      </c>
      <c r="W615" s="55" t="e">
        <f t="shared" ca="1" si="146"/>
        <v>#N/A</v>
      </c>
      <c r="X615" s="55" t="e">
        <f t="shared" ca="1" si="147"/>
        <v>#N/A</v>
      </c>
      <c r="Y615" s="55" t="e">
        <f t="shared" ca="1" si="148"/>
        <v>#N/A</v>
      </c>
      <c r="Z615" t="e">
        <f ca="1">VLOOKUP(S615,ModelOutputs,10,FALSE)*AWC</f>
        <v>#N/A</v>
      </c>
      <c r="AA615" t="e">
        <f t="shared" ca="1" si="139"/>
        <v>#N/A</v>
      </c>
      <c r="AB615" t="e">
        <f t="shared" ca="1" si="140"/>
        <v>#N/A</v>
      </c>
      <c r="AC615" t="e">
        <f t="shared" ca="1" si="141"/>
        <v>#N/A</v>
      </c>
      <c r="AD615" s="83" t="e">
        <f ca="1"/>
        <v>#N/A</v>
      </c>
      <c r="AE615" s="55" t="e">
        <f t="shared" ca="1" si="142"/>
        <v>#N/A</v>
      </c>
      <c r="AF615" s="55" t="e">
        <f t="shared" ca="1" si="143"/>
        <v>#N/A</v>
      </c>
      <c r="AG615" s="55" t="e">
        <f t="shared" ca="1" si="144"/>
        <v>#N/A</v>
      </c>
      <c r="AH615" s="55" t="e">
        <f t="shared" ca="1" si="145"/>
        <v>#N/A</v>
      </c>
      <c r="AI615" s="55" t="e">
        <f ca="1">-VLOOKUP(AE615,ModelOutputs,9,FALSE)+AI614</f>
        <v>#N/A</v>
      </c>
      <c r="AJ615" s="55" t="e">
        <f ca="1">VLOOKUP(AE615,ModelOutputs,5,FALSE)+AJ614</f>
        <v>#N/A</v>
      </c>
      <c r="AK615" s="55" t="e">
        <f ca="1">VLOOKUP(AE615,ModelOutputs,4,FALSE)+AK614</f>
        <v>#N/A</v>
      </c>
    </row>
    <row r="616" spans="18:37">
      <c r="R616" s="55" t="e">
        <f ca="1"/>
        <v>#N/A</v>
      </c>
      <c r="S616" s="55" t="e">
        <f t="shared" ca="1" si="135"/>
        <v>#N/A</v>
      </c>
      <c r="T616" s="55" t="e">
        <f t="shared" ca="1" si="136"/>
        <v>#N/A</v>
      </c>
      <c r="U616" s="55" t="e">
        <f t="shared" ca="1" si="137"/>
        <v>#N/A</v>
      </c>
      <c r="V616" s="55" t="e">
        <f t="shared" ca="1" si="138"/>
        <v>#N/A</v>
      </c>
      <c r="W616" s="55" t="e">
        <f t="shared" ca="1" si="146"/>
        <v>#N/A</v>
      </c>
      <c r="X616" s="55" t="e">
        <f t="shared" ca="1" si="147"/>
        <v>#N/A</v>
      </c>
      <c r="Y616" s="55" t="e">
        <f t="shared" ca="1" si="148"/>
        <v>#N/A</v>
      </c>
      <c r="Z616" t="e">
        <f ca="1">VLOOKUP(S616,ModelOutputs,10,FALSE)*AWC</f>
        <v>#N/A</v>
      </c>
      <c r="AA616" t="e">
        <f t="shared" ca="1" si="139"/>
        <v>#N/A</v>
      </c>
      <c r="AB616" t="e">
        <f t="shared" ca="1" si="140"/>
        <v>#N/A</v>
      </c>
      <c r="AC616" t="e">
        <f t="shared" ca="1" si="141"/>
        <v>#N/A</v>
      </c>
      <c r="AD616" s="83" t="e">
        <f ca="1"/>
        <v>#N/A</v>
      </c>
      <c r="AE616" s="55" t="e">
        <f t="shared" ca="1" si="142"/>
        <v>#N/A</v>
      </c>
      <c r="AF616" s="55" t="e">
        <f t="shared" ca="1" si="143"/>
        <v>#N/A</v>
      </c>
      <c r="AG616" s="55" t="e">
        <f t="shared" ca="1" si="144"/>
        <v>#N/A</v>
      </c>
      <c r="AH616" s="55" t="e">
        <f t="shared" ca="1" si="145"/>
        <v>#N/A</v>
      </c>
      <c r="AI616" s="55" t="e">
        <f ca="1">-VLOOKUP(AE616,ModelOutputs,9,FALSE)+AI615</f>
        <v>#N/A</v>
      </c>
      <c r="AJ616" s="55" t="e">
        <f ca="1">VLOOKUP(AE616,ModelOutputs,5,FALSE)+AJ615</f>
        <v>#N/A</v>
      </c>
      <c r="AK616" s="55" t="e">
        <f ca="1">VLOOKUP(AE616,ModelOutputs,4,FALSE)+AK615</f>
        <v>#N/A</v>
      </c>
    </row>
    <row r="617" spans="18:37">
      <c r="R617" s="55" t="e">
        <f ca="1"/>
        <v>#N/A</v>
      </c>
      <c r="S617" s="55" t="e">
        <f t="shared" ca="1" si="135"/>
        <v>#N/A</v>
      </c>
      <c r="T617" s="55" t="e">
        <f t="shared" ca="1" si="136"/>
        <v>#N/A</v>
      </c>
      <c r="U617" s="55" t="e">
        <f t="shared" ca="1" si="137"/>
        <v>#N/A</v>
      </c>
      <c r="V617" s="55" t="e">
        <f t="shared" ca="1" si="138"/>
        <v>#N/A</v>
      </c>
      <c r="W617" s="55" t="e">
        <f t="shared" ca="1" si="146"/>
        <v>#N/A</v>
      </c>
      <c r="X617" s="55" t="e">
        <f t="shared" ca="1" si="147"/>
        <v>#N/A</v>
      </c>
      <c r="Y617" s="55" t="e">
        <f t="shared" ca="1" si="148"/>
        <v>#N/A</v>
      </c>
      <c r="Z617" t="e">
        <f ca="1">VLOOKUP(S617,ModelOutputs,10,FALSE)*AWC</f>
        <v>#N/A</v>
      </c>
      <c r="AA617" t="e">
        <f t="shared" ca="1" si="139"/>
        <v>#N/A</v>
      </c>
      <c r="AB617" t="e">
        <f t="shared" ca="1" si="140"/>
        <v>#N/A</v>
      </c>
      <c r="AC617" t="e">
        <f t="shared" ca="1" si="141"/>
        <v>#N/A</v>
      </c>
      <c r="AD617" s="83" t="e">
        <f ca="1"/>
        <v>#N/A</v>
      </c>
      <c r="AE617" s="55" t="e">
        <f t="shared" ca="1" si="142"/>
        <v>#N/A</v>
      </c>
      <c r="AF617" s="55" t="e">
        <f t="shared" ca="1" si="143"/>
        <v>#N/A</v>
      </c>
      <c r="AG617" s="55" t="e">
        <f t="shared" ca="1" si="144"/>
        <v>#N/A</v>
      </c>
      <c r="AH617" s="55" t="e">
        <f t="shared" ca="1" si="145"/>
        <v>#N/A</v>
      </c>
      <c r="AI617" s="55" t="e">
        <f ca="1">-VLOOKUP(AE617,ModelOutputs,9,FALSE)+AI616</f>
        <v>#N/A</v>
      </c>
      <c r="AJ617" s="55" t="e">
        <f ca="1">VLOOKUP(AE617,ModelOutputs,5,FALSE)+AJ616</f>
        <v>#N/A</v>
      </c>
      <c r="AK617" s="55" t="e">
        <f ca="1">VLOOKUP(AE617,ModelOutputs,4,FALSE)+AK616</f>
        <v>#N/A</v>
      </c>
    </row>
    <row r="618" spans="18:37">
      <c r="R618" s="55" t="e">
        <f ca="1"/>
        <v>#N/A</v>
      </c>
      <c r="S618" s="55" t="e">
        <f t="shared" ca="1" si="135"/>
        <v>#N/A</v>
      </c>
      <c r="T618" s="55" t="e">
        <f t="shared" ca="1" si="136"/>
        <v>#N/A</v>
      </c>
      <c r="U618" s="55" t="e">
        <f t="shared" ca="1" si="137"/>
        <v>#N/A</v>
      </c>
      <c r="V618" s="55" t="e">
        <f t="shared" ca="1" si="138"/>
        <v>#N/A</v>
      </c>
      <c r="W618" s="55" t="e">
        <f t="shared" ca="1" si="146"/>
        <v>#N/A</v>
      </c>
      <c r="X618" s="55" t="e">
        <f t="shared" ca="1" si="147"/>
        <v>#N/A</v>
      </c>
      <c r="Y618" s="55" t="e">
        <f t="shared" ca="1" si="148"/>
        <v>#N/A</v>
      </c>
      <c r="Z618" t="e">
        <f ca="1">VLOOKUP(S618,ModelOutputs,10,FALSE)*AWC</f>
        <v>#N/A</v>
      </c>
      <c r="AA618" t="e">
        <f t="shared" ca="1" si="139"/>
        <v>#N/A</v>
      </c>
      <c r="AB618" t="e">
        <f t="shared" ca="1" si="140"/>
        <v>#N/A</v>
      </c>
      <c r="AC618" t="e">
        <f t="shared" ca="1" si="141"/>
        <v>#N/A</v>
      </c>
      <c r="AD618" s="83" t="e">
        <f ca="1"/>
        <v>#N/A</v>
      </c>
      <c r="AE618" s="55" t="e">
        <f t="shared" ca="1" si="142"/>
        <v>#N/A</v>
      </c>
      <c r="AF618" s="55" t="e">
        <f t="shared" ca="1" si="143"/>
        <v>#N/A</v>
      </c>
      <c r="AG618" s="55" t="e">
        <f t="shared" ca="1" si="144"/>
        <v>#N/A</v>
      </c>
      <c r="AH618" s="55" t="e">
        <f t="shared" ca="1" si="145"/>
        <v>#N/A</v>
      </c>
      <c r="AI618" s="55" t="e">
        <f ca="1">-VLOOKUP(AE618,ModelOutputs,9,FALSE)+AI617</f>
        <v>#N/A</v>
      </c>
      <c r="AJ618" s="55" t="e">
        <f ca="1">VLOOKUP(AE618,ModelOutputs,5,FALSE)+AJ617</f>
        <v>#N/A</v>
      </c>
      <c r="AK618" s="55" t="e">
        <f ca="1">VLOOKUP(AE618,ModelOutputs,4,FALSE)+AK617</f>
        <v>#N/A</v>
      </c>
    </row>
    <row r="619" spans="18:37">
      <c r="R619" s="55" t="e">
        <f ca="1"/>
        <v>#N/A</v>
      </c>
      <c r="S619" s="55" t="e">
        <f t="shared" ca="1" si="135"/>
        <v>#N/A</v>
      </c>
      <c r="T619" s="55" t="e">
        <f t="shared" ca="1" si="136"/>
        <v>#N/A</v>
      </c>
      <c r="U619" s="55" t="e">
        <f t="shared" ca="1" si="137"/>
        <v>#N/A</v>
      </c>
      <c r="V619" s="55" t="e">
        <f t="shared" ca="1" si="138"/>
        <v>#N/A</v>
      </c>
      <c r="W619" s="55" t="e">
        <f t="shared" ca="1" si="146"/>
        <v>#N/A</v>
      </c>
      <c r="X619" s="55" t="e">
        <f t="shared" ca="1" si="147"/>
        <v>#N/A</v>
      </c>
      <c r="Y619" s="55" t="e">
        <f t="shared" ca="1" si="148"/>
        <v>#N/A</v>
      </c>
      <c r="Z619" t="e">
        <f ca="1">VLOOKUP(S619,ModelOutputs,10,FALSE)*AWC</f>
        <v>#N/A</v>
      </c>
      <c r="AA619" t="e">
        <f t="shared" ca="1" si="139"/>
        <v>#N/A</v>
      </c>
      <c r="AB619" t="e">
        <f t="shared" ca="1" si="140"/>
        <v>#N/A</v>
      </c>
      <c r="AC619" t="e">
        <f t="shared" ca="1" si="141"/>
        <v>#N/A</v>
      </c>
      <c r="AD619" s="83" t="e">
        <f ca="1"/>
        <v>#N/A</v>
      </c>
      <c r="AE619" s="55" t="e">
        <f t="shared" ca="1" si="142"/>
        <v>#N/A</v>
      </c>
      <c r="AF619" s="55" t="e">
        <f t="shared" ca="1" si="143"/>
        <v>#N/A</v>
      </c>
      <c r="AG619" s="55" t="e">
        <f t="shared" ca="1" si="144"/>
        <v>#N/A</v>
      </c>
      <c r="AH619" s="55" t="e">
        <f t="shared" ca="1" si="145"/>
        <v>#N/A</v>
      </c>
      <c r="AI619" s="55" t="e">
        <f ca="1">-VLOOKUP(AE619,ModelOutputs,9,FALSE)+AI618</f>
        <v>#N/A</v>
      </c>
      <c r="AJ619" s="55" t="e">
        <f ca="1">VLOOKUP(AE619,ModelOutputs,5,FALSE)+AJ618</f>
        <v>#N/A</v>
      </c>
      <c r="AK619" s="55" t="e">
        <f ca="1">VLOOKUP(AE619,ModelOutputs,4,FALSE)+AK618</f>
        <v>#N/A</v>
      </c>
    </row>
    <row r="620" spans="18:37">
      <c r="R620" s="55" t="e">
        <f ca="1"/>
        <v>#N/A</v>
      </c>
      <c r="S620" s="55" t="e">
        <f t="shared" ca="1" si="135"/>
        <v>#N/A</v>
      </c>
      <c r="T620" s="55" t="e">
        <f t="shared" ca="1" si="136"/>
        <v>#N/A</v>
      </c>
      <c r="U620" s="55" t="e">
        <f t="shared" ca="1" si="137"/>
        <v>#N/A</v>
      </c>
      <c r="V620" s="55" t="e">
        <f t="shared" ca="1" si="138"/>
        <v>#N/A</v>
      </c>
      <c r="W620" s="55" t="e">
        <f t="shared" ca="1" si="146"/>
        <v>#N/A</v>
      </c>
      <c r="X620" s="55" t="e">
        <f t="shared" ca="1" si="147"/>
        <v>#N/A</v>
      </c>
      <c r="Y620" s="55" t="e">
        <f t="shared" ca="1" si="148"/>
        <v>#N/A</v>
      </c>
      <c r="Z620" t="e">
        <f ca="1">VLOOKUP(S620,ModelOutputs,10,FALSE)*AWC</f>
        <v>#N/A</v>
      </c>
      <c r="AA620" t="e">
        <f t="shared" ca="1" si="139"/>
        <v>#N/A</v>
      </c>
      <c r="AB620" t="e">
        <f t="shared" ca="1" si="140"/>
        <v>#N/A</v>
      </c>
      <c r="AC620" t="e">
        <f t="shared" ca="1" si="141"/>
        <v>#N/A</v>
      </c>
      <c r="AD620" s="83" t="e">
        <f ca="1"/>
        <v>#N/A</v>
      </c>
      <c r="AE620" s="55" t="e">
        <f t="shared" ca="1" si="142"/>
        <v>#N/A</v>
      </c>
      <c r="AF620" s="55" t="e">
        <f t="shared" ca="1" si="143"/>
        <v>#N/A</v>
      </c>
      <c r="AG620" s="55" t="e">
        <f t="shared" ca="1" si="144"/>
        <v>#N/A</v>
      </c>
      <c r="AH620" s="55" t="e">
        <f t="shared" ca="1" si="145"/>
        <v>#N/A</v>
      </c>
      <c r="AI620" s="55" t="e">
        <f ca="1">-VLOOKUP(AE620,ModelOutputs,9,FALSE)+AI619</f>
        <v>#N/A</v>
      </c>
      <c r="AJ620" s="55" t="e">
        <f ca="1">VLOOKUP(AE620,ModelOutputs,5,FALSE)+AJ619</f>
        <v>#N/A</v>
      </c>
      <c r="AK620" s="55" t="e">
        <f ca="1">VLOOKUP(AE620,ModelOutputs,4,FALSE)+AK619</f>
        <v>#N/A</v>
      </c>
    </row>
    <row r="621" spans="18:37">
      <c r="R621" s="55" t="e">
        <f ca="1"/>
        <v>#N/A</v>
      </c>
      <c r="S621" s="55" t="e">
        <f t="shared" ca="1" si="135"/>
        <v>#N/A</v>
      </c>
      <c r="T621" s="55" t="e">
        <f t="shared" ca="1" si="136"/>
        <v>#N/A</v>
      </c>
      <c r="U621" s="55" t="e">
        <f t="shared" ca="1" si="137"/>
        <v>#N/A</v>
      </c>
      <c r="V621" s="55" t="e">
        <f t="shared" ca="1" si="138"/>
        <v>#N/A</v>
      </c>
      <c r="W621" s="55" t="e">
        <f t="shared" ca="1" si="146"/>
        <v>#N/A</v>
      </c>
      <c r="X621" s="55" t="e">
        <f t="shared" ca="1" si="147"/>
        <v>#N/A</v>
      </c>
      <c r="Y621" s="55" t="e">
        <f t="shared" ca="1" si="148"/>
        <v>#N/A</v>
      </c>
      <c r="Z621" t="e">
        <f ca="1">VLOOKUP(S621,ModelOutputs,10,FALSE)*AWC</f>
        <v>#N/A</v>
      </c>
      <c r="AA621" t="e">
        <f t="shared" ca="1" si="139"/>
        <v>#N/A</v>
      </c>
      <c r="AB621" t="e">
        <f t="shared" ca="1" si="140"/>
        <v>#N/A</v>
      </c>
      <c r="AC621" t="e">
        <f t="shared" ca="1" si="141"/>
        <v>#N/A</v>
      </c>
      <c r="AD621" s="83" t="e">
        <f ca="1"/>
        <v>#N/A</v>
      </c>
      <c r="AE621" s="55" t="e">
        <f t="shared" ca="1" si="142"/>
        <v>#N/A</v>
      </c>
      <c r="AF621" s="55" t="e">
        <f t="shared" ca="1" si="143"/>
        <v>#N/A</v>
      </c>
      <c r="AG621" s="55" t="e">
        <f t="shared" ca="1" si="144"/>
        <v>#N/A</v>
      </c>
      <c r="AH621" s="55" t="e">
        <f t="shared" ca="1" si="145"/>
        <v>#N/A</v>
      </c>
      <c r="AI621" s="55" t="e">
        <f ca="1">-VLOOKUP(AE621,ModelOutputs,9,FALSE)+AI620</f>
        <v>#N/A</v>
      </c>
      <c r="AJ621" s="55" t="e">
        <f ca="1">VLOOKUP(AE621,ModelOutputs,5,FALSE)+AJ620</f>
        <v>#N/A</v>
      </c>
      <c r="AK621" s="55" t="e">
        <f ca="1">VLOOKUP(AE621,ModelOutputs,4,FALSE)+AK620</f>
        <v>#N/A</v>
      </c>
    </row>
    <row r="622" spans="18:37">
      <c r="R622" s="55" t="e">
        <f ca="1"/>
        <v>#N/A</v>
      </c>
      <c r="S622" s="55" t="e">
        <f t="shared" ca="1" si="135"/>
        <v>#N/A</v>
      </c>
      <c r="T622" s="55" t="e">
        <f t="shared" ca="1" si="136"/>
        <v>#N/A</v>
      </c>
      <c r="U622" s="55" t="e">
        <f t="shared" ca="1" si="137"/>
        <v>#N/A</v>
      </c>
      <c r="V622" s="55" t="e">
        <f t="shared" ca="1" si="138"/>
        <v>#N/A</v>
      </c>
      <c r="W622" s="55" t="e">
        <f t="shared" ca="1" si="146"/>
        <v>#N/A</v>
      </c>
      <c r="X622" s="55" t="e">
        <f t="shared" ca="1" si="147"/>
        <v>#N/A</v>
      </c>
      <c r="Y622" s="55" t="e">
        <f t="shared" ca="1" si="148"/>
        <v>#N/A</v>
      </c>
      <c r="Z622" t="e">
        <f ca="1">VLOOKUP(S622,ModelOutputs,10,FALSE)*AWC</f>
        <v>#N/A</v>
      </c>
      <c r="AA622" t="e">
        <f t="shared" ca="1" si="139"/>
        <v>#N/A</v>
      </c>
      <c r="AB622" t="e">
        <f t="shared" ca="1" si="140"/>
        <v>#N/A</v>
      </c>
      <c r="AC622" t="e">
        <f t="shared" ca="1" si="141"/>
        <v>#N/A</v>
      </c>
      <c r="AD622" s="83" t="e">
        <f ca="1"/>
        <v>#N/A</v>
      </c>
      <c r="AE622" s="55" t="e">
        <f t="shared" ca="1" si="142"/>
        <v>#N/A</v>
      </c>
      <c r="AF622" s="55" t="e">
        <f t="shared" ca="1" si="143"/>
        <v>#N/A</v>
      </c>
      <c r="AG622" s="55" t="e">
        <f t="shared" ca="1" si="144"/>
        <v>#N/A</v>
      </c>
      <c r="AH622" s="55" t="e">
        <f t="shared" ca="1" si="145"/>
        <v>#N/A</v>
      </c>
      <c r="AI622" s="55" t="e">
        <f ca="1">-VLOOKUP(AE622,ModelOutputs,9,FALSE)+AI621</f>
        <v>#N/A</v>
      </c>
      <c r="AJ622" s="55" t="e">
        <f ca="1">VLOOKUP(AE622,ModelOutputs,5,FALSE)+AJ621</f>
        <v>#N/A</v>
      </c>
      <c r="AK622" s="55" t="e">
        <f ca="1">VLOOKUP(AE622,ModelOutputs,4,FALSE)+AK621</f>
        <v>#N/A</v>
      </c>
    </row>
    <row r="623" spans="18:37">
      <c r="R623" s="55" t="e">
        <f ca="1"/>
        <v>#N/A</v>
      </c>
      <c r="S623" s="55" t="e">
        <f t="shared" ca="1" si="135"/>
        <v>#N/A</v>
      </c>
      <c r="T623" s="55" t="e">
        <f t="shared" ca="1" si="136"/>
        <v>#N/A</v>
      </c>
      <c r="U623" s="55" t="e">
        <f t="shared" ca="1" si="137"/>
        <v>#N/A</v>
      </c>
      <c r="V623" s="55" t="e">
        <f t="shared" ca="1" si="138"/>
        <v>#N/A</v>
      </c>
      <c r="W623" s="55" t="e">
        <f t="shared" ca="1" si="146"/>
        <v>#N/A</v>
      </c>
      <c r="X623" s="55" t="e">
        <f t="shared" ca="1" si="147"/>
        <v>#N/A</v>
      </c>
      <c r="Y623" s="55" t="e">
        <f t="shared" ca="1" si="148"/>
        <v>#N/A</v>
      </c>
      <c r="Z623" t="e">
        <f ca="1">VLOOKUP(S623,ModelOutputs,10,FALSE)*AWC</f>
        <v>#N/A</v>
      </c>
      <c r="AA623" t="e">
        <f t="shared" ca="1" si="139"/>
        <v>#N/A</v>
      </c>
      <c r="AB623" t="e">
        <f t="shared" ca="1" si="140"/>
        <v>#N/A</v>
      </c>
      <c r="AC623" t="e">
        <f t="shared" ca="1" si="141"/>
        <v>#N/A</v>
      </c>
      <c r="AD623" s="83" t="e">
        <f ca="1"/>
        <v>#N/A</v>
      </c>
      <c r="AE623" s="55" t="e">
        <f t="shared" ca="1" si="142"/>
        <v>#N/A</v>
      </c>
      <c r="AF623" s="55" t="e">
        <f t="shared" ca="1" si="143"/>
        <v>#N/A</v>
      </c>
      <c r="AG623" s="55" t="e">
        <f t="shared" ca="1" si="144"/>
        <v>#N/A</v>
      </c>
      <c r="AH623" s="55" t="e">
        <f t="shared" ca="1" si="145"/>
        <v>#N/A</v>
      </c>
      <c r="AI623" s="55" t="e">
        <f ca="1">-VLOOKUP(AE623,ModelOutputs,9,FALSE)+AI622</f>
        <v>#N/A</v>
      </c>
      <c r="AJ623" s="55" t="e">
        <f ca="1">VLOOKUP(AE623,ModelOutputs,5,FALSE)+AJ622</f>
        <v>#N/A</v>
      </c>
      <c r="AK623" s="55" t="e">
        <f ca="1">VLOOKUP(AE623,ModelOutputs,4,FALSE)+AK622</f>
        <v>#N/A</v>
      </c>
    </row>
    <row r="624" spans="18:37">
      <c r="R624" s="55" t="e">
        <f ca="1"/>
        <v>#N/A</v>
      </c>
      <c r="S624" s="55" t="e">
        <f t="shared" ca="1" si="135"/>
        <v>#N/A</v>
      </c>
      <c r="T624" s="55" t="e">
        <f t="shared" ca="1" si="136"/>
        <v>#N/A</v>
      </c>
      <c r="U624" s="55" t="e">
        <f t="shared" ca="1" si="137"/>
        <v>#N/A</v>
      </c>
      <c r="V624" s="55" t="e">
        <f t="shared" ca="1" si="138"/>
        <v>#N/A</v>
      </c>
      <c r="W624" s="55" t="e">
        <f t="shared" ca="1" si="146"/>
        <v>#N/A</v>
      </c>
      <c r="X624" s="55" t="e">
        <f t="shared" ca="1" si="147"/>
        <v>#N/A</v>
      </c>
      <c r="Y624" s="55" t="e">
        <f t="shared" ca="1" si="148"/>
        <v>#N/A</v>
      </c>
      <c r="Z624" t="e">
        <f ca="1">VLOOKUP(S624,ModelOutputs,10,FALSE)*AWC</f>
        <v>#N/A</v>
      </c>
      <c r="AA624" t="e">
        <f t="shared" ca="1" si="139"/>
        <v>#N/A</v>
      </c>
      <c r="AB624" t="e">
        <f t="shared" ca="1" si="140"/>
        <v>#N/A</v>
      </c>
      <c r="AC624" t="e">
        <f t="shared" ca="1" si="141"/>
        <v>#N/A</v>
      </c>
      <c r="AD624" s="83" t="e">
        <f ca="1"/>
        <v>#N/A</v>
      </c>
      <c r="AE624" s="55" t="e">
        <f t="shared" ca="1" si="142"/>
        <v>#N/A</v>
      </c>
      <c r="AF624" s="55" t="e">
        <f t="shared" ca="1" si="143"/>
        <v>#N/A</v>
      </c>
      <c r="AG624" s="55" t="e">
        <f t="shared" ca="1" si="144"/>
        <v>#N/A</v>
      </c>
      <c r="AH624" s="55" t="e">
        <f t="shared" ca="1" si="145"/>
        <v>#N/A</v>
      </c>
      <c r="AI624" s="55" t="e">
        <f ca="1">-VLOOKUP(AE624,ModelOutputs,9,FALSE)+AI623</f>
        <v>#N/A</v>
      </c>
      <c r="AJ624" s="55" t="e">
        <f ca="1">VLOOKUP(AE624,ModelOutputs,5,FALSE)+AJ623</f>
        <v>#N/A</v>
      </c>
      <c r="AK624" s="55" t="e">
        <f ca="1">VLOOKUP(AE624,ModelOutputs,4,FALSE)+AK623</f>
        <v>#N/A</v>
      </c>
    </row>
    <row r="625" spans="18:37">
      <c r="R625" s="55" t="e">
        <f ca="1"/>
        <v>#N/A</v>
      </c>
      <c r="S625" s="55" t="e">
        <f t="shared" ca="1" si="135"/>
        <v>#N/A</v>
      </c>
      <c r="T625" s="55" t="e">
        <f t="shared" ca="1" si="136"/>
        <v>#N/A</v>
      </c>
      <c r="U625" s="55" t="e">
        <f t="shared" ca="1" si="137"/>
        <v>#N/A</v>
      </c>
      <c r="V625" s="55" t="e">
        <f t="shared" ca="1" si="138"/>
        <v>#N/A</v>
      </c>
      <c r="W625" s="55" t="e">
        <f t="shared" ca="1" si="146"/>
        <v>#N/A</v>
      </c>
      <c r="X625" s="55" t="e">
        <f t="shared" ca="1" si="147"/>
        <v>#N/A</v>
      </c>
      <c r="Y625" s="55" t="e">
        <f t="shared" ca="1" si="148"/>
        <v>#N/A</v>
      </c>
      <c r="Z625" t="e">
        <f ca="1">VLOOKUP(S625,ModelOutputs,10,FALSE)*AWC</f>
        <v>#N/A</v>
      </c>
      <c r="AA625" t="e">
        <f t="shared" ca="1" si="139"/>
        <v>#N/A</v>
      </c>
      <c r="AB625" t="e">
        <f t="shared" ca="1" si="140"/>
        <v>#N/A</v>
      </c>
      <c r="AC625" t="e">
        <f t="shared" ca="1" si="141"/>
        <v>#N/A</v>
      </c>
      <c r="AD625" s="83" t="e">
        <f ca="1"/>
        <v>#N/A</v>
      </c>
      <c r="AE625" s="55" t="e">
        <f t="shared" ca="1" si="142"/>
        <v>#N/A</v>
      </c>
      <c r="AF625" s="55" t="e">
        <f t="shared" ca="1" si="143"/>
        <v>#N/A</v>
      </c>
      <c r="AG625" s="55" t="e">
        <f t="shared" ca="1" si="144"/>
        <v>#N/A</v>
      </c>
      <c r="AH625" s="55" t="e">
        <f t="shared" ca="1" si="145"/>
        <v>#N/A</v>
      </c>
      <c r="AI625" s="55" t="e">
        <f ca="1">-VLOOKUP(AE625,ModelOutputs,9,FALSE)+AI624</f>
        <v>#N/A</v>
      </c>
      <c r="AJ625" s="55" t="e">
        <f ca="1">VLOOKUP(AE625,ModelOutputs,5,FALSE)+AJ624</f>
        <v>#N/A</v>
      </c>
      <c r="AK625" s="55" t="e">
        <f ca="1">VLOOKUP(AE625,ModelOutputs,4,FALSE)+AK624</f>
        <v>#N/A</v>
      </c>
    </row>
    <row r="626" spans="18:37">
      <c r="R626" s="55" t="e">
        <f ca="1"/>
        <v>#N/A</v>
      </c>
      <c r="S626" s="55" t="e">
        <f t="shared" ca="1" si="135"/>
        <v>#N/A</v>
      </c>
      <c r="T626" s="55" t="e">
        <f t="shared" ca="1" si="136"/>
        <v>#N/A</v>
      </c>
      <c r="U626" s="55" t="e">
        <f t="shared" ca="1" si="137"/>
        <v>#N/A</v>
      </c>
      <c r="V626" s="55" t="e">
        <f t="shared" ca="1" si="138"/>
        <v>#N/A</v>
      </c>
      <c r="W626" s="55" t="e">
        <f t="shared" ca="1" si="146"/>
        <v>#N/A</v>
      </c>
      <c r="X626" s="55" t="e">
        <f t="shared" ca="1" si="147"/>
        <v>#N/A</v>
      </c>
      <c r="Y626" s="55" t="e">
        <f t="shared" ca="1" si="148"/>
        <v>#N/A</v>
      </c>
      <c r="Z626" t="e">
        <f ca="1">VLOOKUP(S626,ModelOutputs,10,FALSE)*AWC</f>
        <v>#N/A</v>
      </c>
      <c r="AA626" t="e">
        <f t="shared" ca="1" si="139"/>
        <v>#N/A</v>
      </c>
      <c r="AB626" t="e">
        <f t="shared" ca="1" si="140"/>
        <v>#N/A</v>
      </c>
      <c r="AC626" t="e">
        <f t="shared" ca="1" si="141"/>
        <v>#N/A</v>
      </c>
      <c r="AD626" s="83" t="e">
        <f ca="1"/>
        <v>#N/A</v>
      </c>
      <c r="AE626" s="55" t="e">
        <f t="shared" ca="1" si="142"/>
        <v>#N/A</v>
      </c>
      <c r="AF626" s="55" t="e">
        <f t="shared" ca="1" si="143"/>
        <v>#N/A</v>
      </c>
      <c r="AG626" s="55" t="e">
        <f t="shared" ca="1" si="144"/>
        <v>#N/A</v>
      </c>
      <c r="AH626" s="55" t="e">
        <f t="shared" ca="1" si="145"/>
        <v>#N/A</v>
      </c>
      <c r="AI626" s="55" t="e">
        <f ca="1">-VLOOKUP(AE626,ModelOutputs,9,FALSE)+AI625</f>
        <v>#N/A</v>
      </c>
      <c r="AJ626" s="55" t="e">
        <f ca="1">VLOOKUP(AE626,ModelOutputs,5,FALSE)+AJ625</f>
        <v>#N/A</v>
      </c>
      <c r="AK626" s="55" t="e">
        <f ca="1">VLOOKUP(AE626,ModelOutputs,4,FALSE)+AK625</f>
        <v>#N/A</v>
      </c>
    </row>
    <row r="627" spans="18:37">
      <c r="R627" s="55" t="e">
        <f ca="1"/>
        <v>#N/A</v>
      </c>
      <c r="S627" s="55" t="e">
        <f t="shared" ca="1" si="135"/>
        <v>#N/A</v>
      </c>
      <c r="T627" s="55" t="e">
        <f t="shared" ca="1" si="136"/>
        <v>#N/A</v>
      </c>
      <c r="U627" s="55" t="e">
        <f t="shared" ca="1" si="137"/>
        <v>#N/A</v>
      </c>
      <c r="V627" s="55" t="e">
        <f t="shared" ca="1" si="138"/>
        <v>#N/A</v>
      </c>
      <c r="W627" s="55" t="e">
        <f t="shared" ca="1" si="146"/>
        <v>#N/A</v>
      </c>
      <c r="X627" s="55" t="e">
        <f t="shared" ca="1" si="147"/>
        <v>#N/A</v>
      </c>
      <c r="Y627" s="55" t="e">
        <f t="shared" ca="1" si="148"/>
        <v>#N/A</v>
      </c>
      <c r="Z627" t="e">
        <f ca="1">VLOOKUP(S627,ModelOutputs,10,FALSE)*AWC</f>
        <v>#N/A</v>
      </c>
      <c r="AA627" t="e">
        <f t="shared" ca="1" si="139"/>
        <v>#N/A</v>
      </c>
      <c r="AB627" t="e">
        <f t="shared" ca="1" si="140"/>
        <v>#N/A</v>
      </c>
      <c r="AC627" t="e">
        <f t="shared" ca="1" si="141"/>
        <v>#N/A</v>
      </c>
      <c r="AD627" s="83" t="e">
        <f ca="1"/>
        <v>#N/A</v>
      </c>
      <c r="AE627" s="55" t="e">
        <f t="shared" ca="1" si="142"/>
        <v>#N/A</v>
      </c>
      <c r="AF627" s="55" t="e">
        <f t="shared" ca="1" si="143"/>
        <v>#N/A</v>
      </c>
      <c r="AG627" s="55" t="e">
        <f t="shared" ca="1" si="144"/>
        <v>#N/A</v>
      </c>
      <c r="AH627" s="55" t="e">
        <f t="shared" ca="1" si="145"/>
        <v>#N/A</v>
      </c>
      <c r="AI627" s="55" t="e">
        <f ca="1">-VLOOKUP(AE627,ModelOutputs,9,FALSE)+AI626</f>
        <v>#N/A</v>
      </c>
      <c r="AJ627" s="55" t="e">
        <f ca="1">VLOOKUP(AE627,ModelOutputs,5,FALSE)+AJ626</f>
        <v>#N/A</v>
      </c>
      <c r="AK627" s="55" t="e">
        <f ca="1">VLOOKUP(AE627,ModelOutputs,4,FALSE)+AK626</f>
        <v>#N/A</v>
      </c>
    </row>
    <row r="628" spans="18:37">
      <c r="R628" s="55" t="e">
        <f ca="1"/>
        <v>#N/A</v>
      </c>
      <c r="S628" s="55" t="e">
        <f t="shared" ca="1" si="135"/>
        <v>#N/A</v>
      </c>
      <c r="T628" s="55" t="e">
        <f t="shared" ca="1" si="136"/>
        <v>#N/A</v>
      </c>
      <c r="U628" s="55" t="e">
        <f t="shared" ca="1" si="137"/>
        <v>#N/A</v>
      </c>
      <c r="V628" s="55" t="e">
        <f t="shared" ca="1" si="138"/>
        <v>#N/A</v>
      </c>
      <c r="W628" s="55" t="e">
        <f t="shared" ca="1" si="146"/>
        <v>#N/A</v>
      </c>
      <c r="X628" s="55" t="e">
        <f t="shared" ca="1" si="147"/>
        <v>#N/A</v>
      </c>
      <c r="Y628" s="55" t="e">
        <f t="shared" ca="1" si="148"/>
        <v>#N/A</v>
      </c>
      <c r="Z628" t="e">
        <f ca="1">VLOOKUP(S628,ModelOutputs,10,FALSE)*AWC</f>
        <v>#N/A</v>
      </c>
      <c r="AA628" t="e">
        <f t="shared" ca="1" si="139"/>
        <v>#N/A</v>
      </c>
      <c r="AB628" t="e">
        <f t="shared" ca="1" si="140"/>
        <v>#N/A</v>
      </c>
      <c r="AC628" t="e">
        <f t="shared" ca="1" si="141"/>
        <v>#N/A</v>
      </c>
      <c r="AD628" s="83" t="e">
        <f ca="1"/>
        <v>#N/A</v>
      </c>
      <c r="AE628" s="55" t="e">
        <f t="shared" ca="1" si="142"/>
        <v>#N/A</v>
      </c>
      <c r="AF628" s="55" t="e">
        <f t="shared" ca="1" si="143"/>
        <v>#N/A</v>
      </c>
      <c r="AG628" s="55" t="e">
        <f t="shared" ca="1" si="144"/>
        <v>#N/A</v>
      </c>
      <c r="AH628" s="55" t="e">
        <f t="shared" ca="1" si="145"/>
        <v>#N/A</v>
      </c>
      <c r="AI628" s="55" t="e">
        <f ca="1">-VLOOKUP(AE628,ModelOutputs,9,FALSE)+AI627</f>
        <v>#N/A</v>
      </c>
      <c r="AJ628" s="55" t="e">
        <f ca="1">VLOOKUP(AE628,ModelOutputs,5,FALSE)+AJ627</f>
        <v>#N/A</v>
      </c>
      <c r="AK628" s="55" t="e">
        <f ca="1">VLOOKUP(AE628,ModelOutputs,4,FALSE)+AK627</f>
        <v>#N/A</v>
      </c>
    </row>
    <row r="629" spans="18:37">
      <c r="R629" s="55" t="e">
        <f ca="1"/>
        <v>#N/A</v>
      </c>
      <c r="S629" s="55" t="e">
        <f t="shared" ca="1" si="135"/>
        <v>#N/A</v>
      </c>
      <c r="T629" s="55" t="e">
        <f t="shared" ca="1" si="136"/>
        <v>#N/A</v>
      </c>
      <c r="U629" s="55" t="e">
        <f t="shared" ca="1" si="137"/>
        <v>#N/A</v>
      </c>
      <c r="V629" s="55" t="e">
        <f t="shared" ca="1" si="138"/>
        <v>#N/A</v>
      </c>
      <c r="W629" s="55" t="e">
        <f t="shared" ca="1" si="146"/>
        <v>#N/A</v>
      </c>
      <c r="X629" s="55" t="e">
        <f t="shared" ca="1" si="147"/>
        <v>#N/A</v>
      </c>
      <c r="Y629" s="55" t="e">
        <f t="shared" ca="1" si="148"/>
        <v>#N/A</v>
      </c>
      <c r="Z629" t="e">
        <f ca="1">VLOOKUP(S629,ModelOutputs,10,FALSE)*AWC</f>
        <v>#N/A</v>
      </c>
      <c r="AA629" t="e">
        <f t="shared" ca="1" si="139"/>
        <v>#N/A</v>
      </c>
      <c r="AB629" t="e">
        <f t="shared" ca="1" si="140"/>
        <v>#N/A</v>
      </c>
      <c r="AC629" t="e">
        <f t="shared" ca="1" si="141"/>
        <v>#N/A</v>
      </c>
      <c r="AD629" s="83" t="e">
        <f ca="1"/>
        <v>#N/A</v>
      </c>
      <c r="AE629" s="55" t="e">
        <f t="shared" ca="1" si="142"/>
        <v>#N/A</v>
      </c>
      <c r="AF629" s="55" t="e">
        <f t="shared" ca="1" si="143"/>
        <v>#N/A</v>
      </c>
      <c r="AG629" s="55" t="e">
        <f t="shared" ca="1" si="144"/>
        <v>#N/A</v>
      </c>
      <c r="AH629" s="55" t="e">
        <f t="shared" ca="1" si="145"/>
        <v>#N/A</v>
      </c>
      <c r="AI629" s="55" t="e">
        <f ca="1">-VLOOKUP(AE629,ModelOutputs,9,FALSE)+AI628</f>
        <v>#N/A</v>
      </c>
      <c r="AJ629" s="55" t="e">
        <f ca="1">VLOOKUP(AE629,ModelOutputs,5,FALSE)+AJ628</f>
        <v>#N/A</v>
      </c>
      <c r="AK629" s="55" t="e">
        <f ca="1">VLOOKUP(AE629,ModelOutputs,4,FALSE)+AK628</f>
        <v>#N/A</v>
      </c>
    </row>
    <row r="630" spans="18:37">
      <c r="R630" s="55" t="e">
        <f ca="1"/>
        <v>#N/A</v>
      </c>
      <c r="S630" s="55" t="e">
        <f t="shared" ca="1" si="135"/>
        <v>#N/A</v>
      </c>
      <c r="T630" s="55" t="e">
        <f t="shared" ca="1" si="136"/>
        <v>#N/A</v>
      </c>
      <c r="U630" s="55" t="e">
        <f t="shared" ca="1" si="137"/>
        <v>#N/A</v>
      </c>
      <c r="V630" s="55" t="e">
        <f t="shared" ca="1" si="138"/>
        <v>#N/A</v>
      </c>
      <c r="W630" s="55" t="e">
        <f t="shared" ca="1" si="146"/>
        <v>#N/A</v>
      </c>
      <c r="X630" s="55" t="e">
        <f t="shared" ca="1" si="147"/>
        <v>#N/A</v>
      </c>
      <c r="Y630" s="55" t="e">
        <f t="shared" ca="1" si="148"/>
        <v>#N/A</v>
      </c>
      <c r="Z630" t="e">
        <f ca="1">VLOOKUP(S630,ModelOutputs,10,FALSE)*AWC</f>
        <v>#N/A</v>
      </c>
      <c r="AA630" t="e">
        <f t="shared" ca="1" si="139"/>
        <v>#N/A</v>
      </c>
      <c r="AB630" t="e">
        <f t="shared" ca="1" si="140"/>
        <v>#N/A</v>
      </c>
      <c r="AC630" t="e">
        <f t="shared" ca="1" si="141"/>
        <v>#N/A</v>
      </c>
      <c r="AD630" s="83" t="e">
        <f ca="1"/>
        <v>#N/A</v>
      </c>
      <c r="AE630" s="55" t="e">
        <f t="shared" ca="1" si="142"/>
        <v>#N/A</v>
      </c>
      <c r="AF630" s="55" t="e">
        <f t="shared" ca="1" si="143"/>
        <v>#N/A</v>
      </c>
      <c r="AG630" s="55" t="e">
        <f t="shared" ca="1" si="144"/>
        <v>#N/A</v>
      </c>
      <c r="AH630" s="55" t="e">
        <f t="shared" ca="1" si="145"/>
        <v>#N/A</v>
      </c>
      <c r="AI630" s="55" t="e">
        <f ca="1">-VLOOKUP(AE630,ModelOutputs,9,FALSE)+AI629</f>
        <v>#N/A</v>
      </c>
      <c r="AJ630" s="55" t="e">
        <f ca="1">VLOOKUP(AE630,ModelOutputs,5,FALSE)+AJ629</f>
        <v>#N/A</v>
      </c>
      <c r="AK630" s="55" t="e">
        <f ca="1">VLOOKUP(AE630,ModelOutputs,4,FALSE)+AK629</f>
        <v>#N/A</v>
      </c>
    </row>
    <row r="631" spans="18:37">
      <c r="R631" s="55" t="e">
        <f ca="1"/>
        <v>#N/A</v>
      </c>
      <c r="S631" s="55" t="e">
        <f t="shared" ca="1" si="135"/>
        <v>#N/A</v>
      </c>
      <c r="T631" s="55" t="e">
        <f t="shared" ca="1" si="136"/>
        <v>#N/A</v>
      </c>
      <c r="U631" s="55" t="e">
        <f t="shared" ca="1" si="137"/>
        <v>#N/A</v>
      </c>
      <c r="V631" s="55" t="e">
        <f t="shared" ca="1" si="138"/>
        <v>#N/A</v>
      </c>
      <c r="W631" s="55" t="e">
        <f t="shared" ca="1" si="146"/>
        <v>#N/A</v>
      </c>
      <c r="X631" s="55" t="e">
        <f t="shared" ca="1" si="147"/>
        <v>#N/A</v>
      </c>
      <c r="Y631" s="55" t="e">
        <f t="shared" ca="1" si="148"/>
        <v>#N/A</v>
      </c>
      <c r="Z631" t="e">
        <f ca="1">VLOOKUP(S631,ModelOutputs,10,FALSE)*AWC</f>
        <v>#N/A</v>
      </c>
      <c r="AA631" t="e">
        <f t="shared" ca="1" si="139"/>
        <v>#N/A</v>
      </c>
      <c r="AB631" t="e">
        <f t="shared" ca="1" si="140"/>
        <v>#N/A</v>
      </c>
      <c r="AC631" t="e">
        <f t="shared" ca="1" si="141"/>
        <v>#N/A</v>
      </c>
      <c r="AD631" s="83" t="e">
        <f ca="1"/>
        <v>#N/A</v>
      </c>
      <c r="AE631" s="55" t="e">
        <f t="shared" ca="1" si="142"/>
        <v>#N/A</v>
      </c>
      <c r="AF631" s="55" t="e">
        <f t="shared" ca="1" si="143"/>
        <v>#N/A</v>
      </c>
      <c r="AG631" s="55" t="e">
        <f t="shared" ca="1" si="144"/>
        <v>#N/A</v>
      </c>
      <c r="AH631" s="55" t="e">
        <f t="shared" ca="1" si="145"/>
        <v>#N/A</v>
      </c>
      <c r="AI631" s="55" t="e">
        <f ca="1">-VLOOKUP(AE631,ModelOutputs,9,FALSE)+AI630</f>
        <v>#N/A</v>
      </c>
      <c r="AJ631" s="55" t="e">
        <f ca="1">VLOOKUP(AE631,ModelOutputs,5,FALSE)+AJ630</f>
        <v>#N/A</v>
      </c>
      <c r="AK631" s="55" t="e">
        <f ca="1">VLOOKUP(AE631,ModelOutputs,4,FALSE)+AK630</f>
        <v>#N/A</v>
      </c>
    </row>
    <row r="632" spans="18:37">
      <c r="R632" s="55" t="e">
        <f ca="1"/>
        <v>#N/A</v>
      </c>
      <c r="S632" s="55" t="e">
        <f t="shared" ca="1" si="135"/>
        <v>#N/A</v>
      </c>
      <c r="T632" s="55" t="e">
        <f t="shared" ca="1" si="136"/>
        <v>#N/A</v>
      </c>
      <c r="U632" s="55" t="e">
        <f t="shared" ca="1" si="137"/>
        <v>#N/A</v>
      </c>
      <c r="V632" s="55" t="e">
        <f t="shared" ca="1" si="138"/>
        <v>#N/A</v>
      </c>
      <c r="W632" s="55" t="e">
        <f t="shared" ca="1" si="146"/>
        <v>#N/A</v>
      </c>
      <c r="X632" s="55" t="e">
        <f t="shared" ca="1" si="147"/>
        <v>#N/A</v>
      </c>
      <c r="Y632" s="55" t="e">
        <f t="shared" ca="1" si="148"/>
        <v>#N/A</v>
      </c>
      <c r="Z632" t="e">
        <f ca="1">VLOOKUP(S632,ModelOutputs,10,FALSE)*AWC</f>
        <v>#N/A</v>
      </c>
      <c r="AA632" t="e">
        <f t="shared" ca="1" si="139"/>
        <v>#N/A</v>
      </c>
      <c r="AB632" t="e">
        <f t="shared" ca="1" si="140"/>
        <v>#N/A</v>
      </c>
      <c r="AC632" t="e">
        <f t="shared" ca="1" si="141"/>
        <v>#N/A</v>
      </c>
      <c r="AD632" s="83" t="e">
        <f ca="1"/>
        <v>#N/A</v>
      </c>
      <c r="AE632" s="55" t="e">
        <f t="shared" ca="1" si="142"/>
        <v>#N/A</v>
      </c>
      <c r="AF632" s="55" t="e">
        <f t="shared" ca="1" si="143"/>
        <v>#N/A</v>
      </c>
      <c r="AG632" s="55" t="e">
        <f t="shared" ca="1" si="144"/>
        <v>#N/A</v>
      </c>
      <c r="AH632" s="55" t="e">
        <f t="shared" ca="1" si="145"/>
        <v>#N/A</v>
      </c>
      <c r="AI632" s="55" t="e">
        <f ca="1">-VLOOKUP(AE632,ModelOutputs,9,FALSE)+AI631</f>
        <v>#N/A</v>
      </c>
      <c r="AJ632" s="55" t="e">
        <f ca="1">VLOOKUP(AE632,ModelOutputs,5,FALSE)+AJ631</f>
        <v>#N/A</v>
      </c>
      <c r="AK632" s="55" t="e">
        <f ca="1">VLOOKUP(AE632,ModelOutputs,4,FALSE)+AK631</f>
        <v>#N/A</v>
      </c>
    </row>
    <row r="633" spans="18:37">
      <c r="R633" s="55" t="e">
        <f ca="1"/>
        <v>#N/A</v>
      </c>
      <c r="S633" s="55" t="e">
        <f t="shared" ca="1" si="135"/>
        <v>#N/A</v>
      </c>
      <c r="T633" s="55" t="e">
        <f t="shared" ca="1" si="136"/>
        <v>#N/A</v>
      </c>
      <c r="U633" s="55" t="e">
        <f t="shared" ca="1" si="137"/>
        <v>#N/A</v>
      </c>
      <c r="V633" s="55" t="e">
        <f t="shared" ca="1" si="138"/>
        <v>#N/A</v>
      </c>
      <c r="W633" s="55" t="e">
        <f t="shared" ca="1" si="146"/>
        <v>#N/A</v>
      </c>
      <c r="X633" s="55" t="e">
        <f t="shared" ca="1" si="147"/>
        <v>#N/A</v>
      </c>
      <c r="Y633" s="55" t="e">
        <f t="shared" ca="1" si="148"/>
        <v>#N/A</v>
      </c>
      <c r="Z633" t="e">
        <f ca="1">VLOOKUP(S633,ModelOutputs,10,FALSE)*AWC</f>
        <v>#N/A</v>
      </c>
      <c r="AA633" t="e">
        <f t="shared" ca="1" si="139"/>
        <v>#N/A</v>
      </c>
      <c r="AB633" t="e">
        <f t="shared" ca="1" si="140"/>
        <v>#N/A</v>
      </c>
      <c r="AC633" t="e">
        <f t="shared" ca="1" si="141"/>
        <v>#N/A</v>
      </c>
      <c r="AD633" s="83" t="e">
        <f ca="1"/>
        <v>#N/A</v>
      </c>
      <c r="AE633" s="55" t="e">
        <f t="shared" ca="1" si="142"/>
        <v>#N/A</v>
      </c>
      <c r="AF633" s="55" t="e">
        <f t="shared" ca="1" si="143"/>
        <v>#N/A</v>
      </c>
      <c r="AG633" s="55" t="e">
        <f t="shared" ca="1" si="144"/>
        <v>#N/A</v>
      </c>
      <c r="AH633" s="55" t="e">
        <f t="shared" ca="1" si="145"/>
        <v>#N/A</v>
      </c>
      <c r="AI633" s="55" t="e">
        <f ca="1">-VLOOKUP(AE633,ModelOutputs,9,FALSE)+AI632</f>
        <v>#N/A</v>
      </c>
      <c r="AJ633" s="55" t="e">
        <f ca="1">VLOOKUP(AE633,ModelOutputs,5,FALSE)+AJ632</f>
        <v>#N/A</v>
      </c>
      <c r="AK633" s="55" t="e">
        <f ca="1">VLOOKUP(AE633,ModelOutputs,4,FALSE)+AK632</f>
        <v>#N/A</v>
      </c>
    </row>
    <row r="634" spans="18:37">
      <c r="R634" s="55" t="e">
        <f ca="1"/>
        <v>#N/A</v>
      </c>
      <c r="S634" s="55" t="e">
        <f t="shared" ca="1" si="135"/>
        <v>#N/A</v>
      </c>
      <c r="T634" s="55" t="e">
        <f t="shared" ca="1" si="136"/>
        <v>#N/A</v>
      </c>
      <c r="U634" s="55" t="e">
        <f t="shared" ca="1" si="137"/>
        <v>#N/A</v>
      </c>
      <c r="V634" s="55" t="e">
        <f t="shared" ca="1" si="138"/>
        <v>#N/A</v>
      </c>
      <c r="W634" s="55" t="e">
        <f t="shared" ca="1" si="146"/>
        <v>#N/A</v>
      </c>
      <c r="X634" s="55" t="e">
        <f t="shared" ca="1" si="147"/>
        <v>#N/A</v>
      </c>
      <c r="Y634" s="55" t="e">
        <f t="shared" ca="1" si="148"/>
        <v>#N/A</v>
      </c>
      <c r="Z634" t="e">
        <f ca="1">VLOOKUP(S634,ModelOutputs,10,FALSE)*AWC</f>
        <v>#N/A</v>
      </c>
      <c r="AA634" t="e">
        <f t="shared" ca="1" si="139"/>
        <v>#N/A</v>
      </c>
      <c r="AB634" t="e">
        <f t="shared" ca="1" si="140"/>
        <v>#N/A</v>
      </c>
      <c r="AC634" t="e">
        <f t="shared" ca="1" si="141"/>
        <v>#N/A</v>
      </c>
      <c r="AD634" s="83" t="e">
        <f ca="1"/>
        <v>#N/A</v>
      </c>
      <c r="AE634" s="55" t="e">
        <f t="shared" ca="1" si="142"/>
        <v>#N/A</v>
      </c>
      <c r="AF634" s="55" t="e">
        <f t="shared" ca="1" si="143"/>
        <v>#N/A</v>
      </c>
      <c r="AG634" s="55" t="e">
        <f t="shared" ca="1" si="144"/>
        <v>#N/A</v>
      </c>
      <c r="AH634" s="55" t="e">
        <f t="shared" ca="1" si="145"/>
        <v>#N/A</v>
      </c>
      <c r="AI634" s="55" t="e">
        <f ca="1">-VLOOKUP(AE634,ModelOutputs,9,FALSE)+AI633</f>
        <v>#N/A</v>
      </c>
      <c r="AJ634" s="55" t="e">
        <f ca="1">VLOOKUP(AE634,ModelOutputs,5,FALSE)+AJ633</f>
        <v>#N/A</v>
      </c>
      <c r="AK634" s="55" t="e">
        <f ca="1">VLOOKUP(AE634,ModelOutputs,4,FALSE)+AK633</f>
        <v>#N/A</v>
      </c>
    </row>
    <row r="635" spans="18:37">
      <c r="R635" s="55" t="e">
        <f ca="1"/>
        <v>#N/A</v>
      </c>
      <c r="S635" s="55" t="e">
        <f t="shared" ca="1" si="135"/>
        <v>#N/A</v>
      </c>
      <c r="T635" s="55" t="e">
        <f t="shared" ca="1" si="136"/>
        <v>#N/A</v>
      </c>
      <c r="U635" s="55" t="e">
        <f t="shared" ca="1" si="137"/>
        <v>#N/A</v>
      </c>
      <c r="V635" s="55" t="e">
        <f t="shared" ca="1" si="138"/>
        <v>#N/A</v>
      </c>
      <c r="W635" s="55" t="e">
        <f t="shared" ca="1" si="146"/>
        <v>#N/A</v>
      </c>
      <c r="X635" s="55" t="e">
        <f t="shared" ca="1" si="147"/>
        <v>#N/A</v>
      </c>
      <c r="Y635" s="55" t="e">
        <f t="shared" ca="1" si="148"/>
        <v>#N/A</v>
      </c>
      <c r="Z635" t="e">
        <f ca="1">VLOOKUP(S635,ModelOutputs,10,FALSE)*AWC</f>
        <v>#N/A</v>
      </c>
      <c r="AA635" t="e">
        <f t="shared" ca="1" si="139"/>
        <v>#N/A</v>
      </c>
      <c r="AB635" t="e">
        <f t="shared" ca="1" si="140"/>
        <v>#N/A</v>
      </c>
      <c r="AC635" t="e">
        <f t="shared" ca="1" si="141"/>
        <v>#N/A</v>
      </c>
      <c r="AD635" s="83" t="e">
        <f ca="1"/>
        <v>#N/A</v>
      </c>
      <c r="AE635" s="55" t="e">
        <f t="shared" ca="1" si="142"/>
        <v>#N/A</v>
      </c>
      <c r="AF635" s="55" t="e">
        <f t="shared" ca="1" si="143"/>
        <v>#N/A</v>
      </c>
      <c r="AG635" s="55" t="e">
        <f t="shared" ca="1" si="144"/>
        <v>#N/A</v>
      </c>
      <c r="AH635" s="55" t="e">
        <f t="shared" ca="1" si="145"/>
        <v>#N/A</v>
      </c>
      <c r="AI635" s="55" t="e">
        <f ca="1">-VLOOKUP(AE635,ModelOutputs,9,FALSE)+AI634</f>
        <v>#N/A</v>
      </c>
      <c r="AJ635" s="55" t="e">
        <f ca="1">VLOOKUP(AE635,ModelOutputs,5,FALSE)+AJ634</f>
        <v>#N/A</v>
      </c>
      <c r="AK635" s="55" t="e">
        <f ca="1">VLOOKUP(AE635,ModelOutputs,4,FALSE)+AK634</f>
        <v>#N/A</v>
      </c>
    </row>
    <row r="636" spans="18:37">
      <c r="R636" s="55" t="e">
        <f ca="1"/>
        <v>#N/A</v>
      </c>
      <c r="S636" s="55" t="e">
        <f t="shared" ca="1" si="135"/>
        <v>#N/A</v>
      </c>
      <c r="T636" s="55" t="e">
        <f t="shared" ca="1" si="136"/>
        <v>#N/A</v>
      </c>
      <c r="U636" s="55" t="e">
        <f t="shared" ca="1" si="137"/>
        <v>#N/A</v>
      </c>
      <c r="V636" s="55" t="e">
        <f t="shared" ca="1" si="138"/>
        <v>#N/A</v>
      </c>
      <c r="W636" s="55" t="e">
        <f t="shared" ca="1" si="146"/>
        <v>#N/A</v>
      </c>
      <c r="X636" s="55" t="e">
        <f t="shared" ca="1" si="147"/>
        <v>#N/A</v>
      </c>
      <c r="Y636" s="55" t="e">
        <f t="shared" ca="1" si="148"/>
        <v>#N/A</v>
      </c>
      <c r="Z636" t="e">
        <f ca="1">VLOOKUP(S636,ModelOutputs,10,FALSE)*AWC</f>
        <v>#N/A</v>
      </c>
      <c r="AA636" t="e">
        <f t="shared" ca="1" si="139"/>
        <v>#N/A</v>
      </c>
      <c r="AB636" t="e">
        <f t="shared" ca="1" si="140"/>
        <v>#N/A</v>
      </c>
      <c r="AC636" t="e">
        <f t="shared" ca="1" si="141"/>
        <v>#N/A</v>
      </c>
      <c r="AD636" s="83" t="e">
        <f ca="1"/>
        <v>#N/A</v>
      </c>
      <c r="AE636" s="55" t="e">
        <f t="shared" ca="1" si="142"/>
        <v>#N/A</v>
      </c>
      <c r="AF636" s="55" t="e">
        <f t="shared" ca="1" si="143"/>
        <v>#N/A</v>
      </c>
      <c r="AG636" s="55" t="e">
        <f t="shared" ca="1" si="144"/>
        <v>#N/A</v>
      </c>
      <c r="AH636" s="55" t="e">
        <f t="shared" ca="1" si="145"/>
        <v>#N/A</v>
      </c>
      <c r="AI636" s="55" t="e">
        <f ca="1">-VLOOKUP(AE636,ModelOutputs,9,FALSE)+AI635</f>
        <v>#N/A</v>
      </c>
      <c r="AJ636" s="55" t="e">
        <f ca="1">VLOOKUP(AE636,ModelOutputs,5,FALSE)+AJ635</f>
        <v>#N/A</v>
      </c>
      <c r="AK636" s="55" t="e">
        <f ca="1">VLOOKUP(AE636,ModelOutputs,4,FALSE)+AK635</f>
        <v>#N/A</v>
      </c>
    </row>
    <row r="637" spans="18:37">
      <c r="R637" s="55" t="e">
        <f ca="1"/>
        <v>#N/A</v>
      </c>
      <c r="S637" s="55" t="e">
        <f t="shared" ca="1" si="135"/>
        <v>#N/A</v>
      </c>
      <c r="T637" s="55" t="e">
        <f t="shared" ca="1" si="136"/>
        <v>#N/A</v>
      </c>
      <c r="U637" s="55" t="e">
        <f t="shared" ca="1" si="137"/>
        <v>#N/A</v>
      </c>
      <c r="V637" s="55" t="e">
        <f t="shared" ca="1" si="138"/>
        <v>#N/A</v>
      </c>
      <c r="W637" s="55" t="e">
        <f t="shared" ca="1" si="146"/>
        <v>#N/A</v>
      </c>
      <c r="X637" s="55" t="e">
        <f t="shared" ca="1" si="147"/>
        <v>#N/A</v>
      </c>
      <c r="Y637" s="55" t="e">
        <f t="shared" ca="1" si="148"/>
        <v>#N/A</v>
      </c>
      <c r="Z637" t="e">
        <f ca="1">VLOOKUP(S637,ModelOutputs,10,FALSE)*AWC</f>
        <v>#N/A</v>
      </c>
      <c r="AA637" t="e">
        <f t="shared" ca="1" si="139"/>
        <v>#N/A</v>
      </c>
      <c r="AB637" t="e">
        <f t="shared" ca="1" si="140"/>
        <v>#N/A</v>
      </c>
      <c r="AC637" t="e">
        <f t="shared" ca="1" si="141"/>
        <v>#N/A</v>
      </c>
      <c r="AD637" s="83" t="e">
        <f ca="1"/>
        <v>#N/A</v>
      </c>
      <c r="AE637" s="55" t="e">
        <f t="shared" ca="1" si="142"/>
        <v>#N/A</v>
      </c>
      <c r="AF637" s="55" t="e">
        <f t="shared" ca="1" si="143"/>
        <v>#N/A</v>
      </c>
      <c r="AG637" s="55" t="e">
        <f t="shared" ca="1" si="144"/>
        <v>#N/A</v>
      </c>
      <c r="AH637" s="55" t="e">
        <f t="shared" ca="1" si="145"/>
        <v>#N/A</v>
      </c>
      <c r="AI637" s="55" t="e">
        <f ca="1">-VLOOKUP(AE637,ModelOutputs,9,FALSE)+AI636</f>
        <v>#N/A</v>
      </c>
      <c r="AJ637" s="55" t="e">
        <f ca="1">VLOOKUP(AE637,ModelOutputs,5,FALSE)+AJ636</f>
        <v>#N/A</v>
      </c>
      <c r="AK637" s="55" t="e">
        <f ca="1">VLOOKUP(AE637,ModelOutputs,4,FALSE)+AK636</f>
        <v>#N/A</v>
      </c>
    </row>
    <row r="638" spans="18:37">
      <c r="R638" s="55" t="e">
        <f ca="1"/>
        <v>#N/A</v>
      </c>
      <c r="S638" s="55" t="e">
        <f t="shared" ca="1" si="135"/>
        <v>#N/A</v>
      </c>
      <c r="T638" s="55" t="e">
        <f t="shared" ca="1" si="136"/>
        <v>#N/A</v>
      </c>
      <c r="U638" s="55" t="e">
        <f t="shared" ca="1" si="137"/>
        <v>#N/A</v>
      </c>
      <c r="V638" s="55" t="e">
        <f t="shared" ca="1" si="138"/>
        <v>#N/A</v>
      </c>
      <c r="W638" s="55" t="e">
        <f t="shared" ca="1" si="146"/>
        <v>#N/A</v>
      </c>
      <c r="X638" s="55" t="e">
        <f t="shared" ca="1" si="147"/>
        <v>#N/A</v>
      </c>
      <c r="Y638" s="55" t="e">
        <f t="shared" ca="1" si="148"/>
        <v>#N/A</v>
      </c>
      <c r="Z638" t="e">
        <f ca="1">VLOOKUP(S638,ModelOutputs,10,FALSE)*AWC</f>
        <v>#N/A</v>
      </c>
      <c r="AA638" t="e">
        <f t="shared" ca="1" si="139"/>
        <v>#N/A</v>
      </c>
      <c r="AB638" t="e">
        <f t="shared" ca="1" si="140"/>
        <v>#N/A</v>
      </c>
      <c r="AC638" t="e">
        <f t="shared" ca="1" si="141"/>
        <v>#N/A</v>
      </c>
      <c r="AD638" s="83" t="e">
        <f ca="1"/>
        <v>#N/A</v>
      </c>
      <c r="AE638" s="55" t="e">
        <f t="shared" ca="1" si="142"/>
        <v>#N/A</v>
      </c>
      <c r="AF638" s="55" t="e">
        <f t="shared" ca="1" si="143"/>
        <v>#N/A</v>
      </c>
      <c r="AG638" s="55" t="e">
        <f t="shared" ca="1" si="144"/>
        <v>#N/A</v>
      </c>
      <c r="AH638" s="55" t="e">
        <f t="shared" ca="1" si="145"/>
        <v>#N/A</v>
      </c>
      <c r="AI638" s="55" t="e">
        <f ca="1">-VLOOKUP(AE638,ModelOutputs,9,FALSE)+AI637</f>
        <v>#N/A</v>
      </c>
      <c r="AJ638" s="55" t="e">
        <f ca="1">VLOOKUP(AE638,ModelOutputs,5,FALSE)+AJ637</f>
        <v>#N/A</v>
      </c>
      <c r="AK638" s="55" t="e">
        <f ca="1">VLOOKUP(AE638,ModelOutputs,4,FALSE)+AK637</f>
        <v>#N/A</v>
      </c>
    </row>
    <row r="639" spans="18:37">
      <c r="R639" s="55" t="e">
        <f ca="1"/>
        <v>#N/A</v>
      </c>
      <c r="S639" s="55" t="e">
        <f t="shared" ca="1" si="135"/>
        <v>#N/A</v>
      </c>
      <c r="T639" s="55" t="e">
        <f t="shared" ca="1" si="136"/>
        <v>#N/A</v>
      </c>
      <c r="U639" s="55" t="e">
        <f t="shared" ca="1" si="137"/>
        <v>#N/A</v>
      </c>
      <c r="V639" s="55" t="e">
        <f t="shared" ca="1" si="138"/>
        <v>#N/A</v>
      </c>
      <c r="W639" s="55" t="e">
        <f t="shared" ca="1" si="146"/>
        <v>#N/A</v>
      </c>
      <c r="X639" s="55" t="e">
        <f t="shared" ca="1" si="147"/>
        <v>#N/A</v>
      </c>
      <c r="Y639" s="55" t="e">
        <f t="shared" ca="1" si="148"/>
        <v>#N/A</v>
      </c>
      <c r="Z639" t="e">
        <f ca="1">VLOOKUP(S639,ModelOutputs,10,FALSE)*AWC</f>
        <v>#N/A</v>
      </c>
      <c r="AA639" t="e">
        <f t="shared" ca="1" si="139"/>
        <v>#N/A</v>
      </c>
      <c r="AB639" t="e">
        <f t="shared" ca="1" si="140"/>
        <v>#N/A</v>
      </c>
      <c r="AC639" t="e">
        <f t="shared" ca="1" si="141"/>
        <v>#N/A</v>
      </c>
      <c r="AD639" s="83" t="e">
        <f ca="1"/>
        <v>#N/A</v>
      </c>
      <c r="AE639" s="55" t="e">
        <f t="shared" ca="1" si="142"/>
        <v>#N/A</v>
      </c>
      <c r="AF639" s="55" t="e">
        <f t="shared" ca="1" si="143"/>
        <v>#N/A</v>
      </c>
      <c r="AG639" s="55" t="e">
        <f t="shared" ca="1" si="144"/>
        <v>#N/A</v>
      </c>
      <c r="AH639" s="55" t="e">
        <f t="shared" ca="1" si="145"/>
        <v>#N/A</v>
      </c>
      <c r="AI639" s="55" t="e">
        <f ca="1">-VLOOKUP(AE639,ModelOutputs,9,FALSE)+AI638</f>
        <v>#N/A</v>
      </c>
      <c r="AJ639" s="55" t="e">
        <f ca="1">VLOOKUP(AE639,ModelOutputs,5,FALSE)+AJ638</f>
        <v>#N/A</v>
      </c>
      <c r="AK639" s="55" t="e">
        <f ca="1">VLOOKUP(AE639,ModelOutputs,4,FALSE)+AK638</f>
        <v>#N/A</v>
      </c>
    </row>
    <row r="640" spans="18:37">
      <c r="R640" s="55" t="e">
        <f ca="1"/>
        <v>#N/A</v>
      </c>
      <c r="S640" s="55" t="e">
        <f t="shared" ca="1" si="135"/>
        <v>#N/A</v>
      </c>
      <c r="T640" s="55" t="e">
        <f t="shared" ca="1" si="136"/>
        <v>#N/A</v>
      </c>
      <c r="U640" s="55" t="e">
        <f t="shared" ca="1" si="137"/>
        <v>#N/A</v>
      </c>
      <c r="V640" s="55" t="e">
        <f t="shared" ca="1" si="138"/>
        <v>#N/A</v>
      </c>
      <c r="W640" s="55" t="e">
        <f t="shared" ca="1" si="146"/>
        <v>#N/A</v>
      </c>
      <c r="X640" s="55" t="e">
        <f t="shared" ca="1" si="147"/>
        <v>#N/A</v>
      </c>
      <c r="Y640" s="55" t="e">
        <f t="shared" ca="1" si="148"/>
        <v>#N/A</v>
      </c>
      <c r="Z640" t="e">
        <f ca="1">VLOOKUP(S640,ModelOutputs,10,FALSE)*AWC</f>
        <v>#N/A</v>
      </c>
      <c r="AA640" t="e">
        <f t="shared" ca="1" si="139"/>
        <v>#N/A</v>
      </c>
      <c r="AB640" t="e">
        <f t="shared" ca="1" si="140"/>
        <v>#N/A</v>
      </c>
      <c r="AC640" t="e">
        <f t="shared" ca="1" si="141"/>
        <v>#N/A</v>
      </c>
      <c r="AD640" s="83" t="e">
        <f ca="1"/>
        <v>#N/A</v>
      </c>
      <c r="AE640" s="55" t="e">
        <f t="shared" ca="1" si="142"/>
        <v>#N/A</v>
      </c>
      <c r="AF640" s="55" t="e">
        <f t="shared" ca="1" si="143"/>
        <v>#N/A</v>
      </c>
      <c r="AG640" s="55" t="e">
        <f t="shared" ca="1" si="144"/>
        <v>#N/A</v>
      </c>
      <c r="AH640" s="55" t="e">
        <f t="shared" ca="1" si="145"/>
        <v>#N/A</v>
      </c>
      <c r="AI640" s="55" t="e">
        <f ca="1">-VLOOKUP(AE640,ModelOutputs,9,FALSE)+AI639</f>
        <v>#N/A</v>
      </c>
      <c r="AJ640" s="55" t="e">
        <f ca="1">VLOOKUP(AE640,ModelOutputs,5,FALSE)+AJ639</f>
        <v>#N/A</v>
      </c>
      <c r="AK640" s="55" t="e">
        <f ca="1">VLOOKUP(AE640,ModelOutputs,4,FALSE)+AK639</f>
        <v>#N/A</v>
      </c>
    </row>
    <row r="641" spans="18:37">
      <c r="R641" s="55" t="e">
        <f ca="1"/>
        <v>#N/A</v>
      </c>
      <c r="S641" s="55" t="e">
        <f t="shared" ca="1" si="135"/>
        <v>#N/A</v>
      </c>
      <c r="T641" s="55" t="e">
        <f t="shared" ca="1" si="136"/>
        <v>#N/A</v>
      </c>
      <c r="U641" s="55" t="e">
        <f t="shared" ca="1" si="137"/>
        <v>#N/A</v>
      </c>
      <c r="V641" s="55" t="e">
        <f t="shared" ca="1" si="138"/>
        <v>#N/A</v>
      </c>
      <c r="W641" s="55" t="e">
        <f t="shared" ca="1" si="146"/>
        <v>#N/A</v>
      </c>
      <c r="X641" s="55" t="e">
        <f t="shared" ca="1" si="147"/>
        <v>#N/A</v>
      </c>
      <c r="Y641" s="55" t="e">
        <f t="shared" ca="1" si="148"/>
        <v>#N/A</v>
      </c>
      <c r="Z641" t="e">
        <f ca="1">VLOOKUP(S641,ModelOutputs,10,FALSE)*AWC</f>
        <v>#N/A</v>
      </c>
      <c r="AA641" t="e">
        <f t="shared" ca="1" si="139"/>
        <v>#N/A</v>
      </c>
      <c r="AB641" t="e">
        <f t="shared" ca="1" si="140"/>
        <v>#N/A</v>
      </c>
      <c r="AC641" t="e">
        <f t="shared" ca="1" si="141"/>
        <v>#N/A</v>
      </c>
      <c r="AD641" s="83" t="e">
        <f ca="1"/>
        <v>#N/A</v>
      </c>
      <c r="AE641" s="55" t="e">
        <f t="shared" ca="1" si="142"/>
        <v>#N/A</v>
      </c>
      <c r="AF641" s="55" t="e">
        <f t="shared" ca="1" si="143"/>
        <v>#N/A</v>
      </c>
      <c r="AG641" s="55" t="e">
        <f t="shared" ca="1" si="144"/>
        <v>#N/A</v>
      </c>
      <c r="AH641" s="55" t="e">
        <f t="shared" ca="1" si="145"/>
        <v>#N/A</v>
      </c>
      <c r="AI641" s="55" t="e">
        <f ca="1">-VLOOKUP(AE641,ModelOutputs,9,FALSE)+AI640</f>
        <v>#N/A</v>
      </c>
      <c r="AJ641" s="55" t="e">
        <f ca="1">VLOOKUP(AE641,ModelOutputs,5,FALSE)+AJ640</f>
        <v>#N/A</v>
      </c>
      <c r="AK641" s="55" t="e">
        <f ca="1">VLOOKUP(AE641,ModelOutputs,4,FALSE)+AK640</f>
        <v>#N/A</v>
      </c>
    </row>
    <row r="642" spans="18:37">
      <c r="R642" s="55" t="e">
        <f ca="1"/>
        <v>#N/A</v>
      </c>
      <c r="S642" s="55" t="e">
        <f t="shared" ca="1" si="135"/>
        <v>#N/A</v>
      </c>
      <c r="T642" s="55" t="e">
        <f t="shared" ca="1" si="136"/>
        <v>#N/A</v>
      </c>
      <c r="U642" s="55" t="e">
        <f t="shared" ca="1" si="137"/>
        <v>#N/A</v>
      </c>
      <c r="V642" s="55" t="e">
        <f t="shared" ca="1" si="138"/>
        <v>#N/A</v>
      </c>
      <c r="W642" s="55" t="e">
        <f t="shared" ca="1" si="146"/>
        <v>#N/A</v>
      </c>
      <c r="X642" s="55" t="e">
        <f t="shared" ca="1" si="147"/>
        <v>#N/A</v>
      </c>
      <c r="Y642" s="55" t="e">
        <f t="shared" ca="1" si="148"/>
        <v>#N/A</v>
      </c>
      <c r="Z642" t="e">
        <f ca="1">VLOOKUP(S642,ModelOutputs,10,FALSE)*AWC</f>
        <v>#N/A</v>
      </c>
      <c r="AA642" t="e">
        <f t="shared" ca="1" si="139"/>
        <v>#N/A</v>
      </c>
      <c r="AB642" t="e">
        <f t="shared" ca="1" si="140"/>
        <v>#N/A</v>
      </c>
      <c r="AC642" t="e">
        <f t="shared" ca="1" si="141"/>
        <v>#N/A</v>
      </c>
      <c r="AD642" s="83" t="e">
        <f ca="1"/>
        <v>#N/A</v>
      </c>
      <c r="AE642" s="55" t="e">
        <f t="shared" ca="1" si="142"/>
        <v>#N/A</v>
      </c>
      <c r="AF642" s="55" t="e">
        <f t="shared" ca="1" si="143"/>
        <v>#N/A</v>
      </c>
      <c r="AG642" s="55" t="e">
        <f t="shared" ca="1" si="144"/>
        <v>#N/A</v>
      </c>
      <c r="AH642" s="55" t="e">
        <f t="shared" ca="1" si="145"/>
        <v>#N/A</v>
      </c>
      <c r="AI642" s="55" t="e">
        <f ca="1">-VLOOKUP(AE642,ModelOutputs,9,FALSE)+AI641</f>
        <v>#N/A</v>
      </c>
      <c r="AJ642" s="55" t="e">
        <f ca="1">VLOOKUP(AE642,ModelOutputs,5,FALSE)+AJ641</f>
        <v>#N/A</v>
      </c>
      <c r="AK642" s="55" t="e">
        <f ca="1">VLOOKUP(AE642,ModelOutputs,4,FALSE)+AK641</f>
        <v>#N/A</v>
      </c>
    </row>
    <row r="643" spans="18:37">
      <c r="R643" s="55" t="e">
        <f ca="1"/>
        <v>#N/A</v>
      </c>
      <c r="S643" s="55" t="e">
        <f t="shared" ca="1" si="135"/>
        <v>#N/A</v>
      </c>
      <c r="T643" s="55" t="e">
        <f t="shared" ca="1" si="136"/>
        <v>#N/A</v>
      </c>
      <c r="U643" s="55" t="e">
        <f t="shared" ca="1" si="137"/>
        <v>#N/A</v>
      </c>
      <c r="V643" s="55" t="e">
        <f t="shared" ca="1" si="138"/>
        <v>#N/A</v>
      </c>
      <c r="W643" s="55" t="e">
        <f t="shared" ca="1" si="146"/>
        <v>#N/A</v>
      </c>
      <c r="X643" s="55" t="e">
        <f t="shared" ca="1" si="147"/>
        <v>#N/A</v>
      </c>
      <c r="Y643" s="55" t="e">
        <f t="shared" ca="1" si="148"/>
        <v>#N/A</v>
      </c>
      <c r="Z643" t="e">
        <f ca="1">VLOOKUP(S643,ModelOutputs,10,FALSE)*AWC</f>
        <v>#N/A</v>
      </c>
      <c r="AA643" t="e">
        <f t="shared" ca="1" si="139"/>
        <v>#N/A</v>
      </c>
      <c r="AB643" t="e">
        <f t="shared" ca="1" si="140"/>
        <v>#N/A</v>
      </c>
      <c r="AC643" t="e">
        <f t="shared" ca="1" si="141"/>
        <v>#N/A</v>
      </c>
      <c r="AD643" s="83" t="e">
        <f ca="1"/>
        <v>#N/A</v>
      </c>
      <c r="AE643" s="55" t="e">
        <f t="shared" ca="1" si="142"/>
        <v>#N/A</v>
      </c>
      <c r="AF643" s="55" t="e">
        <f t="shared" ca="1" si="143"/>
        <v>#N/A</v>
      </c>
      <c r="AG643" s="55" t="e">
        <f t="shared" ca="1" si="144"/>
        <v>#N/A</v>
      </c>
      <c r="AH643" s="55" t="e">
        <f t="shared" ca="1" si="145"/>
        <v>#N/A</v>
      </c>
      <c r="AI643" s="55" t="e">
        <f ca="1">-VLOOKUP(AE643,ModelOutputs,9,FALSE)+AI642</f>
        <v>#N/A</v>
      </c>
      <c r="AJ643" s="55" t="e">
        <f ca="1">VLOOKUP(AE643,ModelOutputs,5,FALSE)+AJ642</f>
        <v>#N/A</v>
      </c>
      <c r="AK643" s="55" t="e">
        <f ca="1">VLOOKUP(AE643,ModelOutputs,4,FALSE)+AK642</f>
        <v>#N/A</v>
      </c>
    </row>
    <row r="644" spans="18:37">
      <c r="R644" s="55" t="e">
        <f ca="1"/>
        <v>#N/A</v>
      </c>
      <c r="S644" s="55" t="e">
        <f t="shared" ca="1" si="135"/>
        <v>#N/A</v>
      </c>
      <c r="T644" s="55" t="e">
        <f t="shared" ca="1" si="136"/>
        <v>#N/A</v>
      </c>
      <c r="U644" s="55" t="e">
        <f t="shared" ca="1" si="137"/>
        <v>#N/A</v>
      </c>
      <c r="V644" s="55" t="e">
        <f t="shared" ca="1" si="138"/>
        <v>#N/A</v>
      </c>
      <c r="W644" s="55" t="e">
        <f t="shared" ca="1" si="146"/>
        <v>#N/A</v>
      </c>
      <c r="X644" s="55" t="e">
        <f t="shared" ca="1" si="147"/>
        <v>#N/A</v>
      </c>
      <c r="Y644" s="55" t="e">
        <f t="shared" ca="1" si="148"/>
        <v>#N/A</v>
      </c>
      <c r="Z644" t="e">
        <f ca="1">VLOOKUP(S644,ModelOutputs,10,FALSE)*AWC</f>
        <v>#N/A</v>
      </c>
      <c r="AA644" t="e">
        <f t="shared" ca="1" si="139"/>
        <v>#N/A</v>
      </c>
      <c r="AB644" t="e">
        <f t="shared" ca="1" si="140"/>
        <v>#N/A</v>
      </c>
      <c r="AC644" t="e">
        <f t="shared" ca="1" si="141"/>
        <v>#N/A</v>
      </c>
      <c r="AD644" s="83" t="e">
        <f ca="1"/>
        <v>#N/A</v>
      </c>
      <c r="AE644" s="55" t="e">
        <f t="shared" ca="1" si="142"/>
        <v>#N/A</v>
      </c>
      <c r="AF644" s="55" t="e">
        <f t="shared" ca="1" si="143"/>
        <v>#N/A</v>
      </c>
      <c r="AG644" s="55" t="e">
        <f t="shared" ca="1" si="144"/>
        <v>#N/A</v>
      </c>
      <c r="AH644" s="55" t="e">
        <f t="shared" ca="1" si="145"/>
        <v>#N/A</v>
      </c>
      <c r="AI644" s="55" t="e">
        <f ca="1">-VLOOKUP(AE644,ModelOutputs,9,FALSE)+AI643</f>
        <v>#N/A</v>
      </c>
      <c r="AJ644" s="55" t="e">
        <f ca="1">VLOOKUP(AE644,ModelOutputs,5,FALSE)+AJ643</f>
        <v>#N/A</v>
      </c>
      <c r="AK644" s="55" t="e">
        <f ca="1">VLOOKUP(AE644,ModelOutputs,4,FALSE)+AK643</f>
        <v>#N/A</v>
      </c>
    </row>
    <row r="645" spans="18:37">
      <c r="R645" s="55" t="e">
        <f ca="1"/>
        <v>#N/A</v>
      </c>
      <c r="S645" s="55" t="e">
        <f t="shared" ca="1" si="135"/>
        <v>#N/A</v>
      </c>
      <c r="T645" s="55" t="e">
        <f t="shared" ca="1" si="136"/>
        <v>#N/A</v>
      </c>
      <c r="U645" s="55" t="e">
        <f t="shared" ca="1" si="137"/>
        <v>#N/A</v>
      </c>
      <c r="V645" s="55" t="e">
        <f t="shared" ca="1" si="138"/>
        <v>#N/A</v>
      </c>
      <c r="W645" s="55" t="e">
        <f t="shared" ca="1" si="146"/>
        <v>#N/A</v>
      </c>
      <c r="X645" s="55" t="e">
        <f t="shared" ca="1" si="147"/>
        <v>#N/A</v>
      </c>
      <c r="Y645" s="55" t="e">
        <f t="shared" ca="1" si="148"/>
        <v>#N/A</v>
      </c>
      <c r="Z645" t="e">
        <f ca="1">VLOOKUP(S645,ModelOutputs,10,FALSE)*AWC</f>
        <v>#N/A</v>
      </c>
      <c r="AA645" t="e">
        <f t="shared" ca="1" si="139"/>
        <v>#N/A</v>
      </c>
      <c r="AB645" t="e">
        <f t="shared" ca="1" si="140"/>
        <v>#N/A</v>
      </c>
      <c r="AC645" t="e">
        <f t="shared" ca="1" si="141"/>
        <v>#N/A</v>
      </c>
      <c r="AD645" s="83" t="e">
        <f ca="1"/>
        <v>#N/A</v>
      </c>
      <c r="AE645" s="55" t="e">
        <f t="shared" ca="1" si="142"/>
        <v>#N/A</v>
      </c>
      <c r="AF645" s="55" t="e">
        <f t="shared" ca="1" si="143"/>
        <v>#N/A</v>
      </c>
      <c r="AG645" s="55" t="e">
        <f t="shared" ca="1" si="144"/>
        <v>#N/A</v>
      </c>
      <c r="AH645" s="55" t="e">
        <f t="shared" ca="1" si="145"/>
        <v>#N/A</v>
      </c>
      <c r="AI645" s="55" t="e">
        <f ca="1">-VLOOKUP(AE645,ModelOutputs,9,FALSE)+AI644</f>
        <v>#N/A</v>
      </c>
      <c r="AJ645" s="55" t="e">
        <f ca="1">VLOOKUP(AE645,ModelOutputs,5,FALSE)+AJ644</f>
        <v>#N/A</v>
      </c>
      <c r="AK645" s="55" t="e">
        <f ca="1">VLOOKUP(AE645,ModelOutputs,4,FALSE)+AK644</f>
        <v>#N/A</v>
      </c>
    </row>
    <row r="646" spans="18:37">
      <c r="R646" s="55" t="e">
        <f ca="1"/>
        <v>#N/A</v>
      </c>
      <c r="S646" s="55" t="e">
        <f t="shared" ca="1" si="135"/>
        <v>#N/A</v>
      </c>
      <c r="T646" s="55" t="e">
        <f t="shared" ca="1" si="136"/>
        <v>#N/A</v>
      </c>
      <c r="U646" s="55" t="e">
        <f t="shared" ca="1" si="137"/>
        <v>#N/A</v>
      </c>
      <c r="V646" s="55" t="e">
        <f t="shared" ca="1" si="138"/>
        <v>#N/A</v>
      </c>
      <c r="W646" s="55" t="e">
        <f t="shared" ca="1" si="146"/>
        <v>#N/A</v>
      </c>
      <c r="X646" s="55" t="e">
        <f t="shared" ca="1" si="147"/>
        <v>#N/A</v>
      </c>
      <c r="Y646" s="55" t="e">
        <f t="shared" ca="1" si="148"/>
        <v>#N/A</v>
      </c>
      <c r="Z646" t="e">
        <f ca="1">VLOOKUP(S646,ModelOutputs,10,FALSE)*AWC</f>
        <v>#N/A</v>
      </c>
      <c r="AA646" t="e">
        <f t="shared" ca="1" si="139"/>
        <v>#N/A</v>
      </c>
      <c r="AB646" t="e">
        <f t="shared" ca="1" si="140"/>
        <v>#N/A</v>
      </c>
      <c r="AC646" t="e">
        <f t="shared" ca="1" si="141"/>
        <v>#N/A</v>
      </c>
      <c r="AD646" s="83" t="e">
        <f ca="1"/>
        <v>#N/A</v>
      </c>
      <c r="AE646" s="55" t="e">
        <f t="shared" ca="1" si="142"/>
        <v>#N/A</v>
      </c>
      <c r="AF646" s="55" t="e">
        <f t="shared" ca="1" si="143"/>
        <v>#N/A</v>
      </c>
      <c r="AG646" s="55" t="e">
        <f t="shared" ca="1" si="144"/>
        <v>#N/A</v>
      </c>
      <c r="AH646" s="55" t="e">
        <f t="shared" ca="1" si="145"/>
        <v>#N/A</v>
      </c>
      <c r="AI646" s="55" t="e">
        <f ca="1">-VLOOKUP(AE646,ModelOutputs,9,FALSE)+AI645</f>
        <v>#N/A</v>
      </c>
      <c r="AJ646" s="55" t="e">
        <f ca="1">VLOOKUP(AE646,ModelOutputs,5,FALSE)+AJ645</f>
        <v>#N/A</v>
      </c>
      <c r="AK646" s="55" t="e">
        <f ca="1">VLOOKUP(AE646,ModelOutputs,4,FALSE)+AK645</f>
        <v>#N/A</v>
      </c>
    </row>
    <row r="647" spans="18:37">
      <c r="R647" s="55" t="e">
        <f ca="1"/>
        <v>#N/A</v>
      </c>
      <c r="S647" s="55" t="e">
        <f t="shared" ca="1" si="135"/>
        <v>#N/A</v>
      </c>
      <c r="T647" s="55" t="e">
        <f t="shared" ca="1" si="136"/>
        <v>#N/A</v>
      </c>
      <c r="U647" s="55" t="e">
        <f t="shared" ca="1" si="137"/>
        <v>#N/A</v>
      </c>
      <c r="V647" s="55" t="e">
        <f t="shared" ca="1" si="138"/>
        <v>#N/A</v>
      </c>
      <c r="W647" s="55" t="e">
        <f t="shared" ca="1" si="146"/>
        <v>#N/A</v>
      </c>
      <c r="X647" s="55" t="e">
        <f t="shared" ca="1" si="147"/>
        <v>#N/A</v>
      </c>
      <c r="Y647" s="55" t="e">
        <f t="shared" ca="1" si="148"/>
        <v>#N/A</v>
      </c>
      <c r="Z647" t="e">
        <f ca="1">VLOOKUP(S647,ModelOutputs,10,FALSE)*AWC</f>
        <v>#N/A</v>
      </c>
      <c r="AA647" t="e">
        <f t="shared" ca="1" si="139"/>
        <v>#N/A</v>
      </c>
      <c r="AB647" t="e">
        <f t="shared" ca="1" si="140"/>
        <v>#N/A</v>
      </c>
      <c r="AC647" t="e">
        <f t="shared" ca="1" si="141"/>
        <v>#N/A</v>
      </c>
      <c r="AD647" s="83" t="e">
        <f ca="1"/>
        <v>#N/A</v>
      </c>
      <c r="AE647" s="55" t="e">
        <f t="shared" ca="1" si="142"/>
        <v>#N/A</v>
      </c>
      <c r="AF647" s="55" t="e">
        <f t="shared" ca="1" si="143"/>
        <v>#N/A</v>
      </c>
      <c r="AG647" s="55" t="e">
        <f t="shared" ca="1" si="144"/>
        <v>#N/A</v>
      </c>
      <c r="AH647" s="55" t="e">
        <f t="shared" ca="1" si="145"/>
        <v>#N/A</v>
      </c>
      <c r="AI647" s="55" t="e">
        <f ca="1">-VLOOKUP(AE647,ModelOutputs,9,FALSE)+AI646</f>
        <v>#N/A</v>
      </c>
      <c r="AJ647" s="55" t="e">
        <f ca="1">VLOOKUP(AE647,ModelOutputs,5,FALSE)+AJ646</f>
        <v>#N/A</v>
      </c>
      <c r="AK647" s="55" t="e">
        <f ca="1">VLOOKUP(AE647,ModelOutputs,4,FALSE)+AK646</f>
        <v>#N/A</v>
      </c>
    </row>
    <row r="648" spans="18:37">
      <c r="R648" s="55" t="e">
        <f ca="1"/>
        <v>#N/A</v>
      </c>
      <c r="S648" s="55" t="e">
        <f t="shared" ca="1" si="135"/>
        <v>#N/A</v>
      </c>
      <c r="T648" s="55" t="e">
        <f t="shared" ca="1" si="136"/>
        <v>#N/A</v>
      </c>
      <c r="U648" s="55" t="e">
        <f t="shared" ca="1" si="137"/>
        <v>#N/A</v>
      </c>
      <c r="V648" s="55" t="e">
        <f t="shared" ca="1" si="138"/>
        <v>#N/A</v>
      </c>
      <c r="W648" s="55" t="e">
        <f t="shared" ca="1" si="146"/>
        <v>#N/A</v>
      </c>
      <c r="X648" s="55" t="e">
        <f t="shared" ca="1" si="147"/>
        <v>#N/A</v>
      </c>
      <c r="Y648" s="55" t="e">
        <f t="shared" ca="1" si="148"/>
        <v>#N/A</v>
      </c>
      <c r="Z648" t="e">
        <f ca="1">VLOOKUP(S648,ModelOutputs,10,FALSE)*AWC</f>
        <v>#N/A</v>
      </c>
      <c r="AA648" t="e">
        <f t="shared" ca="1" si="139"/>
        <v>#N/A</v>
      </c>
      <c r="AB648" t="e">
        <f t="shared" ca="1" si="140"/>
        <v>#N/A</v>
      </c>
      <c r="AC648" t="e">
        <f t="shared" ca="1" si="141"/>
        <v>#N/A</v>
      </c>
      <c r="AD648" s="83" t="e">
        <f ca="1"/>
        <v>#N/A</v>
      </c>
      <c r="AE648" s="55" t="e">
        <f t="shared" ca="1" si="142"/>
        <v>#N/A</v>
      </c>
      <c r="AF648" s="55" t="e">
        <f t="shared" ca="1" si="143"/>
        <v>#N/A</v>
      </c>
      <c r="AG648" s="55" t="e">
        <f t="shared" ca="1" si="144"/>
        <v>#N/A</v>
      </c>
      <c r="AH648" s="55" t="e">
        <f t="shared" ca="1" si="145"/>
        <v>#N/A</v>
      </c>
      <c r="AI648" s="55" t="e">
        <f ca="1">-VLOOKUP(AE648,ModelOutputs,9,FALSE)+AI647</f>
        <v>#N/A</v>
      </c>
      <c r="AJ648" s="55" t="e">
        <f ca="1">VLOOKUP(AE648,ModelOutputs,5,FALSE)+AJ647</f>
        <v>#N/A</v>
      </c>
      <c r="AK648" s="55" t="e">
        <f ca="1">VLOOKUP(AE648,ModelOutputs,4,FALSE)+AK647</f>
        <v>#N/A</v>
      </c>
    </row>
    <row r="649" spans="18:37">
      <c r="R649" s="55" t="e">
        <f ca="1"/>
        <v>#N/A</v>
      </c>
      <c r="S649" s="55" t="e">
        <f t="shared" ca="1" si="135"/>
        <v>#N/A</v>
      </c>
      <c r="T649" s="55" t="e">
        <f t="shared" ca="1" si="136"/>
        <v>#N/A</v>
      </c>
      <c r="U649" s="55" t="e">
        <f t="shared" ca="1" si="137"/>
        <v>#N/A</v>
      </c>
      <c r="V649" s="55" t="e">
        <f t="shared" ca="1" si="138"/>
        <v>#N/A</v>
      </c>
      <c r="W649" s="55" t="e">
        <f t="shared" ca="1" si="146"/>
        <v>#N/A</v>
      </c>
      <c r="X649" s="55" t="e">
        <f t="shared" ca="1" si="147"/>
        <v>#N/A</v>
      </c>
      <c r="Y649" s="55" t="e">
        <f t="shared" ca="1" si="148"/>
        <v>#N/A</v>
      </c>
      <c r="Z649" t="e">
        <f ca="1">VLOOKUP(S649,ModelOutputs,10,FALSE)*AWC</f>
        <v>#N/A</v>
      </c>
      <c r="AA649" t="e">
        <f t="shared" ca="1" si="139"/>
        <v>#N/A</v>
      </c>
      <c r="AB649" t="e">
        <f t="shared" ca="1" si="140"/>
        <v>#N/A</v>
      </c>
      <c r="AC649" t="e">
        <f t="shared" ca="1" si="141"/>
        <v>#N/A</v>
      </c>
      <c r="AD649" s="83" t="e">
        <f ca="1"/>
        <v>#N/A</v>
      </c>
      <c r="AE649" s="55" t="e">
        <f t="shared" ca="1" si="142"/>
        <v>#N/A</v>
      </c>
      <c r="AF649" s="55" t="e">
        <f t="shared" ca="1" si="143"/>
        <v>#N/A</v>
      </c>
      <c r="AG649" s="55" t="e">
        <f t="shared" ca="1" si="144"/>
        <v>#N/A</v>
      </c>
      <c r="AH649" s="55" t="e">
        <f t="shared" ca="1" si="145"/>
        <v>#N/A</v>
      </c>
      <c r="AI649" s="55" t="e">
        <f ca="1">-VLOOKUP(AE649,ModelOutputs,9,FALSE)+AI648</f>
        <v>#N/A</v>
      </c>
      <c r="AJ649" s="55" t="e">
        <f ca="1">VLOOKUP(AE649,ModelOutputs,5,FALSE)+AJ648</f>
        <v>#N/A</v>
      </c>
      <c r="AK649" s="55" t="e">
        <f ca="1">VLOOKUP(AE649,ModelOutputs,4,FALSE)+AK648</f>
        <v>#N/A</v>
      </c>
    </row>
    <row r="650" spans="18:37">
      <c r="R650" s="55" t="e">
        <f ca="1"/>
        <v>#N/A</v>
      </c>
      <c r="S650" s="55" t="e">
        <f t="shared" ca="1" si="135"/>
        <v>#N/A</v>
      </c>
      <c r="T650" s="55" t="e">
        <f t="shared" ca="1" si="136"/>
        <v>#N/A</v>
      </c>
      <c r="U650" s="55" t="e">
        <f t="shared" ca="1" si="137"/>
        <v>#N/A</v>
      </c>
      <c r="V650" s="55" t="e">
        <f t="shared" ca="1" si="138"/>
        <v>#N/A</v>
      </c>
      <c r="W650" s="55" t="e">
        <f t="shared" ca="1" si="146"/>
        <v>#N/A</v>
      </c>
      <c r="X650" s="55" t="e">
        <f t="shared" ca="1" si="147"/>
        <v>#N/A</v>
      </c>
      <c r="Y650" s="55" t="e">
        <f t="shared" ca="1" si="148"/>
        <v>#N/A</v>
      </c>
      <c r="Z650" t="e">
        <f ca="1">VLOOKUP(S650,ModelOutputs,10,FALSE)*AWC</f>
        <v>#N/A</v>
      </c>
      <c r="AA650" t="e">
        <f t="shared" ca="1" si="139"/>
        <v>#N/A</v>
      </c>
      <c r="AB650" t="e">
        <f t="shared" ca="1" si="140"/>
        <v>#N/A</v>
      </c>
      <c r="AC650" t="e">
        <f t="shared" ca="1" si="141"/>
        <v>#N/A</v>
      </c>
      <c r="AD650" s="83" t="e">
        <f ca="1"/>
        <v>#N/A</v>
      </c>
      <c r="AE650" s="55" t="e">
        <f t="shared" ca="1" si="142"/>
        <v>#N/A</v>
      </c>
      <c r="AF650" s="55" t="e">
        <f t="shared" ca="1" si="143"/>
        <v>#N/A</v>
      </c>
      <c r="AG650" s="55" t="e">
        <f t="shared" ca="1" si="144"/>
        <v>#N/A</v>
      </c>
      <c r="AH650" s="55" t="e">
        <f t="shared" ca="1" si="145"/>
        <v>#N/A</v>
      </c>
      <c r="AI650" s="55" t="e">
        <f ca="1">-VLOOKUP(AE650,ModelOutputs,9,FALSE)+AI649</f>
        <v>#N/A</v>
      </c>
      <c r="AJ650" s="55" t="e">
        <f ca="1">VLOOKUP(AE650,ModelOutputs,5,FALSE)+AJ649</f>
        <v>#N/A</v>
      </c>
      <c r="AK650" s="55" t="e">
        <f ca="1">VLOOKUP(AE650,ModelOutputs,4,FALSE)+AK649</f>
        <v>#N/A</v>
      </c>
    </row>
    <row r="651" spans="18:37">
      <c r="R651" s="55" t="e">
        <f ca="1"/>
        <v>#N/A</v>
      </c>
      <c r="S651" s="55" t="e">
        <f t="shared" ca="1" si="135"/>
        <v>#N/A</v>
      </c>
      <c r="T651" s="55" t="e">
        <f t="shared" ca="1" si="136"/>
        <v>#N/A</v>
      </c>
      <c r="U651" s="55" t="e">
        <f t="shared" ca="1" si="137"/>
        <v>#N/A</v>
      </c>
      <c r="V651" s="55" t="e">
        <f t="shared" ca="1" si="138"/>
        <v>#N/A</v>
      </c>
      <c r="W651" s="55" t="e">
        <f t="shared" ca="1" si="146"/>
        <v>#N/A</v>
      </c>
      <c r="X651" s="55" t="e">
        <f t="shared" ca="1" si="147"/>
        <v>#N/A</v>
      </c>
      <c r="Y651" s="55" t="e">
        <f t="shared" ca="1" si="148"/>
        <v>#N/A</v>
      </c>
      <c r="Z651" t="e">
        <f ca="1">VLOOKUP(S651,ModelOutputs,10,FALSE)*AWC</f>
        <v>#N/A</v>
      </c>
      <c r="AA651" t="e">
        <f t="shared" ca="1" si="139"/>
        <v>#N/A</v>
      </c>
      <c r="AB651" t="e">
        <f t="shared" ca="1" si="140"/>
        <v>#N/A</v>
      </c>
      <c r="AC651" t="e">
        <f t="shared" ca="1" si="141"/>
        <v>#N/A</v>
      </c>
      <c r="AD651" s="83" t="e">
        <f ca="1"/>
        <v>#N/A</v>
      </c>
      <c r="AE651" s="55" t="e">
        <f t="shared" ca="1" si="142"/>
        <v>#N/A</v>
      </c>
      <c r="AF651" s="55" t="e">
        <f t="shared" ca="1" si="143"/>
        <v>#N/A</v>
      </c>
      <c r="AG651" s="55" t="e">
        <f t="shared" ca="1" si="144"/>
        <v>#N/A</v>
      </c>
      <c r="AH651" s="55" t="e">
        <f t="shared" ca="1" si="145"/>
        <v>#N/A</v>
      </c>
      <c r="AI651" s="55" t="e">
        <f ca="1">-VLOOKUP(AE651,ModelOutputs,9,FALSE)+AI650</f>
        <v>#N/A</v>
      </c>
      <c r="AJ651" s="55" t="e">
        <f ca="1">VLOOKUP(AE651,ModelOutputs,5,FALSE)+AJ650</f>
        <v>#N/A</v>
      </c>
      <c r="AK651" s="55" t="e">
        <f ca="1">VLOOKUP(AE651,ModelOutputs,4,FALSE)+AK650</f>
        <v>#N/A</v>
      </c>
    </row>
    <row r="652" spans="18:37">
      <c r="R652" s="55" t="e">
        <f ca="1"/>
        <v>#N/A</v>
      </c>
      <c r="S652" s="55" t="e">
        <f t="shared" ref="S652:S662" ca="1" si="149">IF(R652&gt;1,R652,"")</f>
        <v>#N/A</v>
      </c>
      <c r="T652" s="55" t="e">
        <f t="shared" ref="T652:T662" ca="1" si="150">VLOOKUP(S652,ModelOutputs,2,FALSE)</f>
        <v>#N/A</v>
      </c>
      <c r="U652" s="55" t="e">
        <f t="shared" ref="U652:U662" ca="1" si="151">VLOOKUP(S652,ModelOutputs,7,FALSE)</f>
        <v>#N/A</v>
      </c>
      <c r="V652" s="55" t="e">
        <f t="shared" ref="V652:V662" ca="1" si="152">VLOOKUP(S652,ModelOutputs,6,FALSE)</f>
        <v>#N/A</v>
      </c>
      <c r="W652" s="55" t="e">
        <f t="shared" ca="1" si="146"/>
        <v>#N/A</v>
      </c>
      <c r="X652" s="55" t="e">
        <f t="shared" ca="1" si="147"/>
        <v>#N/A</v>
      </c>
      <c r="Y652" s="55" t="e">
        <f t="shared" ca="1" si="148"/>
        <v>#N/A</v>
      </c>
      <c r="Z652" t="e">
        <f ca="1">VLOOKUP(S652,ModelOutputs,10,FALSE)*AWC</f>
        <v>#N/A</v>
      </c>
      <c r="AA652" t="e">
        <f t="shared" ref="AA652:AA662" ca="1" si="153">VLOOKUP(S652,ModelOutputs,11,FALSE)+AA651</f>
        <v>#N/A</v>
      </c>
      <c r="AB652" t="e">
        <f t="shared" ref="AB652:AB662" ca="1" si="154">VLOOKUP(S652,ModelOutputs,12,FALSE)</f>
        <v>#N/A</v>
      </c>
      <c r="AC652" t="e">
        <f t="shared" ref="AC652:AC662" ca="1" si="155">VLOOKUP(S652,ModelOutputs,13,FALSE)</f>
        <v>#N/A</v>
      </c>
      <c r="AD652" s="83" t="e">
        <f ca="1"/>
        <v>#N/A</v>
      </c>
      <c r="AE652" s="55" t="e">
        <f t="shared" ref="AE652:AE662" ca="1" si="156">IF(AD652&gt;1,AD652,"")</f>
        <v>#N/A</v>
      </c>
      <c r="AF652" s="55" t="e">
        <f t="shared" ref="AF652:AF662" ca="1" si="157">VLOOKUP(AE652,ModelOutputs,2,FALSE)</f>
        <v>#N/A</v>
      </c>
      <c r="AG652" s="55" t="e">
        <f t="shared" ref="AG652:AG662" ca="1" si="158">VLOOKUP(AE652,ModelOutputs,7,FALSE)</f>
        <v>#N/A</v>
      </c>
      <c r="AH652" s="55" t="e">
        <f t="shared" ref="AH652:AH662" ca="1" si="159">VLOOKUP(AE652,ModelOutputs,6,FALSE)</f>
        <v>#N/A</v>
      </c>
      <c r="AI652" s="55" t="e">
        <f ca="1">-VLOOKUP(AE652,ModelOutputs,9,FALSE)+AI651</f>
        <v>#N/A</v>
      </c>
      <c r="AJ652" s="55" t="e">
        <f ca="1">VLOOKUP(AE652,ModelOutputs,5,FALSE)+AJ651</f>
        <v>#N/A</v>
      </c>
      <c r="AK652" s="55" t="e">
        <f ca="1">VLOOKUP(AE652,ModelOutputs,4,FALSE)+AK651</f>
        <v>#N/A</v>
      </c>
    </row>
    <row r="653" spans="18:37">
      <c r="R653" s="55" t="e">
        <f ca="1"/>
        <v>#N/A</v>
      </c>
      <c r="S653" s="55" t="e">
        <f t="shared" ca="1" si="149"/>
        <v>#N/A</v>
      </c>
      <c r="T653" s="55" t="e">
        <f t="shared" ca="1" si="150"/>
        <v>#N/A</v>
      </c>
      <c r="U653" s="55" t="e">
        <f t="shared" ca="1" si="151"/>
        <v>#N/A</v>
      </c>
      <c r="V653" s="55" t="e">
        <f t="shared" ca="1" si="152"/>
        <v>#N/A</v>
      </c>
      <c r="W653" s="55" t="e">
        <f t="shared" ca="1" si="146"/>
        <v>#N/A</v>
      </c>
      <c r="X653" s="55" t="e">
        <f t="shared" ca="1" si="147"/>
        <v>#N/A</v>
      </c>
      <c r="Y653" s="55" t="e">
        <f t="shared" ca="1" si="148"/>
        <v>#N/A</v>
      </c>
      <c r="Z653" t="e">
        <f ca="1">VLOOKUP(S653,ModelOutputs,10,FALSE)*AWC</f>
        <v>#N/A</v>
      </c>
      <c r="AA653" t="e">
        <f t="shared" ca="1" si="153"/>
        <v>#N/A</v>
      </c>
      <c r="AB653" t="e">
        <f t="shared" ca="1" si="154"/>
        <v>#N/A</v>
      </c>
      <c r="AC653" t="e">
        <f t="shared" ca="1" si="155"/>
        <v>#N/A</v>
      </c>
      <c r="AD653" s="83" t="e">
        <f ca="1"/>
        <v>#N/A</v>
      </c>
      <c r="AE653" s="55" t="e">
        <f t="shared" ca="1" si="156"/>
        <v>#N/A</v>
      </c>
      <c r="AF653" s="55" t="e">
        <f t="shared" ca="1" si="157"/>
        <v>#N/A</v>
      </c>
      <c r="AG653" s="55" t="e">
        <f t="shared" ca="1" si="158"/>
        <v>#N/A</v>
      </c>
      <c r="AH653" s="55" t="e">
        <f t="shared" ca="1" si="159"/>
        <v>#N/A</v>
      </c>
      <c r="AI653" s="55" t="e">
        <f ca="1">-VLOOKUP(AE653,ModelOutputs,9,FALSE)+AI652</f>
        <v>#N/A</v>
      </c>
      <c r="AJ653" s="55" t="e">
        <f ca="1">VLOOKUP(AE653,ModelOutputs,5,FALSE)+AJ652</f>
        <v>#N/A</v>
      </c>
      <c r="AK653" s="55" t="e">
        <f ca="1">VLOOKUP(AE653,ModelOutputs,4,FALSE)+AK652</f>
        <v>#N/A</v>
      </c>
    </row>
    <row r="654" spans="18:37">
      <c r="R654" s="55" t="e">
        <f ca="1"/>
        <v>#N/A</v>
      </c>
      <c r="S654" s="55" t="e">
        <f t="shared" ca="1" si="149"/>
        <v>#N/A</v>
      </c>
      <c r="T654" s="55" t="e">
        <f t="shared" ca="1" si="150"/>
        <v>#N/A</v>
      </c>
      <c r="U654" s="55" t="e">
        <f t="shared" ca="1" si="151"/>
        <v>#N/A</v>
      </c>
      <c r="V654" s="55" t="e">
        <f t="shared" ca="1" si="152"/>
        <v>#N/A</v>
      </c>
      <c r="W654" s="55" t="e">
        <f t="shared" ca="1" si="146"/>
        <v>#N/A</v>
      </c>
      <c r="X654" s="55" t="e">
        <f t="shared" ca="1" si="147"/>
        <v>#N/A</v>
      </c>
      <c r="Y654" s="55" t="e">
        <f t="shared" ca="1" si="148"/>
        <v>#N/A</v>
      </c>
      <c r="Z654" t="e">
        <f ca="1">VLOOKUP(S654,ModelOutputs,10,FALSE)*AWC</f>
        <v>#N/A</v>
      </c>
      <c r="AA654" t="e">
        <f t="shared" ca="1" si="153"/>
        <v>#N/A</v>
      </c>
      <c r="AB654" t="e">
        <f t="shared" ca="1" si="154"/>
        <v>#N/A</v>
      </c>
      <c r="AC654" t="e">
        <f t="shared" ca="1" si="155"/>
        <v>#N/A</v>
      </c>
      <c r="AD654" s="83" t="e">
        <f ca="1"/>
        <v>#N/A</v>
      </c>
      <c r="AE654" s="55" t="e">
        <f t="shared" ca="1" si="156"/>
        <v>#N/A</v>
      </c>
      <c r="AF654" s="55" t="e">
        <f t="shared" ca="1" si="157"/>
        <v>#N/A</v>
      </c>
      <c r="AG654" s="55" t="e">
        <f t="shared" ca="1" si="158"/>
        <v>#N/A</v>
      </c>
      <c r="AH654" s="55" t="e">
        <f t="shared" ca="1" si="159"/>
        <v>#N/A</v>
      </c>
      <c r="AI654" s="55" t="e">
        <f ca="1">-VLOOKUP(AE654,ModelOutputs,9,FALSE)+AI653</f>
        <v>#N/A</v>
      </c>
      <c r="AJ654" s="55" t="e">
        <f ca="1">VLOOKUP(AE654,ModelOutputs,5,FALSE)+AJ653</f>
        <v>#N/A</v>
      </c>
      <c r="AK654" s="55" t="e">
        <f ca="1">VLOOKUP(AE654,ModelOutputs,4,FALSE)+AK653</f>
        <v>#N/A</v>
      </c>
    </row>
    <row r="655" spans="18:37">
      <c r="R655" s="55" t="e">
        <f ca="1"/>
        <v>#N/A</v>
      </c>
      <c r="S655" s="55" t="e">
        <f t="shared" ca="1" si="149"/>
        <v>#N/A</v>
      </c>
      <c r="T655" s="55" t="e">
        <f t="shared" ca="1" si="150"/>
        <v>#N/A</v>
      </c>
      <c r="U655" s="55" t="e">
        <f t="shared" ca="1" si="151"/>
        <v>#N/A</v>
      </c>
      <c r="V655" s="55" t="e">
        <f t="shared" ca="1" si="152"/>
        <v>#N/A</v>
      </c>
      <c r="W655" s="55" t="e">
        <f t="shared" ca="1" si="146"/>
        <v>#N/A</v>
      </c>
      <c r="X655" s="55" t="e">
        <f t="shared" ca="1" si="147"/>
        <v>#N/A</v>
      </c>
      <c r="Y655" s="55" t="e">
        <f t="shared" ca="1" si="148"/>
        <v>#N/A</v>
      </c>
      <c r="Z655" t="e">
        <f ca="1">VLOOKUP(S655,ModelOutputs,10,FALSE)*AWC</f>
        <v>#N/A</v>
      </c>
      <c r="AA655" t="e">
        <f t="shared" ca="1" si="153"/>
        <v>#N/A</v>
      </c>
      <c r="AB655" t="e">
        <f t="shared" ca="1" si="154"/>
        <v>#N/A</v>
      </c>
      <c r="AC655" t="e">
        <f t="shared" ca="1" si="155"/>
        <v>#N/A</v>
      </c>
      <c r="AD655" s="83" t="e">
        <f ca="1"/>
        <v>#N/A</v>
      </c>
      <c r="AE655" s="55" t="e">
        <f t="shared" ca="1" si="156"/>
        <v>#N/A</v>
      </c>
      <c r="AF655" s="55" t="e">
        <f t="shared" ca="1" si="157"/>
        <v>#N/A</v>
      </c>
      <c r="AG655" s="55" t="e">
        <f t="shared" ca="1" si="158"/>
        <v>#N/A</v>
      </c>
      <c r="AH655" s="55" t="e">
        <f t="shared" ca="1" si="159"/>
        <v>#N/A</v>
      </c>
      <c r="AI655" s="55" t="e">
        <f ca="1">-VLOOKUP(AE655,ModelOutputs,9,FALSE)+AI654</f>
        <v>#N/A</v>
      </c>
      <c r="AJ655" s="55" t="e">
        <f ca="1">VLOOKUP(AE655,ModelOutputs,5,FALSE)+AJ654</f>
        <v>#N/A</v>
      </c>
      <c r="AK655" s="55" t="e">
        <f ca="1">VLOOKUP(AE655,ModelOutputs,4,FALSE)+AK654</f>
        <v>#N/A</v>
      </c>
    </row>
    <row r="656" spans="18:37">
      <c r="R656" s="55" t="e">
        <f ca="1"/>
        <v>#N/A</v>
      </c>
      <c r="S656" s="55" t="e">
        <f t="shared" ca="1" si="149"/>
        <v>#N/A</v>
      </c>
      <c r="T656" s="55" t="e">
        <f t="shared" ca="1" si="150"/>
        <v>#N/A</v>
      </c>
      <c r="U656" s="55" t="e">
        <f t="shared" ca="1" si="151"/>
        <v>#N/A</v>
      </c>
      <c r="V656" s="55" t="e">
        <f t="shared" ca="1" si="152"/>
        <v>#N/A</v>
      </c>
      <c r="W656" s="55" t="e">
        <f t="shared" ca="1" si="146"/>
        <v>#N/A</v>
      </c>
      <c r="X656" s="55" t="e">
        <f t="shared" ca="1" si="147"/>
        <v>#N/A</v>
      </c>
      <c r="Y656" s="55" t="e">
        <f t="shared" ca="1" si="148"/>
        <v>#N/A</v>
      </c>
      <c r="Z656" t="e">
        <f ca="1">VLOOKUP(S656,ModelOutputs,10,FALSE)*AWC</f>
        <v>#N/A</v>
      </c>
      <c r="AA656" t="e">
        <f t="shared" ca="1" si="153"/>
        <v>#N/A</v>
      </c>
      <c r="AB656" t="e">
        <f t="shared" ca="1" si="154"/>
        <v>#N/A</v>
      </c>
      <c r="AC656" t="e">
        <f t="shared" ca="1" si="155"/>
        <v>#N/A</v>
      </c>
      <c r="AD656" s="83" t="e">
        <f ca="1"/>
        <v>#N/A</v>
      </c>
      <c r="AE656" s="55" t="e">
        <f t="shared" ca="1" si="156"/>
        <v>#N/A</v>
      </c>
      <c r="AF656" s="55" t="e">
        <f t="shared" ca="1" si="157"/>
        <v>#N/A</v>
      </c>
      <c r="AG656" s="55" t="e">
        <f t="shared" ca="1" si="158"/>
        <v>#N/A</v>
      </c>
      <c r="AH656" s="55" t="e">
        <f t="shared" ca="1" si="159"/>
        <v>#N/A</v>
      </c>
      <c r="AI656" s="55" t="e">
        <f ca="1">-VLOOKUP(AE656,ModelOutputs,9,FALSE)+AI655</f>
        <v>#N/A</v>
      </c>
      <c r="AJ656" s="55" t="e">
        <f ca="1">VLOOKUP(AE656,ModelOutputs,5,FALSE)+AJ655</f>
        <v>#N/A</v>
      </c>
      <c r="AK656" s="55" t="e">
        <f ca="1">VLOOKUP(AE656,ModelOutputs,4,FALSE)+AK655</f>
        <v>#N/A</v>
      </c>
    </row>
    <row r="657" spans="18:37">
      <c r="R657" s="55" t="e">
        <f ca="1"/>
        <v>#N/A</v>
      </c>
      <c r="S657" s="55" t="e">
        <f t="shared" ca="1" si="149"/>
        <v>#N/A</v>
      </c>
      <c r="T657" s="55" t="e">
        <f t="shared" ca="1" si="150"/>
        <v>#N/A</v>
      </c>
      <c r="U657" s="55" t="e">
        <f t="shared" ca="1" si="151"/>
        <v>#N/A</v>
      </c>
      <c r="V657" s="55" t="e">
        <f t="shared" ca="1" si="152"/>
        <v>#N/A</v>
      </c>
      <c r="W657" s="55" t="e">
        <f t="shared" ca="1" si="146"/>
        <v>#N/A</v>
      </c>
      <c r="X657" s="55" t="e">
        <f t="shared" ca="1" si="147"/>
        <v>#N/A</v>
      </c>
      <c r="Y657" s="55" t="e">
        <f t="shared" ca="1" si="148"/>
        <v>#N/A</v>
      </c>
      <c r="Z657" t="e">
        <f ca="1">VLOOKUP(S657,ModelOutputs,10,FALSE)*AWC</f>
        <v>#N/A</v>
      </c>
      <c r="AA657" t="e">
        <f t="shared" ca="1" si="153"/>
        <v>#N/A</v>
      </c>
      <c r="AB657" t="e">
        <f t="shared" ca="1" si="154"/>
        <v>#N/A</v>
      </c>
      <c r="AC657" t="e">
        <f t="shared" ca="1" si="155"/>
        <v>#N/A</v>
      </c>
      <c r="AD657" s="83" t="e">
        <f ca="1"/>
        <v>#N/A</v>
      </c>
      <c r="AE657" s="55" t="e">
        <f t="shared" ca="1" si="156"/>
        <v>#N/A</v>
      </c>
      <c r="AF657" s="55" t="e">
        <f t="shared" ca="1" si="157"/>
        <v>#N/A</v>
      </c>
      <c r="AG657" s="55" t="e">
        <f t="shared" ca="1" si="158"/>
        <v>#N/A</v>
      </c>
      <c r="AH657" s="55" t="e">
        <f t="shared" ca="1" si="159"/>
        <v>#N/A</v>
      </c>
      <c r="AI657" s="55" t="e">
        <f ca="1">-VLOOKUP(AE657,ModelOutputs,9,FALSE)+AI656</f>
        <v>#N/A</v>
      </c>
      <c r="AJ657" s="55" t="e">
        <f ca="1">VLOOKUP(AE657,ModelOutputs,5,FALSE)+AJ656</f>
        <v>#N/A</v>
      </c>
      <c r="AK657" s="55" t="e">
        <f ca="1">VLOOKUP(AE657,ModelOutputs,4,FALSE)+AK656</f>
        <v>#N/A</v>
      </c>
    </row>
    <row r="658" spans="18:37">
      <c r="R658" s="55" t="e">
        <f ca="1"/>
        <v>#N/A</v>
      </c>
      <c r="S658" s="55" t="e">
        <f t="shared" ca="1" si="149"/>
        <v>#N/A</v>
      </c>
      <c r="T658" s="55" t="e">
        <f t="shared" ca="1" si="150"/>
        <v>#N/A</v>
      </c>
      <c r="U658" s="55" t="e">
        <f t="shared" ca="1" si="151"/>
        <v>#N/A</v>
      </c>
      <c r="V658" s="55" t="e">
        <f t="shared" ca="1" si="152"/>
        <v>#N/A</v>
      </c>
      <c r="W658" s="55" t="e">
        <f t="shared" ca="1" si="146"/>
        <v>#N/A</v>
      </c>
      <c r="X658" s="55" t="e">
        <f t="shared" ca="1" si="147"/>
        <v>#N/A</v>
      </c>
      <c r="Y658" s="55" t="e">
        <f t="shared" ca="1" si="148"/>
        <v>#N/A</v>
      </c>
      <c r="Z658" t="e">
        <f ca="1">VLOOKUP(S658,ModelOutputs,10,FALSE)*AWC</f>
        <v>#N/A</v>
      </c>
      <c r="AA658" t="e">
        <f t="shared" ca="1" si="153"/>
        <v>#N/A</v>
      </c>
      <c r="AB658" t="e">
        <f t="shared" ca="1" si="154"/>
        <v>#N/A</v>
      </c>
      <c r="AC658" t="e">
        <f t="shared" ca="1" si="155"/>
        <v>#N/A</v>
      </c>
      <c r="AD658" s="83" t="e">
        <f ca="1"/>
        <v>#N/A</v>
      </c>
      <c r="AE658" s="55" t="e">
        <f t="shared" ca="1" si="156"/>
        <v>#N/A</v>
      </c>
      <c r="AF658" s="55" t="e">
        <f t="shared" ca="1" si="157"/>
        <v>#N/A</v>
      </c>
      <c r="AG658" s="55" t="e">
        <f t="shared" ca="1" si="158"/>
        <v>#N/A</v>
      </c>
      <c r="AH658" s="55" t="e">
        <f t="shared" ca="1" si="159"/>
        <v>#N/A</v>
      </c>
      <c r="AI658" s="55" t="e">
        <f ca="1">-VLOOKUP(AE658,ModelOutputs,9,FALSE)+AI657</f>
        <v>#N/A</v>
      </c>
      <c r="AJ658" s="55" t="e">
        <f ca="1">VLOOKUP(AE658,ModelOutputs,5,FALSE)+AJ657</f>
        <v>#N/A</v>
      </c>
      <c r="AK658" s="55" t="e">
        <f ca="1">VLOOKUP(AE658,ModelOutputs,4,FALSE)+AK657</f>
        <v>#N/A</v>
      </c>
    </row>
    <row r="659" spans="18:37">
      <c r="R659" s="55" t="e">
        <f ca="1"/>
        <v>#N/A</v>
      </c>
      <c r="S659" s="55" t="e">
        <f t="shared" ca="1" si="149"/>
        <v>#N/A</v>
      </c>
      <c r="T659" s="55" t="e">
        <f t="shared" ca="1" si="150"/>
        <v>#N/A</v>
      </c>
      <c r="U659" s="55" t="e">
        <f t="shared" ca="1" si="151"/>
        <v>#N/A</v>
      </c>
      <c r="V659" s="55" t="e">
        <f t="shared" ca="1" si="152"/>
        <v>#N/A</v>
      </c>
      <c r="W659" s="55" t="e">
        <f t="shared" ca="1" si="146"/>
        <v>#N/A</v>
      </c>
      <c r="X659" s="55" t="e">
        <f t="shared" ca="1" si="147"/>
        <v>#N/A</v>
      </c>
      <c r="Y659" s="55" t="e">
        <f t="shared" ca="1" si="148"/>
        <v>#N/A</v>
      </c>
      <c r="Z659" t="e">
        <f ca="1">VLOOKUP(S659,ModelOutputs,10,FALSE)*AWC</f>
        <v>#N/A</v>
      </c>
      <c r="AA659" t="e">
        <f t="shared" ca="1" si="153"/>
        <v>#N/A</v>
      </c>
      <c r="AB659" t="e">
        <f t="shared" ca="1" si="154"/>
        <v>#N/A</v>
      </c>
      <c r="AC659" t="e">
        <f t="shared" ca="1" si="155"/>
        <v>#N/A</v>
      </c>
      <c r="AD659" s="83" t="e">
        <f ca="1"/>
        <v>#N/A</v>
      </c>
      <c r="AE659" s="55" t="e">
        <f t="shared" ca="1" si="156"/>
        <v>#N/A</v>
      </c>
      <c r="AF659" s="55" t="e">
        <f t="shared" ca="1" si="157"/>
        <v>#N/A</v>
      </c>
      <c r="AG659" s="55" t="e">
        <f t="shared" ca="1" si="158"/>
        <v>#N/A</v>
      </c>
      <c r="AH659" s="55" t="e">
        <f t="shared" ca="1" si="159"/>
        <v>#N/A</v>
      </c>
      <c r="AI659" s="55" t="e">
        <f ca="1">-VLOOKUP(AE659,ModelOutputs,9,FALSE)+AI658</f>
        <v>#N/A</v>
      </c>
      <c r="AJ659" s="55" t="e">
        <f ca="1">VLOOKUP(AE659,ModelOutputs,5,FALSE)+AJ658</f>
        <v>#N/A</v>
      </c>
      <c r="AK659" s="55" t="e">
        <f ca="1">VLOOKUP(AE659,ModelOutputs,4,FALSE)+AK658</f>
        <v>#N/A</v>
      </c>
    </row>
    <row r="660" spans="18:37">
      <c r="R660" s="55" t="e">
        <f ca="1"/>
        <v>#N/A</v>
      </c>
      <c r="S660" s="55" t="e">
        <f t="shared" ca="1" si="149"/>
        <v>#N/A</v>
      </c>
      <c r="T660" s="55" t="e">
        <f t="shared" ca="1" si="150"/>
        <v>#N/A</v>
      </c>
      <c r="U660" s="55" t="e">
        <f t="shared" ca="1" si="151"/>
        <v>#N/A</v>
      </c>
      <c r="V660" s="55" t="e">
        <f t="shared" ca="1" si="152"/>
        <v>#N/A</v>
      </c>
      <c r="W660" s="55" t="e">
        <f t="shared" ca="1" si="146"/>
        <v>#N/A</v>
      </c>
      <c r="X660" s="55" t="e">
        <f t="shared" ca="1" si="147"/>
        <v>#N/A</v>
      </c>
      <c r="Y660" s="55" t="e">
        <f t="shared" ca="1" si="148"/>
        <v>#N/A</v>
      </c>
      <c r="Z660" t="e">
        <f ca="1">VLOOKUP(S660,ModelOutputs,10,FALSE)*AWC</f>
        <v>#N/A</v>
      </c>
      <c r="AA660" t="e">
        <f t="shared" ca="1" si="153"/>
        <v>#N/A</v>
      </c>
      <c r="AB660" t="e">
        <f t="shared" ca="1" si="154"/>
        <v>#N/A</v>
      </c>
      <c r="AC660" t="e">
        <f t="shared" ca="1" si="155"/>
        <v>#N/A</v>
      </c>
      <c r="AD660" s="83" t="e">
        <f ca="1"/>
        <v>#N/A</v>
      </c>
      <c r="AE660" s="55" t="e">
        <f t="shared" ca="1" si="156"/>
        <v>#N/A</v>
      </c>
      <c r="AF660" s="55" t="e">
        <f t="shared" ca="1" si="157"/>
        <v>#N/A</v>
      </c>
      <c r="AG660" s="55" t="e">
        <f t="shared" ca="1" si="158"/>
        <v>#N/A</v>
      </c>
      <c r="AH660" s="55" t="e">
        <f t="shared" ca="1" si="159"/>
        <v>#N/A</v>
      </c>
      <c r="AI660" s="55" t="e">
        <f ca="1">-VLOOKUP(AE660,ModelOutputs,9,FALSE)+AI659</f>
        <v>#N/A</v>
      </c>
      <c r="AJ660" s="55" t="e">
        <f ca="1">VLOOKUP(AE660,ModelOutputs,5,FALSE)+AJ659</f>
        <v>#N/A</v>
      </c>
      <c r="AK660" s="55" t="e">
        <f ca="1">VLOOKUP(AE660,ModelOutputs,4,FALSE)+AK659</f>
        <v>#N/A</v>
      </c>
    </row>
    <row r="661" spans="18:37">
      <c r="R661" s="55" t="e">
        <f ca="1"/>
        <v>#N/A</v>
      </c>
      <c r="S661" s="55" t="e">
        <f t="shared" ca="1" si="149"/>
        <v>#N/A</v>
      </c>
      <c r="T661" s="55" t="e">
        <f t="shared" ca="1" si="150"/>
        <v>#N/A</v>
      </c>
      <c r="U661" s="55" t="e">
        <f t="shared" ca="1" si="151"/>
        <v>#N/A</v>
      </c>
      <c r="V661" s="55" t="e">
        <f t="shared" ca="1" si="152"/>
        <v>#N/A</v>
      </c>
      <c r="W661" s="55" t="e">
        <f t="shared" ca="1" si="146"/>
        <v>#N/A</v>
      </c>
      <c r="X661" s="55" t="e">
        <f t="shared" ca="1" si="147"/>
        <v>#N/A</v>
      </c>
      <c r="Y661" s="55" t="e">
        <f t="shared" ca="1" si="148"/>
        <v>#N/A</v>
      </c>
      <c r="Z661" t="e">
        <f ca="1">VLOOKUP(S661,ModelOutputs,10,FALSE)*AWC</f>
        <v>#N/A</v>
      </c>
      <c r="AA661" t="e">
        <f t="shared" ca="1" si="153"/>
        <v>#N/A</v>
      </c>
      <c r="AB661" t="e">
        <f t="shared" ca="1" si="154"/>
        <v>#N/A</v>
      </c>
      <c r="AC661" t="e">
        <f t="shared" ca="1" si="155"/>
        <v>#N/A</v>
      </c>
      <c r="AD661" s="83" t="e">
        <f ca="1"/>
        <v>#N/A</v>
      </c>
      <c r="AE661" s="55" t="e">
        <f t="shared" ca="1" si="156"/>
        <v>#N/A</v>
      </c>
      <c r="AF661" s="55" t="e">
        <f t="shared" ca="1" si="157"/>
        <v>#N/A</v>
      </c>
      <c r="AG661" s="55" t="e">
        <f t="shared" ca="1" si="158"/>
        <v>#N/A</v>
      </c>
      <c r="AH661" s="55" t="e">
        <f t="shared" ca="1" si="159"/>
        <v>#N/A</v>
      </c>
      <c r="AI661" s="55" t="e">
        <f ca="1">-VLOOKUP(AE661,ModelOutputs,9,FALSE)+AI660</f>
        <v>#N/A</v>
      </c>
      <c r="AJ661" s="55" t="e">
        <f ca="1">VLOOKUP(AE661,ModelOutputs,5,FALSE)+AJ660</f>
        <v>#N/A</v>
      </c>
      <c r="AK661" s="55" t="e">
        <f ca="1">VLOOKUP(AE661,ModelOutputs,4,FALSE)+AK660</f>
        <v>#N/A</v>
      </c>
    </row>
    <row r="662" spans="18:37">
      <c r="R662" s="55" t="e">
        <f ca="1"/>
        <v>#N/A</v>
      </c>
      <c r="S662" s="55" t="e">
        <f t="shared" ca="1" si="149"/>
        <v>#N/A</v>
      </c>
      <c r="T662" s="55" t="e">
        <f t="shared" ca="1" si="150"/>
        <v>#N/A</v>
      </c>
      <c r="U662" s="55" t="e">
        <f t="shared" ca="1" si="151"/>
        <v>#N/A</v>
      </c>
      <c r="V662" s="55" t="e">
        <f t="shared" ca="1" si="152"/>
        <v>#N/A</v>
      </c>
      <c r="W662" s="55" t="e">
        <f t="shared" ca="1" si="146"/>
        <v>#N/A</v>
      </c>
      <c r="X662" s="55" t="e">
        <f t="shared" ca="1" si="147"/>
        <v>#N/A</v>
      </c>
      <c r="Y662" s="55" t="e">
        <f t="shared" ca="1" si="148"/>
        <v>#N/A</v>
      </c>
      <c r="Z662" t="e">
        <f ca="1">VLOOKUP(S662,ModelOutputs,10,FALSE)*AWC</f>
        <v>#N/A</v>
      </c>
      <c r="AA662" t="e">
        <f t="shared" ca="1" si="153"/>
        <v>#N/A</v>
      </c>
      <c r="AB662" t="e">
        <f t="shared" ca="1" si="154"/>
        <v>#N/A</v>
      </c>
      <c r="AC662" t="e">
        <f t="shared" ca="1" si="155"/>
        <v>#N/A</v>
      </c>
      <c r="AD662" s="83" t="e">
        <f ca="1"/>
        <v>#N/A</v>
      </c>
      <c r="AE662" s="55" t="e">
        <f t="shared" ca="1" si="156"/>
        <v>#N/A</v>
      </c>
      <c r="AF662" s="55" t="e">
        <f t="shared" ca="1" si="157"/>
        <v>#N/A</v>
      </c>
      <c r="AG662" s="55" t="e">
        <f t="shared" ca="1" si="158"/>
        <v>#N/A</v>
      </c>
      <c r="AH662" s="55" t="e">
        <f t="shared" ca="1" si="159"/>
        <v>#N/A</v>
      </c>
      <c r="AI662" s="55" t="e">
        <f ca="1">-VLOOKUP(AE662,ModelOutputs,9,FALSE)+AI661</f>
        <v>#N/A</v>
      </c>
      <c r="AJ662" s="55" t="e">
        <f ca="1">VLOOKUP(AE662,ModelOutputs,5,FALSE)+AJ661</f>
        <v>#N/A</v>
      </c>
      <c r="AK662" s="55" t="e">
        <f ca="1">VLOOKUP(AE662,ModelOutputs,4,FALSE)+AK661</f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M1" zoomScale="105" workbookViewId="0">
      <selection activeCell="AD3" sqref="AD3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5" t="s">
        <v>112</v>
      </c>
      <c r="B1" s="146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>
      <c r="A2" s="12" t="s">
        <v>230</v>
      </c>
      <c r="B2" s="13" t="str">
        <f>SoilOrder</f>
        <v>Clay</v>
      </c>
      <c r="D2" s="39" t="str">
        <f>ConceptDemo!C27</f>
        <v>Fertiliser already applied or planned</v>
      </c>
      <c r="E2" s="40"/>
      <c r="O2" s="12" t="s">
        <v>0</v>
      </c>
      <c r="P2" s="28">
        <f ca="1">B20+1</f>
        <v>45364</v>
      </c>
      <c r="Q2" s="3">
        <f ca="1">VLOOKUP(P2,ModelOutputs,2,FALSE)</f>
        <v>60.707273535258977</v>
      </c>
      <c r="R2" s="3"/>
      <c r="S2" s="3">
        <f ca="1">SUMIF($O$7:$O$1000,TRUE,S7:S1000)</f>
        <v>86.91825754871715</v>
      </c>
      <c r="T2" s="3">
        <f ca="1">SUMIF($O$7:$O$1000,TRUE,T7:T1000)</f>
        <v>90.128634437916062</v>
      </c>
      <c r="U2" s="3">
        <f ca="1">SUMIF($O$7:$O$1000,TRUE,U7:U1000)</f>
        <v>162.37582513229728</v>
      </c>
      <c r="V2" s="3">
        <f ca="1">VLOOKUP(B31,ModelOutputs,V4,FALSE)-W2</f>
        <v>5.8345575863533057</v>
      </c>
      <c r="W2">
        <f ca="1">VLOOKUP(B31,ModelOutputs,W4,FALSE)</f>
        <v>1.9902135207094371</v>
      </c>
      <c r="X2" s="13"/>
      <c r="AC2" s="3">
        <f ca="1">MAX(0,AD3-AD2)</f>
        <v>0</v>
      </c>
      <c r="AD2" s="3">
        <f ca="1">SUM(Q2:X2)</f>
        <v>407.9547617612522</v>
      </c>
      <c r="AG2" s="3"/>
    </row>
    <row r="3" spans="1:37" ht="15.75" thickBot="1">
      <c r="A3" s="12" t="s">
        <v>210</v>
      </c>
      <c r="B3" s="13" t="str">
        <f>SampleDepth</f>
        <v>0-30cm</v>
      </c>
      <c r="D3" s="19" t="str">
        <f>ConceptDemo!C28</f>
        <v>Date</v>
      </c>
      <c r="E3" s="20" t="str">
        <f>ConceptDemo!D28</f>
        <v>Amount</v>
      </c>
      <c r="I3" t="s">
        <v>202</v>
      </c>
      <c r="J3">
        <f>VLOOKUP(PrePlantRain,ListMembers!$Z$7:$AA$11,2,FALSE)</f>
        <v>1</v>
      </c>
      <c r="O3" s="14" t="s">
        <v>12</v>
      </c>
      <c r="P3" s="29">
        <f ca="1">B33</f>
        <v>45503</v>
      </c>
      <c r="Q3" s="24">
        <f ca="1">VLOOKUP(P3,ModelOutputs,2,FALSE)</f>
        <v>28.195636605953919</v>
      </c>
      <c r="R3" s="27"/>
      <c r="S3" s="25"/>
      <c r="T3" s="25"/>
      <c r="U3" s="25"/>
      <c r="V3" s="24">
        <f ca="1">(VLOOKUP($P$3,ModelOutputs,V4,FALSE)-VLOOKUP($P$2+1,ModelOutputs,V4,FALSE))-W3</f>
        <v>177.49697110572419</v>
      </c>
      <c r="W3" s="26">
        <f ca="1">VLOOKUP($P$3,ModelOutputs,W4,FALSE)-VLOOKUP($P$2+1,ModelOutputs,W4,FALSE)</f>
        <v>60.545614050640623</v>
      </c>
      <c r="X3" s="27">
        <f ca="1">SUMIF($O$7:$O$1000,TRUE,X7:X1000)</f>
        <v>131.00926646367444</v>
      </c>
      <c r="Y3" s="3"/>
      <c r="Z3" s="3"/>
      <c r="AA3" s="3"/>
      <c r="AB3" s="3"/>
      <c r="AC3" s="3">
        <f ca="1">MAX(0,AD2-AD3)</f>
        <v>10.707273535259048</v>
      </c>
      <c r="AD3" s="3">
        <f ca="1">SUM(Q3:X3)</f>
        <v>397.24748822599315</v>
      </c>
    </row>
    <row r="4" spans="1:37" ht="15.75" thickBot="1">
      <c r="A4" s="12" t="s">
        <v>241</v>
      </c>
      <c r="B4" s="13" t="str">
        <f>SoilCategory</f>
        <v>Volcanic</v>
      </c>
      <c r="D4" s="37" t="str">
        <f>IF(ConceptDemo!C29="","",ConceptDemo!C29)</f>
        <v/>
      </c>
      <c r="E4" s="38" t="str">
        <f>IF(ConceptDemo!D29="","",ConceptDemo!D29)</f>
        <v/>
      </c>
      <c r="H4" t="str">
        <f>ConceptDemo!D4</f>
        <v>Levin</v>
      </c>
      <c r="I4" t="s">
        <v>203</v>
      </c>
      <c r="J4">
        <f>VLOOKUP(InCropRain,ListMembers!$Z$7:$AA$11,2,FALSE)</f>
        <v>1</v>
      </c>
      <c r="R4">
        <f ca="1">SUMIF(N6:N999,FALSE,R6:R999)</f>
        <v>71.76528038143185</v>
      </c>
      <c r="S4">
        <f ca="1">SUMIF(N6:N999,TRUE,S6:S999)</f>
        <v>86.912231695550176</v>
      </c>
      <c r="V4">
        <v>7</v>
      </c>
      <c r="W4">
        <v>8</v>
      </c>
      <c r="AC4" s="3"/>
      <c r="AG4" s="3"/>
    </row>
    <row r="5" spans="1:37">
      <c r="A5" s="12" t="s">
        <v>209</v>
      </c>
      <c r="B5" s="13">
        <f>HWEON</f>
        <v>60</v>
      </c>
      <c r="D5" s="18" t="str">
        <f>IF(ConceptDemo!C30="","",ConceptDemo!C30)</f>
        <v/>
      </c>
      <c r="E5" s="17" t="str">
        <f>IF(ConceptDemo!D30="","",ConceptDemo!D30)</f>
        <v/>
      </c>
      <c r="G5" t="s">
        <v>98</v>
      </c>
      <c r="H5" s="93" t="s">
        <v>14</v>
      </c>
      <c r="I5" s="120" t="s">
        <v>17</v>
      </c>
      <c r="J5" s="120" t="s">
        <v>199</v>
      </c>
      <c r="K5" s="94" t="s">
        <v>201</v>
      </c>
      <c r="N5" t="s">
        <v>174</v>
      </c>
      <c r="O5" t="s">
        <v>110</v>
      </c>
      <c r="P5" t="str">
        <f t="array" aca="1" ref="P5:AB999" ca="1">_xll.GetDailyNBalance(H5:K999,A2:B49,D12:E18,D3:E9)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144</v>
      </c>
      <c r="AE5" t="s">
        <v>145</v>
      </c>
    </row>
    <row r="6" spans="1:37">
      <c r="A6" s="12" t="s">
        <v>26</v>
      </c>
      <c r="B6" s="13">
        <f>Splits</f>
        <v>2</v>
      </c>
      <c r="D6" s="18" t="str">
        <f>IF(ConceptDemo!C31="","",ConceptDemo!C31)</f>
        <v/>
      </c>
      <c r="E6" s="17" t="str">
        <f>IF(ConceptDemo!D31="","",ConceptDemo!D31)</f>
        <v/>
      </c>
      <c r="G6" s="3">
        <f ca="1">H6-DATE(YEAR(H6),1,0)+1</f>
        <v>27</v>
      </c>
      <c r="H6" s="95">
        <f ca="1">B18-1</f>
        <v>45317</v>
      </c>
      <c r="I6" s="119">
        <f ca="1">HLOOKUP($H$4,'Met Data'!$A$2:$F$368,G6,FALSE)</f>
        <v>18.933333333333302</v>
      </c>
      <c r="J6" s="119">
        <f ca="1">HLOOKUP($H$4,'Met Data'!$H$2:$M$368,G6,FALSE)*L6</f>
        <v>1.8</v>
      </c>
      <c r="K6" s="96">
        <f ca="1">HLOOKUP($H$4,'Met Data'!$O$2:$T$368,G6,FALSE)</f>
        <v>4.1034832888531598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45363</v>
      </c>
      <c r="Q6">
        <f ca="1"/>
        <v>0</v>
      </c>
      <c r="R6">
        <f ca="1"/>
        <v>8.257875681169736</v>
      </c>
      <c r="S6">
        <f ca="1"/>
        <v>0</v>
      </c>
      <c r="T6" s="4">
        <f ca="1"/>
        <v>0.81482646361782263</v>
      </c>
      <c r="U6">
        <f ca="1"/>
        <v>0</v>
      </c>
      <c r="V6">
        <f ca="1"/>
        <v>238.04258515636482</v>
      </c>
      <c r="W6">
        <f ca="1"/>
        <v>60.545614050640623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0.99999999967495001</v>
      </c>
      <c r="AD6" s="2">
        <f t="shared" ref="AD6:AD69" ca="1" si="2">IFERROR(P6,$AD$4)</f>
        <v>45363</v>
      </c>
      <c r="AE6">
        <f t="shared" ref="AE6:AE69" ca="1" si="3">IFERROR(U6,0)</f>
        <v>0</v>
      </c>
      <c r="AG6" s="3"/>
      <c r="AH6" s="3"/>
      <c r="AJ6" s="3"/>
      <c r="AK6" s="3"/>
    </row>
    <row r="7" spans="1:37">
      <c r="A7" s="12" t="s">
        <v>231</v>
      </c>
      <c r="B7" s="13">
        <f>Rocks</f>
        <v>0</v>
      </c>
      <c r="D7" s="18" t="str">
        <f>IF(ConceptDemo!C32="","",ConceptDemo!C32)</f>
        <v/>
      </c>
      <c r="E7" s="17" t="str">
        <f>IF(ConceptDemo!D32="","",ConceptDemo!D32)</f>
        <v/>
      </c>
      <c r="G7" s="3">
        <f t="shared" ref="G7:G70" ca="1" si="4">H7-DATE(YEAR(H7),1,0)+1</f>
        <v>28</v>
      </c>
      <c r="H7" s="95">
        <f ca="1">H6+1</f>
        <v>45318</v>
      </c>
      <c r="I7" s="119">
        <f ca="1">HLOOKUP($H$4,'Met Data'!$A$2:$F$368,G7,FALSE)</f>
        <v>18.524999999999999</v>
      </c>
      <c r="J7" s="119">
        <f ca="1">HLOOKUP($H$4,'Met Data'!$H$2:$M$368,G7,FALSE)*L7</f>
        <v>4.2166666666666597</v>
      </c>
      <c r="K7" s="96">
        <f ca="1">HLOOKUP($H$4,'Met Data'!$O$2:$T$368,G7,FALSE)</f>
        <v>3.2920480795367801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1</v>
      </c>
      <c r="P7" s="2">
        <f ca="1"/>
        <v>45364</v>
      </c>
      <c r="Q7">
        <f ca="1"/>
        <v>60.707273535258977</v>
      </c>
      <c r="R7">
        <f ca="1"/>
        <v>0</v>
      </c>
      <c r="S7">
        <f ca="1"/>
        <v>9.9012878008411462</v>
      </c>
      <c r="T7" s="4">
        <f ca="1"/>
        <v>0.80598573441783206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0.85907421519837279</v>
      </c>
      <c r="Z7">
        <f ca="1"/>
        <v>0</v>
      </c>
      <c r="AA7">
        <f ca="1"/>
        <v>0</v>
      </c>
      <c r="AB7">
        <f ca="1"/>
        <v>0</v>
      </c>
      <c r="AD7" s="2">
        <f t="shared" ca="1" si="2"/>
        <v>45364</v>
      </c>
      <c r="AE7">
        <f t="shared" ca="1" si="3"/>
        <v>0</v>
      </c>
      <c r="AF7" s="3"/>
      <c r="AG7" s="63">
        <f ca="1">Q6+S7+T7+U7</f>
        <v>10.707273535258977</v>
      </c>
      <c r="AH7" s="63">
        <f ca="1">Q7+R7+X7</f>
        <v>60.707273535258977</v>
      </c>
      <c r="AI7" s="3">
        <f ca="1">AH7-AG7</f>
        <v>50</v>
      </c>
      <c r="AK7" s="3"/>
    </row>
    <row r="8" spans="1:37">
      <c r="A8" s="12" t="s">
        <v>202</v>
      </c>
      <c r="B8" s="13" t="str">
        <f>PrePlantRain</f>
        <v>Typical</v>
      </c>
      <c r="D8" s="18" t="str">
        <f>IF(ConceptDemo!C33="","",ConceptDemo!C33)</f>
        <v/>
      </c>
      <c r="E8" s="17" t="str">
        <f>IF(ConceptDemo!D33="","",ConceptDemo!D33)</f>
        <v/>
      </c>
      <c r="G8" s="3">
        <f t="shared" ca="1" si="4"/>
        <v>29</v>
      </c>
      <c r="H8" s="95">
        <f t="shared" ref="H8:H71" ca="1" si="6">H7+1</f>
        <v>45319</v>
      </c>
      <c r="I8" s="119">
        <f ca="1">HLOOKUP($H$4,'Met Data'!$A$2:$F$368,G8,FALSE)</f>
        <v>18.283333333333299</v>
      </c>
      <c r="J8" s="119">
        <f ca="1">HLOOKUP($H$4,'Met Data'!$H$2:$M$368,G8,FALSE)*L8</f>
        <v>0.96666666666666601</v>
      </c>
      <c r="K8" s="96">
        <f ca="1">HLOOKUP($H$4,'Met Data'!$O$2:$T$368,G8,FALSE)</f>
        <v>3.7580315328576899</v>
      </c>
      <c r="L8">
        <f t="shared" ca="1" si="0"/>
        <v>1</v>
      </c>
      <c r="N8" t="b">
        <f t="shared" ca="1" si="5"/>
        <v>1</v>
      </c>
      <c r="O8" t="b">
        <f t="shared" ca="1" si="1"/>
        <v>1</v>
      </c>
      <c r="P8" s="2">
        <f ca="1"/>
        <v>45365</v>
      </c>
      <c r="Q8">
        <f ca="1"/>
        <v>70.663569774838805</v>
      </c>
      <c r="R8">
        <f ca="1"/>
        <v>0</v>
      </c>
      <c r="S8">
        <f ca="1"/>
        <v>9.1195006072659091</v>
      </c>
      <c r="T8" s="4">
        <f ca="1"/>
        <v>0.83679563231391962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0.8186027903266575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45365</v>
      </c>
      <c r="AE8">
        <f t="shared" ca="1" si="3"/>
        <v>0</v>
      </c>
      <c r="AG8" s="63">
        <f t="shared" ref="AG8:AG71" ca="1" si="7">Q7+S8+T8+U8</f>
        <v>70.663569774838805</v>
      </c>
      <c r="AH8" s="63">
        <f t="shared" ref="AH8:AH71" ca="1" si="8">Q8+R8+X8</f>
        <v>70.663569774838805</v>
      </c>
      <c r="AI8" s="3">
        <f t="shared" ref="AI8:AI71" ca="1" si="9">AH8-AG8</f>
        <v>0</v>
      </c>
    </row>
    <row r="9" spans="1:37" ht="15.75" thickBot="1">
      <c r="A9" s="12" t="s">
        <v>203</v>
      </c>
      <c r="B9" s="13" t="str">
        <f>InCropRain</f>
        <v>Typical</v>
      </c>
      <c r="D9" s="35" t="str">
        <f>IF(ConceptDemo!C34="","",ConceptDemo!C34)</f>
        <v/>
      </c>
      <c r="E9" s="20" t="str">
        <f>IF(ConceptDemo!D34="","",ConceptDemo!D34)</f>
        <v/>
      </c>
      <c r="G9" s="3">
        <f t="shared" ca="1" si="4"/>
        <v>30</v>
      </c>
      <c r="H9" s="95">
        <f t="shared" ca="1" si="6"/>
        <v>45320</v>
      </c>
      <c r="I9" s="119">
        <f ca="1">HLOOKUP($H$4,'Met Data'!$A$2:$F$368,G9,FALSE)</f>
        <v>18.95</v>
      </c>
      <c r="J9" s="119">
        <f ca="1">HLOOKUP($H$4,'Met Data'!$H$2:$M$368,G9,FALSE)*L9</f>
        <v>0.233333333333333</v>
      </c>
      <c r="K9" s="96">
        <f ca="1">HLOOKUP($H$4,'Met Data'!$O$2:$T$368,G9,FALSE)</f>
        <v>4.4825712398856101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45366</v>
      </c>
      <c r="Q9">
        <f ca="1"/>
        <v>80.163851406118113</v>
      </c>
      <c r="R9">
        <f ca="1"/>
        <v>0</v>
      </c>
      <c r="S9">
        <f ca="1"/>
        <v>8.6037890011227098</v>
      </c>
      <c r="T9" s="4">
        <f ca="1"/>
        <v>0.89649263015659653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0.82436366543427386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45366</v>
      </c>
      <c r="AE9">
        <f t="shared" ca="1" si="3"/>
        <v>0</v>
      </c>
      <c r="AG9" s="63">
        <f t="shared" ca="1" si="7"/>
        <v>80.163851406118113</v>
      </c>
      <c r="AH9" s="63">
        <f t="shared" ca="1" si="8"/>
        <v>80.163851406118113</v>
      </c>
      <c r="AI9" s="3">
        <f t="shared" ca="1" si="9"/>
        <v>0</v>
      </c>
    </row>
    <row r="10" spans="1:37" ht="15.75" thickBot="1">
      <c r="A10" s="12" t="s">
        <v>189</v>
      </c>
      <c r="B10" s="13" t="str">
        <f>Irrigation</f>
        <v>None</v>
      </c>
      <c r="G10" s="3">
        <f t="shared" ca="1" si="4"/>
        <v>31</v>
      </c>
      <c r="H10" s="95">
        <f t="shared" ca="1" si="6"/>
        <v>45321</v>
      </c>
      <c r="I10" s="119">
        <f ca="1">HLOOKUP($H$4,'Met Data'!$A$2:$F$368,G10,FALSE)</f>
        <v>19.070833333333301</v>
      </c>
      <c r="J10" s="119">
        <f ca="1">HLOOKUP($H$4,'Met Data'!$H$2:$M$368,G10,FALSE)*L10</f>
        <v>1.45</v>
      </c>
      <c r="K10" s="96">
        <f ca="1">HLOOKUP($H$4,'Met Data'!$O$2:$T$368,G10,FALSE)</f>
        <v>4.1485395322845697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45367</v>
      </c>
      <c r="Q10">
        <f ca="1"/>
        <v>87.473438248484584</v>
      </c>
      <c r="R10">
        <f ca="1"/>
        <v>0</v>
      </c>
      <c r="S10">
        <f ca="1"/>
        <v>6.5388525208629815</v>
      </c>
      <c r="T10" s="4">
        <f ca="1"/>
        <v>0.77073432150350063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0.80791229068195947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45367</v>
      </c>
      <c r="AE10">
        <f t="shared" ca="1" si="3"/>
        <v>0</v>
      </c>
      <c r="AG10" s="63">
        <f t="shared" ca="1" si="7"/>
        <v>87.473438248484584</v>
      </c>
      <c r="AH10" s="63">
        <f t="shared" ca="1" si="8"/>
        <v>87.473438248484584</v>
      </c>
      <c r="AI10" s="3">
        <f t="shared" ca="1" si="9"/>
        <v>0</v>
      </c>
    </row>
    <row r="11" spans="1:37">
      <c r="A11" s="5" t="s">
        <v>141</v>
      </c>
      <c r="B11" s="31" t="str">
        <f>PriorCropNameFull</f>
        <v>Broccoli Vegetable General</v>
      </c>
      <c r="D11" s="143" t="str">
        <f>ConceptDemo!C36</f>
        <v>Soil Mineral N Test Results</v>
      </c>
      <c r="E11" s="144"/>
      <c r="G11" s="3">
        <f t="shared" ca="1" si="4"/>
        <v>32</v>
      </c>
      <c r="H11" s="95">
        <f t="shared" ca="1" si="6"/>
        <v>45322</v>
      </c>
      <c r="I11" s="119">
        <f ca="1">HLOOKUP($H$4,'Met Data'!$A$2:$F$368,G11,FALSE)</f>
        <v>18.716666666666601</v>
      </c>
      <c r="J11" s="119">
        <f ca="1">HLOOKUP($H$4,'Met Data'!$H$2:$M$368,G11,FALSE)*L11</f>
        <v>1.6666666666666601E-2</v>
      </c>
      <c r="K11" s="96">
        <f ca="1">HLOOKUP($H$4,'Met Data'!$O$2:$T$368,G11,FALSE)</f>
        <v>3.9002627778438899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45368</v>
      </c>
      <c r="Q11">
        <f ca="1"/>
        <v>93.935690214098415</v>
      </c>
      <c r="R11">
        <f ca="1"/>
        <v>0</v>
      </c>
      <c r="S11">
        <f ca="1"/>
        <v>5.708714799681907</v>
      </c>
      <c r="T11" s="4">
        <f ca="1"/>
        <v>0.753537165931916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0.83548374395962755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45368</v>
      </c>
      <c r="AE11">
        <f t="shared" ca="1" si="3"/>
        <v>0</v>
      </c>
      <c r="AG11" s="63">
        <f t="shared" ca="1" si="7"/>
        <v>93.935690214098415</v>
      </c>
      <c r="AH11" s="63">
        <f t="shared" ca="1" si="8"/>
        <v>93.935690214098415</v>
      </c>
      <c r="AI11" s="3">
        <f t="shared" ca="1" si="9"/>
        <v>0</v>
      </c>
    </row>
    <row r="12" spans="1:37" ht="15.75" thickBot="1">
      <c r="A12" s="6" t="s">
        <v>242</v>
      </c>
      <c r="B12" s="32">
        <f>PriorYield</f>
        <v>0.2</v>
      </c>
      <c r="D12" s="19" t="str">
        <f>ConceptDemo!C37</f>
        <v>Date</v>
      </c>
      <c r="E12" s="20" t="str">
        <f>ConceptDemo!D37</f>
        <v>Value</v>
      </c>
      <c r="G12" s="3">
        <f t="shared" ca="1" si="4"/>
        <v>33</v>
      </c>
      <c r="H12" s="95">
        <f t="shared" ca="1" si="6"/>
        <v>45323</v>
      </c>
      <c r="I12" s="119">
        <f ca="1">HLOOKUP($H$4,'Met Data'!$A$2:$F$368,G12,FALSE)</f>
        <v>18.720833333333299</v>
      </c>
      <c r="J12" s="119">
        <f ca="1">HLOOKUP($H$4,'Met Data'!$H$2:$M$368,G12,FALSE)*L12</f>
        <v>5.1333333333333302</v>
      </c>
      <c r="K12" s="96">
        <f ca="1">HLOOKUP($H$4,'Met Data'!$O$2:$T$368,G12,FALSE)</f>
        <v>3.3425533464765702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45369</v>
      </c>
      <c r="Q12">
        <f ca="1"/>
        <v>99.805855460618659</v>
      </c>
      <c r="R12">
        <f ca="1"/>
        <v>0</v>
      </c>
      <c r="S12">
        <f ca="1"/>
        <v>5.1145762771154253</v>
      </c>
      <c r="T12" s="4">
        <f ca="1"/>
        <v>0.75558896940481812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0.80756881392941504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45369</v>
      </c>
      <c r="AE12">
        <f t="shared" ca="1" si="3"/>
        <v>0</v>
      </c>
      <c r="AG12" s="63">
        <f t="shared" ca="1" si="7"/>
        <v>99.805855460618659</v>
      </c>
      <c r="AH12" s="63">
        <f t="shared" ca="1" si="8"/>
        <v>99.805855460618659</v>
      </c>
      <c r="AI12" s="3">
        <f t="shared" ca="1" si="9"/>
        <v>0</v>
      </c>
    </row>
    <row r="13" spans="1:37">
      <c r="A13" s="6" t="s">
        <v>235</v>
      </c>
      <c r="B13" s="32">
        <f>PriorPopulation</f>
        <v>100000</v>
      </c>
      <c r="D13" s="18" t="str">
        <f>IF(ConceptDemo!C38="","",ConceptDemo!C38)</f>
        <v/>
      </c>
      <c r="E13" s="17" t="str">
        <f>IF(ConceptDemo!D38="","",ConceptDemo!D38)</f>
        <v/>
      </c>
      <c r="G13" s="3">
        <f t="shared" ca="1" si="4"/>
        <v>34</v>
      </c>
      <c r="H13" s="95">
        <f t="shared" ca="1" si="6"/>
        <v>45324</v>
      </c>
      <c r="I13" s="119">
        <f ca="1">HLOOKUP($H$4,'Met Data'!$A$2:$F$368,G13,FALSE)</f>
        <v>18.558333333333302</v>
      </c>
      <c r="J13" s="119">
        <f ca="1">HLOOKUP($H$4,'Met Data'!$H$2:$M$368,G13,FALSE)*L13</f>
        <v>5.1666666666666599</v>
      </c>
      <c r="K13" s="96">
        <f ca="1">HLOOKUP($H$4,'Met Data'!$O$2:$T$368,G13,FALSE)</f>
        <v>3.37031285883524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45370</v>
      </c>
      <c r="Q13">
        <f ca="1"/>
        <v>105.01259903138816</v>
      </c>
      <c r="R13">
        <f ca="1"/>
        <v>0</v>
      </c>
      <c r="S13">
        <f ca="1"/>
        <v>4.468350552499146</v>
      </c>
      <c r="T13" s="4">
        <f ca="1"/>
        <v>0.73839301827036163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0.76798511398540104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45370</v>
      </c>
      <c r="AE13">
        <f t="shared" ca="1" si="3"/>
        <v>0</v>
      </c>
      <c r="AG13" s="63">
        <f t="shared" ca="1" si="7"/>
        <v>105.01259903138816</v>
      </c>
      <c r="AH13" s="63">
        <f t="shared" ca="1" si="8"/>
        <v>105.01259903138816</v>
      </c>
      <c r="AI13" s="3">
        <f t="shared" ca="1" si="9"/>
        <v>0</v>
      </c>
    </row>
    <row r="14" spans="1:37">
      <c r="A14" s="6" t="s">
        <v>236</v>
      </c>
      <c r="B14" s="32" t="str">
        <f>PriorUnits</f>
        <v>kg/head</v>
      </c>
      <c r="D14" s="18" t="str">
        <f>IF(ConceptDemo!C39="","",ConceptDemo!C39)</f>
        <v/>
      </c>
      <c r="E14" s="17" t="str">
        <f>IF(ConceptDemo!D39="","",ConceptDemo!D39)</f>
        <v/>
      </c>
      <c r="G14" s="3">
        <f t="shared" ca="1" si="4"/>
        <v>35</v>
      </c>
      <c r="H14" s="95">
        <f t="shared" ca="1" si="6"/>
        <v>45325</v>
      </c>
      <c r="I14" s="119">
        <f ca="1">HLOOKUP($H$4,'Met Data'!$A$2:$F$368,G14,FALSE)</f>
        <v>18.841666666666601</v>
      </c>
      <c r="J14" s="119">
        <f ca="1">HLOOKUP($H$4,'Met Data'!$H$2:$M$368,G14,FALSE)*L14</f>
        <v>0.483333333333333</v>
      </c>
      <c r="K14" s="96">
        <f ca="1">HLOOKUP($H$4,'Met Data'!$O$2:$T$368,G14,FALSE)</f>
        <v>4.5373745966907704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45371</v>
      </c>
      <c r="Q14">
        <f ca="1"/>
        <v>109.74516834982498</v>
      </c>
      <c r="R14">
        <f ca="1"/>
        <v>0</v>
      </c>
      <c r="S14">
        <f ca="1"/>
        <v>3.9947813532451022</v>
      </c>
      <c r="T14" s="4">
        <f ca="1"/>
        <v>0.7377879651917153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0.75127071347689978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45371</v>
      </c>
      <c r="AE14">
        <f t="shared" ca="1" si="3"/>
        <v>0</v>
      </c>
      <c r="AG14" s="63">
        <f t="shared" ca="1" si="7"/>
        <v>109.74516834982498</v>
      </c>
      <c r="AH14" s="63">
        <f t="shared" ca="1" si="8"/>
        <v>109.74516834982498</v>
      </c>
      <c r="AI14" s="3">
        <f t="shared" ca="1" si="9"/>
        <v>0</v>
      </c>
    </row>
    <row r="15" spans="1:37">
      <c r="A15" s="6" t="s">
        <v>114</v>
      </c>
      <c r="B15" s="32">
        <f>PriorFieldLoss</f>
        <v>0</v>
      </c>
      <c r="D15" s="18" t="str">
        <f>IF(ConceptDemo!C40="","",ConceptDemo!C40)</f>
        <v/>
      </c>
      <c r="E15" s="17" t="str">
        <f>IF(ConceptDemo!D40="","",ConceptDemo!D40)</f>
        <v/>
      </c>
      <c r="G15" s="3">
        <f t="shared" ca="1" si="4"/>
        <v>36</v>
      </c>
      <c r="H15" s="95">
        <f t="shared" ca="1" si="6"/>
        <v>45326</v>
      </c>
      <c r="I15" s="119">
        <f ca="1">HLOOKUP($H$4,'Met Data'!$A$2:$F$368,G15,FALSE)</f>
        <v>18.441666666666599</v>
      </c>
      <c r="J15" s="119">
        <f ca="1">HLOOKUP($H$4,'Met Data'!$H$2:$M$368,G15,FALSE)*L15</f>
        <v>4.8</v>
      </c>
      <c r="K15" s="96">
        <f ca="1">HLOOKUP($H$4,'Met Data'!$O$2:$T$368,G15,FALSE)</f>
        <v>3.5125215918157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45372</v>
      </c>
      <c r="Q15">
        <f ca="1"/>
        <v>114.10678691501434</v>
      </c>
      <c r="R15">
        <f ca="1"/>
        <v>0</v>
      </c>
      <c r="S15">
        <f ca="1"/>
        <v>3.6146590882486933</v>
      </c>
      <c r="T15" s="4">
        <f ca="1"/>
        <v>0.74695947694067244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0.7489435401734269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45372</v>
      </c>
      <c r="AE15">
        <f t="shared" ca="1" si="3"/>
        <v>0</v>
      </c>
      <c r="AG15" s="63">
        <f t="shared" ca="1" si="7"/>
        <v>114.10678691501434</v>
      </c>
      <c r="AH15" s="63">
        <f t="shared" ca="1" si="8"/>
        <v>114.10678691501434</v>
      </c>
      <c r="AI15" s="3">
        <f t="shared" ca="1" si="9"/>
        <v>0</v>
      </c>
    </row>
    <row r="16" spans="1:37">
      <c r="A16" s="6" t="s">
        <v>115</v>
      </c>
      <c r="B16" s="32">
        <f>PriorDressingLoss</f>
        <v>0</v>
      </c>
      <c r="D16" s="18" t="str">
        <f>IF(ConceptDemo!C41="","",ConceptDemo!C41)</f>
        <v/>
      </c>
      <c r="E16" s="17" t="str">
        <f>IF(ConceptDemo!D41="","",ConceptDemo!D41)</f>
        <v/>
      </c>
      <c r="G16" s="3">
        <f t="shared" ca="1" si="4"/>
        <v>37</v>
      </c>
      <c r="H16" s="95">
        <f t="shared" ca="1" si="6"/>
        <v>45327</v>
      </c>
      <c r="I16" s="119">
        <f ca="1">HLOOKUP($H$4,'Met Data'!$A$2:$F$368,G16,FALSE)</f>
        <v>17.975000000000001</v>
      </c>
      <c r="J16" s="119">
        <f ca="1">HLOOKUP($H$4,'Met Data'!$H$2:$M$368,G16,FALSE)*L16</f>
        <v>2.0166666666666599</v>
      </c>
      <c r="K16" s="96">
        <f ca="1">HLOOKUP($H$4,'Met Data'!$O$2:$T$368,G16,FALSE)</f>
        <v>3.7922889429532498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45373</v>
      </c>
      <c r="Q16">
        <f ca="1"/>
        <v>118.1406333069328</v>
      </c>
      <c r="R16">
        <f ca="1"/>
        <v>0</v>
      </c>
      <c r="S16">
        <f ca="1"/>
        <v>3.2750187352557631</v>
      </c>
      <c r="T16" s="4">
        <f ca="1"/>
        <v>0.75882765666268504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0.75372677206915817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45373</v>
      </c>
      <c r="AE16">
        <f t="shared" ca="1" si="3"/>
        <v>0</v>
      </c>
      <c r="AG16" s="63">
        <f t="shared" ca="1" si="7"/>
        <v>118.1406333069328</v>
      </c>
      <c r="AH16" s="63">
        <f t="shared" ca="1" si="8"/>
        <v>118.1406333069328</v>
      </c>
      <c r="AI16" s="3">
        <f t="shared" ca="1" si="9"/>
        <v>0</v>
      </c>
    </row>
    <row r="17" spans="1:35">
      <c r="A17" s="6" t="s">
        <v>116</v>
      </c>
      <c r="B17" s="32">
        <f>PriorMoistureContent</f>
        <v>89</v>
      </c>
      <c r="D17" s="18" t="str">
        <f>IF(ConceptDemo!C42="","",ConceptDemo!C42)</f>
        <v/>
      </c>
      <c r="E17" s="17" t="str">
        <f>IF(ConceptDemo!D42="","",ConceptDemo!D42)</f>
        <v/>
      </c>
      <c r="G17" s="3">
        <f t="shared" ca="1" si="4"/>
        <v>38</v>
      </c>
      <c r="H17" s="95">
        <f t="shared" ca="1" si="6"/>
        <v>45328</v>
      </c>
      <c r="I17" s="119">
        <f ca="1">HLOOKUP($H$4,'Met Data'!$A$2:$F$368,G17,FALSE)</f>
        <v>17.383333333333301</v>
      </c>
      <c r="J17" s="119">
        <f ca="1">HLOOKUP($H$4,'Met Data'!$H$2:$M$368,G17,FALSE)*L17</f>
        <v>0.15</v>
      </c>
      <c r="K17" s="96">
        <f ca="1">HLOOKUP($H$4,'Met Data'!$O$2:$T$368,G17,FALSE)</f>
        <v>3.67022287265541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45374</v>
      </c>
      <c r="Q17">
        <f ca="1"/>
        <v>121.84552966722653</v>
      </c>
      <c r="R17">
        <f ca="1"/>
        <v>0</v>
      </c>
      <c r="S17">
        <f ca="1"/>
        <v>2.9397231444147636</v>
      </c>
      <c r="T17" s="4">
        <f ca="1"/>
        <v>0.76517321587896048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0.7939365493188606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45374</v>
      </c>
      <c r="AE17">
        <f t="shared" ca="1" si="3"/>
        <v>0</v>
      </c>
      <c r="AG17" s="63">
        <f t="shared" ca="1" si="7"/>
        <v>121.84552966722653</v>
      </c>
      <c r="AH17" s="63">
        <f t="shared" ca="1" si="8"/>
        <v>121.84552966722653</v>
      </c>
      <c r="AI17" s="3">
        <f t="shared" ca="1" si="9"/>
        <v>0</v>
      </c>
    </row>
    <row r="18" spans="1:35" ht="15.75" thickBot="1">
      <c r="A18" s="6" t="s">
        <v>117</v>
      </c>
      <c r="B18" s="34">
        <f ca="1">PriorEstablishDate</f>
        <v>45318</v>
      </c>
      <c r="D18" s="35" t="str">
        <f>IF(ConceptDemo!C43="","",ConceptDemo!C43)</f>
        <v/>
      </c>
      <c r="E18" s="20" t="str">
        <f>IF(ConceptDemo!D43="","",ConceptDemo!D43)</f>
        <v/>
      </c>
      <c r="G18" s="3">
        <f t="shared" ca="1" si="4"/>
        <v>39</v>
      </c>
      <c r="H18" s="95">
        <f t="shared" ca="1" si="6"/>
        <v>45329</v>
      </c>
      <c r="I18" s="119">
        <f ca="1">HLOOKUP($H$4,'Met Data'!$A$2:$F$368,G18,FALSE)</f>
        <v>17.0416666666666</v>
      </c>
      <c r="J18" s="119">
        <f ca="1">HLOOKUP($H$4,'Met Data'!$H$2:$M$368,G18,FALSE)*L18</f>
        <v>3.0166666666666599</v>
      </c>
      <c r="K18" s="96">
        <f ca="1">HLOOKUP($H$4,'Met Data'!$O$2:$T$368,G18,FALSE)</f>
        <v>3.8754357428809398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45375</v>
      </c>
      <c r="Q18">
        <f ca="1"/>
        <v>125.47083627847996</v>
      </c>
      <c r="R18">
        <f ca="1"/>
        <v>0</v>
      </c>
      <c r="S18">
        <f ca="1"/>
        <v>2.8016639216501389</v>
      </c>
      <c r="T18" s="4">
        <f ca="1"/>
        <v>0.82364268960330045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0.81190125256619927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45375</v>
      </c>
      <c r="AE18">
        <f t="shared" ca="1" si="3"/>
        <v>0</v>
      </c>
      <c r="AG18" s="63">
        <f t="shared" ca="1" si="7"/>
        <v>125.47083627847996</v>
      </c>
      <c r="AH18" s="63">
        <f t="shared" ca="1" si="8"/>
        <v>125.47083627847996</v>
      </c>
      <c r="AI18" s="3">
        <f t="shared" ca="1" si="9"/>
        <v>0</v>
      </c>
    </row>
    <row r="19" spans="1:35">
      <c r="A19" s="6" t="s">
        <v>118</v>
      </c>
      <c r="B19" s="32" t="str">
        <f>PriorEstablishStage</f>
        <v>Seedling</v>
      </c>
      <c r="G19" s="3">
        <f t="shared" ca="1" si="4"/>
        <v>40</v>
      </c>
      <c r="H19" s="95">
        <f t="shared" ca="1" si="6"/>
        <v>45330</v>
      </c>
      <c r="I19" s="119">
        <f ca="1">HLOOKUP($H$4,'Met Data'!$A$2:$F$368,G19,FALSE)</f>
        <v>17.483333333333299</v>
      </c>
      <c r="J19" s="119">
        <f ca="1">HLOOKUP($H$4,'Met Data'!$H$2:$M$368,G19,FALSE)*L19</f>
        <v>2.69999999999999</v>
      </c>
      <c r="K19" s="96">
        <f ca="1">HLOOKUP($H$4,'Met Data'!$O$2:$T$368,G19,FALSE)</f>
        <v>3.8024866154372199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45376</v>
      </c>
      <c r="Q19">
        <f ca="1"/>
        <v>128.93831846901435</v>
      </c>
      <c r="R19">
        <f ca="1"/>
        <v>0</v>
      </c>
      <c r="S19">
        <f ca="1"/>
        <v>2.5975194145059248</v>
      </c>
      <c r="T19" s="4">
        <f ca="1"/>
        <v>0.86996277602844452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0.84515323679686882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45376</v>
      </c>
      <c r="AE19">
        <f t="shared" ca="1" si="3"/>
        <v>0</v>
      </c>
      <c r="AG19" s="63">
        <f t="shared" ca="1" si="7"/>
        <v>128.93831846901435</v>
      </c>
      <c r="AH19" s="63">
        <f t="shared" ca="1" si="8"/>
        <v>128.93831846901435</v>
      </c>
      <c r="AI19" s="3">
        <f t="shared" ca="1" si="9"/>
        <v>0</v>
      </c>
    </row>
    <row r="20" spans="1:35">
      <c r="A20" s="6" t="s">
        <v>119</v>
      </c>
      <c r="B20" s="34">
        <f ca="1">PriorHarvestDate</f>
        <v>45363</v>
      </c>
      <c r="G20" s="3">
        <f t="shared" ca="1" si="4"/>
        <v>41</v>
      </c>
      <c r="H20" s="95">
        <f t="shared" ca="1" si="6"/>
        <v>45331</v>
      </c>
      <c r="I20" s="119">
        <f ca="1">HLOOKUP($H$4,'Met Data'!$A$2:$F$368,G20,FALSE)</f>
        <v>17.5625</v>
      </c>
      <c r="J20" s="119">
        <f ca="1">HLOOKUP($H$4,'Met Data'!$H$2:$M$368,G20,FALSE)*L20</f>
        <v>0.51666666666666605</v>
      </c>
      <c r="K20" s="96">
        <f ca="1">HLOOKUP($H$4,'Met Data'!$O$2:$T$368,G20,FALSE)</f>
        <v>3.9226252937625699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45377</v>
      </c>
      <c r="Q20">
        <f ca="1"/>
        <v>132.12054825007021</v>
      </c>
      <c r="R20">
        <f ca="1"/>
        <v>0</v>
      </c>
      <c r="S20">
        <f ca="1"/>
        <v>2.3000586929817501</v>
      </c>
      <c r="T20" s="4">
        <f ca="1"/>
        <v>0.88217108807411893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0.83947780757042256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45377</v>
      </c>
      <c r="AE20">
        <f t="shared" ca="1" si="3"/>
        <v>0</v>
      </c>
      <c r="AG20" s="63">
        <f t="shared" ca="1" si="7"/>
        <v>132.12054825007021</v>
      </c>
      <c r="AH20" s="63">
        <f t="shared" ca="1" si="8"/>
        <v>132.12054825007021</v>
      </c>
      <c r="AI20" s="3">
        <f t="shared" ca="1" si="9"/>
        <v>0</v>
      </c>
    </row>
    <row r="21" spans="1:35">
      <c r="A21" s="6" t="s">
        <v>120</v>
      </c>
      <c r="B21" s="32" t="str">
        <f>PriorHarvestStage</f>
        <v>EarlyReproductive</v>
      </c>
      <c r="G21" s="3">
        <f t="shared" ca="1" si="4"/>
        <v>42</v>
      </c>
      <c r="H21" s="95">
        <f t="shared" ca="1" si="6"/>
        <v>45332</v>
      </c>
      <c r="I21" s="119">
        <f ca="1">HLOOKUP($H$4,'Met Data'!$A$2:$F$368,G21,FALSE)</f>
        <v>17.7083333333333</v>
      </c>
      <c r="J21" s="119">
        <f ca="1">HLOOKUP($H$4,'Met Data'!$H$2:$M$368,G21,FALSE)*L21</f>
        <v>2.7333333333333298</v>
      </c>
      <c r="K21" s="96">
        <f ca="1">HLOOKUP($H$4,'Met Data'!$O$2:$T$368,G21,FALSE)</f>
        <v>3.6312925833969301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45378</v>
      </c>
      <c r="Q21">
        <f ca="1"/>
        <v>134.69665760620771</v>
      </c>
      <c r="R21">
        <f ca="1"/>
        <v>0</v>
      </c>
      <c r="S21">
        <f ca="1"/>
        <v>1.7931885818189386</v>
      </c>
      <c r="T21" s="4">
        <f ca="1"/>
        <v>0.7829207743185671</v>
      </c>
      <c r="U21">
        <f ca="1"/>
        <v>0</v>
      </c>
      <c r="V21">
        <f ca="1"/>
        <v>7.8247711070627428</v>
      </c>
      <c r="W21">
        <f ca="1"/>
        <v>1.9902135207094371</v>
      </c>
      <c r="X21">
        <f ca="1"/>
        <v>0</v>
      </c>
      <c r="Y21">
        <f ca="1"/>
        <v>0.82719962039307482</v>
      </c>
      <c r="Z21">
        <f ca="1"/>
        <v>0</v>
      </c>
      <c r="AA21">
        <f ca="1"/>
        <v>0</v>
      </c>
      <c r="AB21">
        <f ca="1"/>
        <v>8.9915606120256064E-3</v>
      </c>
      <c r="AD21" s="2">
        <f t="shared" ca="1" si="2"/>
        <v>45378</v>
      </c>
      <c r="AE21">
        <f t="shared" ca="1" si="3"/>
        <v>0</v>
      </c>
      <c r="AG21" s="63">
        <f t="shared" ca="1" si="7"/>
        <v>134.69665760620771</v>
      </c>
      <c r="AH21" s="63">
        <f t="shared" ca="1" si="8"/>
        <v>134.69665760620771</v>
      </c>
      <c r="AI21" s="3">
        <f t="shared" ca="1" si="9"/>
        <v>0</v>
      </c>
    </row>
    <row r="22" spans="1:35">
      <c r="A22" s="6" t="s">
        <v>164</v>
      </c>
      <c r="B22" s="32" t="str">
        <f>PriorResidueRemoval</f>
        <v>None removed</v>
      </c>
      <c r="G22" s="3">
        <f t="shared" ca="1" si="4"/>
        <v>43</v>
      </c>
      <c r="H22" s="95">
        <f t="shared" ca="1" si="6"/>
        <v>45333</v>
      </c>
      <c r="I22" s="119">
        <f ca="1">HLOOKUP($H$4,'Met Data'!$A$2:$F$368,G22,FALSE)</f>
        <v>17.654166666666601</v>
      </c>
      <c r="J22" s="119">
        <f ca="1">HLOOKUP($H$4,'Met Data'!$H$2:$M$368,G22,FALSE)*L22</f>
        <v>5.3166666666666602</v>
      </c>
      <c r="K22" s="96">
        <f ca="1">HLOOKUP($H$4,'Met Data'!$O$2:$T$368,G22,FALSE)</f>
        <v>3.7825096271499201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45379</v>
      </c>
      <c r="Q22">
        <f ca="1"/>
        <v>136.78174976946914</v>
      </c>
      <c r="R22">
        <f ca="1"/>
        <v>0.384095228634175</v>
      </c>
      <c r="S22">
        <f ca="1"/>
        <v>1.6520010159477749</v>
      </c>
      <c r="T22" s="4">
        <f ca="1"/>
        <v>0.81718637594783405</v>
      </c>
      <c r="U22">
        <f ca="1"/>
        <v>0</v>
      </c>
      <c r="V22">
        <f ca="1"/>
        <v>8.2088663356969178</v>
      </c>
      <c r="W22">
        <f ca="1"/>
        <v>2.0879073071229115</v>
      </c>
      <c r="X22">
        <f ca="1"/>
        <v>0</v>
      </c>
      <c r="Y22">
        <f ca="1"/>
        <v>0.83437792748967621</v>
      </c>
      <c r="Z22">
        <f ca="1"/>
        <v>0</v>
      </c>
      <c r="AA22">
        <f ca="1"/>
        <v>0</v>
      </c>
      <c r="AB22">
        <f ca="1"/>
        <v>1.2163968455098022E-2</v>
      </c>
      <c r="AD22" s="2">
        <f t="shared" ca="1" si="2"/>
        <v>45379</v>
      </c>
      <c r="AE22">
        <f t="shared" ca="1" si="3"/>
        <v>0</v>
      </c>
      <c r="AG22" s="63">
        <f t="shared" ca="1" si="7"/>
        <v>137.16584499810332</v>
      </c>
      <c r="AH22" s="63">
        <f t="shared" ca="1" si="8"/>
        <v>137.16584499810332</v>
      </c>
      <c r="AI22" s="3">
        <f t="shared" ca="1" si="9"/>
        <v>0</v>
      </c>
    </row>
    <row r="23" spans="1:35" ht="15.75" thickBot="1">
      <c r="A23" s="6" t="s">
        <v>167</v>
      </c>
      <c r="B23" s="101" t="str">
        <f>PriorResidueIncorporation</f>
        <v>Full (Plough)</v>
      </c>
      <c r="G23" s="3">
        <f t="shared" ca="1" si="4"/>
        <v>44</v>
      </c>
      <c r="H23" s="95">
        <f t="shared" ca="1" si="6"/>
        <v>45334</v>
      </c>
      <c r="I23" s="119">
        <f ca="1">HLOOKUP($H$4,'Met Data'!$A$2:$F$368,G23,FALSE)</f>
        <v>18.245833333333302</v>
      </c>
      <c r="J23" s="119">
        <f ca="1">HLOOKUP($H$4,'Met Data'!$H$2:$M$368,G23,FALSE)*L23</f>
        <v>1.8</v>
      </c>
      <c r="K23" s="96">
        <f ca="1">HLOOKUP($H$4,'Met Data'!$O$2:$T$368,G23,FALSE)</f>
        <v>3.5345089397679601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45380</v>
      </c>
      <c r="Q23">
        <f ca="1"/>
        <v>138.6891077320843</v>
      </c>
      <c r="R23">
        <f ca="1"/>
        <v>0.40820438552214711</v>
      </c>
      <c r="S23">
        <f ca="1"/>
        <v>1.4814894326088819</v>
      </c>
      <c r="T23" s="4">
        <f ca="1"/>
        <v>0.83407291552843277</v>
      </c>
      <c r="U23">
        <f ca="1"/>
        <v>0</v>
      </c>
      <c r="V23">
        <f ca="1"/>
        <v>8.6170707212190649</v>
      </c>
      <c r="W23">
        <f ca="1"/>
        <v>2.1917332051796317</v>
      </c>
      <c r="X23">
        <f ca="1"/>
        <v>0</v>
      </c>
      <c r="Y23">
        <f ca="1"/>
        <v>0.83646851090110297</v>
      </c>
      <c r="Z23">
        <f ca="1"/>
        <v>0</v>
      </c>
      <c r="AA23">
        <f ca="1"/>
        <v>0</v>
      </c>
      <c r="AB23">
        <f ca="1"/>
        <v>1.6504960469102666E-2</v>
      </c>
      <c r="AD23" s="2">
        <f t="shared" ca="1" si="2"/>
        <v>45380</v>
      </c>
      <c r="AE23">
        <f t="shared" ca="1" si="3"/>
        <v>0</v>
      </c>
      <c r="AG23" s="63">
        <f t="shared" ca="1" si="7"/>
        <v>139.09731211760644</v>
      </c>
      <c r="AH23" s="63">
        <f t="shared" ca="1" si="8"/>
        <v>139.09731211760644</v>
      </c>
      <c r="AI23" s="3">
        <f t="shared" ca="1" si="9"/>
        <v>0</v>
      </c>
    </row>
    <row r="24" spans="1:35" ht="15.75" thickBot="1">
      <c r="A24" s="8" t="s">
        <v>142</v>
      </c>
      <c r="B24" s="11" t="str">
        <f>CurrentCropNameFull</f>
        <v>Broccoli Vegetable General</v>
      </c>
      <c r="G24" s="3">
        <f t="shared" ca="1" si="4"/>
        <v>45</v>
      </c>
      <c r="H24" s="95">
        <f t="shared" ca="1" si="6"/>
        <v>45335</v>
      </c>
      <c r="I24" s="119">
        <f ca="1">HLOOKUP($H$4,'Met Data'!$A$2:$F$368,G24,FALSE)</f>
        <v>18.674999999999901</v>
      </c>
      <c r="J24" s="119">
        <f ca="1">HLOOKUP($H$4,'Met Data'!$H$2:$M$368,G24,FALSE)*L24</f>
        <v>0.44999999999999901</v>
      </c>
      <c r="K24" s="96">
        <f ca="1">HLOOKUP($H$4,'Met Data'!$O$2:$T$368,G24,FALSE)</f>
        <v>3.2860966338213999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45381</v>
      </c>
      <c r="Q24">
        <f ca="1"/>
        <v>140.32612465593033</v>
      </c>
      <c r="R24">
        <f ca="1"/>
        <v>0.41444483785528874</v>
      </c>
      <c r="S24">
        <f ca="1"/>
        <v>1.2506372861705017</v>
      </c>
      <c r="T24" s="4">
        <f ca="1"/>
        <v>0.80082447553082292</v>
      </c>
      <c r="U24">
        <f ca="1"/>
        <v>0</v>
      </c>
      <c r="V24">
        <f ca="1"/>
        <v>9.0315155590743537</v>
      </c>
      <c r="W24">
        <f ca="1"/>
        <v>2.2971463487210859</v>
      </c>
      <c r="X24">
        <f ca="1"/>
        <v>0</v>
      </c>
      <c r="Y24">
        <f ca="1"/>
        <v>0.83668280131250572</v>
      </c>
      <c r="Z24">
        <f ca="1"/>
        <v>0</v>
      </c>
      <c r="AA24">
        <f ca="1"/>
        <v>0</v>
      </c>
      <c r="AB24">
        <f ca="1"/>
        <v>2.2150763510275836E-2</v>
      </c>
      <c r="AD24" s="2">
        <f t="shared" ca="1" si="2"/>
        <v>45381</v>
      </c>
      <c r="AE24">
        <f t="shared" ca="1" si="3"/>
        <v>0</v>
      </c>
      <c r="AG24" s="63">
        <f t="shared" ca="1" si="7"/>
        <v>140.74056949378561</v>
      </c>
      <c r="AH24" s="63">
        <f t="shared" ca="1" si="8"/>
        <v>140.74056949378561</v>
      </c>
      <c r="AI24" s="3">
        <f t="shared" ca="1" si="9"/>
        <v>0</v>
      </c>
    </row>
    <row r="25" spans="1:35">
      <c r="A25" s="9" t="s">
        <v>243</v>
      </c>
      <c r="B25" s="11">
        <f>CurrentYield</f>
        <v>20</v>
      </c>
      <c r="G25" s="3">
        <f t="shared" ca="1" si="4"/>
        <v>46</v>
      </c>
      <c r="H25" s="95">
        <f t="shared" ca="1" si="6"/>
        <v>45336</v>
      </c>
      <c r="I25" s="119">
        <f ca="1">HLOOKUP($H$4,'Met Data'!$A$2:$F$368,G25,FALSE)</f>
        <v>18.670833333333299</v>
      </c>
      <c r="J25" s="119">
        <f ca="1">HLOOKUP($H$4,'Met Data'!$H$2:$M$368,G25,FALSE)*L25</f>
        <v>1.13333333333333</v>
      </c>
      <c r="K25" s="96">
        <f ca="1">HLOOKUP($H$4,'Met Data'!$O$2:$T$368,G25,FALSE)</f>
        <v>3.8932908527116399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45382</v>
      </c>
      <c r="Q25">
        <f ca="1"/>
        <v>141.739020924904</v>
      </c>
      <c r="R25">
        <f ca="1"/>
        <v>0.42702820907500083</v>
      </c>
      <c r="S25">
        <f ca="1"/>
        <v>1.0665189608744328</v>
      </c>
      <c r="T25" s="4">
        <f ca="1"/>
        <v>0.77340551717419859</v>
      </c>
      <c r="U25">
        <f ca="1"/>
        <v>0</v>
      </c>
      <c r="V25">
        <f ca="1"/>
        <v>9.4585437681493545</v>
      </c>
      <c r="W25">
        <f ca="1"/>
        <v>2.4057600453771188</v>
      </c>
      <c r="X25">
        <f ca="1"/>
        <v>0</v>
      </c>
      <c r="Y25">
        <f ca="1"/>
        <v>0.82526109646698642</v>
      </c>
      <c r="Z25">
        <f ca="1"/>
        <v>0</v>
      </c>
      <c r="AA25">
        <f ca="1"/>
        <v>0</v>
      </c>
      <c r="AB25">
        <f ca="1"/>
        <v>2.9535848729884906E-2</v>
      </c>
      <c r="AD25" s="2">
        <f t="shared" ca="1" si="2"/>
        <v>45382</v>
      </c>
      <c r="AE25">
        <f t="shared" ca="1" si="3"/>
        <v>0</v>
      </c>
      <c r="AG25" s="63">
        <f t="shared" ca="1" si="7"/>
        <v>142.16604913397899</v>
      </c>
      <c r="AH25" s="63">
        <f t="shared" ca="1" si="8"/>
        <v>142.16604913397899</v>
      </c>
      <c r="AI25" s="3">
        <f t="shared" ca="1" si="9"/>
        <v>0</v>
      </c>
    </row>
    <row r="26" spans="1:35">
      <c r="A26" s="9" t="s">
        <v>237</v>
      </c>
      <c r="B26" s="13" t="str">
        <f>CurrentPopulation</f>
        <v>1</v>
      </c>
      <c r="G26" s="3">
        <f t="shared" ca="1" si="4"/>
        <v>47</v>
      </c>
      <c r="H26" s="95">
        <f t="shared" ca="1" si="6"/>
        <v>45337</v>
      </c>
      <c r="I26" s="119">
        <f ca="1">HLOOKUP($H$4,'Met Data'!$A$2:$F$368,G26,FALSE)</f>
        <v>18.1666666666666</v>
      </c>
      <c r="J26" s="119">
        <f ca="1">HLOOKUP($H$4,'Met Data'!$H$2:$M$368,G26,FALSE)*L26</f>
        <v>1.7333333333333301</v>
      </c>
      <c r="K26" s="96">
        <f ca="1">HLOOKUP($H$4,'Met Data'!$O$2:$T$368,G26,FALSE)</f>
        <v>3.7918051722380999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45383</v>
      </c>
      <c r="Q26">
        <f ca="1"/>
        <v>142.89797203021956</v>
      </c>
      <c r="R26">
        <f ca="1"/>
        <v>0.43053875065319502</v>
      </c>
      <c r="S26">
        <f ca="1"/>
        <v>0.87525453170992762</v>
      </c>
      <c r="T26" s="4">
        <f ca="1"/>
        <v>0.71423532425883329</v>
      </c>
      <c r="U26">
        <f ca="1"/>
        <v>0</v>
      </c>
      <c r="V26">
        <f ca="1"/>
        <v>9.8890825188025495</v>
      </c>
      <c r="W26">
        <f ca="1"/>
        <v>2.5152666406519533</v>
      </c>
      <c r="X26">
        <f ca="1"/>
        <v>0</v>
      </c>
      <c r="Y26">
        <f ca="1"/>
        <v>0.79921382549527775</v>
      </c>
      <c r="Z26">
        <f ca="1"/>
        <v>0</v>
      </c>
      <c r="AA26">
        <f ca="1"/>
        <v>0</v>
      </c>
      <c r="AB26">
        <f ca="1"/>
        <v>3.8890885156881494E-2</v>
      </c>
      <c r="AD26" s="2">
        <f t="shared" ca="1" si="2"/>
        <v>45383</v>
      </c>
      <c r="AE26">
        <f t="shared" ca="1" si="3"/>
        <v>0</v>
      </c>
      <c r="AG26" s="63">
        <f t="shared" ca="1" si="7"/>
        <v>143.32851078087276</v>
      </c>
      <c r="AH26" s="63">
        <f t="shared" ca="1" si="8"/>
        <v>143.32851078087276</v>
      </c>
      <c r="AI26" s="3">
        <f t="shared" ca="1" si="9"/>
        <v>0</v>
      </c>
    </row>
    <row r="27" spans="1:35">
      <c r="A27" s="9" t="s">
        <v>238</v>
      </c>
      <c r="B27" s="13" t="str">
        <f>CurrentUnits</f>
        <v>t/ha</v>
      </c>
      <c r="G27" s="3">
        <f t="shared" ca="1" si="4"/>
        <v>48</v>
      </c>
      <c r="H27" s="95">
        <f t="shared" ca="1" si="6"/>
        <v>45338</v>
      </c>
      <c r="I27" s="119">
        <f ca="1">HLOOKUP($H$4,'Met Data'!$A$2:$F$368,G27,FALSE)</f>
        <v>17.879166666666599</v>
      </c>
      <c r="J27" s="119">
        <f ca="1">HLOOKUP($H$4,'Met Data'!$H$2:$M$368,G27,FALSE)*L27</f>
        <v>0.73333333333333295</v>
      </c>
      <c r="K27" s="96">
        <f ca="1">HLOOKUP($H$4,'Met Data'!$O$2:$T$368,G27,FALSE)</f>
        <v>3.8813294167315999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45384</v>
      </c>
      <c r="Q27">
        <f ca="1"/>
        <v>144.13238202848885</v>
      </c>
      <c r="R27">
        <f ca="1"/>
        <v>0.47870504276960801</v>
      </c>
      <c r="S27">
        <f ca="1"/>
        <v>0.89133455958555885</v>
      </c>
      <c r="T27" s="4">
        <f ca="1"/>
        <v>0.82178048145334104</v>
      </c>
      <c r="U27">
        <f ca="1"/>
        <v>0</v>
      </c>
      <c r="V27">
        <f ca="1"/>
        <v>10.367787561572158</v>
      </c>
      <c r="W27">
        <f ca="1"/>
        <v>2.6370242276172666</v>
      </c>
      <c r="X27">
        <f ca="1"/>
        <v>0</v>
      </c>
      <c r="Y27">
        <f ca="1"/>
        <v>0.84717898469650477</v>
      </c>
      <c r="Z27">
        <f ca="1"/>
        <v>0</v>
      </c>
      <c r="AA27">
        <f ca="1"/>
        <v>0</v>
      </c>
      <c r="AB27">
        <f ca="1"/>
        <v>5.1932061319698589E-2</v>
      </c>
      <c r="AD27" s="2">
        <f t="shared" ca="1" si="2"/>
        <v>45384</v>
      </c>
      <c r="AE27">
        <f t="shared" ca="1" si="3"/>
        <v>0</v>
      </c>
      <c r="AG27" s="63">
        <f t="shared" ca="1" si="7"/>
        <v>144.61108707125845</v>
      </c>
      <c r="AH27" s="63">
        <f t="shared" ca="1" si="8"/>
        <v>144.61108707125845</v>
      </c>
      <c r="AI27" s="3">
        <f t="shared" ca="1" si="9"/>
        <v>0</v>
      </c>
    </row>
    <row r="28" spans="1:35">
      <c r="A28" s="9" t="s">
        <v>121</v>
      </c>
      <c r="B28" s="10">
        <f>CurrentFieldLoss</f>
        <v>0</v>
      </c>
      <c r="G28" s="3">
        <f t="shared" ca="1" si="4"/>
        <v>49</v>
      </c>
      <c r="H28" s="95">
        <f t="shared" ca="1" si="6"/>
        <v>45339</v>
      </c>
      <c r="I28" s="119">
        <f ca="1">HLOOKUP($H$4,'Met Data'!$A$2:$F$368,G28,FALSE)</f>
        <v>18.2083333333333</v>
      </c>
      <c r="J28" s="119">
        <f ca="1">HLOOKUP($H$4,'Met Data'!$H$2:$M$368,G28,FALSE)*L28</f>
        <v>2.8833333333333302</v>
      </c>
      <c r="K28" s="96">
        <f ca="1">HLOOKUP($H$4,'Met Data'!$O$2:$T$368,G28,FALSE)</f>
        <v>3.5062121478789399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45385</v>
      </c>
      <c r="Q28">
        <f ca="1"/>
        <v>145.35002396236874</v>
      </c>
      <c r="R28">
        <f ca="1"/>
        <v>0.4931145951916811</v>
      </c>
      <c r="S28">
        <f ca="1"/>
        <v>0.83209260176262489</v>
      </c>
      <c r="T28" s="4">
        <f ca="1"/>
        <v>0.87866392730895171</v>
      </c>
      <c r="U28">
        <f ca="1"/>
        <v>0</v>
      </c>
      <c r="V28">
        <f ca="1"/>
        <v>10.860902156763839</v>
      </c>
      <c r="W28">
        <f ca="1"/>
        <v>2.7624468529160198</v>
      </c>
      <c r="X28">
        <f ca="1"/>
        <v>0</v>
      </c>
      <c r="Y28">
        <f ca="1"/>
        <v>0.91581011970648585</v>
      </c>
      <c r="Z28">
        <f ca="1"/>
        <v>0</v>
      </c>
      <c r="AA28">
        <f ca="1"/>
        <v>0</v>
      </c>
      <c r="AB28">
        <f ca="1"/>
        <v>6.8723756590464799E-2</v>
      </c>
      <c r="AD28" s="2">
        <f t="shared" ca="1" si="2"/>
        <v>45385</v>
      </c>
      <c r="AE28">
        <f t="shared" ca="1" si="3"/>
        <v>0</v>
      </c>
      <c r="AG28" s="63">
        <f t="shared" ca="1" si="7"/>
        <v>145.84313855756042</v>
      </c>
      <c r="AH28" s="63">
        <f t="shared" ca="1" si="8"/>
        <v>145.84313855756042</v>
      </c>
      <c r="AI28" s="3">
        <f t="shared" ca="1" si="9"/>
        <v>0</v>
      </c>
    </row>
    <row r="29" spans="1:35">
      <c r="A29" s="9" t="s">
        <v>122</v>
      </c>
      <c r="B29" s="10">
        <f>CurrentDressingLoss</f>
        <v>0</v>
      </c>
      <c r="G29" s="3">
        <f t="shared" ca="1" si="4"/>
        <v>50</v>
      </c>
      <c r="H29" s="95">
        <f t="shared" ca="1" si="6"/>
        <v>45340</v>
      </c>
      <c r="I29" s="119">
        <f ca="1">HLOOKUP($H$4,'Met Data'!$A$2:$F$368,G29,FALSE)</f>
        <v>18.529166666666601</v>
      </c>
      <c r="J29" s="119">
        <f ca="1">HLOOKUP($H$4,'Met Data'!$H$2:$M$368,G29,FALSE)*L29</f>
        <v>2.85</v>
      </c>
      <c r="K29" s="96">
        <f ca="1">HLOOKUP($H$4,'Met Data'!$O$2:$T$368,G29,FALSE)</f>
        <v>3.5342235016405201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45386</v>
      </c>
      <c r="Q29">
        <f ca="1"/>
        <v>146.39161803144063</v>
      </c>
      <c r="R29">
        <f ca="1"/>
        <v>0.4764239190865851</v>
      </c>
      <c r="S29">
        <f ca="1"/>
        <v>0.68650344485175196</v>
      </c>
      <c r="T29" s="4">
        <f ca="1"/>
        <v>0.83151454330671981</v>
      </c>
      <c r="U29">
        <f ca="1"/>
        <v>0</v>
      </c>
      <c r="V29">
        <f ca="1"/>
        <v>11.337326075850424</v>
      </c>
      <c r="W29">
        <f ca="1"/>
        <v>2.8836242410315216</v>
      </c>
      <c r="X29">
        <f ca="1"/>
        <v>0</v>
      </c>
      <c r="Y29">
        <f ca="1"/>
        <v>0.95002624212918596</v>
      </c>
      <c r="Z29">
        <f ca="1"/>
        <v>0</v>
      </c>
      <c r="AA29">
        <f ca="1"/>
        <v>0</v>
      </c>
      <c r="AB29">
        <f ca="1"/>
        <v>8.8606241583936041E-2</v>
      </c>
      <c r="AD29" s="2">
        <f t="shared" ca="1" si="2"/>
        <v>45386</v>
      </c>
      <c r="AE29">
        <f t="shared" ca="1" si="3"/>
        <v>0</v>
      </c>
      <c r="AG29" s="63">
        <f t="shared" ca="1" si="7"/>
        <v>146.86804195052721</v>
      </c>
      <c r="AH29" s="63">
        <f t="shared" ca="1" si="8"/>
        <v>146.86804195052721</v>
      </c>
      <c r="AI29" s="3">
        <f t="shared" ca="1" si="9"/>
        <v>0</v>
      </c>
    </row>
    <row r="30" spans="1:35">
      <c r="A30" s="9" t="s">
        <v>123</v>
      </c>
      <c r="B30" s="10">
        <f>CurrentMoistureContent</f>
        <v>89</v>
      </c>
      <c r="G30" s="3">
        <f t="shared" ca="1" si="4"/>
        <v>51</v>
      </c>
      <c r="H30" s="95">
        <f t="shared" ca="1" si="6"/>
        <v>45341</v>
      </c>
      <c r="I30" s="119">
        <f ca="1">HLOOKUP($H$4,'Met Data'!$A$2:$F$368,G30,FALSE)</f>
        <v>18.925000000000001</v>
      </c>
      <c r="J30" s="119">
        <f ca="1">HLOOKUP($H$4,'Met Data'!$H$2:$M$368,G30,FALSE)*L30</f>
        <v>3.86666666666666</v>
      </c>
      <c r="K30" s="96">
        <f ca="1">HLOOKUP($H$4,'Met Data'!$O$2:$T$368,G30,FALSE)</f>
        <v>3.6338116563958698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45387</v>
      </c>
      <c r="Q30">
        <f ca="1"/>
        <v>147.25625965906079</v>
      </c>
      <c r="R30">
        <f ca="1"/>
        <v>0.47874527127170374</v>
      </c>
      <c r="S30">
        <f ca="1"/>
        <v>0.56471809815472795</v>
      </c>
      <c r="T30" s="4">
        <f ca="1"/>
        <v>0.77866880073714873</v>
      </c>
      <c r="U30">
        <f ca="1"/>
        <v>0</v>
      </c>
      <c r="V30">
        <f ca="1"/>
        <v>11.816071347122127</v>
      </c>
      <c r="W30">
        <f ca="1"/>
        <v>3.0053920600288895</v>
      </c>
      <c r="X30">
        <f ca="1"/>
        <v>0</v>
      </c>
      <c r="Y30">
        <f ca="1"/>
        <v>0.93286391887969933</v>
      </c>
      <c r="Z30">
        <f ca="1"/>
        <v>0</v>
      </c>
      <c r="AA30">
        <f ca="1"/>
        <v>0</v>
      </c>
      <c r="AB30">
        <f ca="1"/>
        <v>0.11255960770658582</v>
      </c>
      <c r="AD30" s="2">
        <f t="shared" ca="1" si="2"/>
        <v>45387</v>
      </c>
      <c r="AE30">
        <f t="shared" ca="1" si="3"/>
        <v>0</v>
      </c>
      <c r="AG30" s="63">
        <f t="shared" ca="1" si="7"/>
        <v>147.73500493033248</v>
      </c>
      <c r="AH30" s="63">
        <f t="shared" ca="1" si="8"/>
        <v>147.73500493033248</v>
      </c>
      <c r="AI30" s="3">
        <f t="shared" ca="1" si="9"/>
        <v>0</v>
      </c>
    </row>
    <row r="31" spans="1:35">
      <c r="A31" s="9" t="s">
        <v>124</v>
      </c>
      <c r="B31" s="36">
        <f ca="1">CurrentEstablishDate</f>
        <v>45378</v>
      </c>
      <c r="G31" s="3">
        <f t="shared" ca="1" si="4"/>
        <v>52</v>
      </c>
      <c r="H31" s="95">
        <f t="shared" ca="1" si="6"/>
        <v>45342</v>
      </c>
      <c r="I31" s="119">
        <f ca="1">HLOOKUP($H$4,'Met Data'!$A$2:$F$368,G31,FALSE)</f>
        <v>19.195833333333301</v>
      </c>
      <c r="J31" s="119">
        <f ca="1">HLOOKUP($H$4,'Met Data'!$H$2:$M$368,G31,FALSE)*L31</f>
        <v>1.18333333333333</v>
      </c>
      <c r="K31" s="96">
        <f ca="1">HLOOKUP($H$4,'Met Data'!$O$2:$T$368,G31,FALSE)</f>
        <v>3.7477053916930299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45388</v>
      </c>
      <c r="Q31">
        <f ca="1"/>
        <v>147.9481006872505</v>
      </c>
      <c r="R31">
        <f ca="1"/>
        <v>0.46191405692161602</v>
      </c>
      <c r="S31">
        <f ca="1"/>
        <v>0.45173513679080202</v>
      </c>
      <c r="T31" s="4">
        <f ca="1"/>
        <v>0.70201994832051551</v>
      </c>
      <c r="U31">
        <f ca="1"/>
        <v>0</v>
      </c>
      <c r="V31">
        <f ca="1"/>
        <v>12.277985404043744</v>
      </c>
      <c r="W31">
        <f ca="1"/>
        <v>3.1228788962459095</v>
      </c>
      <c r="X31">
        <f ca="1"/>
        <v>0</v>
      </c>
      <c r="Y31">
        <f ca="1"/>
        <v>0.92082850402465311</v>
      </c>
      <c r="Z31">
        <f ca="1"/>
        <v>0</v>
      </c>
      <c r="AA31">
        <f ca="1"/>
        <v>0</v>
      </c>
      <c r="AB31">
        <f ca="1"/>
        <v>0.13967082678716655</v>
      </c>
      <c r="AD31" s="2">
        <f t="shared" ca="1" si="2"/>
        <v>45388</v>
      </c>
      <c r="AE31">
        <f t="shared" ca="1" si="3"/>
        <v>0</v>
      </c>
      <c r="AG31" s="63">
        <f t="shared" ca="1" si="7"/>
        <v>148.41001474417212</v>
      </c>
      <c r="AH31" s="63">
        <f t="shared" ca="1" si="8"/>
        <v>148.41001474417212</v>
      </c>
      <c r="AI31" s="3">
        <f t="shared" ca="1" si="9"/>
        <v>0</v>
      </c>
    </row>
    <row r="32" spans="1:35">
      <c r="A32" s="9" t="s">
        <v>125</v>
      </c>
      <c r="B32" s="10" t="str">
        <f>CurrentEstablishStage</f>
        <v>Seedling</v>
      </c>
      <c r="G32" s="3">
        <f t="shared" ca="1" si="4"/>
        <v>53</v>
      </c>
      <c r="H32" s="95">
        <f t="shared" ca="1" si="6"/>
        <v>45343</v>
      </c>
      <c r="I32" s="119">
        <f ca="1">HLOOKUP($H$4,'Met Data'!$A$2:$F$368,G32,FALSE)</f>
        <v>18.945833333333301</v>
      </c>
      <c r="J32" s="119">
        <f ca="1">HLOOKUP($H$4,'Met Data'!$H$2:$M$368,G32,FALSE)*L32</f>
        <v>1.3333333333333299</v>
      </c>
      <c r="K32" s="96">
        <f ca="1">HLOOKUP($H$4,'Met Data'!$O$2:$T$368,G32,FALSE)</f>
        <v>3.7395681594102799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45389</v>
      </c>
      <c r="Q32">
        <f ca="1"/>
        <v>148.66831250973763</v>
      </c>
      <c r="R32">
        <f ca="1"/>
        <v>0.50182604699580224</v>
      </c>
      <c r="S32">
        <f ca="1"/>
        <v>0.44412512414511696</v>
      </c>
      <c r="T32" s="4">
        <f ca="1"/>
        <v>0.77791274533778987</v>
      </c>
      <c r="U32">
        <f ca="1"/>
        <v>0</v>
      </c>
      <c r="V32">
        <f ca="1"/>
        <v>12.779811451039546</v>
      </c>
      <c r="W32">
        <f ca="1"/>
        <v>3.250517260373103</v>
      </c>
      <c r="X32">
        <f ca="1"/>
        <v>0</v>
      </c>
      <c r="Y32">
        <f ca="1"/>
        <v>0.9798871086961688</v>
      </c>
      <c r="Z32">
        <f ca="1"/>
        <v>0</v>
      </c>
      <c r="AA32">
        <f ca="1"/>
        <v>0</v>
      </c>
      <c r="AB32">
        <f ca="1"/>
        <v>0.17366537592269427</v>
      </c>
      <c r="AD32" s="2">
        <f t="shared" ca="1" si="2"/>
        <v>45389</v>
      </c>
      <c r="AE32">
        <f t="shared" ca="1" si="3"/>
        <v>0</v>
      </c>
      <c r="AG32" s="63">
        <f t="shared" ca="1" si="7"/>
        <v>149.17013855673343</v>
      </c>
      <c r="AH32" s="63">
        <f t="shared" ca="1" si="8"/>
        <v>149.17013855673343</v>
      </c>
      <c r="AI32" s="3">
        <f t="shared" ca="1" si="9"/>
        <v>0</v>
      </c>
    </row>
    <row r="33" spans="1:35">
      <c r="A33" s="9" t="s">
        <v>126</v>
      </c>
      <c r="B33" s="36">
        <f ca="1">CurrentHarvestDate</f>
        <v>45503</v>
      </c>
      <c r="G33" s="3">
        <f t="shared" ca="1" si="4"/>
        <v>54</v>
      </c>
      <c r="H33" s="95">
        <f t="shared" ca="1" si="6"/>
        <v>45344</v>
      </c>
      <c r="I33" s="119">
        <f ca="1">HLOOKUP($H$4,'Met Data'!$A$2:$F$368,G33,FALSE)</f>
        <v>18.912499999999898</v>
      </c>
      <c r="J33" s="119">
        <f ca="1">HLOOKUP($H$4,'Met Data'!$H$2:$M$368,G33,FALSE)*L33</f>
        <v>6.18333333333333</v>
      </c>
      <c r="K33" s="96">
        <f ca="1">HLOOKUP($H$4,'Met Data'!$O$2:$T$368,G33,FALSE)</f>
        <v>3.0629444033618198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45390</v>
      </c>
      <c r="Q33">
        <f ca="1"/>
        <v>147.89904282051995</v>
      </c>
      <c r="R33">
        <f ca="1"/>
        <v>0.54228930095246675</v>
      </c>
      <c r="S33">
        <f ca="1"/>
        <v>0.4086240672597512</v>
      </c>
      <c r="T33" s="4">
        <f ca="1"/>
        <v>0.81439642801827961</v>
      </c>
      <c r="U33">
        <f ca="1"/>
        <v>0</v>
      </c>
      <c r="V33">
        <f ca="1"/>
        <v>13.322100751992012</v>
      </c>
      <c r="W33">
        <f ca="1"/>
        <v>3.3884473651805771</v>
      </c>
      <c r="X33">
        <f ca="1"/>
        <v>1.4500008835432625</v>
      </c>
      <c r="Y33">
        <f ca="1"/>
        <v>1</v>
      </c>
      <c r="Z33">
        <f ca="1"/>
        <v>1.3931987199210383</v>
      </c>
      <c r="AA33">
        <f ca="1"/>
        <v>0</v>
      </c>
      <c r="AB33">
        <f ca="1"/>
        <v>0.21556425732800003</v>
      </c>
      <c r="AD33" s="2">
        <f t="shared" ca="1" si="2"/>
        <v>45390</v>
      </c>
      <c r="AE33">
        <f t="shared" ca="1" si="3"/>
        <v>0</v>
      </c>
      <c r="AG33" s="63">
        <f t="shared" ca="1" si="7"/>
        <v>149.89133300501567</v>
      </c>
      <c r="AH33" s="63">
        <f t="shared" ca="1" si="8"/>
        <v>149.89133300501567</v>
      </c>
      <c r="AI33" s="3">
        <f t="shared" ca="1" si="9"/>
        <v>0</v>
      </c>
    </row>
    <row r="34" spans="1:35">
      <c r="A34" s="9" t="s">
        <v>127</v>
      </c>
      <c r="B34" s="10" t="str">
        <f>CurrentHarvestStage</f>
        <v>EarlyReproductive</v>
      </c>
      <c r="G34" s="3">
        <f t="shared" ca="1" si="4"/>
        <v>55</v>
      </c>
      <c r="H34" s="95">
        <f t="shared" ca="1" si="6"/>
        <v>45345</v>
      </c>
      <c r="I34" s="119">
        <f ca="1">HLOOKUP($H$4,'Met Data'!$A$2:$F$368,G34,FALSE)</f>
        <v>17.745833333333302</v>
      </c>
      <c r="J34" s="119">
        <f ca="1">HLOOKUP($H$4,'Met Data'!$H$2:$M$368,G34,FALSE)*L34</f>
        <v>0.7</v>
      </c>
      <c r="K34" s="96">
        <f ca="1">HLOOKUP($H$4,'Met Data'!$O$2:$T$368,G34,FALSE)</f>
        <v>3.7397228058893299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45391</v>
      </c>
      <c r="Q34">
        <f ca="1"/>
        <v>145.98721126490199</v>
      </c>
      <c r="R34">
        <f ca="1"/>
        <v>0.57000475245994409</v>
      </c>
      <c r="S34">
        <f ca="1"/>
        <v>0.36181174127560212</v>
      </c>
      <c r="T34" s="4">
        <f ca="1"/>
        <v>0.82389350015438989</v>
      </c>
      <c r="U34">
        <f ca="1"/>
        <v>0</v>
      </c>
      <c r="V34">
        <f ca="1"/>
        <v>13.892105504451957</v>
      </c>
      <c r="W34">
        <f ca="1"/>
        <v>3.5334268348279982</v>
      </c>
      <c r="X34">
        <f ca="1"/>
        <v>2.527532044588007</v>
      </c>
      <c r="Y34">
        <f ca="1"/>
        <v>1</v>
      </c>
      <c r="Z34">
        <f ca="1"/>
        <v>2.4603224023811663</v>
      </c>
      <c r="AA34">
        <f ca="1"/>
        <v>0</v>
      </c>
      <c r="AB34">
        <f ca="1"/>
        <v>0.26483618283235288</v>
      </c>
      <c r="AD34" s="2">
        <f t="shared" ca="1" si="2"/>
        <v>45391</v>
      </c>
      <c r="AE34">
        <f t="shared" ca="1" si="3"/>
        <v>0</v>
      </c>
      <c r="AG34" s="63">
        <f t="shared" ca="1" si="7"/>
        <v>149.08474806194994</v>
      </c>
      <c r="AH34" s="63">
        <f t="shared" ca="1" si="8"/>
        <v>149.08474806194994</v>
      </c>
      <c r="AI34" s="3">
        <f t="shared" ca="1" si="9"/>
        <v>0</v>
      </c>
    </row>
    <row r="35" spans="1:35">
      <c r="A35" s="9" t="s">
        <v>165</v>
      </c>
      <c r="B35" s="10" t="str">
        <f>CurrentResidueRemoval</f>
        <v>None removed</v>
      </c>
      <c r="G35" s="3">
        <f t="shared" ca="1" si="4"/>
        <v>56</v>
      </c>
      <c r="H35" s="95">
        <f t="shared" ca="1" si="6"/>
        <v>45346</v>
      </c>
      <c r="I35" s="119">
        <f ca="1">HLOOKUP($H$4,'Met Data'!$A$2:$F$368,G35,FALSE)</f>
        <v>16.945833333333301</v>
      </c>
      <c r="J35" s="119">
        <f ca="1">HLOOKUP($H$4,'Met Data'!$H$2:$M$368,G35,FALSE)*L35</f>
        <v>1.5999999999999901</v>
      </c>
      <c r="K35" s="96">
        <f ca="1">HLOOKUP($H$4,'Met Data'!$O$2:$T$368,G35,FALSE)</f>
        <v>3.5683594386422701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45392</v>
      </c>
      <c r="Q35">
        <f ca="1"/>
        <v>146.52027491560921</v>
      </c>
      <c r="R35">
        <f ca="1"/>
        <v>0.58258666921064339</v>
      </c>
      <c r="S35">
        <f ca="1"/>
        <v>0.30982953796920754</v>
      </c>
      <c r="T35" s="4">
        <f ca="1"/>
        <v>0.80582078194865037</v>
      </c>
      <c r="U35">
        <f ca="1"/>
        <v>0</v>
      </c>
      <c r="V35">
        <f ca="1"/>
        <v>14.4746921736626</v>
      </c>
      <c r="W35">
        <f ca="1"/>
        <v>3.681606487648966</v>
      </c>
      <c r="X35">
        <f ca="1"/>
        <v>0</v>
      </c>
      <c r="Y35">
        <f ca="1"/>
        <v>0.99435123161993544</v>
      </c>
      <c r="Z35">
        <f ca="1"/>
        <v>0</v>
      </c>
      <c r="AA35">
        <f ca="1"/>
        <v>0</v>
      </c>
      <c r="AB35">
        <f ca="1"/>
        <v>0.31970122941069817</v>
      </c>
      <c r="AD35" s="2">
        <f t="shared" ca="1" si="2"/>
        <v>45392</v>
      </c>
      <c r="AE35">
        <f t="shared" ca="1" si="3"/>
        <v>0</v>
      </c>
      <c r="AG35" s="63">
        <f t="shared" ca="1" si="7"/>
        <v>147.10286158481986</v>
      </c>
      <c r="AH35" s="63">
        <f t="shared" ca="1" si="8"/>
        <v>147.10286158481986</v>
      </c>
      <c r="AI35" s="3">
        <f t="shared" ca="1" si="9"/>
        <v>0</v>
      </c>
    </row>
    <row r="36" spans="1:35" ht="15.75" thickBot="1">
      <c r="A36" s="9" t="s">
        <v>168</v>
      </c>
      <c r="B36" s="10" t="str">
        <f>CurrentResidueIncorporation</f>
        <v>Full (Plough)</v>
      </c>
      <c r="G36" s="3">
        <f t="shared" ca="1" si="4"/>
        <v>57</v>
      </c>
      <c r="H36" s="95">
        <f t="shared" ca="1" si="6"/>
        <v>45347</v>
      </c>
      <c r="I36" s="119">
        <f ca="1">HLOOKUP($H$4,'Met Data'!$A$2:$F$368,G36,FALSE)</f>
        <v>17.495833333333302</v>
      </c>
      <c r="J36" s="119">
        <f ca="1">HLOOKUP($H$4,'Met Data'!$H$2:$M$368,G36,FALSE)*L36</f>
        <v>0.86666666666666603</v>
      </c>
      <c r="K36" s="96">
        <f ca="1">HLOOKUP($H$4,'Met Data'!$O$2:$T$368,G36,FALSE)</f>
        <v>3.5556810366886502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45393</v>
      </c>
      <c r="Q36">
        <f ca="1"/>
        <v>145.40652918335962</v>
      </c>
      <c r="R36">
        <f ca="1"/>
        <v>0.64456716272207615</v>
      </c>
      <c r="S36">
        <f ca="1"/>
        <v>0.29108633512900894</v>
      </c>
      <c r="T36">
        <f ca="1"/>
        <v>0.86790702820828713</v>
      </c>
      <c r="U36">
        <f ca="1"/>
        <v>0</v>
      </c>
      <c r="V36">
        <f ca="1"/>
        <v>15.119259336384676</v>
      </c>
      <c r="W36">
        <f ca="1"/>
        <v>3.8455507442543642</v>
      </c>
      <c r="X36">
        <f ca="1"/>
        <v>1.6281719328648199</v>
      </c>
      <c r="Y36">
        <f ca="1"/>
        <v>1</v>
      </c>
      <c r="Z36">
        <f ca="1"/>
        <v>1.5912064078930754</v>
      </c>
      <c r="AA36">
        <f ca="1"/>
        <v>0</v>
      </c>
      <c r="AB36">
        <f ca="1"/>
        <v>0.38395710399220839</v>
      </c>
      <c r="AD36" s="2">
        <f t="shared" ca="1" si="2"/>
        <v>45393</v>
      </c>
      <c r="AE36">
        <f t="shared" ca="1" si="3"/>
        <v>0</v>
      </c>
      <c r="AG36" s="63">
        <f t="shared" ca="1" si="7"/>
        <v>147.67926827894652</v>
      </c>
      <c r="AH36" s="63">
        <f t="shared" ca="1" si="8"/>
        <v>147.67926827894652</v>
      </c>
      <c r="AI36" s="3">
        <f t="shared" ca="1" si="9"/>
        <v>0</v>
      </c>
    </row>
    <row r="37" spans="1:35">
      <c r="A37" s="5" t="s">
        <v>143</v>
      </c>
      <c r="B37" s="31" t="str">
        <f>FollowingCropFullName</f>
        <v>Broccoli Vegetable General</v>
      </c>
      <c r="G37" s="3">
        <f t="shared" ca="1" si="4"/>
        <v>58</v>
      </c>
      <c r="H37" s="95">
        <f t="shared" ca="1" si="6"/>
        <v>45348</v>
      </c>
      <c r="I37" s="119">
        <f ca="1">HLOOKUP($H$4,'Met Data'!$A$2:$F$368,G37,FALSE)</f>
        <v>16.954166666666602</v>
      </c>
      <c r="J37" s="119">
        <f ca="1">HLOOKUP($H$4,'Met Data'!$H$2:$M$368,G37,FALSE)*L37</f>
        <v>0.93333333333333302</v>
      </c>
      <c r="K37" s="96">
        <f ca="1">HLOOKUP($H$4,'Met Data'!$O$2:$T$368,G37,FALSE)</f>
        <v>3.6102637976598602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45394</v>
      </c>
      <c r="Q37">
        <f ca="1"/>
        <v>142.99570578224728</v>
      </c>
      <c r="R37">
        <f ca="1"/>
        <v>0.64990645794906143</v>
      </c>
      <c r="S37">
        <f ca="1"/>
        <v>0.24311377728243144</v>
      </c>
      <c r="T37">
        <f ca="1"/>
        <v>0.83316673791843654</v>
      </c>
      <c r="U37">
        <f ca="1"/>
        <v>0</v>
      </c>
      <c r="V37">
        <f ca="1"/>
        <v>15.769165794333738</v>
      </c>
      <c r="W37">
        <f ca="1"/>
        <v>4.0108530389935808</v>
      </c>
      <c r="X37">
        <f ca="1"/>
        <v>2.8371974583641282</v>
      </c>
      <c r="Y37">
        <f ca="1"/>
        <v>1</v>
      </c>
      <c r="Z37">
        <f ca="1"/>
        <v>2.8195300638307614</v>
      </c>
      <c r="AA37">
        <f ca="1"/>
        <v>0</v>
      </c>
      <c r="AB37">
        <f ca="1"/>
        <v>0.45027002128307586</v>
      </c>
      <c r="AD37" s="2">
        <f t="shared" ca="1" si="2"/>
        <v>45394</v>
      </c>
      <c r="AE37">
        <f t="shared" ca="1" si="3"/>
        <v>0</v>
      </c>
      <c r="AG37" s="63">
        <f t="shared" ca="1" si="7"/>
        <v>146.48280969856049</v>
      </c>
      <c r="AH37" s="63">
        <f t="shared" ca="1" si="8"/>
        <v>146.48280969856049</v>
      </c>
      <c r="AI37" s="3">
        <f t="shared" ca="1" si="9"/>
        <v>0</v>
      </c>
    </row>
    <row r="38" spans="1:35">
      <c r="A38" s="6" t="s">
        <v>244</v>
      </c>
      <c r="B38" s="32">
        <f>FollowingYIeld</f>
        <v>0.3</v>
      </c>
      <c r="G38" s="3">
        <f t="shared" ca="1" si="4"/>
        <v>59</v>
      </c>
      <c r="H38" s="95">
        <f t="shared" ca="1" si="6"/>
        <v>45349</v>
      </c>
      <c r="I38" s="119">
        <f ca="1">HLOOKUP($H$4,'Met Data'!$A$2:$F$368,G38,FALSE)</f>
        <v>16.829166666666602</v>
      </c>
      <c r="J38" s="119">
        <f ca="1">HLOOKUP($H$4,'Met Data'!$H$2:$M$368,G38,FALSE)*L38</f>
        <v>0.41666666666666602</v>
      </c>
      <c r="K38" s="96">
        <f ca="1">HLOOKUP($H$4,'Met Data'!$O$2:$T$368,G38,FALSE)</f>
        <v>3.6752740997587301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45395</v>
      </c>
      <c r="Q38">
        <f ca="1"/>
        <v>140.54880380285613</v>
      </c>
      <c r="R38">
        <f ca="1"/>
        <v>0.62169817210639877</v>
      </c>
      <c r="S38">
        <f ca="1"/>
        <v>0.19314503862467802</v>
      </c>
      <c r="T38">
        <f ca="1"/>
        <v>0.75388244236627233</v>
      </c>
      <c r="U38">
        <f ca="1"/>
        <v>0</v>
      </c>
      <c r="V38">
        <f ca="1"/>
        <v>16.390863966440136</v>
      </c>
      <c r="W38">
        <f ca="1"/>
        <v>4.1689806175510791</v>
      </c>
      <c r="X38">
        <f ca="1"/>
        <v>2.7722312882756865</v>
      </c>
      <c r="Y38">
        <f ca="1"/>
        <v>1</v>
      </c>
      <c r="Z38">
        <f ca="1"/>
        <v>2.8029314095589655</v>
      </c>
      <c r="AA38">
        <f ca="1"/>
        <v>0</v>
      </c>
      <c r="AB38">
        <f ca="1"/>
        <v>0.51295427882625955</v>
      </c>
      <c r="AD38" s="2">
        <f t="shared" ca="1" si="2"/>
        <v>45395</v>
      </c>
      <c r="AE38">
        <f t="shared" ca="1" si="3"/>
        <v>0</v>
      </c>
      <c r="AG38" s="63">
        <f t="shared" ca="1" si="7"/>
        <v>143.94273326323821</v>
      </c>
      <c r="AH38" s="63">
        <f t="shared" ca="1" si="8"/>
        <v>143.94273326323821</v>
      </c>
      <c r="AI38" s="3">
        <f t="shared" ca="1" si="9"/>
        <v>0</v>
      </c>
    </row>
    <row r="39" spans="1:35">
      <c r="A39" s="6" t="s">
        <v>239</v>
      </c>
      <c r="B39" s="32">
        <f>FollowingPopulation</f>
        <v>20000</v>
      </c>
      <c r="G39" s="3">
        <f t="shared" ca="1" si="4"/>
        <v>60</v>
      </c>
      <c r="H39" s="95">
        <f t="shared" ca="1" si="6"/>
        <v>45350</v>
      </c>
      <c r="I39" s="119">
        <f ca="1">HLOOKUP($H$4,'Met Data'!$A$2:$F$368,G39,FALSE)</f>
        <v>17.512499999999999</v>
      </c>
      <c r="J39" s="119">
        <f ca="1">HLOOKUP($H$4,'Met Data'!$H$2:$M$368,G39,FALSE)*L39</f>
        <v>0.38333333333333303</v>
      </c>
      <c r="K39" s="96">
        <f ca="1">HLOOKUP($H$4,'Met Data'!$O$2:$T$368,G39,FALSE)</f>
        <v>3.6973328494211302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45396</v>
      </c>
      <c r="Q39">
        <f ca="1"/>
        <v>140.83689731928851</v>
      </c>
      <c r="R39">
        <f ca="1"/>
        <v>0.65855065386741174</v>
      </c>
      <c r="S39">
        <f ca="1"/>
        <v>0.17457417377984541</v>
      </c>
      <c r="T39">
        <f ca="1"/>
        <v>0.77206999651996233</v>
      </c>
      <c r="U39">
        <f ca="1"/>
        <v>0</v>
      </c>
      <c r="V39">
        <f ca="1"/>
        <v>17.049414620307548</v>
      </c>
      <c r="W39">
        <f ca="1"/>
        <v>4.3364815447303986</v>
      </c>
      <c r="X39">
        <f ca="1"/>
        <v>0</v>
      </c>
      <c r="Y39">
        <f ca="1"/>
        <v>0.97842705307845979</v>
      </c>
      <c r="Z39">
        <f ca="1"/>
        <v>0</v>
      </c>
      <c r="AA39">
        <f ca="1"/>
        <v>0</v>
      </c>
      <c r="AB39">
        <f ca="1"/>
        <v>0.5764841464227094</v>
      </c>
      <c r="AD39" s="2">
        <f t="shared" ca="1" si="2"/>
        <v>45396</v>
      </c>
      <c r="AE39">
        <f t="shared" ca="1" si="3"/>
        <v>0</v>
      </c>
      <c r="AG39" s="63">
        <f t="shared" ca="1" si="7"/>
        <v>141.49544797315593</v>
      </c>
      <c r="AH39" s="63">
        <f t="shared" ca="1" si="8"/>
        <v>141.49544797315593</v>
      </c>
      <c r="AI39" s="3">
        <f t="shared" ca="1" si="9"/>
        <v>0</v>
      </c>
    </row>
    <row r="40" spans="1:35">
      <c r="A40" s="6" t="s">
        <v>240</v>
      </c>
      <c r="B40" s="32" t="str">
        <f>FollowingUnits</f>
        <v>kg/head</v>
      </c>
      <c r="G40" s="3">
        <f t="shared" ca="1" si="4"/>
        <v>61</v>
      </c>
      <c r="H40" s="95">
        <f t="shared" ca="1" si="6"/>
        <v>45351</v>
      </c>
      <c r="I40" s="119">
        <f ca="1">HLOOKUP($H$4,'Met Data'!$A$2:$F$368,G40,FALSE)</f>
        <v>17.1166666666666</v>
      </c>
      <c r="J40" s="119">
        <f ca="1">HLOOKUP($H$4,'Met Data'!$H$2:$M$368,G40,FALSE)*L40</f>
        <v>2.3166666666666602</v>
      </c>
      <c r="K40" s="96">
        <f ca="1">HLOOKUP($H$4,'Met Data'!$O$2:$T$368,G40,FALSE)</f>
        <v>3.5365052642272401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45397</v>
      </c>
      <c r="Q40">
        <f ca="1"/>
        <v>136.52908356168626</v>
      </c>
      <c r="R40">
        <f ca="1"/>
        <v>0.69099823104309976</v>
      </c>
      <c r="S40">
        <f ca="1"/>
        <v>0.15562003895767873</v>
      </c>
      <c r="T40">
        <f ca="1"/>
        <v>0.78154320110573927</v>
      </c>
      <c r="U40">
        <f ca="1"/>
        <v>0</v>
      </c>
      <c r="V40">
        <f ca="1"/>
        <v>17.740412851350648</v>
      </c>
      <c r="W40">
        <f ca="1"/>
        <v>4.5122354426261442</v>
      </c>
      <c r="X40">
        <f ca="1"/>
        <v>4.5539787666225573</v>
      </c>
      <c r="Y40">
        <f ca="1"/>
        <v>1</v>
      </c>
      <c r="Z40">
        <f ca="1"/>
        <v>4.739974327550307</v>
      </c>
      <c r="AA40">
        <f ca="1"/>
        <v>0</v>
      </c>
      <c r="AB40">
        <f ca="1"/>
        <v>0.63819130682260539</v>
      </c>
      <c r="AD40" s="2">
        <f t="shared" ca="1" si="2"/>
        <v>45397</v>
      </c>
      <c r="AE40">
        <f t="shared" ca="1" si="3"/>
        <v>0</v>
      </c>
      <c r="AG40" s="63">
        <f t="shared" ca="1" si="7"/>
        <v>141.77406055935191</v>
      </c>
      <c r="AH40" s="63">
        <f t="shared" ca="1" si="8"/>
        <v>141.77406055935191</v>
      </c>
      <c r="AI40" s="3">
        <f t="shared" ca="1" si="9"/>
        <v>0</v>
      </c>
    </row>
    <row r="41" spans="1:35">
      <c r="A41" s="6" t="s">
        <v>128</v>
      </c>
      <c r="B41" s="32">
        <f>FollowingFieldLoss</f>
        <v>0</v>
      </c>
      <c r="G41" s="3">
        <f t="shared" ca="1" si="4"/>
        <v>62</v>
      </c>
      <c r="H41" s="95">
        <f t="shared" ca="1" si="6"/>
        <v>45352</v>
      </c>
      <c r="I41" s="119">
        <f ca="1">HLOOKUP($H$4,'Met Data'!$A$2:$F$368,G41,FALSE)</f>
        <v>17.037500000000001</v>
      </c>
      <c r="J41" s="119">
        <f ca="1">HLOOKUP($H$4,'Met Data'!$H$2:$M$368,G41,FALSE)*L41</f>
        <v>2.18333333333333</v>
      </c>
      <c r="K41" s="96">
        <f ca="1">HLOOKUP($H$4,'Met Data'!$O$2:$T$368,G41,FALSE)</f>
        <v>3.0680063753167199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45398</v>
      </c>
      <c r="Q41">
        <f ca="1"/>
        <v>134.84401868780827</v>
      </c>
      <c r="R41">
        <f ca="1"/>
        <v>0.7030442464916824</v>
      </c>
      <c r="S41">
        <f ca="1"/>
        <v>0.13390026736263394</v>
      </c>
      <c r="T41">
        <f ca="1"/>
        <v>0.76294298184491316</v>
      </c>
      <c r="U41">
        <f ca="1"/>
        <v>0</v>
      </c>
      <c r="V41">
        <f ca="1"/>
        <v>18.44345709784233</v>
      </c>
      <c r="W41">
        <f ca="1"/>
        <v>4.691053218364245</v>
      </c>
      <c r="X41">
        <f ca="1"/>
        <v>1.8788638765938364</v>
      </c>
      <c r="Y41">
        <f ca="1"/>
        <v>1</v>
      </c>
      <c r="Z41">
        <f ca="1"/>
        <v>1.9800392202740653</v>
      </c>
      <c r="AA41">
        <f ca="1"/>
        <v>0</v>
      </c>
      <c r="AB41">
        <f ca="1"/>
        <v>0.69455270767511657</v>
      </c>
      <c r="AD41" s="2">
        <f t="shared" ca="1" si="2"/>
        <v>45398</v>
      </c>
      <c r="AE41">
        <f t="shared" ca="1" si="3"/>
        <v>0</v>
      </c>
      <c r="AG41" s="63">
        <f t="shared" ca="1" si="7"/>
        <v>137.4259268108938</v>
      </c>
      <c r="AH41" s="63">
        <f t="shared" ca="1" si="8"/>
        <v>137.4259268108938</v>
      </c>
      <c r="AI41" s="3">
        <f t="shared" ca="1" si="9"/>
        <v>0</v>
      </c>
    </row>
    <row r="42" spans="1:35">
      <c r="A42" s="6" t="s">
        <v>129</v>
      </c>
      <c r="B42" s="32">
        <f>FollowingDressingLoss</f>
        <v>0</v>
      </c>
      <c r="G42" s="3">
        <f t="shared" ca="1" si="4"/>
        <v>63</v>
      </c>
      <c r="H42" s="95">
        <f t="shared" ca="1" si="6"/>
        <v>45353</v>
      </c>
      <c r="I42" s="119">
        <f ca="1">HLOOKUP($H$4,'Met Data'!$A$2:$F$368,G42,FALSE)</f>
        <v>17.204166666666602</v>
      </c>
      <c r="J42" s="119">
        <f ca="1">HLOOKUP($H$4,'Met Data'!$H$2:$M$368,G42,FALSE)*L42</f>
        <v>0.61666666666666603</v>
      </c>
      <c r="K42" s="96">
        <f ca="1">HLOOKUP($H$4,'Met Data'!$O$2:$T$368,G42,FALSE)</f>
        <v>3.2161744467378801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45399</v>
      </c>
      <c r="Q42">
        <f ca="1"/>
        <v>134.26531005726363</v>
      </c>
      <c r="R42">
        <f ca="1"/>
        <v>0.73183136799555371</v>
      </c>
      <c r="S42">
        <f ca="1"/>
        <v>0.11864333586399312</v>
      </c>
      <c r="T42">
        <f ca="1"/>
        <v>0.76570172019355354</v>
      </c>
      <c r="U42">
        <f ca="1"/>
        <v>0</v>
      </c>
      <c r="V42">
        <f ca="1"/>
        <v>19.175288465837884</v>
      </c>
      <c r="W42">
        <f ca="1"/>
        <v>4.8771929358761579</v>
      </c>
      <c r="X42">
        <f ca="1"/>
        <v>0.73122231860665299</v>
      </c>
      <c r="Y42">
        <f ca="1"/>
        <v>1</v>
      </c>
      <c r="Z42">
        <f ca="1"/>
        <v>0.77391948797650656</v>
      </c>
      <c r="AA42">
        <f ca="1"/>
        <v>0</v>
      </c>
      <c r="AB42">
        <f ca="1"/>
        <v>0.74578080376573164</v>
      </c>
      <c r="AD42" s="2">
        <f t="shared" ca="1" si="2"/>
        <v>45399</v>
      </c>
      <c r="AE42">
        <f t="shared" ca="1" si="3"/>
        <v>0</v>
      </c>
      <c r="AG42" s="63">
        <f t="shared" ca="1" si="7"/>
        <v>135.72836374386583</v>
      </c>
      <c r="AH42" s="63">
        <f t="shared" ca="1" si="8"/>
        <v>135.72836374386586</v>
      </c>
      <c r="AI42" s="3">
        <f t="shared" ca="1" si="9"/>
        <v>0</v>
      </c>
    </row>
    <row r="43" spans="1:35">
      <c r="A43" s="6" t="s">
        <v>130</v>
      </c>
      <c r="B43" s="32">
        <f>FollowingMoistureLoss</f>
        <v>89</v>
      </c>
      <c r="G43" s="3">
        <f t="shared" ca="1" si="4"/>
        <v>64</v>
      </c>
      <c r="H43" s="95">
        <f t="shared" ca="1" si="6"/>
        <v>45354</v>
      </c>
      <c r="I43" s="119">
        <f ca="1">HLOOKUP($H$4,'Met Data'!$A$2:$F$368,G43,FALSE)</f>
        <v>16.720833333333299</v>
      </c>
      <c r="J43" s="119">
        <f ca="1">HLOOKUP($H$4,'Met Data'!$H$2:$M$368,G43,FALSE)*L43</f>
        <v>2.93333333333333</v>
      </c>
      <c r="K43" s="96">
        <f ca="1">HLOOKUP($H$4,'Met Data'!$O$2:$T$368,G43,FALSE)</f>
        <v>2.8476580172568502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45400</v>
      </c>
      <c r="Q43">
        <f ca="1"/>
        <v>134.36390729144114</v>
      </c>
      <c r="R43">
        <f ca="1"/>
        <v>0.71776228938491826</v>
      </c>
      <c r="S43">
        <f ca="1"/>
        <v>9.858714038196581E-2</v>
      </c>
      <c r="T43">
        <f ca="1"/>
        <v>0.71777238318046288</v>
      </c>
      <c r="U43">
        <f ca="1"/>
        <v>0</v>
      </c>
      <c r="V43">
        <f ca="1"/>
        <v>19.893050755222802</v>
      </c>
      <c r="W43">
        <f ca="1"/>
        <v>5.0597542138284091</v>
      </c>
      <c r="X43">
        <f ca="1"/>
        <v>0</v>
      </c>
      <c r="Y43">
        <f ca="1"/>
        <v>0.99808465797299628</v>
      </c>
      <c r="Z43">
        <f ca="1"/>
        <v>0</v>
      </c>
      <c r="AA43">
        <f ca="1"/>
        <v>0</v>
      </c>
      <c r="AB43">
        <f ca="1"/>
        <v>0.78872361109410027</v>
      </c>
      <c r="AD43" s="2">
        <f t="shared" ca="1" si="2"/>
        <v>45400</v>
      </c>
      <c r="AE43">
        <f t="shared" ca="1" si="3"/>
        <v>0</v>
      </c>
      <c r="AG43" s="63">
        <f t="shared" ca="1" si="7"/>
        <v>135.08166958082606</v>
      </c>
      <c r="AH43" s="63">
        <f t="shared" ca="1" si="8"/>
        <v>135.08166958082606</v>
      </c>
      <c r="AI43" s="3">
        <f t="shared" ca="1" si="9"/>
        <v>0</v>
      </c>
    </row>
    <row r="44" spans="1:35">
      <c r="A44" s="6" t="s">
        <v>131</v>
      </c>
      <c r="B44" s="34">
        <f ca="1">FollowingEstablishDate</f>
        <v>45518</v>
      </c>
      <c r="G44" s="3">
        <f t="shared" ca="1" si="4"/>
        <v>65</v>
      </c>
      <c r="H44" s="95">
        <f t="shared" ca="1" si="6"/>
        <v>45355</v>
      </c>
      <c r="I44" s="119">
        <f ca="1">HLOOKUP($H$4,'Met Data'!$A$2:$F$368,G44,FALSE)</f>
        <v>17.05</v>
      </c>
      <c r="J44" s="119">
        <f ca="1">HLOOKUP($H$4,'Met Data'!$H$2:$M$368,G44,FALSE)*L44</f>
        <v>3.5</v>
      </c>
      <c r="K44" s="96">
        <f ca="1">HLOOKUP($H$4,'Met Data'!$O$2:$T$368,G44,FALSE)</f>
        <v>3.0856400612975601</v>
      </c>
      <c r="L44">
        <f t="shared" ca="1" si="0"/>
        <v>1</v>
      </c>
      <c r="N44" t="b">
        <f t="shared" ca="1" si="5"/>
        <v>1</v>
      </c>
      <c r="O44" t="b">
        <f t="array" aca="1" ref="O44" ca="1">AND(IF(P44&gt;($P$2-1),TRUE,FALSE),IF(P44&lt;($P$3+1),TRUE,FALSE))</f>
        <v>1</v>
      </c>
      <c r="P44" s="2">
        <f ca="1"/>
        <v>45401</v>
      </c>
      <c r="Q44">
        <f ca="1"/>
        <v>134.44649625119717</v>
      </c>
      <c r="R44">
        <f ca="1"/>
        <v>0.82174348112814144</v>
      </c>
      <c r="S44">
        <f ca="1"/>
        <v>9.7941668248751057E-2</v>
      </c>
      <c r="T44">
        <f ca="1"/>
        <v>0.80639077263543535</v>
      </c>
      <c r="U44">
        <f ca="1"/>
        <v>0</v>
      </c>
      <c r="V44">
        <f ca="1"/>
        <v>20.714794236350944</v>
      </c>
      <c r="W44">
        <f ca="1"/>
        <v>5.2687628818544798</v>
      </c>
      <c r="X44">
        <f ca="1"/>
        <v>0</v>
      </c>
      <c r="Y44">
        <f ca="1"/>
        <v>0.98815509170295524</v>
      </c>
      <c r="Z44">
        <f ca="1"/>
        <v>0</v>
      </c>
      <c r="AA44">
        <f ca="1"/>
        <v>0</v>
      </c>
      <c r="AB44">
        <f ca="1"/>
        <v>0.82966298385733139</v>
      </c>
      <c r="AD44" s="2">
        <f t="shared" ca="1" si="2"/>
        <v>45401</v>
      </c>
      <c r="AE44">
        <f t="shared" ca="1" si="3"/>
        <v>0</v>
      </c>
      <c r="AG44" s="63">
        <f t="shared" ca="1" si="7"/>
        <v>135.26823973232533</v>
      </c>
      <c r="AH44" s="63">
        <f t="shared" ca="1" si="8"/>
        <v>135.26823973232533</v>
      </c>
      <c r="AI44" s="3">
        <f t="shared" ca="1" si="9"/>
        <v>0</v>
      </c>
    </row>
    <row r="45" spans="1:35">
      <c r="A45" s="6" t="s">
        <v>132</v>
      </c>
      <c r="B45" s="32" t="str">
        <f>FollowingEstablishStage</f>
        <v>Seedling</v>
      </c>
      <c r="G45" s="3">
        <f t="shared" ca="1" si="4"/>
        <v>66</v>
      </c>
      <c r="H45" s="95">
        <f t="shared" ca="1" si="6"/>
        <v>45356</v>
      </c>
      <c r="I45" s="119">
        <f ca="1">HLOOKUP($H$4,'Met Data'!$A$2:$F$368,G45,FALSE)</f>
        <v>16.5625</v>
      </c>
      <c r="J45" s="119">
        <f ca="1">HLOOKUP($H$4,'Met Data'!$H$2:$M$368,G45,FALSE)*L45</f>
        <v>1.9166666666666601</v>
      </c>
      <c r="K45" s="96">
        <f ca="1">HLOOKUP($H$4,'Met Data'!$O$2:$T$368,G45,FALSE)</f>
        <v>2.4477007585282702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45402</v>
      </c>
      <c r="Q45">
        <f ca="1"/>
        <v>134.48492654513177</v>
      </c>
      <c r="R45">
        <f ca="1"/>
        <v>0.85307458469052833</v>
      </c>
      <c r="S45">
        <f ca="1"/>
        <v>8.59689999588511E-2</v>
      </c>
      <c r="T45">
        <f ca="1"/>
        <v>0.80553587866625975</v>
      </c>
      <c r="U45">
        <f ca="1"/>
        <v>0</v>
      </c>
      <c r="V45">
        <f ca="1"/>
        <v>21.567868821041472</v>
      </c>
      <c r="W45">
        <f ca="1"/>
        <v>5.4857405479605497</v>
      </c>
      <c r="X45">
        <f ca="1"/>
        <v>0</v>
      </c>
      <c r="Y45">
        <f ca="1"/>
        <v>0.99872050175754468</v>
      </c>
      <c r="Z45">
        <f ca="1"/>
        <v>0</v>
      </c>
      <c r="AA45">
        <f ca="1"/>
        <v>0</v>
      </c>
      <c r="AB45">
        <f ca="1"/>
        <v>0.86400962650755686</v>
      </c>
      <c r="AD45" s="2">
        <f t="shared" ca="1" si="2"/>
        <v>45402</v>
      </c>
      <c r="AE45">
        <f t="shared" ca="1" si="3"/>
        <v>0</v>
      </c>
      <c r="AG45" s="63">
        <f t="shared" ca="1" si="7"/>
        <v>135.33800112982229</v>
      </c>
      <c r="AH45" s="63">
        <f t="shared" ca="1" si="8"/>
        <v>135.33800112982229</v>
      </c>
      <c r="AI45" s="3">
        <f t="shared" ca="1" si="9"/>
        <v>0</v>
      </c>
    </row>
    <row r="46" spans="1:35">
      <c r="A46" s="6" t="s">
        <v>133</v>
      </c>
      <c r="B46" s="34">
        <f ca="1">FollowingHarvestDate</f>
        <v>45638</v>
      </c>
      <c r="G46" s="3">
        <f t="shared" ca="1" si="4"/>
        <v>67</v>
      </c>
      <c r="H46" s="95">
        <f t="shared" ca="1" si="6"/>
        <v>45357</v>
      </c>
      <c r="I46" s="119">
        <f ca="1">HLOOKUP($H$4,'Met Data'!$A$2:$F$368,G46,FALSE)</f>
        <v>16.349999999999898</v>
      </c>
      <c r="J46" s="119">
        <f ca="1">HLOOKUP($H$4,'Met Data'!$H$2:$M$368,G46,FALSE)*L46</f>
        <v>5.4</v>
      </c>
      <c r="K46" s="96">
        <f ca="1">HLOOKUP($H$4,'Met Data'!$O$2:$T$368,G46,FALSE)</f>
        <v>3.2051572713162999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45403</v>
      </c>
      <c r="Q46">
        <f ca="1"/>
        <v>134.47317029593395</v>
      </c>
      <c r="R46">
        <f ca="1"/>
        <v>0.84327563935204708</v>
      </c>
      <c r="S46">
        <f ca="1"/>
        <v>7.1603970163977237E-2</v>
      </c>
      <c r="T46">
        <f ca="1"/>
        <v>0.75991541999026357</v>
      </c>
      <c r="U46">
        <f ca="1"/>
        <v>0</v>
      </c>
      <c r="V46">
        <f ca="1"/>
        <v>22.411144460393519</v>
      </c>
      <c r="W46">
        <f ca="1"/>
        <v>5.7002258736218305</v>
      </c>
      <c r="X46">
        <f ca="1"/>
        <v>0</v>
      </c>
      <c r="Y46">
        <f ca="1"/>
        <v>0.98227065614650522</v>
      </c>
      <c r="Z46">
        <f ca="1"/>
        <v>0</v>
      </c>
      <c r="AA46">
        <f ca="1"/>
        <v>0</v>
      </c>
      <c r="AB46">
        <f ca="1"/>
        <v>0.89110856137274452</v>
      </c>
      <c r="AD46" s="2">
        <f t="shared" ca="1" si="2"/>
        <v>45403</v>
      </c>
      <c r="AE46">
        <f t="shared" ca="1" si="3"/>
        <v>0</v>
      </c>
      <c r="AG46" s="63">
        <f t="shared" ca="1" si="7"/>
        <v>135.316445935286</v>
      </c>
      <c r="AH46" s="63">
        <f t="shared" ca="1" si="8"/>
        <v>135.316445935286</v>
      </c>
      <c r="AI46" s="3">
        <f t="shared" ca="1" si="9"/>
        <v>0</v>
      </c>
    </row>
    <row r="47" spans="1:35">
      <c r="A47" s="6" t="s">
        <v>134</v>
      </c>
      <c r="B47" s="32" t="str">
        <f>FollowingHarvestStage</f>
        <v>EarlyReproductive</v>
      </c>
      <c r="G47" s="3">
        <f t="shared" ca="1" si="4"/>
        <v>68</v>
      </c>
      <c r="H47" s="95">
        <f t="shared" ca="1" si="6"/>
        <v>45358</v>
      </c>
      <c r="I47" s="119">
        <f ca="1">HLOOKUP($H$4,'Met Data'!$A$2:$F$368,G47,FALSE)</f>
        <v>16.404166666666601</v>
      </c>
      <c r="J47" s="119">
        <f ca="1">HLOOKUP($H$4,'Met Data'!$H$2:$M$368,G47,FALSE)*L47</f>
        <v>1.7666666666666599</v>
      </c>
      <c r="K47" s="96">
        <f ca="1">HLOOKUP($H$4,'Met Data'!$O$2:$T$368,G47,FALSE)</f>
        <v>3.3473688975414899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45404</v>
      </c>
      <c r="Q47">
        <f ca="1"/>
        <v>134.42061881122822</v>
      </c>
      <c r="R47">
        <f ca="1"/>
        <v>0.89503729407453747</v>
      </c>
      <c r="S47">
        <f ca="1"/>
        <v>6.4927302125369124E-2</v>
      </c>
      <c r="T47">
        <f ca="1"/>
        <v>0.77755850724345055</v>
      </c>
      <c r="U47">
        <f ca="1"/>
        <v>0</v>
      </c>
      <c r="V47">
        <f ca="1"/>
        <v>23.306181754468057</v>
      </c>
      <c r="W47">
        <f ca="1"/>
        <v>5.9278766636364413</v>
      </c>
      <c r="X47">
        <f ca="1"/>
        <v>0</v>
      </c>
      <c r="Y47">
        <f ca="1"/>
        <v>0.95702413421729216</v>
      </c>
      <c r="Z47">
        <f ca="1"/>
        <v>0</v>
      </c>
      <c r="AA47">
        <f ca="1"/>
        <v>0</v>
      </c>
      <c r="AB47">
        <f ca="1"/>
        <v>0.91381447349346467</v>
      </c>
      <c r="AD47" s="2">
        <f t="shared" ca="1" si="2"/>
        <v>45404</v>
      </c>
      <c r="AE47">
        <f t="shared" ca="1" si="3"/>
        <v>0</v>
      </c>
      <c r="AG47" s="63">
        <f t="shared" ca="1" si="7"/>
        <v>135.31565610530276</v>
      </c>
      <c r="AH47" s="63">
        <f t="shared" ca="1" si="8"/>
        <v>135.31565610530276</v>
      </c>
      <c r="AI47" s="3">
        <f t="shared" ca="1" si="9"/>
        <v>0</v>
      </c>
    </row>
    <row r="48" spans="1:35" ht="15.75" thickBot="1">
      <c r="A48" s="7" t="s">
        <v>166</v>
      </c>
      <c r="B48" s="33" t="str">
        <f>FollowingResidueRemoval</f>
        <v>None removed</v>
      </c>
      <c r="G48" s="3">
        <f t="shared" ca="1" si="4"/>
        <v>69</v>
      </c>
      <c r="H48" s="95">
        <f t="shared" ca="1" si="6"/>
        <v>45359</v>
      </c>
      <c r="I48" s="119">
        <f ca="1">HLOOKUP($H$4,'Met Data'!$A$2:$F$368,G48,FALSE)</f>
        <v>16.174999999999901</v>
      </c>
      <c r="J48" s="119">
        <f ca="1">HLOOKUP($H$4,'Met Data'!$H$2:$M$368,G48,FALSE)*L48</f>
        <v>0.54999999999999905</v>
      </c>
      <c r="K48" s="96">
        <f ca="1">HLOOKUP($H$4,'Met Data'!$O$2:$T$368,G48,FALSE)</f>
        <v>3.3552920602916099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45405</v>
      </c>
      <c r="Q48">
        <f ca="1"/>
        <v>134.33572225136604</v>
      </c>
      <c r="R48">
        <f ca="1"/>
        <v>0.99039490535446717</v>
      </c>
      <c r="S48">
        <f ca="1"/>
        <v>6.2116826867239183E-2</v>
      </c>
      <c r="T48">
        <f ca="1"/>
        <v>0.84338151862504818</v>
      </c>
      <c r="U48">
        <f ca="1"/>
        <v>0</v>
      </c>
      <c r="V48">
        <f ca="1"/>
        <v>24.296576659822524</v>
      </c>
      <c r="W48">
        <f ca="1"/>
        <v>6.1797814547809473</v>
      </c>
      <c r="X48">
        <f ca="1"/>
        <v>0</v>
      </c>
      <c r="Y48">
        <f ca="1"/>
        <v>0.97484668180332623</v>
      </c>
      <c r="Z48">
        <f ca="1"/>
        <v>0</v>
      </c>
      <c r="AA48">
        <f ca="1"/>
        <v>0</v>
      </c>
      <c r="AB48">
        <f ca="1"/>
        <v>0.93320809376687219</v>
      </c>
      <c r="AD48" s="2">
        <f t="shared" ca="1" si="2"/>
        <v>45405</v>
      </c>
      <c r="AE48">
        <f t="shared" ca="1" si="3"/>
        <v>0</v>
      </c>
      <c r="AG48" s="63">
        <f t="shared" ca="1" si="7"/>
        <v>135.3261171567205</v>
      </c>
      <c r="AH48" s="63">
        <f t="shared" ca="1" si="8"/>
        <v>135.3261171567205</v>
      </c>
      <c r="AI48" s="3">
        <f t="shared" ca="1" si="9"/>
        <v>0</v>
      </c>
    </row>
    <row r="49" spans="1:35">
      <c r="A49" s="6" t="s">
        <v>169</v>
      </c>
      <c r="B49" t="str">
        <f>FollowingResidueIncorporation</f>
        <v>Full (Plough)</v>
      </c>
      <c r="G49" s="3">
        <f t="shared" ca="1" si="4"/>
        <v>70</v>
      </c>
      <c r="H49" s="95">
        <f t="shared" ca="1" si="6"/>
        <v>45360</v>
      </c>
      <c r="I49" s="119">
        <f ca="1">HLOOKUP($H$4,'Met Data'!$A$2:$F$368,G49,FALSE)</f>
        <v>16.625</v>
      </c>
      <c r="J49" s="119">
        <f ca="1">HLOOKUP($H$4,'Met Data'!$H$2:$M$368,G49,FALSE)*L49</f>
        <v>2.0666666666666602</v>
      </c>
      <c r="K49" s="96">
        <f ca="1">HLOOKUP($H$4,'Met Data'!$O$2:$T$368,G49,FALSE)</f>
        <v>3.2920876744510998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45406</v>
      </c>
      <c r="Q49">
        <f ca="1"/>
        <v>130.02600664693449</v>
      </c>
      <c r="R49">
        <f ca="1"/>
        <v>1.0011462064725443</v>
      </c>
      <c r="S49">
        <f ca="1"/>
        <v>5.2920936382093942E-2</v>
      </c>
      <c r="T49">
        <f ca="1"/>
        <v>0.815257032678117</v>
      </c>
      <c r="U49">
        <f ca="1"/>
        <v>0</v>
      </c>
      <c r="V49">
        <f ca="1"/>
        <v>25.297722866295068</v>
      </c>
      <c r="W49">
        <f ca="1"/>
        <v>6.4344208159924428</v>
      </c>
      <c r="X49">
        <f ca="1"/>
        <v>4.1767473670191979</v>
      </c>
      <c r="Y49">
        <f ca="1"/>
        <v>1</v>
      </c>
      <c r="Z49">
        <f ca="1"/>
        <v>4.5647620736824379</v>
      </c>
      <c r="AA49">
        <f ca="1"/>
        <v>0</v>
      </c>
      <c r="AB49">
        <f ca="1"/>
        <v>0.94811484324941675</v>
      </c>
      <c r="AD49" s="2">
        <f t="shared" ca="1" si="2"/>
        <v>45406</v>
      </c>
      <c r="AE49">
        <f t="shared" ca="1" si="3"/>
        <v>0</v>
      </c>
      <c r="AG49" s="63">
        <f t="shared" ca="1" si="7"/>
        <v>135.20390022042625</v>
      </c>
      <c r="AH49" s="63">
        <f t="shared" ca="1" si="8"/>
        <v>135.20390022042625</v>
      </c>
      <c r="AI49" s="3">
        <f t="shared" ca="1" si="9"/>
        <v>0</v>
      </c>
    </row>
    <row r="50" spans="1:35">
      <c r="A50" s="12"/>
      <c r="B50" s="13"/>
      <c r="G50" s="3">
        <f t="shared" ca="1" si="4"/>
        <v>71</v>
      </c>
      <c r="H50" s="95">
        <f t="shared" ca="1" si="6"/>
        <v>45361</v>
      </c>
      <c r="I50" s="119">
        <f ca="1">HLOOKUP($H$4,'Met Data'!$A$2:$F$368,G50,FALSE)</f>
        <v>16.266666666666602</v>
      </c>
      <c r="J50" s="119">
        <f ca="1">HLOOKUP($H$4,'Met Data'!$H$2:$M$368,G50,FALSE)*L50</f>
        <v>3.44999999999999</v>
      </c>
      <c r="K50" s="96">
        <f ca="1">HLOOKUP($H$4,'Met Data'!$O$2:$T$368,G50,FALSE)</f>
        <v>2.5592177640993499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45407</v>
      </c>
      <c r="Q50">
        <f ca="1"/>
        <v>129.84933754365281</v>
      </c>
      <c r="R50">
        <f ca="1"/>
        <v>1.0044341247027475</v>
      </c>
      <c r="S50">
        <f ca="1"/>
        <v>4.5102676666431307E-2</v>
      </c>
      <c r="T50">
        <f ca="1"/>
        <v>0.78266234475464058</v>
      </c>
      <c r="U50">
        <f ca="1"/>
        <v>0</v>
      </c>
      <c r="V50">
        <f ca="1"/>
        <v>26.302156990997815</v>
      </c>
      <c r="W50">
        <f ca="1"/>
        <v>6.6898964520581412</v>
      </c>
      <c r="X50">
        <f ca="1"/>
        <v>0</v>
      </c>
      <c r="Y50">
        <f ca="1"/>
        <v>0.98524940255229887</v>
      </c>
      <c r="Z50">
        <f ca="1"/>
        <v>0</v>
      </c>
      <c r="AA50">
        <f ca="1"/>
        <v>0</v>
      </c>
      <c r="AB50">
        <f ca="1"/>
        <v>0.95949255496942609</v>
      </c>
      <c r="AD50" s="2">
        <f t="shared" ca="1" si="2"/>
        <v>45407</v>
      </c>
      <c r="AE50">
        <f t="shared" ca="1" si="3"/>
        <v>0</v>
      </c>
      <c r="AG50" s="63">
        <f t="shared" ca="1" si="7"/>
        <v>130.85377166835556</v>
      </c>
      <c r="AH50" s="63">
        <f t="shared" ca="1" si="8"/>
        <v>130.85377166835556</v>
      </c>
      <c r="AI50" s="3">
        <f t="shared" ca="1" si="9"/>
        <v>0</v>
      </c>
    </row>
    <row r="51" spans="1:35" ht="15.75" thickBot="1">
      <c r="A51" s="14"/>
      <c r="B51" s="15"/>
      <c r="G51" s="3">
        <f t="shared" ca="1" si="4"/>
        <v>72</v>
      </c>
      <c r="H51" s="95">
        <f t="shared" ca="1" si="6"/>
        <v>45362</v>
      </c>
      <c r="I51" s="119">
        <f ca="1">HLOOKUP($H$4,'Met Data'!$A$2:$F$368,G51,FALSE)</f>
        <v>16.404166666666601</v>
      </c>
      <c r="J51" s="119">
        <f ca="1">HLOOKUP($H$4,'Met Data'!$H$2:$M$368,G51,FALSE)*L51</f>
        <v>1.5833333333333299</v>
      </c>
      <c r="K51" s="96">
        <f ca="1">HLOOKUP($H$4,'Met Data'!$O$2:$T$368,G51,FALSE)</f>
        <v>2.85115032224514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45408</v>
      </c>
      <c r="Q51">
        <f ca="1"/>
        <v>127.63700218536965</v>
      </c>
      <c r="R51">
        <f ca="1"/>
        <v>1.107561217883049</v>
      </c>
      <c r="S51">
        <f ca="1"/>
        <v>4.3142568824478644E-2</v>
      </c>
      <c r="T51">
        <f ca="1"/>
        <v>0.84223690388260275</v>
      </c>
      <c r="U51">
        <f ca="1"/>
        <v>0</v>
      </c>
      <c r="V51">
        <f ca="1"/>
        <v>27.409718208880864</v>
      </c>
      <c r="W51">
        <f ca="1"/>
        <v>6.9716022400849171</v>
      </c>
      <c r="X51">
        <f ca="1"/>
        <v>1.9901536131071915</v>
      </c>
      <c r="Y51">
        <f ca="1"/>
        <v>1</v>
      </c>
      <c r="Z51">
        <f ca="1"/>
        <v>2.2157469861639356</v>
      </c>
      <c r="AA51">
        <f ca="1"/>
        <v>0</v>
      </c>
      <c r="AB51">
        <f ca="1"/>
        <v>0.96894766312236291</v>
      </c>
      <c r="AD51" s="2">
        <f t="shared" ca="1" si="2"/>
        <v>45408</v>
      </c>
      <c r="AE51">
        <f t="shared" ca="1" si="3"/>
        <v>0</v>
      </c>
      <c r="AG51" s="63">
        <f t="shared" ca="1" si="7"/>
        <v>130.73471701635989</v>
      </c>
      <c r="AH51" s="63">
        <f t="shared" ca="1" si="8"/>
        <v>130.73471701635989</v>
      </c>
      <c r="AI51" s="3">
        <f t="shared" ca="1" si="9"/>
        <v>0</v>
      </c>
    </row>
    <row r="52" spans="1:35">
      <c r="G52" s="3">
        <f t="shared" ca="1" si="4"/>
        <v>73</v>
      </c>
      <c r="H52" s="95">
        <f t="shared" ca="1" si="6"/>
        <v>45363</v>
      </c>
      <c r="I52" s="119">
        <f ca="1">HLOOKUP($H$4,'Met Data'!$A$2:$F$368,G52,FALSE)</f>
        <v>15.324999999999999</v>
      </c>
      <c r="J52" s="119">
        <f ca="1">HLOOKUP($H$4,'Met Data'!$H$2:$M$368,G52,FALSE)*L52</f>
        <v>1.38333333333333</v>
      </c>
      <c r="K52" s="96">
        <f ca="1">HLOOKUP($H$4,'Met Data'!$O$2:$T$368,G52,FALSE)</f>
        <v>2.7545575054438101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45409</v>
      </c>
      <c r="Q52">
        <f ca="1"/>
        <v>123.65348274465211</v>
      </c>
      <c r="R52">
        <f ca="1"/>
        <v>1.0957283605821537</v>
      </c>
      <c r="S52">
        <f ca="1"/>
        <v>3.6258948924839274E-2</v>
      </c>
      <c r="T52">
        <f ca="1"/>
        <v>0.79424140011438127</v>
      </c>
      <c r="U52">
        <f ca="1"/>
        <v>0</v>
      </c>
      <c r="V52">
        <f ca="1"/>
        <v>28.505446569463018</v>
      </c>
      <c r="W52">
        <f ca="1"/>
        <v>7.2502983665808118</v>
      </c>
      <c r="X52">
        <f ca="1"/>
        <v>3.7182914291746187</v>
      </c>
      <c r="Y52">
        <f ca="1"/>
        <v>1</v>
      </c>
      <c r="Z52">
        <f ca="1"/>
        <v>4.2731411223713067</v>
      </c>
      <c r="AA52">
        <f ca="1"/>
        <v>0</v>
      </c>
      <c r="AB52">
        <f ca="1"/>
        <v>0.9759483706470603</v>
      </c>
      <c r="AD52" s="2">
        <f t="shared" ca="1" si="2"/>
        <v>45409</v>
      </c>
      <c r="AE52">
        <f t="shared" ca="1" si="3"/>
        <v>0</v>
      </c>
      <c r="AG52" s="63">
        <f t="shared" ca="1" si="7"/>
        <v>128.46750253440888</v>
      </c>
      <c r="AH52" s="63">
        <f t="shared" ca="1" si="8"/>
        <v>128.46750253440888</v>
      </c>
      <c r="AI52" s="3">
        <f t="shared" ca="1" si="9"/>
        <v>0</v>
      </c>
    </row>
    <row r="53" spans="1:35">
      <c r="G53" s="3">
        <f t="shared" ca="1" si="4"/>
        <v>74</v>
      </c>
      <c r="H53" s="95">
        <f t="shared" ca="1" si="6"/>
        <v>45364</v>
      </c>
      <c r="I53" s="119">
        <f ca="1">HLOOKUP($H$4,'Met Data'!$A$2:$F$368,G53,FALSE)</f>
        <v>15.8333333333333</v>
      </c>
      <c r="J53" s="119">
        <f ca="1">HLOOKUP($H$4,'Met Data'!$H$2:$M$368,G53,FALSE)*L53</f>
        <v>0.483333333333333</v>
      </c>
      <c r="K53" s="96">
        <f ca="1">HLOOKUP($H$4,'Met Data'!$O$2:$T$368,G53,FALSE)</f>
        <v>2.9925841251346701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45410</v>
      </c>
      <c r="Q53">
        <f ca="1"/>
        <v>120.65124839119919</v>
      </c>
      <c r="R53">
        <f ca="1"/>
        <v>1.1139225115228655</v>
      </c>
      <c r="S53">
        <f ca="1"/>
        <v>3.18462635291894E-2</v>
      </c>
      <c r="T53">
        <f ca="1"/>
        <v>0.77596216635548898</v>
      </c>
      <c r="U53">
        <f ca="1"/>
        <v>0</v>
      </c>
      <c r="V53">
        <f ca="1"/>
        <v>29.619369080985884</v>
      </c>
      <c r="W53">
        <f ca="1"/>
        <v>7.5336221358159756</v>
      </c>
      <c r="X53">
        <f ca="1"/>
        <v>2.696120271814737</v>
      </c>
      <c r="Y53">
        <f ca="1"/>
        <v>1</v>
      </c>
      <c r="Z53">
        <f ca="1"/>
        <v>3.1755401277680875</v>
      </c>
      <c r="AA53">
        <f ca="1"/>
        <v>0</v>
      </c>
      <c r="AB53">
        <f ca="1"/>
        <v>0.98130855701415798</v>
      </c>
      <c r="AD53" s="2">
        <f t="shared" ca="1" si="2"/>
        <v>45410</v>
      </c>
      <c r="AE53">
        <f t="shared" ca="1" si="3"/>
        <v>0</v>
      </c>
      <c r="AG53" s="63">
        <f t="shared" ca="1" si="7"/>
        <v>124.46129117453678</v>
      </c>
      <c r="AH53" s="63">
        <f t="shared" ca="1" si="8"/>
        <v>124.46129117453678</v>
      </c>
      <c r="AI53" s="3">
        <f t="shared" ca="1" si="9"/>
        <v>0</v>
      </c>
    </row>
    <row r="54" spans="1:35">
      <c r="G54" s="3">
        <f t="shared" ca="1" si="4"/>
        <v>75</v>
      </c>
      <c r="H54" s="95">
        <f t="shared" ca="1" si="6"/>
        <v>45365</v>
      </c>
      <c r="I54" s="119">
        <f ca="1">HLOOKUP($H$4,'Met Data'!$A$2:$F$368,G54,FALSE)</f>
        <v>16.966666666666601</v>
      </c>
      <c r="J54" s="119">
        <f ca="1">HLOOKUP($H$4,'Met Data'!$H$2:$M$368,G54,FALSE)*L54</f>
        <v>0.31666666666666599</v>
      </c>
      <c r="K54" s="96">
        <f ca="1">HLOOKUP($H$4,'Met Data'!$O$2:$T$368,G54,FALSE)</f>
        <v>2.9125814341448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45411</v>
      </c>
      <c r="Q54">
        <f ca="1"/>
        <v>117.17423197585674</v>
      </c>
      <c r="R54">
        <f ca="1"/>
        <v>1.137724518086312</v>
      </c>
      <c r="S54">
        <f ca="1"/>
        <v>2.8338219274743892E-2</v>
      </c>
      <c r="T54">
        <f ca="1"/>
        <v>0.76321858095010719</v>
      </c>
      <c r="U54">
        <f ca="1"/>
        <v>0</v>
      </c>
      <c r="V54">
        <f ca="1"/>
        <v>30.757093599072196</v>
      </c>
      <c r="W54">
        <f ca="1"/>
        <v>7.8229998936770606</v>
      </c>
      <c r="X54">
        <f ca="1"/>
        <v>3.1308486974809924</v>
      </c>
      <c r="Y54">
        <f ca="1"/>
        <v>1</v>
      </c>
      <c r="Z54">
        <f ca="1"/>
        <v>3.7969958971419615</v>
      </c>
      <c r="AA54">
        <f ca="1"/>
        <v>0</v>
      </c>
      <c r="AB54">
        <f ca="1"/>
        <v>0.98544081517728255</v>
      </c>
      <c r="AD54" s="2">
        <f t="shared" ca="1" si="2"/>
        <v>45411</v>
      </c>
      <c r="AE54">
        <f t="shared" ca="1" si="3"/>
        <v>0</v>
      </c>
      <c r="AG54" s="63">
        <f t="shared" ca="1" si="7"/>
        <v>121.44280519142404</v>
      </c>
      <c r="AH54" s="63">
        <f t="shared" ca="1" si="8"/>
        <v>121.44280519142404</v>
      </c>
      <c r="AI54" s="3">
        <f t="shared" ca="1" si="9"/>
        <v>0</v>
      </c>
    </row>
    <row r="55" spans="1:35">
      <c r="G55" s="3">
        <f t="shared" ca="1" si="4"/>
        <v>76</v>
      </c>
      <c r="H55" s="95">
        <f t="shared" ca="1" si="6"/>
        <v>45366</v>
      </c>
      <c r="I55" s="119">
        <f ca="1">HLOOKUP($H$4,'Met Data'!$A$2:$F$368,G55,FALSE)</f>
        <v>17.766666666666602</v>
      </c>
      <c r="J55" s="119">
        <f ca="1">HLOOKUP($H$4,'Met Data'!$H$2:$M$368,G55,FALSE)*L55</f>
        <v>2.25</v>
      </c>
      <c r="K55" s="96">
        <f ca="1">HLOOKUP($H$4,'Met Data'!$O$2:$T$368,G55,FALSE)</f>
        <v>2.3685635659939601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45412</v>
      </c>
      <c r="Q55">
        <f ca="1"/>
        <v>116.8250697976394</v>
      </c>
      <c r="R55">
        <f ca="1"/>
        <v>1.0233869566693699</v>
      </c>
      <c r="S55">
        <f ca="1"/>
        <v>2.2167849737215306E-2</v>
      </c>
      <c r="T55">
        <f ca="1"/>
        <v>0.65205692871480803</v>
      </c>
      <c r="U55">
        <f ca="1"/>
        <v>0</v>
      </c>
      <c r="V55">
        <f ca="1"/>
        <v>31.780480555741565</v>
      </c>
      <c r="W55">
        <f ca="1"/>
        <v>8.08329614135166</v>
      </c>
      <c r="X55">
        <f ca="1"/>
        <v>0</v>
      </c>
      <c r="Y55">
        <f ca="1"/>
        <v>0.97354852714932549</v>
      </c>
      <c r="Z55">
        <f ca="1"/>
        <v>0</v>
      </c>
      <c r="AA55">
        <f ca="1"/>
        <v>0</v>
      </c>
      <c r="AB55">
        <f ca="1"/>
        <v>0.98829656309712866</v>
      </c>
      <c r="AD55" s="2">
        <f t="shared" ca="1" si="2"/>
        <v>45412</v>
      </c>
      <c r="AE55">
        <f t="shared" ca="1" si="3"/>
        <v>0</v>
      </c>
      <c r="AG55" s="63">
        <f t="shared" ca="1" si="7"/>
        <v>117.84845675430877</v>
      </c>
      <c r="AH55" s="63">
        <f t="shared" ca="1" si="8"/>
        <v>117.84845675430877</v>
      </c>
      <c r="AI55" s="3">
        <f t="shared" ca="1" si="9"/>
        <v>0</v>
      </c>
    </row>
    <row r="56" spans="1:35">
      <c r="G56" s="3">
        <f t="shared" ca="1" si="4"/>
        <v>77</v>
      </c>
      <c r="H56" s="95">
        <f t="shared" ca="1" si="6"/>
        <v>45367</v>
      </c>
      <c r="I56" s="119">
        <f ca="1">HLOOKUP($H$4,'Met Data'!$A$2:$F$368,G56,FALSE)</f>
        <v>16.100000000000001</v>
      </c>
      <c r="J56" s="119">
        <f ca="1">HLOOKUP($H$4,'Met Data'!$H$2:$M$368,G56,FALSE)*L56</f>
        <v>1.4</v>
      </c>
      <c r="K56" s="96">
        <f ca="1">HLOOKUP($H$4,'Met Data'!$O$2:$T$368,G56,FALSE)</f>
        <v>2.7759280674014901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45413</v>
      </c>
      <c r="Q56">
        <f ca="1"/>
        <v>116.43456281820741</v>
      </c>
      <c r="R56">
        <f ca="1"/>
        <v>1.0519028633948544</v>
      </c>
      <c r="S56">
        <f ca="1"/>
        <v>2.0188795715000651E-2</v>
      </c>
      <c r="T56">
        <f ca="1"/>
        <v>0.64120708824787287</v>
      </c>
      <c r="U56">
        <f ca="1"/>
        <v>0</v>
      </c>
      <c r="V56">
        <f ca="1"/>
        <v>32.83238341913642</v>
      </c>
      <c r="W56">
        <f ca="1"/>
        <v>8.350845347910786</v>
      </c>
      <c r="X56">
        <f ca="1"/>
        <v>0</v>
      </c>
      <c r="Y56">
        <f ca="1"/>
        <v>0.94925362423068682</v>
      </c>
      <c r="Z56">
        <f ca="1"/>
        <v>0</v>
      </c>
      <c r="AA56">
        <f ca="1"/>
        <v>0</v>
      </c>
      <c r="AB56">
        <f ca="1"/>
        <v>0.99059244887330256</v>
      </c>
      <c r="AD56" s="2">
        <f t="shared" ca="1" si="2"/>
        <v>45413</v>
      </c>
      <c r="AE56">
        <f t="shared" ca="1" si="3"/>
        <v>0</v>
      </c>
      <c r="AG56" s="63">
        <f t="shared" ca="1" si="7"/>
        <v>117.48646568160227</v>
      </c>
      <c r="AH56" s="63">
        <f t="shared" ca="1" si="8"/>
        <v>117.48646568160227</v>
      </c>
      <c r="AI56" s="3">
        <f t="shared" ca="1" si="9"/>
        <v>0</v>
      </c>
    </row>
    <row r="57" spans="1:35">
      <c r="G57" s="3">
        <f t="shared" ca="1" si="4"/>
        <v>78</v>
      </c>
      <c r="H57" s="95">
        <f t="shared" ca="1" si="6"/>
        <v>45368</v>
      </c>
      <c r="I57" s="119">
        <f ca="1">HLOOKUP($H$4,'Met Data'!$A$2:$F$368,G57,FALSE)</f>
        <v>15.379166666666601</v>
      </c>
      <c r="J57" s="119">
        <f ca="1">HLOOKUP($H$4,'Met Data'!$H$2:$M$368,G57,FALSE)*L57</f>
        <v>3.68333333333333</v>
      </c>
      <c r="K57" s="96">
        <f ca="1">HLOOKUP($H$4,'Met Data'!$O$2:$T$368,G57,FALSE)</f>
        <v>2.7162290778951999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45414</v>
      </c>
      <c r="Q57">
        <f ca="1"/>
        <v>115.98434662501785</v>
      </c>
      <c r="R57">
        <f ca="1"/>
        <v>1.1982371240835548</v>
      </c>
      <c r="S57">
        <f ca="1"/>
        <v>2.1189609334058446E-2</v>
      </c>
      <c r="T57">
        <f ca="1"/>
        <v>0.72683132155993702</v>
      </c>
      <c r="U57">
        <f ca="1"/>
        <v>0</v>
      </c>
      <c r="V57">
        <f ca="1"/>
        <v>34.030620543219975</v>
      </c>
      <c r="W57">
        <f ca="1"/>
        <v>8.6556143555581251</v>
      </c>
      <c r="X57">
        <f ca="1"/>
        <v>0</v>
      </c>
      <c r="Y57">
        <f ca="1"/>
        <v>0.96225162290586896</v>
      </c>
      <c r="Z57">
        <f ca="1"/>
        <v>0</v>
      </c>
      <c r="AA57">
        <f ca="1"/>
        <v>0</v>
      </c>
      <c r="AB57">
        <f ca="1"/>
        <v>0.9926116998831187</v>
      </c>
      <c r="AD57" s="2">
        <f t="shared" ca="1" si="2"/>
        <v>45414</v>
      </c>
      <c r="AE57">
        <f t="shared" ca="1" si="3"/>
        <v>0</v>
      </c>
      <c r="AG57" s="63">
        <f t="shared" ca="1" si="7"/>
        <v>117.18258374910141</v>
      </c>
      <c r="AH57" s="63">
        <f t="shared" ca="1" si="8"/>
        <v>117.18258374910141</v>
      </c>
      <c r="AI57" s="3">
        <f t="shared" ca="1" si="9"/>
        <v>0</v>
      </c>
    </row>
    <row r="58" spans="1:35">
      <c r="G58" s="3">
        <f t="shared" ca="1" si="4"/>
        <v>79</v>
      </c>
      <c r="H58" s="95">
        <f t="shared" ca="1" si="6"/>
        <v>45369</v>
      </c>
      <c r="I58" s="119">
        <f ca="1">HLOOKUP($H$4,'Met Data'!$A$2:$F$368,G58,FALSE)</f>
        <v>15.858333333333301</v>
      </c>
      <c r="J58" s="119">
        <f ca="1">HLOOKUP($H$4,'Met Data'!$H$2:$M$368,G58,FALSE)*L58</f>
        <v>0.85</v>
      </c>
      <c r="K58" s="96">
        <f ca="1">HLOOKUP($H$4,'Met Data'!$O$2:$T$368,G58,FALSE)</f>
        <v>2.8216063312721902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45415</v>
      </c>
      <c r="Q58">
        <f ca="1"/>
        <v>115.49135383707372</v>
      </c>
      <c r="R58">
        <f ca="1"/>
        <v>1.2427405763210686</v>
      </c>
      <c r="S58">
        <f ca="1"/>
        <v>1.9702441340484711E-2</v>
      </c>
      <c r="T58">
        <f ca="1"/>
        <v>0.73004534703644963</v>
      </c>
      <c r="U58">
        <f ca="1"/>
        <v>0</v>
      </c>
      <c r="V58">
        <f ca="1"/>
        <v>35.273361119541043</v>
      </c>
      <c r="W58">
        <f ca="1"/>
        <v>8.9717027195354397</v>
      </c>
      <c r="X58">
        <f ca="1"/>
        <v>0</v>
      </c>
      <c r="Y58">
        <f ca="1"/>
        <v>0.99625389999462188</v>
      </c>
      <c r="Z58">
        <f ca="1"/>
        <v>0</v>
      </c>
      <c r="AA58">
        <f ca="1"/>
        <v>0</v>
      </c>
      <c r="AB58">
        <f ca="1"/>
        <v>0.99420543855940979</v>
      </c>
      <c r="AD58" s="2">
        <f t="shared" ca="1" si="2"/>
        <v>45415</v>
      </c>
      <c r="AE58">
        <f t="shared" ca="1" si="3"/>
        <v>0</v>
      </c>
      <c r="AG58" s="63">
        <f t="shared" ca="1" si="7"/>
        <v>116.73409441339479</v>
      </c>
      <c r="AH58" s="63">
        <f t="shared" ca="1" si="8"/>
        <v>116.73409441339479</v>
      </c>
      <c r="AI58" s="3">
        <f t="shared" ca="1" si="9"/>
        <v>0</v>
      </c>
    </row>
    <row r="59" spans="1:35">
      <c r="A59" s="1"/>
      <c r="B59" s="1"/>
      <c r="G59" s="3">
        <f t="shared" ca="1" si="4"/>
        <v>80</v>
      </c>
      <c r="H59" s="95">
        <f t="shared" ca="1" si="6"/>
        <v>45370</v>
      </c>
      <c r="I59" s="119">
        <f ca="1">HLOOKUP($H$4,'Met Data'!$A$2:$F$368,G59,FALSE)</f>
        <v>16.216666666666601</v>
      </c>
      <c r="J59" s="119">
        <f ca="1">HLOOKUP($H$4,'Met Data'!$H$2:$M$368,G59,FALSE)*L59</f>
        <v>8.3333333333333301E-2</v>
      </c>
      <c r="K59" s="96">
        <f ca="1">HLOOKUP($H$4,'Met Data'!$O$2:$T$368,G59,FALSE)</f>
        <v>2.7500481593686201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45416</v>
      </c>
      <c r="Q59">
        <f ca="1"/>
        <v>112.29945651395576</v>
      </c>
      <c r="R59">
        <f ca="1"/>
        <v>1.3288970801370539</v>
      </c>
      <c r="S59">
        <f ca="1"/>
        <v>1.9049574264457192E-2</v>
      </c>
      <c r="T59">
        <f ca="1"/>
        <v>0.75964055324342528</v>
      </c>
      <c r="U59">
        <f ca="1"/>
        <v>0</v>
      </c>
      <c r="V59">
        <f ca="1"/>
        <v>36.602258199678097</v>
      </c>
      <c r="W59">
        <f ca="1"/>
        <v>9.3097048029616047</v>
      </c>
      <c r="X59">
        <f ca="1"/>
        <v>2.6416903704887842</v>
      </c>
      <c r="Y59">
        <f ca="1"/>
        <v>1</v>
      </c>
      <c r="Z59">
        <f ca="1"/>
        <v>3.3428310067852678</v>
      </c>
      <c r="AA59">
        <f ca="1"/>
        <v>0</v>
      </c>
      <c r="AB59">
        <f ca="1"/>
        <v>0.99549504184028115</v>
      </c>
      <c r="AD59" s="2">
        <f t="shared" ca="1" si="2"/>
        <v>45416</v>
      </c>
      <c r="AE59">
        <f t="shared" ca="1" si="3"/>
        <v>0</v>
      </c>
      <c r="AG59" s="63">
        <f t="shared" ca="1" si="7"/>
        <v>116.2700439645816</v>
      </c>
      <c r="AH59" s="63">
        <f t="shared" ca="1" si="8"/>
        <v>116.2700439645816</v>
      </c>
      <c r="AI59" s="3">
        <f t="shared" ca="1" si="9"/>
        <v>0</v>
      </c>
    </row>
    <row r="60" spans="1:35">
      <c r="G60" s="3">
        <f t="shared" ca="1" si="4"/>
        <v>81</v>
      </c>
      <c r="H60" s="95">
        <f t="shared" ca="1" si="6"/>
        <v>45371</v>
      </c>
      <c r="I60" s="119">
        <f ca="1">HLOOKUP($H$4,'Met Data'!$A$2:$F$368,G60,FALSE)</f>
        <v>16.483333333333299</v>
      </c>
      <c r="J60" s="119">
        <f ca="1">HLOOKUP($H$4,'Met Data'!$H$2:$M$368,G60,FALSE)*L60</f>
        <v>1.11666666666666</v>
      </c>
      <c r="K60" s="96">
        <f ca="1">HLOOKUP($H$4,'Met Data'!$O$2:$T$368,G60,FALSE)</f>
        <v>2.6292753041097501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45417</v>
      </c>
      <c r="Q60">
        <f ca="1"/>
        <v>110.88019807944752</v>
      </c>
      <c r="R60">
        <f ca="1"/>
        <v>1.3409971852747589</v>
      </c>
      <c r="S60">
        <f ca="1"/>
        <v>1.73025448335693E-2</v>
      </c>
      <c r="T60">
        <f ca="1"/>
        <v>0.73865886095745181</v>
      </c>
      <c r="U60">
        <f ca="1"/>
        <v>0</v>
      </c>
      <c r="V60">
        <f ca="1"/>
        <v>37.943255384952856</v>
      </c>
      <c r="W60">
        <f ca="1"/>
        <v>9.650784521824967</v>
      </c>
      <c r="X60">
        <f ca="1"/>
        <v>0.83422265502450799</v>
      </c>
      <c r="Y60">
        <f ca="1"/>
        <v>1</v>
      </c>
      <c r="Z60">
        <f ca="1"/>
        <v>1.0691487928222685</v>
      </c>
      <c r="AA60">
        <f ca="1"/>
        <v>0</v>
      </c>
      <c r="AB60">
        <f ca="1"/>
        <v>0.99647774719600313</v>
      </c>
      <c r="AD60" s="2">
        <f t="shared" ca="1" si="2"/>
        <v>45417</v>
      </c>
      <c r="AE60">
        <f t="shared" ca="1" si="3"/>
        <v>0</v>
      </c>
      <c r="AG60" s="63">
        <f t="shared" ca="1" si="7"/>
        <v>113.05541791974679</v>
      </c>
      <c r="AH60" s="63">
        <f t="shared" ca="1" si="8"/>
        <v>113.05541791974679</v>
      </c>
      <c r="AI60" s="3">
        <f t="shared" ca="1" si="9"/>
        <v>0</v>
      </c>
    </row>
    <row r="61" spans="1:35">
      <c r="G61" s="3">
        <f t="shared" ca="1" si="4"/>
        <v>82</v>
      </c>
      <c r="H61" s="95">
        <f t="shared" ca="1" si="6"/>
        <v>45372</v>
      </c>
      <c r="I61" s="119">
        <f ca="1">HLOOKUP($H$4,'Met Data'!$A$2:$F$368,G61,FALSE)</f>
        <v>16.6791666666666</v>
      </c>
      <c r="J61" s="119">
        <f ca="1">HLOOKUP($H$4,'Met Data'!$H$2:$M$368,G61,FALSE)*L61</f>
        <v>1.63333333333333</v>
      </c>
      <c r="K61" s="96">
        <f ca="1">HLOOKUP($H$4,'Met Data'!$O$2:$T$368,G61,FALSE)</f>
        <v>2.3413673129625598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45418</v>
      </c>
      <c r="Q61">
        <f ca="1"/>
        <v>107.17490886541387</v>
      </c>
      <c r="R61">
        <f ca="1"/>
        <v>1.3223210760670199</v>
      </c>
      <c r="S61">
        <f ca="1"/>
        <v>1.5462128945458176E-2</v>
      </c>
      <c r="T61">
        <f ca="1"/>
        <v>0.70091031633733281</v>
      </c>
      <c r="U61">
        <f ca="1"/>
        <v>0</v>
      </c>
      <c r="V61">
        <f ca="1"/>
        <v>39.265576461019876</v>
      </c>
      <c r="W61">
        <f ca="1"/>
        <v>9.9871140129115776</v>
      </c>
      <c r="X61">
        <f ca="1"/>
        <v>3.0993405832494121</v>
      </c>
      <c r="Y61">
        <f ca="1"/>
        <v>1</v>
      </c>
      <c r="Z61">
        <f ca="1"/>
        <v>4.1094750054947937</v>
      </c>
      <c r="AA61">
        <f ca="1"/>
        <v>0</v>
      </c>
      <c r="AB61">
        <f ca="1"/>
        <v>0.99721626853816403</v>
      </c>
      <c r="AD61" s="2">
        <f t="shared" ca="1" si="2"/>
        <v>45418</v>
      </c>
      <c r="AE61">
        <f t="shared" ca="1" si="3"/>
        <v>0</v>
      </c>
      <c r="AG61" s="63">
        <f t="shared" ca="1" si="7"/>
        <v>111.59657052473031</v>
      </c>
      <c r="AH61" s="63">
        <f t="shared" ca="1" si="8"/>
        <v>111.59657052473031</v>
      </c>
      <c r="AI61" s="3">
        <f t="shared" ca="1" si="9"/>
        <v>0</v>
      </c>
    </row>
    <row r="62" spans="1:35">
      <c r="G62" s="3">
        <f t="shared" ca="1" si="4"/>
        <v>83</v>
      </c>
      <c r="H62" s="95">
        <f t="shared" ca="1" si="6"/>
        <v>45373</v>
      </c>
      <c r="I62" s="119">
        <f ca="1">HLOOKUP($H$4,'Met Data'!$A$2:$F$368,G62,FALSE)</f>
        <v>16.8</v>
      </c>
      <c r="J62" s="119">
        <f ca="1">HLOOKUP($H$4,'Met Data'!$H$2:$M$368,G62,FALSE)*L62</f>
        <v>2.2833333333333301</v>
      </c>
      <c r="K62" s="96">
        <f ca="1">HLOOKUP($H$4,'Met Data'!$O$2:$T$368,G62,FALSE)</f>
        <v>2.7038604411954998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45419</v>
      </c>
      <c r="Q62">
        <f ca="1"/>
        <v>105.85451893655755</v>
      </c>
      <c r="R62">
        <f ca="1"/>
        <v>1.3766351998055342</v>
      </c>
      <c r="S62">
        <f ca="1"/>
        <v>1.4816626842545588E-2</v>
      </c>
      <c r="T62">
        <f ca="1"/>
        <v>0.70852021520629338</v>
      </c>
      <c r="U62">
        <f ca="1"/>
        <v>0</v>
      </c>
      <c r="V62">
        <f ca="1"/>
        <v>40.64221166082541</v>
      </c>
      <c r="W62">
        <f ca="1"/>
        <v>10.3372581832969</v>
      </c>
      <c r="X62">
        <f ca="1"/>
        <v>0.66709157109961426</v>
      </c>
      <c r="Y62">
        <f ca="1"/>
        <v>1</v>
      </c>
      <c r="Z62">
        <f ca="1"/>
        <v>0.89554252585418226</v>
      </c>
      <c r="AA62">
        <f ca="1"/>
        <v>0</v>
      </c>
      <c r="AB62">
        <f ca="1"/>
        <v>0.9978052157126609</v>
      </c>
      <c r="AD62" s="2">
        <f t="shared" ca="1" si="2"/>
        <v>45419</v>
      </c>
      <c r="AE62">
        <f t="shared" ca="1" si="3"/>
        <v>0</v>
      </c>
      <c r="AG62" s="63">
        <f t="shared" ca="1" si="7"/>
        <v>107.89824570746271</v>
      </c>
      <c r="AH62" s="63">
        <f t="shared" ca="1" si="8"/>
        <v>107.89824570746271</v>
      </c>
      <c r="AI62" s="3">
        <f t="shared" ca="1" si="9"/>
        <v>0</v>
      </c>
    </row>
    <row r="63" spans="1:35">
      <c r="G63" s="3">
        <f t="shared" ca="1" si="4"/>
        <v>84</v>
      </c>
      <c r="H63" s="95">
        <f t="shared" ca="1" si="6"/>
        <v>45374</v>
      </c>
      <c r="I63" s="119">
        <f ca="1">HLOOKUP($H$4,'Met Data'!$A$2:$F$368,G63,FALSE)</f>
        <v>16.237500000000001</v>
      </c>
      <c r="J63" s="119">
        <f ca="1">HLOOKUP($H$4,'Met Data'!$H$2:$M$368,G63,FALSE)*L63</f>
        <v>3.7833333333333301</v>
      </c>
      <c r="K63" s="96">
        <f ca="1">HLOOKUP($H$4,'Met Data'!$O$2:$T$368,G63,FALSE)</f>
        <v>2.1387131538714801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45420</v>
      </c>
      <c r="Q63">
        <f ca="1"/>
        <v>105.0978097800991</v>
      </c>
      <c r="R63">
        <f ca="1"/>
        <v>1.5661021106874955</v>
      </c>
      <c r="S63">
        <f ca="1"/>
        <v>1.5767620288571038E-2</v>
      </c>
      <c r="T63">
        <f ca="1"/>
        <v>0.79362533394046464</v>
      </c>
      <c r="U63">
        <f ca="1"/>
        <v>0</v>
      </c>
      <c r="V63">
        <f ca="1"/>
        <v>42.208313771512906</v>
      </c>
      <c r="W63">
        <f ca="1"/>
        <v>10.73559285058046</v>
      </c>
      <c r="X63">
        <f ca="1"/>
        <v>0</v>
      </c>
      <c r="Y63">
        <f ca="1"/>
        <v>0.9976663026598166</v>
      </c>
      <c r="Z63">
        <f ca="1"/>
        <v>0</v>
      </c>
      <c r="AA63">
        <f ca="1"/>
        <v>0</v>
      </c>
      <c r="AB63">
        <f ca="1"/>
        <v>0.99831107969769994</v>
      </c>
      <c r="AD63" s="2">
        <f t="shared" ca="1" si="2"/>
        <v>45420</v>
      </c>
      <c r="AE63">
        <f t="shared" ca="1" si="3"/>
        <v>0</v>
      </c>
      <c r="AG63" s="63">
        <f t="shared" ca="1" si="7"/>
        <v>106.66391189078659</v>
      </c>
      <c r="AH63" s="63">
        <f t="shared" ca="1" si="8"/>
        <v>106.66391189078659</v>
      </c>
      <c r="AI63" s="3">
        <f t="shared" ca="1" si="9"/>
        <v>0</v>
      </c>
    </row>
    <row r="64" spans="1:35">
      <c r="G64" s="3">
        <f t="shared" ca="1" si="4"/>
        <v>85</v>
      </c>
      <c r="H64" s="95">
        <f t="shared" ca="1" si="6"/>
        <v>45375</v>
      </c>
      <c r="I64" s="119">
        <f ca="1">HLOOKUP($H$4,'Met Data'!$A$2:$F$368,G64,FALSE)</f>
        <v>16.875</v>
      </c>
      <c r="J64" s="119">
        <f ca="1">HLOOKUP($H$4,'Met Data'!$H$2:$M$368,G64,FALSE)*L64</f>
        <v>2.9</v>
      </c>
      <c r="K64" s="96">
        <f ca="1">HLOOKUP($H$4,'Met Data'!$O$2:$T$368,G64,FALSE)</f>
        <v>2.4308063740099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45421</v>
      </c>
      <c r="Q64">
        <f ca="1"/>
        <v>104.12663870083178</v>
      </c>
      <c r="R64">
        <f ca="1"/>
        <v>1.5775633955257575</v>
      </c>
      <c r="S64">
        <f ca="1"/>
        <v>1.4582490522556668E-2</v>
      </c>
      <c r="T64">
        <f ca="1"/>
        <v>0.76957421340657362</v>
      </c>
      <c r="U64">
        <f ca="1"/>
        <v>0</v>
      </c>
      <c r="V64">
        <f ca="1"/>
        <v>43.785877167038663</v>
      </c>
      <c r="W64">
        <f ca="1"/>
        <v>11.136842670746791</v>
      </c>
      <c r="X64">
        <f ca="1"/>
        <v>0.17776438767069497</v>
      </c>
      <c r="Y64">
        <f ca="1"/>
        <v>1</v>
      </c>
      <c r="Z64">
        <f ca="1"/>
        <v>0.2426012728848832</v>
      </c>
      <c r="AA64">
        <f ca="1"/>
        <v>0</v>
      </c>
      <c r="AB64">
        <f ca="1"/>
        <v>0.99869181494683945</v>
      </c>
      <c r="AD64" s="2">
        <f t="shared" ca="1" si="2"/>
        <v>45421</v>
      </c>
      <c r="AE64">
        <f t="shared" ca="1" si="3"/>
        <v>0</v>
      </c>
      <c r="AG64" s="63">
        <f t="shared" ca="1" si="7"/>
        <v>105.88196648402823</v>
      </c>
      <c r="AH64" s="63">
        <f t="shared" ca="1" si="8"/>
        <v>105.88196648402823</v>
      </c>
      <c r="AI64" s="3">
        <f t="shared" ca="1" si="9"/>
        <v>0</v>
      </c>
    </row>
    <row r="65" spans="7:35">
      <c r="G65" s="3">
        <f t="shared" ca="1" si="4"/>
        <v>86</v>
      </c>
      <c r="H65" s="95">
        <f t="shared" ca="1" si="6"/>
        <v>45376</v>
      </c>
      <c r="I65" s="119">
        <f ca="1">HLOOKUP($H$4,'Met Data'!$A$2:$F$368,G65,FALSE)</f>
        <v>17.024999999999999</v>
      </c>
      <c r="J65" s="119">
        <f ca="1">HLOOKUP($H$4,'Met Data'!$H$2:$M$368,G65,FALSE)*L65</f>
        <v>3.7333333333333298</v>
      </c>
      <c r="K65" s="96">
        <f ca="1">HLOOKUP($H$4,'Met Data'!$O$2:$T$368,G65,FALSE)</f>
        <v>2.3866525377963699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45422</v>
      </c>
      <c r="Q65">
        <f ca="1"/>
        <v>101.43470539203918</v>
      </c>
      <c r="R65">
        <f ca="1"/>
        <v>1.5520945735130383</v>
      </c>
      <c r="S65">
        <f ca="1"/>
        <v>1.3249546308472304E-2</v>
      </c>
      <c r="T65">
        <f ca="1"/>
        <v>0.72763400805498746</v>
      </c>
      <c r="U65">
        <f ca="1"/>
        <v>0</v>
      </c>
      <c r="V65">
        <f ca="1"/>
        <v>45.337971740551701</v>
      </c>
      <c r="W65">
        <f ca="1"/>
        <v>11.531614551401194</v>
      </c>
      <c r="X65">
        <f ca="1"/>
        <v>1.880722289643016</v>
      </c>
      <c r="Y65">
        <f ca="1"/>
        <v>1</v>
      </c>
      <c r="Z65">
        <f ca="1"/>
        <v>2.6348036883795629</v>
      </c>
      <c r="AA65">
        <f ca="1"/>
        <v>0</v>
      </c>
      <c r="AB65">
        <f ca="1"/>
        <v>0.99897464405123171</v>
      </c>
      <c r="AD65" s="2">
        <f t="shared" ca="1" si="2"/>
        <v>45422</v>
      </c>
      <c r="AE65">
        <f t="shared" ca="1" si="3"/>
        <v>0</v>
      </c>
      <c r="AG65" s="63">
        <f t="shared" ca="1" si="7"/>
        <v>104.86752225519524</v>
      </c>
      <c r="AH65" s="63">
        <f t="shared" ca="1" si="8"/>
        <v>104.86752225519524</v>
      </c>
      <c r="AI65" s="3">
        <f t="shared" ca="1" si="9"/>
        <v>0</v>
      </c>
    </row>
    <row r="66" spans="7:35">
      <c r="G66" s="3">
        <f t="shared" ca="1" si="4"/>
        <v>87</v>
      </c>
      <c r="H66" s="95">
        <f t="shared" ca="1" si="6"/>
        <v>45377</v>
      </c>
      <c r="I66" s="119">
        <f ca="1">HLOOKUP($H$4,'Met Data'!$A$2:$F$368,G66,FALSE)</f>
        <v>17.3</v>
      </c>
      <c r="J66" s="119">
        <f ca="1">HLOOKUP($H$4,'Met Data'!$H$2:$M$368,G66,FALSE)*L66</f>
        <v>1.93333333333333</v>
      </c>
      <c r="K66" s="96">
        <f ca="1">HLOOKUP($H$4,'Met Data'!$O$2:$T$368,G66,FALSE)</f>
        <v>2.6501779961824399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45423</v>
      </c>
      <c r="Q66">
        <f ca="1"/>
        <v>97.174641842765368</v>
      </c>
      <c r="R66">
        <f ca="1"/>
        <v>1.6580610980896111</v>
      </c>
      <c r="S66">
        <f ca="1"/>
        <v>1.3335936573184881E-2</v>
      </c>
      <c r="T66">
        <f ca="1"/>
        <v>0.75799263399084349</v>
      </c>
      <c r="U66">
        <f ca="1"/>
        <v>0</v>
      </c>
      <c r="V66">
        <f ca="1"/>
        <v>46.996032838641312</v>
      </c>
      <c r="W66">
        <f ca="1"/>
        <v>11.953338787219643</v>
      </c>
      <c r="X66">
        <f ca="1"/>
        <v>3.3733310217482098</v>
      </c>
      <c r="Y66">
        <f ca="1"/>
        <v>1</v>
      </c>
      <c r="Z66">
        <f ca="1"/>
        <v>4.9330574671925902</v>
      </c>
      <c r="AA66">
        <f ca="1"/>
        <v>0</v>
      </c>
      <c r="AB66">
        <f ca="1"/>
        <v>0.99920332091748976</v>
      </c>
      <c r="AD66" s="2">
        <f t="shared" ca="1" si="2"/>
        <v>45423</v>
      </c>
      <c r="AE66">
        <f t="shared" ca="1" si="3"/>
        <v>0</v>
      </c>
      <c r="AG66" s="63">
        <f t="shared" ca="1" si="7"/>
        <v>102.2060339626032</v>
      </c>
      <c r="AH66" s="63">
        <f t="shared" ca="1" si="8"/>
        <v>102.20603396260319</v>
      </c>
      <c r="AI66" s="3">
        <f t="shared" ca="1" si="9"/>
        <v>0</v>
      </c>
    </row>
    <row r="67" spans="7:35">
      <c r="G67" s="3">
        <f t="shared" ca="1" si="4"/>
        <v>88</v>
      </c>
      <c r="H67" s="95">
        <f t="shared" ca="1" si="6"/>
        <v>45378</v>
      </c>
      <c r="I67" s="119">
        <f ca="1">HLOOKUP($H$4,'Met Data'!$A$2:$F$368,G67,FALSE)</f>
        <v>15.983333333333301</v>
      </c>
      <c r="J67" s="119">
        <f ca="1">HLOOKUP($H$4,'Met Data'!$H$2:$M$368,G67,FALSE)*L67</f>
        <v>1.2166666666666599</v>
      </c>
      <c r="K67" s="96">
        <f ca="1">HLOOKUP($H$4,'Met Data'!$O$2:$T$368,G67,FALSE)</f>
        <v>2.2352735074469998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45424</v>
      </c>
      <c r="Q67">
        <f ca="1"/>
        <v>93.750024055934233</v>
      </c>
      <c r="R67">
        <f ca="1"/>
        <v>1.6238031111803295</v>
      </c>
      <c r="S67">
        <f ca="1"/>
        <v>1.2198518330720276E-2</v>
      </c>
      <c r="T67">
        <f ca="1"/>
        <v>0.71406260970364877</v>
      </c>
      <c r="U67">
        <f ca="1"/>
        <v>0</v>
      </c>
      <c r="V67">
        <f ca="1"/>
        <v>48.619835949821642</v>
      </c>
      <c r="W67">
        <f ca="1"/>
        <v>12.366349578541595</v>
      </c>
      <c r="X67">
        <f ca="1"/>
        <v>2.5270758036851619</v>
      </c>
      <c r="Y67">
        <f ca="1"/>
        <v>1</v>
      </c>
      <c r="Z67">
        <f ca="1"/>
        <v>3.8305139195310645</v>
      </c>
      <c r="AA67">
        <f ca="1"/>
        <v>0</v>
      </c>
      <c r="AB67">
        <f ca="1"/>
        <v>0.99937315834004847</v>
      </c>
      <c r="AD67" s="2">
        <f t="shared" ca="1" si="2"/>
        <v>45424</v>
      </c>
      <c r="AE67">
        <f t="shared" ca="1" si="3"/>
        <v>0</v>
      </c>
      <c r="AG67" s="63">
        <f t="shared" ca="1" si="7"/>
        <v>97.900902970799734</v>
      </c>
      <c r="AH67" s="63">
        <f t="shared" ca="1" si="8"/>
        <v>97.900902970799734</v>
      </c>
      <c r="AI67" s="3">
        <f t="shared" ca="1" si="9"/>
        <v>0</v>
      </c>
    </row>
    <row r="68" spans="7:35">
      <c r="G68" s="3">
        <f t="shared" ca="1" si="4"/>
        <v>89</v>
      </c>
      <c r="H68" s="95">
        <f t="shared" ca="1" si="6"/>
        <v>45379</v>
      </c>
      <c r="I68" s="119">
        <f ca="1">HLOOKUP($H$4,'Met Data'!$A$2:$F$368,G68,FALSE)</f>
        <v>16.404166666666601</v>
      </c>
      <c r="J68" s="119">
        <f ca="1">HLOOKUP($H$4,'Met Data'!$H$2:$M$368,G68,FALSE)*L68</f>
        <v>2.3333333333333299</v>
      </c>
      <c r="K68" s="96">
        <f ca="1">HLOOKUP($H$4,'Met Data'!$O$2:$T$368,G68,FALSE)</f>
        <v>2.3461969045698901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45425</v>
      </c>
      <c r="Q68">
        <f ca="1"/>
        <v>90.456338937300785</v>
      </c>
      <c r="R68">
        <f ca="1"/>
        <v>1.6870585418923625</v>
      </c>
      <c r="S68">
        <f ca="1"/>
        <v>1.2022099014259879E-2</v>
      </c>
      <c r="T68">
        <f ca="1"/>
        <v>0.72122781329250008</v>
      </c>
      <c r="U68">
        <f ca="1"/>
        <v>0</v>
      </c>
      <c r="V68">
        <f ca="1"/>
        <v>50.306894491714004</v>
      </c>
      <c r="W68">
        <f ca="1"/>
        <v>12.795449251153347</v>
      </c>
      <c r="X68">
        <f ca="1"/>
        <v>2.3398764890478376</v>
      </c>
      <c r="Y68">
        <f ca="1"/>
        <v>1</v>
      </c>
      <c r="Z68">
        <f ca="1"/>
        <v>3.6759034042223391</v>
      </c>
      <c r="AA68">
        <f ca="1"/>
        <v>0</v>
      </c>
      <c r="AB68">
        <f ca="1"/>
        <v>0.99950783876416449</v>
      </c>
      <c r="AD68" s="2">
        <f t="shared" ca="1" si="2"/>
        <v>45425</v>
      </c>
      <c r="AE68">
        <f t="shared" ca="1" si="3"/>
        <v>0</v>
      </c>
      <c r="AG68" s="63">
        <f t="shared" ca="1" si="7"/>
        <v>94.483273968240994</v>
      </c>
      <c r="AH68" s="63">
        <f t="shared" ca="1" si="8"/>
        <v>94.483273968240979</v>
      </c>
      <c r="AI68" s="3">
        <f t="shared" ca="1" si="9"/>
        <v>0</v>
      </c>
    </row>
    <row r="69" spans="7:35">
      <c r="G69" s="3">
        <f t="shared" ca="1" si="4"/>
        <v>90</v>
      </c>
      <c r="H69" s="95">
        <f t="shared" ca="1" si="6"/>
        <v>45380</v>
      </c>
      <c r="I69" s="119">
        <f ca="1">HLOOKUP($H$4,'Met Data'!$A$2:$F$368,G69,FALSE)</f>
        <v>16.629166666666599</v>
      </c>
      <c r="J69" s="119">
        <f ca="1">HLOOKUP($H$4,'Met Data'!$H$2:$M$368,G69,FALSE)*L69</f>
        <v>2.2333333333333298</v>
      </c>
      <c r="K69" s="96">
        <f ca="1">HLOOKUP($H$4,'Met Data'!$O$2:$T$368,G69,FALSE)</f>
        <v>2.5330458314755799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45426</v>
      </c>
      <c r="Q69">
        <f ca="1"/>
        <v>84.87118848498001</v>
      </c>
      <c r="R69">
        <f ca="1"/>
        <v>1.8011615409635553</v>
      </c>
      <c r="S69">
        <f ca="1"/>
        <v>1.2265608309476761E-2</v>
      </c>
      <c r="T69">
        <f ca="1"/>
        <v>0.75169594948976703</v>
      </c>
      <c r="U69">
        <f ca="1"/>
        <v>0</v>
      </c>
      <c r="V69">
        <f ca="1"/>
        <v>52.10805603267756</v>
      </c>
      <c r="W69">
        <f ca="1"/>
        <v>13.253570773528859</v>
      </c>
      <c r="X69">
        <f ca="1"/>
        <v>4.5479504691564703</v>
      </c>
      <c r="Y69">
        <f ca="1"/>
        <v>1</v>
      </c>
      <c r="Z69">
        <f ca="1"/>
        <v>7.6149245672802977</v>
      </c>
      <c r="AA69">
        <f ca="1"/>
        <v>0</v>
      </c>
      <c r="AB69">
        <f ca="1"/>
        <v>0.99961696451015314</v>
      </c>
      <c r="AD69" s="2">
        <f t="shared" ca="1" si="2"/>
        <v>45426</v>
      </c>
      <c r="AE69">
        <f t="shared" ca="1" si="3"/>
        <v>0</v>
      </c>
      <c r="AG69" s="63">
        <f t="shared" ca="1" si="7"/>
        <v>91.220300495100034</v>
      </c>
      <c r="AH69" s="63">
        <f t="shared" ca="1" si="8"/>
        <v>91.220300495100034</v>
      </c>
      <c r="AI69" s="3">
        <f t="shared" ca="1" si="9"/>
        <v>0</v>
      </c>
    </row>
    <row r="70" spans="7:35">
      <c r="G70" s="3">
        <f t="shared" ca="1" si="4"/>
        <v>91</v>
      </c>
      <c r="H70" s="95">
        <f t="shared" ca="1" si="6"/>
        <v>45381</v>
      </c>
      <c r="I70" s="119">
        <f ca="1">HLOOKUP($H$4,'Met Data'!$A$2:$F$368,G70,FALSE)</f>
        <v>16.112499999999901</v>
      </c>
      <c r="J70" s="119">
        <f ca="1">HLOOKUP($H$4,'Met Data'!$H$2:$M$368,G70,FALSE)*L70</f>
        <v>2.0833333333333299</v>
      </c>
      <c r="K70" s="96">
        <f ca="1">HLOOKUP($H$4,'Met Data'!$O$2:$T$368,G70,FALSE)</f>
        <v>2.4661161715906501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45427</v>
      </c>
      <c r="Q70">
        <f ca="1"/>
        <v>81.73679004883499</v>
      </c>
      <c r="R70">
        <f ca="1"/>
        <v>1.7716742082625316</v>
      </c>
      <c r="S70">
        <f ca="1"/>
        <v>1.1425519375691806E-2</v>
      </c>
      <c r="T70">
        <f ca="1"/>
        <v>0.71274056916176998</v>
      </c>
      <c r="U70">
        <f ca="1"/>
        <v>0</v>
      </c>
      <c r="V70">
        <f ca="1"/>
        <v>53.879730240940091</v>
      </c>
      <c r="W70">
        <f ca="1"/>
        <v>13.704192256934764</v>
      </c>
      <c r="X70">
        <f ca="1"/>
        <v>2.0868903164199493</v>
      </c>
      <c r="Y70">
        <f ca="1"/>
        <v>1</v>
      </c>
      <c r="Z70">
        <f ca="1"/>
        <v>3.6282082697318501</v>
      </c>
      <c r="AA70">
        <f ca="1"/>
        <v>0</v>
      </c>
      <c r="AB70">
        <f ca="1"/>
        <v>0.99969853040318479</v>
      </c>
      <c r="AD70" s="2">
        <f t="shared" ref="AD70:AD133" ca="1" si="12">IFERROR(P70,$AD$4)</f>
        <v>45427</v>
      </c>
      <c r="AE70">
        <f t="shared" ref="AE70:AE133" ca="1" si="13">IFERROR(U70,0)</f>
        <v>0</v>
      </c>
      <c r="AG70" s="63">
        <f t="shared" ca="1" si="7"/>
        <v>85.595354573517469</v>
      </c>
      <c r="AH70" s="63">
        <f t="shared" ca="1" si="8"/>
        <v>85.595354573517483</v>
      </c>
      <c r="AI70" s="3">
        <f t="shared" ca="1" si="9"/>
        <v>0</v>
      </c>
    </row>
    <row r="71" spans="7:35">
      <c r="G71" s="3">
        <f t="shared" ref="G71:G134" ca="1" si="14">H71-DATE(YEAR(H71),1,0)+1</f>
        <v>92</v>
      </c>
      <c r="H71" s="95">
        <f t="shared" ca="1" si="6"/>
        <v>45382</v>
      </c>
      <c r="I71" s="119">
        <f ca="1">HLOOKUP($H$4,'Met Data'!$A$2:$F$368,G71,FALSE)</f>
        <v>15.862500000000001</v>
      </c>
      <c r="J71" s="119">
        <f ca="1">HLOOKUP($H$4,'Met Data'!$H$2:$M$368,G71,FALSE)*L71</f>
        <v>1.3333333333333299</v>
      </c>
      <c r="K71" s="96">
        <f ca="1">HLOOKUP($H$4,'Met Data'!$O$2:$T$368,G71,FALSE)</f>
        <v>2.3173978620084501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45428</v>
      </c>
      <c r="Q71">
        <f ca="1"/>
        <v>79.343473326322965</v>
      </c>
      <c r="R71">
        <f ca="1"/>
        <v>1.7323443268621617</v>
      </c>
      <c r="S71">
        <f ca="1"/>
        <v>1.0647656238433001E-2</v>
      </c>
      <c r="T71">
        <f ca="1"/>
        <v>0.67352688281698692</v>
      </c>
      <c r="U71">
        <f ca="1"/>
        <v>0</v>
      </c>
      <c r="V71">
        <f ca="1"/>
        <v>55.612074567802253</v>
      </c>
      <c r="W71">
        <f ca="1"/>
        <v>14.144810270506227</v>
      </c>
      <c r="X71">
        <f ca="1"/>
        <v>1.3451469347052858</v>
      </c>
      <c r="Y71">
        <f ca="1"/>
        <v>1</v>
      </c>
      <c r="Z71">
        <f ca="1"/>
        <v>2.4091768500751201</v>
      </c>
      <c r="AA71">
        <f ca="1"/>
        <v>0</v>
      </c>
      <c r="AB71">
        <f ca="1"/>
        <v>0.99975993642477679</v>
      </c>
      <c r="AD71" s="2">
        <f t="shared" ca="1" si="12"/>
        <v>45428</v>
      </c>
      <c r="AE71">
        <f t="shared" ca="1" si="13"/>
        <v>0</v>
      </c>
      <c r="AG71" s="63">
        <f t="shared" ca="1" si="7"/>
        <v>82.42096458789041</v>
      </c>
      <c r="AH71" s="63">
        <f t="shared" ca="1" si="8"/>
        <v>82.42096458789041</v>
      </c>
      <c r="AI71" s="3">
        <f t="shared" ca="1" si="9"/>
        <v>0</v>
      </c>
    </row>
    <row r="72" spans="7:35">
      <c r="G72" s="3">
        <f t="shared" ca="1" si="14"/>
        <v>93</v>
      </c>
      <c r="H72" s="95">
        <f t="shared" ref="H72:H135" ca="1" si="16">H71+1</f>
        <v>45383</v>
      </c>
      <c r="I72" s="119">
        <f ca="1">HLOOKUP($H$4,'Met Data'!$A$2:$F$368,G72,FALSE)</f>
        <v>15.299999999999899</v>
      </c>
      <c r="J72" s="119">
        <f ca="1">HLOOKUP($H$4,'Met Data'!$H$2:$M$368,G72,FALSE)*L72</f>
        <v>0.36666666666666597</v>
      </c>
      <c r="K72" s="96">
        <f ca="1">HLOOKUP($H$4,'Met Data'!$O$2:$T$368,G72,FALSE)</f>
        <v>2.1311275850035698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45429</v>
      </c>
      <c r="Q72">
        <f ca="1"/>
        <v>77.602140832830074</v>
      </c>
      <c r="R72">
        <f ca="1"/>
        <v>1.6847288814077359</v>
      </c>
      <c r="S72">
        <f ca="1"/>
        <v>9.9292351681725677E-3</v>
      </c>
      <c r="T72">
        <f ca="1"/>
        <v>0.63494668313731872</v>
      </c>
      <c r="U72">
        <f ca="1"/>
        <v>0</v>
      </c>
      <c r="V72">
        <f ca="1"/>
        <v>57.296803449209989</v>
      </c>
      <c r="W72">
        <f ca="1"/>
        <v>14.573317399038192</v>
      </c>
      <c r="X72">
        <f ca="1"/>
        <v>0.70147953039064603</v>
      </c>
      <c r="Y72">
        <f ca="1"/>
        <v>1</v>
      </c>
      <c r="Z72">
        <f ca="1"/>
        <v>1.2845513306234366</v>
      </c>
      <c r="AA72">
        <f ca="1"/>
        <v>0</v>
      </c>
      <c r="AB72">
        <f ca="1"/>
        <v>0.99980654023365523</v>
      </c>
      <c r="AD72" s="2">
        <f t="shared" ca="1" si="12"/>
        <v>45429</v>
      </c>
      <c r="AE72">
        <f t="shared" ca="1" si="13"/>
        <v>0</v>
      </c>
      <c r="AG72" s="63">
        <f t="shared" ref="AG72:AG135" ca="1" si="17">Q71+S72+T72+U72</f>
        <v>79.988349244628452</v>
      </c>
      <c r="AH72" s="63">
        <f t="shared" ref="AH72:AH135" ca="1" si="18">Q72+R72+X72</f>
        <v>79.988349244628452</v>
      </c>
      <c r="AI72" s="3">
        <f t="shared" ref="AI72:AI135" ca="1" si="19">AH72-AG72</f>
        <v>0</v>
      </c>
    </row>
    <row r="73" spans="7:35">
      <c r="G73" s="3">
        <f t="shared" ca="1" si="14"/>
        <v>94</v>
      </c>
      <c r="H73" s="95">
        <f t="shared" ca="1" si="16"/>
        <v>45384</v>
      </c>
      <c r="I73" s="119">
        <f ca="1">HLOOKUP($H$4,'Met Data'!$A$2:$F$368,G73,FALSE)</f>
        <v>16.266666666666602</v>
      </c>
      <c r="J73" s="119">
        <f ca="1">HLOOKUP($H$4,'Met Data'!$H$2:$M$368,G73,FALSE)*L73</f>
        <v>4.36666666666666</v>
      </c>
      <c r="K73" s="96">
        <f ca="1">HLOOKUP($H$4,'Met Data'!$O$2:$T$368,G73,FALSE)</f>
        <v>2.1942415542804201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45430</v>
      </c>
      <c r="Q73">
        <f ca="1"/>
        <v>75.928597964283924</v>
      </c>
      <c r="R73">
        <f ca="1"/>
        <v>1.7739073976899888</v>
      </c>
      <c r="S73">
        <f ca="1"/>
        <v>1.0126967079187921E-2</v>
      </c>
      <c r="T73">
        <f ca="1"/>
        <v>0.6533078696280179</v>
      </c>
      <c r="U73">
        <f ca="1"/>
        <v>0</v>
      </c>
      <c r="V73">
        <f ca="1"/>
        <v>59.070710846899978</v>
      </c>
      <c r="W73">
        <f ca="1"/>
        <v>15.024506889320214</v>
      </c>
      <c r="X73">
        <f ca="1"/>
        <v>0.56307030756336529</v>
      </c>
      <c r="Y73">
        <f ca="1"/>
        <v>1</v>
      </c>
      <c r="Z73">
        <f ca="1"/>
        <v>1.0538223591370297</v>
      </c>
      <c r="AA73">
        <f ca="1"/>
        <v>0</v>
      </c>
      <c r="AB73">
        <f ca="1"/>
        <v>0.99984499042112329</v>
      </c>
      <c r="AD73" s="2">
        <f t="shared" ca="1" si="12"/>
        <v>45430</v>
      </c>
      <c r="AE73">
        <f t="shared" ca="1" si="13"/>
        <v>0</v>
      </c>
      <c r="AG73" s="63">
        <f t="shared" ca="1" si="17"/>
        <v>78.265575669537284</v>
      </c>
      <c r="AH73" s="63">
        <f t="shared" ca="1" si="18"/>
        <v>78.265575669537284</v>
      </c>
      <c r="AI73" s="3">
        <f t="shared" ca="1" si="19"/>
        <v>0</v>
      </c>
    </row>
    <row r="74" spans="7:35">
      <c r="G74" s="3">
        <f t="shared" ca="1" si="14"/>
        <v>95</v>
      </c>
      <c r="H74" s="95">
        <f t="shared" ca="1" si="16"/>
        <v>45385</v>
      </c>
      <c r="I74" s="119">
        <f ca="1">HLOOKUP($H$4,'Met Data'!$A$2:$F$368,G74,FALSE)</f>
        <v>16.008333333333301</v>
      </c>
      <c r="J74" s="119">
        <f ca="1">HLOOKUP($H$4,'Met Data'!$H$2:$M$368,G74,FALSE)*L74</f>
        <v>5.5833333333333304</v>
      </c>
      <c r="K74" s="96">
        <f ca="1">HLOOKUP($H$4,'Met Data'!$O$2:$T$368,G74,FALSE)</f>
        <v>2.18875214188912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45431</v>
      </c>
      <c r="Q74">
        <f ca="1"/>
        <v>74.785792699276357</v>
      </c>
      <c r="R74">
        <f ca="1"/>
        <v>1.797560176036292</v>
      </c>
      <c r="S74">
        <f ca="1"/>
        <v>9.9239238303994171E-3</v>
      </c>
      <c r="T74">
        <f ca="1"/>
        <v>0.64483098719832843</v>
      </c>
      <c r="U74">
        <f ca="1"/>
        <v>0</v>
      </c>
      <c r="V74">
        <f ca="1"/>
        <v>60.86827102293627</v>
      </c>
      <c r="W74">
        <f ca="1"/>
        <v>15.481712412355531</v>
      </c>
      <c r="X74">
        <f ca="1"/>
        <v>0</v>
      </c>
      <c r="Y74">
        <f ca="1"/>
        <v>0.98242000874267021</v>
      </c>
      <c r="Z74">
        <f ca="1"/>
        <v>0</v>
      </c>
      <c r="AA74">
        <f ca="1"/>
        <v>0</v>
      </c>
      <c r="AB74">
        <f ca="1"/>
        <v>0.99987547161086909</v>
      </c>
      <c r="AD74" s="2">
        <f t="shared" ca="1" si="12"/>
        <v>45431</v>
      </c>
      <c r="AE74">
        <f t="shared" ca="1" si="13"/>
        <v>0</v>
      </c>
      <c r="AG74" s="63">
        <f t="shared" ca="1" si="17"/>
        <v>76.583352875312656</v>
      </c>
      <c r="AH74" s="63">
        <f t="shared" ca="1" si="18"/>
        <v>76.583352875312642</v>
      </c>
      <c r="AI74" s="3">
        <f t="shared" ca="1" si="19"/>
        <v>0</v>
      </c>
    </row>
    <row r="75" spans="7:35">
      <c r="G75" s="3">
        <f t="shared" ca="1" si="14"/>
        <v>96</v>
      </c>
      <c r="H75" s="95">
        <f t="shared" ca="1" si="16"/>
        <v>45386</v>
      </c>
      <c r="I75" s="119">
        <f ca="1">HLOOKUP($H$4,'Met Data'!$A$2:$F$368,G75,FALSE)</f>
        <v>14.8083333333333</v>
      </c>
      <c r="J75" s="119">
        <f ca="1">HLOOKUP($H$4,'Met Data'!$H$2:$M$368,G75,FALSE)*L75</f>
        <v>3.93333333333333</v>
      </c>
      <c r="K75" s="96">
        <f ca="1">HLOOKUP($H$4,'Met Data'!$O$2:$T$368,G75,FALSE)</f>
        <v>2.25899576438928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45432</v>
      </c>
      <c r="Q75">
        <f ca="1"/>
        <v>73.612610804191718</v>
      </c>
      <c r="R75">
        <f ca="1"/>
        <v>1.81884433941417</v>
      </c>
      <c r="S75">
        <f ca="1"/>
        <v>9.7316307273445091E-3</v>
      </c>
      <c r="T75">
        <f ca="1"/>
        <v>0.63593081360219206</v>
      </c>
      <c r="U75">
        <f ca="1"/>
        <v>0</v>
      </c>
      <c r="V75">
        <f ca="1"/>
        <v>62.68711536235044</v>
      </c>
      <c r="W75">
        <f ca="1"/>
        <v>15.944331516076094</v>
      </c>
      <c r="X75">
        <f ca="1"/>
        <v>0</v>
      </c>
      <c r="Y75">
        <f ca="1"/>
        <v>0.99981436936562551</v>
      </c>
      <c r="Z75">
        <f ca="1"/>
        <v>0</v>
      </c>
      <c r="AA75">
        <f ca="1"/>
        <v>0</v>
      </c>
      <c r="AB75">
        <f ca="1"/>
        <v>0.99989967982643702</v>
      </c>
      <c r="AD75" s="2">
        <f t="shared" ca="1" si="12"/>
        <v>45432</v>
      </c>
      <c r="AE75">
        <f t="shared" ca="1" si="13"/>
        <v>0</v>
      </c>
      <c r="AG75" s="63">
        <f t="shared" ca="1" si="17"/>
        <v>75.431455143605888</v>
      </c>
      <c r="AH75" s="63">
        <f t="shared" ca="1" si="18"/>
        <v>75.431455143605888</v>
      </c>
      <c r="AI75" s="3">
        <f t="shared" ca="1" si="19"/>
        <v>0</v>
      </c>
    </row>
    <row r="76" spans="7:35">
      <c r="G76" s="3">
        <f t="shared" ca="1" si="14"/>
        <v>97</v>
      </c>
      <c r="H76" s="95">
        <f t="shared" ca="1" si="16"/>
        <v>45387</v>
      </c>
      <c r="I76" s="119">
        <f ca="1">HLOOKUP($H$4,'Met Data'!$A$2:$F$368,G76,FALSE)</f>
        <v>14.283333333333299</v>
      </c>
      <c r="J76" s="119">
        <f ca="1">HLOOKUP($H$4,'Met Data'!$H$2:$M$368,G76,FALSE)*L76</f>
        <v>1.2666666666666599</v>
      </c>
      <c r="K76" s="96">
        <f ca="1">HLOOKUP($H$4,'Met Data'!$O$2:$T$368,G76,FALSE)</f>
        <v>2.2952223200603901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45433</v>
      </c>
      <c r="Q76">
        <f ca="1"/>
        <v>71.630028061956992</v>
      </c>
      <c r="R76">
        <f ca="1"/>
        <v>1.6302098654976902</v>
      </c>
      <c r="S76">
        <f ca="1"/>
        <v>8.4506779855644254E-3</v>
      </c>
      <c r="T76">
        <f ca="1"/>
        <v>0.55453691035193109</v>
      </c>
      <c r="U76">
        <f ca="1"/>
        <v>0</v>
      </c>
      <c r="V76">
        <f ca="1"/>
        <v>64.31732522784813</v>
      </c>
      <c r="W76">
        <f ca="1"/>
        <v>16.35897185143094</v>
      </c>
      <c r="X76">
        <f ca="1"/>
        <v>0.9153604650745264</v>
      </c>
      <c r="Y76">
        <f ca="1"/>
        <v>1</v>
      </c>
      <c r="Z76">
        <f ca="1"/>
        <v>1.8159638254118349</v>
      </c>
      <c r="AA76">
        <f ca="1"/>
        <v>0</v>
      </c>
      <c r="AB76">
        <f ca="1"/>
        <v>0.99991699049767668</v>
      </c>
      <c r="AD76" s="2">
        <f t="shared" ca="1" si="12"/>
        <v>45433</v>
      </c>
      <c r="AE76">
        <f t="shared" ca="1" si="13"/>
        <v>0</v>
      </c>
      <c r="AG76" s="63">
        <f t="shared" ca="1" si="17"/>
        <v>74.17559839252921</v>
      </c>
      <c r="AH76" s="63">
        <f t="shared" ca="1" si="18"/>
        <v>74.17559839252921</v>
      </c>
      <c r="AI76" s="3">
        <f t="shared" ca="1" si="19"/>
        <v>0</v>
      </c>
    </row>
    <row r="77" spans="7:35">
      <c r="G77" s="3">
        <f t="shared" ca="1" si="14"/>
        <v>98</v>
      </c>
      <c r="H77" s="95">
        <f t="shared" ca="1" si="16"/>
        <v>45388</v>
      </c>
      <c r="I77" s="119">
        <f ca="1">HLOOKUP($H$4,'Met Data'!$A$2:$F$368,G77,FALSE)</f>
        <v>13.258333333333301</v>
      </c>
      <c r="J77" s="119">
        <f ca="1">HLOOKUP($H$4,'Met Data'!$H$2:$M$368,G77,FALSE)*L77</f>
        <v>1.18333333333333</v>
      </c>
      <c r="K77" s="96">
        <f ca="1">HLOOKUP($H$4,'Met Data'!$O$2:$T$368,G77,FALSE)</f>
        <v>1.94562323949851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45434</v>
      </c>
      <c r="Q77">
        <f ca="1"/>
        <v>69.560354592484359</v>
      </c>
      <c r="R77">
        <f ca="1"/>
        <v>1.758396839205588</v>
      </c>
      <c r="S77">
        <f ca="1"/>
        <v>8.8989346017598336E-3</v>
      </c>
      <c r="T77">
        <f ca="1"/>
        <v>0.58578350180914862</v>
      </c>
      <c r="U77">
        <f ca="1"/>
        <v>0</v>
      </c>
      <c r="V77">
        <f ca="1"/>
        <v>66.075722067053718</v>
      </c>
      <c r="W77">
        <f ca="1"/>
        <v>16.806216264881058</v>
      </c>
      <c r="X77">
        <f ca="1"/>
        <v>0.90595906667795312</v>
      </c>
      <c r="Y77">
        <f ca="1"/>
        <v>1</v>
      </c>
      <c r="Z77">
        <f ca="1"/>
        <v>1.8507891791923257</v>
      </c>
      <c r="AA77">
        <f ca="1"/>
        <v>0</v>
      </c>
      <c r="AB77">
        <f ca="1"/>
        <v>0.99993203509911732</v>
      </c>
      <c r="AD77" s="2">
        <f t="shared" ca="1" si="12"/>
        <v>45434</v>
      </c>
      <c r="AE77">
        <f t="shared" ca="1" si="13"/>
        <v>0</v>
      </c>
      <c r="AG77" s="63">
        <f t="shared" ca="1" si="17"/>
        <v>72.224710498367898</v>
      </c>
      <c r="AH77" s="63">
        <f t="shared" ca="1" si="18"/>
        <v>72.224710498367898</v>
      </c>
      <c r="AI77" s="3">
        <f t="shared" ca="1" si="19"/>
        <v>0</v>
      </c>
    </row>
    <row r="78" spans="7:35">
      <c r="G78" s="3">
        <f t="shared" ca="1" si="14"/>
        <v>99</v>
      </c>
      <c r="H78" s="95">
        <f t="shared" ca="1" si="16"/>
        <v>45389</v>
      </c>
      <c r="I78" s="119">
        <f ca="1">HLOOKUP($H$4,'Met Data'!$A$2:$F$368,G78,FALSE)</f>
        <v>13.8666666666666</v>
      </c>
      <c r="J78" s="119">
        <f ca="1">HLOOKUP($H$4,'Met Data'!$H$2:$M$368,G78,FALSE)*L78</f>
        <v>4.7333333333333298</v>
      </c>
      <c r="K78" s="96">
        <f ca="1">HLOOKUP($H$4,'Met Data'!$O$2:$T$368,G78,FALSE)</f>
        <v>1.65226329552866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45435</v>
      </c>
      <c r="Q78">
        <f ca="1"/>
        <v>66.160899315818298</v>
      </c>
      <c r="R78">
        <f ca="1"/>
        <v>1.8380522871680824</v>
      </c>
      <c r="S78">
        <f ca="1"/>
        <v>9.083679887524454E-3</v>
      </c>
      <c r="T78">
        <f ca="1"/>
        <v>0.59944040312930225</v>
      </c>
      <c r="U78">
        <f ca="1"/>
        <v>0</v>
      </c>
      <c r="V78">
        <f ca="1"/>
        <v>67.9137743542218</v>
      </c>
      <c r="W78">
        <f ca="1"/>
        <v>17.273720868356421</v>
      </c>
      <c r="X78">
        <f ca="1"/>
        <v>2.1699270725148141</v>
      </c>
      <c r="Y78">
        <f ca="1"/>
        <v>1</v>
      </c>
      <c r="Z78">
        <f ca="1"/>
        <v>4.6607295375658992</v>
      </c>
      <c r="AA78">
        <f ca="1"/>
        <v>0</v>
      </c>
      <c r="AB78">
        <f ca="1"/>
        <v>0.9999446029624085</v>
      </c>
      <c r="AD78" s="2">
        <f t="shared" ca="1" si="12"/>
        <v>45435</v>
      </c>
      <c r="AE78">
        <f t="shared" ca="1" si="13"/>
        <v>0</v>
      </c>
      <c r="AG78" s="63">
        <f t="shared" ca="1" si="17"/>
        <v>70.16887867550119</v>
      </c>
      <c r="AH78" s="63">
        <f t="shared" ca="1" si="18"/>
        <v>70.16887867550119</v>
      </c>
      <c r="AI78" s="3">
        <f t="shared" ca="1" si="19"/>
        <v>0</v>
      </c>
    </row>
    <row r="79" spans="7:35">
      <c r="G79" s="3">
        <f t="shared" ca="1" si="14"/>
        <v>100</v>
      </c>
      <c r="H79" s="95">
        <f t="shared" ca="1" si="16"/>
        <v>45390</v>
      </c>
      <c r="I79" s="119">
        <f ca="1">HLOOKUP($H$4,'Met Data'!$A$2:$F$368,G79,FALSE)</f>
        <v>14.404166666666599</v>
      </c>
      <c r="J79" s="119">
        <f ca="1">HLOOKUP($H$4,'Met Data'!$H$2:$M$368,G79,FALSE)*L79</f>
        <v>4.3166666666666602</v>
      </c>
      <c r="K79" s="96">
        <f ca="1">HLOOKUP($H$4,'Met Data'!$O$2:$T$368,G79,FALSE)</f>
        <v>1.8668252234765801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45436</v>
      </c>
      <c r="Q79">
        <f ca="1"/>
        <v>63.934361305887748</v>
      </c>
      <c r="R79">
        <f ca="1"/>
        <v>1.8414964596015153</v>
      </c>
      <c r="S79">
        <f ca="1"/>
        <v>8.8815804466975123E-3</v>
      </c>
      <c r="T79">
        <f ca="1"/>
        <v>0.58718707490255462</v>
      </c>
      <c r="U79">
        <f ca="1"/>
        <v>0</v>
      </c>
      <c r="V79">
        <f ca="1"/>
        <v>69.755270813823316</v>
      </c>
      <c r="W79">
        <f ca="1"/>
        <v>17.742101489602888</v>
      </c>
      <c r="X79">
        <f ca="1"/>
        <v>0.98111020567829321</v>
      </c>
      <c r="Y79">
        <f ca="1"/>
        <v>1</v>
      </c>
      <c r="Z79">
        <f ca="1"/>
        <v>2.1806884610571799</v>
      </c>
      <c r="AA79">
        <f ca="1"/>
        <v>0</v>
      </c>
      <c r="AB79">
        <f ca="1"/>
        <v>0.99995466442568592</v>
      </c>
      <c r="AD79" s="2">
        <f t="shared" ca="1" si="12"/>
        <v>45436</v>
      </c>
      <c r="AE79">
        <f t="shared" ca="1" si="13"/>
        <v>0</v>
      </c>
      <c r="AG79" s="63">
        <f t="shared" ca="1" si="17"/>
        <v>66.756967971167555</v>
      </c>
      <c r="AH79" s="63">
        <f t="shared" ca="1" si="18"/>
        <v>66.756967971167555</v>
      </c>
      <c r="AI79" s="3">
        <f t="shared" ca="1" si="19"/>
        <v>0</v>
      </c>
    </row>
    <row r="80" spans="7:35">
      <c r="G80" s="3">
        <f t="shared" ca="1" si="14"/>
        <v>101</v>
      </c>
      <c r="H80" s="95">
        <f t="shared" ca="1" si="16"/>
        <v>45391</v>
      </c>
      <c r="I80" s="119">
        <f ca="1">HLOOKUP($H$4,'Met Data'!$A$2:$F$368,G80,FALSE)</f>
        <v>14.5416666666666</v>
      </c>
      <c r="J80" s="119">
        <f ca="1">HLOOKUP($H$4,'Met Data'!$H$2:$M$368,G80,FALSE)*L80</f>
        <v>4.43333333333333</v>
      </c>
      <c r="K80" s="96">
        <f ca="1">HLOOKUP($H$4,'Met Data'!$O$2:$T$368,G80,FALSE)</f>
        <v>1.97301093095216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45437</v>
      </c>
      <c r="Q80">
        <f ca="1"/>
        <v>60.420819000674385</v>
      </c>
      <c r="R80">
        <f ca="1"/>
        <v>1.9547283535594175</v>
      </c>
      <c r="S80">
        <f ca="1"/>
        <v>9.2280913593469904E-3</v>
      </c>
      <c r="T80">
        <f ca="1"/>
        <v>0.61089316292535534</v>
      </c>
      <c r="U80">
        <f ca="1"/>
        <v>0</v>
      </c>
      <c r="V80">
        <f ca="1"/>
        <v>71.709999167382733</v>
      </c>
      <c r="W80">
        <f ca="1"/>
        <v>18.239282396921261</v>
      </c>
      <c r="X80">
        <f ca="1"/>
        <v>2.1789352059386418</v>
      </c>
      <c r="Y80">
        <f ca="1"/>
        <v>1</v>
      </c>
      <c r="Z80">
        <f ca="1"/>
        <v>5.1246932094789415</v>
      </c>
      <c r="AA80">
        <f ca="1"/>
        <v>0</v>
      </c>
      <c r="AB80">
        <f ca="1"/>
        <v>0.99996318522453498</v>
      </c>
      <c r="AD80" s="2">
        <f t="shared" ca="1" si="12"/>
        <v>45437</v>
      </c>
      <c r="AE80">
        <f t="shared" ca="1" si="13"/>
        <v>0</v>
      </c>
      <c r="AG80" s="63">
        <f t="shared" ca="1" si="17"/>
        <v>64.554482560172445</v>
      </c>
      <c r="AH80" s="63">
        <f t="shared" ca="1" si="18"/>
        <v>64.554482560172445</v>
      </c>
      <c r="AI80" s="3">
        <f t="shared" ca="1" si="19"/>
        <v>0</v>
      </c>
    </row>
    <row r="81" spans="7:35">
      <c r="G81" s="3">
        <f t="shared" ca="1" si="14"/>
        <v>102</v>
      </c>
      <c r="H81" s="95">
        <f t="shared" ca="1" si="16"/>
        <v>45392</v>
      </c>
      <c r="I81" s="119">
        <f ca="1">HLOOKUP($H$4,'Met Data'!$A$2:$F$368,G81,FALSE)</f>
        <v>14.279166666666599</v>
      </c>
      <c r="J81" s="119">
        <f ca="1">HLOOKUP($H$4,'Met Data'!$H$2:$M$368,G81,FALSE)*L81</f>
        <v>1.3333333333333299</v>
      </c>
      <c r="K81" s="96">
        <f ca="1">HLOOKUP($H$4,'Met Data'!$O$2:$T$368,G81,FALSE)</f>
        <v>1.63836682585681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45438</v>
      </c>
      <c r="Q81">
        <f ca="1"/>
        <v>58.41542231457958</v>
      </c>
      <c r="R81">
        <f ca="1"/>
        <v>1.886526226553471</v>
      </c>
      <c r="S81">
        <f ca="1"/>
        <v>8.6939148390285936E-3</v>
      </c>
      <c r="T81">
        <f ca="1"/>
        <v>0.57601787583500974</v>
      </c>
      <c r="U81">
        <f ca="1"/>
        <v>0</v>
      </c>
      <c r="V81">
        <f ca="1"/>
        <v>73.596525393936204</v>
      </c>
      <c r="W81">
        <f ca="1"/>
        <v>18.719116241501169</v>
      </c>
      <c r="X81">
        <f ca="1"/>
        <v>0.70358225021537169</v>
      </c>
      <c r="Y81">
        <f ca="1"/>
        <v>1</v>
      </c>
      <c r="Z81">
        <f ca="1"/>
        <v>1.7115812375993897</v>
      </c>
      <c r="AA81">
        <f ca="1"/>
        <v>0</v>
      </c>
      <c r="AB81">
        <f ca="1"/>
        <v>0.99996975940838795</v>
      </c>
      <c r="AD81" s="2">
        <f t="shared" ca="1" si="12"/>
        <v>45438</v>
      </c>
      <c r="AE81">
        <f t="shared" ca="1" si="13"/>
        <v>0</v>
      </c>
      <c r="AG81" s="63">
        <f t="shared" ca="1" si="17"/>
        <v>61.00553079134842</v>
      </c>
      <c r="AH81" s="63">
        <f t="shared" ca="1" si="18"/>
        <v>61.00553079134842</v>
      </c>
      <c r="AI81" s="3">
        <f t="shared" ca="1" si="19"/>
        <v>0</v>
      </c>
    </row>
    <row r="82" spans="7:35">
      <c r="G82" s="3">
        <f t="shared" ca="1" si="14"/>
        <v>103</v>
      </c>
      <c r="H82" s="95">
        <f t="shared" ca="1" si="16"/>
        <v>45393</v>
      </c>
      <c r="I82" s="119">
        <f ca="1">HLOOKUP($H$4,'Met Data'!$A$2:$F$368,G82,FALSE)</f>
        <v>15.1666666666666</v>
      </c>
      <c r="J82" s="119">
        <f ca="1">HLOOKUP($H$4,'Met Data'!$H$2:$M$368,G82,FALSE)*L82</f>
        <v>3.7833333333333301</v>
      </c>
      <c r="K82" s="96">
        <f ca="1">HLOOKUP($H$4,'Met Data'!$O$2:$T$368,G82,FALSE)</f>
        <v>1.8936832301932101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45439</v>
      </c>
      <c r="Q82">
        <f ca="1"/>
        <v>56.408355475507236</v>
      </c>
      <c r="R82">
        <f ca="1"/>
        <v>1.873113393157368</v>
      </c>
      <c r="S82">
        <f ca="1"/>
        <v>8.4546324516310278E-3</v>
      </c>
      <c r="T82">
        <f ca="1"/>
        <v>0.56042665668604752</v>
      </c>
      <c r="U82">
        <f ca="1"/>
        <v>0</v>
      </c>
      <c r="V82">
        <f ca="1"/>
        <v>75.469638787093572</v>
      </c>
      <c r="W82">
        <f ca="1"/>
        <v>19.195538561065106</v>
      </c>
      <c r="X82">
        <f ca="1"/>
        <v>0.70283473505265737</v>
      </c>
      <c r="Y82">
        <f ca="1"/>
        <v>1</v>
      </c>
      <c r="Z82">
        <f ca="1"/>
        <v>1.7705978864165601</v>
      </c>
      <c r="AA82">
        <f ca="1"/>
        <v>0</v>
      </c>
      <c r="AB82">
        <f ca="1"/>
        <v>0.99997502826715612</v>
      </c>
      <c r="AD82" s="2">
        <f t="shared" ca="1" si="12"/>
        <v>45439</v>
      </c>
      <c r="AE82">
        <f t="shared" ca="1" si="13"/>
        <v>0</v>
      </c>
      <c r="AG82" s="63">
        <f t="shared" ca="1" si="17"/>
        <v>58.984303603717258</v>
      </c>
      <c r="AH82" s="63">
        <f t="shared" ca="1" si="18"/>
        <v>58.984303603717258</v>
      </c>
      <c r="AI82" s="3">
        <f t="shared" ca="1" si="19"/>
        <v>0</v>
      </c>
    </row>
    <row r="83" spans="7:35">
      <c r="G83" s="3">
        <f t="shared" ca="1" si="14"/>
        <v>104</v>
      </c>
      <c r="H83" s="95">
        <f t="shared" ca="1" si="16"/>
        <v>45394</v>
      </c>
      <c r="I83" s="119">
        <f ca="1">HLOOKUP($H$4,'Met Data'!$A$2:$F$368,G83,FALSE)</f>
        <v>14.675000000000001</v>
      </c>
      <c r="J83" s="119">
        <f ca="1">HLOOKUP($H$4,'Met Data'!$H$2:$M$368,G83,FALSE)*L83</f>
        <v>4.5166666666666604</v>
      </c>
      <c r="K83" s="96">
        <f ca="1">HLOOKUP($H$4,'Met Data'!$O$2:$T$368,G83,FALSE)</f>
        <v>1.6971366028359001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45440</v>
      </c>
      <c r="Q83">
        <f ca="1"/>
        <v>54.181473300704837</v>
      </c>
      <c r="R83">
        <f ca="1"/>
        <v>2.0069266198649558</v>
      </c>
      <c r="S83">
        <f ca="1"/>
        <v>8.8847917791810005E-3</v>
      </c>
      <c r="T83">
        <f ca="1"/>
        <v>0.58906180877368941</v>
      </c>
      <c r="U83">
        <f ca="1"/>
        <v>0</v>
      </c>
      <c r="V83">
        <f ca="1"/>
        <v>77.476565406958528</v>
      </c>
      <c r="W83">
        <f ca="1"/>
        <v>19.705995983943801</v>
      </c>
      <c r="X83">
        <f ca="1"/>
        <v>0.81790215549031764</v>
      </c>
      <c r="Y83">
        <f ca="1"/>
        <v>1</v>
      </c>
      <c r="Z83">
        <f ca="1"/>
        <v>2.1451650160618456</v>
      </c>
      <c r="AA83">
        <f ca="1"/>
        <v>0</v>
      </c>
      <c r="AB83">
        <f ca="1"/>
        <v>0.99997957653826219</v>
      </c>
      <c r="AD83" s="2">
        <f t="shared" ca="1" si="12"/>
        <v>45440</v>
      </c>
      <c r="AE83">
        <f t="shared" ca="1" si="13"/>
        <v>0</v>
      </c>
      <c r="AG83" s="63">
        <f t="shared" ca="1" si="17"/>
        <v>57.006302076060109</v>
      </c>
      <c r="AH83" s="63">
        <f t="shared" ca="1" si="18"/>
        <v>57.006302076060109</v>
      </c>
      <c r="AI83" s="3">
        <f t="shared" ca="1" si="19"/>
        <v>0</v>
      </c>
    </row>
    <row r="84" spans="7:35">
      <c r="G84" s="3">
        <f t="shared" ca="1" si="14"/>
        <v>105</v>
      </c>
      <c r="H84" s="95">
        <f t="shared" ca="1" si="16"/>
        <v>45395</v>
      </c>
      <c r="I84" s="119">
        <f ca="1">HLOOKUP($H$4,'Met Data'!$A$2:$F$368,G84,FALSE)</f>
        <v>13.504166666666601</v>
      </c>
      <c r="J84" s="119">
        <f ca="1">HLOOKUP($H$4,'Met Data'!$H$2:$M$368,G84,FALSE)*L84</f>
        <v>4.5</v>
      </c>
      <c r="K84" s="96">
        <f ca="1">HLOOKUP($H$4,'Met Data'!$O$2:$T$368,G84,FALSE)</f>
        <v>1.6970685904410301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45441</v>
      </c>
      <c r="Q84">
        <f ca="1"/>
        <v>52.566607252410151</v>
      </c>
      <c r="R84">
        <f ca="1"/>
        <v>1.8301882557056643</v>
      </c>
      <c r="S84">
        <f ca="1"/>
        <v>7.9518011863939364E-3</v>
      </c>
      <c r="T84">
        <f ca="1"/>
        <v>0.5272081705204521</v>
      </c>
      <c r="U84">
        <f ca="1"/>
        <v>0</v>
      </c>
      <c r="V84">
        <f ca="1"/>
        <v>79.306753662664192</v>
      </c>
      <c r="W84">
        <f ca="1"/>
        <v>20.171500388112417</v>
      </c>
      <c r="X84">
        <f ca="1"/>
        <v>0.31983776429587207</v>
      </c>
      <c r="Y84">
        <f ca="1"/>
        <v>1</v>
      </c>
      <c r="Z84">
        <f ca="1"/>
        <v>0.86462931580987146</v>
      </c>
      <c r="AA84">
        <f ca="1"/>
        <v>0</v>
      </c>
      <c r="AB84">
        <f ca="1"/>
        <v>0.99998293891871748</v>
      </c>
      <c r="AD84" s="2">
        <f t="shared" ca="1" si="12"/>
        <v>45441</v>
      </c>
      <c r="AE84">
        <f t="shared" ca="1" si="13"/>
        <v>0</v>
      </c>
      <c r="AG84" s="63">
        <f t="shared" ca="1" si="17"/>
        <v>54.716633272411684</v>
      </c>
      <c r="AH84" s="63">
        <f t="shared" ca="1" si="18"/>
        <v>54.716633272411684</v>
      </c>
      <c r="AI84" s="3">
        <f t="shared" ca="1" si="19"/>
        <v>0</v>
      </c>
    </row>
    <row r="85" spans="7:35">
      <c r="G85" s="3">
        <f t="shared" ca="1" si="14"/>
        <v>106</v>
      </c>
      <c r="H85" s="95">
        <f t="shared" ca="1" si="16"/>
        <v>45396</v>
      </c>
      <c r="I85" s="119">
        <f ca="1">HLOOKUP($H$4,'Met Data'!$A$2:$F$368,G85,FALSE)</f>
        <v>13.779166666666599</v>
      </c>
      <c r="J85" s="119">
        <f ca="1">HLOOKUP($H$4,'Met Data'!$H$2:$M$368,G85,FALSE)*L85</f>
        <v>0.9</v>
      </c>
      <c r="K85" s="96">
        <f ca="1">HLOOKUP($H$4,'Met Data'!$O$2:$T$368,G85,FALSE)</f>
        <v>2.0649391337631702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45442</v>
      </c>
      <c r="Q85">
        <f ca="1"/>
        <v>49.965978972253133</v>
      </c>
      <c r="R85">
        <f ca="1"/>
        <v>1.8735669370159656</v>
      </c>
      <c r="S85">
        <f ca="1"/>
        <v>7.9957401098340597E-3</v>
      </c>
      <c r="T85">
        <f ca="1"/>
        <v>0.53005501723931914</v>
      </c>
      <c r="U85">
        <f ca="1"/>
        <v>0</v>
      </c>
      <c r="V85">
        <f ca="1"/>
        <v>81.180320599680158</v>
      </c>
      <c r="W85">
        <f ca="1"/>
        <v>20.648038065570827</v>
      </c>
      <c r="X85">
        <f ca="1"/>
        <v>1.2651121004902095</v>
      </c>
      <c r="Y85">
        <f ca="1"/>
        <v>1</v>
      </c>
      <c r="Z85">
        <f ca="1"/>
        <v>3.5980299328115279</v>
      </c>
      <c r="AA85">
        <f ca="1"/>
        <v>0</v>
      </c>
      <c r="AB85">
        <f ca="1"/>
        <v>0.99998576211240997</v>
      </c>
      <c r="AD85" s="2">
        <f t="shared" ca="1" si="12"/>
        <v>45442</v>
      </c>
      <c r="AE85">
        <f t="shared" ca="1" si="13"/>
        <v>0</v>
      </c>
      <c r="AG85" s="63">
        <f t="shared" ca="1" si="17"/>
        <v>53.104658009759305</v>
      </c>
      <c r="AH85" s="63">
        <f t="shared" ca="1" si="18"/>
        <v>53.104658009759305</v>
      </c>
      <c r="AI85" s="3">
        <f t="shared" ca="1" si="19"/>
        <v>0</v>
      </c>
    </row>
    <row r="86" spans="7:35">
      <c r="G86" s="3">
        <f t="shared" ca="1" si="14"/>
        <v>107</v>
      </c>
      <c r="H86" s="95">
        <f t="shared" ca="1" si="16"/>
        <v>45397</v>
      </c>
      <c r="I86" s="119">
        <f ca="1">HLOOKUP($H$4,'Met Data'!$A$2:$F$368,G86,FALSE)</f>
        <v>13.920833333333301</v>
      </c>
      <c r="J86" s="119">
        <f ca="1">HLOOKUP($H$4,'Met Data'!$H$2:$M$368,G86,FALSE)*L86</f>
        <v>7.6</v>
      </c>
      <c r="K86" s="96">
        <f ca="1">HLOOKUP($H$4,'Met Data'!$O$2:$T$368,G86,FALSE)</f>
        <v>1.7084212444020199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45443</v>
      </c>
      <c r="Q86">
        <f ca="1"/>
        <v>48.105163494431295</v>
      </c>
      <c r="R86">
        <f ca="1"/>
        <v>1.9638089695412333</v>
      </c>
      <c r="S86">
        <f ca="1"/>
        <v>8.2279245427230308E-3</v>
      </c>
      <c r="T86">
        <f ca="1"/>
        <v>0.54532946932946325</v>
      </c>
      <c r="U86">
        <f ca="1"/>
        <v>0</v>
      </c>
      <c r="V86">
        <f ca="1"/>
        <v>83.144129569221391</v>
      </c>
      <c r="W86">
        <f ca="1"/>
        <v>21.147528607823705</v>
      </c>
      <c r="X86">
        <f ca="1"/>
        <v>0.45056390215279363</v>
      </c>
      <c r="Y86">
        <f ca="1"/>
        <v>1</v>
      </c>
      <c r="Z86">
        <f ca="1"/>
        <v>1.330990214642604</v>
      </c>
      <c r="AA86">
        <f ca="1"/>
        <v>0</v>
      </c>
      <c r="AB86">
        <f ca="1"/>
        <v>0.99998818156783265</v>
      </c>
      <c r="AD86" s="2">
        <f t="shared" ca="1" si="12"/>
        <v>45443</v>
      </c>
      <c r="AE86">
        <f t="shared" ca="1" si="13"/>
        <v>0</v>
      </c>
      <c r="AG86" s="63">
        <f t="shared" ca="1" si="17"/>
        <v>50.519536366125323</v>
      </c>
      <c r="AH86" s="63">
        <f t="shared" ca="1" si="18"/>
        <v>50.519536366125323</v>
      </c>
      <c r="AI86" s="3">
        <f t="shared" ca="1" si="19"/>
        <v>0</v>
      </c>
    </row>
    <row r="87" spans="7:35">
      <c r="G87" s="3">
        <f t="shared" ca="1" si="14"/>
        <v>108</v>
      </c>
      <c r="H87" s="95">
        <f t="shared" ca="1" si="16"/>
        <v>45398</v>
      </c>
      <c r="I87" s="119">
        <f ca="1">HLOOKUP($H$4,'Met Data'!$A$2:$F$368,G87,FALSE)</f>
        <v>13.6416666666666</v>
      </c>
      <c r="J87" s="119">
        <f ca="1">HLOOKUP($H$4,'Met Data'!$H$2:$M$368,G87,FALSE)*L87</f>
        <v>3.44999999999999</v>
      </c>
      <c r="K87" s="96">
        <f ca="1">HLOOKUP($H$4,'Met Data'!$O$2:$T$368,G87,FALSE)</f>
        <v>1.46996077972592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45444</v>
      </c>
      <c r="Q87">
        <f ca="1"/>
        <v>46.091436855366425</v>
      </c>
      <c r="R87">
        <f ca="1"/>
        <v>1.9975245843508276</v>
      </c>
      <c r="S87">
        <f ca="1"/>
        <v>8.2234183326335142E-3</v>
      </c>
      <c r="T87">
        <f ca="1"/>
        <v>0.54488283383681602</v>
      </c>
      <c r="U87">
        <f ca="1"/>
        <v>0</v>
      </c>
      <c r="V87">
        <f ca="1"/>
        <v>85.141654153572219</v>
      </c>
      <c r="W87">
        <f ca="1"/>
        <v>21.655594643408591</v>
      </c>
      <c r="X87">
        <f ca="1"/>
        <v>0.56930830688349066</v>
      </c>
      <c r="Y87">
        <f ca="1"/>
        <v>1</v>
      </c>
      <c r="Z87">
        <f ca="1"/>
        <v>1.7552437564817325</v>
      </c>
      <c r="AA87">
        <f ca="1"/>
        <v>0</v>
      </c>
      <c r="AB87">
        <f ca="1"/>
        <v>0.99999018836525944</v>
      </c>
      <c r="AD87" s="2">
        <f t="shared" ca="1" si="12"/>
        <v>45444</v>
      </c>
      <c r="AE87">
        <f t="shared" ca="1" si="13"/>
        <v>0</v>
      </c>
      <c r="AG87" s="63">
        <f t="shared" ca="1" si="17"/>
        <v>48.658269746600745</v>
      </c>
      <c r="AH87" s="63">
        <f t="shared" ca="1" si="18"/>
        <v>48.658269746600745</v>
      </c>
      <c r="AI87" s="3">
        <f t="shared" ca="1" si="19"/>
        <v>0</v>
      </c>
    </row>
    <row r="88" spans="7:35">
      <c r="G88" s="3">
        <f t="shared" ca="1" si="14"/>
        <v>109</v>
      </c>
      <c r="H88" s="95">
        <f t="shared" ca="1" si="16"/>
        <v>45399</v>
      </c>
      <c r="I88" s="119">
        <f ca="1">HLOOKUP($H$4,'Met Data'!$A$2:$F$368,G88,FALSE)</f>
        <v>13.6833333333333</v>
      </c>
      <c r="J88" s="119">
        <f ca="1">HLOOKUP($H$4,'Met Data'!$H$2:$M$368,G88,FALSE)*L88</f>
        <v>2.4166666666666599</v>
      </c>
      <c r="K88" s="96">
        <f ca="1">HLOOKUP($H$4,'Met Data'!$O$2:$T$368,G88,FALSE)</f>
        <v>1.64274717869015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45445</v>
      </c>
      <c r="Q88">
        <f ca="1"/>
        <v>44.372472304679086</v>
      </c>
      <c r="R88">
        <f ca="1"/>
        <v>2.0132568086162621</v>
      </c>
      <c r="S88">
        <f ca="1"/>
        <v>8.1485144042261481E-3</v>
      </c>
      <c r="T88">
        <f ca="1"/>
        <v>0.53976326843713107</v>
      </c>
      <c r="U88">
        <f ca="1"/>
        <v>0</v>
      </c>
      <c r="V88">
        <f ca="1"/>
        <v>87.154910962188481</v>
      </c>
      <c r="W88">
        <f ca="1"/>
        <v>22.167662136034899</v>
      </c>
      <c r="X88">
        <f ca="1"/>
        <v>0.25361952491244033</v>
      </c>
      <c r="Y88">
        <f ca="1"/>
        <v>1</v>
      </c>
      <c r="Z88">
        <f ca="1"/>
        <v>0.81223036395612525</v>
      </c>
      <c r="AA88">
        <f ca="1"/>
        <v>0</v>
      </c>
      <c r="AB88">
        <f ca="1"/>
        <v>0.99999183986083928</v>
      </c>
      <c r="AD88" s="2">
        <f t="shared" ca="1" si="12"/>
        <v>45445</v>
      </c>
      <c r="AE88">
        <f t="shared" ca="1" si="13"/>
        <v>0</v>
      </c>
      <c r="AG88" s="63">
        <f t="shared" ca="1" si="17"/>
        <v>46.639348638207785</v>
      </c>
      <c r="AH88" s="63">
        <f t="shared" ca="1" si="18"/>
        <v>46.639348638207785</v>
      </c>
      <c r="AI88" s="3">
        <f t="shared" ca="1" si="19"/>
        <v>0</v>
      </c>
    </row>
    <row r="89" spans="7:35">
      <c r="G89" s="3">
        <f t="shared" ca="1" si="14"/>
        <v>110</v>
      </c>
      <c r="H89" s="95">
        <f t="shared" ca="1" si="16"/>
        <v>45400</v>
      </c>
      <c r="I89" s="119">
        <f ca="1">HLOOKUP($H$4,'Met Data'!$A$2:$F$368,G89,FALSE)</f>
        <v>12.945833333333301</v>
      </c>
      <c r="J89" s="119">
        <f ca="1">HLOOKUP($H$4,'Met Data'!$H$2:$M$368,G89,FALSE)*L89</f>
        <v>1.5999999999999901</v>
      </c>
      <c r="K89" s="96">
        <f ca="1">HLOOKUP($H$4,'Met Data'!$O$2:$T$368,G89,FALSE)</f>
        <v>1.70342846945819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45446</v>
      </c>
      <c r="Q89">
        <f ca="1"/>
        <v>42.26882881912428</v>
      </c>
      <c r="R89">
        <f ca="1"/>
        <v>2.2672446072455728</v>
      </c>
      <c r="S89">
        <f ca="1"/>
        <v>9.023449486093682E-3</v>
      </c>
      <c r="T89">
        <f ca="1"/>
        <v>0.59754487449428861</v>
      </c>
      <c r="U89">
        <f ca="1"/>
        <v>0</v>
      </c>
      <c r="V89">
        <f ca="1"/>
        <v>89.422155569434054</v>
      </c>
      <c r="W89">
        <f ca="1"/>
        <v>22.744330873095183</v>
      </c>
      <c r="X89">
        <f ca="1"/>
        <v>0.44296720228961378</v>
      </c>
      <c r="Y89">
        <f ca="1"/>
        <v>1</v>
      </c>
      <c r="Z89">
        <f ca="1"/>
        <v>1.4892291225065009</v>
      </c>
      <c r="AA89">
        <f ca="1"/>
        <v>0</v>
      </c>
      <c r="AB89">
        <f ca="1"/>
        <v>0.99999334475383894</v>
      </c>
      <c r="AD89" s="2">
        <f t="shared" ca="1" si="12"/>
        <v>45446</v>
      </c>
      <c r="AE89">
        <f t="shared" ca="1" si="13"/>
        <v>0</v>
      </c>
      <c r="AG89" s="63">
        <f t="shared" ca="1" si="17"/>
        <v>44.979040628659469</v>
      </c>
      <c r="AH89" s="63">
        <f t="shared" ca="1" si="18"/>
        <v>44.979040628659469</v>
      </c>
      <c r="AI89" s="3">
        <f t="shared" ca="1" si="19"/>
        <v>0</v>
      </c>
    </row>
    <row r="90" spans="7:35">
      <c r="G90" s="3">
        <f t="shared" ca="1" si="14"/>
        <v>111</v>
      </c>
      <c r="H90" s="95">
        <f t="shared" ca="1" si="16"/>
        <v>45401</v>
      </c>
      <c r="I90" s="119">
        <f ca="1">HLOOKUP($H$4,'Met Data'!$A$2:$F$368,G90,FALSE)</f>
        <v>14.2875</v>
      </c>
      <c r="J90" s="119">
        <f ca="1">HLOOKUP($H$4,'Met Data'!$H$2:$M$368,G90,FALSE)*L90</f>
        <v>1.1499999999999999</v>
      </c>
      <c r="K90" s="96">
        <f ca="1">HLOOKUP($H$4,'Met Data'!$O$2:$T$368,G90,FALSE)</f>
        <v>1.68674688590323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45447</v>
      </c>
      <c r="Q90">
        <f ca="1"/>
        <v>39.68767200765901</v>
      </c>
      <c r="R90">
        <f ca="1"/>
        <v>2.253863939713824</v>
      </c>
      <c r="S90">
        <f ca="1"/>
        <v>8.8023199458007184E-3</v>
      </c>
      <c r="T90">
        <f ca="1"/>
        <v>0.58274970714013485</v>
      </c>
      <c r="U90">
        <f ca="1"/>
        <v>0</v>
      </c>
      <c r="V90">
        <f ca="1"/>
        <v>91.676019509147878</v>
      </c>
      <c r="W90">
        <f ca="1"/>
        <v>23.31759626645718</v>
      </c>
      <c r="X90">
        <f ca="1"/>
        <v>0.91884489883738707</v>
      </c>
      <c r="Y90">
        <f ca="1"/>
        <v>1</v>
      </c>
      <c r="Z90">
        <f ca="1"/>
        <v>3.2900064313517277</v>
      </c>
      <c r="AA90">
        <f ca="1"/>
        <v>0</v>
      </c>
      <c r="AB90">
        <f ca="1"/>
        <v>0.99999454552516231</v>
      </c>
      <c r="AD90" s="2">
        <f t="shared" ca="1" si="12"/>
        <v>45447</v>
      </c>
      <c r="AE90">
        <f t="shared" ca="1" si="13"/>
        <v>0</v>
      </c>
      <c r="AG90" s="63">
        <f t="shared" ca="1" si="17"/>
        <v>42.860380846210219</v>
      </c>
      <c r="AH90" s="63">
        <f t="shared" ca="1" si="18"/>
        <v>42.860380846210219</v>
      </c>
      <c r="AI90" s="3">
        <f t="shared" ca="1" si="19"/>
        <v>0</v>
      </c>
    </row>
    <row r="91" spans="7:35">
      <c r="G91" s="3">
        <f t="shared" ca="1" si="14"/>
        <v>112</v>
      </c>
      <c r="H91" s="95">
        <f t="shared" ca="1" si="16"/>
        <v>45402</v>
      </c>
      <c r="I91" s="119">
        <f ca="1">HLOOKUP($H$4,'Met Data'!$A$2:$F$368,G91,FALSE)</f>
        <v>14.275</v>
      </c>
      <c r="J91" s="119">
        <f ca="1">HLOOKUP($H$4,'Met Data'!$H$2:$M$368,G91,FALSE)*L91</f>
        <v>2.0833333333333299</v>
      </c>
      <c r="K91" s="96">
        <f ca="1">HLOOKUP($H$4,'Met Data'!$O$2:$T$368,G91,FALSE)</f>
        <v>1.5152419322458901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45448</v>
      </c>
      <c r="Q91">
        <f ca="1"/>
        <v>36.871696580657868</v>
      </c>
      <c r="R91">
        <f ca="1"/>
        <v>2.2672177383466732</v>
      </c>
      <c r="S91">
        <f ca="1"/>
        <v>8.6987528745368081E-3</v>
      </c>
      <c r="T91">
        <f ca="1"/>
        <v>0.5757866262774729</v>
      </c>
      <c r="U91">
        <f ca="1"/>
        <v>0</v>
      </c>
      <c r="V91">
        <f ca="1"/>
        <v>93.943237247494551</v>
      </c>
      <c r="W91">
        <f ca="1"/>
        <v>23.894258169471442</v>
      </c>
      <c r="X91">
        <f ca="1"/>
        <v>1.1332430678064738</v>
      </c>
      <c r="Y91">
        <f ca="1"/>
        <v>1</v>
      </c>
      <c r="Z91">
        <f ca="1"/>
        <v>4.3675724012378936</v>
      </c>
      <c r="AA91">
        <f ca="1"/>
        <v>0</v>
      </c>
      <c r="AB91">
        <f ca="1"/>
        <v>0.99999551923336039</v>
      </c>
      <c r="AD91" s="2">
        <f t="shared" ca="1" si="12"/>
        <v>45448</v>
      </c>
      <c r="AE91">
        <f t="shared" ca="1" si="13"/>
        <v>0</v>
      </c>
      <c r="AG91" s="63">
        <f t="shared" ca="1" si="17"/>
        <v>40.272157386811017</v>
      </c>
      <c r="AH91" s="63">
        <f t="shared" ca="1" si="18"/>
        <v>40.272157386811017</v>
      </c>
      <c r="AI91" s="3">
        <f t="shared" ca="1" si="19"/>
        <v>0</v>
      </c>
    </row>
    <row r="92" spans="7:35">
      <c r="G92" s="3">
        <f t="shared" ca="1" si="14"/>
        <v>113</v>
      </c>
      <c r="H92" s="95">
        <f t="shared" ca="1" si="16"/>
        <v>45403</v>
      </c>
      <c r="I92" s="119">
        <f ca="1">HLOOKUP($H$4,'Met Data'!$A$2:$F$368,G92,FALSE)</f>
        <v>13.595833333333299</v>
      </c>
      <c r="J92" s="119">
        <f ca="1">HLOOKUP($H$4,'Met Data'!$H$2:$M$368,G92,FALSE)*L92</f>
        <v>0.76666666666666605</v>
      </c>
      <c r="K92" s="96">
        <f ca="1">HLOOKUP($H$4,'Met Data'!$O$2:$T$368,G92,FALSE)</f>
        <v>1.65518894118648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45449</v>
      </c>
      <c r="Q92">
        <f ca="1"/>
        <v>34.810572224333335</v>
      </c>
      <c r="R92">
        <f ca="1"/>
        <v>2.2845836331763962</v>
      </c>
      <c r="S92">
        <f ca="1"/>
        <v>8.615957768782323E-3</v>
      </c>
      <c r="T92">
        <f ca="1"/>
        <v>0.5702542676068274</v>
      </c>
      <c r="U92">
        <f ca="1"/>
        <v>0</v>
      </c>
      <c r="V92">
        <f ca="1"/>
        <v>96.227820880670947</v>
      </c>
      <c r="W92">
        <f ca="1"/>
        <v>24.475337050083699</v>
      </c>
      <c r="X92">
        <f ca="1"/>
        <v>0.35541094852374877</v>
      </c>
      <c r="Y92">
        <f ca="1"/>
        <v>1</v>
      </c>
      <c r="Z92">
        <f ca="1"/>
        <v>1.4508743505761643</v>
      </c>
      <c r="AA92">
        <f ca="1"/>
        <v>0</v>
      </c>
      <c r="AB92">
        <f ca="1"/>
        <v>0.9999963122611214</v>
      </c>
      <c r="AD92" s="2">
        <f t="shared" ca="1" si="12"/>
        <v>45449</v>
      </c>
      <c r="AE92">
        <f t="shared" ca="1" si="13"/>
        <v>0</v>
      </c>
      <c r="AG92" s="63">
        <f t="shared" ca="1" si="17"/>
        <v>37.450566806033478</v>
      </c>
      <c r="AH92" s="63">
        <f t="shared" ca="1" si="18"/>
        <v>37.450566806033478</v>
      </c>
      <c r="AI92" s="3">
        <f t="shared" ca="1" si="19"/>
        <v>0</v>
      </c>
    </row>
    <row r="93" spans="7:35">
      <c r="G93" s="3">
        <f t="shared" ca="1" si="14"/>
        <v>114</v>
      </c>
      <c r="H93" s="95">
        <f t="shared" ca="1" si="16"/>
        <v>45404</v>
      </c>
      <c r="I93" s="119">
        <f ca="1">HLOOKUP($H$4,'Met Data'!$A$2:$F$368,G93,FALSE)</f>
        <v>13.9125</v>
      </c>
      <c r="J93" s="119">
        <f ca="1">HLOOKUP($H$4,'Met Data'!$H$2:$M$368,G93,FALSE)*L93</f>
        <v>0.3</v>
      </c>
      <c r="K93" s="96">
        <f ca="1">HLOOKUP($H$4,'Met Data'!$O$2:$T$368,G93,FALSE)</f>
        <v>1.66585763602601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45450</v>
      </c>
      <c r="Q93">
        <f ca="1"/>
        <v>33.063319653311552</v>
      </c>
      <c r="R93">
        <f ca="1"/>
        <v>2.127340228208368</v>
      </c>
      <c r="S93">
        <f ca="1"/>
        <v>7.9061420599799703E-3</v>
      </c>
      <c r="T93">
        <f ca="1"/>
        <v>0.52328254386758577</v>
      </c>
      <c r="U93">
        <f ca="1"/>
        <v>0</v>
      </c>
      <c r="V93">
        <f ca="1"/>
        <v>98.355161108879315</v>
      </c>
      <c r="W93">
        <f ca="1"/>
        <v>25.016421412475825</v>
      </c>
      <c r="X93">
        <f ca="1"/>
        <v>0.15110102874098524</v>
      </c>
      <c r="Y93">
        <f ca="1"/>
        <v>1</v>
      </c>
      <c r="Z93">
        <f ca="1"/>
        <v>0.64942817835037658</v>
      </c>
      <c r="AA93">
        <f ca="1"/>
        <v>0</v>
      </c>
      <c r="AB93">
        <f ca="1"/>
        <v>0.99999691508958077</v>
      </c>
      <c r="AD93" s="2">
        <f t="shared" ca="1" si="12"/>
        <v>45450</v>
      </c>
      <c r="AE93">
        <f t="shared" ca="1" si="13"/>
        <v>0</v>
      </c>
      <c r="AG93" s="63">
        <f t="shared" ca="1" si="17"/>
        <v>35.341760910260902</v>
      </c>
      <c r="AH93" s="63">
        <f t="shared" ca="1" si="18"/>
        <v>35.341760910260902</v>
      </c>
      <c r="AI93" s="3">
        <f t="shared" ca="1" si="19"/>
        <v>0</v>
      </c>
    </row>
    <row r="94" spans="7:35">
      <c r="G94" s="3">
        <f t="shared" ca="1" si="14"/>
        <v>115</v>
      </c>
      <c r="H94" s="95">
        <f t="shared" ca="1" si="16"/>
        <v>45405</v>
      </c>
      <c r="I94" s="119">
        <f ca="1">HLOOKUP($H$4,'Met Data'!$A$2:$F$368,G94,FALSE)</f>
        <v>14.820833333333301</v>
      </c>
      <c r="J94" s="119">
        <f ca="1">HLOOKUP($H$4,'Met Data'!$H$2:$M$368,G94,FALSE)*L94</f>
        <v>2.5333333333333301</v>
      </c>
      <c r="K94" s="96">
        <f ca="1">HLOOKUP($H$4,'Met Data'!$O$2:$T$368,G94,FALSE)</f>
        <v>1.5754379638326901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45451</v>
      </c>
      <c r="Q94">
        <f ca="1"/>
        <v>31.319175511539573</v>
      </c>
      <c r="R94">
        <f ca="1"/>
        <v>2.1368587052055688</v>
      </c>
      <c r="S94">
        <f ca="1"/>
        <v>7.8265443663383394E-3</v>
      </c>
      <c r="T94">
        <f ca="1"/>
        <v>0.51807752991515044</v>
      </c>
      <c r="U94">
        <f ca="1"/>
        <v>0</v>
      </c>
      <c r="V94">
        <f ca="1"/>
        <v>100.49201981408488</v>
      </c>
      <c r="W94">
        <f ca="1"/>
        <v>25.559926778799852</v>
      </c>
      <c r="X94">
        <f ca="1"/>
        <v>0.13318951084790318</v>
      </c>
      <c r="Y94">
        <f ca="1"/>
        <v>1</v>
      </c>
      <c r="Z94">
        <f ca="1"/>
        <v>0.60432403407104118</v>
      </c>
      <c r="AA94">
        <f ca="1"/>
        <v>0</v>
      </c>
      <c r="AB94">
        <f ca="1"/>
        <v>0.99999741456610325</v>
      </c>
      <c r="AD94" s="2">
        <f t="shared" ca="1" si="12"/>
        <v>45451</v>
      </c>
      <c r="AE94">
        <f t="shared" ca="1" si="13"/>
        <v>0</v>
      </c>
      <c r="AG94" s="63">
        <f t="shared" ca="1" si="17"/>
        <v>33.589223727593044</v>
      </c>
      <c r="AH94" s="63">
        <f t="shared" ca="1" si="18"/>
        <v>33.589223727593044</v>
      </c>
      <c r="AI94" s="3">
        <f t="shared" ca="1" si="19"/>
        <v>0</v>
      </c>
    </row>
    <row r="95" spans="7:35">
      <c r="G95" s="3">
        <f t="shared" ca="1" si="14"/>
        <v>116</v>
      </c>
      <c r="H95" s="95">
        <f t="shared" ca="1" si="16"/>
        <v>45406</v>
      </c>
      <c r="I95" s="119">
        <f ca="1">HLOOKUP($H$4,'Met Data'!$A$2:$F$368,G95,FALSE)</f>
        <v>14.4166666666666</v>
      </c>
      <c r="J95" s="119">
        <f ca="1">HLOOKUP($H$4,'Met Data'!$H$2:$M$368,G95,FALSE)*L95</f>
        <v>7.3833333333333302</v>
      </c>
      <c r="K95" s="96">
        <f ca="1">HLOOKUP($H$4,'Met Data'!$O$2:$T$368,G95,FALSE)</f>
        <v>1.4622003711311999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45452</v>
      </c>
      <c r="Q95">
        <f ca="1"/>
        <v>94.933575488972423</v>
      </c>
      <c r="R95">
        <f ca="1"/>
        <v>2.4937215091456579</v>
      </c>
      <c r="S95">
        <f ca="1"/>
        <v>8.9818684891298517E-3</v>
      </c>
      <c r="T95">
        <f ca="1"/>
        <v>0.59470867791059634</v>
      </c>
      <c r="U95">
        <f ca="1"/>
        <v>68.196562403028807</v>
      </c>
      <c r="V95">
        <f ca="1"/>
        <v>102.98574132323054</v>
      </c>
      <c r="W95">
        <f ca="1"/>
        <v>26.19419942351734</v>
      </c>
      <c r="X95">
        <f ca="1"/>
        <v>2.692131462850019</v>
      </c>
      <c r="Y95">
        <f ca="1"/>
        <v>1</v>
      </c>
      <c r="Z95">
        <f ca="1"/>
        <v>4.0648710380177562</v>
      </c>
      <c r="AA95">
        <f ca="1"/>
        <v>0</v>
      </c>
      <c r="AB95">
        <f ca="1"/>
        <v>0.99999788941029821</v>
      </c>
      <c r="AD95" s="2">
        <f t="shared" ca="1" si="12"/>
        <v>45452</v>
      </c>
      <c r="AE95">
        <f t="shared" ca="1" si="13"/>
        <v>68.196562403028807</v>
      </c>
      <c r="AG95" s="63">
        <f t="shared" ca="1" si="17"/>
        <v>100.11942846096811</v>
      </c>
      <c r="AH95" s="63">
        <f t="shared" ca="1" si="18"/>
        <v>100.11942846096809</v>
      </c>
      <c r="AI95" s="3">
        <f t="shared" ca="1" si="19"/>
        <v>0</v>
      </c>
    </row>
    <row r="96" spans="7:35">
      <c r="G96" s="3">
        <f t="shared" ca="1" si="14"/>
        <v>117</v>
      </c>
      <c r="H96" s="95">
        <f t="shared" ca="1" si="16"/>
        <v>45407</v>
      </c>
      <c r="I96" s="119">
        <f ca="1">HLOOKUP($H$4,'Met Data'!$A$2:$F$368,G96,FALSE)</f>
        <v>13.9375</v>
      </c>
      <c r="J96" s="119">
        <f ca="1">HLOOKUP($H$4,'Met Data'!$H$2:$M$368,G96,FALSE)*L96</f>
        <v>0.7</v>
      </c>
      <c r="K96" s="96">
        <f ca="1">HLOOKUP($H$4,'Met Data'!$O$2:$T$368,G96,FALSE)</f>
        <v>1.4965322621758601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45453</v>
      </c>
      <c r="Q96">
        <f ca="1"/>
        <v>89.009174204613927</v>
      </c>
      <c r="R96">
        <f ca="1"/>
        <v>2.533787718844664</v>
      </c>
      <c r="S96">
        <f ca="1"/>
        <v>8.9740860517224519E-3</v>
      </c>
      <c r="T96">
        <f ca="1"/>
        <v>0.59445126393997938</v>
      </c>
      <c r="U96">
        <f ca="1"/>
        <v>0</v>
      </c>
      <c r="V96">
        <f ca="1"/>
        <v>105.51952904207521</v>
      </c>
      <c r="W96">
        <f ca="1"/>
        <v>26.838662821571305</v>
      </c>
      <c r="X96">
        <f ca="1"/>
        <v>3.9940389155055214</v>
      </c>
      <c r="Y96">
        <f ca="1"/>
        <v>1</v>
      </c>
      <c r="Z96">
        <f ca="1"/>
        <v>6.3765781024554613</v>
      </c>
      <c r="AA96">
        <f ca="1"/>
        <v>0</v>
      </c>
      <c r="AB96">
        <f ca="1"/>
        <v>0.99999827689832521</v>
      </c>
      <c r="AD96" s="2">
        <f t="shared" ca="1" si="12"/>
        <v>45453</v>
      </c>
      <c r="AE96">
        <f t="shared" ca="1" si="13"/>
        <v>0</v>
      </c>
      <c r="AG96" s="63">
        <f t="shared" ca="1" si="17"/>
        <v>95.537000838964119</v>
      </c>
      <c r="AH96" s="63">
        <f t="shared" ca="1" si="18"/>
        <v>95.537000838964119</v>
      </c>
      <c r="AI96" s="3">
        <f t="shared" ca="1" si="19"/>
        <v>0</v>
      </c>
    </row>
    <row r="97" spans="7:35">
      <c r="G97" s="3">
        <f t="shared" ca="1" si="14"/>
        <v>118</v>
      </c>
      <c r="H97" s="95">
        <f t="shared" ca="1" si="16"/>
        <v>45408</v>
      </c>
      <c r="I97" s="119">
        <f ca="1">HLOOKUP($H$4,'Met Data'!$A$2:$F$368,G97,FALSE)</f>
        <v>14.8045454545454</v>
      </c>
      <c r="J97" s="119">
        <f ca="1">HLOOKUP($H$4,'Met Data'!$H$2:$M$368,G97,FALSE)*L97</f>
        <v>4.5818181818181802</v>
      </c>
      <c r="K97" s="96">
        <f ca="1">HLOOKUP($H$4,'Met Data'!$O$2:$T$368,G97,FALSE)</f>
        <v>1.5702581753512701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45454</v>
      </c>
      <c r="Q97">
        <f ca="1"/>
        <v>86.869235125323925</v>
      </c>
      <c r="R97">
        <f ca="1"/>
        <v>2.7990451811722181</v>
      </c>
      <c r="S97">
        <f ca="1"/>
        <v>9.7959729734782286E-3</v>
      </c>
      <c r="T97">
        <f ca="1"/>
        <v>0.64931012890873119</v>
      </c>
      <c r="U97">
        <f ca="1"/>
        <v>0</v>
      </c>
      <c r="V97">
        <f ca="1"/>
        <v>108.31857422324742</v>
      </c>
      <c r="W97">
        <f ca="1"/>
        <v>27.550593878521628</v>
      </c>
      <c r="X97">
        <f ca="1"/>
        <v>0</v>
      </c>
      <c r="Y97">
        <f ca="1"/>
        <v>0.9999400014338059</v>
      </c>
      <c r="Z97">
        <f ca="1"/>
        <v>0</v>
      </c>
      <c r="AA97">
        <f ca="1"/>
        <v>0</v>
      </c>
      <c r="AB97">
        <f ca="1"/>
        <v>0.99999861770337128</v>
      </c>
      <c r="AD97" s="2">
        <f t="shared" ca="1" si="12"/>
        <v>45454</v>
      </c>
      <c r="AE97">
        <f t="shared" ca="1" si="13"/>
        <v>0</v>
      </c>
      <c r="AG97" s="63">
        <f t="shared" ca="1" si="17"/>
        <v>89.668280306496143</v>
      </c>
      <c r="AH97" s="63">
        <f t="shared" ca="1" si="18"/>
        <v>89.668280306496143</v>
      </c>
      <c r="AI97" s="3">
        <f t="shared" ca="1" si="19"/>
        <v>0</v>
      </c>
    </row>
    <row r="98" spans="7:35">
      <c r="G98" s="3">
        <f t="shared" ca="1" si="14"/>
        <v>119</v>
      </c>
      <c r="H98" s="95">
        <f t="shared" ca="1" si="16"/>
        <v>45409</v>
      </c>
      <c r="I98" s="119">
        <f ca="1">HLOOKUP($H$4,'Met Data'!$A$2:$F$368,G98,FALSE)</f>
        <v>14.1090909090909</v>
      </c>
      <c r="J98" s="119">
        <f ca="1">HLOOKUP($H$4,'Met Data'!$H$2:$M$368,G98,FALSE)*L98</f>
        <v>5.5454545454545396</v>
      </c>
      <c r="K98" s="96">
        <f ca="1">HLOOKUP($H$4,'Met Data'!$O$2:$T$368,G98,FALSE)</f>
        <v>1.27231342308323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45455</v>
      </c>
      <c r="Q98">
        <f ca="1"/>
        <v>82.288317791807103</v>
      </c>
      <c r="R98">
        <f ca="1"/>
        <v>2.5206179983931207</v>
      </c>
      <c r="S98">
        <f ca="1"/>
        <v>8.6204871001029915E-3</v>
      </c>
      <c r="T98">
        <f ca="1"/>
        <v>0.5718643768200885</v>
      </c>
      <c r="U98">
        <f ca="1"/>
        <v>0</v>
      </c>
      <c r="V98">
        <f ca="1"/>
        <v>110.83919222164054</v>
      </c>
      <c r="W98">
        <f ca="1"/>
        <v>28.191707586808576</v>
      </c>
      <c r="X98">
        <f ca="1"/>
        <v>2.6407841990438872</v>
      </c>
      <c r="Y98">
        <f ca="1"/>
        <v>1</v>
      </c>
      <c r="Z98">
        <f ca="1"/>
        <v>4.5604205264930684</v>
      </c>
      <c r="AA98">
        <f ca="1"/>
        <v>0</v>
      </c>
      <c r="AB98">
        <f ca="1"/>
        <v>0.9999988629671156</v>
      </c>
      <c r="AD98" s="2">
        <f t="shared" ca="1" si="12"/>
        <v>45455</v>
      </c>
      <c r="AE98">
        <f t="shared" ca="1" si="13"/>
        <v>0</v>
      </c>
      <c r="AG98" s="63">
        <f t="shared" ca="1" si="17"/>
        <v>87.449719989244116</v>
      </c>
      <c r="AH98" s="63">
        <f t="shared" ca="1" si="18"/>
        <v>87.449719989244116</v>
      </c>
      <c r="AI98" s="3">
        <f t="shared" ca="1" si="19"/>
        <v>0</v>
      </c>
    </row>
    <row r="99" spans="7:35">
      <c r="G99" s="3">
        <f t="shared" ca="1" si="14"/>
        <v>120</v>
      </c>
      <c r="H99" s="95">
        <f t="shared" ca="1" si="16"/>
        <v>45410</v>
      </c>
      <c r="I99" s="119">
        <f ca="1">HLOOKUP($H$4,'Met Data'!$A$2:$F$368,G99,FALSE)</f>
        <v>13.8375</v>
      </c>
      <c r="J99" s="119">
        <f ca="1">HLOOKUP($H$4,'Met Data'!$H$2:$M$368,G99,FALSE)*L99</f>
        <v>4.68333333333333</v>
      </c>
      <c r="K99" s="96">
        <f ca="1">HLOOKUP($H$4,'Met Data'!$O$2:$T$368,G99,FALSE)</f>
        <v>1.5077932055652401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45456</v>
      </c>
      <c r="Q99">
        <f ca="1"/>
        <v>80.319918879033196</v>
      </c>
      <c r="R99">
        <f ca="1"/>
        <v>2.4696406702771583</v>
      </c>
      <c r="S99">
        <f ca="1"/>
        <v>8.3175198306406628E-3</v>
      </c>
      <c r="T99">
        <f ca="1"/>
        <v>0.55228214580084845</v>
      </c>
      <c r="U99">
        <f ca="1"/>
        <v>0</v>
      </c>
      <c r="V99">
        <f ca="1"/>
        <v>113.3088328919177</v>
      </c>
      <c r="W99">
        <f ca="1"/>
        <v>28.819855322509504</v>
      </c>
      <c r="X99">
        <f ca="1"/>
        <v>5.9357908128230968E-2</v>
      </c>
      <c r="Y99">
        <f ca="1"/>
        <v>1</v>
      </c>
      <c r="Z99">
        <f ca="1"/>
        <v>0.10501842223929714</v>
      </c>
      <c r="AA99">
        <f ca="1"/>
        <v>0</v>
      </c>
      <c r="AB99">
        <f ca="1"/>
        <v>0.9999990584529771</v>
      </c>
      <c r="AD99" s="2">
        <f t="shared" ca="1" si="12"/>
        <v>45456</v>
      </c>
      <c r="AE99">
        <f t="shared" ca="1" si="13"/>
        <v>0</v>
      </c>
      <c r="AG99" s="63">
        <f t="shared" ca="1" si="17"/>
        <v>82.848917457438588</v>
      </c>
      <c r="AH99" s="63">
        <f t="shared" ca="1" si="18"/>
        <v>82.848917457438588</v>
      </c>
      <c r="AI99" s="3">
        <f t="shared" ca="1" si="19"/>
        <v>0</v>
      </c>
    </row>
    <row r="100" spans="7:35">
      <c r="G100" s="3">
        <f t="shared" ca="1" si="14"/>
        <v>121</v>
      </c>
      <c r="H100" s="95">
        <f t="shared" ca="1" si="16"/>
        <v>45411</v>
      </c>
      <c r="I100" s="119">
        <f ca="1">HLOOKUP($H$4,'Met Data'!$A$2:$F$368,G100,FALSE)</f>
        <v>13.6458333333333</v>
      </c>
      <c r="J100" s="119">
        <f ca="1">HLOOKUP($H$4,'Met Data'!$H$2:$M$368,G100,FALSE)*L100</f>
        <v>5.3999999999999897</v>
      </c>
      <c r="K100" s="96">
        <f ca="1">HLOOKUP($H$4,'Met Data'!$O$2:$T$368,G100,FALSE)</f>
        <v>1.60300410285803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45457</v>
      </c>
      <c r="Q100">
        <f ca="1"/>
        <v>77.887680034876325</v>
      </c>
      <c r="R100">
        <f ca="1"/>
        <v>2.2292707711531676</v>
      </c>
      <c r="S100">
        <f ca="1"/>
        <v>7.4418587281144255E-3</v>
      </c>
      <c r="T100">
        <f ca="1"/>
        <v>0.49464592634953769</v>
      </c>
      <c r="U100">
        <f ca="1"/>
        <v>0</v>
      </c>
      <c r="V100">
        <f ca="1"/>
        <v>115.53810366307087</v>
      </c>
      <c r="W100">
        <f ca="1"/>
        <v>29.386865496911511</v>
      </c>
      <c r="X100">
        <f ca="1"/>
        <v>0.70505585808135807</v>
      </c>
      <c r="Y100">
        <f ca="1"/>
        <v>1</v>
      </c>
      <c r="Z100">
        <f ca="1"/>
        <v>1.2863670892341759</v>
      </c>
      <c r="AA100">
        <f ca="1"/>
        <v>0</v>
      </c>
      <c r="AB100">
        <f ca="1"/>
        <v>0.99999920413664778</v>
      </c>
      <c r="AD100" s="2">
        <f t="shared" ca="1" si="12"/>
        <v>45457</v>
      </c>
      <c r="AE100">
        <f t="shared" ca="1" si="13"/>
        <v>0</v>
      </c>
      <c r="AG100" s="63">
        <f t="shared" ca="1" si="17"/>
        <v>80.822006664110845</v>
      </c>
      <c r="AH100" s="63">
        <f t="shared" ca="1" si="18"/>
        <v>80.822006664110845</v>
      </c>
      <c r="AI100" s="3">
        <f t="shared" ca="1" si="19"/>
        <v>0</v>
      </c>
    </row>
    <row r="101" spans="7:35">
      <c r="G101" s="3">
        <f t="shared" ca="1" si="14"/>
        <v>122</v>
      </c>
      <c r="H101" s="95">
        <f t="shared" ca="1" si="16"/>
        <v>45412</v>
      </c>
      <c r="I101" s="119">
        <f ca="1">HLOOKUP($H$4,'Met Data'!$A$2:$F$368,G101,FALSE)</f>
        <v>11.883333333333301</v>
      </c>
      <c r="J101" s="119">
        <f ca="1">HLOOKUP($H$4,'Met Data'!$H$2:$M$368,G101,FALSE)*L101</f>
        <v>0.25</v>
      </c>
      <c r="K101" s="96">
        <f ca="1">HLOOKUP($H$4,'Met Data'!$O$2:$T$368,G101,FALSE)</f>
        <v>1.67837953393642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45458</v>
      </c>
      <c r="Q101">
        <f ca="1"/>
        <v>74.947336785276448</v>
      </c>
      <c r="R101">
        <f ca="1"/>
        <v>2.5316225834010311</v>
      </c>
      <c r="S101">
        <f ca="1"/>
        <v>8.2923929430052112E-3</v>
      </c>
      <c r="T101">
        <f ca="1"/>
        <v>0.55183189378640884</v>
      </c>
      <c r="U101">
        <f ca="1"/>
        <v>0</v>
      </c>
      <c r="V101">
        <f ca="1"/>
        <v>118.0697262464719</v>
      </c>
      <c r="W101">
        <f ca="1"/>
        <v>30.030778197472205</v>
      </c>
      <c r="X101">
        <f ca="1"/>
        <v>0.96884495292827055</v>
      </c>
      <c r="Y101">
        <f ca="1"/>
        <v>1</v>
      </c>
      <c r="Z101">
        <f ca="1"/>
        <v>1.8369961215502073</v>
      </c>
      <c r="AA101">
        <f ca="1"/>
        <v>0</v>
      </c>
      <c r="AB101">
        <f ca="1"/>
        <v>0.99999934086427922</v>
      </c>
      <c r="AD101" s="2">
        <f t="shared" ca="1" si="12"/>
        <v>45458</v>
      </c>
      <c r="AE101">
        <f t="shared" ca="1" si="13"/>
        <v>0</v>
      </c>
      <c r="AG101" s="63">
        <f t="shared" ca="1" si="17"/>
        <v>78.447804321605744</v>
      </c>
      <c r="AH101" s="63">
        <f t="shared" ca="1" si="18"/>
        <v>78.447804321605744</v>
      </c>
      <c r="AI101" s="3">
        <f t="shared" ca="1" si="19"/>
        <v>0</v>
      </c>
    </row>
    <row r="102" spans="7:35">
      <c r="G102" s="3">
        <f t="shared" ca="1" si="14"/>
        <v>123</v>
      </c>
      <c r="H102" s="95">
        <f t="shared" ca="1" si="16"/>
        <v>45413</v>
      </c>
      <c r="I102" s="119">
        <f ca="1">HLOOKUP($H$4,'Met Data'!$A$2:$F$368,G102,FALSE)</f>
        <v>11.8541666666666</v>
      </c>
      <c r="J102" s="119">
        <f ca="1">HLOOKUP($H$4,'Met Data'!$H$2:$M$368,G102,FALSE)*L102</f>
        <v>0.133333333333333</v>
      </c>
      <c r="K102" s="96">
        <f ca="1">HLOOKUP($H$4,'Met Data'!$O$2:$T$368,G102,FALSE)</f>
        <v>1.44561782365903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45459</v>
      </c>
      <c r="Q102">
        <f ca="1"/>
        <v>72.101318184157051</v>
      </c>
      <c r="R102">
        <f ca="1"/>
        <v>2.5913185159072754</v>
      </c>
      <c r="S102">
        <f ca="1"/>
        <v>8.3653006032022859E-3</v>
      </c>
      <c r="T102">
        <f ca="1"/>
        <v>0.55747684122262964</v>
      </c>
      <c r="U102">
        <f ca="1"/>
        <v>0</v>
      </c>
      <c r="V102">
        <f ca="1"/>
        <v>120.66104476237918</v>
      </c>
      <c r="W102">
        <f ca="1"/>
        <v>30.689874428692097</v>
      </c>
      <c r="X102">
        <f ca="1"/>
        <v>0.82054222703794544</v>
      </c>
      <c r="Y102">
        <f ca="1"/>
        <v>1</v>
      </c>
      <c r="Z102">
        <f ca="1"/>
        <v>1.6172154967759482</v>
      </c>
      <c r="AA102">
        <f ca="1"/>
        <v>0</v>
      </c>
      <c r="AB102">
        <f ca="1"/>
        <v>0.99999945516002997</v>
      </c>
      <c r="AD102" s="2">
        <f t="shared" ca="1" si="12"/>
        <v>45459</v>
      </c>
      <c r="AE102">
        <f t="shared" ca="1" si="13"/>
        <v>0</v>
      </c>
      <c r="AG102" s="63">
        <f t="shared" ca="1" si="17"/>
        <v>75.513178927102274</v>
      </c>
      <c r="AH102" s="63">
        <f t="shared" ca="1" si="18"/>
        <v>75.513178927102274</v>
      </c>
      <c r="AI102" s="3">
        <f t="shared" ca="1" si="19"/>
        <v>0</v>
      </c>
    </row>
    <row r="103" spans="7:35">
      <c r="G103" s="3">
        <f t="shared" ca="1" si="14"/>
        <v>124</v>
      </c>
      <c r="H103" s="95">
        <f t="shared" ca="1" si="16"/>
        <v>45414</v>
      </c>
      <c r="I103" s="119">
        <f ca="1">HLOOKUP($H$4,'Met Data'!$A$2:$F$368,G103,FALSE)</f>
        <v>13.0875</v>
      </c>
      <c r="J103" s="119">
        <f ca="1">HLOOKUP($H$4,'Met Data'!$H$2:$M$368,G103,FALSE)*L103</f>
        <v>2.1333333333333302</v>
      </c>
      <c r="K103" s="96">
        <f ca="1">HLOOKUP($H$4,'Met Data'!$O$2:$T$368,G103,FALSE)</f>
        <v>1.4319782957140901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45460</v>
      </c>
      <c r="Q103">
        <f ca="1"/>
        <v>67.759819173301153</v>
      </c>
      <c r="R103">
        <f ca="1"/>
        <v>2.6471843587569452</v>
      </c>
      <c r="S103">
        <f ca="1"/>
        <v>8.4232458045931935E-3</v>
      </c>
      <c r="T103">
        <f ca="1"/>
        <v>0.56224684454290641</v>
      </c>
      <c r="U103">
        <f ca="1"/>
        <v>0</v>
      </c>
      <c r="V103">
        <f ca="1"/>
        <v>123.30822912113612</v>
      </c>
      <c r="W103">
        <f ca="1"/>
        <v>31.363180015593322</v>
      </c>
      <c r="X103">
        <f ca="1"/>
        <v>2.2649847424464569</v>
      </c>
      <c r="Y103">
        <f ca="1"/>
        <v>1</v>
      </c>
      <c r="Z103">
        <f ca="1"/>
        <v>4.7501049560178359</v>
      </c>
      <c r="AA103">
        <f ca="1"/>
        <v>0</v>
      </c>
      <c r="AB103">
        <f ca="1"/>
        <v>0.99999955036966892</v>
      </c>
      <c r="AD103" s="2">
        <f t="shared" ca="1" si="12"/>
        <v>45460</v>
      </c>
      <c r="AE103">
        <f t="shared" ca="1" si="13"/>
        <v>0</v>
      </c>
      <c r="AG103" s="63">
        <f t="shared" ca="1" si="17"/>
        <v>72.671988274504557</v>
      </c>
      <c r="AH103" s="63">
        <f t="shared" ca="1" si="18"/>
        <v>72.671988274504557</v>
      </c>
      <c r="AI103" s="3">
        <f t="shared" ca="1" si="19"/>
        <v>0</v>
      </c>
    </row>
    <row r="104" spans="7:35">
      <c r="G104" s="3">
        <f t="shared" ca="1" si="14"/>
        <v>125</v>
      </c>
      <c r="H104" s="95">
        <f t="shared" ca="1" si="16"/>
        <v>45415</v>
      </c>
      <c r="I104" s="119">
        <f ca="1">HLOOKUP($H$4,'Met Data'!$A$2:$F$368,G104,FALSE)</f>
        <v>13.137499999999999</v>
      </c>
      <c r="J104" s="119">
        <f ca="1">HLOOKUP($H$4,'Met Data'!$H$2:$M$368,G104,FALSE)*L104</f>
        <v>3</v>
      </c>
      <c r="K104" s="96">
        <f ca="1">HLOOKUP($H$4,'Met Data'!$O$2:$T$368,G104,FALSE)</f>
        <v>1.16413167388704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45461</v>
      </c>
      <c r="Q104">
        <f ca="1"/>
        <v>60.801907506542044</v>
      </c>
      <c r="R104">
        <f ca="1"/>
        <v>2.7719271771949678</v>
      </c>
      <c r="S104">
        <f ca="1"/>
        <v>8.6969504642837592E-3</v>
      </c>
      <c r="T104">
        <f ca="1"/>
        <v>0.58158551446663231</v>
      </c>
      <c r="U104">
        <f ca="1"/>
        <v>0</v>
      </c>
      <c r="V104">
        <f ca="1"/>
        <v>126.08015629833109</v>
      </c>
      <c r="W104">
        <f ca="1"/>
        <v>32.068213667184217</v>
      </c>
      <c r="X104">
        <f ca="1"/>
        <v>4.7762669544950631</v>
      </c>
      <c r="Y104">
        <f ca="1"/>
        <v>1</v>
      </c>
      <c r="Z104">
        <f ca="1"/>
        <v>11.163016101227555</v>
      </c>
      <c r="AA104">
        <f ca="1"/>
        <v>0</v>
      </c>
      <c r="AB104">
        <f ca="1"/>
        <v>0.99999963135158021</v>
      </c>
      <c r="AD104" s="2">
        <f t="shared" ca="1" si="12"/>
        <v>45461</v>
      </c>
      <c r="AE104">
        <f t="shared" ca="1" si="13"/>
        <v>0</v>
      </c>
      <c r="AG104" s="63">
        <f t="shared" ca="1" si="17"/>
        <v>68.350101638232076</v>
      </c>
      <c r="AH104" s="63">
        <f t="shared" ca="1" si="18"/>
        <v>68.350101638232076</v>
      </c>
      <c r="AI104" s="3">
        <f t="shared" ca="1" si="19"/>
        <v>0</v>
      </c>
    </row>
    <row r="105" spans="7:35">
      <c r="G105" s="3">
        <f t="shared" ca="1" si="14"/>
        <v>126</v>
      </c>
      <c r="H105" s="95">
        <f t="shared" ca="1" si="16"/>
        <v>45416</v>
      </c>
      <c r="I105" s="119">
        <f ca="1">HLOOKUP($H$4,'Met Data'!$A$2:$F$368,G105,FALSE)</f>
        <v>13.591666666666599</v>
      </c>
      <c r="J105" s="119">
        <f ca="1">HLOOKUP($H$4,'Met Data'!$H$2:$M$368,G105,FALSE)*L105</f>
        <v>4.8499999999999996</v>
      </c>
      <c r="K105" s="96">
        <f ca="1">HLOOKUP($H$4,'Met Data'!$O$2:$T$368,G105,FALSE)</f>
        <v>1.3049016144750001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45462</v>
      </c>
      <c r="Q105">
        <f ca="1"/>
        <v>55.402938111193016</v>
      </c>
      <c r="R105">
        <f ca="1"/>
        <v>2.7938875347287393</v>
      </c>
      <c r="S105">
        <f ca="1"/>
        <v>8.6387055276162528E-3</v>
      </c>
      <c r="T105">
        <f ca="1"/>
        <v>0.57888182017514145</v>
      </c>
      <c r="U105">
        <f ca="1"/>
        <v>0</v>
      </c>
      <c r="V105">
        <f ca="1"/>
        <v>128.87404383305983</v>
      </c>
      <c r="W105">
        <f ca="1"/>
        <v>32.77883288797392</v>
      </c>
      <c r="X105">
        <f ca="1"/>
        <v>3.1926023863230477</v>
      </c>
      <c r="Y105">
        <f ca="1"/>
        <v>1</v>
      </c>
      <c r="Z105">
        <f ca="1"/>
        <v>8.1888365082086096</v>
      </c>
      <c r="AA105">
        <f ca="1"/>
        <v>0</v>
      </c>
      <c r="AB105">
        <f ca="1"/>
        <v>0.99999969747507511</v>
      </c>
      <c r="AD105" s="2">
        <f t="shared" ca="1" si="12"/>
        <v>45462</v>
      </c>
      <c r="AE105">
        <f t="shared" ca="1" si="13"/>
        <v>0</v>
      </c>
      <c r="AG105" s="63">
        <f t="shared" ca="1" si="17"/>
        <v>61.389428032244801</v>
      </c>
      <c r="AH105" s="63">
        <f t="shared" ca="1" si="18"/>
        <v>61.389428032244801</v>
      </c>
      <c r="AI105" s="3">
        <f t="shared" ca="1" si="19"/>
        <v>0</v>
      </c>
    </row>
    <row r="106" spans="7:35">
      <c r="G106" s="3">
        <f t="shared" ca="1" si="14"/>
        <v>127</v>
      </c>
      <c r="H106" s="95">
        <f t="shared" ca="1" si="16"/>
        <v>45417</v>
      </c>
      <c r="I106" s="119">
        <f ca="1">HLOOKUP($H$4,'Met Data'!$A$2:$F$368,G106,FALSE)</f>
        <v>13.2708333333333</v>
      </c>
      <c r="J106" s="119">
        <f ca="1">HLOOKUP($H$4,'Met Data'!$H$2:$M$368,G106,FALSE)*L106</f>
        <v>2.36666666666666</v>
      </c>
      <c r="K106" s="96">
        <f ca="1">HLOOKUP($H$4,'Met Data'!$O$2:$T$368,G106,FALSE)</f>
        <v>1.29751787384439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45463</v>
      </c>
      <c r="Q106">
        <f ca="1"/>
        <v>52.913709027786837</v>
      </c>
      <c r="R106">
        <f ca="1"/>
        <v>2.6705819995891034</v>
      </c>
      <c r="S106">
        <f ca="1"/>
        <v>8.1423402133964373E-3</v>
      </c>
      <c r="T106">
        <f ca="1"/>
        <v>0.54681315719359913</v>
      </c>
      <c r="U106">
        <f ca="1"/>
        <v>0</v>
      </c>
      <c r="V106">
        <f ca="1"/>
        <v>131.54462583264893</v>
      </c>
      <c r="W106">
        <f ca="1"/>
        <v>33.458089613956361</v>
      </c>
      <c r="X106">
        <f ca="1"/>
        <v>0.37360258122406731</v>
      </c>
      <c r="Y106">
        <f ca="1"/>
        <v>1</v>
      </c>
      <c r="Z106">
        <f ca="1"/>
        <v>1.0033485479809201</v>
      </c>
      <c r="AA106">
        <f ca="1"/>
        <v>0</v>
      </c>
      <c r="AB106">
        <f ca="1"/>
        <v>0.99999974901320698</v>
      </c>
      <c r="AD106" s="2">
        <f t="shared" ca="1" si="12"/>
        <v>45463</v>
      </c>
      <c r="AE106">
        <f t="shared" ca="1" si="13"/>
        <v>0</v>
      </c>
      <c r="AG106" s="63">
        <f t="shared" ca="1" si="17"/>
        <v>55.95789360860001</v>
      </c>
      <c r="AH106" s="63">
        <f t="shared" ca="1" si="18"/>
        <v>55.95789360860001</v>
      </c>
      <c r="AI106" s="3">
        <f t="shared" ca="1" si="19"/>
        <v>0</v>
      </c>
    </row>
    <row r="107" spans="7:35">
      <c r="G107" s="3">
        <f t="shared" ca="1" si="14"/>
        <v>128</v>
      </c>
      <c r="H107" s="95">
        <f t="shared" ca="1" si="16"/>
        <v>45418</v>
      </c>
      <c r="I107" s="119">
        <f ca="1">HLOOKUP($H$4,'Met Data'!$A$2:$F$368,G107,FALSE)</f>
        <v>12.6791666666666</v>
      </c>
      <c r="J107" s="119">
        <f ca="1">HLOOKUP($H$4,'Met Data'!$H$2:$M$368,G107,FALSE)*L107</f>
        <v>5.4166666666666599</v>
      </c>
      <c r="K107" s="96">
        <f ca="1">HLOOKUP($H$4,'Met Data'!$O$2:$T$368,G107,FALSE)</f>
        <v>1.3071916611718599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45464</v>
      </c>
      <c r="Q107">
        <f ca="1"/>
        <v>50.620039310993171</v>
      </c>
      <c r="R107">
        <f ca="1"/>
        <v>2.4135633848465545</v>
      </c>
      <c r="S107">
        <f ca="1"/>
        <v>7.3073703065773543E-3</v>
      </c>
      <c r="T107">
        <f ca="1"/>
        <v>0.49180858341818334</v>
      </c>
      <c r="U107">
        <f ca="1"/>
        <v>0</v>
      </c>
      <c r="V107">
        <f ca="1"/>
        <v>133.95818921749549</v>
      </c>
      <c r="W107">
        <f ca="1"/>
        <v>34.071974214015157</v>
      </c>
      <c r="X107">
        <f ca="1"/>
        <v>0.37922228567187105</v>
      </c>
      <c r="Y107">
        <f ca="1"/>
        <v>1</v>
      </c>
      <c r="Z107">
        <f ca="1"/>
        <v>1.0645879267232488</v>
      </c>
      <c r="AA107">
        <f ca="1"/>
        <v>0</v>
      </c>
      <c r="AB107">
        <f ca="1"/>
        <v>0.99999978762487629</v>
      </c>
      <c r="AD107" s="2">
        <f t="shared" ca="1" si="12"/>
        <v>45464</v>
      </c>
      <c r="AE107">
        <f t="shared" ca="1" si="13"/>
        <v>0</v>
      </c>
      <c r="AG107" s="63">
        <f t="shared" ca="1" si="17"/>
        <v>53.412824981511598</v>
      </c>
      <c r="AH107" s="63">
        <f t="shared" ca="1" si="18"/>
        <v>53.412824981511598</v>
      </c>
      <c r="AI107" s="3">
        <f t="shared" ca="1" si="19"/>
        <v>0</v>
      </c>
    </row>
    <row r="108" spans="7:35">
      <c r="G108" s="3">
        <f t="shared" ca="1" si="14"/>
        <v>129</v>
      </c>
      <c r="H108" s="95">
        <f t="shared" ca="1" si="16"/>
        <v>45419</v>
      </c>
      <c r="I108" s="119">
        <f ca="1">HLOOKUP($H$4,'Met Data'!$A$2:$F$368,G108,FALSE)</f>
        <v>12.799999999999899</v>
      </c>
      <c r="J108" s="119">
        <f ca="1">HLOOKUP($H$4,'Met Data'!$H$2:$M$368,G108,FALSE)*L108</f>
        <v>2.1666666666666599</v>
      </c>
      <c r="K108" s="96">
        <f ca="1">HLOOKUP($H$4,'Met Data'!$O$2:$T$368,G108,FALSE)</f>
        <v>1.27112414081248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45465</v>
      </c>
      <c r="Q108">
        <f ca="1"/>
        <v>47.93311597329113</v>
      </c>
      <c r="R108">
        <f ca="1"/>
        <v>2.4501928258129624</v>
      </c>
      <c r="S108">
        <f ca="1"/>
        <v>7.3284891146556674E-3</v>
      </c>
      <c r="T108">
        <f ca="1"/>
        <v>0.49432167187430681</v>
      </c>
      <c r="U108">
        <f ca="1"/>
        <v>0</v>
      </c>
      <c r="V108">
        <f ca="1"/>
        <v>136.40838204330845</v>
      </c>
      <c r="W108">
        <f ca="1"/>
        <v>34.695175432754546</v>
      </c>
      <c r="X108">
        <f ca="1"/>
        <v>0.73838067287804421</v>
      </c>
      <c r="Y108">
        <f ca="1"/>
        <v>1</v>
      </c>
      <c r="Z108">
        <f ca="1"/>
        <v>2.1890456670604266</v>
      </c>
      <c r="AA108">
        <f ca="1"/>
        <v>0</v>
      </c>
      <c r="AB108">
        <f ca="1"/>
        <v>0.99999982046374858</v>
      </c>
      <c r="AD108" s="2">
        <f t="shared" ca="1" si="12"/>
        <v>45465</v>
      </c>
      <c r="AE108">
        <f t="shared" ca="1" si="13"/>
        <v>0</v>
      </c>
      <c r="AG108" s="63">
        <f t="shared" ca="1" si="17"/>
        <v>51.121689471982137</v>
      </c>
      <c r="AH108" s="63">
        <f t="shared" ca="1" si="18"/>
        <v>51.121689471982137</v>
      </c>
      <c r="AI108" s="3">
        <f t="shared" ca="1" si="19"/>
        <v>0</v>
      </c>
    </row>
    <row r="109" spans="7:35">
      <c r="G109" s="3">
        <f t="shared" ca="1" si="14"/>
        <v>130</v>
      </c>
      <c r="H109" s="95">
        <f t="shared" ca="1" si="16"/>
        <v>45420</v>
      </c>
      <c r="I109" s="119">
        <f ca="1">HLOOKUP($H$4,'Met Data'!$A$2:$F$368,G109,FALSE)</f>
        <v>14.1</v>
      </c>
      <c r="J109" s="119">
        <f ca="1">HLOOKUP($H$4,'Met Data'!$H$2:$M$368,G109,FALSE)*L109</f>
        <v>1.2333333333333301</v>
      </c>
      <c r="K109" s="96">
        <f ca="1">HLOOKUP($H$4,'Met Data'!$O$2:$T$368,G109,FALSE)</f>
        <v>1.3593529897032299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45466</v>
      </c>
      <c r="Q109">
        <f ca="1"/>
        <v>44.764705728569936</v>
      </c>
      <c r="R109">
        <f ca="1"/>
        <v>2.8410292322737689</v>
      </c>
      <c r="S109">
        <f ca="1"/>
        <v>8.3487818268395131E-3</v>
      </c>
      <c r="T109">
        <f ca="1"/>
        <v>0.56456886900207781</v>
      </c>
      <c r="U109">
        <f ca="1"/>
        <v>0</v>
      </c>
      <c r="V109">
        <f ca="1"/>
        <v>139.24941127558222</v>
      </c>
      <c r="W109">
        <f ca="1"/>
        <v>35.417785041832872</v>
      </c>
      <c r="X109">
        <f ca="1"/>
        <v>0.90029866327634722</v>
      </c>
      <c r="Y109">
        <f ca="1"/>
        <v>1</v>
      </c>
      <c r="Z109">
        <f ca="1"/>
        <v>2.8579921700218733</v>
      </c>
      <c r="AA109">
        <f ca="1"/>
        <v>0</v>
      </c>
      <c r="AB109">
        <f ca="1"/>
        <v>0.99999985195431551</v>
      </c>
      <c r="AD109" s="2">
        <f t="shared" ca="1" si="12"/>
        <v>45466</v>
      </c>
      <c r="AE109">
        <f t="shared" ca="1" si="13"/>
        <v>0</v>
      </c>
      <c r="AG109" s="63">
        <f t="shared" ca="1" si="17"/>
        <v>48.50603362412005</v>
      </c>
      <c r="AH109" s="63">
        <f t="shared" ca="1" si="18"/>
        <v>48.50603362412005</v>
      </c>
      <c r="AI109" s="3">
        <f t="shared" ca="1" si="19"/>
        <v>0</v>
      </c>
    </row>
    <row r="110" spans="7:35">
      <c r="G110" s="3">
        <f t="shared" ca="1" si="14"/>
        <v>131</v>
      </c>
      <c r="H110" s="95">
        <f t="shared" ca="1" si="16"/>
        <v>45421</v>
      </c>
      <c r="I110" s="119">
        <f ca="1">HLOOKUP($H$4,'Met Data'!$A$2:$F$368,G110,FALSE)</f>
        <v>13.7416666666666</v>
      </c>
      <c r="J110" s="119">
        <f ca="1">HLOOKUP($H$4,'Met Data'!$H$2:$M$368,G110,FALSE)*L110</f>
        <v>1.56666666666666</v>
      </c>
      <c r="K110" s="96">
        <f ca="1">HLOOKUP($H$4,'Met Data'!$O$2:$T$368,G110,FALSE)</f>
        <v>1.1980493949464299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45467</v>
      </c>
      <c r="Q110">
        <f ca="1"/>
        <v>42.028014052193249</v>
      </c>
      <c r="R110">
        <f ca="1"/>
        <v>2.6334680632901382</v>
      </c>
      <c r="S110">
        <f ca="1"/>
        <v>7.6567674284433451E-3</v>
      </c>
      <c r="T110">
        <f ca="1"/>
        <v>0.51919852190682592</v>
      </c>
      <c r="U110">
        <f ca="1"/>
        <v>0</v>
      </c>
      <c r="V110">
        <f ca="1"/>
        <v>141.88287933887236</v>
      </c>
      <c r="W110">
        <f ca="1"/>
        <v>36.087601918800146</v>
      </c>
      <c r="X110">
        <f ca="1"/>
        <v>0.63007890242181719</v>
      </c>
      <c r="Y110">
        <f ca="1"/>
        <v>1</v>
      </c>
      <c r="Z110">
        <f ca="1"/>
        <v>2.1304249143843919</v>
      </c>
      <c r="AA110">
        <f ca="1"/>
        <v>0</v>
      </c>
      <c r="AB110">
        <f ca="1"/>
        <v>0.99999987597425133</v>
      </c>
      <c r="AD110" s="2">
        <f t="shared" ca="1" si="12"/>
        <v>45467</v>
      </c>
      <c r="AE110">
        <f t="shared" ca="1" si="13"/>
        <v>0</v>
      </c>
      <c r="AG110" s="63">
        <f t="shared" ca="1" si="17"/>
        <v>45.291561017905202</v>
      </c>
      <c r="AH110" s="63">
        <f t="shared" ca="1" si="18"/>
        <v>45.291561017905202</v>
      </c>
      <c r="AI110" s="3">
        <f t="shared" ca="1" si="19"/>
        <v>0</v>
      </c>
    </row>
    <row r="111" spans="7:35">
      <c r="G111" s="3">
        <f t="shared" ca="1" si="14"/>
        <v>132</v>
      </c>
      <c r="H111" s="95">
        <f t="shared" ca="1" si="16"/>
        <v>45422</v>
      </c>
      <c r="I111" s="119">
        <f ca="1">HLOOKUP($H$4,'Met Data'!$A$2:$F$368,G111,FALSE)</f>
        <v>13.1</v>
      </c>
      <c r="J111" s="119">
        <f ca="1">HLOOKUP($H$4,'Met Data'!$H$2:$M$368,G111,FALSE)*L111</f>
        <v>3.7166666666666601</v>
      </c>
      <c r="K111" s="96">
        <f ca="1">HLOOKUP($H$4,'Met Data'!$O$2:$T$368,G111,FALSE)</f>
        <v>1.0818629782871001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45468</v>
      </c>
      <c r="Q111">
        <f ca="1"/>
        <v>39.914565524796792</v>
      </c>
      <c r="R111">
        <f ca="1"/>
        <v>2.5500418838950054</v>
      </c>
      <c r="S111">
        <f ca="1"/>
        <v>7.3476663086182725E-3</v>
      </c>
      <c r="T111">
        <f ca="1"/>
        <v>0.4996029637447636</v>
      </c>
      <c r="U111">
        <f ca="1"/>
        <v>0</v>
      </c>
      <c r="V111">
        <f ca="1"/>
        <v>144.43292122276736</v>
      </c>
      <c r="W111">
        <f ca="1"/>
        <v>36.736199528399531</v>
      </c>
      <c r="X111">
        <f ca="1"/>
        <v>7.0357273554829985E-2</v>
      </c>
      <c r="Y111">
        <f ca="1"/>
        <v>1</v>
      </c>
      <c r="Z111">
        <f ca="1"/>
        <v>0.25048848063671869</v>
      </c>
      <c r="AA111">
        <f ca="1"/>
        <v>0</v>
      </c>
      <c r="AB111">
        <f ca="1"/>
        <v>0.99999989535582035</v>
      </c>
      <c r="AD111" s="2">
        <f t="shared" ca="1" si="12"/>
        <v>45468</v>
      </c>
      <c r="AE111">
        <f t="shared" ca="1" si="13"/>
        <v>0</v>
      </c>
      <c r="AG111" s="63">
        <f t="shared" ca="1" si="17"/>
        <v>42.534964682246631</v>
      </c>
      <c r="AH111" s="63">
        <f t="shared" ca="1" si="18"/>
        <v>42.534964682246631</v>
      </c>
      <c r="AI111" s="3">
        <f t="shared" ca="1" si="19"/>
        <v>0</v>
      </c>
    </row>
    <row r="112" spans="7:35">
      <c r="G112" s="3">
        <f t="shared" ca="1" si="14"/>
        <v>133</v>
      </c>
      <c r="H112" s="95">
        <f t="shared" ca="1" si="16"/>
        <v>45423</v>
      </c>
      <c r="I112" s="119">
        <f ca="1">HLOOKUP($H$4,'Met Data'!$A$2:$F$368,G112,FALSE)</f>
        <v>13.566666666666601</v>
      </c>
      <c r="J112" s="119">
        <f ca="1">HLOOKUP($H$4,'Met Data'!$H$2:$M$368,G112,FALSE)*L112</f>
        <v>5.86666666666666</v>
      </c>
      <c r="K112" s="96">
        <f ca="1">HLOOKUP($H$4,'Met Data'!$O$2:$T$368,G112,FALSE)</f>
        <v>0.93360919947406795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45469</v>
      </c>
      <c r="Q112">
        <f ca="1"/>
        <v>37.382384708201165</v>
      </c>
      <c r="R112">
        <f ca="1"/>
        <v>2.470955945792042</v>
      </c>
      <c r="S112">
        <f ca="1"/>
        <v>7.0668078236195697E-3</v>
      </c>
      <c r="T112">
        <f ca="1"/>
        <v>0.48183852170275077</v>
      </c>
      <c r="U112">
        <f ca="1"/>
        <v>0</v>
      </c>
      <c r="V112">
        <f ca="1"/>
        <v>146.9038771685594</v>
      </c>
      <c r="W112">
        <f ca="1"/>
        <v>37.364681801568373</v>
      </c>
      <c r="X112">
        <f ca="1"/>
        <v>0.55013020032995297</v>
      </c>
      <c r="Y112">
        <f ca="1"/>
        <v>1</v>
      </c>
      <c r="Z112">
        <f ca="1"/>
        <v>2.0912629704932257</v>
      </c>
      <c r="AA112">
        <f ca="1"/>
        <v>0</v>
      </c>
      <c r="AB112">
        <f ca="1"/>
        <v>0.9999999111239174</v>
      </c>
      <c r="AD112" s="2">
        <f t="shared" ca="1" si="12"/>
        <v>45469</v>
      </c>
      <c r="AE112">
        <f t="shared" ca="1" si="13"/>
        <v>0</v>
      </c>
      <c r="AG112" s="63">
        <f t="shared" ca="1" si="17"/>
        <v>40.40347085432316</v>
      </c>
      <c r="AH112" s="63">
        <f t="shared" ca="1" si="18"/>
        <v>40.40347085432316</v>
      </c>
      <c r="AI112" s="3">
        <f t="shared" ca="1" si="19"/>
        <v>0</v>
      </c>
    </row>
    <row r="113" spans="7:35">
      <c r="G113" s="3">
        <f t="shared" ca="1" si="14"/>
        <v>134</v>
      </c>
      <c r="H113" s="95">
        <f t="shared" ca="1" si="16"/>
        <v>45424</v>
      </c>
      <c r="I113" s="119">
        <f ca="1">HLOOKUP($H$4,'Met Data'!$A$2:$F$368,G113,FALSE)</f>
        <v>12.887499999999999</v>
      </c>
      <c r="J113" s="119">
        <f ca="1">HLOOKUP($H$4,'Met Data'!$H$2:$M$368,G113,FALSE)*L113</f>
        <v>5.1666666666666599</v>
      </c>
      <c r="K113" s="96">
        <f ca="1">HLOOKUP($H$4,'Met Data'!$O$2:$T$368,G113,FALSE)</f>
        <v>1.3361527471355901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45470</v>
      </c>
      <c r="Q113">
        <f ca="1"/>
        <v>35.366441563883001</v>
      </c>
      <c r="R113">
        <f ca="1"/>
        <v>2.5080325304287783</v>
      </c>
      <c r="S113">
        <f ca="1"/>
        <v>7.092836940273628E-3</v>
      </c>
      <c r="T113">
        <f ca="1"/>
        <v>0.48499654917034168</v>
      </c>
      <c r="U113">
        <f ca="1"/>
        <v>0</v>
      </c>
      <c r="V113">
        <f ca="1"/>
        <v>149.41190969898818</v>
      </c>
      <c r="W113">
        <f ca="1"/>
        <v>38.002594423438303</v>
      </c>
      <c r="X113">
        <f ca="1"/>
        <v>0</v>
      </c>
      <c r="Y113">
        <f ca="1"/>
        <v>0.99925472063176879</v>
      </c>
      <c r="Z113">
        <f ca="1"/>
        <v>0</v>
      </c>
      <c r="AA113">
        <f ca="1"/>
        <v>0</v>
      </c>
      <c r="AB113">
        <f ca="1"/>
        <v>0.99999992460540532</v>
      </c>
      <c r="AD113" s="2">
        <f t="shared" ca="1" si="12"/>
        <v>45470</v>
      </c>
      <c r="AE113">
        <f t="shared" ca="1" si="13"/>
        <v>0</v>
      </c>
      <c r="AG113" s="63">
        <f t="shared" ca="1" si="17"/>
        <v>37.874474094311779</v>
      </c>
      <c r="AH113" s="63">
        <f t="shared" ca="1" si="18"/>
        <v>37.874474094311779</v>
      </c>
      <c r="AI113" s="3">
        <f t="shared" ca="1" si="19"/>
        <v>0</v>
      </c>
    </row>
    <row r="114" spans="7:35">
      <c r="G114" s="3">
        <f t="shared" ca="1" si="14"/>
        <v>135</v>
      </c>
      <c r="H114" s="95">
        <f t="shared" ca="1" si="16"/>
        <v>45425</v>
      </c>
      <c r="I114" s="119">
        <f ca="1">HLOOKUP($H$4,'Met Data'!$A$2:$F$368,G114,FALSE)</f>
        <v>13</v>
      </c>
      <c r="J114" s="119">
        <f ca="1">HLOOKUP($H$4,'Met Data'!$H$2:$M$368,G114,FALSE)*L114</f>
        <v>4.86666666666666</v>
      </c>
      <c r="K114" s="96">
        <f ca="1">HLOOKUP($H$4,'Met Data'!$O$2:$T$368,G114,FALSE)</f>
        <v>1.1907632624443201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45471</v>
      </c>
      <c r="Q114">
        <f ca="1"/>
        <v>33.170091692584194</v>
      </c>
      <c r="R114">
        <f ca="1"/>
        <v>2.4913849586815786</v>
      </c>
      <c r="S114">
        <f ca="1"/>
        <v>6.9831564821072334E-3</v>
      </c>
      <c r="T114">
        <f ca="1"/>
        <v>0.47891796884449228</v>
      </c>
      <c r="U114">
        <f ca="1"/>
        <v>0</v>
      </c>
      <c r="V114">
        <f ca="1"/>
        <v>151.90329465766976</v>
      </c>
      <c r="W114">
        <f ca="1"/>
        <v>38.636272771624704</v>
      </c>
      <c r="X114">
        <f ca="1"/>
        <v>0.19086603794382956</v>
      </c>
      <c r="Y114">
        <f ca="1"/>
        <v>1</v>
      </c>
      <c r="Z114">
        <f ca="1"/>
        <v>0.81769652014487804</v>
      </c>
      <c r="AA114">
        <f ca="1"/>
        <v>0</v>
      </c>
      <c r="AB114">
        <f ca="1"/>
        <v>0.99999993589560521</v>
      </c>
      <c r="AD114" s="2">
        <f t="shared" ca="1" si="12"/>
        <v>45471</v>
      </c>
      <c r="AE114">
        <f t="shared" ca="1" si="13"/>
        <v>0</v>
      </c>
      <c r="AG114" s="63">
        <f t="shared" ca="1" si="17"/>
        <v>35.8523426892096</v>
      </c>
      <c r="AH114" s="63">
        <f t="shared" ca="1" si="18"/>
        <v>35.8523426892096</v>
      </c>
      <c r="AI114" s="3">
        <f t="shared" ca="1" si="19"/>
        <v>0</v>
      </c>
    </row>
    <row r="115" spans="7:35">
      <c r="G115" s="3">
        <f t="shared" ca="1" si="14"/>
        <v>136</v>
      </c>
      <c r="H115" s="95">
        <f t="shared" ca="1" si="16"/>
        <v>45426</v>
      </c>
      <c r="I115" s="119">
        <f ca="1">HLOOKUP($H$4,'Met Data'!$A$2:$F$368,G115,FALSE)</f>
        <v>13.470833333333299</v>
      </c>
      <c r="J115" s="119">
        <f ca="1">HLOOKUP($H$4,'Met Data'!$H$2:$M$368,G115,FALSE)*L115</f>
        <v>8.7833333333333297</v>
      </c>
      <c r="K115" s="96">
        <f ca="1">HLOOKUP($H$4,'Met Data'!$O$2:$T$368,G115,FALSE)</f>
        <v>1.16840876605303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45472</v>
      </c>
      <c r="Q115">
        <f ca="1"/>
        <v>30.810331080231325</v>
      </c>
      <c r="R115">
        <f ca="1"/>
        <v>2.4555037540880278</v>
      </c>
      <c r="S115">
        <f ca="1"/>
        <v>6.8304582134288694E-3</v>
      </c>
      <c r="T115">
        <f ca="1"/>
        <v>0.46987418501868133</v>
      </c>
      <c r="U115">
        <f ca="1"/>
        <v>0</v>
      </c>
      <c r="V115">
        <f ca="1"/>
        <v>154.35879841175779</v>
      </c>
      <c r="W115">
        <f ca="1"/>
        <v>39.260824813425359</v>
      </c>
      <c r="X115">
        <f ca="1"/>
        <v>0.38096150149695046</v>
      </c>
      <c r="Y115">
        <f ca="1"/>
        <v>1</v>
      </c>
      <c r="Z115">
        <f ca="1"/>
        <v>1.7570935632686613</v>
      </c>
      <c r="AA115">
        <f ca="1"/>
        <v>0</v>
      </c>
      <c r="AB115">
        <f ca="1"/>
        <v>0.99999994530761149</v>
      </c>
      <c r="AD115" s="2">
        <f t="shared" ca="1" si="12"/>
        <v>45472</v>
      </c>
      <c r="AE115">
        <f t="shared" ca="1" si="13"/>
        <v>0</v>
      </c>
      <c r="AG115" s="63">
        <f t="shared" ca="1" si="17"/>
        <v>33.646796335816305</v>
      </c>
      <c r="AH115" s="63">
        <f t="shared" ca="1" si="18"/>
        <v>33.646796335816298</v>
      </c>
      <c r="AI115" s="3">
        <f t="shared" ca="1" si="19"/>
        <v>0</v>
      </c>
    </row>
    <row r="116" spans="7:35">
      <c r="G116" s="3">
        <f t="shared" ca="1" si="14"/>
        <v>137</v>
      </c>
      <c r="H116" s="95">
        <f t="shared" ca="1" si="16"/>
        <v>45427</v>
      </c>
      <c r="I116" s="119">
        <f ca="1">HLOOKUP($H$4,'Met Data'!$A$2:$F$368,G116,FALSE)</f>
        <v>12.8666666666666</v>
      </c>
      <c r="J116" s="119">
        <f ca="1">HLOOKUP($H$4,'Met Data'!$H$2:$M$368,G116,FALSE)*L116</f>
        <v>4.86666666666666</v>
      </c>
      <c r="K116" s="96">
        <f ca="1">HLOOKUP($H$4,'Met Data'!$O$2:$T$368,G116,FALSE)</f>
        <v>1.23845839693481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45473</v>
      </c>
      <c r="Q116">
        <f ca="1"/>
        <v>121.79016160106401</v>
      </c>
      <c r="R116">
        <f ca="1"/>
        <v>2.5563463510505926</v>
      </c>
      <c r="S116">
        <f ca="1"/>
        <v>7.0167163502361518E-3</v>
      </c>
      <c r="T116">
        <f ca="1"/>
        <v>0.4842246131697403</v>
      </c>
      <c r="U116">
        <f ca="1"/>
        <v>94.179262729268459</v>
      </c>
      <c r="V116">
        <f ca="1"/>
        <v>156.91514476280838</v>
      </c>
      <c r="W116">
        <f ca="1"/>
        <v>39.911025950540406</v>
      </c>
      <c r="X116">
        <f ca="1"/>
        <v>1.1343271869051497</v>
      </c>
      <c r="Y116">
        <f ca="1"/>
        <v>1</v>
      </c>
      <c r="Z116">
        <f ca="1"/>
        <v>1.326432845154919</v>
      </c>
      <c r="AA116">
        <f ca="1"/>
        <v>0</v>
      </c>
      <c r="AB116">
        <f ca="1"/>
        <v>0.99999995359040683</v>
      </c>
      <c r="AD116" s="2">
        <f t="shared" ca="1" si="12"/>
        <v>45473</v>
      </c>
      <c r="AE116">
        <f t="shared" ca="1" si="13"/>
        <v>94.179262729268459</v>
      </c>
      <c r="AG116" s="63">
        <f t="shared" ca="1" si="17"/>
        <v>125.48083513901976</v>
      </c>
      <c r="AH116" s="63">
        <f t="shared" ca="1" si="18"/>
        <v>125.48083513901976</v>
      </c>
      <c r="AI116" s="3">
        <f t="shared" ca="1" si="19"/>
        <v>0</v>
      </c>
    </row>
    <row r="117" spans="7:35">
      <c r="G117" s="3">
        <f t="shared" ca="1" si="14"/>
        <v>138</v>
      </c>
      <c r="H117" s="95">
        <f t="shared" ca="1" si="16"/>
        <v>45428</v>
      </c>
      <c r="I117" s="119">
        <f ca="1">HLOOKUP($H$4,'Met Data'!$A$2:$F$368,G117,FALSE)</f>
        <v>12.237499999999899</v>
      </c>
      <c r="J117" s="119">
        <f ca="1">HLOOKUP($H$4,'Met Data'!$H$2:$M$368,G117,FALSE)*L117</f>
        <v>3.7166666666666601</v>
      </c>
      <c r="K117" s="96">
        <f ca="1">HLOOKUP($H$4,'Met Data'!$O$2:$T$368,G117,FALSE)</f>
        <v>1.3074898165915401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45474</v>
      </c>
      <c r="Q117">
        <f ca="1"/>
        <v>119.85343799712987</v>
      </c>
      <c r="R117">
        <f ca="1"/>
        <v>2.3985031070813534</v>
      </c>
      <c r="S117">
        <f ca="1"/>
        <v>6.5748333411193016E-3</v>
      </c>
      <c r="T117">
        <f ca="1"/>
        <v>0.45520466980609414</v>
      </c>
      <c r="U117">
        <f ca="1"/>
        <v>0</v>
      </c>
      <c r="V117">
        <f ca="1"/>
        <v>159.31364786988973</v>
      </c>
      <c r="W117">
        <f ca="1"/>
        <v>40.521080001689356</v>
      </c>
      <c r="X117">
        <f ca="1"/>
        <v>0</v>
      </c>
      <c r="Y117">
        <f ca="1"/>
        <v>0.9966373090597449</v>
      </c>
      <c r="Z117">
        <f ca="1"/>
        <v>0</v>
      </c>
      <c r="AA117">
        <f ca="1"/>
        <v>0</v>
      </c>
      <c r="AB117">
        <f ca="1"/>
        <v>0.99999996017955328</v>
      </c>
      <c r="AD117" s="2">
        <f t="shared" ca="1" si="12"/>
        <v>45474</v>
      </c>
      <c r="AE117">
        <f t="shared" ca="1" si="13"/>
        <v>0</v>
      </c>
      <c r="AG117" s="63">
        <f t="shared" ca="1" si="17"/>
        <v>122.25194110421123</v>
      </c>
      <c r="AH117" s="63">
        <f t="shared" ca="1" si="18"/>
        <v>122.25194110421123</v>
      </c>
      <c r="AI117" s="3">
        <f t="shared" ca="1" si="19"/>
        <v>0</v>
      </c>
    </row>
    <row r="118" spans="7:35">
      <c r="G118" s="3">
        <f t="shared" ca="1" si="14"/>
        <v>139</v>
      </c>
      <c r="H118" s="95">
        <f t="shared" ca="1" si="16"/>
        <v>45429</v>
      </c>
      <c r="I118" s="119">
        <f ca="1">HLOOKUP($H$4,'Met Data'!$A$2:$F$368,G118,FALSE)</f>
        <v>11.595833333333299</v>
      </c>
      <c r="J118" s="119">
        <f ca="1">HLOOKUP($H$4,'Met Data'!$H$2:$M$368,G118,FALSE)*L118</f>
        <v>2.61666666666666</v>
      </c>
      <c r="K118" s="96">
        <f ca="1">HLOOKUP($H$4,'Met Data'!$O$2:$T$368,G118,FALSE)</f>
        <v>1.3321153360432201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45475</v>
      </c>
      <c r="Q118">
        <f ca="1"/>
        <v>115.72327221260407</v>
      </c>
      <c r="R118">
        <f ca="1"/>
        <v>2.5911452673207975</v>
      </c>
      <c r="S118">
        <f ca="1"/>
        <v>6.9794797594795455E-3</v>
      </c>
      <c r="T118">
        <f ca="1"/>
        <v>0.48484586528118057</v>
      </c>
      <c r="U118">
        <f ca="1"/>
        <v>0</v>
      </c>
      <c r="V118">
        <f ca="1"/>
        <v>161.90479313721053</v>
      </c>
      <c r="W118">
        <f ca="1"/>
        <v>41.1801321675079</v>
      </c>
      <c r="X118">
        <f ca="1"/>
        <v>2.0308458622456631</v>
      </c>
      <c r="Y118">
        <f ca="1"/>
        <v>1</v>
      </c>
      <c r="Z118">
        <f ca="1"/>
        <v>2.4938275609537186</v>
      </c>
      <c r="AA118">
        <f ca="1"/>
        <v>0</v>
      </c>
      <c r="AB118">
        <f ca="1"/>
        <v>0.9999999662179555</v>
      </c>
      <c r="AD118" s="2">
        <f t="shared" ca="1" si="12"/>
        <v>45475</v>
      </c>
      <c r="AE118">
        <f t="shared" ca="1" si="13"/>
        <v>0</v>
      </c>
      <c r="AG118" s="63">
        <f t="shared" ca="1" si="17"/>
        <v>120.34526334217054</v>
      </c>
      <c r="AH118" s="63">
        <f t="shared" ca="1" si="18"/>
        <v>120.34526334217054</v>
      </c>
      <c r="AI118" s="3">
        <f t="shared" ca="1" si="19"/>
        <v>0</v>
      </c>
    </row>
    <row r="119" spans="7:35">
      <c r="G119" s="3">
        <f t="shared" ca="1" si="14"/>
        <v>140</v>
      </c>
      <c r="H119" s="95">
        <f t="shared" ca="1" si="16"/>
        <v>45430</v>
      </c>
      <c r="I119" s="119">
        <f ca="1">HLOOKUP($H$4,'Met Data'!$A$2:$F$368,G119,FALSE)</f>
        <v>11.904166666666599</v>
      </c>
      <c r="J119" s="119">
        <f ca="1">HLOOKUP($H$4,'Met Data'!$H$2:$M$368,G119,FALSE)*L119</f>
        <v>2.35</v>
      </c>
      <c r="K119" s="96">
        <f ca="1">HLOOKUP($H$4,'Met Data'!$O$2:$T$368,G119,FALSE)</f>
        <v>1.2961776408629699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45476</v>
      </c>
      <c r="Q119">
        <f ca="1"/>
        <v>113.6662330975073</v>
      </c>
      <c r="R119">
        <f ca="1"/>
        <v>2.5371625097706101</v>
      </c>
      <c r="S119">
        <f ca="1"/>
        <v>6.7897126368308136E-3</v>
      </c>
      <c r="T119">
        <f ca="1"/>
        <v>0.47333368203701176</v>
      </c>
      <c r="U119">
        <f ca="1"/>
        <v>0</v>
      </c>
      <c r="V119">
        <f ca="1"/>
        <v>164.44195564698114</v>
      </c>
      <c r="W119">
        <f ca="1"/>
        <v>41.825453936297379</v>
      </c>
      <c r="X119">
        <f ca="1"/>
        <v>0</v>
      </c>
      <c r="Y119">
        <f ca="1"/>
        <v>0.99742763825195346</v>
      </c>
      <c r="Z119">
        <f ca="1"/>
        <v>0</v>
      </c>
      <c r="AA119">
        <f ca="1"/>
        <v>0</v>
      </c>
      <c r="AB119">
        <f ca="1"/>
        <v>0.99999997121592321</v>
      </c>
      <c r="AD119" s="2">
        <f t="shared" ca="1" si="12"/>
        <v>45476</v>
      </c>
      <c r="AE119">
        <f t="shared" ca="1" si="13"/>
        <v>0</v>
      </c>
      <c r="AG119" s="63">
        <f t="shared" ca="1" si="17"/>
        <v>116.20339560727791</v>
      </c>
      <c r="AH119" s="63">
        <f t="shared" ca="1" si="18"/>
        <v>116.20339560727791</v>
      </c>
      <c r="AI119" s="3">
        <f t="shared" ca="1" si="19"/>
        <v>0</v>
      </c>
    </row>
    <row r="120" spans="7:35">
      <c r="G120" s="3">
        <f t="shared" ca="1" si="14"/>
        <v>141</v>
      </c>
      <c r="H120" s="95">
        <f t="shared" ca="1" si="16"/>
        <v>45431</v>
      </c>
      <c r="I120" s="119">
        <f ca="1">HLOOKUP($H$4,'Met Data'!$A$2:$F$368,G120,FALSE)</f>
        <v>11.762499999999999</v>
      </c>
      <c r="J120" s="119">
        <f ca="1">HLOOKUP($H$4,'Met Data'!$H$2:$M$368,G120,FALSE)*L120</f>
        <v>0.31666666666666599</v>
      </c>
      <c r="K120" s="96">
        <f ca="1">HLOOKUP($H$4,'Met Data'!$O$2:$T$368,G120,FALSE)</f>
        <v>1.26598619456247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45477</v>
      </c>
      <c r="Q120">
        <f ca="1"/>
        <v>111.39847767364682</v>
      </c>
      <c r="R120">
        <f ca="1"/>
        <v>2.7886448187036592</v>
      </c>
      <c r="S120">
        <f ca="1"/>
        <v>7.3389620501700392E-3</v>
      </c>
      <c r="T120">
        <f ca="1"/>
        <v>0.51355043279300527</v>
      </c>
      <c r="U120">
        <f ca="1"/>
        <v>0</v>
      </c>
      <c r="V120">
        <f ca="1"/>
        <v>167.2306004656848</v>
      </c>
      <c r="W120">
        <f ca="1"/>
        <v>42.534739683663311</v>
      </c>
      <c r="X120">
        <f ca="1"/>
        <v>0</v>
      </c>
      <c r="Y120">
        <f ca="1"/>
        <v>0.98132776167273394</v>
      </c>
      <c r="Z120">
        <f ca="1"/>
        <v>0</v>
      </c>
      <c r="AA120">
        <f ca="1"/>
        <v>0</v>
      </c>
      <c r="AB120">
        <f ca="1"/>
        <v>0.99999997583702316</v>
      </c>
      <c r="AD120" s="2">
        <f t="shared" ca="1" si="12"/>
        <v>45477</v>
      </c>
      <c r="AE120">
        <f t="shared" ca="1" si="13"/>
        <v>0</v>
      </c>
      <c r="AG120" s="63">
        <f t="shared" ca="1" si="17"/>
        <v>114.18712249235048</v>
      </c>
      <c r="AH120" s="63">
        <f t="shared" ca="1" si="18"/>
        <v>114.18712249235048</v>
      </c>
      <c r="AI120" s="3">
        <f t="shared" ca="1" si="19"/>
        <v>0</v>
      </c>
    </row>
    <row r="121" spans="7:35">
      <c r="G121" s="3">
        <f t="shared" ca="1" si="14"/>
        <v>142</v>
      </c>
      <c r="H121" s="95">
        <f t="shared" ca="1" si="16"/>
        <v>45432</v>
      </c>
      <c r="I121" s="119">
        <f ca="1">HLOOKUP($H$4,'Met Data'!$A$2:$F$368,G121,FALSE)</f>
        <v>11.612500000000001</v>
      </c>
      <c r="J121" s="119">
        <f ca="1">HLOOKUP($H$4,'Met Data'!$H$2:$M$368,G121,FALSE)*L121</f>
        <v>2</v>
      </c>
      <c r="K121" s="96">
        <f ca="1">HLOOKUP($H$4,'Met Data'!$O$2:$T$368,G121,FALSE)</f>
        <v>1.0607063970516699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45478</v>
      </c>
      <c r="Q121">
        <f ca="1"/>
        <v>108.93655781609344</v>
      </c>
      <c r="R121">
        <f ca="1"/>
        <v>2.7203849625589669</v>
      </c>
      <c r="S121">
        <f ca="1"/>
        <v>7.1066568497855087E-3</v>
      </c>
      <c r="T121">
        <f ca="1"/>
        <v>0.49927662368955184</v>
      </c>
      <c r="U121">
        <f ca="1"/>
        <v>0</v>
      </c>
      <c r="V121">
        <f ca="1"/>
        <v>169.95098542824377</v>
      </c>
      <c r="W121">
        <f ca="1"/>
        <v>43.226663685009839</v>
      </c>
      <c r="X121">
        <f ca="1"/>
        <v>0.24791817553375931</v>
      </c>
      <c r="Y121">
        <f ca="1"/>
        <v>1</v>
      </c>
      <c r="Z121">
        <f ca="1"/>
        <v>0.32340362392692867</v>
      </c>
      <c r="AA121">
        <f ca="1"/>
        <v>0</v>
      </c>
      <c r="AB121">
        <f ca="1"/>
        <v>0.99999997961054055</v>
      </c>
      <c r="AD121" s="2">
        <f t="shared" ca="1" si="12"/>
        <v>45478</v>
      </c>
      <c r="AE121">
        <f t="shared" ca="1" si="13"/>
        <v>0</v>
      </c>
      <c r="AG121" s="63">
        <f t="shared" ca="1" si="17"/>
        <v>111.90486095418616</v>
      </c>
      <c r="AH121" s="63">
        <f t="shared" ca="1" si="18"/>
        <v>111.90486095418616</v>
      </c>
      <c r="AI121" s="3">
        <f t="shared" ca="1" si="19"/>
        <v>0</v>
      </c>
    </row>
    <row r="122" spans="7:35">
      <c r="G122" s="3">
        <f t="shared" ca="1" si="14"/>
        <v>143</v>
      </c>
      <c r="H122" s="95">
        <f t="shared" ca="1" si="16"/>
        <v>45433</v>
      </c>
      <c r="I122" s="119">
        <f ca="1">HLOOKUP($H$4,'Met Data'!$A$2:$F$368,G122,FALSE)</f>
        <v>10.174999999999899</v>
      </c>
      <c r="J122" s="119">
        <f ca="1">HLOOKUP($H$4,'Met Data'!$H$2:$M$368,G122,FALSE)*L122</f>
        <v>2.93333333333333</v>
      </c>
      <c r="K122" s="96">
        <f ca="1">HLOOKUP($H$4,'Met Data'!$O$2:$T$368,G122,FALSE)</f>
        <v>1.10734547072848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45479</v>
      </c>
      <c r="Q122">
        <f ca="1"/>
        <v>103.82978719896286</v>
      </c>
      <c r="R122">
        <f ca="1"/>
        <v>2.8953241615524803</v>
      </c>
      <c r="S122">
        <f ca="1"/>
        <v>7.4700289471820724E-3</v>
      </c>
      <c r="T122">
        <f ca="1"/>
        <v>0.52698958795529549</v>
      </c>
      <c r="U122">
        <f ca="1"/>
        <v>0</v>
      </c>
      <c r="V122">
        <f ca="1"/>
        <v>172.84630958979625</v>
      </c>
      <c r="W122">
        <f ca="1"/>
        <v>43.963083091317749</v>
      </c>
      <c r="X122">
        <f ca="1"/>
        <v>2.7459060724805773</v>
      </c>
      <c r="Y122">
        <f ca="1"/>
        <v>1</v>
      </c>
      <c r="Z122">
        <f ca="1"/>
        <v>3.7581479801069193</v>
      </c>
      <c r="AA122">
        <f ca="1"/>
        <v>0</v>
      </c>
      <c r="AB122">
        <f ca="1"/>
        <v>0.99999998296605896</v>
      </c>
      <c r="AD122" s="2">
        <f t="shared" ca="1" si="12"/>
        <v>45479</v>
      </c>
      <c r="AE122">
        <f t="shared" ca="1" si="13"/>
        <v>0</v>
      </c>
      <c r="AG122" s="63">
        <f t="shared" ca="1" si="17"/>
        <v>109.47101743299592</v>
      </c>
      <c r="AH122" s="63">
        <f t="shared" ca="1" si="18"/>
        <v>109.47101743299592</v>
      </c>
      <c r="AI122" s="3">
        <f t="shared" ca="1" si="19"/>
        <v>0</v>
      </c>
    </row>
    <row r="123" spans="7:35">
      <c r="G123" s="3">
        <f t="shared" ca="1" si="14"/>
        <v>144</v>
      </c>
      <c r="H123" s="95">
        <f t="shared" ca="1" si="16"/>
        <v>45434</v>
      </c>
      <c r="I123" s="119">
        <f ca="1">HLOOKUP($H$4,'Met Data'!$A$2:$F$368,G123,FALSE)</f>
        <v>10.7416666666666</v>
      </c>
      <c r="J123" s="119">
        <f ca="1">HLOOKUP($H$4,'Met Data'!$H$2:$M$368,G123,FALSE)*L123</f>
        <v>2.8</v>
      </c>
      <c r="K123" s="96">
        <f ca="1">HLOOKUP($H$4,'Met Data'!$O$2:$T$368,G123,FALSE)</f>
        <v>0.94921082080766905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45480</v>
      </c>
      <c r="Q123">
        <f ca="1"/>
        <v>99.848836906505284</v>
      </c>
      <c r="R123">
        <f ca="1"/>
        <v>2.5684831220722799</v>
      </c>
      <c r="S123">
        <f ca="1"/>
        <v>6.6328470619509972E-3</v>
      </c>
      <c r="T123">
        <f ca="1"/>
        <v>0.46987418501868133</v>
      </c>
      <c r="U123">
        <f ca="1"/>
        <v>0</v>
      </c>
      <c r="V123">
        <f ca="1"/>
        <v>175.41479271186853</v>
      </c>
      <c r="W123">
        <f ca="1"/>
        <v>44.616371189757871</v>
      </c>
      <c r="X123">
        <f ca="1"/>
        <v>1.8889742024659344</v>
      </c>
      <c r="Y123">
        <f ca="1"/>
        <v>1</v>
      </c>
      <c r="Z123">
        <f ca="1"/>
        <v>2.6883956233886508</v>
      </c>
      <c r="AA123">
        <f ca="1"/>
        <v>0</v>
      </c>
      <c r="AB123">
        <f ca="1"/>
        <v>0.99999998546703517</v>
      </c>
      <c r="AD123" s="2">
        <f t="shared" ca="1" si="12"/>
        <v>45480</v>
      </c>
      <c r="AE123">
        <f t="shared" ca="1" si="13"/>
        <v>0</v>
      </c>
      <c r="AG123" s="63">
        <f t="shared" ca="1" si="17"/>
        <v>104.30629423104349</v>
      </c>
      <c r="AH123" s="63">
        <f t="shared" ca="1" si="18"/>
        <v>104.30629423104349</v>
      </c>
      <c r="AI123" s="3">
        <f t="shared" ca="1" si="19"/>
        <v>0</v>
      </c>
    </row>
    <row r="124" spans="7:35">
      <c r="G124" s="3">
        <f t="shared" ca="1" si="14"/>
        <v>145</v>
      </c>
      <c r="H124" s="95">
        <f t="shared" ca="1" si="16"/>
        <v>45435</v>
      </c>
      <c r="I124" s="119">
        <f ca="1">HLOOKUP($H$4,'Met Data'!$A$2:$F$368,G124,FALSE)</f>
        <v>10.983333333333301</v>
      </c>
      <c r="J124" s="119">
        <f ca="1">HLOOKUP($H$4,'Met Data'!$H$2:$M$368,G124,FALSE)*L124</f>
        <v>5.61666666666666</v>
      </c>
      <c r="K124" s="96">
        <f ca="1">HLOOKUP($H$4,'Met Data'!$O$2:$T$368,G124,FALSE)</f>
        <v>0.95593712910075901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45481</v>
      </c>
      <c r="Q124">
        <f ca="1"/>
        <v>95.624955120218573</v>
      </c>
      <c r="R124">
        <f ca="1"/>
        <v>2.4663026427277543</v>
      </c>
      <c r="S124">
        <f ca="1"/>
        <v>6.355876357091006E-3</v>
      </c>
      <c r="T124">
        <f ca="1"/>
        <v>0.45202961885065301</v>
      </c>
      <c r="U124">
        <f ca="1"/>
        <v>0</v>
      </c>
      <c r="V124">
        <f ca="1"/>
        <v>177.88109535459628</v>
      </c>
      <c r="W124">
        <f ca="1"/>
        <v>45.24366990540819</v>
      </c>
      <c r="X124">
        <f ca="1"/>
        <v>2.2159646387667049</v>
      </c>
      <c r="Y124">
        <f ca="1"/>
        <v>1</v>
      </c>
      <c r="Z124">
        <f ca="1"/>
        <v>3.2930759313261149</v>
      </c>
      <c r="AA124">
        <f ca="1"/>
        <v>0</v>
      </c>
      <c r="AB124">
        <f ca="1"/>
        <v>0.99999998751491204</v>
      </c>
      <c r="AD124" s="2">
        <f t="shared" ca="1" si="12"/>
        <v>45481</v>
      </c>
      <c r="AE124">
        <f t="shared" ca="1" si="13"/>
        <v>0</v>
      </c>
      <c r="AG124" s="63">
        <f t="shared" ca="1" si="17"/>
        <v>100.30722240171303</v>
      </c>
      <c r="AH124" s="63">
        <f t="shared" ca="1" si="18"/>
        <v>100.30722240171303</v>
      </c>
      <c r="AI124" s="3">
        <f t="shared" ca="1" si="19"/>
        <v>0</v>
      </c>
    </row>
    <row r="125" spans="7:35">
      <c r="G125" s="3">
        <f t="shared" ca="1" si="14"/>
        <v>146</v>
      </c>
      <c r="H125" s="95">
        <f t="shared" ca="1" si="16"/>
        <v>45436</v>
      </c>
      <c r="I125" s="119">
        <f ca="1">HLOOKUP($H$4,'Met Data'!$A$2:$F$368,G125,FALSE)</f>
        <v>10.7666666666666</v>
      </c>
      <c r="J125" s="119">
        <f ca="1">HLOOKUP($H$4,'Met Data'!$H$2:$M$368,G125,FALSE)*L125</f>
        <v>3.1666666666666599</v>
      </c>
      <c r="K125" s="96">
        <f ca="1">HLOOKUP($H$4,'Met Data'!$O$2:$T$368,G125,FALSE)</f>
        <v>0.98597820560947502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45482</v>
      </c>
      <c r="Q125">
        <f ca="1"/>
        <v>92.802159442297622</v>
      </c>
      <c r="R125">
        <f ca="1"/>
        <v>2.5002163613979462</v>
      </c>
      <c r="S125">
        <f ca="1"/>
        <v>6.386309423817238E-3</v>
      </c>
      <c r="T125">
        <f ca="1"/>
        <v>0.45600068561001217</v>
      </c>
      <c r="U125">
        <f ca="1"/>
        <v>0</v>
      </c>
      <c r="V125">
        <f ca="1"/>
        <v>180.38131171599423</v>
      </c>
      <c r="W125">
        <f ca="1"/>
        <v>45.879594501676799</v>
      </c>
      <c r="X125">
        <f ca="1"/>
        <v>0.78496631155682495</v>
      </c>
      <c r="Y125">
        <f ca="1"/>
        <v>1</v>
      </c>
      <c r="Z125">
        <f ca="1"/>
        <v>1.2019962137111975</v>
      </c>
      <c r="AA125">
        <f ca="1"/>
        <v>0</v>
      </c>
      <c r="AB125">
        <f ca="1"/>
        <v>0.99999998929084477</v>
      </c>
      <c r="AD125" s="2">
        <f t="shared" ca="1" si="12"/>
        <v>45482</v>
      </c>
      <c r="AE125">
        <f t="shared" ca="1" si="13"/>
        <v>0</v>
      </c>
      <c r="AG125" s="63">
        <f t="shared" ca="1" si="17"/>
        <v>96.087342115252397</v>
      </c>
      <c r="AH125" s="63">
        <f t="shared" ca="1" si="18"/>
        <v>96.087342115252397</v>
      </c>
      <c r="AI125" s="3">
        <f t="shared" ca="1" si="19"/>
        <v>0</v>
      </c>
    </row>
    <row r="126" spans="7:35">
      <c r="G126" s="3">
        <f t="shared" ca="1" si="14"/>
        <v>147</v>
      </c>
      <c r="H126" s="95">
        <f t="shared" ca="1" si="16"/>
        <v>45437</v>
      </c>
      <c r="I126" s="119">
        <f ca="1">HLOOKUP($H$4,'Met Data'!$A$2:$F$368,G126,FALSE)</f>
        <v>11.1833333333333</v>
      </c>
      <c r="J126" s="119">
        <f ca="1">HLOOKUP($H$4,'Met Data'!$H$2:$M$368,G126,FALSE)*L126</f>
        <v>6.1499999999999897</v>
      </c>
      <c r="K126" s="96">
        <f ca="1">HLOOKUP($H$4,'Met Data'!$O$2:$T$368,G126,FALSE)</f>
        <v>1.02530679052105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45483</v>
      </c>
      <c r="Q126">
        <f ca="1"/>
        <v>88.556510875248563</v>
      </c>
      <c r="R126">
        <f ca="1"/>
        <v>2.4447761161652863</v>
      </c>
      <c r="S126">
        <f ca="1"/>
        <v>6.2227205004603547E-3</v>
      </c>
      <c r="T126">
        <f ca="1"/>
        <v>0.44611520628885731</v>
      </c>
      <c r="U126">
        <f ca="1"/>
        <v>0</v>
      </c>
      <c r="V126">
        <f ca="1"/>
        <v>182.82608783215952</v>
      </c>
      <c r="W126">
        <f ca="1"/>
        <v>46.501417992092748</v>
      </c>
      <c r="X126">
        <f ca="1"/>
        <v>2.2532103776730854</v>
      </c>
      <c r="Y126">
        <f ca="1"/>
        <v>1</v>
      </c>
      <c r="Z126">
        <f ca="1"/>
        <v>3.615691839083361</v>
      </c>
      <c r="AA126">
        <f ca="1"/>
        <v>0</v>
      </c>
      <c r="AB126">
        <f ca="1"/>
        <v>0.99999999077846413</v>
      </c>
      <c r="AD126" s="2">
        <f t="shared" ca="1" si="12"/>
        <v>45483</v>
      </c>
      <c r="AE126">
        <f t="shared" ca="1" si="13"/>
        <v>0</v>
      </c>
      <c r="AG126" s="63">
        <f t="shared" ca="1" si="17"/>
        <v>93.254497369086934</v>
      </c>
      <c r="AH126" s="63">
        <f t="shared" ca="1" si="18"/>
        <v>93.254497369086934</v>
      </c>
      <c r="AI126" s="3">
        <f t="shared" ca="1" si="19"/>
        <v>0</v>
      </c>
    </row>
    <row r="127" spans="7:35">
      <c r="G127" s="3">
        <f t="shared" ca="1" si="14"/>
        <v>148</v>
      </c>
      <c r="H127" s="95">
        <f t="shared" ca="1" si="16"/>
        <v>45438</v>
      </c>
      <c r="I127" s="119">
        <f ca="1">HLOOKUP($H$4,'Met Data'!$A$2:$F$368,G127,FALSE)</f>
        <v>10.566666666666601</v>
      </c>
      <c r="J127" s="119">
        <f ca="1">HLOOKUP($H$4,'Met Data'!$H$2:$M$368,G127,FALSE)*L127</f>
        <v>2.7666666666666599</v>
      </c>
      <c r="K127" s="96">
        <f ca="1">HLOOKUP($H$4,'Met Data'!$O$2:$T$368,G127,FALSE)</f>
        <v>1.05508542906727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45484</v>
      </c>
      <c r="Q127">
        <f ca="1"/>
        <v>86.098971441770701</v>
      </c>
      <c r="R127">
        <f ca="1"/>
        <v>2.554912045407832</v>
      </c>
      <c r="S127">
        <f ca="1"/>
        <v>6.4204026031688954E-3</v>
      </c>
      <c r="T127">
        <f ca="1"/>
        <v>0.46220041091691016</v>
      </c>
      <c r="U127">
        <f ca="1"/>
        <v>0</v>
      </c>
      <c r="V127">
        <f ca="1"/>
        <v>185.38099987756735</v>
      </c>
      <c r="W127">
        <f ca="1"/>
        <v>47.151254316685609</v>
      </c>
      <c r="X127">
        <f ca="1"/>
        <v>0.37124820159011213</v>
      </c>
      <c r="Y127">
        <f ca="1"/>
        <v>1</v>
      </c>
      <c r="Z127">
        <f ca="1"/>
        <v>0.61274046019861572</v>
      </c>
      <c r="AA127">
        <f ca="1"/>
        <v>0</v>
      </c>
      <c r="AB127">
        <f ca="1"/>
        <v>0.99999999210917323</v>
      </c>
      <c r="AD127" s="2">
        <f t="shared" ca="1" si="12"/>
        <v>45484</v>
      </c>
      <c r="AE127">
        <f t="shared" ca="1" si="13"/>
        <v>0</v>
      </c>
      <c r="AG127" s="63">
        <f t="shared" ca="1" si="17"/>
        <v>89.025131688768639</v>
      </c>
      <c r="AH127" s="63">
        <f t="shared" ca="1" si="18"/>
        <v>89.025131688768639</v>
      </c>
      <c r="AI127" s="3">
        <f t="shared" ca="1" si="19"/>
        <v>0</v>
      </c>
    </row>
    <row r="128" spans="7:35">
      <c r="G128" s="3">
        <f t="shared" ca="1" si="14"/>
        <v>149</v>
      </c>
      <c r="H128" s="95">
        <f t="shared" ca="1" si="16"/>
        <v>45439</v>
      </c>
      <c r="I128" s="119">
        <f ca="1">HLOOKUP($H$4,'Met Data'!$A$2:$F$368,G128,FALSE)</f>
        <v>10.283333333333299</v>
      </c>
      <c r="J128" s="119">
        <f ca="1">HLOOKUP($H$4,'Met Data'!$H$2:$M$368,G128,FALSE)*L128</f>
        <v>2.7333333333333298</v>
      </c>
      <c r="K128" s="96">
        <f ca="1">HLOOKUP($H$4,'Met Data'!$O$2:$T$368,G128,FALSE)</f>
        <v>0.96273544691676505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45485</v>
      </c>
      <c r="Q128">
        <f ca="1"/>
        <v>81.668824490159594</v>
      </c>
      <c r="R128">
        <f ca="1"/>
        <v>2.476200673804982</v>
      </c>
      <c r="S128">
        <f ca="1"/>
        <v>6.2087954732703565E-3</v>
      </c>
      <c r="T128">
        <f ca="1"/>
        <v>0.44886897220300598</v>
      </c>
      <c r="U128">
        <f ca="1"/>
        <v>0</v>
      </c>
      <c r="V128">
        <f ca="1"/>
        <v>187.85720055137233</v>
      </c>
      <c r="W128">
        <f ca="1"/>
        <v>47.781070575022966</v>
      </c>
      <c r="X128">
        <f ca="1"/>
        <v>2.4090240454824023</v>
      </c>
      <c r="Y128">
        <f ca="1"/>
        <v>1</v>
      </c>
      <c r="Z128">
        <f ca="1"/>
        <v>4.1917463374071389</v>
      </c>
      <c r="AA128">
        <f ca="1"/>
        <v>0</v>
      </c>
      <c r="AB128">
        <f ca="1"/>
        <v>0.99999999321267063</v>
      </c>
      <c r="AD128" s="2">
        <f t="shared" ca="1" si="12"/>
        <v>45485</v>
      </c>
      <c r="AE128">
        <f t="shared" ca="1" si="13"/>
        <v>0</v>
      </c>
      <c r="AG128" s="63">
        <f t="shared" ca="1" si="17"/>
        <v>86.554049209446973</v>
      </c>
      <c r="AH128" s="63">
        <f t="shared" ca="1" si="18"/>
        <v>86.554049209446973</v>
      </c>
      <c r="AI128" s="3">
        <f t="shared" ca="1" si="19"/>
        <v>0</v>
      </c>
    </row>
    <row r="129" spans="7:35">
      <c r="G129" s="3">
        <f t="shared" ca="1" si="14"/>
        <v>150</v>
      </c>
      <c r="H129" s="95">
        <f t="shared" ca="1" si="16"/>
        <v>45440</v>
      </c>
      <c r="I129" s="119">
        <f ca="1">HLOOKUP($H$4,'Met Data'!$A$2:$F$368,G129,FALSE)</f>
        <v>10.8</v>
      </c>
      <c r="J129" s="119">
        <f ca="1">HLOOKUP($H$4,'Met Data'!$H$2:$M$368,G129,FALSE)*L129</f>
        <v>3.2333333333333298</v>
      </c>
      <c r="K129" s="96">
        <f ca="1">HLOOKUP($H$4,'Met Data'!$O$2:$T$368,G129,FALSE)</f>
        <v>1.08816831727148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45486</v>
      </c>
      <c r="Q129">
        <f ca="1"/>
        <v>77.844779826039272</v>
      </c>
      <c r="R129">
        <f ca="1"/>
        <v>2.4278290692497251</v>
      </c>
      <c r="S129">
        <f ca="1"/>
        <v>6.0685973233063351E-3</v>
      </c>
      <c r="T129">
        <f ca="1"/>
        <v>0.44059197471040573</v>
      </c>
      <c r="U129">
        <f ca="1"/>
        <v>0</v>
      </c>
      <c r="V129">
        <f ca="1"/>
        <v>190.28502962062205</v>
      </c>
      <c r="W129">
        <f ca="1"/>
        <v>48.398583620897355</v>
      </c>
      <c r="X129">
        <f ca="1"/>
        <v>1.8428761669043061</v>
      </c>
      <c r="Y129">
        <f ca="1"/>
        <v>1</v>
      </c>
      <c r="Z129">
        <f ca="1"/>
        <v>3.3641613895058953</v>
      </c>
      <c r="AA129">
        <f ca="1"/>
        <v>0</v>
      </c>
      <c r="AB129">
        <f ca="1"/>
        <v>0.99999999414268381</v>
      </c>
      <c r="AD129" s="2">
        <f t="shared" ca="1" si="12"/>
        <v>45486</v>
      </c>
      <c r="AE129">
        <f t="shared" ca="1" si="13"/>
        <v>0</v>
      </c>
      <c r="AG129" s="63">
        <f t="shared" ca="1" si="17"/>
        <v>82.115485062193301</v>
      </c>
      <c r="AH129" s="63">
        <f t="shared" ca="1" si="18"/>
        <v>82.115485062193301</v>
      </c>
      <c r="AI129" s="3">
        <f t="shared" ca="1" si="19"/>
        <v>0</v>
      </c>
    </row>
    <row r="130" spans="7:35">
      <c r="G130" s="3">
        <f t="shared" ca="1" si="14"/>
        <v>151</v>
      </c>
      <c r="H130" s="95">
        <f t="shared" ca="1" si="16"/>
        <v>45441</v>
      </c>
      <c r="I130" s="119">
        <f ca="1">HLOOKUP($H$4,'Met Data'!$A$2:$F$368,G130,FALSE)</f>
        <v>9.6624999999999996</v>
      </c>
      <c r="J130" s="119">
        <f ca="1">HLOOKUP($H$4,'Met Data'!$H$2:$M$368,G130,FALSE)*L130</f>
        <v>1.88333333333333</v>
      </c>
      <c r="K130" s="96">
        <f ca="1">HLOOKUP($H$4,'Met Data'!$O$2:$T$368,G130,FALSE)</f>
        <v>1.0187040175234601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45487</v>
      </c>
      <c r="Q130">
        <f ca="1"/>
        <v>75.039975175641473</v>
      </c>
      <c r="R130">
        <f ca="1"/>
        <v>2.7228358515690161</v>
      </c>
      <c r="S130">
        <f ca="1"/>
        <v>6.6657985966998012E-3</v>
      </c>
      <c r="T130">
        <f ca="1"/>
        <v>0.48612764032318334</v>
      </c>
      <c r="U130">
        <f ca="1"/>
        <v>0</v>
      </c>
      <c r="V130">
        <f ca="1"/>
        <v>193.00786547219107</v>
      </c>
      <c r="W130">
        <f ca="1"/>
        <v>49.091131000535569</v>
      </c>
      <c r="X130">
        <f ca="1"/>
        <v>0.57476223774867452</v>
      </c>
      <c r="Y130">
        <f ca="1"/>
        <v>1</v>
      </c>
      <c r="Z130">
        <f ca="1"/>
        <v>1.088443044621485</v>
      </c>
      <c r="AA130">
        <f ca="1"/>
        <v>0</v>
      </c>
      <c r="AB130">
        <f ca="1"/>
        <v>0.99999999503327386</v>
      </c>
      <c r="AD130" s="2">
        <f t="shared" ca="1" si="12"/>
        <v>45487</v>
      </c>
      <c r="AE130">
        <f t="shared" ca="1" si="13"/>
        <v>0</v>
      </c>
      <c r="AG130" s="63">
        <f t="shared" ca="1" si="17"/>
        <v>78.337573264959161</v>
      </c>
      <c r="AH130" s="63">
        <f t="shared" ca="1" si="18"/>
        <v>78.337573264959161</v>
      </c>
      <c r="AI130" s="3">
        <f t="shared" ca="1" si="19"/>
        <v>0</v>
      </c>
    </row>
    <row r="131" spans="7:35">
      <c r="G131" s="3">
        <f t="shared" ca="1" si="14"/>
        <v>152</v>
      </c>
      <c r="H131" s="95">
        <f t="shared" ca="1" si="16"/>
        <v>45442</v>
      </c>
      <c r="I131" s="119">
        <f ca="1">HLOOKUP($H$4,'Met Data'!$A$2:$F$368,G131,FALSE)</f>
        <v>9.7166666666666597</v>
      </c>
      <c r="J131" s="119">
        <f ca="1">HLOOKUP($H$4,'Met Data'!$H$2:$M$368,G131,FALSE)*L131</f>
        <v>4.7</v>
      </c>
      <c r="K131" s="96">
        <f ca="1">HLOOKUP($H$4,'Met Data'!$O$2:$T$368,G131,FALSE)</f>
        <v>1.10197006718848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45488</v>
      </c>
      <c r="Q131">
        <f ca="1"/>
        <v>70.197299739950935</v>
      </c>
      <c r="R131">
        <f ca="1"/>
        <v>2.7278874378231706</v>
      </c>
      <c r="S131">
        <f ca="1"/>
        <v>6.6338760822333143E-3</v>
      </c>
      <c r="T131">
        <f ca="1"/>
        <v>0.48612764032318334</v>
      </c>
      <c r="U131">
        <f ca="1"/>
        <v>0</v>
      </c>
      <c r="V131">
        <f ca="1"/>
        <v>195.73575291001424</v>
      </c>
      <c r="W131">
        <f ca="1"/>
        <v>49.784963240155811</v>
      </c>
      <c r="X131">
        <f ca="1"/>
        <v>2.6075495142727956</v>
      </c>
      <c r="Y131">
        <f ca="1"/>
        <v>1</v>
      </c>
      <c r="Z131">
        <f ca="1"/>
        <v>5.2786433565918145</v>
      </c>
      <c r="AA131">
        <f ca="1"/>
        <v>0</v>
      </c>
      <c r="AB131">
        <f ca="1"/>
        <v>0.999999995788452</v>
      </c>
      <c r="AD131" s="2">
        <f t="shared" ca="1" si="12"/>
        <v>45488</v>
      </c>
      <c r="AE131">
        <f t="shared" ca="1" si="13"/>
        <v>0</v>
      </c>
      <c r="AG131" s="63">
        <f t="shared" ca="1" si="17"/>
        <v>75.532736692046896</v>
      </c>
      <c r="AH131" s="63">
        <f t="shared" ca="1" si="18"/>
        <v>75.532736692046896</v>
      </c>
      <c r="AI131" s="3">
        <f t="shared" ca="1" si="19"/>
        <v>0</v>
      </c>
    </row>
    <row r="132" spans="7:35">
      <c r="G132" s="3">
        <f t="shared" ca="1" si="14"/>
        <v>153</v>
      </c>
      <c r="H132" s="95">
        <f t="shared" ca="1" si="16"/>
        <v>45443</v>
      </c>
      <c r="I132" s="119">
        <f ca="1">HLOOKUP($H$4,'Met Data'!$A$2:$F$368,G132,FALSE)</f>
        <v>10.004166666666601</v>
      </c>
      <c r="J132" s="119">
        <f ca="1">HLOOKUP($H$4,'Met Data'!$H$2:$M$368,G132,FALSE)*L132</f>
        <v>2.5</v>
      </c>
      <c r="K132" s="96">
        <f ca="1">HLOOKUP($H$4,'Met Data'!$O$2:$T$368,G132,FALSE)</f>
        <v>1.1690097853574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45489</v>
      </c>
      <c r="Q132">
        <f ca="1"/>
        <v>66.070555006325222</v>
      </c>
      <c r="R132">
        <f ca="1"/>
        <v>2.9578365188064026</v>
      </c>
      <c r="S132">
        <f ca="1"/>
        <v>7.1071280540024873E-3</v>
      </c>
      <c r="T132">
        <f ca="1"/>
        <v>0.52346057459149498</v>
      </c>
      <c r="U132">
        <f ca="1"/>
        <v>0</v>
      </c>
      <c r="V132">
        <f ca="1"/>
        <v>198.69358942882064</v>
      </c>
      <c r="W132">
        <f ca="1"/>
        <v>50.537282528634819</v>
      </c>
      <c r="X132">
        <f ca="1"/>
        <v>1.6994759174648146</v>
      </c>
      <c r="Y132">
        <f ca="1"/>
        <v>1</v>
      </c>
      <c r="Z132">
        <f ca="1"/>
        <v>3.6552511547499762</v>
      </c>
      <c r="AA132">
        <f ca="1"/>
        <v>0</v>
      </c>
      <c r="AB132">
        <f ca="1"/>
        <v>0.99999999647713222</v>
      </c>
      <c r="AD132" s="2">
        <f t="shared" ca="1" si="12"/>
        <v>45489</v>
      </c>
      <c r="AE132">
        <f t="shared" ca="1" si="13"/>
        <v>0</v>
      </c>
      <c r="AG132" s="63">
        <f t="shared" ca="1" si="17"/>
        <v>70.727867442596434</v>
      </c>
      <c r="AH132" s="63">
        <f t="shared" ca="1" si="18"/>
        <v>70.727867442596434</v>
      </c>
      <c r="AI132" s="3">
        <f t="shared" ca="1" si="19"/>
        <v>0</v>
      </c>
    </row>
    <row r="133" spans="7:35">
      <c r="G133" s="3">
        <f t="shared" ca="1" si="14"/>
        <v>154</v>
      </c>
      <c r="H133" s="95">
        <f t="shared" ca="1" si="16"/>
        <v>45444</v>
      </c>
      <c r="I133" s="119">
        <f ca="1">HLOOKUP($H$4,'Met Data'!$A$2:$F$368,G133,FALSE)</f>
        <v>9.99583333333333</v>
      </c>
      <c r="J133" s="119">
        <f ca="1">HLOOKUP($H$4,'Met Data'!$H$2:$M$368,G133,FALSE)*L133</f>
        <v>2.7833333333333301</v>
      </c>
      <c r="K133" s="96">
        <f ca="1">HLOOKUP($H$4,'Met Data'!$O$2:$T$368,G133,FALSE)</f>
        <v>1.0280895768516001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45490</v>
      </c>
      <c r="Q133">
        <f ca="1"/>
        <v>63.797389203006908</v>
      </c>
      <c r="R133">
        <f ca="1"/>
        <v>2.7310373000680954</v>
      </c>
      <c r="S133">
        <f ca="1"/>
        <v>6.5567217975370795E-3</v>
      </c>
      <c r="T133">
        <f ca="1"/>
        <v>0.48542616381369885</v>
      </c>
      <c r="U133">
        <f ca="1"/>
        <v>0</v>
      </c>
      <c r="V133">
        <f ca="1"/>
        <v>201.42462672888874</v>
      </c>
      <c r="W133">
        <f ca="1"/>
        <v>51.231915928869526</v>
      </c>
      <c r="X133">
        <f ca="1"/>
        <v>3.4111388861452242E-2</v>
      </c>
      <c r="Y133">
        <f ca="1"/>
        <v>1</v>
      </c>
      <c r="Z133">
        <f ca="1"/>
        <v>7.5981289381815031E-2</v>
      </c>
      <c r="AA133">
        <f ca="1"/>
        <v>0</v>
      </c>
      <c r="AB133">
        <f ca="1"/>
        <v>0.99999999701199171</v>
      </c>
      <c r="AD133" s="2">
        <f t="shared" ca="1" si="12"/>
        <v>45490</v>
      </c>
      <c r="AE133">
        <f t="shared" ca="1" si="13"/>
        <v>0</v>
      </c>
      <c r="AG133" s="63">
        <f t="shared" ca="1" si="17"/>
        <v>66.562537891936458</v>
      </c>
      <c r="AH133" s="63">
        <f t="shared" ca="1" si="18"/>
        <v>66.562537891936444</v>
      </c>
      <c r="AI133" s="3">
        <f t="shared" ca="1" si="19"/>
        <v>0</v>
      </c>
    </row>
    <row r="134" spans="7:35">
      <c r="G134" s="3">
        <f t="shared" ca="1" si="14"/>
        <v>155</v>
      </c>
      <c r="H134" s="95">
        <f t="shared" ca="1" si="16"/>
        <v>45445</v>
      </c>
      <c r="I134" s="119">
        <f ca="1">HLOOKUP($H$4,'Met Data'!$A$2:$F$368,G134,FALSE)</f>
        <v>9.8999999999999897</v>
      </c>
      <c r="J134" s="119">
        <f ca="1">HLOOKUP($H$4,'Met Data'!$H$2:$M$368,G134,FALSE)*L134</f>
        <v>1.7833333333333301</v>
      </c>
      <c r="K134" s="96">
        <f ca="1">HLOOKUP($H$4,'Met Data'!$O$2:$T$368,G134,FALSE)</f>
        <v>0.97110296937720297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45491</v>
      </c>
      <c r="Q134">
        <f ca="1"/>
        <v>61.436873028393961</v>
      </c>
      <c r="R134">
        <f ca="1"/>
        <v>2.778508771064395</v>
      </c>
      <c r="S134">
        <f ca="1"/>
        <v>6.6218803703463891E-3</v>
      </c>
      <c r="T134">
        <f ca="1"/>
        <v>0.4927595413012546</v>
      </c>
      <c r="U134">
        <f ca="1"/>
        <v>0</v>
      </c>
      <c r="V134">
        <f ca="1"/>
        <v>204.20313549995313</v>
      </c>
      <c r="W134">
        <f ca="1"/>
        <v>51.938623594553299</v>
      </c>
      <c r="X134">
        <f ca="1"/>
        <v>8.1388825220158487E-2</v>
      </c>
      <c r="Y134">
        <f ca="1"/>
        <v>1</v>
      </c>
      <c r="Z134">
        <f ca="1"/>
        <v>0.18825470529200317</v>
      </c>
      <c r="AA134">
        <f ca="1"/>
        <v>0</v>
      </c>
      <c r="AB134">
        <f ca="1"/>
        <v>0.99999999747255663</v>
      </c>
      <c r="AD134" s="2">
        <f t="shared" ref="AD134:AD197" ca="1" si="22">IFERROR(P134,$AD$4)</f>
        <v>45491</v>
      </c>
      <c r="AE134">
        <f t="shared" ref="AE134:AE197" ca="1" si="23">IFERROR(U134,0)</f>
        <v>0</v>
      </c>
      <c r="AG134" s="63">
        <f t="shared" ca="1" si="17"/>
        <v>64.296770624678516</v>
      </c>
      <c r="AH134" s="63">
        <f t="shared" ca="1" si="18"/>
        <v>64.296770624678516</v>
      </c>
      <c r="AI134" s="3">
        <f t="shared" ca="1" si="19"/>
        <v>0</v>
      </c>
    </row>
    <row r="135" spans="7:35">
      <c r="G135" s="3">
        <f t="shared" ref="G135:G198" ca="1" si="24">H135-DATE(YEAR(H135),1,0)+1</f>
        <v>156</v>
      </c>
      <c r="H135" s="95">
        <f t="shared" ca="1" si="16"/>
        <v>45446</v>
      </c>
      <c r="I135" s="119">
        <f ca="1">HLOOKUP($H$4,'Met Data'!$A$2:$F$368,G135,FALSE)</f>
        <v>10.95</v>
      </c>
      <c r="J135" s="119">
        <f ca="1">HLOOKUP($H$4,'Met Data'!$H$2:$M$368,G135,FALSE)*L135</f>
        <v>2.44999999999999</v>
      </c>
      <c r="K135" s="96">
        <f ca="1">HLOOKUP($H$4,'Met Data'!$O$2:$T$368,G135,FALSE)</f>
        <v>0.960770877493487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45492</v>
      </c>
      <c r="Q135">
        <f ca="1"/>
        <v>58.286002140706692</v>
      </c>
      <c r="R135">
        <f ca="1"/>
        <v>2.936887279524683</v>
      </c>
      <c r="S135">
        <f ca="1"/>
        <v>6.9334981470916546E-3</v>
      </c>
      <c r="T135">
        <f ca="1"/>
        <v>0.51872633623181474</v>
      </c>
      <c r="U135">
        <f ca="1"/>
        <v>0</v>
      </c>
      <c r="V135">
        <f ca="1"/>
        <v>207.14002277947782</v>
      </c>
      <c r="W135">
        <f ca="1"/>
        <v>52.685614489562838</v>
      </c>
      <c r="X135">
        <f ca="1"/>
        <v>0.73964344254149306</v>
      </c>
      <c r="Y135">
        <f ca="1"/>
        <v>1</v>
      </c>
      <c r="Z135">
        <f ca="1"/>
        <v>1.8033013448346225</v>
      </c>
      <c r="AA135">
        <f ca="1"/>
        <v>0</v>
      </c>
      <c r="AB135">
        <f ca="1"/>
        <v>0.99999999788226779</v>
      </c>
      <c r="AD135" s="2">
        <f t="shared" ca="1" si="22"/>
        <v>45492</v>
      </c>
      <c r="AE135">
        <f t="shared" ca="1" si="23"/>
        <v>0</v>
      </c>
      <c r="AG135" s="63">
        <f t="shared" ca="1" si="17"/>
        <v>61.962532862772868</v>
      </c>
      <c r="AH135" s="63">
        <f t="shared" ca="1" si="18"/>
        <v>61.962532862772868</v>
      </c>
      <c r="AI135" s="3">
        <f t="shared" ca="1" si="19"/>
        <v>0</v>
      </c>
    </row>
    <row r="136" spans="7:35">
      <c r="G136" s="3">
        <f t="shared" ca="1" si="24"/>
        <v>157</v>
      </c>
      <c r="H136" s="95">
        <f t="shared" ref="H136:H199" ca="1" si="26">H135+1</f>
        <v>45447</v>
      </c>
      <c r="I136" s="119">
        <f ca="1">HLOOKUP($H$4,'Met Data'!$A$2:$F$368,G136,FALSE)</f>
        <v>10.6875</v>
      </c>
      <c r="J136" s="119">
        <f ca="1">HLOOKUP($H$4,'Met Data'!$H$2:$M$368,G136,FALSE)*L136</f>
        <v>4.1333333333333302</v>
      </c>
      <c r="K136" s="96">
        <f ca="1">HLOOKUP($H$4,'Met Data'!$O$2:$T$368,G136,FALSE)</f>
        <v>0.84332690198160198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45493</v>
      </c>
      <c r="Q136">
        <f ca="1"/>
        <v>54.805098778588686</v>
      </c>
      <c r="R136">
        <f ca="1"/>
        <v>3.0401110954087756</v>
      </c>
      <c r="S136">
        <f ca="1"/>
        <v>7.1266120268518307E-3</v>
      </c>
      <c r="T136">
        <f ca="1"/>
        <v>0.53621998370343016</v>
      </c>
      <c r="U136">
        <f ca="1"/>
        <v>0</v>
      </c>
      <c r="V136">
        <f ca="1"/>
        <v>210.18013387488659</v>
      </c>
      <c r="W136">
        <f ca="1"/>
        <v>53.458860137742903</v>
      </c>
      <c r="X136">
        <f ca="1"/>
        <v>0.98413886243951343</v>
      </c>
      <c r="Y136">
        <f ca="1"/>
        <v>1</v>
      </c>
      <c r="Z136">
        <f ca="1"/>
        <v>2.5517938138543315</v>
      </c>
      <c r="AA136">
        <f ca="1"/>
        <v>0</v>
      </c>
      <c r="AB136">
        <f ca="1"/>
        <v>0.9999999982365404</v>
      </c>
      <c r="AD136" s="2">
        <f t="shared" ca="1" si="22"/>
        <v>45493</v>
      </c>
      <c r="AE136">
        <f t="shared" ca="1" si="23"/>
        <v>0</v>
      </c>
      <c r="AG136" s="63">
        <f t="shared" ref="AG136:AG199" ca="1" si="27">Q135+S136+T136+U136</f>
        <v>58.829348736436977</v>
      </c>
      <c r="AH136" s="63">
        <f t="shared" ref="AH136:AH199" ca="1" si="28">Q136+R136+X136</f>
        <v>58.829348736436977</v>
      </c>
      <c r="AI136" s="3">
        <f t="shared" ref="AI136:AI199" ca="1" si="29">AH136-AG136</f>
        <v>0</v>
      </c>
    </row>
    <row r="137" spans="7:35">
      <c r="G137" s="3">
        <f t="shared" ca="1" si="24"/>
        <v>158</v>
      </c>
      <c r="H137" s="95">
        <f t="shared" ca="1" si="26"/>
        <v>45448</v>
      </c>
      <c r="I137" s="119">
        <f ca="1">HLOOKUP($H$4,'Met Data'!$A$2:$F$368,G137,FALSE)</f>
        <v>10.5625</v>
      </c>
      <c r="J137" s="119">
        <f ca="1">HLOOKUP($H$4,'Met Data'!$H$2:$M$368,G137,FALSE)*L137</f>
        <v>5.3</v>
      </c>
      <c r="K137" s="96">
        <f ca="1">HLOOKUP($H$4,'Met Data'!$O$2:$T$368,G137,FALSE)</f>
        <v>0.93242759876210701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45494</v>
      </c>
      <c r="Q137">
        <f ca="1"/>
        <v>50.966121979829957</v>
      </c>
      <c r="R137">
        <f ca="1"/>
        <v>3.0995024768058386</v>
      </c>
      <c r="S137">
        <f ca="1"/>
        <v>7.2224295362985913E-3</v>
      </c>
      <c r="T137">
        <f ca="1"/>
        <v>0.54667077447465295</v>
      </c>
      <c r="U137">
        <f ca="1"/>
        <v>0</v>
      </c>
      <c r="V137">
        <f ca="1"/>
        <v>213.27963635169243</v>
      </c>
      <c r="W137">
        <f ca="1"/>
        <v>54.247211854669615</v>
      </c>
      <c r="X137">
        <f ca="1"/>
        <v>1.2933675259638453</v>
      </c>
      <c r="Y137">
        <f ca="1"/>
        <v>1</v>
      </c>
      <c r="Z137">
        <f ca="1"/>
        <v>3.6062059559819915</v>
      </c>
      <c r="AA137">
        <f ca="1"/>
        <v>0</v>
      </c>
      <c r="AB137">
        <f ca="1"/>
        <v>0.99999999853689103</v>
      </c>
      <c r="AD137" s="2">
        <f t="shared" ca="1" si="22"/>
        <v>45494</v>
      </c>
      <c r="AE137">
        <f t="shared" ca="1" si="23"/>
        <v>0</v>
      </c>
      <c r="AG137" s="63">
        <f t="shared" ca="1" si="27"/>
        <v>55.35899198259964</v>
      </c>
      <c r="AH137" s="63">
        <f t="shared" ca="1" si="28"/>
        <v>55.35899198259964</v>
      </c>
      <c r="AI137" s="3">
        <f t="shared" ca="1" si="29"/>
        <v>0</v>
      </c>
    </row>
    <row r="138" spans="7:35">
      <c r="G138" s="3">
        <f t="shared" ca="1" si="24"/>
        <v>159</v>
      </c>
      <c r="H138" s="95">
        <f t="shared" ca="1" si="26"/>
        <v>45449</v>
      </c>
      <c r="I138" s="119">
        <f ca="1">HLOOKUP($H$4,'Met Data'!$A$2:$F$368,G138,FALSE)</f>
        <v>10.4625</v>
      </c>
      <c r="J138" s="119">
        <f ca="1">HLOOKUP($H$4,'Met Data'!$H$2:$M$368,G138,FALSE)*L138</f>
        <v>2.44999999999999</v>
      </c>
      <c r="K138" s="96">
        <f ca="1">HLOOKUP($H$4,'Met Data'!$O$2:$T$368,G138,FALSE)</f>
        <v>0.99912564942381998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45495</v>
      </c>
      <c r="Q138">
        <f ca="1"/>
        <v>47.122450826581776</v>
      </c>
      <c r="R138">
        <f ca="1"/>
        <v>2.9104985596079302</v>
      </c>
      <c r="S138">
        <f ca="1"/>
        <v>6.7617307835377005E-3</v>
      </c>
      <c r="T138">
        <f ca="1"/>
        <v>0.51484129258973121</v>
      </c>
      <c r="U138">
        <f ca="1"/>
        <v>0</v>
      </c>
      <c r="V138">
        <f ca="1"/>
        <v>216.19013491130036</v>
      </c>
      <c r="W138">
        <f ca="1"/>
        <v>54.987490836135102</v>
      </c>
      <c r="X138">
        <f ca="1"/>
        <v>1.4547756170135195</v>
      </c>
      <c r="Y138">
        <f ca="1"/>
        <v>1</v>
      </c>
      <c r="Z138">
        <f ca="1"/>
        <v>4.3871078066843197</v>
      </c>
      <c r="AA138">
        <f ca="1"/>
        <v>0</v>
      </c>
      <c r="AB138">
        <f ca="1"/>
        <v>0.99999999877235535</v>
      </c>
      <c r="AD138" s="2">
        <f t="shared" ca="1" si="22"/>
        <v>45495</v>
      </c>
      <c r="AE138">
        <f t="shared" ca="1" si="23"/>
        <v>0</v>
      </c>
      <c r="AG138" s="63">
        <f t="shared" ca="1" si="27"/>
        <v>51.487725003203224</v>
      </c>
      <c r="AH138" s="63">
        <f t="shared" ca="1" si="28"/>
        <v>51.487725003203224</v>
      </c>
      <c r="AI138" s="3">
        <f t="shared" ca="1" si="29"/>
        <v>0</v>
      </c>
    </row>
    <row r="139" spans="7:35">
      <c r="G139" s="3">
        <f t="shared" ca="1" si="24"/>
        <v>160</v>
      </c>
      <c r="H139" s="95">
        <f t="shared" ca="1" si="26"/>
        <v>45450</v>
      </c>
      <c r="I139" s="119">
        <f ca="1">HLOOKUP($H$4,'Met Data'!$A$2:$F$368,G139,FALSE)</f>
        <v>9.5875000000000004</v>
      </c>
      <c r="J139" s="119">
        <f ca="1">HLOOKUP($H$4,'Met Data'!$H$2:$M$368,G139,FALSE)*L139</f>
        <v>1.7333333333333301</v>
      </c>
      <c r="K139" s="96">
        <f ca="1">HLOOKUP($H$4,'Met Data'!$O$2:$T$368,G139,FALSE)</f>
        <v>1.0839051549829499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45496</v>
      </c>
      <c r="Q139">
        <f ca="1"/>
        <v>44.400851047242703</v>
      </c>
      <c r="R139">
        <f ca="1"/>
        <v>2.8994097767415496</v>
      </c>
      <c r="S139">
        <f ca="1"/>
        <v>6.7055840565757308E-3</v>
      </c>
      <c r="T139">
        <f ca="1"/>
        <v>0.51355043279300527</v>
      </c>
      <c r="U139">
        <f ca="1"/>
        <v>0</v>
      </c>
      <c r="V139">
        <f ca="1"/>
        <v>219.08954468804191</v>
      </c>
      <c r="W139">
        <f ca="1"/>
        <v>55.724949409784585</v>
      </c>
      <c r="X139">
        <f ca="1"/>
        <v>0.34244601944710196</v>
      </c>
      <c r="Y139">
        <f ca="1"/>
        <v>1</v>
      </c>
      <c r="Z139">
        <f ca="1"/>
        <v>1.0960011027519698</v>
      </c>
      <c r="AA139">
        <f ca="1"/>
        <v>0</v>
      </c>
      <c r="AB139">
        <f ca="1"/>
        <v>0.99999999896944591</v>
      </c>
      <c r="AD139" s="2">
        <f t="shared" ca="1" si="22"/>
        <v>45496</v>
      </c>
      <c r="AE139">
        <f t="shared" ca="1" si="23"/>
        <v>0</v>
      </c>
      <c r="AG139" s="63">
        <f t="shared" ca="1" si="27"/>
        <v>47.642706843431355</v>
      </c>
      <c r="AH139" s="63">
        <f t="shared" ca="1" si="28"/>
        <v>47.642706843431355</v>
      </c>
      <c r="AI139" s="3">
        <f t="shared" ca="1" si="29"/>
        <v>0</v>
      </c>
    </row>
    <row r="140" spans="7:35">
      <c r="G140" s="3">
        <f t="shared" ca="1" si="24"/>
        <v>161</v>
      </c>
      <c r="H140" s="95">
        <f t="shared" ca="1" si="26"/>
        <v>45451</v>
      </c>
      <c r="I140" s="119">
        <f ca="1">HLOOKUP($H$4,'Met Data'!$A$2:$F$368,G140,FALSE)</f>
        <v>9.4875000000000007</v>
      </c>
      <c r="J140" s="119">
        <f ca="1">HLOOKUP($H$4,'Met Data'!$H$2:$M$368,G140,FALSE)*L140</f>
        <v>1.55</v>
      </c>
      <c r="K140" s="96">
        <f ca="1">HLOOKUP($H$4,'Met Data'!$O$2:$T$368,G140,FALSE)</f>
        <v>0.94567596592895498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45497</v>
      </c>
      <c r="Q140">
        <f ca="1"/>
        <v>42.146795294209547</v>
      </c>
      <c r="R140">
        <f ca="1"/>
        <v>2.7500380530740358</v>
      </c>
      <c r="S140">
        <f ca="1"/>
        <v>6.3564352583682648E-3</v>
      </c>
      <c r="T140">
        <f ca="1"/>
        <v>0.48962586478251147</v>
      </c>
      <c r="U140">
        <f ca="1"/>
        <v>0</v>
      </c>
      <c r="V140">
        <f ca="1"/>
        <v>221.83958274111595</v>
      </c>
      <c r="W140">
        <f ca="1"/>
        <v>56.424415610240374</v>
      </c>
      <c r="X140">
        <f ca="1"/>
        <v>0</v>
      </c>
      <c r="Y140">
        <f ca="1"/>
        <v>0.9982083230244333</v>
      </c>
      <c r="Z140">
        <f ca="1"/>
        <v>0</v>
      </c>
      <c r="AA140">
        <f ca="1"/>
        <v>0</v>
      </c>
      <c r="AB140">
        <f ca="1"/>
        <v>0.99999999912727833</v>
      </c>
      <c r="AD140" s="2">
        <f t="shared" ca="1" si="22"/>
        <v>45497</v>
      </c>
      <c r="AE140">
        <f t="shared" ca="1" si="23"/>
        <v>0</v>
      </c>
      <c r="AG140" s="63">
        <f t="shared" ca="1" si="27"/>
        <v>44.896833347283582</v>
      </c>
      <c r="AH140" s="63">
        <f t="shared" ca="1" si="28"/>
        <v>44.896833347283582</v>
      </c>
      <c r="AI140" s="3">
        <f t="shared" ca="1" si="29"/>
        <v>0</v>
      </c>
    </row>
    <row r="141" spans="7:35">
      <c r="G141" s="3">
        <f t="shared" ca="1" si="24"/>
        <v>162</v>
      </c>
      <c r="H141" s="95">
        <f t="shared" ca="1" si="26"/>
        <v>45452</v>
      </c>
      <c r="I141" s="119">
        <f ca="1">HLOOKUP($H$4,'Met Data'!$A$2:$F$368,G141,FALSE)</f>
        <v>10.9</v>
      </c>
      <c r="J141" s="119">
        <f ca="1">HLOOKUP($H$4,'Met Data'!$H$2:$M$368,G141,FALSE)*L141</f>
        <v>4.8363636363636298</v>
      </c>
      <c r="K141" s="96">
        <f ca="1">HLOOKUP($H$4,'Met Data'!$O$2:$T$368,G141,FALSE)</f>
        <v>0.77149259834587403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45498</v>
      </c>
      <c r="Q141">
        <f ca="1"/>
        <v>39.940504329189153</v>
      </c>
      <c r="R141">
        <f ca="1"/>
        <v>2.693836708631693</v>
      </c>
      <c r="S141">
        <f ca="1"/>
        <v>6.2135219286858501E-3</v>
      </c>
      <c r="T141">
        <f ca="1"/>
        <v>0.48133222168261458</v>
      </c>
      <c r="U141">
        <f ca="1"/>
        <v>0</v>
      </c>
      <c r="V141">
        <f ca="1"/>
        <v>224.53341944974764</v>
      </c>
      <c r="W141">
        <f ca="1"/>
        <v>57.109587120914071</v>
      </c>
      <c r="X141">
        <f ca="1"/>
        <v>0</v>
      </c>
      <c r="Y141">
        <f ca="1"/>
        <v>0.98218967886101116</v>
      </c>
      <c r="Z141">
        <f ca="1"/>
        <v>0</v>
      </c>
      <c r="AA141">
        <f ca="1"/>
        <v>0</v>
      </c>
      <c r="AB141">
        <f ca="1"/>
        <v>0.99999999925864147</v>
      </c>
      <c r="AD141" s="2">
        <f t="shared" ca="1" si="22"/>
        <v>45498</v>
      </c>
      <c r="AE141">
        <f t="shared" ca="1" si="23"/>
        <v>0</v>
      </c>
      <c r="AG141" s="63">
        <f t="shared" ca="1" si="27"/>
        <v>42.634341037820846</v>
      </c>
      <c r="AH141" s="63">
        <f t="shared" ca="1" si="28"/>
        <v>42.634341037820846</v>
      </c>
      <c r="AI141" s="3">
        <f t="shared" ca="1" si="29"/>
        <v>0</v>
      </c>
    </row>
    <row r="142" spans="7:35">
      <c r="G142" s="3">
        <f t="shared" ca="1" si="24"/>
        <v>163</v>
      </c>
      <c r="H142" s="95">
        <f t="shared" ca="1" si="26"/>
        <v>45453</v>
      </c>
      <c r="I142" s="119">
        <f ca="1">HLOOKUP($H$4,'Met Data'!$A$2:$F$368,G142,FALSE)</f>
        <v>10.8954545454545</v>
      </c>
      <c r="J142" s="119">
        <f ca="1">HLOOKUP($H$4,'Met Data'!$H$2:$M$368,G142,FALSE)*L142</f>
        <v>7.1454545454545402</v>
      </c>
      <c r="K142" s="96">
        <f ca="1">HLOOKUP($H$4,'Met Data'!$O$2:$T$368,G142,FALSE)</f>
        <v>0.76887644299908198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45499</v>
      </c>
      <c r="Q142">
        <f ca="1"/>
        <v>37.594168806052501</v>
      </c>
      <c r="R142">
        <f ca="1"/>
        <v>2.8630005205122586</v>
      </c>
      <c r="S142">
        <f ca="1"/>
        <v>6.5467115447148672E-3</v>
      </c>
      <c r="T142">
        <f ca="1"/>
        <v>0.51011828583088992</v>
      </c>
      <c r="U142">
        <f ca="1"/>
        <v>0</v>
      </c>
      <c r="V142">
        <f ca="1"/>
        <v>227.3964199702599</v>
      </c>
      <c r="W142">
        <f ca="1"/>
        <v>57.837785079392205</v>
      </c>
      <c r="X142">
        <f ca="1"/>
        <v>0</v>
      </c>
      <c r="Y142">
        <f ca="1"/>
        <v>0.99880271430838563</v>
      </c>
      <c r="Z142">
        <f ca="1"/>
        <v>0</v>
      </c>
      <c r="AA142">
        <f ca="1"/>
        <v>0</v>
      </c>
      <c r="AB142">
        <f ca="1"/>
        <v>0.9999999993768891</v>
      </c>
      <c r="AD142" s="2">
        <f t="shared" ca="1" si="22"/>
        <v>45499</v>
      </c>
      <c r="AE142">
        <f t="shared" ca="1" si="23"/>
        <v>0</v>
      </c>
      <c r="AG142" s="63">
        <f t="shared" ca="1" si="27"/>
        <v>40.45716932656476</v>
      </c>
      <c r="AH142" s="63">
        <f t="shared" ca="1" si="28"/>
        <v>40.45716932656476</v>
      </c>
      <c r="AI142" s="3">
        <f t="shared" ca="1" si="29"/>
        <v>0</v>
      </c>
    </row>
    <row r="143" spans="7:35">
      <c r="G143" s="3">
        <f t="shared" ca="1" si="24"/>
        <v>164</v>
      </c>
      <c r="H143" s="95">
        <f t="shared" ca="1" si="26"/>
        <v>45454</v>
      </c>
      <c r="I143" s="119">
        <f ca="1">HLOOKUP($H$4,'Met Data'!$A$2:$F$368,G143,FALSE)</f>
        <v>11.8375</v>
      </c>
      <c r="J143" s="119">
        <f ca="1">HLOOKUP($H$4,'Met Data'!$H$2:$M$368,G143,FALSE)*L143</f>
        <v>0.88333333333333297</v>
      </c>
      <c r="K143" s="96">
        <f ca="1">HLOOKUP($H$4,'Met Data'!$O$2:$T$368,G143,FALSE)</f>
        <v>0.886573255907814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45500</v>
      </c>
      <c r="Q143">
        <f ca="1"/>
        <v>35.343241478711185</v>
      </c>
      <c r="R143">
        <f ca="1"/>
        <v>2.7497610509875585</v>
      </c>
      <c r="S143">
        <f ca="1"/>
        <v>6.2834945057659297E-3</v>
      </c>
      <c r="T143">
        <f ca="1"/>
        <v>0.49255022914047697</v>
      </c>
      <c r="U143">
        <f ca="1"/>
        <v>0</v>
      </c>
      <c r="V143">
        <f ca="1"/>
        <v>230.14618102124746</v>
      </c>
      <c r="W143">
        <f ca="1"/>
        <v>58.537180824969468</v>
      </c>
      <c r="X143">
        <f ca="1"/>
        <v>0</v>
      </c>
      <c r="Y143">
        <f ca="1"/>
        <v>0.99846035956626211</v>
      </c>
      <c r="Z143">
        <f ca="1"/>
        <v>0</v>
      </c>
      <c r="AA143">
        <f ca="1"/>
        <v>0</v>
      </c>
      <c r="AB143">
        <f ca="1"/>
        <v>0.9999999994728932</v>
      </c>
      <c r="AD143" s="2">
        <f t="shared" ca="1" si="22"/>
        <v>45500</v>
      </c>
      <c r="AE143">
        <f t="shared" ca="1" si="23"/>
        <v>0</v>
      </c>
      <c r="AG143" s="63">
        <f t="shared" ca="1" si="27"/>
        <v>38.093002529698744</v>
      </c>
      <c r="AH143" s="63">
        <f t="shared" ca="1" si="28"/>
        <v>38.093002529698744</v>
      </c>
      <c r="AI143" s="3">
        <f t="shared" ca="1" si="29"/>
        <v>0</v>
      </c>
    </row>
    <row r="144" spans="7:35">
      <c r="G144" s="3">
        <f t="shared" ca="1" si="24"/>
        <v>165</v>
      </c>
      <c r="H144" s="95">
        <f t="shared" ca="1" si="26"/>
        <v>45455</v>
      </c>
      <c r="I144" s="119">
        <f ca="1">HLOOKUP($H$4,'Met Data'!$A$2:$F$368,G144,FALSE)</f>
        <v>10.4916666666666</v>
      </c>
      <c r="J144" s="119">
        <f ca="1">HLOOKUP($H$4,'Met Data'!$H$2:$M$368,G144,FALSE)*L144</f>
        <v>5.3166666666666602</v>
      </c>
      <c r="K144" s="96">
        <f ca="1">HLOOKUP($H$4,'Met Data'!$O$2:$T$368,G144,FALSE)</f>
        <v>0.75300621765048603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45501</v>
      </c>
      <c r="Q144">
        <f ca="1"/>
        <v>32.737201758416894</v>
      </c>
      <c r="R144">
        <f ca="1"/>
        <v>2.757003393655225</v>
      </c>
      <c r="S144">
        <f ca="1"/>
        <v>6.2779791393836604E-3</v>
      </c>
      <c r="T144">
        <f ca="1"/>
        <v>0.49506575281908</v>
      </c>
      <c r="U144">
        <f ca="1"/>
        <v>0</v>
      </c>
      <c r="V144">
        <f ca="1"/>
        <v>232.90318441490268</v>
      </c>
      <c r="W144">
        <f ca="1"/>
        <v>59.238418644660044</v>
      </c>
      <c r="X144">
        <f ca="1"/>
        <v>0.3503800585975298</v>
      </c>
      <c r="Y144">
        <f ca="1"/>
        <v>1</v>
      </c>
      <c r="Z144">
        <f ca="1"/>
        <v>1.5209256673710385</v>
      </c>
      <c r="AA144">
        <f ca="1"/>
        <v>0</v>
      </c>
      <c r="AB144">
        <f ca="1"/>
        <v>0.99999999955452057</v>
      </c>
      <c r="AD144" s="2">
        <f t="shared" ca="1" si="22"/>
        <v>45501</v>
      </c>
      <c r="AE144">
        <f t="shared" ca="1" si="23"/>
        <v>0</v>
      </c>
      <c r="AG144" s="63">
        <f t="shared" ca="1" si="27"/>
        <v>35.844585210669649</v>
      </c>
      <c r="AH144" s="63">
        <f t="shared" ca="1" si="28"/>
        <v>35.844585210669649</v>
      </c>
      <c r="AI144" s="3">
        <f t="shared" ca="1" si="29"/>
        <v>0</v>
      </c>
    </row>
    <row r="145" spans="7:35">
      <c r="G145" s="3">
        <f t="shared" ca="1" si="24"/>
        <v>166</v>
      </c>
      <c r="H145" s="95">
        <f t="shared" ca="1" si="26"/>
        <v>45456</v>
      </c>
      <c r="I145" s="119">
        <f ca="1">HLOOKUP($H$4,'Met Data'!$A$2:$F$368,G145,FALSE)</f>
        <v>10.133333333333301</v>
      </c>
      <c r="J145" s="119">
        <f ca="1">HLOOKUP($H$4,'Met Data'!$H$2:$M$368,G145,FALSE)*L145</f>
        <v>1.2</v>
      </c>
      <c r="K145" s="96">
        <f ca="1">HLOOKUP($H$4,'Met Data'!$O$2:$T$368,G145,FALSE)</f>
        <v>1.0949815777606999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45502</v>
      </c>
      <c r="Q145">
        <f ca="1"/>
        <v>30.668802844001927</v>
      </c>
      <c r="R145">
        <f ca="1"/>
        <v>2.4873953648208271</v>
      </c>
      <c r="S145">
        <f ca="1"/>
        <v>5.7115816978665634E-3</v>
      </c>
      <c r="T145">
        <f ca="1"/>
        <v>0.45302027397567418</v>
      </c>
      <c r="U145">
        <f ca="1"/>
        <v>0</v>
      </c>
      <c r="V145">
        <f ca="1"/>
        <v>235.39057977972351</v>
      </c>
      <c r="W145">
        <f ca="1"/>
        <v>59.871082248320988</v>
      </c>
      <c r="X145">
        <f ca="1"/>
        <v>3.9735405267680192E-2</v>
      </c>
      <c r="Y145">
        <f ca="1"/>
        <v>1</v>
      </c>
      <c r="Z145">
        <f ca="1"/>
        <v>0.1841157690755324</v>
      </c>
      <c r="AA145">
        <f ca="1"/>
        <v>0</v>
      </c>
      <c r="AB145">
        <f ca="1"/>
        <v>0.99999999961744246</v>
      </c>
      <c r="AD145" s="2">
        <f t="shared" ca="1" si="22"/>
        <v>45502</v>
      </c>
      <c r="AE145">
        <f t="shared" ca="1" si="23"/>
        <v>0</v>
      </c>
      <c r="AG145" s="63">
        <f t="shared" ca="1" si="27"/>
        <v>33.195933614090436</v>
      </c>
      <c r="AH145" s="63">
        <f t="shared" ca="1" si="28"/>
        <v>33.195933614090436</v>
      </c>
      <c r="AI145" s="3">
        <f t="shared" ca="1" si="29"/>
        <v>0</v>
      </c>
    </row>
    <row r="146" spans="7:35">
      <c r="G146" s="3">
        <f t="shared" ca="1" si="24"/>
        <v>167</v>
      </c>
      <c r="H146" s="95">
        <f t="shared" ca="1" si="26"/>
        <v>45457</v>
      </c>
      <c r="I146" s="119">
        <f ca="1">HLOOKUP($H$4,'Met Data'!$A$2:$F$368,G146,FALSE)</f>
        <v>9.0291666666666597</v>
      </c>
      <c r="J146" s="119">
        <f ca="1">HLOOKUP($H$4,'Met Data'!$H$2:$M$368,G146,FALSE)*L146</f>
        <v>2.0499999999999998</v>
      </c>
      <c r="K146" s="96">
        <f ca="1">HLOOKUP($H$4,'Met Data'!$O$2:$T$368,G146,FALSE)</f>
        <v>0.76363291076582096</v>
      </c>
      <c r="L146">
        <f t="shared" ca="1" si="20"/>
        <v>1</v>
      </c>
      <c r="N146" t="b">
        <f t="shared" ca="1" si="25"/>
        <v>0</v>
      </c>
      <c r="O146" t="b">
        <f t="shared" ca="1" si="21"/>
        <v>1</v>
      </c>
      <c r="P146" s="2">
        <f ca="1"/>
        <v>45503</v>
      </c>
      <c r="Q146">
        <f ca="1"/>
        <v>28.195636605953919</v>
      </c>
      <c r="R146">
        <f ca="1"/>
        <v>2.6520053766413128</v>
      </c>
      <c r="S146">
        <f ca="1"/>
        <v>6.0258531669745707E-3</v>
      </c>
      <c r="T146">
        <f ca="1"/>
        <v>0.48071387664803683</v>
      </c>
      <c r="U146">
        <f ca="1"/>
        <v>0</v>
      </c>
      <c r="V146">
        <f ca="1"/>
        <v>238.04258515636482</v>
      </c>
      <c r="W146">
        <f ca="1"/>
        <v>60.545614050640623</v>
      </c>
      <c r="X146">
        <f ca="1"/>
        <v>0.30790059122170682</v>
      </c>
      <c r="Y146">
        <f ca="1"/>
        <v>1</v>
      </c>
      <c r="Z146">
        <f ca="1"/>
        <v>1.55181084057498</v>
      </c>
      <c r="AA146">
        <f ca="1"/>
        <v>0</v>
      </c>
      <c r="AB146">
        <f ca="1"/>
        <v>0.99999999967495001</v>
      </c>
      <c r="AD146" s="2">
        <f t="shared" ca="1" si="22"/>
        <v>45503</v>
      </c>
      <c r="AE146">
        <f t="shared" ca="1" si="23"/>
        <v>0</v>
      </c>
      <c r="AG146" s="63">
        <f t="shared" ca="1" si="27"/>
        <v>31.155542573816938</v>
      </c>
      <c r="AH146" s="63">
        <f t="shared" ca="1" si="28"/>
        <v>31.155542573816938</v>
      </c>
      <c r="AI146" s="3">
        <f t="shared" ca="1" si="29"/>
        <v>0</v>
      </c>
    </row>
    <row r="147" spans="7:35">
      <c r="G147" s="3">
        <f t="shared" ca="1" si="24"/>
        <v>168</v>
      </c>
      <c r="H147" s="95">
        <f t="shared" ca="1" si="26"/>
        <v>45458</v>
      </c>
      <c r="I147" s="119">
        <f ca="1">HLOOKUP($H$4,'Met Data'!$A$2:$F$368,G147,FALSE)</f>
        <v>10.125</v>
      </c>
      <c r="J147" s="119">
        <f ca="1">HLOOKUP($H$4,'Met Data'!$H$2:$M$368,G147,FALSE)*L147</f>
        <v>2.68333333333333</v>
      </c>
      <c r="K147" s="96">
        <f ca="1">HLOOKUP($H$4,'Met Data'!$O$2:$T$368,G147,FALSE)</f>
        <v>0.84633721178312304</v>
      </c>
      <c r="L147">
        <f t="shared" ca="1" si="20"/>
        <v>1</v>
      </c>
      <c r="N147" t="b">
        <f t="shared" ca="1" si="25"/>
        <v>0</v>
      </c>
      <c r="O147" t="b">
        <f t="shared" ca="1" si="21"/>
        <v>0</v>
      </c>
      <c r="P147" s="2">
        <f ca="1"/>
        <v>45504</v>
      </c>
      <c r="Q147">
        <f ca="1"/>
        <v>34.751250157746227</v>
      </c>
      <c r="R147">
        <f ca="1"/>
        <v>0</v>
      </c>
      <c r="S147">
        <f ca="1"/>
        <v>7.0491844370444312</v>
      </c>
      <c r="T147">
        <f ca="1"/>
        <v>0.56338636539166709</v>
      </c>
      <c r="U147">
        <f ca="1"/>
        <v>0</v>
      </c>
      <c r="V147">
        <f ca="1"/>
        <v>0</v>
      </c>
      <c r="W147">
        <f ca="1"/>
        <v>0</v>
      </c>
      <c r="X147">
        <f ca="1"/>
        <v>1.0569572506437914</v>
      </c>
      <c r="Y147">
        <f ca="1"/>
        <v>1</v>
      </c>
      <c r="Z147">
        <f ca="1"/>
        <v>4.3221233068618332</v>
      </c>
      <c r="AA147">
        <f ca="1"/>
        <v>0</v>
      </c>
      <c r="AB147">
        <f ca="1"/>
        <v>0</v>
      </c>
      <c r="AD147" s="2">
        <f t="shared" ca="1" si="22"/>
        <v>45504</v>
      </c>
      <c r="AE147">
        <f t="shared" ca="1" si="23"/>
        <v>0</v>
      </c>
      <c r="AG147" s="63">
        <f t="shared" ca="1" si="27"/>
        <v>35.808207408390018</v>
      </c>
      <c r="AH147" s="63">
        <f t="shared" ca="1" si="28"/>
        <v>35.808207408390018</v>
      </c>
      <c r="AI147" s="3">
        <f t="shared" ca="1" si="29"/>
        <v>0</v>
      </c>
    </row>
    <row r="148" spans="7:35">
      <c r="G148" s="3">
        <f t="shared" ca="1" si="24"/>
        <v>169</v>
      </c>
      <c r="H148" s="95">
        <f t="shared" ca="1" si="26"/>
        <v>45459</v>
      </c>
      <c r="I148" s="119">
        <f ca="1">HLOOKUP($H$4,'Met Data'!$A$2:$F$368,G148,FALSE)</f>
        <v>10.2291666666666</v>
      </c>
      <c r="J148" s="119">
        <f ca="1">HLOOKUP($H$4,'Met Data'!$H$2:$M$368,G148,FALSE)*L148</f>
        <v>2.5333333333333301</v>
      </c>
      <c r="K148" s="96">
        <f ca="1">HLOOKUP($H$4,'Met Data'!$O$2:$T$368,G148,FALSE)</f>
        <v>0.91611783655738799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45505</v>
      </c>
      <c r="Q148">
        <f ca="1"/>
        <v>41.01852143046515</v>
      </c>
      <c r="R148">
        <f ca="1"/>
        <v>0</v>
      </c>
      <c r="S148">
        <f ca="1"/>
        <v>6.6518368530968957</v>
      </c>
      <c r="T148">
        <f ca="1"/>
        <v>0.57761720685891726</v>
      </c>
      <c r="U148">
        <f ca="1"/>
        <v>0</v>
      </c>
      <c r="V148">
        <f ca="1"/>
        <v>0</v>
      </c>
      <c r="W148">
        <f ca="1"/>
        <v>0</v>
      </c>
      <c r="X148">
        <f ca="1"/>
        <v>0.96218278723689166</v>
      </c>
      <c r="Y148">
        <f ca="1"/>
        <v>1</v>
      </c>
      <c r="Z148">
        <f ca="1"/>
        <v>3.3334024098865385</v>
      </c>
      <c r="AA148">
        <f ca="1"/>
        <v>0</v>
      </c>
      <c r="AB148">
        <f ca="1"/>
        <v>0</v>
      </c>
      <c r="AD148" s="2">
        <f t="shared" ca="1" si="22"/>
        <v>45505</v>
      </c>
      <c r="AE148">
        <f t="shared" ca="1" si="23"/>
        <v>0</v>
      </c>
      <c r="AG148" s="63">
        <f t="shared" ca="1" si="27"/>
        <v>41.980704217702041</v>
      </c>
      <c r="AH148" s="63">
        <f t="shared" ca="1" si="28"/>
        <v>41.980704217702041</v>
      </c>
      <c r="AI148" s="3">
        <f t="shared" ca="1" si="29"/>
        <v>0</v>
      </c>
    </row>
    <row r="149" spans="7:35">
      <c r="G149" s="3">
        <f t="shared" ca="1" si="24"/>
        <v>170</v>
      </c>
      <c r="H149" s="95">
        <f t="shared" ca="1" si="26"/>
        <v>45460</v>
      </c>
      <c r="I149" s="119">
        <f ca="1">HLOOKUP($H$4,'Met Data'!$A$2:$F$368,G149,FALSE)</f>
        <v>10.316666666666601</v>
      </c>
      <c r="J149" s="119">
        <f ca="1">HLOOKUP($H$4,'Met Data'!$H$2:$M$368,G149,FALSE)*L149</f>
        <v>5.5</v>
      </c>
      <c r="K149" s="96">
        <f ca="1">HLOOKUP($H$4,'Met Data'!$O$2:$T$368,G149,FALSE)</f>
        <v>0.749895043982166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45506</v>
      </c>
      <c r="Q149">
        <f ca="1"/>
        <v>47.179763292432973</v>
      </c>
      <c r="R149">
        <f ca="1"/>
        <v>0</v>
      </c>
      <c r="S149">
        <f ca="1"/>
        <v>5.8401167800298737</v>
      </c>
      <c r="T149">
        <f ca="1"/>
        <v>0.55070728549354264</v>
      </c>
      <c r="U149">
        <f ca="1"/>
        <v>0</v>
      </c>
      <c r="V149">
        <f ca="1"/>
        <v>0</v>
      </c>
      <c r="W149">
        <f ca="1"/>
        <v>0</v>
      </c>
      <c r="X149">
        <f ca="1"/>
        <v>0.22958220355559092</v>
      </c>
      <c r="Y149">
        <f ca="1"/>
        <v>1</v>
      </c>
      <c r="Z149">
        <f ca="1"/>
        <v>0.69150070233330752</v>
      </c>
      <c r="AA149">
        <f ca="1"/>
        <v>0</v>
      </c>
      <c r="AB149">
        <f ca="1"/>
        <v>0</v>
      </c>
      <c r="AD149" s="2">
        <f t="shared" ca="1" si="22"/>
        <v>45506</v>
      </c>
      <c r="AE149">
        <f t="shared" ca="1" si="23"/>
        <v>0</v>
      </c>
      <c r="AG149" s="63">
        <f t="shared" ca="1" si="27"/>
        <v>47.409345495988568</v>
      </c>
      <c r="AH149" s="63">
        <f t="shared" ca="1" si="28"/>
        <v>47.409345495988568</v>
      </c>
      <c r="AI149" s="3">
        <f t="shared" ca="1" si="29"/>
        <v>0</v>
      </c>
    </row>
    <row r="150" spans="7:35">
      <c r="G150" s="3">
        <f t="shared" ca="1" si="24"/>
        <v>171</v>
      </c>
      <c r="H150" s="95">
        <f t="shared" ca="1" si="26"/>
        <v>45461</v>
      </c>
      <c r="I150" s="119">
        <f ca="1">HLOOKUP($H$4,'Met Data'!$A$2:$F$368,G150,FALSE)</f>
        <v>10.6666666666666</v>
      </c>
      <c r="J150" s="119">
        <f ca="1">HLOOKUP($H$4,'Met Data'!$H$2:$M$368,G150,FALSE)*L150</f>
        <v>11.883333333333301</v>
      </c>
      <c r="K150" s="96">
        <f ca="1">HLOOKUP($H$4,'Met Data'!$O$2:$T$368,G150,FALSE)</f>
        <v>0.72031723210574305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45507</v>
      </c>
      <c r="Q150">
        <f ca="1"/>
        <v>51.371308655334438</v>
      </c>
      <c r="R150">
        <f ca="1"/>
        <v>0</v>
      </c>
      <c r="S150">
        <f ca="1"/>
        <v>5.42714175701893</v>
      </c>
      <c r="T150">
        <f ca="1"/>
        <v>0.55498856438124744</v>
      </c>
      <c r="U150">
        <f ca="1"/>
        <v>0</v>
      </c>
      <c r="V150">
        <f ca="1"/>
        <v>0</v>
      </c>
      <c r="W150">
        <f ca="1"/>
        <v>0</v>
      </c>
      <c r="X150">
        <f ca="1"/>
        <v>1.7905849584987146</v>
      </c>
      <c r="Y150">
        <f ca="1"/>
        <v>1</v>
      </c>
      <c r="Z150">
        <f ca="1"/>
        <v>4.9531840514560344</v>
      </c>
      <c r="AA150">
        <f ca="1"/>
        <v>0</v>
      </c>
      <c r="AB150">
        <f ca="1"/>
        <v>0</v>
      </c>
      <c r="AD150" s="2">
        <f t="shared" ca="1" si="22"/>
        <v>45507</v>
      </c>
      <c r="AE150">
        <f t="shared" ca="1" si="23"/>
        <v>0</v>
      </c>
      <c r="AG150" s="63">
        <f t="shared" ca="1" si="27"/>
        <v>53.161893613833151</v>
      </c>
      <c r="AH150" s="63">
        <f t="shared" ca="1" si="28"/>
        <v>53.161893613833151</v>
      </c>
      <c r="AI150" s="3">
        <f t="shared" ca="1" si="29"/>
        <v>0</v>
      </c>
    </row>
    <row r="151" spans="7:35">
      <c r="G151" s="3">
        <f t="shared" ca="1" si="24"/>
        <v>172</v>
      </c>
      <c r="H151" s="95">
        <f t="shared" ca="1" si="26"/>
        <v>45462</v>
      </c>
      <c r="I151" s="119">
        <f ca="1">HLOOKUP($H$4,'Met Data'!$A$2:$F$368,G151,FALSE)</f>
        <v>10.6181818181818</v>
      </c>
      <c r="J151" s="119">
        <f ca="1">HLOOKUP($H$4,'Met Data'!$H$2:$M$368,G151,FALSE)*L151</f>
        <v>9.0181818181818105</v>
      </c>
      <c r="K151" s="96">
        <f ca="1">HLOOKUP($H$4,'Met Data'!$O$2:$T$368,G151,FALSE)</f>
        <v>0.829345309973199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45508</v>
      </c>
      <c r="Q151">
        <f ca="1"/>
        <v>56.067177241065394</v>
      </c>
      <c r="R151">
        <f ca="1"/>
        <v>0</v>
      </c>
      <c r="S151">
        <f ca="1"/>
        <v>4.8100550575683769</v>
      </c>
      <c r="T151">
        <f ca="1"/>
        <v>0.53291166377261967</v>
      </c>
      <c r="U151">
        <f ca="1"/>
        <v>0</v>
      </c>
      <c r="V151">
        <f ca="1"/>
        <v>0</v>
      </c>
      <c r="W151">
        <f ca="1"/>
        <v>0</v>
      </c>
      <c r="X151">
        <f ca="1"/>
        <v>0.64709813561004303</v>
      </c>
      <c r="Y151">
        <f ca="1"/>
        <v>1</v>
      </c>
      <c r="Z151">
        <f ca="1"/>
        <v>1.6401048773059443</v>
      </c>
      <c r="AA151">
        <f ca="1"/>
        <v>0</v>
      </c>
      <c r="AB151">
        <f ca="1"/>
        <v>0</v>
      </c>
      <c r="AD151" s="2">
        <f t="shared" ca="1" si="22"/>
        <v>45508</v>
      </c>
      <c r="AE151">
        <f t="shared" ca="1" si="23"/>
        <v>0</v>
      </c>
      <c r="AG151" s="63">
        <f t="shared" ca="1" si="27"/>
        <v>56.714275376675438</v>
      </c>
      <c r="AH151" s="63">
        <f t="shared" ca="1" si="28"/>
        <v>56.714275376675438</v>
      </c>
      <c r="AI151" s="3">
        <f t="shared" ca="1" si="29"/>
        <v>0</v>
      </c>
    </row>
    <row r="152" spans="7:35">
      <c r="G152" s="3">
        <f t="shared" ca="1" si="24"/>
        <v>173</v>
      </c>
      <c r="H152" s="95">
        <f t="shared" ca="1" si="26"/>
        <v>45463</v>
      </c>
      <c r="I152" s="119">
        <f ca="1">HLOOKUP($H$4,'Met Data'!$A$2:$F$368,G152,FALSE)</f>
        <v>10.0318181818181</v>
      </c>
      <c r="J152" s="119">
        <f ca="1">HLOOKUP($H$4,'Met Data'!$H$2:$M$368,G152,FALSE)*L152</f>
        <v>1.9090909090909001</v>
      </c>
      <c r="K152" s="96">
        <f ca="1">HLOOKUP($H$4,'Met Data'!$O$2:$T$368,G152,FALSE)</f>
        <v>0.90574236110997597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45509</v>
      </c>
      <c r="Q152">
        <f ca="1"/>
        <v>59.646448968812798</v>
      </c>
      <c r="R152">
        <f ca="1"/>
        <v>0</v>
      </c>
      <c r="S152">
        <f ca="1"/>
        <v>4.4917853952075859</v>
      </c>
      <c r="T152">
        <f ca="1"/>
        <v>0.53865439307200247</v>
      </c>
      <c r="U152">
        <f ca="1"/>
        <v>0</v>
      </c>
      <c r="V152">
        <f ca="1"/>
        <v>0</v>
      </c>
      <c r="W152">
        <f ca="1"/>
        <v>0</v>
      </c>
      <c r="X152">
        <f ca="1"/>
        <v>1.4511680605321802</v>
      </c>
      <c r="Y152">
        <f ca="1"/>
        <v>1</v>
      </c>
      <c r="Z152">
        <f ca="1"/>
        <v>3.4573494766818769</v>
      </c>
      <c r="AA152">
        <f ca="1"/>
        <v>0</v>
      </c>
      <c r="AB152">
        <f ca="1"/>
        <v>0</v>
      </c>
      <c r="AD152" s="2">
        <f t="shared" ca="1" si="22"/>
        <v>45509</v>
      </c>
      <c r="AE152">
        <f t="shared" ca="1" si="23"/>
        <v>0</v>
      </c>
      <c r="AG152" s="63">
        <f t="shared" ca="1" si="27"/>
        <v>61.097617029344981</v>
      </c>
      <c r="AH152" s="63">
        <f t="shared" ca="1" si="28"/>
        <v>61.097617029344981</v>
      </c>
      <c r="AI152" s="3">
        <f t="shared" ca="1" si="29"/>
        <v>0</v>
      </c>
    </row>
    <row r="153" spans="7:35">
      <c r="G153" s="3">
        <f t="shared" ca="1" si="24"/>
        <v>174</v>
      </c>
      <c r="H153" s="95">
        <f t="shared" ca="1" si="26"/>
        <v>45464</v>
      </c>
      <c r="I153" s="119">
        <f ca="1">HLOOKUP($H$4,'Met Data'!$A$2:$F$368,G153,FALSE)</f>
        <v>8.9727272727272709</v>
      </c>
      <c r="J153" s="119">
        <f ca="1">HLOOKUP($H$4,'Met Data'!$H$2:$M$368,G153,FALSE)*L153</f>
        <v>1.9636363636363601</v>
      </c>
      <c r="K153" s="96">
        <f ca="1">HLOOKUP($H$4,'Met Data'!$O$2:$T$368,G153,FALSE)</f>
        <v>0.89904843691310898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45510</v>
      </c>
      <c r="Q153">
        <f ca="1"/>
        <v>63.887300226245785</v>
      </c>
      <c r="R153">
        <f ca="1"/>
        <v>0</v>
      </c>
      <c r="S153">
        <f ca="1"/>
        <v>4.1896242908721035</v>
      </c>
      <c r="T153">
        <f ca="1"/>
        <v>0.54443643140120312</v>
      </c>
      <c r="U153">
        <f ca="1"/>
        <v>0</v>
      </c>
      <c r="V153">
        <f ca="1"/>
        <v>0</v>
      </c>
      <c r="W153">
        <f ca="1"/>
        <v>0</v>
      </c>
      <c r="X153">
        <f ca="1"/>
        <v>0.49320946484031641</v>
      </c>
      <c r="Y153">
        <f ca="1"/>
        <v>1</v>
      </c>
      <c r="Z153">
        <f ca="1"/>
        <v>1.0970515352017429</v>
      </c>
      <c r="AA153">
        <f ca="1"/>
        <v>0</v>
      </c>
      <c r="AB153">
        <f ca="1"/>
        <v>0</v>
      </c>
      <c r="AD153" s="2">
        <f t="shared" ca="1" si="22"/>
        <v>45510</v>
      </c>
      <c r="AE153">
        <f t="shared" ca="1" si="23"/>
        <v>0</v>
      </c>
      <c r="AG153" s="63">
        <f t="shared" ca="1" si="27"/>
        <v>64.380509691086104</v>
      </c>
      <c r="AH153" s="63">
        <f t="shared" ca="1" si="28"/>
        <v>64.380509691086104</v>
      </c>
      <c r="AI153" s="3">
        <f t="shared" ca="1" si="29"/>
        <v>0</v>
      </c>
    </row>
    <row r="154" spans="7:35">
      <c r="G154" s="3">
        <f t="shared" ca="1" si="24"/>
        <v>175</v>
      </c>
      <c r="H154" s="95">
        <f t="shared" ca="1" si="26"/>
        <v>45465</v>
      </c>
      <c r="I154" s="119">
        <f ca="1">HLOOKUP($H$4,'Met Data'!$A$2:$F$368,G154,FALSE)</f>
        <v>9.0227272727272698</v>
      </c>
      <c r="J154" s="119">
        <f ca="1">HLOOKUP($H$4,'Met Data'!$H$2:$M$368,G154,FALSE)*L154</f>
        <v>3.0181818181818101</v>
      </c>
      <c r="K154" s="96">
        <f ca="1">HLOOKUP($H$4,'Met Data'!$O$2:$T$368,G154,FALSE)</f>
        <v>0.82913615112138495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45511</v>
      </c>
      <c r="Q154">
        <f ca="1"/>
        <v>66.897782313523621</v>
      </c>
      <c r="R154">
        <f ca="1"/>
        <v>0</v>
      </c>
      <c r="S154">
        <f ca="1"/>
        <v>3.6747321898659919</v>
      </c>
      <c r="T154">
        <f ca="1"/>
        <v>0.51678147648423089</v>
      </c>
      <c r="U154">
        <f ca="1"/>
        <v>0</v>
      </c>
      <c r="V154">
        <f ca="1"/>
        <v>0</v>
      </c>
      <c r="W154">
        <f ca="1"/>
        <v>0</v>
      </c>
      <c r="X154">
        <f ca="1"/>
        <v>1.1810315790723882</v>
      </c>
      <c r="Y154">
        <f ca="1"/>
        <v>1</v>
      </c>
      <c r="Z154">
        <f ca="1"/>
        <v>2.5087648280373287</v>
      </c>
      <c r="AA154">
        <f ca="1"/>
        <v>0</v>
      </c>
      <c r="AB154">
        <f ca="1"/>
        <v>0</v>
      </c>
      <c r="AD154" s="2">
        <f t="shared" ca="1" si="22"/>
        <v>45511</v>
      </c>
      <c r="AE154">
        <f t="shared" ca="1" si="23"/>
        <v>0</v>
      </c>
      <c r="AG154" s="63">
        <f t="shared" ca="1" si="27"/>
        <v>68.078813892596003</v>
      </c>
      <c r="AH154" s="63">
        <f t="shared" ca="1" si="28"/>
        <v>68.078813892596003</v>
      </c>
      <c r="AI154" s="3">
        <f t="shared" ca="1" si="29"/>
        <v>0</v>
      </c>
    </row>
    <row r="155" spans="7:35">
      <c r="G155" s="3">
        <f t="shared" ca="1" si="24"/>
        <v>176</v>
      </c>
      <c r="H155" s="95">
        <f t="shared" ca="1" si="26"/>
        <v>45466</v>
      </c>
      <c r="I155" s="119">
        <f ca="1">HLOOKUP($H$4,'Met Data'!$A$2:$F$368,G155,FALSE)</f>
        <v>10.3590909090909</v>
      </c>
      <c r="J155" s="119">
        <f ca="1">HLOOKUP($H$4,'Met Data'!$H$2:$M$368,G155,FALSE)*L155</f>
        <v>3.7454545454545398</v>
      </c>
      <c r="K155" s="96">
        <f ca="1">HLOOKUP($H$4,'Met Data'!$O$2:$T$368,G155,FALSE)</f>
        <v>0.88746237543267503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45512</v>
      </c>
      <c r="Q155">
        <f ca="1"/>
        <v>69.421448668113172</v>
      </c>
      <c r="R155">
        <f ca="1"/>
        <v>0</v>
      </c>
      <c r="S155">
        <f ca="1"/>
        <v>3.0728060817056644</v>
      </c>
      <c r="T155">
        <f ca="1"/>
        <v>0.46501808152519453</v>
      </c>
      <c r="U155">
        <f ca="1"/>
        <v>0</v>
      </c>
      <c r="V155">
        <f ca="1"/>
        <v>0</v>
      </c>
      <c r="W155">
        <f ca="1"/>
        <v>0</v>
      </c>
      <c r="X155">
        <f ca="1"/>
        <v>1.0141578086413205</v>
      </c>
      <c r="Y155">
        <f ca="1"/>
        <v>1</v>
      </c>
      <c r="Z155">
        <f ca="1"/>
        <v>2.0759745733569659</v>
      </c>
      <c r="AA155">
        <f ca="1"/>
        <v>0</v>
      </c>
      <c r="AB155">
        <f ca="1"/>
        <v>0</v>
      </c>
      <c r="AD155" s="2">
        <f t="shared" ca="1" si="22"/>
        <v>45512</v>
      </c>
      <c r="AE155">
        <f t="shared" ca="1" si="23"/>
        <v>0</v>
      </c>
      <c r="AG155" s="63">
        <f t="shared" ca="1" si="27"/>
        <v>70.435606476754486</v>
      </c>
      <c r="AH155" s="63">
        <f t="shared" ca="1" si="28"/>
        <v>70.435606476754486</v>
      </c>
      <c r="AI155" s="3">
        <f t="shared" ca="1" si="29"/>
        <v>0</v>
      </c>
    </row>
    <row r="156" spans="7:35">
      <c r="G156" s="3">
        <f t="shared" ca="1" si="24"/>
        <v>177</v>
      </c>
      <c r="H156" s="95">
        <f t="shared" ca="1" si="26"/>
        <v>45467</v>
      </c>
      <c r="I156" s="119">
        <f ca="1">HLOOKUP($H$4,'Met Data'!$A$2:$F$368,G156,FALSE)</f>
        <v>9.5090909090909097</v>
      </c>
      <c r="J156" s="119">
        <f ca="1">HLOOKUP($H$4,'Met Data'!$H$2:$M$368,G156,FALSE)*L156</f>
        <v>3.1090909090909</v>
      </c>
      <c r="K156" s="96">
        <f ca="1">HLOOKUP($H$4,'Met Data'!$O$2:$T$368,G156,FALSE)</f>
        <v>0.97866599470650895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45513</v>
      </c>
      <c r="Q156">
        <f ca="1"/>
        <v>72.509940112224214</v>
      </c>
      <c r="R156">
        <f ca="1"/>
        <v>0</v>
      </c>
      <c r="S156">
        <f ca="1"/>
        <v>2.6998752413059037</v>
      </c>
      <c r="T156">
        <f ca="1"/>
        <v>0.43714448366331682</v>
      </c>
      <c r="U156">
        <f ca="1"/>
        <v>0</v>
      </c>
      <c r="V156">
        <f ca="1"/>
        <v>0</v>
      </c>
      <c r="W156">
        <f ca="1"/>
        <v>0</v>
      </c>
      <c r="X156">
        <f ca="1"/>
        <v>4.8528280858172061E-2</v>
      </c>
      <c r="Y156">
        <f ca="1"/>
        <v>1</v>
      </c>
      <c r="Z156">
        <f ca="1"/>
        <v>9.5105913910252582E-2</v>
      </c>
      <c r="AA156">
        <f ca="1"/>
        <v>0</v>
      </c>
      <c r="AB156">
        <f ca="1"/>
        <v>0</v>
      </c>
      <c r="AD156" s="2">
        <f t="shared" ca="1" si="22"/>
        <v>45513</v>
      </c>
      <c r="AE156">
        <f t="shared" ca="1" si="23"/>
        <v>0</v>
      </c>
      <c r="AG156" s="63">
        <f t="shared" ca="1" si="27"/>
        <v>72.558468393082393</v>
      </c>
      <c r="AH156" s="63">
        <f t="shared" ca="1" si="28"/>
        <v>72.558468393082393</v>
      </c>
      <c r="AI156" s="3">
        <f t="shared" ca="1" si="29"/>
        <v>0</v>
      </c>
    </row>
    <row r="157" spans="7:35">
      <c r="G157" s="3">
        <f t="shared" ca="1" si="24"/>
        <v>178</v>
      </c>
      <c r="H157" s="95">
        <f t="shared" ca="1" si="26"/>
        <v>45468</v>
      </c>
      <c r="I157" s="119">
        <f ca="1">HLOOKUP($H$4,'Met Data'!$A$2:$F$368,G157,FALSE)</f>
        <v>9.1272727272727199</v>
      </c>
      <c r="J157" s="119">
        <f ca="1">HLOOKUP($H$4,'Met Data'!$H$2:$M$368,G157,FALSE)*L157</f>
        <v>1.25454545454545</v>
      </c>
      <c r="K157" s="96">
        <f ca="1">HLOOKUP($H$4,'Met Data'!$O$2:$T$368,G157,FALSE)</f>
        <v>1.0040569739087299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45514</v>
      </c>
      <c r="Q157">
        <f ca="1"/>
        <v>73.989687787042016</v>
      </c>
      <c r="R157">
        <f ca="1"/>
        <v>0</v>
      </c>
      <c r="S157">
        <f ca="1"/>
        <v>2.7828201583080272</v>
      </c>
      <c r="T157">
        <f ca="1"/>
        <v>0.48277702088882413</v>
      </c>
      <c r="U157">
        <f ca="1"/>
        <v>0</v>
      </c>
      <c r="V157">
        <f ca="1"/>
        <v>0</v>
      </c>
      <c r="W157">
        <f ca="1"/>
        <v>0</v>
      </c>
      <c r="X157">
        <f ca="1"/>
        <v>1.7858495043790379</v>
      </c>
      <c r="Y157">
        <f ca="1"/>
        <v>1</v>
      </c>
      <c r="Z157">
        <f ca="1"/>
        <v>3.4299187004357634</v>
      </c>
      <c r="AA157">
        <f ca="1"/>
        <v>0</v>
      </c>
      <c r="AB157">
        <f ca="1"/>
        <v>0</v>
      </c>
      <c r="AD157" s="2">
        <f t="shared" ca="1" si="22"/>
        <v>45514</v>
      </c>
      <c r="AE157">
        <f t="shared" ca="1" si="23"/>
        <v>0</v>
      </c>
      <c r="AG157" s="63">
        <f t="shared" ca="1" si="27"/>
        <v>75.77553729142106</v>
      </c>
      <c r="AH157" s="63">
        <f t="shared" ca="1" si="28"/>
        <v>75.77553729142106</v>
      </c>
      <c r="AI157" s="3">
        <f t="shared" ca="1" si="29"/>
        <v>0</v>
      </c>
    </row>
    <row r="158" spans="7:35">
      <c r="G158" s="3">
        <f t="shared" ca="1" si="24"/>
        <v>179</v>
      </c>
      <c r="H158" s="95">
        <f t="shared" ca="1" si="26"/>
        <v>45469</v>
      </c>
      <c r="I158" s="119">
        <f ca="1">HLOOKUP($H$4,'Met Data'!$A$2:$F$368,G158,FALSE)</f>
        <v>8.7727272727272698</v>
      </c>
      <c r="J158" s="119">
        <f ca="1">HLOOKUP($H$4,'Met Data'!$H$2:$M$368,G158,FALSE)*L158</f>
        <v>2.9818181818181801</v>
      </c>
      <c r="K158" s="96">
        <f ca="1">HLOOKUP($H$4,'Met Data'!$O$2:$T$368,G158,FALSE)</f>
        <v>0.89055521132494797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45515</v>
      </c>
      <c r="Q158">
        <f ca="1"/>
        <v>75.203331945150879</v>
      </c>
      <c r="R158">
        <f ca="1"/>
        <v>0</v>
      </c>
      <c r="S158">
        <f ca="1"/>
        <v>2.6946600058054742</v>
      </c>
      <c r="T158">
        <f ca="1"/>
        <v>0.50351044017989466</v>
      </c>
      <c r="U158">
        <f ca="1"/>
        <v>0</v>
      </c>
      <c r="V158">
        <f ca="1"/>
        <v>0</v>
      </c>
      <c r="W158">
        <f ca="1"/>
        <v>0</v>
      </c>
      <c r="X158">
        <f ca="1"/>
        <v>1.9845262878765095</v>
      </c>
      <c r="Y158">
        <f ca="1"/>
        <v>1</v>
      </c>
      <c r="Z158">
        <f ca="1"/>
        <v>3.7499885056706646</v>
      </c>
      <c r="AA158">
        <f ca="1"/>
        <v>0</v>
      </c>
      <c r="AB158">
        <f ca="1"/>
        <v>0</v>
      </c>
      <c r="AD158" s="2">
        <f t="shared" ca="1" si="22"/>
        <v>45515</v>
      </c>
      <c r="AE158">
        <f t="shared" ca="1" si="23"/>
        <v>0</v>
      </c>
      <c r="AG158" s="63">
        <f t="shared" ca="1" si="27"/>
        <v>77.187858233027384</v>
      </c>
      <c r="AH158" s="63">
        <f t="shared" ca="1" si="28"/>
        <v>77.187858233027384</v>
      </c>
      <c r="AI158" s="3">
        <f t="shared" ca="1" si="29"/>
        <v>0</v>
      </c>
    </row>
    <row r="159" spans="7:35">
      <c r="G159" s="3">
        <f t="shared" ca="1" si="24"/>
        <v>180</v>
      </c>
      <c r="H159" s="95">
        <f t="shared" ca="1" si="26"/>
        <v>45470</v>
      </c>
      <c r="I159" s="119">
        <f ca="1">HLOOKUP($H$4,'Met Data'!$A$2:$F$368,G159,FALSE)</f>
        <v>8.8363636363636306</v>
      </c>
      <c r="J159" s="119">
        <f ca="1">HLOOKUP($H$4,'Met Data'!$H$2:$M$368,G159,FALSE)*L159</f>
        <v>0.90909090909090895</v>
      </c>
      <c r="K159" s="96">
        <f ca="1">HLOOKUP($H$4,'Met Data'!$O$2:$T$368,G159,FALSE)</f>
        <v>0.949335994975394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45516</v>
      </c>
      <c r="Q159">
        <f ca="1"/>
        <v>77.251047083230091</v>
      </c>
      <c r="R159">
        <f ca="1"/>
        <v>0</v>
      </c>
      <c r="S159">
        <f ca="1"/>
        <v>2.5688705703200014</v>
      </c>
      <c r="T159">
        <f ca="1"/>
        <v>0.51851000969982952</v>
      </c>
      <c r="U159">
        <f ca="1"/>
        <v>0</v>
      </c>
      <c r="V159">
        <f ca="1"/>
        <v>0</v>
      </c>
      <c r="W159">
        <f ca="1"/>
        <v>0</v>
      </c>
      <c r="X159">
        <f ca="1"/>
        <v>1.0396654419406188</v>
      </c>
      <c r="Y159">
        <f ca="1"/>
        <v>1</v>
      </c>
      <c r="Z159">
        <f ca="1"/>
        <v>1.9124909862252579</v>
      </c>
      <c r="AA159">
        <f ca="1"/>
        <v>0</v>
      </c>
      <c r="AB159">
        <f ca="1"/>
        <v>0</v>
      </c>
      <c r="AD159" s="2">
        <f t="shared" ca="1" si="22"/>
        <v>45516</v>
      </c>
      <c r="AE159">
        <f t="shared" ca="1" si="23"/>
        <v>0</v>
      </c>
      <c r="AG159" s="63">
        <f t="shared" ca="1" si="27"/>
        <v>78.290712525170704</v>
      </c>
      <c r="AH159" s="63">
        <f t="shared" ca="1" si="28"/>
        <v>78.290712525170704</v>
      </c>
      <c r="AI159" s="3">
        <f t="shared" ca="1" si="29"/>
        <v>0</v>
      </c>
    </row>
    <row r="160" spans="7:35">
      <c r="G160" s="3">
        <f t="shared" ca="1" si="24"/>
        <v>181</v>
      </c>
      <c r="H160" s="95">
        <f t="shared" ca="1" si="26"/>
        <v>45471</v>
      </c>
      <c r="I160" s="119">
        <f ca="1">HLOOKUP($H$4,'Met Data'!$A$2:$F$368,G160,FALSE)</f>
        <v>8.7136363636363594</v>
      </c>
      <c r="J160" s="119">
        <f ca="1">HLOOKUP($H$4,'Met Data'!$H$2:$M$368,G160,FALSE)*L160</f>
        <v>1.7833333333333301</v>
      </c>
      <c r="K160" s="96">
        <f ca="1">HLOOKUP($H$4,'Met Data'!$O$2:$T$368,G160,FALSE)</f>
        <v>0.92539172734817898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45517</v>
      </c>
      <c r="Q160">
        <f ca="1"/>
        <v>77.20160313978586</v>
      </c>
      <c r="R160">
        <f ca="1"/>
        <v>0</v>
      </c>
      <c r="S160">
        <f ca="1"/>
        <v>2.440108295009253</v>
      </c>
      <c r="T160">
        <f ca="1"/>
        <v>0.53335201824852152</v>
      </c>
      <c r="U160">
        <f ca="1"/>
        <v>0</v>
      </c>
      <c r="V160">
        <f ca="1"/>
        <v>0</v>
      </c>
      <c r="W160">
        <f ca="1"/>
        <v>0</v>
      </c>
      <c r="X160">
        <f ca="1"/>
        <v>3.0229042567020064</v>
      </c>
      <c r="Y160">
        <f ca="1"/>
        <v>1</v>
      </c>
      <c r="Z160">
        <f ca="1"/>
        <v>5.5642705258588023</v>
      </c>
      <c r="AA160">
        <f ca="1"/>
        <v>0</v>
      </c>
      <c r="AB160">
        <f ca="1"/>
        <v>0</v>
      </c>
      <c r="AD160" s="2">
        <f t="shared" ca="1" si="22"/>
        <v>45517</v>
      </c>
      <c r="AE160">
        <f t="shared" ca="1" si="23"/>
        <v>0</v>
      </c>
      <c r="AG160" s="63">
        <f t="shared" ca="1" si="27"/>
        <v>80.224507396487866</v>
      </c>
      <c r="AH160" s="63">
        <f t="shared" ca="1" si="28"/>
        <v>80.224507396487866</v>
      </c>
      <c r="AI160" s="3">
        <f t="shared" ca="1" si="29"/>
        <v>0</v>
      </c>
    </row>
    <row r="161" spans="7:35">
      <c r="G161" s="3">
        <f t="shared" ca="1" si="24"/>
        <v>182</v>
      </c>
      <c r="H161" s="95">
        <f t="shared" ca="1" si="26"/>
        <v>45472</v>
      </c>
      <c r="I161" s="119">
        <f ca="1">HLOOKUP($H$4,'Met Data'!$A$2:$F$368,G161,FALSE)</f>
        <v>8.5291666666666597</v>
      </c>
      <c r="J161" s="119">
        <f ca="1">HLOOKUP($H$4,'Met Data'!$H$2:$M$368,G161,FALSE)*L161</f>
        <v>2.5833333333333299</v>
      </c>
      <c r="K161" s="96">
        <f ca="1">HLOOKUP($H$4,'Met Data'!$O$2:$T$368,G161,FALSE)</f>
        <v>0.82623977006466498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45518</v>
      </c>
      <c r="Q161">
        <f ca="1"/>
        <v>78.762888198165015</v>
      </c>
      <c r="R161">
        <f ca="1"/>
        <v>0</v>
      </c>
      <c r="S161">
        <f ca="1"/>
        <v>2.1777544750323443</v>
      </c>
      <c r="T161">
        <f ca="1"/>
        <v>0.51548750121052267</v>
      </c>
      <c r="U161">
        <f ca="1"/>
        <v>0</v>
      </c>
      <c r="V161">
        <f ca="1"/>
        <v>2.2995005421189183</v>
      </c>
      <c r="W161">
        <f ca="1"/>
        <v>0.5848729639737249</v>
      </c>
      <c r="X161">
        <f ca="1"/>
        <v>1.1319569178637197</v>
      </c>
      <c r="Y161">
        <f ca="1"/>
        <v>1</v>
      </c>
      <c r="Z161">
        <f ca="1"/>
        <v>2.0422947834481633</v>
      </c>
      <c r="AA161">
        <f ca="1"/>
        <v>0</v>
      </c>
      <c r="AB161">
        <f ca="1"/>
        <v>7.8932455396503141E-3</v>
      </c>
      <c r="AD161" s="2">
        <f t="shared" ca="1" si="22"/>
        <v>45518</v>
      </c>
      <c r="AE161">
        <f t="shared" ca="1" si="23"/>
        <v>0</v>
      </c>
      <c r="AG161" s="63">
        <f t="shared" ca="1" si="27"/>
        <v>79.894845116028733</v>
      </c>
      <c r="AH161" s="63">
        <f t="shared" ca="1" si="28"/>
        <v>79.894845116028733</v>
      </c>
      <c r="AI161" s="3">
        <f t="shared" ca="1" si="29"/>
        <v>0</v>
      </c>
    </row>
    <row r="162" spans="7:35">
      <c r="G162" s="3">
        <f t="shared" ca="1" si="24"/>
        <v>183</v>
      </c>
      <c r="H162" s="95">
        <f t="shared" ca="1" si="26"/>
        <v>45473</v>
      </c>
      <c r="I162" s="119">
        <f ca="1">HLOOKUP($H$4,'Met Data'!$A$2:$F$368,G162,FALSE)</f>
        <v>8.8208333333333293</v>
      </c>
      <c r="J162" s="119">
        <f ca="1">HLOOKUP($H$4,'Met Data'!$H$2:$M$368,G162,FALSE)*L162</f>
        <v>2.1333333333333302</v>
      </c>
      <c r="K162" s="96">
        <f ca="1">HLOOKUP($H$4,'Met Data'!$O$2:$T$368,G162,FALSE)</f>
        <v>0.80690048817841498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45519</v>
      </c>
      <c r="Q162">
        <f ca="1"/>
        <v>81.123838013512895</v>
      </c>
      <c r="R162">
        <f ca="1"/>
        <v>6.2498718192322666E-2</v>
      </c>
      <c r="S162">
        <f ca="1"/>
        <v>2.0646278201285213</v>
      </c>
      <c r="T162">
        <f ca="1"/>
        <v>0.52917802106482414</v>
      </c>
      <c r="U162">
        <f ca="1"/>
        <v>0</v>
      </c>
      <c r="V162">
        <f ca="1"/>
        <v>2.361999260311241</v>
      </c>
      <c r="W162">
        <f ca="1"/>
        <v>0.60076937707916345</v>
      </c>
      <c r="X162">
        <f ca="1"/>
        <v>0.17035730765315202</v>
      </c>
      <c r="Y162">
        <f ca="1"/>
        <v>1</v>
      </c>
      <c r="Z162">
        <f ca="1"/>
        <v>0.2984162316246568</v>
      </c>
      <c r="AA162">
        <f ca="1"/>
        <v>0</v>
      </c>
      <c r="AB162">
        <f ca="1"/>
        <v>9.3496336416767755E-3</v>
      </c>
      <c r="AD162" s="2">
        <f t="shared" ca="1" si="22"/>
        <v>45519</v>
      </c>
      <c r="AE162">
        <f t="shared" ca="1" si="23"/>
        <v>0</v>
      </c>
      <c r="AG162" s="63">
        <f t="shared" ca="1" si="27"/>
        <v>81.356694039358359</v>
      </c>
      <c r="AH162" s="63">
        <f t="shared" ca="1" si="28"/>
        <v>81.356694039358359</v>
      </c>
      <c r="AI162" s="3">
        <f t="shared" ca="1" si="29"/>
        <v>0</v>
      </c>
    </row>
    <row r="163" spans="7:35">
      <c r="G163" s="3">
        <f t="shared" ca="1" si="24"/>
        <v>184</v>
      </c>
      <c r="H163" s="95">
        <f t="shared" ca="1" si="26"/>
        <v>45474</v>
      </c>
      <c r="I163" s="119">
        <f ca="1">HLOOKUP($H$4,'Met Data'!$A$2:$F$368,G163,FALSE)</f>
        <v>8.2249999999999996</v>
      </c>
      <c r="J163" s="119">
        <f ca="1">HLOOKUP($H$4,'Met Data'!$H$2:$M$368,G163,FALSE)*L163</f>
        <v>0.83333333333333304</v>
      </c>
      <c r="K163" s="96">
        <f ca="1">HLOOKUP($H$4,'Met Data'!$O$2:$T$368,G163,FALSE)</f>
        <v>1.0149186441071101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45520</v>
      </c>
      <c r="Q163">
        <f ca="1"/>
        <v>80.511881010335671</v>
      </c>
      <c r="R163">
        <f ca="1"/>
        <v>6.3605232314114524E-2</v>
      </c>
      <c r="S163">
        <f ca="1"/>
        <v>1.8891922414900648</v>
      </c>
      <c r="T163">
        <f ca="1"/>
        <v>0.5248069476438586</v>
      </c>
      <c r="U163">
        <f ca="1"/>
        <v>0</v>
      </c>
      <c r="V163">
        <f ca="1"/>
        <v>2.4256044926253555</v>
      </c>
      <c r="W163">
        <f ca="1"/>
        <v>0.61694722964601434</v>
      </c>
      <c r="X163">
        <f ca="1"/>
        <v>2.962350959997019</v>
      </c>
      <c r="Y163">
        <f ca="1"/>
        <v>1</v>
      </c>
      <c r="Z163">
        <f ca="1"/>
        <v>5.2286154223918473</v>
      </c>
      <c r="AA163">
        <f ca="1"/>
        <v>0</v>
      </c>
      <c r="AB163">
        <f ca="1"/>
        <v>1.1055687384118183E-2</v>
      </c>
      <c r="AD163" s="2">
        <f t="shared" ca="1" si="22"/>
        <v>45520</v>
      </c>
      <c r="AE163">
        <f t="shared" ca="1" si="23"/>
        <v>0</v>
      </c>
      <c r="AG163" s="63">
        <f t="shared" ca="1" si="27"/>
        <v>83.537837202646813</v>
      </c>
      <c r="AH163" s="63">
        <f t="shared" ca="1" si="28"/>
        <v>83.537837202646813</v>
      </c>
      <c r="AI163" s="3">
        <f t="shared" ca="1" si="29"/>
        <v>0</v>
      </c>
    </row>
    <row r="164" spans="7:35">
      <c r="G164" s="3">
        <f t="shared" ca="1" si="24"/>
        <v>185</v>
      </c>
      <c r="H164" s="95">
        <f t="shared" ca="1" si="26"/>
        <v>45475</v>
      </c>
      <c r="I164" s="119">
        <f ca="1">HLOOKUP($H$4,'Met Data'!$A$2:$F$368,G164,FALSE)</f>
        <v>8.8333333333333304</v>
      </c>
      <c r="J164" s="119">
        <f ca="1">HLOOKUP($H$4,'Met Data'!$H$2:$M$368,G164,FALSE)*L164</f>
        <v>3.5666666666666602</v>
      </c>
      <c r="K164" s="96">
        <f ca="1">HLOOKUP($H$4,'Met Data'!$O$2:$T$368,G164,FALSE)</f>
        <v>0.89125379504041602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45521</v>
      </c>
      <c r="Q164">
        <f ca="1"/>
        <v>81.456247109691674</v>
      </c>
      <c r="R164">
        <f ca="1"/>
        <v>5.9901647931272173E-2</v>
      </c>
      <c r="S164">
        <f ca="1"/>
        <v>1.6154120750840661</v>
      </c>
      <c r="T164">
        <f ca="1"/>
        <v>0.48484586528118057</v>
      </c>
      <c r="U164">
        <f ca="1"/>
        <v>0</v>
      </c>
      <c r="V164">
        <f ca="1"/>
        <v>2.4855061405566277</v>
      </c>
      <c r="W164">
        <f ca="1"/>
        <v>0.63218308357635966</v>
      </c>
      <c r="X164">
        <f ca="1"/>
        <v>1.0959901930779861</v>
      </c>
      <c r="Y164">
        <f ca="1"/>
        <v>1</v>
      </c>
      <c r="Z164">
        <f ca="1"/>
        <v>1.9120200148195678</v>
      </c>
      <c r="AA164">
        <f ca="1"/>
        <v>0</v>
      </c>
      <c r="AB164">
        <f ca="1"/>
        <v>1.2892227783872142E-2</v>
      </c>
      <c r="AD164" s="2">
        <f t="shared" ca="1" si="22"/>
        <v>45521</v>
      </c>
      <c r="AE164">
        <f t="shared" ca="1" si="23"/>
        <v>0</v>
      </c>
      <c r="AG164" s="63">
        <f t="shared" ca="1" si="27"/>
        <v>82.612138950700924</v>
      </c>
      <c r="AH164" s="63">
        <f t="shared" ca="1" si="28"/>
        <v>82.612138950700924</v>
      </c>
      <c r="AI164" s="3">
        <f t="shared" ca="1" si="29"/>
        <v>0</v>
      </c>
    </row>
    <row r="165" spans="7:35">
      <c r="G165" s="3">
        <f t="shared" ca="1" si="24"/>
        <v>186</v>
      </c>
      <c r="H165" s="95">
        <f t="shared" ca="1" si="26"/>
        <v>45476</v>
      </c>
      <c r="I165" s="119">
        <f ca="1">HLOOKUP($H$4,'Met Data'!$A$2:$F$368,G165,FALSE)</f>
        <v>8.6</v>
      </c>
      <c r="J165" s="119">
        <f ca="1">HLOOKUP($H$4,'Met Data'!$H$2:$M$368,G165,FALSE)*L165</f>
        <v>0.73333333333333295</v>
      </c>
      <c r="K165" s="96">
        <f ca="1">HLOOKUP($H$4,'Met Data'!$O$2:$T$368,G165,FALSE)</f>
        <v>0.87224086772784204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45522</v>
      </c>
      <c r="Q165">
        <f ca="1"/>
        <v>83.170786045777717</v>
      </c>
      <c r="R165">
        <f ca="1"/>
        <v>6.5922668058967737E-2</v>
      </c>
      <c r="S165">
        <f ca="1"/>
        <v>1.5976162784654946</v>
      </c>
      <c r="T165">
        <f ca="1"/>
        <v>0.51786137665381704</v>
      </c>
      <c r="U165">
        <f ca="1"/>
        <v>0</v>
      </c>
      <c r="V165">
        <f ca="1"/>
        <v>2.5514288086155954</v>
      </c>
      <c r="W165">
        <f ca="1"/>
        <v>0.64895037088701013</v>
      </c>
      <c r="X165">
        <f ca="1"/>
        <v>0.33501605097428938</v>
      </c>
      <c r="Y165">
        <f ca="1"/>
        <v>1</v>
      </c>
      <c r="Z165">
        <f ca="1"/>
        <v>0.57240704758539351</v>
      </c>
      <c r="AA165">
        <f ca="1"/>
        <v>0</v>
      </c>
      <c r="AB165">
        <f ca="1"/>
        <v>1.5199584994551882E-2</v>
      </c>
      <c r="AD165" s="2">
        <f t="shared" ca="1" si="22"/>
        <v>45522</v>
      </c>
      <c r="AE165">
        <f t="shared" ca="1" si="23"/>
        <v>0</v>
      </c>
      <c r="AG165" s="63">
        <f t="shared" ca="1" si="27"/>
        <v>83.57172476481098</v>
      </c>
      <c r="AH165" s="63">
        <f t="shared" ca="1" si="28"/>
        <v>83.57172476481098</v>
      </c>
      <c r="AI165" s="3">
        <f t="shared" ca="1" si="29"/>
        <v>0</v>
      </c>
    </row>
    <row r="166" spans="7:35">
      <c r="G166" s="3">
        <f t="shared" ca="1" si="24"/>
        <v>187</v>
      </c>
      <c r="H166" s="95">
        <f t="shared" ca="1" si="26"/>
        <v>45477</v>
      </c>
      <c r="I166" s="119">
        <f ca="1">HLOOKUP($H$4,'Met Data'!$A$2:$F$368,G166,FALSE)</f>
        <v>9.4</v>
      </c>
      <c r="J166" s="119">
        <f ca="1">HLOOKUP($H$4,'Met Data'!$H$2:$M$368,G166,FALSE)*L166</f>
        <v>9.9999999999999895E-2</v>
      </c>
      <c r="K166" s="96">
        <f ca="1">HLOOKUP($H$4,'Met Data'!$O$2:$T$368,G166,FALSE)</f>
        <v>0.96939333533810901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45523</v>
      </c>
      <c r="Q166">
        <f ca="1"/>
        <v>83.753337823428268</v>
      </c>
      <c r="R166">
        <f ca="1"/>
        <v>6.6008809068214269E-2</v>
      </c>
      <c r="S166">
        <f ca="1"/>
        <v>1.4434630585160448</v>
      </c>
      <c r="T166">
        <f ca="1"/>
        <v>0.50627474249918403</v>
      </c>
      <c r="U166">
        <f ca="1"/>
        <v>0</v>
      </c>
      <c r="V166">
        <f ca="1"/>
        <v>2.6174376176838097</v>
      </c>
      <c r="W166">
        <f ca="1"/>
        <v>0.66573956797609946</v>
      </c>
      <c r="X166">
        <f ca="1"/>
        <v>1.3011772142964693</v>
      </c>
      <c r="Y166">
        <f ca="1"/>
        <v>1</v>
      </c>
      <c r="Z166">
        <f ca="1"/>
        <v>2.2077225249515138</v>
      </c>
      <c r="AA166">
        <f ca="1"/>
        <v>0</v>
      </c>
      <c r="AB166">
        <f ca="1"/>
        <v>1.7842840875812057E-2</v>
      </c>
      <c r="AD166" s="2">
        <f t="shared" ca="1" si="22"/>
        <v>45523</v>
      </c>
      <c r="AE166">
        <f t="shared" ca="1" si="23"/>
        <v>0</v>
      </c>
      <c r="AG166" s="63">
        <f t="shared" ca="1" si="27"/>
        <v>85.120523846792949</v>
      </c>
      <c r="AH166" s="63">
        <f t="shared" ca="1" si="28"/>
        <v>85.120523846792949</v>
      </c>
      <c r="AI166" s="3">
        <f t="shared" ca="1" si="29"/>
        <v>0</v>
      </c>
    </row>
    <row r="167" spans="7:35">
      <c r="G167" s="3">
        <f t="shared" ca="1" si="24"/>
        <v>188</v>
      </c>
      <c r="H167" s="95">
        <f t="shared" ca="1" si="26"/>
        <v>45478</v>
      </c>
      <c r="I167" s="119">
        <f ca="1">HLOOKUP($H$4,'Met Data'!$A$2:$F$368,G167,FALSE)</f>
        <v>9.12083333333333</v>
      </c>
      <c r="J167" s="119">
        <f ca="1">HLOOKUP($H$4,'Met Data'!$H$2:$M$368,G167,FALSE)*L167</f>
        <v>2.18333333333333</v>
      </c>
      <c r="K167" s="96">
        <f ca="1">HLOOKUP($H$4,'Met Data'!$O$2:$T$368,G167,FALSE)</f>
        <v>0.851628840058262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45524</v>
      </c>
      <c r="Q167">
        <f ca="1"/>
        <v>85.220130483946093</v>
      </c>
      <c r="R167">
        <f ca="1"/>
        <v>7.1474950567787854E-2</v>
      </c>
      <c r="S167">
        <f ca="1"/>
        <v>1.4023665678966495</v>
      </c>
      <c r="T167">
        <f ca="1"/>
        <v>0.53291166377261967</v>
      </c>
      <c r="U167">
        <f ca="1"/>
        <v>0</v>
      </c>
      <c r="V167">
        <f ca="1"/>
        <v>2.6889125682515975</v>
      </c>
      <c r="W167">
        <f ca="1"/>
        <v>0.68391906627268884</v>
      </c>
      <c r="X167">
        <f ca="1"/>
        <v>0.39701062058365982</v>
      </c>
      <c r="Y167">
        <f ca="1"/>
        <v>1</v>
      </c>
      <c r="Z167">
        <f ca="1"/>
        <v>0.66201845026684225</v>
      </c>
      <c r="AA167">
        <f ca="1"/>
        <v>0</v>
      </c>
      <c r="AB167">
        <f ca="1"/>
        <v>2.1121771418424362E-2</v>
      </c>
      <c r="AD167" s="2">
        <f t="shared" ca="1" si="22"/>
        <v>45524</v>
      </c>
      <c r="AE167">
        <f t="shared" ca="1" si="23"/>
        <v>0</v>
      </c>
      <c r="AG167" s="63">
        <f t="shared" ca="1" si="27"/>
        <v>85.68861605509754</v>
      </c>
      <c r="AH167" s="63">
        <f t="shared" ca="1" si="28"/>
        <v>85.68861605509754</v>
      </c>
      <c r="AI167" s="3">
        <f t="shared" ca="1" si="29"/>
        <v>0</v>
      </c>
    </row>
    <row r="168" spans="7:35">
      <c r="G168" s="3">
        <f t="shared" ca="1" si="24"/>
        <v>189</v>
      </c>
      <c r="H168" s="95">
        <f t="shared" ca="1" si="26"/>
        <v>45479</v>
      </c>
      <c r="I168" s="119">
        <f ca="1">HLOOKUP($H$4,'Met Data'!$A$2:$F$368,G168,FALSE)</f>
        <v>9.6583333333333297</v>
      </c>
      <c r="J168" s="119">
        <f ca="1">HLOOKUP($H$4,'Met Data'!$H$2:$M$368,G168,FALSE)*L168</f>
        <v>4.5666666666666602</v>
      </c>
      <c r="K168" s="96">
        <f ca="1">HLOOKUP($H$4,'Met Data'!$O$2:$T$368,G168,FALSE)</f>
        <v>0.80851868655974801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45525</v>
      </c>
      <c r="Q168">
        <f ca="1"/>
        <v>85.255276831418769</v>
      </c>
      <c r="R168">
        <f ca="1"/>
        <v>7.1480752220682842E-2</v>
      </c>
      <c r="S168">
        <f ca="1"/>
        <v>1.2608936020233728</v>
      </c>
      <c r="T168">
        <f ca="1"/>
        <v>0.51980883546079759</v>
      </c>
      <c r="U168">
        <f ca="1"/>
        <v>0</v>
      </c>
      <c r="V168">
        <f ca="1"/>
        <v>2.7603933204722804</v>
      </c>
      <c r="W168">
        <f ca="1"/>
        <v>0.70210004020708006</v>
      </c>
      <c r="X168">
        <f ca="1"/>
        <v>1.6740753377908086</v>
      </c>
      <c r="Y168">
        <f ca="1"/>
        <v>1</v>
      </c>
      <c r="Z168">
        <f ca="1"/>
        <v>2.7903834843362318</v>
      </c>
      <c r="AA168">
        <f ca="1"/>
        <v>0</v>
      </c>
      <c r="AB168">
        <f ca="1"/>
        <v>2.4880906797602423E-2</v>
      </c>
      <c r="AD168" s="2">
        <f t="shared" ca="1" si="22"/>
        <v>45525</v>
      </c>
      <c r="AE168">
        <f t="shared" ca="1" si="23"/>
        <v>0</v>
      </c>
      <c r="AG168" s="63">
        <f t="shared" ca="1" si="27"/>
        <v>87.000832921430259</v>
      </c>
      <c r="AH168" s="63">
        <f t="shared" ca="1" si="28"/>
        <v>87.000832921430259</v>
      </c>
      <c r="AI168" s="3">
        <f t="shared" ca="1" si="29"/>
        <v>0</v>
      </c>
    </row>
    <row r="169" spans="7:35">
      <c r="G169" s="3">
        <f t="shared" ca="1" si="24"/>
        <v>190</v>
      </c>
      <c r="H169" s="95">
        <f t="shared" ca="1" si="26"/>
        <v>45480</v>
      </c>
      <c r="I169" s="119">
        <f ca="1">HLOOKUP($H$4,'Met Data'!$A$2:$F$368,G169,FALSE)</f>
        <v>8.5291666666666597</v>
      </c>
      <c r="J169" s="119">
        <f ca="1">HLOOKUP($H$4,'Met Data'!$H$2:$M$368,G169,FALSE)*L169</f>
        <v>3.7833333333333301</v>
      </c>
      <c r="K169" s="96">
        <f ca="1">HLOOKUP($H$4,'Met Data'!$O$2:$T$368,G169,FALSE)</f>
        <v>1.09493770994468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45526</v>
      </c>
      <c r="Q169">
        <f ca="1"/>
        <v>86.849287492339485</v>
      </c>
      <c r="R169">
        <f ca="1"/>
        <v>7.379191911785421E-2</v>
      </c>
      <c r="S169">
        <f ca="1"/>
        <v>1.169764360692767</v>
      </c>
      <c r="T169">
        <f ca="1"/>
        <v>0.52284752069667983</v>
      </c>
      <c r="U169">
        <f ca="1"/>
        <v>0</v>
      </c>
      <c r="V169">
        <f ca="1"/>
        <v>2.8341852395901346</v>
      </c>
      <c r="W169">
        <f ca="1"/>
        <v>0.7208688544174906</v>
      </c>
      <c r="X169">
        <f ca="1"/>
        <v>2.4809301350884817E-2</v>
      </c>
      <c r="Y169">
        <f ca="1"/>
        <v>1</v>
      </c>
      <c r="Z169">
        <f ca="1"/>
        <v>4.0593681295796102E-2</v>
      </c>
      <c r="AA169">
        <f ca="1"/>
        <v>0</v>
      </c>
      <c r="AB169">
        <f ca="1"/>
        <v>2.9318271076748424E-2</v>
      </c>
      <c r="AD169" s="2">
        <f t="shared" ca="1" si="22"/>
        <v>45526</v>
      </c>
      <c r="AE169">
        <f t="shared" ca="1" si="23"/>
        <v>0</v>
      </c>
      <c r="AG169" s="63">
        <f t="shared" ca="1" si="27"/>
        <v>86.947888712808222</v>
      </c>
      <c r="AH169" s="63">
        <f t="shared" ca="1" si="28"/>
        <v>86.947888712808222</v>
      </c>
      <c r="AI169" s="3">
        <f t="shared" ca="1" si="29"/>
        <v>0</v>
      </c>
    </row>
    <row r="170" spans="7:35">
      <c r="G170" s="3">
        <f t="shared" ca="1" si="24"/>
        <v>191</v>
      </c>
      <c r="H170" s="95">
        <f t="shared" ca="1" si="26"/>
        <v>45481</v>
      </c>
      <c r="I170" s="119">
        <f ca="1">HLOOKUP($H$4,'Met Data'!$A$2:$F$368,G170,FALSE)</f>
        <v>8.1583333333333297</v>
      </c>
      <c r="J170" s="119">
        <f ca="1">HLOOKUP($H$4,'Met Data'!$H$2:$M$368,G170,FALSE)*L170</f>
        <v>4.18333333333333</v>
      </c>
      <c r="K170" s="96">
        <f ca="1">HLOOKUP($H$4,'Met Data'!$O$2:$T$368,G170,FALSE)</f>
        <v>0.89025740200721304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45527</v>
      </c>
      <c r="Q170">
        <f ca="1"/>
        <v>88.420780054078861</v>
      </c>
      <c r="R170">
        <f ca="1"/>
        <v>7.8187129052953441E-2</v>
      </c>
      <c r="S170">
        <f ca="1"/>
        <v>1.1105819220518356</v>
      </c>
      <c r="T170">
        <f ca="1"/>
        <v>0.53909776874048765</v>
      </c>
      <c r="U170">
        <f ca="1"/>
        <v>0</v>
      </c>
      <c r="V170">
        <f ca="1"/>
        <v>2.912372368643088</v>
      </c>
      <c r="W170">
        <f ca="1"/>
        <v>0.74075558072008985</v>
      </c>
      <c r="X170">
        <f ca="1"/>
        <v>0</v>
      </c>
      <c r="Y170">
        <f ca="1"/>
        <v>0.97829616941121122</v>
      </c>
      <c r="Z170">
        <f ca="1"/>
        <v>0</v>
      </c>
      <c r="AA170">
        <f ca="1"/>
        <v>0</v>
      </c>
      <c r="AB170">
        <f ca="1"/>
        <v>3.4700397099639853E-2</v>
      </c>
      <c r="AD170" s="2">
        <f t="shared" ca="1" si="22"/>
        <v>45527</v>
      </c>
      <c r="AE170">
        <f t="shared" ca="1" si="23"/>
        <v>0</v>
      </c>
      <c r="AG170" s="63">
        <f t="shared" ca="1" si="27"/>
        <v>88.498967183131811</v>
      </c>
      <c r="AH170" s="63">
        <f t="shared" ca="1" si="28"/>
        <v>88.498967183131811</v>
      </c>
      <c r="AI170" s="3">
        <f t="shared" ca="1" si="29"/>
        <v>0</v>
      </c>
    </row>
    <row r="171" spans="7:35">
      <c r="G171" s="3">
        <f t="shared" ca="1" si="24"/>
        <v>192</v>
      </c>
      <c r="H171" s="95">
        <f t="shared" ca="1" si="26"/>
        <v>45482</v>
      </c>
      <c r="I171" s="119">
        <f ca="1">HLOOKUP($H$4,'Met Data'!$A$2:$F$368,G171,FALSE)</f>
        <v>8.24166666666666</v>
      </c>
      <c r="J171" s="119">
        <f ca="1">HLOOKUP($H$4,'Met Data'!$H$2:$M$368,G171,FALSE)*L171</f>
        <v>2.2666666666666599</v>
      </c>
      <c r="K171" s="96">
        <f ca="1">HLOOKUP($H$4,'Met Data'!$O$2:$T$368,G171,FALSE)</f>
        <v>1.06467045295546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45528</v>
      </c>
      <c r="Q171">
        <f ca="1"/>
        <v>89.877204785210552</v>
      </c>
      <c r="R171">
        <f ca="1"/>
        <v>7.8919922209812476E-2</v>
      </c>
      <c r="S171">
        <f ca="1"/>
        <v>1.0050702421013398</v>
      </c>
      <c r="T171">
        <f ca="1"/>
        <v>0.53027441124016295</v>
      </c>
      <c r="U171">
        <f ca="1"/>
        <v>0</v>
      </c>
      <c r="V171">
        <f ca="1"/>
        <v>2.9912922908529005</v>
      </c>
      <c r="W171">
        <f ca="1"/>
        <v>0.76082869136910714</v>
      </c>
      <c r="X171">
        <f ca="1"/>
        <v>0</v>
      </c>
      <c r="Y171">
        <f ca="1"/>
        <v>0.99758471204352783</v>
      </c>
      <c r="Z171">
        <f ca="1"/>
        <v>0</v>
      </c>
      <c r="AA171">
        <f ca="1"/>
        <v>0</v>
      </c>
      <c r="AB171">
        <f ca="1"/>
        <v>4.0913478258019643E-2</v>
      </c>
      <c r="AD171" s="2">
        <f t="shared" ca="1" si="22"/>
        <v>45528</v>
      </c>
      <c r="AE171">
        <f t="shared" ca="1" si="23"/>
        <v>0</v>
      </c>
      <c r="AG171" s="63">
        <f t="shared" ca="1" si="27"/>
        <v>89.956124707420358</v>
      </c>
      <c r="AH171" s="63">
        <f t="shared" ca="1" si="28"/>
        <v>89.956124707420358</v>
      </c>
      <c r="AI171" s="3">
        <f t="shared" ca="1" si="29"/>
        <v>0</v>
      </c>
    </row>
    <row r="172" spans="7:35">
      <c r="G172" s="3">
        <f t="shared" ca="1" si="24"/>
        <v>193</v>
      </c>
      <c r="H172" s="95">
        <f t="shared" ca="1" si="26"/>
        <v>45483</v>
      </c>
      <c r="I172" s="119">
        <f ca="1">HLOOKUP($H$4,'Met Data'!$A$2:$F$368,G172,FALSE)</f>
        <v>8.0333333333333297</v>
      </c>
      <c r="J172" s="119">
        <f ca="1">HLOOKUP($H$4,'Met Data'!$H$2:$M$368,G172,FALSE)*L172</f>
        <v>4.6500000000000004</v>
      </c>
      <c r="K172" s="96">
        <f ca="1">HLOOKUP($H$4,'Met Data'!$O$2:$T$368,G172,FALSE)</f>
        <v>1.03430816091664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45529</v>
      </c>
      <c r="Q172">
        <f ca="1"/>
        <v>90.464626427573208</v>
      </c>
      <c r="R172">
        <f ca="1"/>
        <v>8.9422617462324716E-2</v>
      </c>
      <c r="S172">
        <f ca="1"/>
        <v>1.0153469129389521</v>
      </c>
      <c r="T172">
        <f ca="1"/>
        <v>0.58438205123892795</v>
      </c>
      <c r="U172">
        <f ca="1"/>
        <v>0</v>
      </c>
      <c r="V172">
        <f ca="1"/>
        <v>3.0807149083152252</v>
      </c>
      <c r="W172">
        <f ca="1"/>
        <v>0.78357313972365517</v>
      </c>
      <c r="X172">
        <f ca="1"/>
        <v>0.92288470435291448</v>
      </c>
      <c r="Y172">
        <f ca="1"/>
        <v>1</v>
      </c>
      <c r="Z172">
        <f ca="1"/>
        <v>1.449702264359253</v>
      </c>
      <c r="AA172">
        <f ca="1"/>
        <v>0</v>
      </c>
      <c r="AB172">
        <f ca="1"/>
        <v>4.8994055805807742E-2</v>
      </c>
      <c r="AD172" s="2">
        <f t="shared" ca="1" si="22"/>
        <v>45529</v>
      </c>
      <c r="AE172">
        <f t="shared" ca="1" si="23"/>
        <v>0</v>
      </c>
      <c r="AG172" s="63">
        <f t="shared" ca="1" si="27"/>
        <v>91.476933749388436</v>
      </c>
      <c r="AH172" s="63">
        <f t="shared" ca="1" si="28"/>
        <v>91.476933749388436</v>
      </c>
      <c r="AI172" s="3">
        <f t="shared" ca="1" si="29"/>
        <v>0</v>
      </c>
    </row>
    <row r="173" spans="7:35">
      <c r="G173" s="3">
        <f t="shared" ca="1" si="24"/>
        <v>194</v>
      </c>
      <c r="H173" s="95">
        <f t="shared" ca="1" si="26"/>
        <v>45484</v>
      </c>
      <c r="I173" s="119">
        <f ca="1">HLOOKUP($H$4,'Met Data'!$A$2:$F$368,G173,FALSE)</f>
        <v>8.37083333333333</v>
      </c>
      <c r="J173" s="119">
        <f ca="1">HLOOKUP($H$4,'Met Data'!$H$2:$M$368,G173,FALSE)*L173</f>
        <v>1.61666666666666</v>
      </c>
      <c r="K173" s="96">
        <f ca="1">HLOOKUP($H$4,'Met Data'!$O$2:$T$368,G173,FALSE)</f>
        <v>1.0039262064680501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45530</v>
      </c>
      <c r="Q173">
        <f ca="1"/>
        <v>91.888517801412362</v>
      </c>
      <c r="R173">
        <f ca="1"/>
        <v>9.2352748644703109E-2</v>
      </c>
      <c r="S173">
        <f ca="1"/>
        <v>0.92975909949328184</v>
      </c>
      <c r="T173">
        <f ca="1"/>
        <v>0.58648502299057681</v>
      </c>
      <c r="U173">
        <f ca="1"/>
        <v>0</v>
      </c>
      <c r="V173">
        <f ca="1"/>
        <v>3.1730676569599283</v>
      </c>
      <c r="W173">
        <f ca="1"/>
        <v>0.80706286057459053</v>
      </c>
      <c r="X173">
        <f ca="1"/>
        <v>0</v>
      </c>
      <c r="Y173">
        <f ca="1"/>
        <v>0.98849971538888204</v>
      </c>
      <c r="Z173">
        <f ca="1"/>
        <v>0</v>
      </c>
      <c r="AA173">
        <f ca="1"/>
        <v>0</v>
      </c>
      <c r="AB173">
        <f ca="1"/>
        <v>5.8609534164410532E-2</v>
      </c>
      <c r="AD173" s="2">
        <f t="shared" ca="1" si="22"/>
        <v>45530</v>
      </c>
      <c r="AE173">
        <f t="shared" ca="1" si="23"/>
        <v>0</v>
      </c>
      <c r="AG173" s="63">
        <f t="shared" ca="1" si="27"/>
        <v>91.980870550057062</v>
      </c>
      <c r="AH173" s="63">
        <f t="shared" ca="1" si="28"/>
        <v>91.980870550057062</v>
      </c>
      <c r="AI173" s="3">
        <f t="shared" ca="1" si="29"/>
        <v>0</v>
      </c>
    </row>
    <row r="174" spans="7:35">
      <c r="G174" s="3">
        <f t="shared" ca="1" si="24"/>
        <v>195</v>
      </c>
      <c r="H174" s="95">
        <f t="shared" ca="1" si="26"/>
        <v>45485</v>
      </c>
      <c r="I174" s="119">
        <f ca="1">HLOOKUP($H$4,'Met Data'!$A$2:$F$368,G174,FALSE)</f>
        <v>8.0916666666666597</v>
      </c>
      <c r="J174" s="119">
        <f ca="1">HLOOKUP($H$4,'Met Data'!$H$2:$M$368,G174,FALSE)*L174</f>
        <v>5.0666666666666602</v>
      </c>
      <c r="K174" s="96">
        <f ca="1">HLOOKUP($H$4,'Met Data'!$O$2:$T$368,G174,FALSE)</f>
        <v>0.87492032925951801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45531</v>
      </c>
      <c r="Q174">
        <f ca="1"/>
        <v>93.26940025335071</v>
      </c>
      <c r="R174">
        <f ca="1"/>
        <v>9.7999285181227691E-2</v>
      </c>
      <c r="S174">
        <f ca="1"/>
        <v>0.87373201954824253</v>
      </c>
      <c r="T174">
        <f ca="1"/>
        <v>0.6051497175713344</v>
      </c>
      <c r="U174">
        <f ca="1"/>
        <v>0</v>
      </c>
      <c r="V174">
        <f ca="1"/>
        <v>3.271066942141156</v>
      </c>
      <c r="W174">
        <f ca="1"/>
        <v>0.83198876571851132</v>
      </c>
      <c r="X174">
        <f ca="1"/>
        <v>0</v>
      </c>
      <c r="Y174">
        <f ca="1"/>
        <v>0.99359309434480336</v>
      </c>
      <c r="Z174">
        <f ca="1"/>
        <v>0</v>
      </c>
      <c r="AA174">
        <f ca="1"/>
        <v>0</v>
      </c>
      <c r="AB174">
        <f ca="1"/>
        <v>7.0351405486962726E-2</v>
      </c>
      <c r="AD174" s="2">
        <f t="shared" ca="1" si="22"/>
        <v>45531</v>
      </c>
      <c r="AE174">
        <f t="shared" ca="1" si="23"/>
        <v>0</v>
      </c>
      <c r="AG174" s="63">
        <f t="shared" ca="1" si="27"/>
        <v>93.367399538531942</v>
      </c>
      <c r="AH174" s="63">
        <f t="shared" ca="1" si="28"/>
        <v>93.367399538531942</v>
      </c>
      <c r="AI174" s="3">
        <f t="shared" ca="1" si="29"/>
        <v>0</v>
      </c>
    </row>
    <row r="175" spans="7:35">
      <c r="G175" s="3">
        <f t="shared" ca="1" si="24"/>
        <v>196</v>
      </c>
      <c r="H175" s="95">
        <f t="shared" ca="1" si="26"/>
        <v>45486</v>
      </c>
      <c r="I175" s="119">
        <f ca="1">HLOOKUP($H$4,'Met Data'!$A$2:$F$368,G175,FALSE)</f>
        <v>7.9156250000000004</v>
      </c>
      <c r="J175" s="119">
        <f ca="1">HLOOKUP($H$4,'Met Data'!$H$2:$M$368,G175,FALSE)*L175</f>
        <v>4.1666666666666599</v>
      </c>
      <c r="K175" s="96">
        <f ca="1">HLOOKUP($H$4,'Met Data'!$O$2:$T$368,G175,FALSE)</f>
        <v>0.80250527716076203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45532</v>
      </c>
      <c r="Q175">
        <f ca="1"/>
        <v>93.734813386930398</v>
      </c>
      <c r="R175">
        <f ca="1"/>
        <v>9.628511445634258E-2</v>
      </c>
      <c r="S175">
        <f ca="1"/>
        <v>0.75873834068124779</v>
      </c>
      <c r="T175">
        <f ca="1"/>
        <v>0.57671197733433366</v>
      </c>
      <c r="U175">
        <f ca="1"/>
        <v>0</v>
      </c>
      <c r="V175">
        <f ca="1"/>
        <v>3.3673520565974986</v>
      </c>
      <c r="W175">
        <f ca="1"/>
        <v>0.85647867526501575</v>
      </c>
      <c r="X175">
        <f ca="1"/>
        <v>0.77375206997954815</v>
      </c>
      <c r="Y175">
        <f ca="1"/>
        <v>1</v>
      </c>
      <c r="Z175">
        <f ca="1"/>
        <v>1.1730352635314532</v>
      </c>
      <c r="AA175">
        <f ca="1"/>
        <v>0</v>
      </c>
      <c r="AB175">
        <f ca="1"/>
        <v>8.3552882836293613E-2</v>
      </c>
      <c r="AD175" s="2">
        <f t="shared" ca="1" si="22"/>
        <v>45532</v>
      </c>
      <c r="AE175">
        <f t="shared" ca="1" si="23"/>
        <v>0</v>
      </c>
      <c r="AG175" s="63">
        <f t="shared" ca="1" si="27"/>
        <v>94.604850571366285</v>
      </c>
      <c r="AH175" s="63">
        <f t="shared" ca="1" si="28"/>
        <v>94.604850571366285</v>
      </c>
      <c r="AI175" s="3">
        <f t="shared" ca="1" si="29"/>
        <v>0</v>
      </c>
    </row>
    <row r="176" spans="7:35">
      <c r="G176" s="3">
        <f t="shared" ca="1" si="24"/>
        <v>197</v>
      </c>
      <c r="H176" s="95">
        <f t="shared" ca="1" si="26"/>
        <v>45487</v>
      </c>
      <c r="I176" s="119">
        <f ca="1">HLOOKUP($H$4,'Met Data'!$A$2:$F$368,G176,FALSE)</f>
        <v>8.8590909090909093</v>
      </c>
      <c r="J176" s="119">
        <f ca="1">HLOOKUP($H$4,'Met Data'!$H$2:$M$368,G176,FALSE)*L176</f>
        <v>2.0666666666666602</v>
      </c>
      <c r="K176" s="96">
        <f ca="1">HLOOKUP($H$4,'Met Data'!$O$2:$T$368,G176,FALSE)</f>
        <v>0.97822362204517799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45533</v>
      </c>
      <c r="Q176">
        <f ca="1"/>
        <v>94.965744281807162</v>
      </c>
      <c r="R176">
        <f ca="1"/>
        <v>0.10418462993972755</v>
      </c>
      <c r="S176">
        <f ca="1"/>
        <v>0.72781601756958025</v>
      </c>
      <c r="T176">
        <f ca="1"/>
        <v>0.60729950724690396</v>
      </c>
      <c r="U176">
        <f ca="1"/>
        <v>0</v>
      </c>
      <c r="V176">
        <f ca="1"/>
        <v>3.4715366865372261</v>
      </c>
      <c r="W176">
        <f ca="1"/>
        <v>0.88297780940185966</v>
      </c>
      <c r="X176">
        <f ca="1"/>
        <v>0</v>
      </c>
      <c r="Y176">
        <f ca="1"/>
        <v>0.99608193388153743</v>
      </c>
      <c r="Z176">
        <f ca="1"/>
        <v>0</v>
      </c>
      <c r="AA176">
        <f ca="1"/>
        <v>0</v>
      </c>
      <c r="AB176">
        <f ca="1"/>
        <v>9.9821671274144777E-2</v>
      </c>
      <c r="AD176" s="2">
        <f t="shared" ca="1" si="22"/>
        <v>45533</v>
      </c>
      <c r="AE176">
        <f t="shared" ca="1" si="23"/>
        <v>0</v>
      </c>
      <c r="AG176" s="63">
        <f t="shared" ca="1" si="27"/>
        <v>95.069928911746885</v>
      </c>
      <c r="AH176" s="63">
        <f t="shared" ca="1" si="28"/>
        <v>95.069928911746885</v>
      </c>
      <c r="AI176" s="3">
        <f t="shared" ca="1" si="29"/>
        <v>0</v>
      </c>
    </row>
    <row r="177" spans="7:35">
      <c r="G177" s="3">
        <f t="shared" ca="1" si="24"/>
        <v>198</v>
      </c>
      <c r="H177" s="95">
        <f t="shared" ca="1" si="26"/>
        <v>45488</v>
      </c>
      <c r="I177" s="119">
        <f ca="1">HLOOKUP($H$4,'Met Data'!$A$2:$F$368,G177,FALSE)</f>
        <v>8.8590909090909093</v>
      </c>
      <c r="J177" s="119">
        <f ca="1">HLOOKUP($H$4,'Met Data'!$H$2:$M$368,G177,FALSE)*L177</f>
        <v>6.0666666666666602</v>
      </c>
      <c r="K177" s="96">
        <f ca="1">HLOOKUP($H$4,'Met Data'!$O$2:$T$368,G177,FALSE)</f>
        <v>0.78802331007485205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45534</v>
      </c>
      <c r="Q177">
        <f ca="1"/>
        <v>96.07896803932627</v>
      </c>
      <c r="R177">
        <f ca="1"/>
        <v>0.10286790455686123</v>
      </c>
      <c r="S177">
        <f ca="1"/>
        <v>0.63450614760932922</v>
      </c>
      <c r="T177">
        <f ca="1"/>
        <v>0.58158551446663231</v>
      </c>
      <c r="U177">
        <f ca="1"/>
        <v>0</v>
      </c>
      <c r="V177">
        <f ca="1"/>
        <v>3.5744045910940874</v>
      </c>
      <c r="W177">
        <f ca="1"/>
        <v>0.90914203730001786</v>
      </c>
      <c r="X177">
        <f ca="1"/>
        <v>0</v>
      </c>
      <c r="Y177">
        <f ca="1"/>
        <v>0.99482391211761889</v>
      </c>
      <c r="Z177">
        <f ca="1"/>
        <v>0</v>
      </c>
      <c r="AA177">
        <f ca="1"/>
        <v>0</v>
      </c>
      <c r="AB177">
        <f ca="1"/>
        <v>0.11801247450572484</v>
      </c>
      <c r="AD177" s="2">
        <f t="shared" ca="1" si="22"/>
        <v>45534</v>
      </c>
      <c r="AE177">
        <f t="shared" ca="1" si="23"/>
        <v>0</v>
      </c>
      <c r="AG177" s="63">
        <f t="shared" ca="1" si="27"/>
        <v>96.181835943883129</v>
      </c>
      <c r="AH177" s="63">
        <f t="shared" ca="1" si="28"/>
        <v>96.181835943883129</v>
      </c>
      <c r="AI177" s="3">
        <f t="shared" ca="1" si="29"/>
        <v>0</v>
      </c>
    </row>
    <row r="178" spans="7:35">
      <c r="G178" s="3">
        <f t="shared" ca="1" si="24"/>
        <v>199</v>
      </c>
      <c r="H178" s="95">
        <f t="shared" ca="1" si="26"/>
        <v>45489</v>
      </c>
      <c r="I178" s="119">
        <f ca="1">HLOOKUP($H$4,'Met Data'!$A$2:$F$368,G178,FALSE)</f>
        <v>9.5909090909090899</v>
      </c>
      <c r="J178" s="119">
        <f ca="1">HLOOKUP($H$4,'Met Data'!$H$2:$M$368,G178,FALSE)*L178</f>
        <v>4.5999999999999996</v>
      </c>
      <c r="K178" s="96">
        <f ca="1">HLOOKUP($H$4,'Met Data'!$O$2:$T$368,G178,FALSE)</f>
        <v>0.944748845250029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45535</v>
      </c>
      <c r="Q178">
        <f ca="1"/>
        <v>97.080398735499884</v>
      </c>
      <c r="R178">
        <f ca="1"/>
        <v>0.10033524243080549</v>
      </c>
      <c r="S178">
        <f ca="1"/>
        <v>0.55015908323923668</v>
      </c>
      <c r="T178">
        <f ca="1"/>
        <v>0.55160685536518617</v>
      </c>
      <c r="U178">
        <f ca="1"/>
        <v>0</v>
      </c>
      <c r="V178">
        <f ca="1"/>
        <v>3.6747398335248929</v>
      </c>
      <c r="W178">
        <f ca="1"/>
        <v>0.93466208809220097</v>
      </c>
      <c r="X178">
        <f ca="1"/>
        <v>0</v>
      </c>
      <c r="Y178">
        <f ca="1"/>
        <v>0.97637207463352516</v>
      </c>
      <c r="Z178">
        <f ca="1"/>
        <v>0</v>
      </c>
      <c r="AA178">
        <f ca="1"/>
        <v>0</v>
      </c>
      <c r="AB178">
        <f ca="1"/>
        <v>0.1378600376021451</v>
      </c>
      <c r="AD178" s="2">
        <f t="shared" ca="1" si="22"/>
        <v>45535</v>
      </c>
      <c r="AE178">
        <f t="shared" ca="1" si="23"/>
        <v>0</v>
      </c>
      <c r="AG178" s="63">
        <f t="shared" ca="1" si="27"/>
        <v>97.180733977930686</v>
      </c>
      <c r="AH178" s="63">
        <f t="shared" ca="1" si="28"/>
        <v>97.180733977930686</v>
      </c>
      <c r="AI178" s="3">
        <f t="shared" ca="1" si="29"/>
        <v>0</v>
      </c>
    </row>
    <row r="179" spans="7:35">
      <c r="G179" s="3">
        <f t="shared" ca="1" si="24"/>
        <v>200</v>
      </c>
      <c r="H179" s="95">
        <f t="shared" ca="1" si="26"/>
        <v>45490</v>
      </c>
      <c r="I179" s="119">
        <f ca="1">HLOOKUP($H$4,'Met Data'!$A$2:$F$368,G179,FALSE)</f>
        <v>8.8450000000000006</v>
      </c>
      <c r="J179" s="119">
        <f ca="1">HLOOKUP($H$4,'Met Data'!$H$2:$M$368,G179,FALSE)*L179</f>
        <v>1.1000000000000001</v>
      </c>
      <c r="K179" s="96">
        <f ca="1">HLOOKUP($H$4,'Met Data'!$O$2:$T$368,G179,FALSE)</f>
        <v>1.0240187106181899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45536</v>
      </c>
      <c r="Q179">
        <f ca="1"/>
        <v>97.727544211000762</v>
      </c>
      <c r="R179">
        <f ca="1"/>
        <v>9.8336440184160434E-2</v>
      </c>
      <c r="S179">
        <f ca="1"/>
        <v>0.48270791899417986</v>
      </c>
      <c r="T179">
        <f ca="1"/>
        <v>0.5272081705204521</v>
      </c>
      <c r="U179">
        <f ca="1"/>
        <v>0</v>
      </c>
      <c r="V179">
        <f ca="1"/>
        <v>3.7730762737090533</v>
      </c>
      <c r="W179">
        <f ca="1"/>
        <v>0.95967374787817206</v>
      </c>
      <c r="X179">
        <f ca="1"/>
        <v>0.26443417382959261</v>
      </c>
      <c r="Y179">
        <f ca="1"/>
        <v>1</v>
      </c>
      <c r="Z179">
        <f ca="1"/>
        <v>0.38451276109898203</v>
      </c>
      <c r="AA179">
        <f ca="1"/>
        <v>0</v>
      </c>
      <c r="AB179">
        <f ca="1"/>
        <v>0.15935431277073439</v>
      </c>
      <c r="AD179" s="2">
        <f t="shared" ca="1" si="22"/>
        <v>45536</v>
      </c>
      <c r="AE179">
        <f t="shared" ca="1" si="23"/>
        <v>0</v>
      </c>
      <c r="AG179" s="63">
        <f t="shared" ca="1" si="27"/>
        <v>98.090314825014516</v>
      </c>
      <c r="AH179" s="63">
        <f t="shared" ca="1" si="28"/>
        <v>98.090314825014516</v>
      </c>
      <c r="AI179" s="3">
        <f t="shared" ca="1" si="29"/>
        <v>0</v>
      </c>
    </row>
    <row r="180" spans="7:35">
      <c r="G180" s="3">
        <f t="shared" ca="1" si="24"/>
        <v>201</v>
      </c>
      <c r="H180" s="95">
        <f t="shared" ca="1" si="26"/>
        <v>45491</v>
      </c>
      <c r="I180" s="119">
        <f ca="1">HLOOKUP($H$4,'Met Data'!$A$2:$F$368,G180,FALSE)</f>
        <v>8.99166666666666</v>
      </c>
      <c r="J180" s="119">
        <f ca="1">HLOOKUP($H$4,'Met Data'!$H$2:$M$368,G180,FALSE)*L180</f>
        <v>1.3499999999999901</v>
      </c>
      <c r="K180" s="96">
        <f ca="1">HLOOKUP($H$4,'Met Data'!$O$2:$T$368,G180,FALSE)</f>
        <v>1.16174529470798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45537</v>
      </c>
      <c r="Q180">
        <f ca="1"/>
        <v>98.605553364424537</v>
      </c>
      <c r="R180">
        <f ca="1"/>
        <v>0.10185305963084534</v>
      </c>
      <c r="S180">
        <f ca="1"/>
        <v>0.44783056176797231</v>
      </c>
      <c r="T180">
        <f ca="1"/>
        <v>0.53203165128664631</v>
      </c>
      <c r="U180">
        <f ca="1"/>
        <v>0</v>
      </c>
      <c r="V180">
        <f ca="1"/>
        <v>3.8749293333398986</v>
      </c>
      <c r="W180">
        <f ca="1"/>
        <v>0.98557985217558297</v>
      </c>
      <c r="X180">
        <f ca="1"/>
        <v>0</v>
      </c>
      <c r="Y180">
        <f ca="1"/>
        <v>0.98750025082441928</v>
      </c>
      <c r="Z180">
        <f ca="1"/>
        <v>0</v>
      </c>
      <c r="AA180">
        <f ca="1"/>
        <v>0</v>
      </c>
      <c r="AB180">
        <f ca="1"/>
        <v>0.18372854760483442</v>
      </c>
      <c r="AD180" s="2">
        <f t="shared" ca="1" si="22"/>
        <v>45537</v>
      </c>
      <c r="AE180">
        <f t="shared" ca="1" si="23"/>
        <v>0</v>
      </c>
      <c r="AG180" s="63">
        <f t="shared" ca="1" si="27"/>
        <v>98.707406424055378</v>
      </c>
      <c r="AH180" s="63">
        <f t="shared" ca="1" si="28"/>
        <v>98.707406424055378</v>
      </c>
      <c r="AI180" s="3">
        <f t="shared" ca="1" si="29"/>
        <v>0</v>
      </c>
    </row>
    <row r="181" spans="7:35">
      <c r="G181" s="3">
        <f t="shared" ca="1" si="24"/>
        <v>202</v>
      </c>
      <c r="H181" s="95">
        <f t="shared" ca="1" si="26"/>
        <v>45492</v>
      </c>
      <c r="I181" s="119">
        <f ca="1">HLOOKUP($H$4,'Met Data'!$A$2:$F$368,G181,FALSE)</f>
        <v>9.5</v>
      </c>
      <c r="J181" s="119">
        <f ca="1">HLOOKUP($H$4,'Met Data'!$H$2:$M$368,G181,FALSE)*L181</f>
        <v>2.75</v>
      </c>
      <c r="K181" s="96">
        <f ca="1">HLOOKUP($H$4,'Met Data'!$O$2:$T$368,G181,FALSE)</f>
        <v>0.94669865516537999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45538</v>
      </c>
      <c r="Q181">
        <f ca="1"/>
        <v>99.469469494752147</v>
      </c>
      <c r="R181">
        <f ca="1"/>
        <v>0.10781443399047097</v>
      </c>
      <c r="S181">
        <f ca="1"/>
        <v>0.42349228127847027</v>
      </c>
      <c r="T181">
        <f ca="1"/>
        <v>0.54823828303961308</v>
      </c>
      <c r="U181">
        <f ca="1"/>
        <v>0</v>
      </c>
      <c r="V181">
        <f ca="1"/>
        <v>3.9827437673303696</v>
      </c>
      <c r="W181">
        <f ca="1"/>
        <v>1.0130022190818546</v>
      </c>
      <c r="X181">
        <f ca="1"/>
        <v>0</v>
      </c>
      <c r="Y181">
        <f ca="1"/>
        <v>0.99985640710139645</v>
      </c>
      <c r="Z181">
        <f ca="1"/>
        <v>0</v>
      </c>
      <c r="AA181">
        <f ca="1"/>
        <v>0</v>
      </c>
      <c r="AB181">
        <f ca="1"/>
        <v>0.21178835548654243</v>
      </c>
      <c r="AD181" s="2">
        <f t="shared" ca="1" si="22"/>
        <v>45538</v>
      </c>
      <c r="AE181">
        <f t="shared" ca="1" si="23"/>
        <v>0</v>
      </c>
      <c r="AG181" s="63">
        <f t="shared" ca="1" si="27"/>
        <v>99.577283928742617</v>
      </c>
      <c r="AH181" s="63">
        <f t="shared" ca="1" si="28"/>
        <v>99.577283928742617</v>
      </c>
      <c r="AI181" s="3">
        <f t="shared" ca="1" si="29"/>
        <v>0</v>
      </c>
    </row>
    <row r="182" spans="7:35">
      <c r="G182" s="3">
        <f t="shared" ca="1" si="24"/>
        <v>203</v>
      </c>
      <c r="H182" s="95">
        <f t="shared" ca="1" si="26"/>
        <v>45493</v>
      </c>
      <c r="I182" s="119">
        <f ca="1">HLOOKUP($H$4,'Met Data'!$A$2:$F$368,G182,FALSE)</f>
        <v>9.8333333333333304</v>
      </c>
      <c r="J182" s="119">
        <f ca="1">HLOOKUP($H$4,'Met Data'!$H$2:$M$368,G182,FALSE)*L182</f>
        <v>3.6333333333333302</v>
      </c>
      <c r="K182" s="96">
        <f ca="1">HLOOKUP($H$4,'Met Data'!$O$2:$T$368,G182,FALSE)</f>
        <v>1.0815395194790001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45539</v>
      </c>
      <c r="Q182">
        <f ca="1"/>
        <v>99.092186128523807</v>
      </c>
      <c r="R182">
        <f ca="1"/>
        <v>0.10755349049398211</v>
      </c>
      <c r="S182">
        <f ca="1"/>
        <v>0.37783937978286986</v>
      </c>
      <c r="T182">
        <f ca="1"/>
        <v>0.53313181198767778</v>
      </c>
      <c r="U182">
        <f ca="1"/>
        <v>0</v>
      </c>
      <c r="V182">
        <f ca="1"/>
        <v>4.0902972578243517</v>
      </c>
      <c r="W182">
        <f ca="1"/>
        <v>1.0403582155770632</v>
      </c>
      <c r="X182">
        <f ca="1"/>
        <v>1.1807010675048917</v>
      </c>
      <c r="Y182">
        <f ca="1"/>
        <v>1</v>
      </c>
      <c r="Z182">
        <f ca="1"/>
        <v>1.6932095502562845</v>
      </c>
      <c r="AA182">
        <f ca="1"/>
        <v>0</v>
      </c>
      <c r="AB182">
        <f ca="1"/>
        <v>0.24194238710707489</v>
      </c>
      <c r="AD182" s="2">
        <f t="shared" ca="1" si="22"/>
        <v>45539</v>
      </c>
      <c r="AE182">
        <f t="shared" ca="1" si="23"/>
        <v>0</v>
      </c>
      <c r="AG182" s="63">
        <f t="shared" ca="1" si="27"/>
        <v>100.38044068652269</v>
      </c>
      <c r="AH182" s="63">
        <f t="shared" ca="1" si="28"/>
        <v>100.38044068652269</v>
      </c>
      <c r="AI182" s="3">
        <f t="shared" ca="1" si="29"/>
        <v>0</v>
      </c>
    </row>
    <row r="183" spans="7:35">
      <c r="G183" s="3">
        <f t="shared" ca="1" si="24"/>
        <v>204</v>
      </c>
      <c r="H183" s="95">
        <f t="shared" ca="1" si="26"/>
        <v>45494</v>
      </c>
      <c r="I183" s="119">
        <f ca="1">HLOOKUP($H$4,'Met Data'!$A$2:$F$368,G183,FALSE)</f>
        <v>10.029166666666599</v>
      </c>
      <c r="J183" s="119">
        <f ca="1">HLOOKUP($H$4,'Met Data'!$H$2:$M$368,G183,FALSE)*L183</f>
        <v>4.68333333333333</v>
      </c>
      <c r="K183" s="96">
        <f ca="1">HLOOKUP($H$4,'Met Data'!$O$2:$T$368,G183,FALSE)</f>
        <v>1.0771273773513399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45540</v>
      </c>
      <c r="Q183">
        <f ca="1"/>
        <v>96.864380527789095</v>
      </c>
      <c r="R183">
        <f ca="1"/>
        <v>0.11674620535744573</v>
      </c>
      <c r="S183">
        <f ca="1"/>
        <v>0.36572990337111833</v>
      </c>
      <c r="T183">
        <f ca="1"/>
        <v>0.56315834405600529</v>
      </c>
      <c r="U183">
        <f ca="1"/>
        <v>0</v>
      </c>
      <c r="V183">
        <f ca="1"/>
        <v>4.2070434631817974</v>
      </c>
      <c r="W183">
        <f ca="1"/>
        <v>1.0700523591136313</v>
      </c>
      <c r="X183">
        <f ca="1"/>
        <v>3.0399476428043988</v>
      </c>
      <c r="Y183">
        <f ca="1"/>
        <v>1</v>
      </c>
      <c r="Z183">
        <f ca="1"/>
        <v>4.4597669175513701</v>
      </c>
      <c r="AA183">
        <f ca="1"/>
        <v>0</v>
      </c>
      <c r="AB183">
        <f ca="1"/>
        <v>0.27685634500642908</v>
      </c>
      <c r="AD183" s="2">
        <f t="shared" ca="1" si="22"/>
        <v>45540</v>
      </c>
      <c r="AE183">
        <f t="shared" ca="1" si="23"/>
        <v>0</v>
      </c>
      <c r="AG183" s="63">
        <f t="shared" ca="1" si="27"/>
        <v>100.02107437595093</v>
      </c>
      <c r="AH183" s="63">
        <f t="shared" ca="1" si="28"/>
        <v>100.02107437595093</v>
      </c>
      <c r="AI183" s="3">
        <f t="shared" ca="1" si="29"/>
        <v>0</v>
      </c>
    </row>
    <row r="184" spans="7:35">
      <c r="G184" s="3">
        <f t="shared" ca="1" si="24"/>
        <v>205</v>
      </c>
      <c r="H184" s="95">
        <f t="shared" ca="1" si="26"/>
        <v>45495</v>
      </c>
      <c r="I184" s="119">
        <f ca="1">HLOOKUP($H$4,'Met Data'!$A$2:$F$368,G184,FALSE)</f>
        <v>9.4250000000000007</v>
      </c>
      <c r="J184" s="119">
        <f ca="1">HLOOKUP($H$4,'Met Data'!$H$2:$M$368,G184,FALSE)*L184</f>
        <v>5.2666666666666604</v>
      </c>
      <c r="K184" s="96">
        <f ca="1">HLOOKUP($H$4,'Met Data'!$O$2:$T$368,G184,FALSE)</f>
        <v>0.87955885998233896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45541</v>
      </c>
      <c r="Q184">
        <f ca="1"/>
        <v>97.674718848513649</v>
      </c>
      <c r="R184">
        <f ca="1"/>
        <v>0.12510971235968782</v>
      </c>
      <c r="S184">
        <f ca="1"/>
        <v>0.34802682292036025</v>
      </c>
      <c r="T184">
        <f ca="1"/>
        <v>0.58742121016388216</v>
      </c>
      <c r="U184">
        <f ca="1"/>
        <v>0</v>
      </c>
      <c r="V184">
        <f ca="1"/>
        <v>4.3321531755414853</v>
      </c>
      <c r="W184">
        <f ca="1"/>
        <v>1.1018737424746821</v>
      </c>
      <c r="X184">
        <f ca="1"/>
        <v>0</v>
      </c>
      <c r="Y184">
        <f ca="1"/>
        <v>0.98857369845778686</v>
      </c>
      <c r="Z184">
        <f ca="1"/>
        <v>0</v>
      </c>
      <c r="AA184">
        <f ca="1"/>
        <v>0</v>
      </c>
      <c r="AB184">
        <f ca="1"/>
        <v>0.31638069932046842</v>
      </c>
      <c r="AD184" s="2">
        <f t="shared" ca="1" si="22"/>
        <v>45541</v>
      </c>
      <c r="AE184">
        <f t="shared" ca="1" si="23"/>
        <v>0</v>
      </c>
      <c r="AG184" s="63">
        <f t="shared" ca="1" si="27"/>
        <v>97.799828560873337</v>
      </c>
      <c r="AH184" s="63">
        <f t="shared" ca="1" si="28"/>
        <v>97.799828560873337</v>
      </c>
      <c r="AI184" s="3">
        <f t="shared" ca="1" si="29"/>
        <v>0</v>
      </c>
    </row>
    <row r="185" spans="7:35">
      <c r="G185" s="3">
        <f t="shared" ca="1" si="24"/>
        <v>206</v>
      </c>
      <c r="H185" s="95">
        <f t="shared" ca="1" si="26"/>
        <v>45496</v>
      </c>
      <c r="I185" s="119">
        <f ca="1">HLOOKUP($H$4,'Met Data'!$A$2:$F$368,G185,FALSE)</f>
        <v>9.4</v>
      </c>
      <c r="J185" s="119">
        <f ca="1">HLOOKUP($H$4,'Met Data'!$H$2:$M$368,G185,FALSE)*L185</f>
        <v>2.0499999999999998</v>
      </c>
      <c r="K185" s="96">
        <f ca="1">HLOOKUP($H$4,'Met Data'!$O$2:$T$368,G185,FALSE)</f>
        <v>0.953998897248024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45542</v>
      </c>
      <c r="Q185">
        <f ca="1"/>
        <v>98.436397768724163</v>
      </c>
      <c r="R185">
        <f ca="1"/>
        <v>0.12637040993107718</v>
      </c>
      <c r="S185">
        <f ca="1"/>
        <v>0.31133735280727137</v>
      </c>
      <c r="T185">
        <f ca="1"/>
        <v>0.57671197733433366</v>
      </c>
      <c r="U185">
        <f ca="1"/>
        <v>0</v>
      </c>
      <c r="V185">
        <f ca="1"/>
        <v>4.4585235854725624</v>
      </c>
      <c r="W185">
        <f ca="1"/>
        <v>1.134015781522369</v>
      </c>
      <c r="X185">
        <f ca="1"/>
        <v>0</v>
      </c>
      <c r="Y185">
        <f ca="1"/>
        <v>0.97042100428126665</v>
      </c>
      <c r="Z185">
        <f ca="1"/>
        <v>0</v>
      </c>
      <c r="AA185">
        <f ca="1"/>
        <v>0</v>
      </c>
      <c r="AB185">
        <f ca="1"/>
        <v>0.35797234137787942</v>
      </c>
      <c r="AD185" s="2">
        <f t="shared" ca="1" si="22"/>
        <v>45542</v>
      </c>
      <c r="AE185">
        <f t="shared" ca="1" si="23"/>
        <v>0</v>
      </c>
      <c r="AG185" s="63">
        <f t="shared" ca="1" si="27"/>
        <v>98.562768178655247</v>
      </c>
      <c r="AH185" s="63">
        <f t="shared" ca="1" si="28"/>
        <v>98.562768178655233</v>
      </c>
      <c r="AI185" s="3">
        <f t="shared" ca="1" si="29"/>
        <v>0</v>
      </c>
    </row>
    <row r="186" spans="7:35">
      <c r="G186" s="3">
        <f t="shared" ca="1" si="24"/>
        <v>207</v>
      </c>
      <c r="H186" s="95">
        <f t="shared" ca="1" si="26"/>
        <v>45497</v>
      </c>
      <c r="I186" s="119">
        <f ca="1">HLOOKUP($H$4,'Met Data'!$A$2:$F$368,G186,FALSE)</f>
        <v>8.92916666666666</v>
      </c>
      <c r="J186" s="119">
        <f ca="1">HLOOKUP($H$4,'Met Data'!$H$2:$M$368,G186,FALSE)*L186</f>
        <v>1.1499999999999999</v>
      </c>
      <c r="K186" s="96">
        <f ca="1">HLOOKUP($H$4,'Met Data'!$O$2:$T$368,G186,FALSE)</f>
        <v>1.2467505566806001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45543</v>
      </c>
      <c r="Q186">
        <f ca="1"/>
        <v>98.444370704560185</v>
      </c>
      <c r="R186">
        <f ca="1"/>
        <v>0.11789539015078354</v>
      </c>
      <c r="S186">
        <f ca="1"/>
        <v>0.25931944787083694</v>
      </c>
      <c r="T186">
        <f ca="1"/>
        <v>0.52458900205330372</v>
      </c>
      <c r="U186">
        <f ca="1"/>
        <v>0</v>
      </c>
      <c r="V186">
        <f ca="1"/>
        <v>4.576418975623346</v>
      </c>
      <c r="W186">
        <f ca="1"/>
        <v>1.1640022177128944</v>
      </c>
      <c r="X186">
        <f ca="1"/>
        <v>0.65804012393734046</v>
      </c>
      <c r="Y186">
        <f ca="1"/>
        <v>1</v>
      </c>
      <c r="Z186">
        <f ca="1"/>
        <v>0.94988636029990658</v>
      </c>
      <c r="AA186">
        <f ca="1"/>
        <v>0</v>
      </c>
      <c r="AB186">
        <f ca="1"/>
        <v>0.39773357165805989</v>
      </c>
      <c r="AD186" s="2">
        <f t="shared" ca="1" si="22"/>
        <v>45543</v>
      </c>
      <c r="AE186">
        <f t="shared" ca="1" si="23"/>
        <v>0</v>
      </c>
      <c r="AG186" s="63">
        <f t="shared" ca="1" si="27"/>
        <v>99.220306218648304</v>
      </c>
      <c r="AH186" s="63">
        <f t="shared" ca="1" si="28"/>
        <v>99.220306218648304</v>
      </c>
      <c r="AI186" s="3">
        <f t="shared" ca="1" si="29"/>
        <v>0</v>
      </c>
    </row>
    <row r="187" spans="7:35">
      <c r="G187" s="3">
        <f t="shared" ca="1" si="24"/>
        <v>208</v>
      </c>
      <c r="H187" s="95">
        <f t="shared" ca="1" si="26"/>
        <v>45498</v>
      </c>
      <c r="I187" s="119">
        <f ca="1">HLOOKUP($H$4,'Met Data'!$A$2:$F$368,G187,FALSE)</f>
        <v>8.7624999999999993</v>
      </c>
      <c r="J187" s="119">
        <f ca="1">HLOOKUP($H$4,'Met Data'!$H$2:$M$368,G187,FALSE)*L187</f>
        <v>0.45</v>
      </c>
      <c r="K187" s="96">
        <f ca="1">HLOOKUP($H$4,'Met Data'!$O$2:$T$368,G187,FALSE)</f>
        <v>1.3150067848265401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45544</v>
      </c>
      <c r="Q187">
        <f ca="1"/>
        <v>97.894501450493124</v>
      </c>
      <c r="R187">
        <f ca="1"/>
        <v>0.12694362867272169</v>
      </c>
      <c r="S187">
        <f ca="1"/>
        <v>0.24941914419662226</v>
      </c>
      <c r="T187">
        <f ca="1"/>
        <v>0.5498086495305835</v>
      </c>
      <c r="U187">
        <f ca="1"/>
        <v>0</v>
      </c>
      <c r="V187">
        <f ca="1"/>
        <v>4.7033626042960677</v>
      </c>
      <c r="W187">
        <f ca="1"/>
        <v>1.196290053701391</v>
      </c>
      <c r="X187">
        <f ca="1"/>
        <v>1.2221534191215482</v>
      </c>
      <c r="Y187">
        <f ca="1"/>
        <v>1</v>
      </c>
      <c r="Z187">
        <f ca="1"/>
        <v>1.774097938804239</v>
      </c>
      <c r="AA187">
        <f ca="1"/>
        <v>0</v>
      </c>
      <c r="AB187">
        <f ca="1"/>
        <v>0.44095291658202651</v>
      </c>
      <c r="AD187" s="2">
        <f t="shared" ca="1" si="22"/>
        <v>45544</v>
      </c>
      <c r="AE187">
        <f t="shared" ca="1" si="23"/>
        <v>0</v>
      </c>
      <c r="AG187" s="63">
        <f t="shared" ca="1" si="27"/>
        <v>99.243598498287398</v>
      </c>
      <c r="AH187" s="63">
        <f t="shared" ca="1" si="28"/>
        <v>99.243598498287398</v>
      </c>
      <c r="AI187" s="3">
        <f t="shared" ca="1" si="29"/>
        <v>0</v>
      </c>
    </row>
    <row r="188" spans="7:35">
      <c r="G188" s="3">
        <f t="shared" ca="1" si="24"/>
        <v>209</v>
      </c>
      <c r="H188" s="95">
        <f t="shared" ca="1" si="26"/>
        <v>45499</v>
      </c>
      <c r="I188" s="119">
        <f ca="1">HLOOKUP($H$4,'Met Data'!$A$2:$F$368,G188,FALSE)</f>
        <v>9.3333333333333304</v>
      </c>
      <c r="J188" s="119">
        <f ca="1">HLOOKUP($H$4,'Met Data'!$H$2:$M$368,G188,FALSE)*L188</f>
        <v>2.0166666666666599</v>
      </c>
      <c r="K188" s="96">
        <f ca="1">HLOOKUP($H$4,'Met Data'!$O$2:$T$368,G188,FALSE)</f>
        <v>1.11956275252086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45545</v>
      </c>
      <c r="Q188">
        <f ca="1"/>
        <v>95.382855099890492</v>
      </c>
      <c r="R188">
        <f ca="1"/>
        <v>0.13758197344692924</v>
      </c>
      <c r="S188">
        <f ca="1"/>
        <v>0.24046896257019057</v>
      </c>
      <c r="T188">
        <f ca="1"/>
        <v>0.58019042665715936</v>
      </c>
      <c r="U188">
        <f ca="1"/>
        <v>0</v>
      </c>
      <c r="V188">
        <f ca="1"/>
        <v>4.8409445777429969</v>
      </c>
      <c r="W188">
        <f ca="1"/>
        <v>1.2312837295563708</v>
      </c>
      <c r="X188">
        <f ca="1"/>
        <v>3.1947237663830559</v>
      </c>
      <c r="Y188">
        <f ca="1"/>
        <v>1</v>
      </c>
      <c r="Z188">
        <f ca="1"/>
        <v>4.7596296112462042</v>
      </c>
      <c r="AA188">
        <f ca="1"/>
        <v>0</v>
      </c>
      <c r="AB188">
        <f ca="1"/>
        <v>0.48752364199770437</v>
      </c>
      <c r="AD188" s="2">
        <f t="shared" ca="1" si="22"/>
        <v>45545</v>
      </c>
      <c r="AE188">
        <f t="shared" ca="1" si="23"/>
        <v>0</v>
      </c>
      <c r="AG188" s="63">
        <f t="shared" ca="1" si="27"/>
        <v>98.715160839720468</v>
      </c>
      <c r="AH188" s="63">
        <f t="shared" ca="1" si="28"/>
        <v>98.715160839720468</v>
      </c>
      <c r="AI188" s="3">
        <f t="shared" ca="1" si="29"/>
        <v>0</v>
      </c>
    </row>
    <row r="189" spans="7:35">
      <c r="G189" s="3">
        <f t="shared" ca="1" si="24"/>
        <v>210</v>
      </c>
      <c r="H189" s="95">
        <f t="shared" ca="1" si="26"/>
        <v>45500</v>
      </c>
      <c r="I189" s="119">
        <f ca="1">HLOOKUP($H$4,'Met Data'!$A$2:$F$368,G189,FALSE)</f>
        <v>8.9875000000000007</v>
      </c>
      <c r="J189" s="119">
        <f ca="1">HLOOKUP($H$4,'Met Data'!$H$2:$M$368,G189,FALSE)*L189</f>
        <v>1.2666666666666599</v>
      </c>
      <c r="K189" s="96">
        <f ca="1">HLOOKUP($H$4,'Met Data'!$O$2:$T$368,G189,FALSE)</f>
        <v>1.28515382274214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45546</v>
      </c>
      <c r="Q189">
        <f ca="1"/>
        <v>95.965209830843193</v>
      </c>
      <c r="R189">
        <f ca="1"/>
        <v>0.13891317417808846</v>
      </c>
      <c r="S189">
        <f ca="1"/>
        <v>0.21541160397225667</v>
      </c>
      <c r="T189">
        <f ca="1"/>
        <v>0.56979476482093983</v>
      </c>
      <c r="U189">
        <f ca="1"/>
        <v>0</v>
      </c>
      <c r="V189">
        <f ca="1"/>
        <v>4.9798577519210854</v>
      </c>
      <c r="W189">
        <f ca="1"/>
        <v>1.2666159934234065</v>
      </c>
      <c r="X189">
        <f ca="1"/>
        <v>6.3938463662404924E-2</v>
      </c>
      <c r="Y189">
        <f ca="1"/>
        <v>1</v>
      </c>
      <c r="Z189">
        <f ca="1"/>
        <v>9.4680063959359018E-2</v>
      </c>
      <c r="AA189">
        <f ca="1"/>
        <v>0</v>
      </c>
      <c r="AB189">
        <f ca="1"/>
        <v>0.53349040123993374</v>
      </c>
      <c r="AD189" s="2">
        <f t="shared" ca="1" si="22"/>
        <v>45546</v>
      </c>
      <c r="AE189">
        <f t="shared" ca="1" si="23"/>
        <v>0</v>
      </c>
      <c r="AG189" s="63">
        <f t="shared" ca="1" si="27"/>
        <v>96.168061468683689</v>
      </c>
      <c r="AH189" s="63">
        <f t="shared" ca="1" si="28"/>
        <v>96.168061468683689</v>
      </c>
      <c r="AI189" s="3">
        <f t="shared" ca="1" si="29"/>
        <v>0</v>
      </c>
    </row>
    <row r="190" spans="7:35">
      <c r="G190" s="3">
        <f t="shared" ca="1" si="24"/>
        <v>211</v>
      </c>
      <c r="H190" s="95">
        <f t="shared" ca="1" si="26"/>
        <v>45501</v>
      </c>
      <c r="I190" s="119">
        <f ca="1">HLOOKUP($H$4,'Met Data'!$A$2:$F$368,G190,FALSE)</f>
        <v>9.0374999999999996</v>
      </c>
      <c r="J190" s="119">
        <f ca="1">HLOOKUP($H$4,'Met Data'!$H$2:$M$368,G190,FALSE)*L190</f>
        <v>2.7999999999999901</v>
      </c>
      <c r="K190" s="96">
        <f ca="1">HLOOKUP($H$4,'Met Data'!$O$2:$T$368,G190,FALSE)</f>
        <v>1.1959337492079301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45547</v>
      </c>
      <c r="Q190">
        <f ca="1"/>
        <v>96.635529803587133</v>
      </c>
      <c r="R190">
        <f ca="1"/>
        <v>0.15329090608078566</v>
      </c>
      <c r="S190">
        <f ca="1"/>
        <v>0.21079564107770921</v>
      </c>
      <c r="T190">
        <f ca="1"/>
        <v>0.61281523774701663</v>
      </c>
      <c r="U190">
        <f ca="1"/>
        <v>0</v>
      </c>
      <c r="V190">
        <f ca="1"/>
        <v>5.133148658001871</v>
      </c>
      <c r="W190">
        <f ca="1"/>
        <v>1.3056052021439541</v>
      </c>
      <c r="X190">
        <f ca="1"/>
        <v>0</v>
      </c>
      <c r="Y190">
        <f ca="1"/>
        <v>0.9930112777620026</v>
      </c>
      <c r="Z190">
        <f ca="1"/>
        <v>0</v>
      </c>
      <c r="AA190">
        <f ca="1"/>
        <v>0</v>
      </c>
      <c r="AB190">
        <f ca="1"/>
        <v>0.58216491699255402</v>
      </c>
      <c r="AD190" s="2">
        <f t="shared" ca="1" si="22"/>
        <v>45547</v>
      </c>
      <c r="AE190">
        <f t="shared" ca="1" si="23"/>
        <v>0</v>
      </c>
      <c r="AG190" s="63">
        <f t="shared" ca="1" si="27"/>
        <v>96.788820709667917</v>
      </c>
      <c r="AH190" s="63">
        <f t="shared" ca="1" si="28"/>
        <v>96.788820709667917</v>
      </c>
      <c r="AI190" s="3">
        <f t="shared" ca="1" si="29"/>
        <v>0</v>
      </c>
    </row>
    <row r="191" spans="7:35">
      <c r="G191" s="3">
        <f t="shared" ca="1" si="24"/>
        <v>212</v>
      </c>
      <c r="H191" s="95">
        <f t="shared" ca="1" si="26"/>
        <v>45502</v>
      </c>
      <c r="I191" s="119">
        <f ca="1">HLOOKUP($H$4,'Met Data'!$A$2:$F$368,G191,FALSE)</f>
        <v>8.17916666666666</v>
      </c>
      <c r="J191" s="119">
        <f ca="1">HLOOKUP($H$4,'Met Data'!$H$2:$M$368,G191,FALSE)*L191</f>
        <v>1.55</v>
      </c>
      <c r="K191" s="96">
        <f ca="1">HLOOKUP($H$4,'Met Data'!$O$2:$T$368,G191,FALSE)</f>
        <v>1.3658842309244701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45548</v>
      </c>
      <c r="Q191">
        <f ca="1"/>
        <v>97.007076820799867</v>
      </c>
      <c r="R191">
        <f ca="1"/>
        <v>0.15613581213441297</v>
      </c>
      <c r="S191">
        <f ca="1"/>
        <v>0.18915417272134505</v>
      </c>
      <c r="T191">
        <f ca="1"/>
        <v>0.60610458694518832</v>
      </c>
      <c r="U191">
        <f ca="1"/>
        <v>0</v>
      </c>
      <c r="V191">
        <f ca="1"/>
        <v>5.289284470136284</v>
      </c>
      <c r="W191">
        <f ca="1"/>
        <v>1.3453180065346635</v>
      </c>
      <c r="X191">
        <f ca="1"/>
        <v>0.26757593031938953</v>
      </c>
      <c r="Y191">
        <f ca="1"/>
        <v>1</v>
      </c>
      <c r="Z191">
        <f ca="1"/>
        <v>0.39197086685744154</v>
      </c>
      <c r="AA191">
        <f ca="1"/>
        <v>0</v>
      </c>
      <c r="AB191">
        <f ca="1"/>
        <v>0.62881048091464542</v>
      </c>
      <c r="AD191" s="2">
        <f t="shared" ca="1" si="22"/>
        <v>45548</v>
      </c>
      <c r="AE191">
        <f t="shared" ca="1" si="23"/>
        <v>0</v>
      </c>
      <c r="AG191" s="63">
        <f t="shared" ca="1" si="27"/>
        <v>97.430788563253671</v>
      </c>
      <c r="AH191" s="63">
        <f t="shared" ca="1" si="28"/>
        <v>97.430788563253671</v>
      </c>
      <c r="AI191" s="3">
        <f t="shared" ca="1" si="29"/>
        <v>0</v>
      </c>
    </row>
    <row r="192" spans="7:35">
      <c r="G192" s="3">
        <f t="shared" ca="1" si="24"/>
        <v>213</v>
      </c>
      <c r="H192" s="95">
        <f t="shared" ca="1" si="26"/>
        <v>45503</v>
      </c>
      <c r="I192" s="119">
        <f ca="1">HLOOKUP($H$4,'Met Data'!$A$2:$F$368,G192,FALSE)</f>
        <v>8.75</v>
      </c>
      <c r="J192" s="119">
        <f ca="1">HLOOKUP($H$4,'Met Data'!$H$2:$M$368,G192,FALSE)*L192</f>
        <v>2.44999999999999</v>
      </c>
      <c r="K192" s="96">
        <f ca="1">HLOOKUP($H$4,'Met Data'!$O$2:$T$368,G192,FALSE)</f>
        <v>0.89818915942500899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45549</v>
      </c>
      <c r="Q192">
        <f ca="1"/>
        <v>97.640135805386279</v>
      </c>
      <c r="R192">
        <f ca="1"/>
        <v>0.16464612868333361</v>
      </c>
      <c r="S192">
        <f ca="1"/>
        <v>0.17595082874703394</v>
      </c>
      <c r="T192">
        <f ca="1"/>
        <v>0.62175428452271297</v>
      </c>
      <c r="U192">
        <f ca="1"/>
        <v>0</v>
      </c>
      <c r="V192">
        <f ca="1"/>
        <v>5.4539305988196176</v>
      </c>
      <c r="W192">
        <f ca="1"/>
        <v>1.3871953914389028</v>
      </c>
      <c r="X192">
        <f ca="1"/>
        <v>0</v>
      </c>
      <c r="Y192">
        <f ca="1"/>
        <v>0.99066645966323696</v>
      </c>
      <c r="Z192">
        <f ca="1"/>
        <v>0</v>
      </c>
      <c r="AA192">
        <f ca="1"/>
        <v>0</v>
      </c>
      <c r="AB192">
        <f ca="1"/>
        <v>0.67422044828654115</v>
      </c>
      <c r="AD192" s="2">
        <f t="shared" ca="1" si="22"/>
        <v>45549</v>
      </c>
      <c r="AE192">
        <f t="shared" ca="1" si="23"/>
        <v>0</v>
      </c>
      <c r="AG192" s="63">
        <f t="shared" ca="1" si="27"/>
        <v>97.804781934069609</v>
      </c>
      <c r="AH192" s="63">
        <f t="shared" ca="1" si="28"/>
        <v>97.804781934069609</v>
      </c>
      <c r="AI192" s="3">
        <f t="shared" ca="1" si="29"/>
        <v>0</v>
      </c>
    </row>
    <row r="193" spans="7:35">
      <c r="G193" s="3">
        <f t="shared" ca="1" si="24"/>
        <v>214</v>
      </c>
      <c r="H193" s="95">
        <f t="shared" ca="1" si="26"/>
        <v>45504</v>
      </c>
      <c r="I193" s="119">
        <f ca="1">HLOOKUP($H$4,'Met Data'!$A$2:$F$368,G193,FALSE)</f>
        <v>10.3375</v>
      </c>
      <c r="J193" s="119">
        <f ca="1">HLOOKUP($H$4,'Met Data'!$H$2:$M$368,G193,FALSE)*L193</f>
        <v>5.2666666666666604</v>
      </c>
      <c r="K193" s="96">
        <f ca="1">HLOOKUP($H$4,'Met Data'!$O$2:$T$368,G193,FALSE)</f>
        <v>0.94454335980482496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45550</v>
      </c>
      <c r="Q193">
        <f ca="1"/>
        <v>98.100233158367573</v>
      </c>
      <c r="R193">
        <f ca="1"/>
        <v>0.16833213011230619</v>
      </c>
      <c r="S193">
        <f ca="1"/>
        <v>0.15825839890564453</v>
      </c>
      <c r="T193">
        <f ca="1"/>
        <v>0.61715380066346914</v>
      </c>
      <c r="U193">
        <f ca="1"/>
        <v>0</v>
      </c>
      <c r="V193">
        <f ca="1"/>
        <v>5.6222627289319238</v>
      </c>
      <c r="W193">
        <f ca="1"/>
        <v>1.4300103027935549</v>
      </c>
      <c r="X193">
        <f ca="1"/>
        <v>0.14698271647551864</v>
      </c>
      <c r="Y193">
        <f ca="1"/>
        <v>1</v>
      </c>
      <c r="Z193">
        <f ca="1"/>
        <v>0.21291506586632636</v>
      </c>
      <c r="AA193">
        <f ca="1"/>
        <v>0</v>
      </c>
      <c r="AB193">
        <f ca="1"/>
        <v>0.71629584427327253</v>
      </c>
      <c r="AD193" s="2">
        <f t="shared" ca="1" si="22"/>
        <v>45550</v>
      </c>
      <c r="AE193">
        <f t="shared" ca="1" si="23"/>
        <v>0</v>
      </c>
      <c r="AG193" s="63">
        <f t="shared" ca="1" si="27"/>
        <v>98.415548004955397</v>
      </c>
      <c r="AH193" s="63">
        <f t="shared" ca="1" si="28"/>
        <v>98.415548004955397</v>
      </c>
      <c r="AI193" s="3">
        <f t="shared" ca="1" si="29"/>
        <v>0</v>
      </c>
    </row>
    <row r="194" spans="7:35">
      <c r="G194" s="3">
        <f t="shared" ca="1" si="24"/>
        <v>215</v>
      </c>
      <c r="H194" s="95">
        <f t="shared" ca="1" si="26"/>
        <v>45505</v>
      </c>
      <c r="I194" s="119">
        <f ca="1">HLOOKUP($H$4,'Met Data'!$A$2:$F$368,G194,FALSE)</f>
        <v>10.595454545454499</v>
      </c>
      <c r="J194" s="119">
        <f ca="1">HLOOKUP($H$4,'Met Data'!$H$2:$M$368,G194,FALSE)*L194</f>
        <v>4.4166666666666599</v>
      </c>
      <c r="K194" s="96">
        <f ca="1">HLOOKUP($H$4,'Met Data'!$O$2:$T$368,G194,FALSE)</f>
        <v>1.0832642567801201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45551</v>
      </c>
      <c r="Q194">
        <f ca="1"/>
        <v>96.991723301203038</v>
      </c>
      <c r="R194">
        <f ca="1"/>
        <v>0.18762721611268951</v>
      </c>
      <c r="S194">
        <f ca="1"/>
        <v>0.15558539318618614</v>
      </c>
      <c r="T194">
        <f ca="1"/>
        <v>0.67199712168352155</v>
      </c>
      <c r="U194">
        <f ca="1"/>
        <v>0</v>
      </c>
      <c r="V194">
        <f ca="1"/>
        <v>5.8098899450446133</v>
      </c>
      <c r="W194">
        <f ca="1"/>
        <v>1.4777328773265648</v>
      </c>
      <c r="X194">
        <f ca="1"/>
        <v>1.7484651559215465</v>
      </c>
      <c r="Y194">
        <f ca="1"/>
        <v>1</v>
      </c>
      <c r="Z194">
        <f ca="1"/>
        <v>2.5617247807118702</v>
      </c>
      <c r="AA194">
        <f ca="1"/>
        <v>0</v>
      </c>
      <c r="AB194">
        <f ca="1"/>
        <v>0.75789998614174237</v>
      </c>
      <c r="AD194" s="2">
        <f t="shared" ca="1" si="22"/>
        <v>45551</v>
      </c>
      <c r="AE194">
        <f t="shared" ca="1" si="23"/>
        <v>0</v>
      </c>
      <c r="AG194" s="63">
        <f t="shared" ca="1" si="27"/>
        <v>98.927815673237276</v>
      </c>
      <c r="AH194" s="63">
        <f t="shared" ca="1" si="28"/>
        <v>98.927815673237276</v>
      </c>
      <c r="AI194" s="3">
        <f t="shared" ca="1" si="29"/>
        <v>0</v>
      </c>
    </row>
    <row r="195" spans="7:35">
      <c r="G195" s="3">
        <f t="shared" ca="1" si="24"/>
        <v>216</v>
      </c>
      <c r="H195" s="95">
        <f t="shared" ca="1" si="26"/>
        <v>45506</v>
      </c>
      <c r="I195" s="119">
        <f ca="1">HLOOKUP($H$4,'Met Data'!$A$2:$F$368,G195,FALSE)</f>
        <v>10.1041666666666</v>
      </c>
      <c r="J195" s="119">
        <f ca="1">HLOOKUP($H$4,'Met Data'!$H$2:$M$368,G195,FALSE)*L195</f>
        <v>2.0833333333333299</v>
      </c>
      <c r="K195" s="96">
        <f ca="1">HLOOKUP($H$4,'Met Data'!$O$2:$T$368,G195,FALSE)</f>
        <v>1.39183263100002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45552</v>
      </c>
      <c r="Q195">
        <f ca="1"/>
        <v>96.257740409347079</v>
      </c>
      <c r="R195">
        <f ca="1"/>
        <v>0.17970310247036103</v>
      </c>
      <c r="S195">
        <f ca="1"/>
        <v>0.1297131470827253</v>
      </c>
      <c r="T195">
        <f ca="1"/>
        <v>0.6205415495470421</v>
      </c>
      <c r="U195">
        <f ca="1"/>
        <v>0</v>
      </c>
      <c r="V195">
        <f ca="1"/>
        <v>5.9895930475149743</v>
      </c>
      <c r="W195">
        <f ca="1"/>
        <v>1.5234399707809827</v>
      </c>
      <c r="X195">
        <f ca="1"/>
        <v>1.3045344860153736</v>
      </c>
      <c r="Y195">
        <f ca="1"/>
        <v>1</v>
      </c>
      <c r="Z195">
        <f ca="1"/>
        <v>1.9258837330422338</v>
      </c>
      <c r="AA195">
        <f ca="1"/>
        <v>0</v>
      </c>
      <c r="AB195">
        <f ca="1"/>
        <v>0.79266300965063585</v>
      </c>
      <c r="AD195" s="2">
        <f t="shared" ca="1" si="22"/>
        <v>45552</v>
      </c>
      <c r="AE195">
        <f t="shared" ca="1" si="23"/>
        <v>0</v>
      </c>
      <c r="AG195" s="63">
        <f t="shared" ca="1" si="27"/>
        <v>97.741977997832805</v>
      </c>
      <c r="AH195" s="63">
        <f t="shared" ca="1" si="28"/>
        <v>97.741977997832805</v>
      </c>
      <c r="AI195" s="3">
        <f t="shared" ca="1" si="29"/>
        <v>0</v>
      </c>
    </row>
    <row r="196" spans="7:35">
      <c r="G196" s="3">
        <f t="shared" ca="1" si="24"/>
        <v>217</v>
      </c>
      <c r="H196" s="95">
        <f t="shared" ca="1" si="26"/>
        <v>45507</v>
      </c>
      <c r="I196" s="119">
        <f ca="1">HLOOKUP($H$4,'Met Data'!$A$2:$F$368,G196,FALSE)</f>
        <v>10.1833333333333</v>
      </c>
      <c r="J196" s="119">
        <f ca="1">HLOOKUP($H$4,'Met Data'!$H$2:$M$368,G196,FALSE)*L196</f>
        <v>5.9833333333333298</v>
      </c>
      <c r="K196" s="96">
        <f ca="1">HLOOKUP($H$4,'Met Data'!$O$2:$T$368,G196,FALSE)</f>
        <v>1.0301492818772899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45553</v>
      </c>
      <c r="Q196">
        <f ca="1"/>
        <v>92.352530347723103</v>
      </c>
      <c r="R196">
        <f ca="1"/>
        <v>0.17100302428642955</v>
      </c>
      <c r="S196">
        <f ca="1"/>
        <v>0.10895318561375689</v>
      </c>
      <c r="T196">
        <f ca="1"/>
        <v>0.57255530455187664</v>
      </c>
      <c r="U196">
        <f ca="1"/>
        <v>0</v>
      </c>
      <c r="V196">
        <f ca="1"/>
        <v>6.1605960718014039</v>
      </c>
      <c r="W196">
        <f ca="1"/>
        <v>1.5669342182625308</v>
      </c>
      <c r="X196">
        <f ca="1"/>
        <v>4.4157155275031776</v>
      </c>
      <c r="Y196">
        <f ca="1"/>
        <v>1</v>
      </c>
      <c r="Z196">
        <f ca="1"/>
        <v>6.7945774165971358</v>
      </c>
      <c r="AA196">
        <f ca="1"/>
        <v>0</v>
      </c>
      <c r="AB196">
        <f ca="1"/>
        <v>0.82142198690974788</v>
      </c>
      <c r="AD196" s="2">
        <f t="shared" ca="1" si="22"/>
        <v>45553</v>
      </c>
      <c r="AE196">
        <f t="shared" ca="1" si="23"/>
        <v>0</v>
      </c>
      <c r="AG196" s="63">
        <f t="shared" ca="1" si="27"/>
        <v>96.93924889951272</v>
      </c>
      <c r="AH196" s="63">
        <f t="shared" ca="1" si="28"/>
        <v>96.93924889951272</v>
      </c>
      <c r="AI196" s="3">
        <f t="shared" ca="1" si="29"/>
        <v>0</v>
      </c>
    </row>
    <row r="197" spans="7:35">
      <c r="G197" s="3">
        <f t="shared" ca="1" si="24"/>
        <v>218</v>
      </c>
      <c r="H197" s="95">
        <f t="shared" ca="1" si="26"/>
        <v>45508</v>
      </c>
      <c r="I197" s="119">
        <f ca="1">HLOOKUP($H$4,'Met Data'!$A$2:$F$368,G197,FALSE)</f>
        <v>9.7708333333333304</v>
      </c>
      <c r="J197" s="119">
        <f ca="1">HLOOKUP($H$4,'Met Data'!$H$2:$M$368,G197,FALSE)*L197</f>
        <v>2.9833333333333298</v>
      </c>
      <c r="K197" s="96">
        <f ca="1">HLOOKUP($H$4,'Met Data'!$O$2:$T$368,G197,FALSE)</f>
        <v>1.3432284560273799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45554</v>
      </c>
      <c r="Q197">
        <f ca="1"/>
        <v>91.705301603577453</v>
      </c>
      <c r="R197">
        <f ca="1"/>
        <v>0.17364787394125969</v>
      </c>
      <c r="S197">
        <f ca="1"/>
        <v>9.8542312247047903E-2</v>
      </c>
      <c r="T197">
        <f ca="1"/>
        <v>0.56612719261100741</v>
      </c>
      <c r="U197">
        <f ca="1"/>
        <v>0</v>
      </c>
      <c r="V197">
        <f ca="1"/>
        <v>6.3342439457426636</v>
      </c>
      <c r="W197">
        <f ca="1"/>
        <v>1.611101177504112</v>
      </c>
      <c r="X197">
        <f ca="1"/>
        <v>1.1382503750624382</v>
      </c>
      <c r="Y197">
        <f ca="1"/>
        <v>1</v>
      </c>
      <c r="Z197">
        <f ca="1"/>
        <v>1.7638169905054895</v>
      </c>
      <c r="AA197">
        <f ca="1"/>
        <v>0</v>
      </c>
      <c r="AB197">
        <f ca="1"/>
        <v>0.84669560767644758</v>
      </c>
      <c r="AD197" s="2">
        <f t="shared" ca="1" si="22"/>
        <v>45554</v>
      </c>
      <c r="AE197">
        <f t="shared" ca="1" si="23"/>
        <v>0</v>
      </c>
      <c r="AG197" s="63">
        <f t="shared" ca="1" si="27"/>
        <v>93.017199852581157</v>
      </c>
      <c r="AH197" s="63">
        <f t="shared" ca="1" si="28"/>
        <v>93.017199852581157</v>
      </c>
      <c r="AI197" s="3">
        <f t="shared" ca="1" si="29"/>
        <v>0</v>
      </c>
    </row>
    <row r="198" spans="7:35">
      <c r="G198" s="3">
        <f t="shared" ca="1" si="24"/>
        <v>219</v>
      </c>
      <c r="H198" s="95">
        <f t="shared" ca="1" si="26"/>
        <v>45509</v>
      </c>
      <c r="I198" s="119">
        <f ca="1">HLOOKUP($H$4,'Met Data'!$A$2:$F$368,G198,FALSE)</f>
        <v>9.8791666666666593</v>
      </c>
      <c r="J198" s="119">
        <f ca="1">HLOOKUP($H$4,'Met Data'!$H$2:$M$368,G198,FALSE)*L198</f>
        <v>4.4833333333333298</v>
      </c>
      <c r="K198" s="96">
        <f ca="1">HLOOKUP($H$4,'Met Data'!$O$2:$T$368,G198,FALSE)</f>
        <v>1.0259838566514501</v>
      </c>
      <c r="L198">
        <f t="shared" ref="L198:L261" ca="1" si="30">IF(H198&lt;$B$31,$J$3,$J$4)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45555</v>
      </c>
      <c r="Q198">
        <f ca="1"/>
        <v>92.159267265597521</v>
      </c>
      <c r="R198">
        <f ca="1"/>
        <v>0.16893330744502766</v>
      </c>
      <c r="S198">
        <f ca="1"/>
        <v>8.5794559738133103E-2</v>
      </c>
      <c r="T198">
        <f ca="1"/>
        <v>0.53710440972696638</v>
      </c>
      <c r="U198">
        <f ca="1"/>
        <v>0</v>
      </c>
      <c r="V198">
        <f ca="1"/>
        <v>6.5031772531876912</v>
      </c>
      <c r="W198">
        <f ca="1"/>
        <v>1.6540689970064344</v>
      </c>
      <c r="X198">
        <f ca="1"/>
        <v>0</v>
      </c>
      <c r="Y198">
        <f ca="1"/>
        <v>0.99370710280189967</v>
      </c>
      <c r="Z198">
        <f ca="1"/>
        <v>0</v>
      </c>
      <c r="AA198">
        <f ca="1"/>
        <v>0</v>
      </c>
      <c r="AB198">
        <f ca="1"/>
        <v>0.86788148989437841</v>
      </c>
      <c r="AD198" s="2">
        <f t="shared" ref="AD198:AD261" ca="1" si="32">IFERROR(P198,$AD$4)</f>
        <v>45555</v>
      </c>
      <c r="AE198">
        <f t="shared" ref="AE198:AE261" ca="1" si="33">IFERROR(U198,0)</f>
        <v>0</v>
      </c>
      <c r="AG198" s="63">
        <f t="shared" ca="1" si="27"/>
        <v>92.328200573042551</v>
      </c>
      <c r="AH198" s="63">
        <f t="shared" ca="1" si="28"/>
        <v>92.328200573042551</v>
      </c>
      <c r="AI198" s="3">
        <f t="shared" ca="1" si="29"/>
        <v>0</v>
      </c>
    </row>
    <row r="199" spans="7:35">
      <c r="G199" s="3">
        <f t="shared" ref="G199:G262" ca="1" si="34">H199-DATE(YEAR(H199),1,0)+1</f>
        <v>220</v>
      </c>
      <c r="H199" s="95">
        <f t="shared" ca="1" si="26"/>
        <v>45510</v>
      </c>
      <c r="I199" s="119">
        <f ca="1">HLOOKUP($H$4,'Met Data'!$A$2:$F$368,G199,FALSE)</f>
        <v>9.9874999999999901</v>
      </c>
      <c r="J199" s="119">
        <f ca="1">HLOOKUP($H$4,'Met Data'!$H$2:$M$368,G199,FALSE)*L199</f>
        <v>2.2000000000000002</v>
      </c>
      <c r="K199" s="96">
        <f ca="1">HLOOKUP($H$4,'Met Data'!$O$2:$T$368,G199,FALSE)</f>
        <v>1.1029484647982599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45556</v>
      </c>
      <c r="Q199">
        <f ca="1"/>
        <v>91.78806494987677</v>
      </c>
      <c r="R199">
        <f ca="1"/>
        <v>0.17867509133474524</v>
      </c>
      <c r="S199">
        <f ca="1"/>
        <v>8.1283027693842769E-2</v>
      </c>
      <c r="T199">
        <f ca="1"/>
        <v>0.55363430350801202</v>
      </c>
      <c r="U199">
        <f ca="1"/>
        <v>0</v>
      </c>
      <c r="V199">
        <f ca="1"/>
        <v>6.6818523445224365</v>
      </c>
      <c r="W199">
        <f ca="1"/>
        <v>1.6995146180633152</v>
      </c>
      <c r="X199">
        <f ca="1"/>
        <v>0.82744455558786401</v>
      </c>
      <c r="Y199">
        <f ca="1"/>
        <v>1</v>
      </c>
      <c r="Z199">
        <f ca="1"/>
        <v>1.2810404749745032</v>
      </c>
      <c r="AA199">
        <f ca="1"/>
        <v>0</v>
      </c>
      <c r="AB199">
        <f ca="1"/>
        <v>0.88707694363678791</v>
      </c>
      <c r="AD199" s="2">
        <f t="shared" ca="1" si="32"/>
        <v>45556</v>
      </c>
      <c r="AE199">
        <f t="shared" ca="1" si="33"/>
        <v>0</v>
      </c>
      <c r="AG199" s="63">
        <f t="shared" ca="1" si="27"/>
        <v>92.794184596799369</v>
      </c>
      <c r="AH199" s="63">
        <f t="shared" ca="1" si="28"/>
        <v>92.794184596799369</v>
      </c>
      <c r="AI199" s="3">
        <f t="shared" ca="1" si="29"/>
        <v>0</v>
      </c>
    </row>
    <row r="200" spans="7:35">
      <c r="G200" s="3">
        <f t="shared" ca="1" si="34"/>
        <v>221</v>
      </c>
      <c r="H200" s="95">
        <f t="shared" ref="H200:H263" ca="1" si="36">H199+1</f>
        <v>45511</v>
      </c>
      <c r="I200" s="119">
        <f ca="1">HLOOKUP($H$4,'Met Data'!$A$2:$F$368,G200,FALSE)</f>
        <v>9.4625000000000004</v>
      </c>
      <c r="J200" s="119">
        <f ca="1">HLOOKUP($H$4,'Met Data'!$H$2:$M$368,G200,FALSE)*L200</f>
        <v>3.61666666666666</v>
      </c>
      <c r="K200" s="96">
        <f ca="1">HLOOKUP($H$4,'Met Data'!$O$2:$T$368,G200,FALSE)</f>
        <v>1.10790183862933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45557</v>
      </c>
      <c r="Q200">
        <f ca="1"/>
        <v>92.268717719472917</v>
      </c>
      <c r="R200">
        <f ca="1"/>
        <v>0.19800979481414593</v>
      </c>
      <c r="S200">
        <f ca="1"/>
        <v>8.0407310335687043E-2</v>
      </c>
      <c r="T200">
        <f ca="1"/>
        <v>0.59825525407459812</v>
      </c>
      <c r="U200">
        <f ca="1"/>
        <v>0</v>
      </c>
      <c r="V200">
        <f ca="1"/>
        <v>6.8798621393365824</v>
      </c>
      <c r="W200">
        <f ca="1"/>
        <v>1.7498779789182177</v>
      </c>
      <c r="X200">
        <f ca="1"/>
        <v>0</v>
      </c>
      <c r="Y200">
        <f ca="1"/>
        <v>0.99371677783737011</v>
      </c>
      <c r="Z200">
        <f ca="1"/>
        <v>0</v>
      </c>
      <c r="AA200">
        <f ca="1"/>
        <v>0</v>
      </c>
      <c r="AB200">
        <f ca="1"/>
        <v>0.90501685626198491</v>
      </c>
      <c r="AD200" s="2">
        <f t="shared" ca="1" si="32"/>
        <v>45557</v>
      </c>
      <c r="AE200">
        <f t="shared" ca="1" si="33"/>
        <v>0</v>
      </c>
      <c r="AG200" s="63">
        <f ca="1">Q199+S200+T200+U200</f>
        <v>92.466727514287058</v>
      </c>
      <c r="AH200" s="63">
        <f ca="1">Q200+R200+X200</f>
        <v>92.466727514287058</v>
      </c>
      <c r="AI200" s="3">
        <f ca="1">AH200-AG200</f>
        <v>0</v>
      </c>
    </row>
    <row r="201" spans="7:35">
      <c r="G201" s="3">
        <f t="shared" ca="1" si="34"/>
        <v>222</v>
      </c>
      <c r="H201" s="95">
        <f t="shared" ca="1" si="36"/>
        <v>45512</v>
      </c>
      <c r="I201" s="119">
        <f ca="1">HLOOKUP($H$4,'Met Data'!$A$2:$F$368,G201,FALSE)</f>
        <v>8.42916666666666</v>
      </c>
      <c r="J201" s="119">
        <f ca="1">HLOOKUP($H$4,'Met Data'!$H$2:$M$368,G201,FALSE)*L201</f>
        <v>3.4</v>
      </c>
      <c r="K201" s="96">
        <f ca="1">HLOOKUP($H$4,'Met Data'!$O$2:$T$368,G201,FALSE)</f>
        <v>1.32402542664303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45558</v>
      </c>
      <c r="Q201">
        <f ca="1"/>
        <v>90.536672291121334</v>
      </c>
      <c r="R201">
        <f ca="1"/>
        <v>0.21639707060280067</v>
      </c>
      <c r="S201">
        <f ca="1"/>
        <v>7.8049549436087773E-2</v>
      </c>
      <c r="T201">
        <f ca="1"/>
        <v>0.63790193970387454</v>
      </c>
      <c r="U201">
        <f ca="1"/>
        <v>0</v>
      </c>
      <c r="V201">
        <f ca="1"/>
        <v>7.0962592099393831</v>
      </c>
      <c r="W201">
        <f ca="1"/>
        <v>1.8049181033976256</v>
      </c>
      <c r="X201">
        <f ca="1"/>
        <v>2.2315998468887575</v>
      </c>
      <c r="Y201">
        <f ca="1"/>
        <v>1</v>
      </c>
      <c r="Z201">
        <f ca="1"/>
        <v>3.5026920636704659</v>
      </c>
      <c r="AA201">
        <f ca="1"/>
        <v>0</v>
      </c>
      <c r="AB201">
        <f ca="1"/>
        <v>0.92124000614136603</v>
      </c>
      <c r="AD201" s="2">
        <f t="shared" ca="1" si="32"/>
        <v>45558</v>
      </c>
      <c r="AE201">
        <f t="shared" ca="1" si="33"/>
        <v>0</v>
      </c>
      <c r="AG201" s="63">
        <f ca="1">Q200+S201+T201+U201</f>
        <v>92.984669208612885</v>
      </c>
      <c r="AH201" s="63">
        <f ca="1">Q201+R201+X201</f>
        <v>92.984669208612885</v>
      </c>
      <c r="AI201" s="3">
        <f ca="1">AH201-AG201</f>
        <v>0</v>
      </c>
    </row>
    <row r="202" spans="7:35">
      <c r="G202" s="3">
        <f t="shared" ca="1" si="34"/>
        <v>223</v>
      </c>
      <c r="H202" s="95">
        <f t="shared" ca="1" si="36"/>
        <v>45513</v>
      </c>
      <c r="I202" s="119">
        <f ca="1">HLOOKUP($H$4,'Met Data'!$A$2:$F$368,G202,FALSE)</f>
        <v>7.8416666666666597</v>
      </c>
      <c r="J202" s="119">
        <f ca="1">HLOOKUP($H$4,'Met Data'!$H$2:$M$368,G202,FALSE)*L202</f>
        <v>1.38333333333333</v>
      </c>
      <c r="K202" s="96">
        <f ca="1">HLOOKUP($H$4,'Met Data'!$O$2:$T$368,G202,FALSE)</f>
        <v>1.2882274194230801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45559</v>
      </c>
      <c r="Q202">
        <f ca="1"/>
        <v>91.044602738807029</v>
      </c>
      <c r="R202">
        <f ca="1"/>
        <v>0.23184265468441811</v>
      </c>
      <c r="S202">
        <f ca="1"/>
        <v>7.3873382508310215E-2</v>
      </c>
      <c r="T202">
        <f ca="1"/>
        <v>0.66589971986179353</v>
      </c>
      <c r="U202">
        <f ca="1"/>
        <v>0</v>
      </c>
      <c r="V202">
        <f ca="1"/>
        <v>7.3281018646238012</v>
      </c>
      <c r="W202">
        <f ca="1"/>
        <v>1.8638867786108362</v>
      </c>
      <c r="X202">
        <f ca="1"/>
        <v>0</v>
      </c>
      <c r="Y202">
        <f ca="1"/>
        <v>0.98888336667063315</v>
      </c>
      <c r="Z202">
        <f ca="1"/>
        <v>0</v>
      </c>
      <c r="AA202">
        <f ca="1"/>
        <v>0</v>
      </c>
      <c r="AB202">
        <f ca="1"/>
        <v>0.93538996853401535</v>
      </c>
      <c r="AD202" s="2">
        <f t="shared" ca="1" si="32"/>
        <v>45559</v>
      </c>
      <c r="AE202">
        <f t="shared" ca="1" si="33"/>
        <v>0</v>
      </c>
      <c r="AG202" s="63">
        <f ca="1">Q201+S202+T202+U202</f>
        <v>91.276445393491443</v>
      </c>
      <c r="AH202" s="63">
        <f ca="1">Q202+R202+X202</f>
        <v>91.276445393491443</v>
      </c>
      <c r="AI202" s="3">
        <f ca="1">AH202-AG202</f>
        <v>0</v>
      </c>
    </row>
    <row r="203" spans="7:35">
      <c r="G203" s="3">
        <f t="shared" ca="1" si="34"/>
        <v>224</v>
      </c>
      <c r="H203" s="95">
        <f t="shared" ca="1" si="36"/>
        <v>45514</v>
      </c>
      <c r="I203" s="119">
        <f ca="1">HLOOKUP($H$4,'Met Data'!$A$2:$F$368,G203,FALSE)</f>
        <v>8.7916666666666607</v>
      </c>
      <c r="J203" s="119">
        <f ca="1">HLOOKUP($H$4,'Met Data'!$H$2:$M$368,G203,FALSE)*L203</f>
        <v>4.7</v>
      </c>
      <c r="K203" s="96">
        <f ca="1">HLOOKUP($H$4,'Met Data'!$O$2:$T$368,G203,FALSE)</f>
        <v>1.2700812995642401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45560</v>
      </c>
      <c r="Q203">
        <f ca="1"/>
        <v>91.519032801546359</v>
      </c>
      <c r="R203">
        <f ca="1"/>
        <v>0.23042374976611413</v>
      </c>
      <c r="S203">
        <f ca="1"/>
        <v>6.4482590826742126E-2</v>
      </c>
      <c r="T203">
        <f ca="1"/>
        <v>0.64037122167870986</v>
      </c>
      <c r="U203">
        <f ca="1"/>
        <v>0</v>
      </c>
      <c r="V203">
        <f ca="1"/>
        <v>7.5585256143899153</v>
      </c>
      <c r="W203">
        <f ca="1"/>
        <v>1.9224945584426525</v>
      </c>
      <c r="X203">
        <f ca="1"/>
        <v>0</v>
      </c>
      <c r="Y203">
        <f ca="1"/>
        <v>0.96744500499377117</v>
      </c>
      <c r="Z203">
        <f ca="1"/>
        <v>0</v>
      </c>
      <c r="AA203">
        <f ca="1"/>
        <v>0</v>
      </c>
      <c r="AB203">
        <f ca="1"/>
        <v>0.94676771980136265</v>
      </c>
      <c r="AD203" s="2">
        <f t="shared" ca="1" si="32"/>
        <v>45560</v>
      </c>
      <c r="AE203">
        <f t="shared" ca="1" si="33"/>
        <v>0</v>
      </c>
      <c r="AG203" s="63">
        <f t="shared" ref="AG203:AG266" ca="1" si="37">Q202+S203+T203+U203</f>
        <v>91.749456551312477</v>
      </c>
      <c r="AH203" s="63">
        <f t="shared" ref="AH203:AH266" ca="1" si="38">Q203+R203+X203</f>
        <v>91.749456551312477</v>
      </c>
      <c r="AI203" s="3">
        <f t="shared" ref="AI203:AI266" ca="1" si="39">AH203-AG203</f>
        <v>0</v>
      </c>
    </row>
    <row r="204" spans="7:35">
      <c r="G204" s="3">
        <f t="shared" ca="1" si="34"/>
        <v>225</v>
      </c>
      <c r="H204" s="95">
        <f t="shared" ca="1" si="36"/>
        <v>45515</v>
      </c>
      <c r="I204" s="119">
        <f ca="1">HLOOKUP($H$4,'Met Data'!$A$2:$F$368,G204,FALSE)</f>
        <v>9.2041666666666604</v>
      </c>
      <c r="J204" s="119">
        <f ca="1">HLOOKUP($H$4,'Met Data'!$H$2:$M$368,G204,FALSE)*L204</f>
        <v>4.9666666666666597</v>
      </c>
      <c r="K204" s="96">
        <f ca="1">HLOOKUP($H$4,'Met Data'!$O$2:$T$368,G204,FALSE)</f>
        <v>1.216678160996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45561</v>
      </c>
      <c r="Q204">
        <f ca="1"/>
        <v>91.98046526804518</v>
      </c>
      <c r="R204">
        <f ca="1"/>
        <v>0.24473975614156274</v>
      </c>
      <c r="S204">
        <f ca="1"/>
        <v>5.9297978591075662E-2</v>
      </c>
      <c r="T204">
        <f ca="1"/>
        <v>0.64687424404931071</v>
      </c>
      <c r="U204">
        <f ca="1"/>
        <v>0</v>
      </c>
      <c r="V204">
        <f ca="1"/>
        <v>7.8032653705314781</v>
      </c>
      <c r="W204">
        <f ca="1"/>
        <v>1.9847435833743106</v>
      </c>
      <c r="X204">
        <f ca="1"/>
        <v>0</v>
      </c>
      <c r="Y204">
        <f ca="1"/>
        <v>0.94161141277205251</v>
      </c>
      <c r="Z204">
        <f ca="1"/>
        <v>0</v>
      </c>
      <c r="AA204">
        <f ca="1"/>
        <v>0</v>
      </c>
      <c r="AB204">
        <f ca="1"/>
        <v>0.95650500203991018</v>
      </c>
      <c r="AD204" s="2">
        <f t="shared" ca="1" si="32"/>
        <v>45561</v>
      </c>
      <c r="AE204">
        <f t="shared" ca="1" si="33"/>
        <v>0</v>
      </c>
      <c r="AG204" s="63">
        <f t="shared" ca="1" si="37"/>
        <v>92.225205024186749</v>
      </c>
      <c r="AH204" s="63">
        <f t="shared" ca="1" si="38"/>
        <v>92.225205024186749</v>
      </c>
      <c r="AI204" s="3">
        <f t="shared" ca="1" si="39"/>
        <v>0</v>
      </c>
    </row>
    <row r="205" spans="7:35">
      <c r="G205" s="3">
        <f t="shared" ca="1" si="34"/>
        <v>226</v>
      </c>
      <c r="H205" s="95">
        <f t="shared" ca="1" si="36"/>
        <v>45516</v>
      </c>
      <c r="I205" s="119">
        <f ca="1">HLOOKUP($H$4,'Met Data'!$A$2:$F$368,G205,FALSE)</f>
        <v>9.49583333333333</v>
      </c>
      <c r="J205" s="119">
        <f ca="1">HLOOKUP($H$4,'Met Data'!$H$2:$M$368,G205,FALSE)*L205</f>
        <v>3.11666666666666</v>
      </c>
      <c r="K205" s="96">
        <f ca="1">HLOOKUP($H$4,'Met Data'!$O$2:$T$368,G205,FALSE)</f>
        <v>1.2041756804414001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45562</v>
      </c>
      <c r="Q205">
        <f ca="1"/>
        <v>92.458277960744908</v>
      </c>
      <c r="R205">
        <f ca="1"/>
        <v>0.25795794897415103</v>
      </c>
      <c r="S205">
        <f ca="1"/>
        <v>5.6616102277530445E-2</v>
      </c>
      <c r="T205">
        <f ca="1"/>
        <v>0.67915453939635251</v>
      </c>
      <c r="U205">
        <f ca="1"/>
        <v>0</v>
      </c>
      <c r="V205">
        <f ca="1"/>
        <v>8.0612233195056291</v>
      </c>
      <c r="W205">
        <f ca="1"/>
        <v>2.050354626917736</v>
      </c>
      <c r="X205">
        <f ca="1"/>
        <v>0</v>
      </c>
      <c r="Y205">
        <f ca="1"/>
        <v>0.99756406486679883</v>
      </c>
      <c r="Z205">
        <f ca="1"/>
        <v>0</v>
      </c>
      <c r="AA205">
        <f ca="1"/>
        <v>0</v>
      </c>
      <c r="AB205">
        <f ca="1"/>
        <v>0.96469316742650912</v>
      </c>
      <c r="AD205" s="2">
        <f t="shared" ca="1" si="32"/>
        <v>45562</v>
      </c>
      <c r="AE205">
        <f t="shared" ca="1" si="33"/>
        <v>0</v>
      </c>
      <c r="AG205" s="63">
        <f t="shared" ca="1" si="37"/>
        <v>92.71623590971906</v>
      </c>
      <c r="AH205" s="63">
        <f t="shared" ca="1" si="38"/>
        <v>92.71623590971906</v>
      </c>
      <c r="AI205" s="3">
        <f t="shared" ca="1" si="39"/>
        <v>0</v>
      </c>
    </row>
    <row r="206" spans="7:35">
      <c r="G206" s="3">
        <f t="shared" ca="1" si="34"/>
        <v>227</v>
      </c>
      <c r="H206" s="95">
        <f t="shared" ca="1" si="36"/>
        <v>45517</v>
      </c>
      <c r="I206" s="119">
        <f ca="1">HLOOKUP($H$4,'Met Data'!$A$2:$F$368,G206,FALSE)</f>
        <v>9.7791666666666597</v>
      </c>
      <c r="J206" s="119">
        <f ca="1">HLOOKUP($H$4,'Met Data'!$H$2:$M$368,G206,FALSE)*L206</f>
        <v>6.7</v>
      </c>
      <c r="K206" s="96">
        <f ca="1">HLOOKUP($H$4,'Met Data'!$O$2:$T$368,G206,FALSE)</f>
        <v>1.1357294741412001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45563</v>
      </c>
      <c r="Q206">
        <f ca="1"/>
        <v>92.937364456100468</v>
      </c>
      <c r="R206">
        <f ca="1"/>
        <v>0.27290350842615041</v>
      </c>
      <c r="S206">
        <f ca="1"/>
        <v>5.2908939363220497E-2</v>
      </c>
      <c r="T206">
        <f ca="1"/>
        <v>0.69908106441848938</v>
      </c>
      <c r="U206">
        <f ca="1"/>
        <v>0</v>
      </c>
      <c r="V206">
        <f ca="1"/>
        <v>8.3341268279317795</v>
      </c>
      <c r="W206">
        <f ca="1"/>
        <v>2.1197670410174307</v>
      </c>
      <c r="X206">
        <f ca="1"/>
        <v>0</v>
      </c>
      <c r="Y206">
        <f ca="1"/>
        <v>0.99466414624556543</v>
      </c>
      <c r="Z206">
        <f ca="1"/>
        <v>0</v>
      </c>
      <c r="AA206">
        <f ca="1"/>
        <v>0</v>
      </c>
      <c r="AB206">
        <f ca="1"/>
        <v>0.97154258578549557</v>
      </c>
      <c r="AD206" s="2">
        <f t="shared" ca="1" si="32"/>
        <v>45563</v>
      </c>
      <c r="AE206">
        <f t="shared" ca="1" si="33"/>
        <v>0</v>
      </c>
      <c r="AG206" s="63">
        <f t="shared" ca="1" si="37"/>
        <v>93.210267964526622</v>
      </c>
      <c r="AH206" s="63">
        <f t="shared" ca="1" si="38"/>
        <v>93.210267964526622</v>
      </c>
      <c r="AI206" s="3">
        <f t="shared" ca="1" si="39"/>
        <v>0</v>
      </c>
    </row>
    <row r="207" spans="7:35">
      <c r="G207" s="3">
        <f t="shared" ca="1" si="34"/>
        <v>228</v>
      </c>
      <c r="H207" s="95">
        <f t="shared" ca="1" si="36"/>
        <v>45518</v>
      </c>
      <c r="I207" s="119">
        <f ca="1">HLOOKUP($H$4,'Met Data'!$A$2:$F$368,G207,FALSE)</f>
        <v>9.4375</v>
      </c>
      <c r="J207" s="119">
        <f ca="1">HLOOKUP($H$4,'Met Data'!$H$2:$M$368,G207,FALSE)*L207</f>
        <v>3.2833333333333301</v>
      </c>
      <c r="K207" s="96">
        <f ca="1">HLOOKUP($H$4,'Met Data'!$O$2:$T$368,G207,FALSE)</f>
        <v>1.2410385498851699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45564</v>
      </c>
      <c r="Q207">
        <f ca="1"/>
        <v>91.540725954072158</v>
      </c>
      <c r="R207">
        <f ca="1"/>
        <v>0.27854116045770638</v>
      </c>
      <c r="S207">
        <f ca="1"/>
        <v>4.7554272986019441E-2</v>
      </c>
      <c r="T207">
        <f ca="1"/>
        <v>0.69101567677424192</v>
      </c>
      <c r="U207">
        <f ca="1"/>
        <v>0</v>
      </c>
      <c r="V207">
        <f ca="1"/>
        <v>8.6126679883894859</v>
      </c>
      <c r="W207">
        <f ca="1"/>
        <v>2.1906133796555864</v>
      </c>
      <c r="X207">
        <f ca="1"/>
        <v>1.8566672913308653</v>
      </c>
      <c r="Y207">
        <f ca="1"/>
        <v>1</v>
      </c>
      <c r="Z207">
        <f ca="1"/>
        <v>2.8822383838599137</v>
      </c>
      <c r="AA207">
        <f ca="1"/>
        <v>0</v>
      </c>
      <c r="AB207">
        <f ca="1"/>
        <v>0.97704383012207985</v>
      </c>
      <c r="AD207" s="2">
        <f t="shared" ca="1" si="32"/>
        <v>45564</v>
      </c>
      <c r="AE207">
        <f t="shared" ca="1" si="33"/>
        <v>0</v>
      </c>
      <c r="AG207" s="63">
        <f t="shared" ca="1" si="37"/>
        <v>93.67593440586073</v>
      </c>
      <c r="AH207" s="63">
        <f t="shared" ca="1" si="38"/>
        <v>93.67593440586073</v>
      </c>
      <c r="AI207" s="3">
        <f t="shared" ca="1" si="39"/>
        <v>0</v>
      </c>
    </row>
    <row r="208" spans="7:35">
      <c r="G208" s="3">
        <f t="shared" ca="1" si="34"/>
        <v>229</v>
      </c>
      <c r="H208" s="95">
        <f t="shared" ca="1" si="36"/>
        <v>45519</v>
      </c>
      <c r="I208" s="119">
        <f ca="1">HLOOKUP($H$4,'Met Data'!$A$2:$F$368,G208,FALSE)</f>
        <v>9.6999999999999993</v>
      </c>
      <c r="J208" s="119">
        <f ca="1">HLOOKUP($H$4,'Met Data'!$H$2:$M$368,G208,FALSE)*L208</f>
        <v>1.5999999999999901</v>
      </c>
      <c r="K208" s="96">
        <f ca="1">HLOOKUP($H$4,'Met Data'!$O$2:$T$368,G208,FALSE)</f>
        <v>1.30158376837533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45565</v>
      </c>
      <c r="Q208">
        <f ca="1"/>
        <v>91.95218760836778</v>
      </c>
      <c r="R208">
        <f ca="1"/>
        <v>0.26688431319426087</v>
      </c>
      <c r="S208">
        <f ca="1"/>
        <v>4.019736834979426E-2</v>
      </c>
      <c r="T208">
        <f ca="1"/>
        <v>0.63814859914007604</v>
      </c>
      <c r="U208">
        <f ca="1"/>
        <v>0</v>
      </c>
      <c r="V208">
        <f ca="1"/>
        <v>8.8795523015837468</v>
      </c>
      <c r="W208">
        <f ca="1"/>
        <v>2.258494824533257</v>
      </c>
      <c r="X208">
        <f ca="1"/>
        <v>0</v>
      </c>
      <c r="Y208">
        <f ca="1"/>
        <v>0.99782684565902013</v>
      </c>
      <c r="Z208">
        <f ca="1"/>
        <v>0</v>
      </c>
      <c r="AA208">
        <f ca="1"/>
        <v>0</v>
      </c>
      <c r="AB208">
        <f ca="1"/>
        <v>0.98122138586773</v>
      </c>
      <c r="AD208" s="2">
        <f t="shared" ca="1" si="32"/>
        <v>45565</v>
      </c>
      <c r="AE208">
        <f t="shared" ca="1" si="33"/>
        <v>0</v>
      </c>
      <c r="AG208" s="63">
        <f t="shared" ca="1" si="37"/>
        <v>92.219071921562033</v>
      </c>
      <c r="AH208" s="63">
        <f t="shared" ca="1" si="38"/>
        <v>92.219071921562033</v>
      </c>
      <c r="AI208" s="3">
        <f t="shared" ca="1" si="39"/>
        <v>0</v>
      </c>
    </row>
    <row r="209" spans="7:35">
      <c r="G209" s="3">
        <f t="shared" ca="1" si="34"/>
        <v>230</v>
      </c>
      <c r="H209" s="95">
        <f t="shared" ca="1" si="36"/>
        <v>45520</v>
      </c>
      <c r="I209" s="119">
        <f ca="1">HLOOKUP($H$4,'Met Data'!$A$2:$F$368,G209,FALSE)</f>
        <v>9.61666666666666</v>
      </c>
      <c r="J209" s="119">
        <f ca="1">HLOOKUP($H$4,'Met Data'!$H$2:$M$368,G209,FALSE)*L209</f>
        <v>6.5999999999999899</v>
      </c>
      <c r="K209" s="96">
        <f ca="1">HLOOKUP($H$4,'Met Data'!$O$2:$T$368,G209,FALSE)</f>
        <v>1.3713845776081399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45566</v>
      </c>
      <c r="Q209">
        <f ca="1"/>
        <v>92.337261600650038</v>
      </c>
      <c r="R209">
        <f ca="1"/>
        <v>0.28326651865718766</v>
      </c>
      <c r="S209">
        <f ca="1"/>
        <v>3.8239488058479765E-2</v>
      </c>
      <c r="T209">
        <f ca="1"/>
        <v>0.66008884181459049</v>
      </c>
      <c r="U209">
        <f ca="1"/>
        <v>0</v>
      </c>
      <c r="V209">
        <f ca="1"/>
        <v>9.1628188202409344</v>
      </c>
      <c r="W209">
        <f ca="1"/>
        <v>2.3305430477569331</v>
      </c>
      <c r="X209">
        <f ca="1"/>
        <v>2.9987818933623994E-2</v>
      </c>
      <c r="Y209">
        <f ca="1"/>
        <v>1</v>
      </c>
      <c r="Z209">
        <f ca="1"/>
        <v>4.6150674464705332E-2</v>
      </c>
      <c r="AA209">
        <f ca="1"/>
        <v>0</v>
      </c>
      <c r="AB209">
        <f ca="1"/>
        <v>0.98474792902233699</v>
      </c>
      <c r="AD209" s="2">
        <f t="shared" ca="1" si="32"/>
        <v>45566</v>
      </c>
      <c r="AE209">
        <f t="shared" ca="1" si="33"/>
        <v>0</v>
      </c>
      <c r="AG209" s="63">
        <f t="shared" ca="1" si="37"/>
        <v>92.650515938240844</v>
      </c>
      <c r="AH209" s="63">
        <f t="shared" ca="1" si="38"/>
        <v>92.650515938240844</v>
      </c>
      <c r="AI209" s="3">
        <f t="shared" ca="1" si="39"/>
        <v>0</v>
      </c>
    </row>
    <row r="210" spans="7:35">
      <c r="G210" s="3">
        <f t="shared" ca="1" si="34"/>
        <v>231</v>
      </c>
      <c r="H210" s="95">
        <f t="shared" ca="1" si="36"/>
        <v>45521</v>
      </c>
      <c r="I210" s="119">
        <f ca="1">HLOOKUP($H$4,'Met Data'!$A$2:$F$368,G210,FALSE)</f>
        <v>8.8333333333333304</v>
      </c>
      <c r="J210" s="119">
        <f ca="1">HLOOKUP($H$4,'Met Data'!$H$2:$M$368,G210,FALSE)*L210</f>
        <v>3.3</v>
      </c>
      <c r="K210" s="96">
        <f ca="1">HLOOKUP($H$4,'Met Data'!$O$2:$T$368,G210,FALSE)</f>
        <v>1.38797998518043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45567</v>
      </c>
      <c r="Q210">
        <f ca="1"/>
        <v>91.720630482638143</v>
      </c>
      <c r="R210">
        <f ca="1"/>
        <v>0.31435756594784792</v>
      </c>
      <c r="S210">
        <f ca="1"/>
        <v>3.8149080034372673E-2</v>
      </c>
      <c r="T210">
        <f ca="1"/>
        <v>0.71750700534961176</v>
      </c>
      <c r="U210">
        <f ca="1"/>
        <v>0</v>
      </c>
      <c r="V210">
        <f ca="1"/>
        <v>9.4771763861887823</v>
      </c>
      <c r="W210">
        <f ca="1"/>
        <v>2.4104992112697552</v>
      </c>
      <c r="X210">
        <f ca="1"/>
        <v>1.057929637448044</v>
      </c>
      <c r="Y210">
        <f ca="1"/>
        <v>1</v>
      </c>
      <c r="Z210">
        <f ca="1"/>
        <v>1.6390791116568693</v>
      </c>
      <c r="AA210">
        <f ca="1"/>
        <v>0</v>
      </c>
      <c r="AB210">
        <f ca="1"/>
        <v>0.98781811880377013</v>
      </c>
      <c r="AD210" s="2">
        <f t="shared" ca="1" si="32"/>
        <v>45567</v>
      </c>
      <c r="AE210">
        <f t="shared" ca="1" si="33"/>
        <v>0</v>
      </c>
      <c r="AG210" s="63">
        <f t="shared" ca="1" si="37"/>
        <v>93.092917686034028</v>
      </c>
      <c r="AH210" s="63">
        <f t="shared" ca="1" si="38"/>
        <v>93.092917686034028</v>
      </c>
      <c r="AI210" s="3">
        <f t="shared" ca="1" si="39"/>
        <v>0</v>
      </c>
    </row>
    <row r="211" spans="7:35">
      <c r="G211" s="3">
        <f t="shared" ca="1" si="34"/>
        <v>232</v>
      </c>
      <c r="H211" s="95">
        <f t="shared" ca="1" si="36"/>
        <v>45522</v>
      </c>
      <c r="I211" s="119">
        <f ca="1">HLOOKUP($H$4,'Met Data'!$A$2:$F$368,G211,FALSE)</f>
        <v>9.4833333333333307</v>
      </c>
      <c r="J211" s="119">
        <f ca="1">HLOOKUP($H$4,'Met Data'!$H$2:$M$368,G211,FALSE)*L211</f>
        <v>2.1333333333333302</v>
      </c>
      <c r="K211" s="96">
        <f ca="1">HLOOKUP($H$4,'Met Data'!$O$2:$T$368,G211,FALSE)</f>
        <v>1.56092628574794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45568</v>
      </c>
      <c r="Q211">
        <f ca="1"/>
        <v>92.109793773713832</v>
      </c>
      <c r="R211">
        <f ca="1"/>
        <v>0.29902759989952621</v>
      </c>
      <c r="S211">
        <f ca="1"/>
        <v>3.2125678653812884E-2</v>
      </c>
      <c r="T211">
        <f ca="1"/>
        <v>0.65606521232140724</v>
      </c>
      <c r="U211">
        <f ca="1"/>
        <v>0</v>
      </c>
      <c r="V211">
        <f ca="1"/>
        <v>9.7762039860883085</v>
      </c>
      <c r="W211">
        <f ca="1"/>
        <v>2.4865562312442004</v>
      </c>
      <c r="X211">
        <f ca="1"/>
        <v>0</v>
      </c>
      <c r="Y211">
        <f ca="1"/>
        <v>0.97978097742490833</v>
      </c>
      <c r="Z211">
        <f ca="1"/>
        <v>0</v>
      </c>
      <c r="AA211">
        <f ca="1"/>
        <v>0</v>
      </c>
      <c r="AB211">
        <f ca="1"/>
        <v>0.99010680806604279</v>
      </c>
      <c r="AD211" s="2">
        <f t="shared" ca="1" si="32"/>
        <v>45568</v>
      </c>
      <c r="AE211">
        <f t="shared" ca="1" si="33"/>
        <v>0</v>
      </c>
      <c r="AG211" s="63">
        <f t="shared" ca="1" si="37"/>
        <v>92.408821373613364</v>
      </c>
      <c r="AH211" s="63">
        <f t="shared" ca="1" si="38"/>
        <v>92.408821373613364</v>
      </c>
      <c r="AI211" s="3">
        <f t="shared" ca="1" si="39"/>
        <v>0</v>
      </c>
    </row>
    <row r="212" spans="7:35">
      <c r="G212" s="3">
        <f t="shared" ca="1" si="34"/>
        <v>233</v>
      </c>
      <c r="H212" s="95">
        <f t="shared" ca="1" si="36"/>
        <v>45523</v>
      </c>
      <c r="I212" s="119">
        <f ca="1">HLOOKUP($H$4,'Met Data'!$A$2:$F$368,G212,FALSE)</f>
        <v>9.2583333333333293</v>
      </c>
      <c r="J212" s="119">
        <f ca="1">HLOOKUP($H$4,'Met Data'!$H$2:$M$368,G212,FALSE)*L212</f>
        <v>3.65</v>
      </c>
      <c r="K212" s="96">
        <f ca="1">HLOOKUP($H$4,'Met Data'!$O$2:$T$368,G212,FALSE)</f>
        <v>1.4422774750484899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45569</v>
      </c>
      <c r="Q212">
        <f ca="1"/>
        <v>92.486034201303156</v>
      </c>
      <c r="R212">
        <f ca="1"/>
        <v>0.30622171310967694</v>
      </c>
      <c r="S212">
        <f ca="1"/>
        <v>2.9654827146231355E-2</v>
      </c>
      <c r="T212">
        <f ca="1"/>
        <v>0.65280731355277122</v>
      </c>
      <c r="U212">
        <f ca="1"/>
        <v>0</v>
      </c>
      <c r="V212">
        <f ca="1"/>
        <v>10.082425699197985</v>
      </c>
      <c r="W212">
        <f ca="1"/>
        <v>2.5644430582742701</v>
      </c>
      <c r="X212">
        <f ca="1"/>
        <v>0</v>
      </c>
      <c r="Y212">
        <f ca="1"/>
        <v>0.9770541992054006</v>
      </c>
      <c r="Z212">
        <f ca="1"/>
        <v>0</v>
      </c>
      <c r="AA212">
        <f ca="1"/>
        <v>0</v>
      </c>
      <c r="AB212">
        <f ca="1"/>
        <v>0.99196140042773318</v>
      </c>
      <c r="AD212" s="2">
        <f t="shared" ca="1" si="32"/>
        <v>45569</v>
      </c>
      <c r="AE212">
        <f t="shared" ca="1" si="33"/>
        <v>0</v>
      </c>
      <c r="AG212" s="63">
        <f t="shared" ca="1" si="37"/>
        <v>92.792255914412834</v>
      </c>
      <c r="AH212" s="63">
        <f t="shared" ca="1" si="38"/>
        <v>92.792255914412834</v>
      </c>
      <c r="AI212" s="3">
        <f t="shared" ca="1" si="39"/>
        <v>0</v>
      </c>
    </row>
    <row r="213" spans="7:35">
      <c r="G213" s="3">
        <f t="shared" ca="1" si="34"/>
        <v>234</v>
      </c>
      <c r="H213" s="95">
        <f t="shared" ca="1" si="36"/>
        <v>45524</v>
      </c>
      <c r="I213" s="119">
        <f ca="1">HLOOKUP($H$4,'Met Data'!$A$2:$F$368,G213,FALSE)</f>
        <v>9.7708333333333304</v>
      </c>
      <c r="J213" s="119">
        <f ca="1">HLOOKUP($H$4,'Met Data'!$H$2:$M$368,G213,FALSE)*L213</f>
        <v>2.36666666666666</v>
      </c>
      <c r="K213" s="96">
        <f ca="1">HLOOKUP($H$4,'Met Data'!$O$2:$T$368,G213,FALSE)</f>
        <v>1.70464821639982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45570</v>
      </c>
      <c r="Q213">
        <f ca="1"/>
        <v>92.846221967971971</v>
      </c>
      <c r="R213">
        <f ca="1"/>
        <v>0.31326682115799365</v>
      </c>
      <c r="S213">
        <f ca="1"/>
        <v>2.7336591544298017E-2</v>
      </c>
      <c r="T213">
        <f ca="1"/>
        <v>0.64611799628251831</v>
      </c>
      <c r="U213">
        <f ca="1"/>
        <v>0</v>
      </c>
      <c r="V213">
        <f ca="1"/>
        <v>10.395692520355979</v>
      </c>
      <c r="W213">
        <f ca="1"/>
        <v>2.6441217932209771</v>
      </c>
      <c r="X213">
        <f ca="1"/>
        <v>0</v>
      </c>
      <c r="Y213">
        <f ca="1"/>
        <v>0.95690503911718994</v>
      </c>
      <c r="Z213">
        <f ca="1"/>
        <v>0</v>
      </c>
      <c r="AA213">
        <f ca="1"/>
        <v>0</v>
      </c>
      <c r="AB213">
        <f ca="1"/>
        <v>0.99346347829113979</v>
      </c>
      <c r="AD213" s="2">
        <f t="shared" ca="1" si="32"/>
        <v>45570</v>
      </c>
      <c r="AE213">
        <f t="shared" ca="1" si="33"/>
        <v>0</v>
      </c>
      <c r="AG213" s="63">
        <f t="shared" ca="1" si="37"/>
        <v>93.159488789129966</v>
      </c>
      <c r="AH213" s="63">
        <f t="shared" ca="1" si="38"/>
        <v>93.159488789129966</v>
      </c>
      <c r="AI213" s="3">
        <f t="shared" ca="1" si="39"/>
        <v>0</v>
      </c>
    </row>
    <row r="214" spans="7:35">
      <c r="G214" s="3">
        <f t="shared" ca="1" si="34"/>
        <v>235</v>
      </c>
      <c r="H214" s="95">
        <f t="shared" ca="1" si="36"/>
        <v>45525</v>
      </c>
      <c r="I214" s="119">
        <f ca="1">HLOOKUP($H$4,'Met Data'!$A$2:$F$368,G214,FALSE)</f>
        <v>9.5208333333333304</v>
      </c>
      <c r="J214" s="119">
        <f ca="1">HLOOKUP($H$4,'Met Data'!$H$2:$M$368,G214,FALSE)*L214</f>
        <v>4.4666666666666597</v>
      </c>
      <c r="K214" s="96">
        <f ca="1">HLOOKUP($H$4,'Met Data'!$O$2:$T$368,G214,FALSE)</f>
        <v>1.6762831823304301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45571</v>
      </c>
      <c r="Q214">
        <f ca="1"/>
        <v>93.190579743787467</v>
      </c>
      <c r="R214">
        <f ca="1"/>
        <v>0.33037085699126045</v>
      </c>
      <c r="S214">
        <f ca="1"/>
        <v>2.5671825807251025E-2</v>
      </c>
      <c r="T214">
        <f ca="1"/>
        <v>0.64905680699951374</v>
      </c>
      <c r="U214">
        <f ca="1"/>
        <v>0</v>
      </c>
      <c r="V214">
        <f ca="1"/>
        <v>10.72606337734724</v>
      </c>
      <c r="W214">
        <f ca="1"/>
        <v>2.7281509024991895</v>
      </c>
      <c r="X214">
        <f ca="1"/>
        <v>0</v>
      </c>
      <c r="Y214">
        <f ca="1"/>
        <v>0.93852784694741298</v>
      </c>
      <c r="Z214">
        <f ca="1"/>
        <v>0</v>
      </c>
      <c r="AA214">
        <f ca="1"/>
        <v>0</v>
      </c>
      <c r="AB214">
        <f ca="1"/>
        <v>0.99471423101219369</v>
      </c>
      <c r="AD214" s="2">
        <f t="shared" ca="1" si="32"/>
        <v>45571</v>
      </c>
      <c r="AE214">
        <f t="shared" ca="1" si="33"/>
        <v>0</v>
      </c>
      <c r="AG214" s="63">
        <f t="shared" ca="1" si="37"/>
        <v>93.520950600778733</v>
      </c>
      <c r="AH214" s="63">
        <f t="shared" ca="1" si="38"/>
        <v>93.520950600778733</v>
      </c>
      <c r="AI214" s="3">
        <f t="shared" ca="1" si="39"/>
        <v>0</v>
      </c>
    </row>
    <row r="215" spans="7:35">
      <c r="G215" s="3">
        <f t="shared" ca="1" si="34"/>
        <v>236</v>
      </c>
      <c r="H215" s="95">
        <f t="shared" ca="1" si="36"/>
        <v>45526</v>
      </c>
      <c r="I215" s="119">
        <f ca="1">HLOOKUP($H$4,'Met Data'!$A$2:$F$368,G215,FALSE)</f>
        <v>9.5791666666666604</v>
      </c>
      <c r="J215" s="119">
        <f ca="1">HLOOKUP($H$4,'Met Data'!$H$2:$M$368,G215,FALSE)*L215</f>
        <v>1.4833333333333301</v>
      </c>
      <c r="K215" s="96">
        <f ca="1">HLOOKUP($H$4,'Met Data'!$O$2:$T$368,G215,FALSE)</f>
        <v>1.44273965203753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45572</v>
      </c>
      <c r="Q215">
        <f ca="1"/>
        <v>93.5336531776653</v>
      </c>
      <c r="R215">
        <f ca="1"/>
        <v>0.33239782479932778</v>
      </c>
      <c r="S215">
        <f ca="1"/>
        <v>2.416417574568186E-2</v>
      </c>
      <c r="T215">
        <f ca="1"/>
        <v>0.65130708293148309</v>
      </c>
      <c r="U215">
        <f ca="1"/>
        <v>0</v>
      </c>
      <c r="V215">
        <f ca="1"/>
        <v>11.058461202146567</v>
      </c>
      <c r="W215">
        <f ca="1"/>
        <v>2.812695566632931</v>
      </c>
      <c r="X215">
        <f ca="1"/>
        <v>0</v>
      </c>
      <c r="Y215">
        <f ca="1"/>
        <v>0.97724314732038375</v>
      </c>
      <c r="Z215">
        <f ca="1"/>
        <v>0</v>
      </c>
      <c r="AA215">
        <f ca="1"/>
        <v>0</v>
      </c>
      <c r="AB215">
        <f ca="1"/>
        <v>0.99570697114623286</v>
      </c>
      <c r="AD215" s="2">
        <f t="shared" ca="1" si="32"/>
        <v>45572</v>
      </c>
      <c r="AE215">
        <f t="shared" ca="1" si="33"/>
        <v>0</v>
      </c>
      <c r="AG215" s="63">
        <f t="shared" ca="1" si="37"/>
        <v>93.86605100246463</v>
      </c>
      <c r="AH215" s="63">
        <f t="shared" ca="1" si="38"/>
        <v>93.86605100246463</v>
      </c>
      <c r="AI215" s="3">
        <f t="shared" ca="1" si="39"/>
        <v>0</v>
      </c>
    </row>
    <row r="216" spans="7:35">
      <c r="G216" s="3">
        <f t="shared" ca="1" si="34"/>
        <v>237</v>
      </c>
      <c r="H216" s="95">
        <f t="shared" ca="1" si="36"/>
        <v>45527</v>
      </c>
      <c r="I216" s="119">
        <f ca="1">HLOOKUP($H$4,'Met Data'!$A$2:$F$368,G216,FALSE)</f>
        <v>9.8874999999999993</v>
      </c>
      <c r="J216" s="119">
        <f ca="1">HLOOKUP($H$4,'Met Data'!$H$2:$M$368,G216,FALSE)*L216</f>
        <v>0.56666666666666599</v>
      </c>
      <c r="K216" s="96">
        <f ca="1">HLOOKUP($H$4,'Met Data'!$O$2:$T$368,G216,FALSE)</f>
        <v>1.7386735184612501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45573</v>
      </c>
      <c r="Q216">
        <f ca="1"/>
        <v>93.855031627665056</v>
      </c>
      <c r="R216">
        <f ca="1"/>
        <v>0.33170187392444639</v>
      </c>
      <c r="S216">
        <f ca="1"/>
        <v>2.206061696733741E-2</v>
      </c>
      <c r="T216">
        <f ca="1"/>
        <v>0.63101970695685639</v>
      </c>
      <c r="U216">
        <f ca="1"/>
        <v>0</v>
      </c>
      <c r="V216">
        <f ca="1"/>
        <v>11.390163076071014</v>
      </c>
      <c r="W216">
        <f ca="1"/>
        <v>2.8970632171745838</v>
      </c>
      <c r="X216">
        <f ca="1"/>
        <v>0</v>
      </c>
      <c r="Y216">
        <f ca="1"/>
        <v>0.97539507902927935</v>
      </c>
      <c r="Z216">
        <f ca="1"/>
        <v>0</v>
      </c>
      <c r="AA216">
        <f ca="1"/>
        <v>0</v>
      </c>
      <c r="AB216">
        <f ca="1"/>
        <v>0.99649295234911317</v>
      </c>
      <c r="AD216" s="2">
        <f t="shared" ca="1" si="32"/>
        <v>45573</v>
      </c>
      <c r="AE216">
        <f t="shared" ca="1" si="33"/>
        <v>0</v>
      </c>
      <c r="AG216" s="63">
        <f t="shared" ca="1" si="37"/>
        <v>94.186733501589501</v>
      </c>
      <c r="AH216" s="63">
        <f t="shared" ca="1" si="38"/>
        <v>94.186733501589501</v>
      </c>
      <c r="AI216" s="3">
        <f t="shared" ca="1" si="39"/>
        <v>0</v>
      </c>
    </row>
    <row r="217" spans="7:35">
      <c r="G217" s="3">
        <f t="shared" ca="1" si="34"/>
        <v>238</v>
      </c>
      <c r="H217" s="95">
        <f t="shared" ca="1" si="36"/>
        <v>45528</v>
      </c>
      <c r="I217" s="119">
        <f ca="1">HLOOKUP($H$4,'Met Data'!$A$2:$F$368,G217,FALSE)</f>
        <v>9.7208333333333297</v>
      </c>
      <c r="J217" s="119">
        <f ca="1">HLOOKUP($H$4,'Met Data'!$H$2:$M$368,G217,FALSE)*L217</f>
        <v>2.4666666666666601</v>
      </c>
      <c r="K217" s="96">
        <f ca="1">HLOOKUP($H$4,'Met Data'!$O$2:$T$368,G217,FALSE)</f>
        <v>1.45538034550647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45574</v>
      </c>
      <c r="Q217">
        <f ca="1"/>
        <v>94.159855817692858</v>
      </c>
      <c r="R217">
        <f ca="1"/>
        <v>0.33426304016951036</v>
      </c>
      <c r="S217">
        <f ca="1"/>
        <v>2.0482963997665138E-2</v>
      </c>
      <c r="T217">
        <f ca="1"/>
        <v>0.61860426619965003</v>
      </c>
      <c r="U217">
        <f ca="1"/>
        <v>0</v>
      </c>
      <c r="V217">
        <f ca="1"/>
        <v>11.724426116240524</v>
      </c>
      <c r="W217">
        <f ca="1"/>
        <v>2.9820822947829155</v>
      </c>
      <c r="X217">
        <f ca="1"/>
        <v>0</v>
      </c>
      <c r="Y217">
        <f ca="1"/>
        <v>0.98300475678113253</v>
      </c>
      <c r="Z217">
        <f ca="1"/>
        <v>0</v>
      </c>
      <c r="AA217">
        <f ca="1"/>
        <v>0</v>
      </c>
      <c r="AB217">
        <f ca="1"/>
        <v>0.99712474005778251</v>
      </c>
      <c r="AD217" s="2">
        <f t="shared" ca="1" si="32"/>
        <v>45574</v>
      </c>
      <c r="AE217">
        <f t="shared" ca="1" si="33"/>
        <v>0</v>
      </c>
      <c r="AG217" s="63">
        <f t="shared" ca="1" si="37"/>
        <v>94.494118857862375</v>
      </c>
      <c r="AH217" s="63">
        <f t="shared" ca="1" si="38"/>
        <v>94.494118857862361</v>
      </c>
      <c r="AI217" s="3">
        <f t="shared" ca="1" si="39"/>
        <v>0</v>
      </c>
    </row>
    <row r="218" spans="7:35">
      <c r="G218" s="3">
        <f t="shared" ca="1" si="34"/>
        <v>239</v>
      </c>
      <c r="H218" s="95">
        <f t="shared" ca="1" si="36"/>
        <v>45529</v>
      </c>
      <c r="I218" s="119">
        <f ca="1">HLOOKUP($H$4,'Met Data'!$A$2:$F$368,G218,FALSE)</f>
        <v>10.716666666666599</v>
      </c>
      <c r="J218" s="119">
        <f ca="1">HLOOKUP($H$4,'Met Data'!$H$2:$M$368,G218,FALSE)*L218</f>
        <v>3.0666666666666602</v>
      </c>
      <c r="K218" s="96">
        <f ca="1">HLOOKUP($H$4,'Met Data'!$O$2:$T$368,G218,FALSE)</f>
        <v>1.4899612238642299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45575</v>
      </c>
      <c r="Q218">
        <f ca="1"/>
        <v>94.378923581925363</v>
      </c>
      <c r="R218">
        <f ca="1"/>
        <v>0.37838194935034331</v>
      </c>
      <c r="S218">
        <f ca="1"/>
        <v>2.15956642802837E-2</v>
      </c>
      <c r="T218">
        <f ca="1"/>
        <v>0.68765068283489394</v>
      </c>
      <c r="U218">
        <f ca="1"/>
        <v>0</v>
      </c>
      <c r="V218">
        <f ca="1"/>
        <v>12.102808065590867</v>
      </c>
      <c r="W218">
        <f ca="1"/>
        <v>3.0783229210307206</v>
      </c>
      <c r="X218">
        <f ca="1"/>
        <v>0.11179663353233023</v>
      </c>
      <c r="Y218">
        <f ca="1"/>
        <v>1</v>
      </c>
      <c r="Z218">
        <f ca="1"/>
        <v>0.16833090933155148</v>
      </c>
      <c r="AA218">
        <f ca="1"/>
        <v>0</v>
      </c>
      <c r="AB218">
        <f ca="1"/>
        <v>0.99769012061911655</v>
      </c>
      <c r="AD218" s="2">
        <f t="shared" ca="1" si="32"/>
        <v>45575</v>
      </c>
      <c r="AE218">
        <f t="shared" ca="1" si="33"/>
        <v>0</v>
      </c>
      <c r="AG218" s="63">
        <f t="shared" ca="1" si="37"/>
        <v>94.869102164808041</v>
      </c>
      <c r="AH218" s="63">
        <f t="shared" ca="1" si="38"/>
        <v>94.869102164808041</v>
      </c>
      <c r="AI218" s="3">
        <f t="shared" ca="1" si="39"/>
        <v>0</v>
      </c>
    </row>
    <row r="219" spans="7:35">
      <c r="G219" s="3">
        <f t="shared" ca="1" si="34"/>
        <v>240</v>
      </c>
      <c r="H219" s="95">
        <f t="shared" ca="1" si="36"/>
        <v>45530</v>
      </c>
      <c r="I219" s="119">
        <f ca="1">HLOOKUP($H$4,'Met Data'!$A$2:$F$368,G219,FALSE)</f>
        <v>10.754166666666601</v>
      </c>
      <c r="J219" s="119">
        <f ca="1">HLOOKUP($H$4,'Met Data'!$H$2:$M$368,G219,FALSE)*L219</f>
        <v>1.0333333333333301</v>
      </c>
      <c r="K219" s="96">
        <f ca="1">HLOOKUP($H$4,'Met Data'!$O$2:$T$368,G219,FALSE)</f>
        <v>1.6543487023337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45576</v>
      </c>
      <c r="Q219">
        <f ca="1"/>
        <v>94.701077314802944</v>
      </c>
      <c r="R219">
        <f ca="1"/>
        <v>0.39240821048609931</v>
      </c>
      <c r="S219">
        <f ca="1"/>
        <v>2.0690997861294136E-2</v>
      </c>
      <c r="T219">
        <f ca="1"/>
        <v>0.69387094550238748</v>
      </c>
      <c r="U219">
        <f ca="1"/>
        <v>0</v>
      </c>
      <c r="V219">
        <f ca="1"/>
        <v>12.495216276076967</v>
      </c>
      <c r="W219">
        <f ca="1"/>
        <v>3.178131096306533</v>
      </c>
      <c r="X219">
        <f ca="1"/>
        <v>0</v>
      </c>
      <c r="Y219">
        <f ca="1"/>
        <v>0.98542017841335083</v>
      </c>
      <c r="Z219">
        <f ca="1"/>
        <v>0</v>
      </c>
      <c r="AA219">
        <f ca="1"/>
        <v>0</v>
      </c>
      <c r="AB219">
        <f ca="1"/>
        <v>0.99814779190471981</v>
      </c>
      <c r="AD219" s="2">
        <f t="shared" ca="1" si="32"/>
        <v>45576</v>
      </c>
      <c r="AE219">
        <f t="shared" ca="1" si="33"/>
        <v>0</v>
      </c>
      <c r="AG219" s="63">
        <f t="shared" ca="1" si="37"/>
        <v>95.09348552528904</v>
      </c>
      <c r="AH219" s="63">
        <f t="shared" ca="1" si="38"/>
        <v>95.09348552528904</v>
      </c>
      <c r="AI219" s="3">
        <f t="shared" ca="1" si="39"/>
        <v>0</v>
      </c>
    </row>
    <row r="220" spans="7:35">
      <c r="G220" s="3">
        <f t="shared" ca="1" si="34"/>
        <v>241</v>
      </c>
      <c r="H220" s="95">
        <f t="shared" ca="1" si="36"/>
        <v>45531</v>
      </c>
      <c r="I220" s="119">
        <f ca="1">HLOOKUP($H$4,'Met Data'!$A$2:$F$368,G220,FALSE)</f>
        <v>11.0833333333333</v>
      </c>
      <c r="J220" s="119">
        <f ca="1">HLOOKUP($H$4,'Met Data'!$H$2:$M$368,G220,FALSE)*L220</f>
        <v>1.9</v>
      </c>
      <c r="K220" s="96">
        <f ca="1">HLOOKUP($H$4,'Met Data'!$O$2:$T$368,G220,FALSE)</f>
        <v>1.6425180639822501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45577</v>
      </c>
      <c r="Q220">
        <f ca="1"/>
        <v>94.997666339053566</v>
      </c>
      <c r="R220">
        <f ca="1"/>
        <v>0.38956209802835851</v>
      </c>
      <c r="S220">
        <f ca="1"/>
        <v>1.8983964819881294E-2</v>
      </c>
      <c r="T220">
        <f ca="1"/>
        <v>0.66716715745911104</v>
      </c>
      <c r="U220">
        <f ca="1"/>
        <v>0</v>
      </c>
      <c r="V220">
        <f ca="1"/>
        <v>12.884778374105325</v>
      </c>
      <c r="W220">
        <f ca="1"/>
        <v>3.2772153690659196</v>
      </c>
      <c r="X220">
        <f ca="1"/>
        <v>0</v>
      </c>
      <c r="Y220">
        <f ca="1"/>
        <v>0.99914076049002432</v>
      </c>
      <c r="Z220">
        <f ca="1"/>
        <v>0</v>
      </c>
      <c r="AA220">
        <f ca="1"/>
        <v>0</v>
      </c>
      <c r="AB220">
        <f ca="1"/>
        <v>0.99850355902825039</v>
      </c>
      <c r="AD220" s="2">
        <f t="shared" ca="1" si="32"/>
        <v>45577</v>
      </c>
      <c r="AE220">
        <f t="shared" ca="1" si="33"/>
        <v>0</v>
      </c>
      <c r="AG220" s="63">
        <f t="shared" ca="1" si="37"/>
        <v>95.38722843708193</v>
      </c>
      <c r="AH220" s="63">
        <f t="shared" ca="1" si="38"/>
        <v>95.38722843708193</v>
      </c>
      <c r="AI220" s="3">
        <f t="shared" ca="1" si="39"/>
        <v>0</v>
      </c>
    </row>
    <row r="221" spans="7:35">
      <c r="G221" s="3">
        <f t="shared" ca="1" si="34"/>
        <v>242</v>
      </c>
      <c r="H221" s="95">
        <f t="shared" ca="1" si="36"/>
        <v>45532</v>
      </c>
      <c r="I221" s="119">
        <f ca="1">HLOOKUP($H$4,'Met Data'!$A$2:$F$368,G221,FALSE)</f>
        <v>10.5791666666666</v>
      </c>
      <c r="J221" s="119">
        <f ca="1">HLOOKUP($H$4,'Met Data'!$H$2:$M$368,G221,FALSE)*L221</f>
        <v>3.0166666666666599</v>
      </c>
      <c r="K221" s="96">
        <f ca="1">HLOOKUP($H$4,'Met Data'!$O$2:$T$368,G221,FALSE)</f>
        <v>1.5065040723285099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45578</v>
      </c>
      <c r="Q221">
        <f ca="1"/>
        <v>94.392571083577764</v>
      </c>
      <c r="R221">
        <f ca="1"/>
        <v>0.42131894951847038</v>
      </c>
      <c r="S221">
        <f ca="1"/>
        <v>1.9245582311611997E-2</v>
      </c>
      <c r="T221">
        <f ca="1"/>
        <v>0.7061530772215463</v>
      </c>
      <c r="U221">
        <f ca="1"/>
        <v>0</v>
      </c>
      <c r="V221">
        <f ca="1"/>
        <v>13.306097323623796</v>
      </c>
      <c r="W221">
        <f ca="1"/>
        <v>3.3843769279651825</v>
      </c>
      <c r="X221">
        <f ca="1"/>
        <v>0.90917496549049592</v>
      </c>
      <c r="Y221">
        <f ca="1"/>
        <v>1</v>
      </c>
      <c r="Z221">
        <f ca="1"/>
        <v>1.3687363978379281</v>
      </c>
      <c r="AA221">
        <f ca="1"/>
        <v>0</v>
      </c>
      <c r="AB221">
        <f ca="1"/>
        <v>0.99880437731047433</v>
      </c>
      <c r="AD221" s="2">
        <f t="shared" ca="1" si="32"/>
        <v>45578</v>
      </c>
      <c r="AE221">
        <f t="shared" ca="1" si="33"/>
        <v>0</v>
      </c>
      <c r="AG221" s="63">
        <f t="shared" ca="1" si="37"/>
        <v>95.723064998586722</v>
      </c>
      <c r="AH221" s="63">
        <f t="shared" ca="1" si="38"/>
        <v>95.723064998586722</v>
      </c>
      <c r="AI221" s="3">
        <f t="shared" ca="1" si="39"/>
        <v>0</v>
      </c>
    </row>
    <row r="222" spans="7:35">
      <c r="G222" s="3">
        <f t="shared" ca="1" si="34"/>
        <v>243</v>
      </c>
      <c r="H222" s="95">
        <f t="shared" ca="1" si="36"/>
        <v>45533</v>
      </c>
      <c r="I222" s="119">
        <f ca="1">HLOOKUP($H$4,'Met Data'!$A$2:$F$368,G222,FALSE)</f>
        <v>11.1208333333333</v>
      </c>
      <c r="J222" s="119">
        <f ca="1">HLOOKUP($H$4,'Met Data'!$H$2:$M$368,G222,FALSE)*L222</f>
        <v>1.56666666666666</v>
      </c>
      <c r="K222" s="96">
        <f ca="1">HLOOKUP($H$4,'Met Data'!$O$2:$T$368,G222,FALSE)</f>
        <v>1.7782422370636499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45579</v>
      </c>
      <c r="Q222">
        <f ca="1"/>
        <v>93.473668367081473</v>
      </c>
      <c r="R222">
        <f ca="1"/>
        <v>0.43038752274205905</v>
      </c>
      <c r="S222">
        <f ca="1"/>
        <v>1.83462762717852E-2</v>
      </c>
      <c r="T222">
        <f ca="1"/>
        <v>0.70064881328319684</v>
      </c>
      <c r="U222">
        <f ca="1"/>
        <v>0</v>
      </c>
      <c r="V222">
        <f ca="1"/>
        <v>13.736484846365855</v>
      </c>
      <c r="W222">
        <f ca="1"/>
        <v>3.4938450587495762</v>
      </c>
      <c r="X222">
        <f ca="1"/>
        <v>1.2075102833092017</v>
      </c>
      <c r="Y222">
        <f ca="1"/>
        <v>1</v>
      </c>
      <c r="Z222">
        <f ca="1"/>
        <v>1.8357422959121621</v>
      </c>
      <c r="AA222">
        <f ca="1"/>
        <v>0</v>
      </c>
      <c r="AB222">
        <f ca="1"/>
        <v>0.99904331076416653</v>
      </c>
      <c r="AD222" s="2">
        <f t="shared" ca="1" si="32"/>
        <v>45579</v>
      </c>
      <c r="AE222">
        <f t="shared" ca="1" si="33"/>
        <v>0</v>
      </c>
      <c r="AG222" s="63">
        <f t="shared" ca="1" si="37"/>
        <v>95.111566173132744</v>
      </c>
      <c r="AH222" s="63">
        <f t="shared" ca="1" si="38"/>
        <v>95.111566173132729</v>
      </c>
      <c r="AI222" s="3">
        <f t="shared" ca="1" si="39"/>
        <v>0</v>
      </c>
    </row>
    <row r="223" spans="7:35">
      <c r="G223" s="3">
        <f t="shared" ca="1" si="34"/>
        <v>244</v>
      </c>
      <c r="H223" s="95">
        <f t="shared" ca="1" si="36"/>
        <v>45534</v>
      </c>
      <c r="I223" s="119">
        <f ca="1">HLOOKUP($H$4,'Met Data'!$A$2:$F$368,G223,FALSE)</f>
        <v>10.6666666666666</v>
      </c>
      <c r="J223" s="119">
        <f ca="1">HLOOKUP($H$4,'Met Data'!$H$2:$M$368,G223,FALSE)*L223</f>
        <v>1.7333333333333301</v>
      </c>
      <c r="K223" s="96">
        <f ca="1">HLOOKUP($H$4,'Met Data'!$O$2:$T$368,G223,FALSE)</f>
        <v>1.8075127039194601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45580</v>
      </c>
      <c r="Q223">
        <f ca="1"/>
        <v>93.739000338794511</v>
      </c>
      <c r="R223">
        <f ca="1"/>
        <v>0.42941230971923261</v>
      </c>
      <c r="S223">
        <f ca="1"/>
        <v>1.7127446675516467E-2</v>
      </c>
      <c r="T223">
        <f ca="1"/>
        <v>0.67761683475675194</v>
      </c>
      <c r="U223">
        <f ca="1"/>
        <v>0</v>
      </c>
      <c r="V223">
        <f ca="1"/>
        <v>14.165897156085087</v>
      </c>
      <c r="W223">
        <f ca="1"/>
        <v>3.6030651462216419</v>
      </c>
      <c r="X223">
        <f ca="1"/>
        <v>0</v>
      </c>
      <c r="Y223">
        <f ca="1"/>
        <v>0.97567831351785628</v>
      </c>
      <c r="Z223">
        <f ca="1"/>
        <v>0</v>
      </c>
      <c r="AA223">
        <f ca="1"/>
        <v>0</v>
      </c>
      <c r="AB223">
        <f ca="1"/>
        <v>0.99922952155776135</v>
      </c>
      <c r="AD223" s="2">
        <f t="shared" ca="1" si="32"/>
        <v>45580</v>
      </c>
      <c r="AE223">
        <f t="shared" ca="1" si="33"/>
        <v>0</v>
      </c>
      <c r="AG223" s="63">
        <f t="shared" ca="1" si="37"/>
        <v>94.168412648513737</v>
      </c>
      <c r="AH223" s="63">
        <f t="shared" ca="1" si="38"/>
        <v>94.168412648513737</v>
      </c>
      <c r="AI223" s="3">
        <f t="shared" ca="1" si="39"/>
        <v>0</v>
      </c>
    </row>
    <row r="224" spans="7:35">
      <c r="G224" s="3">
        <f t="shared" ca="1" si="34"/>
        <v>245</v>
      </c>
      <c r="H224" s="95">
        <f t="shared" ca="1" si="36"/>
        <v>45535</v>
      </c>
      <c r="I224" s="119">
        <f ca="1">HLOOKUP($H$4,'Met Data'!$A$2:$F$368,G224,FALSE)</f>
        <v>10.1208333333333</v>
      </c>
      <c r="J224" s="119">
        <f ca="1">HLOOKUP($H$4,'Met Data'!$H$2:$M$368,G224,FALSE)*L224</f>
        <v>0.8</v>
      </c>
      <c r="K224" s="96">
        <f ca="1">HLOOKUP($H$4,'Met Data'!$O$2:$T$368,G224,FALSE)</f>
        <v>1.80445161149383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45581</v>
      </c>
      <c r="Q224">
        <f ca="1"/>
        <v>94.011157337670511</v>
      </c>
      <c r="R224">
        <f ca="1"/>
        <v>0.4659077803729943</v>
      </c>
      <c r="S224">
        <f ca="1"/>
        <v>1.7635282661274232E-2</v>
      </c>
      <c r="T224">
        <f ca="1"/>
        <v>0.72042949658771727</v>
      </c>
      <c r="U224">
        <f ca="1"/>
        <v>0</v>
      </c>
      <c r="V224">
        <f ca="1"/>
        <v>14.631804936458082</v>
      </c>
      <c r="W224">
        <f ca="1"/>
        <v>3.7215677773165119</v>
      </c>
      <c r="X224">
        <f ca="1"/>
        <v>0</v>
      </c>
      <c r="Y224">
        <f ca="1"/>
        <v>0.97750276143721326</v>
      </c>
      <c r="Z224">
        <f ca="1"/>
        <v>0</v>
      </c>
      <c r="AA224">
        <f ca="1"/>
        <v>0</v>
      </c>
      <c r="AB224">
        <f ca="1"/>
        <v>0.99938692721562816</v>
      </c>
      <c r="AD224" s="2">
        <f t="shared" ca="1" si="32"/>
        <v>45581</v>
      </c>
      <c r="AE224">
        <f t="shared" ca="1" si="33"/>
        <v>0</v>
      </c>
      <c r="AG224" s="63">
        <f t="shared" ca="1" si="37"/>
        <v>94.477065118043498</v>
      </c>
      <c r="AH224" s="63">
        <f t="shared" ca="1" si="38"/>
        <v>94.477065118043498</v>
      </c>
      <c r="AI224" s="3">
        <f t="shared" ca="1" si="39"/>
        <v>0</v>
      </c>
    </row>
    <row r="225" spans="7:35">
      <c r="G225" s="3">
        <f t="shared" ca="1" si="34"/>
        <v>246</v>
      </c>
      <c r="H225" s="95">
        <f t="shared" ca="1" si="36"/>
        <v>45536</v>
      </c>
      <c r="I225" s="119">
        <f ca="1">HLOOKUP($H$4,'Met Data'!$A$2:$F$368,G225,FALSE)</f>
        <v>9.6624999999999996</v>
      </c>
      <c r="J225" s="119">
        <f ca="1">HLOOKUP($H$4,'Met Data'!$H$2:$M$368,G225,FALSE)*L225</f>
        <v>3.0833333333333299</v>
      </c>
      <c r="K225" s="96">
        <f ca="1">HLOOKUP($H$4,'Met Data'!$O$2:$T$368,G225,FALSE)</f>
        <v>1.4517482623371101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45582</v>
      </c>
      <c r="Q225">
        <f ca="1"/>
        <v>94.262816791573684</v>
      </c>
      <c r="R225">
        <f ca="1"/>
        <v>0.46994006968840196</v>
      </c>
      <c r="S225">
        <f ca="1"/>
        <v>1.6759404960879465E-2</v>
      </c>
      <c r="T225">
        <f ca="1"/>
        <v>0.70484011863070073</v>
      </c>
      <c r="U225">
        <f ca="1"/>
        <v>0</v>
      </c>
      <c r="V225">
        <f ca="1"/>
        <v>15.101745006146484</v>
      </c>
      <c r="W225">
        <f ca="1"/>
        <v>3.8410960124329101</v>
      </c>
      <c r="X225">
        <f ca="1"/>
        <v>0</v>
      </c>
      <c r="Y225">
        <f ca="1"/>
        <v>0.99291104840829203</v>
      </c>
      <c r="Z225">
        <f ca="1"/>
        <v>0</v>
      </c>
      <c r="AA225">
        <f ca="1"/>
        <v>0</v>
      </c>
      <c r="AB225">
        <f ca="1"/>
        <v>0.99951007612686016</v>
      </c>
      <c r="AD225" s="2">
        <f t="shared" ca="1" si="32"/>
        <v>45582</v>
      </c>
      <c r="AE225">
        <f t="shared" ca="1" si="33"/>
        <v>0</v>
      </c>
      <c r="AG225" s="63">
        <f t="shared" ca="1" si="37"/>
        <v>94.732756861262089</v>
      </c>
      <c r="AH225" s="63">
        <f t="shared" ca="1" si="38"/>
        <v>94.732756861262089</v>
      </c>
      <c r="AI225" s="3">
        <f t="shared" ca="1" si="39"/>
        <v>0</v>
      </c>
    </row>
    <row r="226" spans="7:35">
      <c r="G226" s="3">
        <f t="shared" ca="1" si="34"/>
        <v>247</v>
      </c>
      <c r="H226" s="95">
        <f t="shared" ca="1" si="36"/>
        <v>45537</v>
      </c>
      <c r="I226" s="119">
        <f ca="1">HLOOKUP($H$4,'Met Data'!$A$2:$F$368,G226,FALSE)</f>
        <v>9.7541666666666593</v>
      </c>
      <c r="J226" s="119">
        <f ca="1">HLOOKUP($H$4,'Met Data'!$H$2:$M$368,G226,FALSE)*L226</f>
        <v>1.0833333333333299</v>
      </c>
      <c r="K226" s="96">
        <f ca="1">HLOOKUP($H$4,'Met Data'!$O$2:$T$368,G226,FALSE)</f>
        <v>1.75831978881469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45583</v>
      </c>
      <c r="Q226">
        <f ca="1"/>
        <v>94.484163674181914</v>
      </c>
      <c r="R226">
        <f ca="1"/>
        <v>0.46033999360048128</v>
      </c>
      <c r="S226">
        <f ca="1"/>
        <v>1.5454158747417068E-2</v>
      </c>
      <c r="T226">
        <f ca="1"/>
        <v>0.66623271746129575</v>
      </c>
      <c r="U226">
        <f ca="1"/>
        <v>0</v>
      </c>
      <c r="V226">
        <f ca="1"/>
        <v>15.562084999746965</v>
      </c>
      <c r="W226">
        <f ca="1"/>
        <v>3.9581824890660755</v>
      </c>
      <c r="X226">
        <f ca="1"/>
        <v>0</v>
      </c>
      <c r="Y226">
        <f ca="1"/>
        <v>0.95790193705479332</v>
      </c>
      <c r="Z226">
        <f ca="1"/>
        <v>0</v>
      </c>
      <c r="AA226">
        <f ca="1"/>
        <v>0</v>
      </c>
      <c r="AB226">
        <f ca="1"/>
        <v>0.99960442819600781</v>
      </c>
      <c r="AD226" s="2">
        <f t="shared" ca="1" si="32"/>
        <v>45583</v>
      </c>
      <c r="AE226">
        <f t="shared" ca="1" si="33"/>
        <v>0</v>
      </c>
      <c r="AG226" s="63">
        <f t="shared" ca="1" si="37"/>
        <v>94.944503667782399</v>
      </c>
      <c r="AH226" s="63">
        <f t="shared" ca="1" si="38"/>
        <v>94.944503667782399</v>
      </c>
      <c r="AI226" s="3">
        <f t="shared" ca="1" si="39"/>
        <v>0</v>
      </c>
    </row>
    <row r="227" spans="7:35">
      <c r="G227" s="3">
        <f t="shared" ca="1" si="34"/>
        <v>248</v>
      </c>
      <c r="H227" s="95">
        <f t="shared" ca="1" si="36"/>
        <v>45538</v>
      </c>
      <c r="I227" s="119">
        <f ca="1">HLOOKUP($H$4,'Met Data'!$A$2:$F$368,G227,FALSE)</f>
        <v>10.0583333333333</v>
      </c>
      <c r="J227" s="119">
        <f ca="1">HLOOKUP($H$4,'Met Data'!$H$2:$M$368,G227,FALSE)*L227</f>
        <v>2.44999999999999</v>
      </c>
      <c r="K227" s="96">
        <f ca="1">HLOOKUP($H$4,'Met Data'!$O$2:$T$368,G227,FALSE)</f>
        <v>1.8005069619965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45584</v>
      </c>
      <c r="Q227">
        <f ca="1"/>
        <v>94.679656270021312</v>
      </c>
      <c r="R227">
        <f ca="1"/>
        <v>0.4924985847270591</v>
      </c>
      <c r="S227">
        <f ca="1"/>
        <v>1.5275020395733918E-2</v>
      </c>
      <c r="T227">
        <f ca="1"/>
        <v>0.67271616017072788</v>
      </c>
      <c r="U227">
        <f ca="1"/>
        <v>0</v>
      </c>
      <c r="V227">
        <f ca="1"/>
        <v>16.054583584474024</v>
      </c>
      <c r="W227">
        <f ca="1"/>
        <v>4.0834484334423067</v>
      </c>
      <c r="X227">
        <f ca="1"/>
        <v>0</v>
      </c>
      <c r="Y227">
        <f ca="1"/>
        <v>0.92864162693302832</v>
      </c>
      <c r="Z227">
        <f ca="1"/>
        <v>0</v>
      </c>
      <c r="AA227">
        <f ca="1"/>
        <v>0</v>
      </c>
      <c r="AB227">
        <f ca="1"/>
        <v>0.99968348356937642</v>
      </c>
      <c r="AD227" s="2">
        <f t="shared" ca="1" si="32"/>
        <v>45584</v>
      </c>
      <c r="AE227">
        <f t="shared" ca="1" si="33"/>
        <v>0</v>
      </c>
      <c r="AG227" s="63">
        <f t="shared" ca="1" si="37"/>
        <v>95.172154854748371</v>
      </c>
      <c r="AH227" s="63">
        <f t="shared" ca="1" si="38"/>
        <v>95.172154854748371</v>
      </c>
      <c r="AI227" s="3">
        <f t="shared" ca="1" si="39"/>
        <v>0</v>
      </c>
    </row>
    <row r="228" spans="7:35">
      <c r="G228" s="3">
        <f t="shared" ca="1" si="34"/>
        <v>249</v>
      </c>
      <c r="H228" s="95">
        <f t="shared" ca="1" si="36"/>
        <v>45539</v>
      </c>
      <c r="I228" s="119">
        <f ca="1">HLOOKUP($H$4,'Met Data'!$A$2:$F$368,G228,FALSE)</f>
        <v>9.7750000000000004</v>
      </c>
      <c r="J228" s="119">
        <f ca="1">HLOOKUP($H$4,'Met Data'!$H$2:$M$368,G228,FALSE)*L228</f>
        <v>3.2</v>
      </c>
      <c r="K228" s="96">
        <f ca="1">HLOOKUP($H$4,'Met Data'!$O$2:$T$368,G228,FALSE)</f>
        <v>1.49919962363172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45585</v>
      </c>
      <c r="Q228">
        <f ca="1"/>
        <v>94.830507162619199</v>
      </c>
      <c r="R228">
        <f ca="1"/>
        <v>0.49863881245529029</v>
      </c>
      <c r="S228">
        <f ca="1"/>
        <v>1.4162823323687235E-2</v>
      </c>
      <c r="T228">
        <f ca="1"/>
        <v>0.63532688172949336</v>
      </c>
      <c r="U228">
        <f ca="1"/>
        <v>0</v>
      </c>
      <c r="V228">
        <f ca="1"/>
        <v>16.553222396929314</v>
      </c>
      <c r="W228">
        <f ca="1"/>
        <v>4.2102761313928907</v>
      </c>
      <c r="X228">
        <f ca="1"/>
        <v>0</v>
      </c>
      <c r="Y228">
        <f ca="1"/>
        <v>0.8958496931803831</v>
      </c>
      <c r="Z228">
        <f ca="1"/>
        <v>0</v>
      </c>
      <c r="AA228">
        <f ca="1"/>
        <v>0</v>
      </c>
      <c r="AB228">
        <f ca="1"/>
        <v>0.99974596226493961</v>
      </c>
      <c r="AD228" s="2">
        <f t="shared" ca="1" si="32"/>
        <v>45585</v>
      </c>
      <c r="AE228">
        <f t="shared" ca="1" si="33"/>
        <v>0</v>
      </c>
      <c r="AG228" s="63">
        <f t="shared" ca="1" si="37"/>
        <v>95.329145975074496</v>
      </c>
      <c r="AH228" s="63">
        <f t="shared" ca="1" si="38"/>
        <v>95.329145975074482</v>
      </c>
      <c r="AI228" s="3">
        <f t="shared" ca="1" si="39"/>
        <v>0</v>
      </c>
    </row>
    <row r="229" spans="7:35">
      <c r="G229" s="3">
        <f t="shared" ca="1" si="34"/>
        <v>250</v>
      </c>
      <c r="H229" s="95">
        <f t="shared" ca="1" si="36"/>
        <v>45540</v>
      </c>
      <c r="I229" s="119">
        <f ca="1">HLOOKUP($H$4,'Met Data'!$A$2:$F$368,G229,FALSE)</f>
        <v>10.3333333333333</v>
      </c>
      <c r="J229" s="119">
        <f ca="1">HLOOKUP($H$4,'Met Data'!$H$2:$M$368,G229,FALSE)*L229</f>
        <v>5.93333333333333</v>
      </c>
      <c r="K229" s="96">
        <f ca="1">HLOOKUP($H$4,'Met Data'!$O$2:$T$368,G229,FALSE)</f>
        <v>1.4735664157819599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45586</v>
      </c>
      <c r="Q229">
        <f ca="1"/>
        <v>94.998234255276969</v>
      </c>
      <c r="R229">
        <f ca="1"/>
        <v>0.52967715365330292</v>
      </c>
      <c r="S229">
        <f ca="1"/>
        <v>1.4967092504292623E-2</v>
      </c>
      <c r="T229">
        <f ca="1"/>
        <v>0.68243715380677206</v>
      </c>
      <c r="U229">
        <f ca="1"/>
        <v>0</v>
      </c>
      <c r="V229">
        <f ca="1"/>
        <v>17.082899550582617</v>
      </c>
      <c r="W229">
        <f ca="1"/>
        <v>4.3449983639525351</v>
      </c>
      <c r="X229">
        <f ca="1"/>
        <v>0</v>
      </c>
      <c r="Y229">
        <f ca="1"/>
        <v>0.92173617663716512</v>
      </c>
      <c r="Z229">
        <f ca="1"/>
        <v>0</v>
      </c>
      <c r="AA229">
        <f ca="1"/>
        <v>0</v>
      </c>
      <c r="AB229">
        <f ca="1"/>
        <v>0.99979765998799963</v>
      </c>
      <c r="AD229" s="2">
        <f t="shared" ca="1" si="32"/>
        <v>45586</v>
      </c>
      <c r="AE229">
        <f t="shared" ca="1" si="33"/>
        <v>0</v>
      </c>
      <c r="AG229" s="63">
        <f t="shared" ca="1" si="37"/>
        <v>95.527911408930265</v>
      </c>
      <c r="AH229" s="63">
        <f t="shared" ca="1" si="38"/>
        <v>95.527911408930265</v>
      </c>
      <c r="AI229" s="3">
        <f t="shared" ca="1" si="39"/>
        <v>0</v>
      </c>
    </row>
    <row r="230" spans="7:35">
      <c r="G230" s="3">
        <f t="shared" ca="1" si="34"/>
        <v>251</v>
      </c>
      <c r="H230" s="95">
        <f t="shared" ca="1" si="36"/>
        <v>45541</v>
      </c>
      <c r="I230" s="119">
        <f ca="1">HLOOKUP($H$4,'Met Data'!$A$2:$F$368,G230,FALSE)</f>
        <v>10.7708333333333</v>
      </c>
      <c r="J230" s="119">
        <f ca="1">HLOOKUP($H$4,'Met Data'!$H$2:$M$368,G230,FALSE)*L230</f>
        <v>1.2</v>
      </c>
      <c r="K230" s="96">
        <f ca="1">HLOOKUP($H$4,'Met Data'!$O$2:$T$368,G230,FALSE)</f>
        <v>1.8170202832795099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45587</v>
      </c>
      <c r="Q230">
        <f ca="1"/>
        <v>95.140756945361787</v>
      </c>
      <c r="R230">
        <f ca="1"/>
        <v>0.51421581926918591</v>
      </c>
      <c r="S230">
        <f ca="1"/>
        <v>1.3897389130050897E-2</v>
      </c>
      <c r="T230">
        <f ca="1"/>
        <v>0.64284112022394324</v>
      </c>
      <c r="U230">
        <f ca="1"/>
        <v>0</v>
      </c>
      <c r="V230">
        <f ca="1"/>
        <v>17.597115369851803</v>
      </c>
      <c r="W230">
        <f ca="1"/>
        <v>4.4757880397231755</v>
      </c>
      <c r="X230">
        <f ca="1"/>
        <v>0</v>
      </c>
      <c r="Y230">
        <f ca="1"/>
        <v>0.92392632648800144</v>
      </c>
      <c r="Z230">
        <f ca="1"/>
        <v>0</v>
      </c>
      <c r="AA230">
        <f ca="1"/>
        <v>0</v>
      </c>
      <c r="AB230">
        <f ca="1"/>
        <v>0.99983685228598773</v>
      </c>
      <c r="AD230" s="2">
        <f t="shared" ca="1" si="32"/>
        <v>45587</v>
      </c>
      <c r="AE230">
        <f t="shared" ca="1" si="33"/>
        <v>0</v>
      </c>
      <c r="AG230" s="63">
        <f t="shared" ca="1" si="37"/>
        <v>95.654972764630969</v>
      </c>
      <c r="AH230" s="63">
        <f t="shared" ca="1" si="38"/>
        <v>95.654972764630969</v>
      </c>
      <c r="AI230" s="3">
        <f t="shared" ca="1" si="39"/>
        <v>0</v>
      </c>
    </row>
    <row r="231" spans="7:35">
      <c r="G231" s="3">
        <f t="shared" ca="1" si="34"/>
        <v>252</v>
      </c>
      <c r="H231" s="95">
        <f t="shared" ca="1" si="36"/>
        <v>45542</v>
      </c>
      <c r="I231" s="119">
        <f ca="1">HLOOKUP($H$4,'Met Data'!$A$2:$F$368,G231,FALSE)</f>
        <v>10.5791666666666</v>
      </c>
      <c r="J231" s="119">
        <f ca="1">HLOOKUP($H$4,'Met Data'!$H$2:$M$368,G231,FALSE)*L231</f>
        <v>0.88333333333333297</v>
      </c>
      <c r="K231" s="96">
        <f ca="1">HLOOKUP($H$4,'Met Data'!$O$2:$T$368,G231,FALSE)</f>
        <v>1.8773510693625799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45588</v>
      </c>
      <c r="Q231">
        <f ca="1"/>
        <v>95.239211251475538</v>
      </c>
      <c r="R231">
        <f ca="1"/>
        <v>0.52890203742259345</v>
      </c>
      <c r="S231">
        <f ca="1"/>
        <v>1.3121312633586513E-2</v>
      </c>
      <c r="T231">
        <f ca="1"/>
        <v>0.61423503090276887</v>
      </c>
      <c r="U231">
        <f ca="1"/>
        <v>0</v>
      </c>
      <c r="V231">
        <f ca="1"/>
        <v>18.126017407274396</v>
      </c>
      <c r="W231">
        <f ca="1"/>
        <v>4.6103131231545751</v>
      </c>
      <c r="X231">
        <f ca="1"/>
        <v>0</v>
      </c>
      <c r="Y231">
        <f ca="1"/>
        <v>0.88501888518234406</v>
      </c>
      <c r="Z231">
        <f ca="1"/>
        <v>0</v>
      </c>
      <c r="AA231">
        <f ca="1"/>
        <v>0</v>
      </c>
      <c r="AB231">
        <f ca="1"/>
        <v>0.9998685506844317</v>
      </c>
      <c r="AD231" s="2">
        <f t="shared" ca="1" si="32"/>
        <v>45588</v>
      </c>
      <c r="AE231">
        <f t="shared" ca="1" si="33"/>
        <v>0</v>
      </c>
      <c r="AG231" s="63">
        <f t="shared" ca="1" si="37"/>
        <v>95.768113288898135</v>
      </c>
      <c r="AH231" s="63">
        <f t="shared" ca="1" si="38"/>
        <v>95.768113288898135</v>
      </c>
      <c r="AI231" s="3">
        <f t="shared" ca="1" si="39"/>
        <v>0</v>
      </c>
    </row>
    <row r="232" spans="7:35">
      <c r="G232" s="3">
        <f t="shared" ca="1" si="34"/>
        <v>253</v>
      </c>
      <c r="H232" s="95">
        <f t="shared" ca="1" si="36"/>
        <v>45543</v>
      </c>
      <c r="I232" s="119">
        <f ca="1">HLOOKUP($H$4,'Met Data'!$A$2:$F$368,G232,FALSE)</f>
        <v>9.6125000000000007</v>
      </c>
      <c r="J232" s="119">
        <f ca="1">HLOOKUP($H$4,'Met Data'!$H$2:$M$368,G232,FALSE)*L232</f>
        <v>4.36666666666666</v>
      </c>
      <c r="K232" s="96">
        <f ca="1">HLOOKUP($H$4,'Met Data'!$O$2:$T$368,G232,FALSE)</f>
        <v>1.8525160666589899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45589</v>
      </c>
      <c r="Q232">
        <f ca="1"/>
        <v>95.306765464689391</v>
      </c>
      <c r="R232">
        <f ca="1"/>
        <v>0.56830703733749033</v>
      </c>
      <c r="S232">
        <f ca="1"/>
        <v>1.3165636921655732E-2</v>
      </c>
      <c r="T232">
        <f ca="1"/>
        <v>0.62269561362968073</v>
      </c>
      <c r="U232">
        <f ca="1"/>
        <v>0</v>
      </c>
      <c r="V232">
        <f ca="1"/>
        <v>18.694324444611887</v>
      </c>
      <c r="W232">
        <f ca="1"/>
        <v>4.7548607826512841</v>
      </c>
      <c r="X232">
        <f ca="1"/>
        <v>0</v>
      </c>
      <c r="Y232">
        <f ca="1"/>
        <v>0.85444653706218143</v>
      </c>
      <c r="Z232">
        <f ca="1"/>
        <v>0</v>
      </c>
      <c r="AA232">
        <f ca="1"/>
        <v>0</v>
      </c>
      <c r="AB232">
        <f ca="1"/>
        <v>0.99989518081333251</v>
      </c>
      <c r="AD232" s="2">
        <f t="shared" ca="1" si="32"/>
        <v>45589</v>
      </c>
      <c r="AE232">
        <f t="shared" ca="1" si="33"/>
        <v>0</v>
      </c>
      <c r="AG232" s="63">
        <f t="shared" ca="1" si="37"/>
        <v>95.875072502026882</v>
      </c>
      <c r="AH232" s="63">
        <f t="shared" ca="1" si="38"/>
        <v>95.875072502026882</v>
      </c>
      <c r="AI232" s="3">
        <f t="shared" ca="1" si="39"/>
        <v>0</v>
      </c>
    </row>
    <row r="233" spans="7:35">
      <c r="G233" s="3">
        <f t="shared" ca="1" si="34"/>
        <v>254</v>
      </c>
      <c r="H233" s="95">
        <f t="shared" ca="1" si="36"/>
        <v>45544</v>
      </c>
      <c r="I233" s="119">
        <f ca="1">HLOOKUP($H$4,'Met Data'!$A$2:$F$368,G233,FALSE)</f>
        <v>10.0875</v>
      </c>
      <c r="J233" s="119">
        <f ca="1">HLOOKUP($H$4,'Met Data'!$H$2:$M$368,G233,FALSE)*L233</f>
        <v>3.44999999999999</v>
      </c>
      <c r="K233" s="96">
        <f ca="1">HLOOKUP($H$4,'Met Data'!$O$2:$T$368,G233,FALSE)</f>
        <v>1.67590206119575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45590</v>
      </c>
      <c r="Q233">
        <f ca="1"/>
        <v>95.38056177518925</v>
      </c>
      <c r="R233">
        <f ca="1"/>
        <v>0.62482259229659931</v>
      </c>
      <c r="S233">
        <f ca="1"/>
        <v>1.4330938614079969E-2</v>
      </c>
      <c r="T233">
        <f ca="1"/>
        <v>0.68428796418236859</v>
      </c>
      <c r="U233">
        <f ca="1"/>
        <v>0</v>
      </c>
      <c r="V233">
        <f ca="1"/>
        <v>19.319147036908486</v>
      </c>
      <c r="W233">
        <f ca="1"/>
        <v>4.9137830506919418</v>
      </c>
      <c r="X233">
        <f ca="1"/>
        <v>0</v>
      </c>
      <c r="Y233">
        <f ca="1"/>
        <v>0.86561805544652948</v>
      </c>
      <c r="Z233">
        <f ca="1"/>
        <v>0</v>
      </c>
      <c r="AA233">
        <f ca="1"/>
        <v>0</v>
      </c>
      <c r="AB233">
        <f ca="1"/>
        <v>0.99991774856420479</v>
      </c>
      <c r="AD233" s="2">
        <f t="shared" ca="1" si="32"/>
        <v>45590</v>
      </c>
      <c r="AE233">
        <f t="shared" ca="1" si="33"/>
        <v>0</v>
      </c>
      <c r="AG233" s="63">
        <f t="shared" ca="1" si="37"/>
        <v>96.005384367485846</v>
      </c>
      <c r="AH233" s="63">
        <f t="shared" ca="1" si="38"/>
        <v>96.005384367485846</v>
      </c>
      <c r="AI233" s="3">
        <f t="shared" ca="1" si="39"/>
        <v>0</v>
      </c>
    </row>
    <row r="234" spans="7:35">
      <c r="G234" s="3">
        <f t="shared" ca="1" si="34"/>
        <v>255</v>
      </c>
      <c r="H234" s="95">
        <f t="shared" ca="1" si="36"/>
        <v>45545</v>
      </c>
      <c r="I234" s="119">
        <f ca="1">HLOOKUP($H$4,'Met Data'!$A$2:$F$368,G234,FALSE)</f>
        <v>10.6416666666666</v>
      </c>
      <c r="J234" s="119">
        <f ca="1">HLOOKUP($H$4,'Met Data'!$H$2:$M$368,G234,FALSE)*L234</f>
        <v>6.4666666666666597</v>
      </c>
      <c r="K234" s="96">
        <f ca="1">HLOOKUP($H$4,'Met Data'!$O$2:$T$368,G234,FALSE)</f>
        <v>1.7070370554204599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45591</v>
      </c>
      <c r="Q234">
        <f ca="1"/>
        <v>95.478295095469278</v>
      </c>
      <c r="R234">
        <f ca="1"/>
        <v>0.6478687702021233</v>
      </c>
      <c r="S234">
        <f ca="1"/>
        <v>1.5161843406190201E-2</v>
      </c>
      <c r="T234">
        <f ca="1"/>
        <v>0.73044024707595512</v>
      </c>
      <c r="U234">
        <f ca="1"/>
        <v>0</v>
      </c>
      <c r="V234">
        <f ca="1"/>
        <v>19.967015807110609</v>
      </c>
      <c r="W234">
        <f ca="1"/>
        <v>5.0785670639824811</v>
      </c>
      <c r="X234">
        <f ca="1"/>
        <v>0</v>
      </c>
      <c r="Y234">
        <f ca="1"/>
        <v>0.90812027081033486</v>
      </c>
      <c r="Z234">
        <f ca="1"/>
        <v>0</v>
      </c>
      <c r="AA234">
        <f ca="1"/>
        <v>0</v>
      </c>
      <c r="AB234">
        <f ca="1"/>
        <v>0.99993560437073004</v>
      </c>
      <c r="AD234" s="2">
        <f t="shared" ca="1" si="32"/>
        <v>45591</v>
      </c>
      <c r="AE234">
        <f t="shared" ca="1" si="33"/>
        <v>0</v>
      </c>
      <c r="AG234" s="63">
        <f t="shared" ca="1" si="37"/>
        <v>96.126163865671401</v>
      </c>
      <c r="AH234" s="63">
        <f t="shared" ca="1" si="38"/>
        <v>96.126163865671401</v>
      </c>
      <c r="AI234" s="3">
        <f t="shared" ca="1" si="39"/>
        <v>0</v>
      </c>
    </row>
    <row r="235" spans="7:35">
      <c r="G235" s="3">
        <f t="shared" ca="1" si="34"/>
        <v>256</v>
      </c>
      <c r="H235" s="95">
        <f t="shared" ca="1" si="36"/>
        <v>45546</v>
      </c>
      <c r="I235" s="119">
        <f ca="1">HLOOKUP($H$4,'Met Data'!$A$2:$F$368,G235,FALSE)</f>
        <v>10.4541666666666</v>
      </c>
      <c r="J235" s="119">
        <f ca="1">HLOOKUP($H$4,'Met Data'!$H$2:$M$368,G235,FALSE)*L235</f>
        <v>2.0166666666666599</v>
      </c>
      <c r="K235" s="96">
        <f ca="1">HLOOKUP($H$4,'Met Data'!$O$2:$T$368,G235,FALSE)</f>
        <v>1.9219866027073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45592</v>
      </c>
      <c r="Q235">
        <f ca="1"/>
        <v>95.600099313278349</v>
      </c>
      <c r="R235">
        <f ca="1"/>
        <v>0.64230884477543171</v>
      </c>
      <c r="S235">
        <f ca="1"/>
        <v>1.5417172155281378E-2</v>
      </c>
      <c r="T235">
        <f ca="1"/>
        <v>0.74869589042921669</v>
      </c>
      <c r="U235">
        <f ca="1"/>
        <v>0</v>
      </c>
      <c r="V235">
        <f ca="1"/>
        <v>20.609324651886041</v>
      </c>
      <c r="W235">
        <f ca="1"/>
        <v>5.2419369223275361</v>
      </c>
      <c r="X235">
        <f ca="1"/>
        <v>0</v>
      </c>
      <c r="Y235">
        <f ca="1"/>
        <v>0.9646577399000511</v>
      </c>
      <c r="Z235">
        <f ca="1"/>
        <v>0</v>
      </c>
      <c r="AA235">
        <f ca="1"/>
        <v>0</v>
      </c>
      <c r="AB235">
        <f ca="1"/>
        <v>0.9999491606714993</v>
      </c>
      <c r="AD235" s="2">
        <f t="shared" ca="1" si="32"/>
        <v>45592</v>
      </c>
      <c r="AE235">
        <f t="shared" ca="1" si="33"/>
        <v>0</v>
      </c>
      <c r="AG235" s="63">
        <f t="shared" ca="1" si="37"/>
        <v>96.242408158053777</v>
      </c>
      <c r="AH235" s="63">
        <f t="shared" ca="1" si="38"/>
        <v>96.242408158053777</v>
      </c>
      <c r="AI235" s="3">
        <f t="shared" ca="1" si="39"/>
        <v>0</v>
      </c>
    </row>
    <row r="236" spans="7:35">
      <c r="G236" s="3">
        <f t="shared" ca="1" si="34"/>
        <v>257</v>
      </c>
      <c r="H236" s="95">
        <f t="shared" ca="1" si="36"/>
        <v>45547</v>
      </c>
      <c r="I236" s="119">
        <f ca="1">HLOOKUP($H$4,'Met Data'!$A$2:$F$368,G236,FALSE)</f>
        <v>11.216666666666599</v>
      </c>
      <c r="J236" s="119">
        <f ca="1">HLOOKUP($H$4,'Met Data'!$H$2:$M$368,G236,FALSE)*L236</f>
        <v>1.4833333333333301</v>
      </c>
      <c r="K236" s="96">
        <f ca="1">HLOOKUP($H$4,'Met Data'!$O$2:$T$368,G236,FALSE)</f>
        <v>1.86072433418519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45593</v>
      </c>
      <c r="Q236">
        <f ca="1"/>
        <v>95.714990359713426</v>
      </c>
      <c r="R236">
        <f ca="1"/>
        <v>0.68548945501643388</v>
      </c>
      <c r="S236">
        <f ca="1"/>
        <v>1.6037605132055432E-2</v>
      </c>
      <c r="T236">
        <f ca="1"/>
        <v>0.78434289631945942</v>
      </c>
      <c r="U236">
        <f ca="1"/>
        <v>0</v>
      </c>
      <c r="V236">
        <f ca="1"/>
        <v>21.294814106902475</v>
      </c>
      <c r="W236">
        <f ca="1"/>
        <v>5.4162896750164986</v>
      </c>
      <c r="X236">
        <f ca="1"/>
        <v>0</v>
      </c>
      <c r="Y236">
        <f ca="1"/>
        <v>0.98080930246330056</v>
      </c>
      <c r="Z236">
        <f ca="1"/>
        <v>0</v>
      </c>
      <c r="AA236">
        <f ca="1"/>
        <v>0</v>
      </c>
      <c r="AB236">
        <f ca="1"/>
        <v>0.99996024133237749</v>
      </c>
      <c r="AD236" s="2">
        <f t="shared" ca="1" si="32"/>
        <v>45593</v>
      </c>
      <c r="AE236">
        <f t="shared" ca="1" si="33"/>
        <v>0</v>
      </c>
      <c r="AG236" s="63">
        <f t="shared" ca="1" si="37"/>
        <v>96.400479814729863</v>
      </c>
      <c r="AH236" s="63">
        <f t="shared" ca="1" si="38"/>
        <v>96.400479814729863</v>
      </c>
      <c r="AI236" s="3">
        <f t="shared" ca="1" si="39"/>
        <v>0</v>
      </c>
    </row>
    <row r="237" spans="7:35">
      <c r="G237" s="3">
        <f t="shared" ca="1" si="34"/>
        <v>258</v>
      </c>
      <c r="H237" s="95">
        <f t="shared" ca="1" si="36"/>
        <v>45548</v>
      </c>
      <c r="I237" s="119">
        <f ca="1">HLOOKUP($H$4,'Met Data'!$A$2:$F$368,G237,FALSE)</f>
        <v>11.1</v>
      </c>
      <c r="J237" s="119">
        <f ca="1">HLOOKUP($H$4,'Met Data'!$H$2:$M$368,G237,FALSE)*L237</f>
        <v>2.4166666666666599</v>
      </c>
      <c r="K237" s="96">
        <f ca="1">HLOOKUP($H$4,'Met Data'!$O$2:$T$368,G237,FALSE)</f>
        <v>1.6515892534407901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45594</v>
      </c>
      <c r="Q237">
        <f ca="1"/>
        <v>95.76864221178019</v>
      </c>
      <c r="R237">
        <f ca="1"/>
        <v>0.65672604295580683</v>
      </c>
      <c r="S237">
        <f ca="1"/>
        <v>1.4152781485847754E-2</v>
      </c>
      <c r="T237">
        <f ca="1"/>
        <v>0.696225113536727</v>
      </c>
      <c r="U237">
        <f ca="1"/>
        <v>0</v>
      </c>
      <c r="V237">
        <f ca="1"/>
        <v>21.951540149858282</v>
      </c>
      <c r="W237">
        <f ca="1"/>
        <v>5.5833265163769976</v>
      </c>
      <c r="X237">
        <f ca="1"/>
        <v>0</v>
      </c>
      <c r="Y237">
        <f ca="1"/>
        <v>0.92911704922306149</v>
      </c>
      <c r="Z237">
        <f ca="1"/>
        <v>0</v>
      </c>
      <c r="AA237">
        <f ca="1"/>
        <v>0</v>
      </c>
      <c r="AB237">
        <f ca="1"/>
        <v>0.99996840106670182</v>
      </c>
      <c r="AD237" s="2">
        <f t="shared" ca="1" si="32"/>
        <v>45594</v>
      </c>
      <c r="AE237">
        <f t="shared" ca="1" si="33"/>
        <v>0</v>
      </c>
      <c r="AG237" s="63">
        <f t="shared" ca="1" si="37"/>
        <v>96.425368254736</v>
      </c>
      <c r="AH237" s="63">
        <f t="shared" ca="1" si="38"/>
        <v>96.425368254736</v>
      </c>
      <c r="AI237" s="3">
        <f t="shared" ca="1" si="39"/>
        <v>0</v>
      </c>
    </row>
    <row r="238" spans="7:35">
      <c r="G238" s="3">
        <f t="shared" ca="1" si="34"/>
        <v>259</v>
      </c>
      <c r="H238" s="95">
        <f t="shared" ca="1" si="36"/>
        <v>45549</v>
      </c>
      <c r="I238" s="119">
        <f ca="1">HLOOKUP($H$4,'Met Data'!$A$2:$F$368,G238,FALSE)</f>
        <v>11.3708333333333</v>
      </c>
      <c r="J238" s="119">
        <f ca="1">HLOOKUP($H$4,'Met Data'!$H$2:$M$368,G238,FALSE)*L238</f>
        <v>1.3</v>
      </c>
      <c r="K238" s="96">
        <f ca="1">HLOOKUP($H$4,'Met Data'!$O$2:$T$368,G238,FALSE)</f>
        <v>1.8040111781852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45595</v>
      </c>
      <c r="Q238">
        <f ca="1"/>
        <v>95.806695574302381</v>
      </c>
      <c r="R238">
        <f ca="1"/>
        <v>0.65016454572317173</v>
      </c>
      <c r="S238">
        <f ca="1"/>
        <v>1.3648221917776482E-2</v>
      </c>
      <c r="T238">
        <f ca="1"/>
        <v>0.6745696863275894</v>
      </c>
      <c r="U238">
        <f ca="1"/>
        <v>0</v>
      </c>
      <c r="V238">
        <f ca="1"/>
        <v>22.601704695581454</v>
      </c>
      <c r="W238">
        <f ca="1"/>
        <v>5.7486944551804999</v>
      </c>
      <c r="X238">
        <f ca="1"/>
        <v>0</v>
      </c>
      <c r="Y238">
        <f ca="1"/>
        <v>0.93439837794335023</v>
      </c>
      <c r="Z238">
        <f ca="1"/>
        <v>0</v>
      </c>
      <c r="AA238">
        <f ca="1"/>
        <v>0</v>
      </c>
      <c r="AB238">
        <f ca="1"/>
        <v>0.99997469571341147</v>
      </c>
      <c r="AD238" s="2">
        <f t="shared" ca="1" si="32"/>
        <v>45595</v>
      </c>
      <c r="AE238">
        <f t="shared" ca="1" si="33"/>
        <v>0</v>
      </c>
      <c r="AG238" s="63">
        <f t="shared" ca="1" si="37"/>
        <v>96.456860120025553</v>
      </c>
      <c r="AH238" s="63">
        <f t="shared" ca="1" si="38"/>
        <v>96.456860120025553</v>
      </c>
      <c r="AI238" s="3">
        <f t="shared" ca="1" si="39"/>
        <v>0</v>
      </c>
    </row>
    <row r="239" spans="7:35">
      <c r="G239" s="3">
        <f t="shared" ca="1" si="34"/>
        <v>260</v>
      </c>
      <c r="H239" s="95">
        <f t="shared" ca="1" si="36"/>
        <v>45550</v>
      </c>
      <c r="I239" s="119">
        <f ca="1">HLOOKUP($H$4,'Met Data'!$A$2:$F$368,G239,FALSE)</f>
        <v>11.2916666666666</v>
      </c>
      <c r="J239" s="119">
        <f ca="1">HLOOKUP($H$4,'Met Data'!$H$2:$M$368,G239,FALSE)*L239</f>
        <v>2.6</v>
      </c>
      <c r="K239" s="96">
        <f ca="1">HLOOKUP($H$4,'Met Data'!$O$2:$T$368,G239,FALSE)</f>
        <v>1.8880733064353601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45596</v>
      </c>
      <c r="Q239">
        <f ca="1"/>
        <v>95.822100693585668</v>
      </c>
      <c r="R239">
        <f ca="1"/>
        <v>0.65772594814273688</v>
      </c>
      <c r="S239">
        <f ca="1"/>
        <v>1.3296222364488131E-2</v>
      </c>
      <c r="T239">
        <f ca="1"/>
        <v>0.65983484506153478</v>
      </c>
      <c r="U239">
        <f ca="1"/>
        <v>0</v>
      </c>
      <c r="V239">
        <f ca="1"/>
        <v>23.25943064372419</v>
      </c>
      <c r="W239">
        <f ca="1"/>
        <v>5.915985620251587</v>
      </c>
      <c r="X239">
        <f ca="1"/>
        <v>0</v>
      </c>
      <c r="Y239">
        <f ca="1"/>
        <v>0.92666918031040424</v>
      </c>
      <c r="Z239">
        <f ca="1"/>
        <v>0</v>
      </c>
      <c r="AA239">
        <f ca="1"/>
        <v>0</v>
      </c>
      <c r="AB239">
        <f ca="1"/>
        <v>0.99997968734534137</v>
      </c>
      <c r="AD239" s="2">
        <f t="shared" ca="1" si="32"/>
        <v>45596</v>
      </c>
      <c r="AE239">
        <f t="shared" ca="1" si="33"/>
        <v>0</v>
      </c>
      <c r="AG239" s="63">
        <f t="shared" ca="1" si="37"/>
        <v>96.479826641728408</v>
      </c>
      <c r="AH239" s="63">
        <f t="shared" ca="1" si="38"/>
        <v>96.479826641728408</v>
      </c>
      <c r="AI239" s="3">
        <f t="shared" ca="1" si="39"/>
        <v>0</v>
      </c>
    </row>
    <row r="240" spans="7:35">
      <c r="G240" s="3">
        <f t="shared" ca="1" si="34"/>
        <v>261</v>
      </c>
      <c r="H240" s="95">
        <f t="shared" ca="1" si="36"/>
        <v>45551</v>
      </c>
      <c r="I240" s="119">
        <f ca="1">HLOOKUP($H$4,'Met Data'!$A$2:$F$368,G240,FALSE)</f>
        <v>12.2125</v>
      </c>
      <c r="J240" s="119">
        <f ca="1">HLOOKUP($H$4,'Met Data'!$H$2:$M$368,G240,FALSE)*L240</f>
        <v>4.5999999999999996</v>
      </c>
      <c r="K240" s="96">
        <f ca="1">HLOOKUP($H$4,'Met Data'!$O$2:$T$368,G240,FALSE)</f>
        <v>2.0382752192881299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45597</v>
      </c>
      <c r="Q240">
        <f ca="1"/>
        <v>95.798872952883244</v>
      </c>
      <c r="R240">
        <f ca="1"/>
        <v>0.71779647084006015</v>
      </c>
      <c r="S240">
        <f ca="1"/>
        <v>1.3670922498903337E-2</v>
      </c>
      <c r="T240">
        <f ca="1"/>
        <v>0.68089780763872521</v>
      </c>
      <c r="U240">
        <f ca="1"/>
        <v>0</v>
      </c>
      <c r="V240">
        <f ca="1"/>
        <v>23.977227114564251</v>
      </c>
      <c r="W240">
        <f ca="1"/>
        <v>6.0985555921826471</v>
      </c>
      <c r="X240">
        <f ca="1"/>
        <v>0</v>
      </c>
      <c r="Y240">
        <f ca="1"/>
        <v>0.89295217032228158</v>
      </c>
      <c r="Z240">
        <f ca="1"/>
        <v>0</v>
      </c>
      <c r="AA240">
        <f ca="1"/>
        <v>0</v>
      </c>
      <c r="AB240">
        <f ca="1"/>
        <v>0.99998393183233114</v>
      </c>
      <c r="AD240" s="2">
        <f t="shared" ca="1" si="32"/>
        <v>45597</v>
      </c>
      <c r="AE240">
        <f t="shared" ca="1" si="33"/>
        <v>0</v>
      </c>
      <c r="AG240" s="63">
        <f t="shared" ca="1" si="37"/>
        <v>96.5166694237233</v>
      </c>
      <c r="AH240" s="63">
        <f t="shared" ca="1" si="38"/>
        <v>96.5166694237233</v>
      </c>
      <c r="AI240" s="3">
        <f t="shared" ca="1" si="39"/>
        <v>0</v>
      </c>
    </row>
    <row r="241" spans="7:35">
      <c r="G241" s="3">
        <f t="shared" ca="1" si="34"/>
        <v>262</v>
      </c>
      <c r="H241" s="95">
        <f t="shared" ca="1" si="36"/>
        <v>45552</v>
      </c>
      <c r="I241" s="119">
        <f ca="1">HLOOKUP($H$4,'Met Data'!$A$2:$F$368,G241,FALSE)</f>
        <v>11.35</v>
      </c>
      <c r="J241" s="119">
        <f ca="1">HLOOKUP($H$4,'Met Data'!$H$2:$M$368,G241,FALSE)*L241</f>
        <v>3.93333333333333</v>
      </c>
      <c r="K241" s="96">
        <f ca="1">HLOOKUP($H$4,'Met Data'!$O$2:$T$368,G241,FALSE)</f>
        <v>2.00744960029109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45598</v>
      </c>
      <c r="Q241">
        <f ca="1"/>
        <v>95.811847243852895</v>
      </c>
      <c r="R241">
        <f ca="1"/>
        <v>0.7924953522498086</v>
      </c>
      <c r="S241">
        <f ca="1"/>
        <v>1.5798028810053211E-2</v>
      </c>
      <c r="T241">
        <f ca="1"/>
        <v>0.78967161440939293</v>
      </c>
      <c r="U241">
        <f ca="1"/>
        <v>0</v>
      </c>
      <c r="V241">
        <f ca="1"/>
        <v>24.769722466814059</v>
      </c>
      <c r="W241">
        <f ca="1"/>
        <v>6.3001250622114009</v>
      </c>
      <c r="X241">
        <f ca="1"/>
        <v>0</v>
      </c>
      <c r="Y241">
        <f ca="1"/>
        <v>0.93954251177359593</v>
      </c>
      <c r="Z241">
        <f ca="1"/>
        <v>0</v>
      </c>
      <c r="AA241">
        <f ca="1"/>
        <v>0</v>
      </c>
      <c r="AB241">
        <f ca="1"/>
        <v>0.99998751950354725</v>
      </c>
      <c r="AD241" s="2">
        <f t="shared" ca="1" si="32"/>
        <v>45598</v>
      </c>
      <c r="AE241">
        <f t="shared" ca="1" si="33"/>
        <v>0</v>
      </c>
      <c r="AG241" s="63">
        <f t="shared" ca="1" si="37"/>
        <v>96.604342596102697</v>
      </c>
      <c r="AH241" s="63">
        <f t="shared" ca="1" si="38"/>
        <v>96.604342596102697</v>
      </c>
      <c r="AI241" s="3">
        <f t="shared" ca="1" si="39"/>
        <v>0</v>
      </c>
    </row>
    <row r="242" spans="7:35">
      <c r="G242" s="3">
        <f t="shared" ca="1" si="34"/>
        <v>263</v>
      </c>
      <c r="H242" s="95">
        <f t="shared" ca="1" si="36"/>
        <v>45553</v>
      </c>
      <c r="I242" s="119">
        <f ca="1">HLOOKUP($H$4,'Met Data'!$A$2:$F$368,G242,FALSE)</f>
        <v>10.504166666666601</v>
      </c>
      <c r="J242" s="119">
        <f ca="1">HLOOKUP($H$4,'Met Data'!$H$2:$M$368,G242,FALSE)*L242</f>
        <v>8.7333333333333307</v>
      </c>
      <c r="K242" s="96">
        <f ca="1">HLOOKUP($H$4,'Met Data'!$O$2:$T$368,G242,FALSE)</f>
        <v>1.9387559167362001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45599</v>
      </c>
      <c r="Q242">
        <f ca="1"/>
        <v>95.784885780356319</v>
      </c>
      <c r="R242">
        <f ca="1"/>
        <v>0.78483454565739308</v>
      </c>
      <c r="S242">
        <f ca="1"/>
        <v>1.481468835220312E-2</v>
      </c>
      <c r="T242">
        <f ca="1"/>
        <v>0.74305839380861083</v>
      </c>
      <c r="U242">
        <f ca="1"/>
        <v>0</v>
      </c>
      <c r="V242">
        <f ca="1"/>
        <v>25.554557012471452</v>
      </c>
      <c r="W242">
        <f ca="1"/>
        <v>6.4997460227373036</v>
      </c>
      <c r="X242">
        <f ca="1"/>
        <v>0</v>
      </c>
      <c r="Y242">
        <f ca="1"/>
        <v>0.92338339285036053</v>
      </c>
      <c r="Z242">
        <f ca="1"/>
        <v>0</v>
      </c>
      <c r="AA242">
        <f ca="1"/>
        <v>0</v>
      </c>
      <c r="AB242">
        <f ca="1"/>
        <v>0.99999022471648402</v>
      </c>
      <c r="AD242" s="2">
        <f t="shared" ca="1" si="32"/>
        <v>45599</v>
      </c>
      <c r="AE242">
        <f t="shared" ca="1" si="33"/>
        <v>0</v>
      </c>
      <c r="AG242" s="63">
        <f t="shared" ca="1" si="37"/>
        <v>96.569720326013709</v>
      </c>
      <c r="AH242" s="63">
        <f t="shared" ca="1" si="38"/>
        <v>96.569720326013709</v>
      </c>
      <c r="AI242" s="3">
        <f t="shared" ca="1" si="39"/>
        <v>0</v>
      </c>
    </row>
    <row r="243" spans="7:35">
      <c r="G243" s="3">
        <f t="shared" ca="1" si="34"/>
        <v>264</v>
      </c>
      <c r="H243" s="95">
        <f t="shared" ca="1" si="36"/>
        <v>45554</v>
      </c>
      <c r="I243" s="119">
        <f ca="1">HLOOKUP($H$4,'Met Data'!$A$2:$F$368,G243,FALSE)</f>
        <v>10.387499999999999</v>
      </c>
      <c r="J243" s="119">
        <f ca="1">HLOOKUP($H$4,'Met Data'!$H$2:$M$368,G243,FALSE)*L243</f>
        <v>3.85</v>
      </c>
      <c r="K243" s="96">
        <f ca="1">HLOOKUP($H$4,'Met Data'!$O$2:$T$368,G243,FALSE)</f>
        <v>2.0861830094945102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45600</v>
      </c>
      <c r="Q243">
        <f ca="1"/>
        <v>95.698750978839541</v>
      </c>
      <c r="R243">
        <f ca="1"/>
        <v>0.77046159786690893</v>
      </c>
      <c r="S243">
        <f ca="1"/>
        <v>1.33383939425471E-2</v>
      </c>
      <c r="T243">
        <f ca="1"/>
        <v>0.67098840240758251</v>
      </c>
      <c r="U243">
        <f ca="1"/>
        <v>0</v>
      </c>
      <c r="V243">
        <f ca="1"/>
        <v>26.325018610338361</v>
      </c>
      <c r="W243">
        <f ca="1"/>
        <v>6.6957112552382343</v>
      </c>
      <c r="X243">
        <f ca="1"/>
        <v>0</v>
      </c>
      <c r="Y243">
        <f ca="1"/>
        <v>0.88115711171895528</v>
      </c>
      <c r="Z243">
        <f ca="1"/>
        <v>0</v>
      </c>
      <c r="AA243">
        <f ca="1"/>
        <v>0</v>
      </c>
      <c r="AB243">
        <f ca="1"/>
        <v>0.99999226792223772</v>
      </c>
      <c r="AD243" s="2">
        <f t="shared" ca="1" si="32"/>
        <v>45600</v>
      </c>
      <c r="AE243">
        <f t="shared" ca="1" si="33"/>
        <v>0</v>
      </c>
      <c r="AG243" s="63">
        <f t="shared" ca="1" si="37"/>
        <v>96.469212576706454</v>
      </c>
      <c r="AH243" s="63">
        <f t="shared" ca="1" si="38"/>
        <v>96.469212576706454</v>
      </c>
      <c r="AI243" s="3">
        <f t="shared" ca="1" si="39"/>
        <v>0</v>
      </c>
    </row>
    <row r="244" spans="7:35">
      <c r="G244" s="3">
        <f t="shared" ca="1" si="34"/>
        <v>265</v>
      </c>
      <c r="H244" s="95">
        <f t="shared" ca="1" si="36"/>
        <v>45555</v>
      </c>
      <c r="I244" s="119">
        <f ca="1">HLOOKUP($H$4,'Met Data'!$A$2:$F$368,G244,FALSE)</f>
        <v>9.85</v>
      </c>
      <c r="J244" s="119">
        <f ca="1">HLOOKUP($H$4,'Met Data'!$H$2:$M$368,G244,FALSE)*L244</f>
        <v>1.7999999999999901</v>
      </c>
      <c r="K244" s="96">
        <f ca="1">HLOOKUP($H$4,'Met Data'!$O$2:$T$368,G244,FALSE)</f>
        <v>2.1398164486974101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45601</v>
      </c>
      <c r="Q244">
        <f ca="1"/>
        <v>95.551908043214482</v>
      </c>
      <c r="R244">
        <f ca="1"/>
        <v>0.77709944255198593</v>
      </c>
      <c r="S244">
        <f ca="1"/>
        <v>1.2253529937510166E-2</v>
      </c>
      <c r="T244">
        <f ca="1"/>
        <v>0.61800297698942164</v>
      </c>
      <c r="U244">
        <f ca="1"/>
        <v>0</v>
      </c>
      <c r="V244">
        <f ca="1"/>
        <v>27.102118052890347</v>
      </c>
      <c r="W244">
        <f ca="1"/>
        <v>6.8933648091047184</v>
      </c>
      <c r="X244">
        <f ca="1"/>
        <v>0</v>
      </c>
      <c r="Y244">
        <f ca="1"/>
        <v>0.82886852833073754</v>
      </c>
      <c r="Z244">
        <f ca="1"/>
        <v>0</v>
      </c>
      <c r="AA244">
        <f ca="1"/>
        <v>0</v>
      </c>
      <c r="AB244">
        <f ca="1"/>
        <v>0.99999386559918768</v>
      </c>
      <c r="AD244" s="2">
        <f t="shared" ca="1" si="32"/>
        <v>45601</v>
      </c>
      <c r="AE244">
        <f t="shared" ca="1" si="33"/>
        <v>0</v>
      </c>
      <c r="AG244" s="63">
        <f t="shared" ca="1" si="37"/>
        <v>96.329007485766468</v>
      </c>
      <c r="AH244" s="63">
        <f t="shared" ca="1" si="38"/>
        <v>96.329007485766468</v>
      </c>
      <c r="AI244" s="3">
        <f t="shared" ca="1" si="39"/>
        <v>0</v>
      </c>
    </row>
    <row r="245" spans="7:35">
      <c r="G245" s="3">
        <f t="shared" ca="1" si="34"/>
        <v>266</v>
      </c>
      <c r="H245" s="95">
        <f t="shared" ca="1" si="36"/>
        <v>45556</v>
      </c>
      <c r="I245" s="119">
        <f ca="1">HLOOKUP($H$4,'Met Data'!$A$2:$F$368,G245,FALSE)</f>
        <v>10.158333333333299</v>
      </c>
      <c r="J245" s="119">
        <f ca="1">HLOOKUP($H$4,'Met Data'!$H$2:$M$368,G245,FALSE)*L245</f>
        <v>3.93333333333333</v>
      </c>
      <c r="K245" s="96">
        <f ca="1">HLOOKUP($H$4,'Met Data'!$O$2:$T$368,G245,FALSE)</f>
        <v>2.31412085445224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45602</v>
      </c>
      <c r="Q245">
        <f ca="1"/>
        <v>95.370662659344873</v>
      </c>
      <c r="R245">
        <f ca="1"/>
        <v>0.81006888670837185</v>
      </c>
      <c r="S245">
        <f ca="1"/>
        <v>1.2196852551767279E-2</v>
      </c>
      <c r="T245">
        <f ca="1"/>
        <v>0.61662665028700903</v>
      </c>
      <c r="U245">
        <f ca="1"/>
        <v>0</v>
      </c>
      <c r="V245">
        <f ca="1"/>
        <v>27.912186939598719</v>
      </c>
      <c r="W245">
        <f ca="1"/>
        <v>7.0994040694196743</v>
      </c>
      <c r="X245">
        <f ca="1"/>
        <v>0</v>
      </c>
      <c r="Y245">
        <f ca="1"/>
        <v>0.80881008982139191</v>
      </c>
      <c r="Z245">
        <f ca="1"/>
        <v>0</v>
      </c>
      <c r="AA245">
        <f ca="1"/>
        <v>0</v>
      </c>
      <c r="AB245">
        <f ca="1"/>
        <v>0.99999515633652791</v>
      </c>
      <c r="AD245" s="2">
        <f t="shared" ca="1" si="32"/>
        <v>45602</v>
      </c>
      <c r="AE245">
        <f t="shared" ca="1" si="33"/>
        <v>0</v>
      </c>
      <c r="AG245" s="63">
        <f t="shared" ca="1" si="37"/>
        <v>96.180731546053252</v>
      </c>
      <c r="AH245" s="63">
        <f t="shared" ca="1" si="38"/>
        <v>96.180731546053238</v>
      </c>
      <c r="AI245" s="3">
        <f t="shared" ca="1" si="39"/>
        <v>0</v>
      </c>
    </row>
    <row r="246" spans="7:35">
      <c r="G246" s="3">
        <f t="shared" ca="1" si="34"/>
        <v>267</v>
      </c>
      <c r="H246" s="95">
        <f t="shared" ca="1" si="36"/>
        <v>45557</v>
      </c>
      <c r="I246" s="119">
        <f ca="1">HLOOKUP($H$4,'Met Data'!$A$2:$F$368,G246,FALSE)</f>
        <v>10.9625</v>
      </c>
      <c r="J246" s="119">
        <f ca="1">HLOOKUP($H$4,'Met Data'!$H$2:$M$368,G246,FALSE)*L246</f>
        <v>1.86666666666666</v>
      </c>
      <c r="K246" s="96">
        <f ca="1">HLOOKUP($H$4,'Met Data'!$O$2:$T$368,G246,FALSE)</f>
        <v>2.2059606634486699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45603</v>
      </c>
      <c r="Q246">
        <f ca="1"/>
        <v>95.165634566534322</v>
      </c>
      <c r="R246">
        <f ca="1"/>
        <v>0.85543850259576715</v>
      </c>
      <c r="S246">
        <f ca="1"/>
        <v>1.2585614133655554E-2</v>
      </c>
      <c r="T246">
        <f ca="1"/>
        <v>0.63782479565157379</v>
      </c>
      <c r="U246">
        <f ca="1"/>
        <v>0</v>
      </c>
      <c r="V246">
        <f ca="1"/>
        <v>28.767625442194486</v>
      </c>
      <c r="W246">
        <f ca="1"/>
        <v>7.316982992905988</v>
      </c>
      <c r="X246">
        <f ca="1"/>
        <v>0</v>
      </c>
      <c r="Y246">
        <f ca="1"/>
        <v>0.80453165032973095</v>
      </c>
      <c r="Z246">
        <f ca="1"/>
        <v>0</v>
      </c>
      <c r="AA246">
        <f ca="1"/>
        <v>0</v>
      </c>
      <c r="AB246">
        <f ca="1"/>
        <v>0.99999620595387306</v>
      </c>
      <c r="AD246" s="2">
        <f t="shared" ca="1" si="32"/>
        <v>45603</v>
      </c>
      <c r="AE246">
        <f t="shared" ca="1" si="33"/>
        <v>0</v>
      </c>
      <c r="AG246" s="63">
        <f t="shared" ca="1" si="37"/>
        <v>96.021073069130097</v>
      </c>
      <c r="AH246" s="63">
        <f t="shared" ca="1" si="38"/>
        <v>96.021073069130097</v>
      </c>
      <c r="AI246" s="3">
        <f t="shared" ca="1" si="39"/>
        <v>0</v>
      </c>
    </row>
    <row r="247" spans="7:35">
      <c r="G247" s="3">
        <f t="shared" ca="1" si="34"/>
        <v>268</v>
      </c>
      <c r="H247" s="95">
        <f t="shared" ca="1" si="36"/>
        <v>45558</v>
      </c>
      <c r="I247" s="119">
        <f ca="1">HLOOKUP($H$4,'Met Data'!$A$2:$F$368,G247,FALSE)</f>
        <v>11.6458333333333</v>
      </c>
      <c r="J247" s="119">
        <f ca="1">HLOOKUP($H$4,'Met Data'!$H$2:$M$368,G247,FALSE)*L247</f>
        <v>5.5166666666666604</v>
      </c>
      <c r="K247" s="96">
        <f ca="1">HLOOKUP($H$4,'Met Data'!$O$2:$T$368,G247,FALSE)</f>
        <v>1.6755097599300399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45604</v>
      </c>
      <c r="Q247">
        <f ca="1"/>
        <v>94.938928700702036</v>
      </c>
      <c r="R247">
        <f ca="1"/>
        <v>0.89191339441822848</v>
      </c>
      <c r="S247">
        <f ca="1"/>
        <v>1.2840385728850379E-2</v>
      </c>
      <c r="T247">
        <f ca="1"/>
        <v>0.65236714285708797</v>
      </c>
      <c r="U247">
        <f ca="1"/>
        <v>0</v>
      </c>
      <c r="V247">
        <f ca="1"/>
        <v>29.659538836612715</v>
      </c>
      <c r="W247">
        <f ca="1"/>
        <v>7.5438392258341036</v>
      </c>
      <c r="X247">
        <f ca="1"/>
        <v>0</v>
      </c>
      <c r="Y247">
        <f ca="1"/>
        <v>0.80294223803077869</v>
      </c>
      <c r="Z247">
        <f ca="1"/>
        <v>0</v>
      </c>
      <c r="AA247">
        <f ca="1"/>
        <v>0</v>
      </c>
      <c r="AB247">
        <f ca="1"/>
        <v>0.99999704312738713</v>
      </c>
      <c r="AD247" s="2">
        <f t="shared" ca="1" si="32"/>
        <v>45604</v>
      </c>
      <c r="AE247">
        <f t="shared" ca="1" si="33"/>
        <v>0</v>
      </c>
      <c r="AG247" s="63">
        <f t="shared" ca="1" si="37"/>
        <v>95.830842095120261</v>
      </c>
      <c r="AH247" s="63">
        <f t="shared" ca="1" si="38"/>
        <v>95.830842095120261</v>
      </c>
      <c r="AI247" s="3">
        <f t="shared" ca="1" si="39"/>
        <v>0</v>
      </c>
    </row>
    <row r="248" spans="7:35">
      <c r="G248" s="3">
        <f t="shared" ca="1" si="34"/>
        <v>269</v>
      </c>
      <c r="H248" s="95">
        <f t="shared" ca="1" si="36"/>
        <v>45559</v>
      </c>
      <c r="I248" s="119">
        <f ca="1">HLOOKUP($H$4,'Met Data'!$A$2:$F$368,G248,FALSE)</f>
        <v>12.112500000000001</v>
      </c>
      <c r="J248" s="119">
        <f ca="1">HLOOKUP($H$4,'Met Data'!$H$2:$M$368,G248,FALSE)*L248</f>
        <v>1.56666666666666</v>
      </c>
      <c r="K248" s="96">
        <f ca="1">HLOOKUP($H$4,'Met Data'!$O$2:$T$368,G248,FALSE)</f>
        <v>2.1669648664524801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45605</v>
      </c>
      <c r="Q248">
        <f ca="1"/>
        <v>94.68848844369731</v>
      </c>
      <c r="R248">
        <f ca="1"/>
        <v>0.87880013663324874</v>
      </c>
      <c r="S248">
        <f ca="1"/>
        <v>1.2099421266611898E-2</v>
      </c>
      <c r="T248">
        <f ca="1"/>
        <v>0.61626045836190779</v>
      </c>
      <c r="U248">
        <f ca="1"/>
        <v>0</v>
      </c>
      <c r="V248">
        <f ca="1"/>
        <v>30.538338973245963</v>
      </c>
      <c r="W248">
        <f ca="1"/>
        <v>7.7673601301516912</v>
      </c>
      <c r="X248">
        <f ca="1"/>
        <v>0</v>
      </c>
      <c r="Y248">
        <f ca="1"/>
        <v>0.79167020098583385</v>
      </c>
      <c r="Z248">
        <f ca="1"/>
        <v>0</v>
      </c>
      <c r="AA248">
        <f ca="1"/>
        <v>0</v>
      </c>
      <c r="AB248">
        <f ca="1"/>
        <v>0.9999976755384653</v>
      </c>
      <c r="AD248" s="2">
        <f t="shared" ca="1" si="32"/>
        <v>45605</v>
      </c>
      <c r="AE248">
        <f t="shared" ca="1" si="33"/>
        <v>0</v>
      </c>
      <c r="AG248" s="63">
        <f t="shared" ca="1" si="37"/>
        <v>95.567288580330555</v>
      </c>
      <c r="AH248" s="63">
        <f t="shared" ca="1" si="38"/>
        <v>95.567288580330555</v>
      </c>
      <c r="AI248" s="3">
        <f t="shared" ca="1" si="39"/>
        <v>0</v>
      </c>
    </row>
    <row r="249" spans="7:35">
      <c r="G249" s="3">
        <f t="shared" ca="1" si="34"/>
        <v>270</v>
      </c>
      <c r="H249" s="95">
        <f t="shared" ca="1" si="36"/>
        <v>45560</v>
      </c>
      <c r="I249" s="119">
        <f ca="1">HLOOKUP($H$4,'Met Data'!$A$2:$F$368,G249,FALSE)</f>
        <v>11.6875</v>
      </c>
      <c r="J249" s="119">
        <f ca="1">HLOOKUP($H$4,'Met Data'!$H$2:$M$368,G249,FALSE)*L249</f>
        <v>1.0833333333333299</v>
      </c>
      <c r="K249" s="96">
        <f ca="1">HLOOKUP($H$4,'Met Data'!$O$2:$T$368,G249,FALSE)</f>
        <v>2.2423317945335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45606</v>
      </c>
      <c r="Q249">
        <f ca="1"/>
        <v>94.434803960380805</v>
      </c>
      <c r="R249">
        <f ca="1"/>
        <v>0.91138868241521465</v>
      </c>
      <c r="S249">
        <f ca="1"/>
        <v>1.2632843319920539E-2</v>
      </c>
      <c r="T249">
        <f ca="1"/>
        <v>0.64507135577879571</v>
      </c>
      <c r="U249">
        <f ca="1"/>
        <v>0</v>
      </c>
      <c r="V249">
        <f ca="1"/>
        <v>31.449727655661178</v>
      </c>
      <c r="W249">
        <f ca="1"/>
        <v>7.9991698602442556</v>
      </c>
      <c r="X249">
        <f ca="1"/>
        <v>0</v>
      </c>
      <c r="Y249">
        <f ca="1"/>
        <v>0.81156318825382168</v>
      </c>
      <c r="Z249">
        <f ca="1"/>
        <v>0</v>
      </c>
      <c r="AA249">
        <f ca="1"/>
        <v>0</v>
      </c>
      <c r="AB249">
        <f ca="1"/>
        <v>0.99999818004942309</v>
      </c>
      <c r="AD249" s="2">
        <f t="shared" ca="1" si="32"/>
        <v>45606</v>
      </c>
      <c r="AE249">
        <f t="shared" ca="1" si="33"/>
        <v>0</v>
      </c>
      <c r="AG249" s="63">
        <f t="shared" ca="1" si="37"/>
        <v>95.346192642796026</v>
      </c>
      <c r="AH249" s="63">
        <f t="shared" ca="1" si="38"/>
        <v>95.346192642796012</v>
      </c>
      <c r="AI249" s="3">
        <f t="shared" ca="1" si="39"/>
        <v>0</v>
      </c>
    </row>
    <row r="250" spans="7:35">
      <c r="G250" s="3">
        <f t="shared" ca="1" si="34"/>
        <v>271</v>
      </c>
      <c r="H250" s="95">
        <f t="shared" ca="1" si="36"/>
        <v>45561</v>
      </c>
      <c r="I250" s="119">
        <f ca="1">HLOOKUP($H$4,'Met Data'!$A$2:$F$368,G250,FALSE)</f>
        <v>12.0541666666666</v>
      </c>
      <c r="J250" s="119">
        <f ca="1">HLOOKUP($H$4,'Met Data'!$H$2:$M$368,G250,FALSE)*L250</f>
        <v>1.05</v>
      </c>
      <c r="K250" s="96">
        <f ca="1">HLOOKUP($H$4,'Met Data'!$O$2:$T$368,G250,FALSE)</f>
        <v>2.4484809787012698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45607</v>
      </c>
      <c r="Q250">
        <f ca="1"/>
        <v>94.175936904661697</v>
      </c>
      <c r="R250">
        <f ca="1"/>
        <v>0.87299625788237734</v>
      </c>
      <c r="S250">
        <f ca="1"/>
        <v>1.1765812315786661E-2</v>
      </c>
      <c r="T250">
        <f ca="1"/>
        <v>0.60236338984747706</v>
      </c>
      <c r="U250">
        <f ca="1"/>
        <v>0</v>
      </c>
      <c r="V250">
        <f ca="1"/>
        <v>32.322723913543555</v>
      </c>
      <c r="W250">
        <f ca="1"/>
        <v>8.2212145606186873</v>
      </c>
      <c r="X250">
        <f ca="1"/>
        <v>0</v>
      </c>
      <c r="Y250">
        <f ca="1"/>
        <v>0.81474704461018077</v>
      </c>
      <c r="Z250">
        <f ca="1"/>
        <v>0</v>
      </c>
      <c r="AA250">
        <f ca="1"/>
        <v>0</v>
      </c>
      <c r="AB250">
        <f ca="1"/>
        <v>0.99999855399644344</v>
      </c>
      <c r="AD250" s="2">
        <f t="shared" ca="1" si="32"/>
        <v>45607</v>
      </c>
      <c r="AE250">
        <f t="shared" ca="1" si="33"/>
        <v>0</v>
      </c>
      <c r="AG250" s="63">
        <f t="shared" ca="1" si="37"/>
        <v>95.048933162544074</v>
      </c>
      <c r="AH250" s="63">
        <f t="shared" ca="1" si="38"/>
        <v>95.048933162544074</v>
      </c>
      <c r="AI250" s="3">
        <f t="shared" ca="1" si="39"/>
        <v>0</v>
      </c>
    </row>
    <row r="251" spans="7:35">
      <c r="G251" s="3">
        <f t="shared" ca="1" si="34"/>
        <v>272</v>
      </c>
      <c r="H251" s="95">
        <f t="shared" ca="1" si="36"/>
        <v>45562</v>
      </c>
      <c r="I251" s="119">
        <f ca="1">HLOOKUP($H$4,'Met Data'!$A$2:$F$368,G251,FALSE)</f>
        <v>12.3291666666666</v>
      </c>
      <c r="J251" s="119">
        <f ca="1">HLOOKUP($H$4,'Met Data'!$H$2:$M$368,G251,FALSE)*L251</f>
        <v>5.1499999999999897</v>
      </c>
      <c r="K251" s="96">
        <f ca="1">HLOOKUP($H$4,'Met Data'!$O$2:$T$368,G251,FALSE)</f>
        <v>2.13295390564413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45608</v>
      </c>
      <c r="Q251">
        <f ca="1"/>
        <v>93.880519594513117</v>
      </c>
      <c r="R251">
        <f ca="1"/>
        <v>0.85343046482567786</v>
      </c>
      <c r="S251">
        <f ca="1"/>
        <v>1.0664687744849743E-2</v>
      </c>
      <c r="T251">
        <f ca="1"/>
        <v>0.54734846693224293</v>
      </c>
      <c r="U251">
        <f ca="1"/>
        <v>0</v>
      </c>
      <c r="V251">
        <f ca="1"/>
        <v>33.176154378369233</v>
      </c>
      <c r="W251">
        <f ca="1"/>
        <v>8.4382827440634784</v>
      </c>
      <c r="X251">
        <f ca="1"/>
        <v>0</v>
      </c>
      <c r="Y251">
        <f ca="1"/>
        <v>0.77636336865396705</v>
      </c>
      <c r="Z251">
        <f ca="1"/>
        <v>0</v>
      </c>
      <c r="AA251">
        <f ca="1"/>
        <v>0</v>
      </c>
      <c r="AB251">
        <f ca="1"/>
        <v>0.99999884069359646</v>
      </c>
      <c r="AD251" s="2">
        <f t="shared" ca="1" si="32"/>
        <v>45608</v>
      </c>
      <c r="AE251">
        <f t="shared" ca="1" si="33"/>
        <v>0</v>
      </c>
      <c r="AG251" s="63">
        <f t="shared" ca="1" si="37"/>
        <v>94.733950059338795</v>
      </c>
      <c r="AH251" s="63">
        <f t="shared" ca="1" si="38"/>
        <v>94.733950059338795</v>
      </c>
      <c r="AI251" s="3">
        <f t="shared" ca="1" si="39"/>
        <v>0</v>
      </c>
    </row>
    <row r="252" spans="7:35">
      <c r="G252" s="3">
        <f t="shared" ca="1" si="34"/>
        <v>273</v>
      </c>
      <c r="H252" s="95">
        <f t="shared" ca="1" si="36"/>
        <v>45563</v>
      </c>
      <c r="I252" s="119">
        <f ca="1">HLOOKUP($H$4,'Met Data'!$A$2:$F$368,G252,FALSE)</f>
        <v>12.65</v>
      </c>
      <c r="J252" s="119">
        <f ca="1">HLOOKUP($H$4,'Met Data'!$H$2:$M$368,G252,FALSE)*L252</f>
        <v>2.15</v>
      </c>
      <c r="K252" s="96">
        <f ca="1">HLOOKUP($H$4,'Met Data'!$O$2:$T$368,G252,FALSE)</f>
        <v>2.3067555107961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45609</v>
      </c>
      <c r="Q252">
        <f ca="1"/>
        <v>93.543371027803062</v>
      </c>
      <c r="R252">
        <f ca="1"/>
        <v>0.87055062020175455</v>
      </c>
      <c r="S252">
        <f ca="1"/>
        <v>1.0170358578761807E-2</v>
      </c>
      <c r="T252">
        <f ca="1"/>
        <v>0.52323169491293231</v>
      </c>
      <c r="U252">
        <f ca="1"/>
        <v>0</v>
      </c>
      <c r="V252">
        <f ca="1"/>
        <v>34.046704998570988</v>
      </c>
      <c r="W252">
        <f ca="1"/>
        <v>8.6597054018104451</v>
      </c>
      <c r="X252">
        <f ca="1"/>
        <v>0</v>
      </c>
      <c r="Y252">
        <f ca="1"/>
        <v>0.73924715101750349</v>
      </c>
      <c r="Z252">
        <f ca="1"/>
        <v>0</v>
      </c>
      <c r="AA252">
        <f ca="1"/>
        <v>0</v>
      </c>
      <c r="AB252">
        <f ca="1"/>
        <v>0.99999907122941112</v>
      </c>
      <c r="AD252" s="2">
        <f t="shared" ca="1" si="32"/>
        <v>45609</v>
      </c>
      <c r="AE252">
        <f t="shared" ca="1" si="33"/>
        <v>0</v>
      </c>
      <c r="AG252" s="63">
        <f t="shared" ca="1" si="37"/>
        <v>94.413921648004816</v>
      </c>
      <c r="AH252" s="63">
        <f t="shared" ca="1" si="38"/>
        <v>94.413921648004816</v>
      </c>
      <c r="AI252" s="3">
        <f t="shared" ca="1" si="39"/>
        <v>0</v>
      </c>
    </row>
    <row r="253" spans="7:35">
      <c r="G253" s="3">
        <f t="shared" ca="1" si="34"/>
        <v>274</v>
      </c>
      <c r="H253" s="95">
        <f t="shared" ca="1" si="36"/>
        <v>45564</v>
      </c>
      <c r="I253" s="119">
        <f ca="1">HLOOKUP($H$4,'Met Data'!$A$2:$F$368,G253,FALSE)</f>
        <v>12.5208333333333</v>
      </c>
      <c r="J253" s="119">
        <f ca="1">HLOOKUP($H$4,'Met Data'!$H$2:$M$368,G253,FALSE)*L253</f>
        <v>5.61666666666666</v>
      </c>
      <c r="K253" s="96">
        <f ca="1">HLOOKUP($H$4,'Met Data'!$O$2:$T$368,G253,FALSE)</f>
        <v>2.4465918649770302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45610</v>
      </c>
      <c r="Q253">
        <f ca="1"/>
        <v>93.154750454889211</v>
      </c>
      <c r="R253">
        <f ca="1"/>
        <v>0.94636049471822048</v>
      </c>
      <c r="S253">
        <f ca="1"/>
        <v>1.0608465948848789E-2</v>
      </c>
      <c r="T253">
        <f ca="1"/>
        <v>0.5471314558555268</v>
      </c>
      <c r="U253">
        <f ca="1"/>
        <v>0</v>
      </c>
      <c r="V253">
        <f ca="1"/>
        <v>34.993065493289208</v>
      </c>
      <c r="W253">
        <f ca="1"/>
        <v>8.9004101363366033</v>
      </c>
      <c r="X253">
        <f ca="1"/>
        <v>0</v>
      </c>
      <c r="Y253">
        <f ca="1"/>
        <v>0.71473423736955777</v>
      </c>
      <c r="Z253">
        <f ca="1"/>
        <v>0</v>
      </c>
      <c r="AA253">
        <f ca="1"/>
        <v>0</v>
      </c>
      <c r="AB253">
        <f ca="1"/>
        <v>0.99999926724414179</v>
      </c>
      <c r="AD253" s="2">
        <f t="shared" ca="1" si="32"/>
        <v>45610</v>
      </c>
      <c r="AE253">
        <f t="shared" ca="1" si="33"/>
        <v>0</v>
      </c>
      <c r="AG253" s="63">
        <f t="shared" ca="1" si="37"/>
        <v>94.101110949607431</v>
      </c>
      <c r="AH253" s="63">
        <f t="shared" ca="1" si="38"/>
        <v>94.101110949607431</v>
      </c>
      <c r="AI253" s="3">
        <f t="shared" ca="1" si="39"/>
        <v>0</v>
      </c>
    </row>
    <row r="254" spans="7:35">
      <c r="G254" s="3">
        <f t="shared" ca="1" si="34"/>
        <v>275</v>
      </c>
      <c r="H254" s="95">
        <f t="shared" ca="1" si="36"/>
        <v>45565</v>
      </c>
      <c r="I254" s="119">
        <f ca="1">HLOOKUP($H$4,'Met Data'!$A$2:$F$368,G254,FALSE)</f>
        <v>11.65</v>
      </c>
      <c r="J254" s="119">
        <f ca="1">HLOOKUP($H$4,'Met Data'!$H$2:$M$368,G254,FALSE)*L254</f>
        <v>2.35</v>
      </c>
      <c r="K254" s="96">
        <f ca="1">HLOOKUP($H$4,'Met Data'!$O$2:$T$368,G254,FALSE)</f>
        <v>2.46735033441291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45611</v>
      </c>
      <c r="Q254">
        <f ca="1"/>
        <v>92.750650283970018</v>
      </c>
      <c r="R254">
        <f ca="1"/>
        <v>1.0547568909460381</v>
      </c>
      <c r="S254">
        <f ca="1"/>
        <v>1.2340963794542859E-2</v>
      </c>
      <c r="T254">
        <f ca="1"/>
        <v>0.63831575623230641</v>
      </c>
      <c r="U254">
        <f ca="1"/>
        <v>0</v>
      </c>
      <c r="V254">
        <f ca="1"/>
        <v>36.047822384235246</v>
      </c>
      <c r="W254">
        <f ca="1"/>
        <v>9.1686852585989644</v>
      </c>
      <c r="X254">
        <f ca="1"/>
        <v>0</v>
      </c>
      <c r="Y254">
        <f ca="1"/>
        <v>0.74848662280377243</v>
      </c>
      <c r="Z254">
        <f ca="1"/>
        <v>0</v>
      </c>
      <c r="AA254">
        <f ca="1"/>
        <v>0</v>
      </c>
      <c r="AB254">
        <f ca="1"/>
        <v>0.99999943480756726</v>
      </c>
      <c r="AD254" s="2">
        <f t="shared" ca="1" si="32"/>
        <v>45611</v>
      </c>
      <c r="AE254">
        <f t="shared" ca="1" si="33"/>
        <v>0</v>
      </c>
      <c r="AG254" s="63">
        <f t="shared" ca="1" si="37"/>
        <v>93.805407174916056</v>
      </c>
      <c r="AH254" s="63">
        <f t="shared" ca="1" si="38"/>
        <v>93.805407174916056</v>
      </c>
      <c r="AI254" s="3">
        <f t="shared" ca="1" si="39"/>
        <v>0</v>
      </c>
    </row>
    <row r="255" spans="7:35">
      <c r="G255" s="3">
        <f t="shared" ca="1" si="34"/>
        <v>276</v>
      </c>
      <c r="H255" s="95">
        <f t="shared" ca="1" si="36"/>
        <v>45566</v>
      </c>
      <c r="I255" s="119">
        <f ca="1">HLOOKUP($H$4,'Met Data'!$A$2:$F$368,G255,FALSE)</f>
        <v>12.0166666666666</v>
      </c>
      <c r="J255" s="119">
        <f ca="1">HLOOKUP($H$4,'Met Data'!$H$2:$M$368,G255,FALSE)*L255</f>
        <v>2.2833333333333301</v>
      </c>
      <c r="K255" s="96">
        <f ca="1">HLOOKUP($H$4,'Met Data'!$O$2:$T$368,G255,FALSE)</f>
        <v>2.1199025888480301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45612</v>
      </c>
      <c r="Q255">
        <f ca="1"/>
        <v>92.365047156918138</v>
      </c>
      <c r="R255">
        <f ca="1"/>
        <v>1.0880561606623402</v>
      </c>
      <c r="S255">
        <f ca="1"/>
        <v>1.3279450704885676E-2</v>
      </c>
      <c r="T255">
        <f ca="1"/>
        <v>0.6891735829055784</v>
      </c>
      <c r="U255">
        <f ca="1"/>
        <v>0</v>
      </c>
      <c r="V255">
        <f ca="1"/>
        <v>37.135878544897587</v>
      </c>
      <c r="W255">
        <f ca="1"/>
        <v>9.4454299777239505</v>
      </c>
      <c r="X255">
        <f ca="1"/>
        <v>0</v>
      </c>
      <c r="Y255">
        <f ca="1"/>
        <v>0.79424027193134084</v>
      </c>
      <c r="Z255">
        <f ca="1"/>
        <v>0</v>
      </c>
      <c r="AA255">
        <f ca="1"/>
        <v>0</v>
      </c>
      <c r="AB255">
        <f ca="1"/>
        <v>0.99999956558587355</v>
      </c>
      <c r="AD255" s="2">
        <f t="shared" ca="1" si="32"/>
        <v>45612</v>
      </c>
      <c r="AE255">
        <f t="shared" ca="1" si="33"/>
        <v>0</v>
      </c>
      <c r="AG255" s="63">
        <f t="shared" ca="1" si="37"/>
        <v>93.453103317580485</v>
      </c>
      <c r="AH255" s="63">
        <f t="shared" ca="1" si="38"/>
        <v>93.453103317580485</v>
      </c>
      <c r="AI255" s="3">
        <f t="shared" ca="1" si="39"/>
        <v>0</v>
      </c>
    </row>
    <row r="256" spans="7:35">
      <c r="G256" s="3">
        <f t="shared" ca="1" si="34"/>
        <v>277</v>
      </c>
      <c r="H256" s="95">
        <f t="shared" ca="1" si="36"/>
        <v>45567</v>
      </c>
      <c r="I256" s="119">
        <f ca="1">HLOOKUP($H$4,'Met Data'!$A$2:$F$368,G256,FALSE)</f>
        <v>12.941666666666601</v>
      </c>
      <c r="J256" s="119">
        <f ca="1">HLOOKUP($H$4,'Met Data'!$H$2:$M$368,G256,FALSE)*L256</f>
        <v>4.2666666666666604</v>
      </c>
      <c r="K256" s="96">
        <f ca="1">HLOOKUP($H$4,'Met Data'!$O$2:$T$368,G256,FALSE)</f>
        <v>2.6275875550097898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45613</v>
      </c>
      <c r="Q256">
        <f ca="1"/>
        <v>92.016384085976284</v>
      </c>
      <c r="R256">
        <f ca="1"/>
        <v>1.0696980330690238</v>
      </c>
      <c r="S256">
        <f ca="1"/>
        <v>1.3581043231567946E-2</v>
      </c>
      <c r="T256">
        <f ca="1"/>
        <v>0.7074539188955884</v>
      </c>
      <c r="U256">
        <f ca="1"/>
        <v>0</v>
      </c>
      <c r="V256">
        <f ca="1"/>
        <v>38.20557657796661</v>
      </c>
      <c r="W256">
        <f ca="1"/>
        <v>9.7175053470045505</v>
      </c>
      <c r="X256">
        <f ca="1"/>
        <v>0</v>
      </c>
      <c r="Y256">
        <f ca="1"/>
        <v>0.84642259234791961</v>
      </c>
      <c r="Z256">
        <f ca="1"/>
        <v>0</v>
      </c>
      <c r="AA256">
        <f ca="1"/>
        <v>0</v>
      </c>
      <c r="AB256">
        <f ca="1"/>
        <v>0.99999966317585298</v>
      </c>
      <c r="AD256" s="2">
        <f t="shared" ca="1" si="32"/>
        <v>45613</v>
      </c>
      <c r="AE256">
        <f t="shared" ca="1" si="33"/>
        <v>0</v>
      </c>
      <c r="AG256" s="63">
        <f t="shared" ca="1" si="37"/>
        <v>93.086082119045301</v>
      </c>
      <c r="AH256" s="63">
        <f t="shared" ca="1" si="38"/>
        <v>93.086082119045301</v>
      </c>
      <c r="AI256" s="3">
        <f t="shared" ca="1" si="39"/>
        <v>0</v>
      </c>
    </row>
    <row r="257" spans="7:35">
      <c r="G257" s="3">
        <f t="shared" ca="1" si="34"/>
        <v>278</v>
      </c>
      <c r="H257" s="95">
        <f t="shared" ca="1" si="36"/>
        <v>45568</v>
      </c>
      <c r="I257" s="119">
        <f ca="1">HLOOKUP($H$4,'Met Data'!$A$2:$F$368,G257,FALSE)</f>
        <v>11.95</v>
      </c>
      <c r="J257" s="119">
        <f ca="1">HLOOKUP($H$4,'Met Data'!$H$2:$M$368,G257,FALSE)*L257</f>
        <v>1.13333333333333</v>
      </c>
      <c r="K257" s="96">
        <f ca="1">HLOOKUP($H$4,'Met Data'!$O$2:$T$368,G257,FALSE)</f>
        <v>2.2251605523882798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45614</v>
      </c>
      <c r="Q257">
        <f ca="1"/>
        <v>91.616689936194604</v>
      </c>
      <c r="R257">
        <f ca="1"/>
        <v>1.0481514489726464</v>
      </c>
      <c r="S257">
        <f ca="1"/>
        <v>1.2169007814293309E-2</v>
      </c>
      <c r="T257">
        <f ca="1"/>
        <v>0.63628829137667875</v>
      </c>
      <c r="U257">
        <f ca="1"/>
        <v>0</v>
      </c>
      <c r="V257">
        <f ca="1"/>
        <v>39.253728026939257</v>
      </c>
      <c r="W257">
        <f ca="1"/>
        <v>9.9841003894606377</v>
      </c>
      <c r="X257">
        <f ca="1"/>
        <v>0</v>
      </c>
      <c r="Y257">
        <f ca="1"/>
        <v>0.79800976607153185</v>
      </c>
      <c r="Z257">
        <f ca="1"/>
        <v>0</v>
      </c>
      <c r="AA257">
        <f ca="1"/>
        <v>0</v>
      </c>
      <c r="AB257">
        <f ca="1"/>
        <v>0.99999973649444851</v>
      </c>
      <c r="AD257" s="2">
        <f t="shared" ca="1" si="32"/>
        <v>45614</v>
      </c>
      <c r="AE257">
        <f t="shared" ca="1" si="33"/>
        <v>0</v>
      </c>
      <c r="AG257" s="63">
        <f t="shared" ca="1" si="37"/>
        <v>92.66484138516725</v>
      </c>
      <c r="AH257" s="63">
        <f t="shared" ca="1" si="38"/>
        <v>92.66484138516725</v>
      </c>
      <c r="AI257" s="3">
        <f t="shared" ca="1" si="39"/>
        <v>0</v>
      </c>
    </row>
    <row r="258" spans="7:35">
      <c r="G258" s="3">
        <f t="shared" ca="1" si="34"/>
        <v>279</v>
      </c>
      <c r="H258" s="95">
        <f t="shared" ca="1" si="36"/>
        <v>45569</v>
      </c>
      <c r="I258" s="119">
        <f ca="1">HLOOKUP($H$4,'Met Data'!$A$2:$F$368,G258,FALSE)</f>
        <v>11.8958333333333</v>
      </c>
      <c r="J258" s="119">
        <f ca="1">HLOOKUP($H$4,'Met Data'!$H$2:$M$368,G258,FALSE)*L258</f>
        <v>2.0666666666666602</v>
      </c>
      <c r="K258" s="96">
        <f ca="1">HLOOKUP($H$4,'Met Data'!$O$2:$T$368,G258,FALSE)</f>
        <v>2.2142725820580198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45615</v>
      </c>
      <c r="Q258">
        <f ca="1"/>
        <v>91.183835980880019</v>
      </c>
      <c r="R258">
        <f ca="1"/>
        <v>1.0772452102834364</v>
      </c>
      <c r="S258">
        <f ca="1"/>
        <v>1.2048618912274378E-2</v>
      </c>
      <c r="T258">
        <f ca="1"/>
        <v>0.63234263605658425</v>
      </c>
      <c r="U258">
        <f ca="1"/>
        <v>0</v>
      </c>
      <c r="V258">
        <f ca="1"/>
        <v>40.330973237222693</v>
      </c>
      <c r="W258">
        <f ca="1"/>
        <v>10.258095366858814</v>
      </c>
      <c r="X258">
        <f ca="1"/>
        <v>0</v>
      </c>
      <c r="Y258">
        <f ca="1"/>
        <v>0.78151331376083932</v>
      </c>
      <c r="Z258">
        <f ca="1"/>
        <v>0</v>
      </c>
      <c r="AA258">
        <f ca="1"/>
        <v>0</v>
      </c>
      <c r="AB258">
        <f ca="1"/>
        <v>0.99999979450265952</v>
      </c>
      <c r="AD258" s="2">
        <f t="shared" ca="1" si="32"/>
        <v>45615</v>
      </c>
      <c r="AE258">
        <f t="shared" ca="1" si="33"/>
        <v>0</v>
      </c>
      <c r="AG258" s="63">
        <f t="shared" ca="1" si="37"/>
        <v>92.261081191163456</v>
      </c>
      <c r="AH258" s="63">
        <f t="shared" ca="1" si="38"/>
        <v>92.261081191163456</v>
      </c>
      <c r="AI258" s="3">
        <f t="shared" ca="1" si="39"/>
        <v>0</v>
      </c>
    </row>
    <row r="259" spans="7:35">
      <c r="G259" s="3">
        <f t="shared" ca="1" si="34"/>
        <v>280</v>
      </c>
      <c r="H259" s="95">
        <f t="shared" ca="1" si="36"/>
        <v>45570</v>
      </c>
      <c r="I259" s="119">
        <f ca="1">HLOOKUP($H$4,'Met Data'!$A$2:$F$368,G259,FALSE)</f>
        <v>11.8333333333333</v>
      </c>
      <c r="J259" s="119">
        <f ca="1">HLOOKUP($H$4,'Met Data'!$H$2:$M$368,G259,FALSE)*L259</f>
        <v>1.43333333333333</v>
      </c>
      <c r="K259" s="96">
        <f ca="1">HLOOKUP($H$4,'Met Data'!$O$2:$T$368,G259,FALSE)</f>
        <v>2.5217662070296001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45616</v>
      </c>
      <c r="Q259">
        <f ca="1"/>
        <v>90.706016899626036</v>
      </c>
      <c r="R259">
        <f ca="1"/>
        <v>1.0986183484708789</v>
      </c>
      <c r="S259">
        <f ca="1"/>
        <v>1.1564247553906171E-2</v>
      </c>
      <c r="T259">
        <f ca="1"/>
        <v>0.60923501966298521</v>
      </c>
      <c r="U259">
        <f ca="1"/>
        <v>0</v>
      </c>
      <c r="V259">
        <f ca="1"/>
        <v>41.429591585693572</v>
      </c>
      <c r="W259">
        <f ca="1"/>
        <v>10.537526555491624</v>
      </c>
      <c r="X259">
        <f ca="1"/>
        <v>0</v>
      </c>
      <c r="Y259">
        <f ca="1"/>
        <v>0.74802861085430539</v>
      </c>
      <c r="Z259">
        <f ca="1"/>
        <v>0</v>
      </c>
      <c r="AA259">
        <f ca="1"/>
        <v>0</v>
      </c>
      <c r="AB259">
        <f ca="1"/>
        <v>0.99999983996416486</v>
      </c>
      <c r="AD259" s="2">
        <f t="shared" ca="1" si="32"/>
        <v>45616</v>
      </c>
      <c r="AE259">
        <f t="shared" ca="1" si="33"/>
        <v>0</v>
      </c>
      <c r="AG259" s="63">
        <f t="shared" ca="1" si="37"/>
        <v>91.804635248096915</v>
      </c>
      <c r="AH259" s="63">
        <f t="shared" ca="1" si="38"/>
        <v>91.804635248096915</v>
      </c>
      <c r="AI259" s="3">
        <f t="shared" ca="1" si="39"/>
        <v>0</v>
      </c>
    </row>
    <row r="260" spans="7:35">
      <c r="G260" s="3">
        <f t="shared" ca="1" si="34"/>
        <v>281</v>
      </c>
      <c r="H260" s="95">
        <f t="shared" ca="1" si="36"/>
        <v>45571</v>
      </c>
      <c r="I260" s="119">
        <f ca="1">HLOOKUP($H$4,'Met Data'!$A$2:$F$368,G260,FALSE)</f>
        <v>12.133333333333301</v>
      </c>
      <c r="J260" s="119">
        <f ca="1">HLOOKUP($H$4,'Met Data'!$H$2:$M$368,G260,FALSE)*L260</f>
        <v>1.5</v>
      </c>
      <c r="K260" s="96">
        <f ca="1">HLOOKUP($H$4,'Met Data'!$O$2:$T$368,G260,FALSE)</f>
        <v>2.4929362431341402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45617</v>
      </c>
      <c r="Q260">
        <f ca="1"/>
        <v>90.181123934002983</v>
      </c>
      <c r="R260">
        <f ca="1"/>
        <v>1.1206626500387671</v>
      </c>
      <c r="S260">
        <f ca="1"/>
        <v>1.1056555457514605E-2</v>
      </c>
      <c r="T260">
        <f ca="1"/>
        <v>0.58471312895820116</v>
      </c>
      <c r="U260">
        <f ca="1"/>
        <v>0</v>
      </c>
      <c r="V260">
        <f ca="1"/>
        <v>42.550254235732339</v>
      </c>
      <c r="W260">
        <f ca="1"/>
        <v>10.822564664305833</v>
      </c>
      <c r="X260">
        <f ca="1"/>
        <v>0</v>
      </c>
      <c r="Y260">
        <f ca="1"/>
        <v>0.71104763379787161</v>
      </c>
      <c r="Z260">
        <f ca="1"/>
        <v>0</v>
      </c>
      <c r="AA260">
        <f ca="1"/>
        <v>0</v>
      </c>
      <c r="AB260">
        <f ca="1"/>
        <v>0.99999987556937409</v>
      </c>
      <c r="AD260" s="2">
        <f t="shared" ca="1" si="32"/>
        <v>45617</v>
      </c>
      <c r="AE260">
        <f t="shared" ca="1" si="33"/>
        <v>0</v>
      </c>
      <c r="AG260" s="63">
        <f t="shared" ca="1" si="37"/>
        <v>91.30178658404175</v>
      </c>
      <c r="AH260" s="63">
        <f t="shared" ca="1" si="38"/>
        <v>91.30178658404175</v>
      </c>
      <c r="AI260" s="3">
        <f t="shared" ca="1" si="39"/>
        <v>0</v>
      </c>
    </row>
    <row r="261" spans="7:35">
      <c r="G261" s="3">
        <f t="shared" ca="1" si="34"/>
        <v>282</v>
      </c>
      <c r="H261" s="95">
        <f t="shared" ca="1" si="36"/>
        <v>45572</v>
      </c>
      <c r="I261" s="119">
        <f ca="1">HLOOKUP($H$4,'Met Data'!$A$2:$F$368,G261,FALSE)</f>
        <v>11.8708333333333</v>
      </c>
      <c r="J261" s="119">
        <f ca="1">HLOOKUP($H$4,'Met Data'!$H$2:$M$368,G261,FALSE)*L261</f>
        <v>4.18333333333333</v>
      </c>
      <c r="K261" s="96">
        <f ca="1">HLOOKUP($H$4,'Met Data'!$O$2:$T$368,G261,FALSE)</f>
        <v>2.0932595279969002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45618</v>
      </c>
      <c r="Q261">
        <f ca="1"/>
        <v>89.571960181831813</v>
      </c>
      <c r="R261">
        <f ca="1"/>
        <v>1.1810035012776154</v>
      </c>
      <c r="S261">
        <f ca="1"/>
        <v>1.0572931644162509E-2</v>
      </c>
      <c r="T261">
        <f ca="1"/>
        <v>0.56126681746228935</v>
      </c>
      <c r="U261">
        <f ca="1"/>
        <v>0</v>
      </c>
      <c r="V261">
        <f ca="1"/>
        <v>43.731257737009955</v>
      </c>
      <c r="W261">
        <f ca="1"/>
        <v>11.12295033745688</v>
      </c>
      <c r="X261">
        <f ca="1"/>
        <v>0</v>
      </c>
      <c r="Y261">
        <f ca="1"/>
        <v>0.6439552111975525</v>
      </c>
      <c r="Z261">
        <f ca="1"/>
        <v>0</v>
      </c>
      <c r="AA261">
        <f ca="1"/>
        <v>0</v>
      </c>
      <c r="AB261">
        <f ca="1"/>
        <v>0.99999990422762919</v>
      </c>
      <c r="AD261" s="2">
        <f t="shared" ca="1" si="32"/>
        <v>45618</v>
      </c>
      <c r="AE261">
        <f t="shared" ca="1" si="33"/>
        <v>0</v>
      </c>
      <c r="AG261" s="63">
        <f t="shared" ca="1" si="37"/>
        <v>90.752963683109428</v>
      </c>
      <c r="AH261" s="63">
        <f t="shared" ca="1" si="38"/>
        <v>90.752963683109428</v>
      </c>
      <c r="AI261" s="3">
        <f t="shared" ca="1" si="39"/>
        <v>0</v>
      </c>
    </row>
    <row r="262" spans="7:35">
      <c r="G262" s="3">
        <f t="shared" ca="1" si="34"/>
        <v>283</v>
      </c>
      <c r="H262" s="95">
        <f t="shared" ca="1" si="36"/>
        <v>45573</v>
      </c>
      <c r="I262" s="119">
        <f ca="1">HLOOKUP($H$4,'Met Data'!$A$2:$F$368,G262,FALSE)</f>
        <v>11.529166666666599</v>
      </c>
      <c r="J262" s="119">
        <f ca="1">HLOOKUP($H$4,'Met Data'!$H$2:$M$368,G262,FALSE)*L262</f>
        <v>2.2166666666666601</v>
      </c>
      <c r="K262" s="96">
        <f ca="1">HLOOKUP($H$4,'Met Data'!$O$2:$T$368,G262,FALSE)</f>
        <v>2.3166472445358202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45619</v>
      </c>
      <c r="Q262">
        <f ca="1"/>
        <v>88.926717906100777</v>
      </c>
      <c r="R262">
        <f ca="1"/>
        <v>1.1964984307547795</v>
      </c>
      <c r="S262">
        <f ca="1"/>
        <v>1.0154517813873554E-2</v>
      </c>
      <c r="T262">
        <f ca="1"/>
        <v>0.54110163720987614</v>
      </c>
      <c r="U262">
        <f ca="1"/>
        <v>0</v>
      </c>
      <c r="V262">
        <f ca="1"/>
        <v>44.927756167764734</v>
      </c>
      <c r="W262">
        <f ca="1"/>
        <v>11.427277112235814</v>
      </c>
      <c r="X262">
        <f ca="1"/>
        <v>0</v>
      </c>
      <c r="Y262">
        <f ca="1"/>
        <v>0.61600949749565803</v>
      </c>
      <c r="Z262">
        <f ca="1"/>
        <v>0</v>
      </c>
      <c r="AA262">
        <f ca="1"/>
        <v>0</v>
      </c>
      <c r="AB262">
        <f ca="1"/>
        <v>0.99999992629627077</v>
      </c>
      <c r="AD262" s="2">
        <f t="shared" ref="AD262:AD325" ca="1" si="42">IFERROR(P262,$AD$4)</f>
        <v>45619</v>
      </c>
      <c r="AE262">
        <f t="shared" ref="AE262:AE325" ca="1" si="43">IFERROR(U262,0)</f>
        <v>0</v>
      </c>
      <c r="AG262" s="63">
        <f t="shared" ca="1" si="37"/>
        <v>90.123216336855563</v>
      </c>
      <c r="AH262" s="63">
        <f t="shared" ca="1" si="38"/>
        <v>90.123216336855563</v>
      </c>
      <c r="AI262" s="3">
        <f t="shared" ca="1" si="39"/>
        <v>0</v>
      </c>
    </row>
    <row r="263" spans="7:35">
      <c r="G263" s="3">
        <f t="shared" ref="G263:G326" ca="1" si="44">H263-DATE(YEAR(H263),1,0)+1</f>
        <v>284</v>
      </c>
      <c r="H263" s="95">
        <f t="shared" ca="1" si="36"/>
        <v>45574</v>
      </c>
      <c r="I263" s="119">
        <f ca="1">HLOOKUP($H$4,'Met Data'!$A$2:$F$368,G263,FALSE)</f>
        <v>11.316666666666601</v>
      </c>
      <c r="J263" s="119">
        <f ca="1">HLOOKUP($H$4,'Met Data'!$H$2:$M$368,G263,FALSE)*L263</f>
        <v>2.9833333333333298</v>
      </c>
      <c r="K263" s="96">
        <f ca="1">HLOOKUP($H$4,'Met Data'!$O$2:$T$368,G263,FALSE)</f>
        <v>2.57259273420483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45620</v>
      </c>
      <c r="Q263">
        <f ca="1"/>
        <v>88.216526123981964</v>
      </c>
      <c r="R263">
        <f ca="1"/>
        <v>1.2872936527239673</v>
      </c>
      <c r="S263">
        <f ca="1"/>
        <v>1.0589592332337361E-2</v>
      </c>
      <c r="T263">
        <f ca="1"/>
        <v>0.56651227827281558</v>
      </c>
      <c r="U263">
        <f ca="1"/>
        <v>0</v>
      </c>
      <c r="V263">
        <f ca="1"/>
        <v>46.215049820488701</v>
      </c>
      <c r="W263">
        <f ca="1"/>
        <v>11.75469745434169</v>
      </c>
      <c r="X263">
        <f ca="1"/>
        <v>0</v>
      </c>
      <c r="Y263">
        <f ca="1"/>
        <v>0.59282124701236705</v>
      </c>
      <c r="Z263">
        <f ca="1"/>
        <v>0</v>
      </c>
      <c r="AA263">
        <f ca="1"/>
        <v>0</v>
      </c>
      <c r="AB263">
        <f ca="1"/>
        <v>0.99999994420830984</v>
      </c>
      <c r="AD263" s="2">
        <f t="shared" ca="1" si="42"/>
        <v>45620</v>
      </c>
      <c r="AE263">
        <f t="shared" ca="1" si="43"/>
        <v>0</v>
      </c>
      <c r="AG263" s="63">
        <f t="shared" ca="1" si="37"/>
        <v>89.503819776705924</v>
      </c>
      <c r="AH263" s="63">
        <f t="shared" ca="1" si="38"/>
        <v>89.503819776705939</v>
      </c>
      <c r="AI263" s="3">
        <f t="shared" ca="1" si="39"/>
        <v>0</v>
      </c>
    </row>
    <row r="264" spans="7:35">
      <c r="G264" s="3">
        <f t="shared" ca="1" si="44"/>
        <v>285</v>
      </c>
      <c r="H264" s="95">
        <f t="shared" ref="H264:H327" ca="1" si="46">H263+1</f>
        <v>45575</v>
      </c>
      <c r="I264" s="119">
        <f ca="1">HLOOKUP($H$4,'Met Data'!$A$2:$F$368,G264,FALSE)</f>
        <v>12.466666666666599</v>
      </c>
      <c r="J264" s="119">
        <f ca="1">HLOOKUP($H$4,'Met Data'!$H$2:$M$368,G264,FALSE)*L264</f>
        <v>3.5333333333333301</v>
      </c>
      <c r="K264" s="96">
        <f ca="1">HLOOKUP($H$4,'Met Data'!$O$2:$T$368,G264,FALSE)</f>
        <v>2.44735536591925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45621</v>
      </c>
      <c r="Q264">
        <f ca="1"/>
        <v>87.526564310159259</v>
      </c>
      <c r="R264">
        <f ca="1"/>
        <v>1.3132073867254661</v>
      </c>
      <c r="S264">
        <f ca="1"/>
        <v>1.1387755505325003E-2</v>
      </c>
      <c r="T264">
        <f ca="1"/>
        <v>0.61185781739743517</v>
      </c>
      <c r="U264">
        <f ca="1"/>
        <v>0</v>
      </c>
      <c r="V264">
        <f ca="1"/>
        <v>47.528257207214168</v>
      </c>
      <c r="W264">
        <f ca="1"/>
        <v>12.088708898356646</v>
      </c>
      <c r="X264">
        <f ca="1"/>
        <v>0</v>
      </c>
      <c r="Y264">
        <f ca="1"/>
        <v>0.64248973808346888</v>
      </c>
      <c r="Z264">
        <f ca="1"/>
        <v>0</v>
      </c>
      <c r="AA264">
        <f ca="1"/>
        <v>0</v>
      </c>
      <c r="AB264">
        <f ca="1"/>
        <v>0.99999995786626528</v>
      </c>
      <c r="AD264" s="2">
        <f t="shared" ca="1" si="42"/>
        <v>45621</v>
      </c>
      <c r="AE264">
        <f t="shared" ca="1" si="43"/>
        <v>0</v>
      </c>
      <c r="AG264" s="63">
        <f t="shared" ca="1" si="37"/>
        <v>88.839771696884725</v>
      </c>
      <c r="AH264" s="63">
        <f t="shared" ca="1" si="38"/>
        <v>88.839771696884725</v>
      </c>
      <c r="AI264" s="3">
        <f t="shared" ca="1" si="39"/>
        <v>0</v>
      </c>
    </row>
    <row r="265" spans="7:35">
      <c r="G265" s="3">
        <f t="shared" ca="1" si="44"/>
        <v>286</v>
      </c>
      <c r="H265" s="95">
        <f t="shared" ca="1" si="46"/>
        <v>45576</v>
      </c>
      <c r="I265" s="119">
        <f ca="1">HLOOKUP($H$4,'Met Data'!$A$2:$F$368,G265,FALSE)</f>
        <v>12.566666666666601</v>
      </c>
      <c r="J265" s="119">
        <f ca="1">HLOOKUP($H$4,'Met Data'!$H$2:$M$368,G265,FALSE)*L265</f>
        <v>1.88333333333333</v>
      </c>
      <c r="K265" s="96">
        <f ca="1">HLOOKUP($H$4,'Met Data'!$O$2:$T$368,G265,FALSE)</f>
        <v>2.6706436990123898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45622</v>
      </c>
      <c r="Q265">
        <f ca="1"/>
        <v>86.785007653761738</v>
      </c>
      <c r="R265">
        <f ca="1"/>
        <v>1.3551378972900281</v>
      </c>
      <c r="S265">
        <f ca="1"/>
        <v>1.1160444256177016E-2</v>
      </c>
      <c r="T265">
        <f ca="1"/>
        <v>0.60242079663632864</v>
      </c>
      <c r="U265">
        <f ca="1"/>
        <v>0</v>
      </c>
      <c r="V265">
        <f ca="1"/>
        <v>48.883395104504196</v>
      </c>
      <c r="W265">
        <f ca="1"/>
        <v>12.433385276580413</v>
      </c>
      <c r="X265">
        <f ca="1"/>
        <v>0</v>
      </c>
      <c r="Y265">
        <f ca="1"/>
        <v>0.61086957568564459</v>
      </c>
      <c r="Z265">
        <f ca="1"/>
        <v>0</v>
      </c>
      <c r="AA265">
        <f ca="1"/>
        <v>0</v>
      </c>
      <c r="AB265">
        <f ca="1"/>
        <v>0.99999996836692906</v>
      </c>
      <c r="AD265" s="2">
        <f t="shared" ca="1" si="42"/>
        <v>45622</v>
      </c>
      <c r="AE265">
        <f t="shared" ca="1" si="43"/>
        <v>0</v>
      </c>
      <c r="AG265" s="63">
        <f t="shared" ca="1" si="37"/>
        <v>88.140145551051759</v>
      </c>
      <c r="AH265" s="63">
        <f t="shared" ca="1" si="38"/>
        <v>88.140145551051774</v>
      </c>
      <c r="AI265" s="3">
        <f t="shared" ca="1" si="39"/>
        <v>0</v>
      </c>
    </row>
    <row r="266" spans="7:35">
      <c r="G266" s="3">
        <f t="shared" ca="1" si="44"/>
        <v>287</v>
      </c>
      <c r="H266" s="95">
        <f t="shared" ca="1" si="46"/>
        <v>45577</v>
      </c>
      <c r="I266" s="119">
        <f ca="1">HLOOKUP($H$4,'Met Data'!$A$2:$F$368,G266,FALSE)</f>
        <v>12.133333333333301</v>
      </c>
      <c r="J266" s="119">
        <f ca="1">HLOOKUP($H$4,'Met Data'!$H$2:$M$368,G266,FALSE)*L266</f>
        <v>2.6666666666666599</v>
      </c>
      <c r="K266" s="96">
        <f ca="1">HLOOKUP($H$4,'Met Data'!$O$2:$T$368,G266,FALSE)</f>
        <v>1.9257972512671799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45623</v>
      </c>
      <c r="Q266">
        <f ca="1"/>
        <v>86.107037536540687</v>
      </c>
      <c r="R266">
        <f ca="1"/>
        <v>1.3509743110293755</v>
      </c>
      <c r="S266">
        <f ca="1"/>
        <v>1.2181683314565817E-2</v>
      </c>
      <c r="T266">
        <f ca="1"/>
        <v>0.6608225104937625</v>
      </c>
      <c r="U266">
        <f ca="1"/>
        <v>0</v>
      </c>
      <c r="V266">
        <f ca="1"/>
        <v>50.234369415533571</v>
      </c>
      <c r="W266">
        <f ca="1"/>
        <v>12.777002655690062</v>
      </c>
      <c r="X266">
        <f ca="1"/>
        <v>0</v>
      </c>
      <c r="Y266">
        <f ca="1"/>
        <v>0.69278316092666836</v>
      </c>
      <c r="Z266">
        <f ca="1"/>
        <v>0</v>
      </c>
      <c r="AA266">
        <f ca="1"/>
        <v>0</v>
      </c>
      <c r="AB266">
        <f ca="1"/>
        <v>0.99999997616331238</v>
      </c>
      <c r="AD266" s="2">
        <f t="shared" ca="1" si="42"/>
        <v>45623</v>
      </c>
      <c r="AE266">
        <f t="shared" ca="1" si="43"/>
        <v>0</v>
      </c>
      <c r="AG266" s="63">
        <f t="shared" ca="1" si="37"/>
        <v>87.458011847570063</v>
      </c>
      <c r="AH266" s="63">
        <f t="shared" ca="1" si="38"/>
        <v>87.458011847570063</v>
      </c>
      <c r="AI266" s="3">
        <f t="shared" ca="1" si="39"/>
        <v>0</v>
      </c>
    </row>
    <row r="267" spans="7:35">
      <c r="G267" s="3">
        <f t="shared" ca="1" si="44"/>
        <v>288</v>
      </c>
      <c r="H267" s="95">
        <f t="shared" ca="1" si="46"/>
        <v>45578</v>
      </c>
      <c r="I267" s="119">
        <f ca="1">HLOOKUP($H$4,'Met Data'!$A$2:$F$368,G267,FALSE)</f>
        <v>12.762499999999999</v>
      </c>
      <c r="J267" s="119">
        <f ca="1">HLOOKUP($H$4,'Met Data'!$H$2:$M$368,G267,FALSE)*L267</f>
        <v>3.6333333333333302</v>
      </c>
      <c r="K267" s="96">
        <f ca="1">HLOOKUP($H$4,'Met Data'!$O$2:$T$368,G267,FALSE)</f>
        <v>2.2182002807721002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45624</v>
      </c>
      <c r="Q267">
        <f ca="1"/>
        <v>85.405795793054381</v>
      </c>
      <c r="R267">
        <f ca="1"/>
        <v>1.2745349050889203</v>
      </c>
      <c r="S267">
        <f ca="1"/>
        <v>1.0326330486179813E-2</v>
      </c>
      <c r="T267">
        <f ca="1"/>
        <v>0.56296683111644163</v>
      </c>
      <c r="U267">
        <f ca="1"/>
        <v>0</v>
      </c>
      <c r="V267">
        <f ca="1"/>
        <v>51.508904320622491</v>
      </c>
      <c r="W267">
        <f ca="1"/>
        <v>13.101177838071372</v>
      </c>
      <c r="X267">
        <f ca="1"/>
        <v>0</v>
      </c>
      <c r="Y267">
        <f ca="1"/>
        <v>0.6358505228676713</v>
      </c>
      <c r="Z267">
        <f ca="1"/>
        <v>0</v>
      </c>
      <c r="AA267">
        <f ca="1"/>
        <v>0</v>
      </c>
      <c r="AB267">
        <f ca="1"/>
        <v>0.99999998170702564</v>
      </c>
      <c r="AD267" s="2">
        <f t="shared" ca="1" si="42"/>
        <v>45624</v>
      </c>
      <c r="AE267">
        <f t="shared" ca="1" si="43"/>
        <v>0</v>
      </c>
      <c r="AG267" s="63">
        <f t="shared" ref="AG267:AG330" ca="1" si="47">Q266+S267+T267+U267</f>
        <v>86.680330698143308</v>
      </c>
      <c r="AH267" s="63">
        <f t="shared" ref="AH267:AH330" ca="1" si="48">Q267+R267+X267</f>
        <v>86.680330698143308</v>
      </c>
      <c r="AI267" s="3">
        <f t="shared" ref="AI267:AI330" ca="1" si="49">AH267-AG267</f>
        <v>0</v>
      </c>
    </row>
    <row r="268" spans="7:35">
      <c r="G268" s="3">
        <f t="shared" ca="1" si="44"/>
        <v>289</v>
      </c>
      <c r="H268" s="95">
        <f t="shared" ca="1" si="46"/>
        <v>45579</v>
      </c>
      <c r="I268" s="119">
        <f ca="1">HLOOKUP($H$4,'Met Data'!$A$2:$F$368,G268,FALSE)</f>
        <v>12.675000000000001</v>
      </c>
      <c r="J268" s="119">
        <f ca="1">HLOOKUP($H$4,'Met Data'!$H$2:$M$368,G268,FALSE)*L268</f>
        <v>4.2166666666666597</v>
      </c>
      <c r="K268" s="96">
        <f ca="1">HLOOKUP($H$4,'Met Data'!$O$2:$T$368,G268,FALSE)</f>
        <v>2.3809243707544998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45625</v>
      </c>
      <c r="Q268">
        <f ca="1"/>
        <v>84.683522004960224</v>
      </c>
      <c r="R268">
        <f ca="1"/>
        <v>1.37675571765417</v>
      </c>
      <c r="S268">
        <f ca="1"/>
        <v>1.17303814277534E-2</v>
      </c>
      <c r="T268">
        <f ca="1"/>
        <v>0.64275154813225899</v>
      </c>
      <c r="U268">
        <f ca="1"/>
        <v>0</v>
      </c>
      <c r="V268">
        <f ca="1"/>
        <v>52.885660038276662</v>
      </c>
      <c r="W268">
        <f ca="1"/>
        <v>13.451352661909498</v>
      </c>
      <c r="X268">
        <f ca="1"/>
        <v>0</v>
      </c>
      <c r="Y268">
        <f ca="1"/>
        <v>0.6691790502169771</v>
      </c>
      <c r="Z268">
        <f ca="1"/>
        <v>0</v>
      </c>
      <c r="AA268">
        <f ca="1"/>
        <v>0</v>
      </c>
      <c r="AB268">
        <f ca="1"/>
        <v>0.99999998622668818</v>
      </c>
      <c r="AD268" s="2">
        <f t="shared" ca="1" si="42"/>
        <v>45625</v>
      </c>
      <c r="AE268">
        <f t="shared" ca="1" si="43"/>
        <v>0</v>
      </c>
      <c r="AG268" s="63">
        <f t="shared" ca="1" si="47"/>
        <v>86.060277722614387</v>
      </c>
      <c r="AH268" s="63">
        <f t="shared" ca="1" si="48"/>
        <v>86.060277722614387</v>
      </c>
      <c r="AI268" s="3">
        <f t="shared" ca="1" si="49"/>
        <v>0</v>
      </c>
    </row>
    <row r="269" spans="7:35">
      <c r="G269" s="3">
        <f t="shared" ca="1" si="44"/>
        <v>290</v>
      </c>
      <c r="H269" s="95">
        <f t="shared" ca="1" si="46"/>
        <v>45580</v>
      </c>
      <c r="I269" s="119">
        <f ca="1">HLOOKUP($H$4,'Met Data'!$A$2:$F$368,G269,FALSE)</f>
        <v>12.3041666666666</v>
      </c>
      <c r="J269" s="119">
        <f ca="1">HLOOKUP($H$4,'Met Data'!$H$2:$M$368,G269,FALSE)*L269</f>
        <v>1.4666666666666599</v>
      </c>
      <c r="K269" s="96">
        <f ca="1">HLOOKUP($H$4,'Met Data'!$O$2:$T$368,G269,FALSE)</f>
        <v>2.7800377367024298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45626</v>
      </c>
      <c r="Q269">
        <f ca="1"/>
        <v>84.017280988173454</v>
      </c>
      <c r="R269">
        <f ca="1"/>
        <v>1.3664422459616219</v>
      </c>
      <c r="S269">
        <f ca="1"/>
        <v>1.2479195823942746E-2</v>
      </c>
      <c r="T269">
        <f ca="1"/>
        <v>0.68772203335091375</v>
      </c>
      <c r="U269">
        <f ca="1"/>
        <v>0</v>
      </c>
      <c r="V269">
        <f ca="1"/>
        <v>54.252102284238283</v>
      </c>
      <c r="W269">
        <f ca="1"/>
        <v>13.798904276643215</v>
      </c>
      <c r="X269">
        <f ca="1"/>
        <v>0</v>
      </c>
      <c r="Y269">
        <f ca="1"/>
        <v>0.73401230609968648</v>
      </c>
      <c r="Z269">
        <f ca="1"/>
        <v>0</v>
      </c>
      <c r="AA269">
        <f ca="1"/>
        <v>0</v>
      </c>
      <c r="AB269">
        <f ca="1"/>
        <v>0.99999998958774261</v>
      </c>
      <c r="AD269" s="2">
        <f t="shared" ca="1" si="42"/>
        <v>45626</v>
      </c>
      <c r="AE269">
        <f t="shared" ca="1" si="43"/>
        <v>0</v>
      </c>
      <c r="AG269" s="63">
        <f t="shared" ca="1" si="47"/>
        <v>85.383723234135076</v>
      </c>
      <c r="AH269" s="63">
        <f t="shared" ca="1" si="48"/>
        <v>85.383723234135076</v>
      </c>
      <c r="AI269" s="3">
        <f t="shared" ca="1" si="49"/>
        <v>0</v>
      </c>
    </row>
    <row r="270" spans="7:35">
      <c r="G270" s="3">
        <f t="shared" ca="1" si="44"/>
        <v>291</v>
      </c>
      <c r="H270" s="95">
        <f t="shared" ca="1" si="46"/>
        <v>45581</v>
      </c>
      <c r="I270" s="119">
        <f ca="1">HLOOKUP($H$4,'Met Data'!$A$2:$F$368,G270,FALSE)</f>
        <v>12.987499999999899</v>
      </c>
      <c r="J270" s="119">
        <f ca="1">HLOOKUP($H$4,'Met Data'!$H$2:$M$368,G270,FALSE)*L270</f>
        <v>2.75</v>
      </c>
      <c r="K270" s="96">
        <f ca="1">HLOOKUP($H$4,'Met Data'!$O$2:$T$368,G270,FALSE)</f>
        <v>2.65151934906442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45627</v>
      </c>
      <c r="Q270">
        <f ca="1"/>
        <v>83.288133362556522</v>
      </c>
      <c r="R270">
        <f ca="1"/>
        <v>1.3967499187392605</v>
      </c>
      <c r="S270">
        <f ca="1"/>
        <v>1.182852460436834E-2</v>
      </c>
      <c r="T270">
        <f ca="1"/>
        <v>0.65577376851796143</v>
      </c>
      <c r="U270">
        <f ca="1"/>
        <v>0</v>
      </c>
      <c r="V270">
        <f ca="1"/>
        <v>55.648852202977544</v>
      </c>
      <c r="W270">
        <f ca="1"/>
        <v>14.154164582061679</v>
      </c>
      <c r="X270">
        <f ca="1"/>
        <v>0</v>
      </c>
      <c r="Y270">
        <f ca="1"/>
        <v>0.68250170441771074</v>
      </c>
      <c r="Z270">
        <f ca="1"/>
        <v>0</v>
      </c>
      <c r="AA270">
        <f ca="1"/>
        <v>0</v>
      </c>
      <c r="AB270">
        <f ca="1"/>
        <v>0.99999999216433422</v>
      </c>
      <c r="AD270" s="2">
        <f t="shared" ca="1" si="42"/>
        <v>45627</v>
      </c>
      <c r="AE270">
        <f t="shared" ca="1" si="43"/>
        <v>0</v>
      </c>
      <c r="AG270" s="63">
        <f t="shared" ca="1" si="47"/>
        <v>84.684883281295782</v>
      </c>
      <c r="AH270" s="63">
        <f t="shared" ca="1" si="48"/>
        <v>84.684883281295782</v>
      </c>
      <c r="AI270" s="3">
        <f t="shared" ca="1" si="49"/>
        <v>0</v>
      </c>
    </row>
    <row r="271" spans="7:35">
      <c r="G271" s="3">
        <f t="shared" ca="1" si="44"/>
        <v>292</v>
      </c>
      <c r="H271" s="95">
        <f t="shared" ca="1" si="46"/>
        <v>45582</v>
      </c>
      <c r="I271" s="119">
        <f ca="1">HLOOKUP($H$4,'Met Data'!$A$2:$F$368,G271,FALSE)</f>
        <v>12.7416666666666</v>
      </c>
      <c r="J271" s="119">
        <f ca="1">HLOOKUP($H$4,'Met Data'!$H$2:$M$368,G271,FALSE)*L271</f>
        <v>3.0666666666666602</v>
      </c>
      <c r="K271" s="96">
        <f ca="1">HLOOKUP($H$4,'Met Data'!$O$2:$T$368,G271,FALSE)</f>
        <v>2.2346438003254501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45628</v>
      </c>
      <c r="Q271">
        <f ca="1"/>
        <v>82.537280604081758</v>
      </c>
      <c r="R271">
        <f ca="1"/>
        <v>1.3962680990129925</v>
      </c>
      <c r="S271">
        <f ca="1"/>
        <v>1.1369241887791759E-2</v>
      </c>
      <c r="T271">
        <f ca="1"/>
        <v>0.63404609865044426</v>
      </c>
      <c r="U271">
        <f ca="1"/>
        <v>0</v>
      </c>
      <c r="V271">
        <f ca="1"/>
        <v>57.045120301990536</v>
      </c>
      <c r="W271">
        <f ca="1"/>
        <v>14.5093023376802</v>
      </c>
      <c r="X271">
        <f ca="1"/>
        <v>0</v>
      </c>
      <c r="Y271">
        <f ca="1"/>
        <v>0.66219309605714161</v>
      </c>
      <c r="Z271">
        <f ca="1"/>
        <v>0</v>
      </c>
      <c r="AA271">
        <f ca="1"/>
        <v>0</v>
      </c>
      <c r="AB271">
        <f ca="1"/>
        <v>0.99999999409466978</v>
      </c>
      <c r="AD271" s="2">
        <f t="shared" ca="1" si="42"/>
        <v>45628</v>
      </c>
      <c r="AE271">
        <f t="shared" ca="1" si="43"/>
        <v>0</v>
      </c>
      <c r="AG271" s="63">
        <f t="shared" ca="1" si="47"/>
        <v>83.933548703094758</v>
      </c>
      <c r="AH271" s="63">
        <f t="shared" ca="1" si="48"/>
        <v>83.933548703094743</v>
      </c>
      <c r="AI271" s="3">
        <f t="shared" ca="1" si="49"/>
        <v>0</v>
      </c>
    </row>
    <row r="272" spans="7:35">
      <c r="G272" s="3">
        <f t="shared" ca="1" si="44"/>
        <v>293</v>
      </c>
      <c r="H272" s="95">
        <f t="shared" ca="1" si="46"/>
        <v>45583</v>
      </c>
      <c r="I272" s="119">
        <f ca="1">HLOOKUP($H$4,'Met Data'!$A$2:$F$368,G272,FALSE)</f>
        <v>12.154166666666599</v>
      </c>
      <c r="J272" s="119">
        <f ca="1">HLOOKUP($H$4,'Met Data'!$H$2:$M$368,G272,FALSE)*L272</f>
        <v>1.1000000000000001</v>
      </c>
      <c r="K272" s="96">
        <f ca="1">HLOOKUP($H$4,'Met Data'!$O$2:$T$368,G272,FALSE)</f>
        <v>2.9905003990183601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45629</v>
      </c>
      <c r="Q272">
        <f ca="1"/>
        <v>81.753528627169402</v>
      </c>
      <c r="R272">
        <f ca="1"/>
        <v>1.4478337972287676</v>
      </c>
      <c r="S272">
        <f ca="1"/>
        <v>1.1628698443360008E-2</v>
      </c>
      <c r="T272">
        <f ca="1"/>
        <v>0.65245312187304949</v>
      </c>
      <c r="U272">
        <f ca="1"/>
        <v>0</v>
      </c>
      <c r="V272">
        <f ca="1"/>
        <v>58.492954099219304</v>
      </c>
      <c r="W272">
        <f ca="1"/>
        <v>14.877555716540559</v>
      </c>
      <c r="X272">
        <f ca="1"/>
        <v>0</v>
      </c>
      <c r="Y272">
        <f ca="1"/>
        <v>0.65214662575033744</v>
      </c>
      <c r="Z272">
        <f ca="1"/>
        <v>0</v>
      </c>
      <c r="AA272">
        <f ca="1"/>
        <v>0</v>
      </c>
      <c r="AB272">
        <f ca="1"/>
        <v>0.9999999955907386</v>
      </c>
      <c r="AD272" s="2">
        <f t="shared" ca="1" si="42"/>
        <v>45629</v>
      </c>
      <c r="AE272">
        <f t="shared" ca="1" si="43"/>
        <v>0</v>
      </c>
      <c r="AG272" s="63">
        <f t="shared" ca="1" si="47"/>
        <v>83.20136242439817</v>
      </c>
      <c r="AH272" s="63">
        <f t="shared" ca="1" si="48"/>
        <v>83.20136242439817</v>
      </c>
      <c r="AI272" s="3">
        <f t="shared" ca="1" si="49"/>
        <v>0</v>
      </c>
    </row>
    <row r="273" spans="7:35">
      <c r="G273" s="3">
        <f t="shared" ca="1" si="44"/>
        <v>294</v>
      </c>
      <c r="H273" s="95">
        <f t="shared" ca="1" si="46"/>
        <v>45584</v>
      </c>
      <c r="I273" s="119">
        <f ca="1">HLOOKUP($H$4,'Met Data'!$A$2:$F$368,G273,FALSE)</f>
        <v>12.6666666666666</v>
      </c>
      <c r="J273" s="119">
        <f ca="1">HLOOKUP($H$4,'Met Data'!$H$2:$M$368,G273,FALSE)*L273</f>
        <v>1.13333333333333</v>
      </c>
      <c r="K273" s="96">
        <f ca="1">HLOOKUP($H$4,'Met Data'!$O$2:$T$368,G273,FALSE)</f>
        <v>2.7134262355768599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45630</v>
      </c>
      <c r="Q273">
        <f ca="1"/>
        <v>80.934794677126803</v>
      </c>
      <c r="R273">
        <f ca="1"/>
        <v>1.4388105781774883</v>
      </c>
      <c r="S273">
        <f ca="1"/>
        <v>1.0793373605196166E-2</v>
      </c>
      <c r="T273">
        <f ca="1"/>
        <v>0.60928325452970256</v>
      </c>
      <c r="U273">
        <f ca="1"/>
        <v>0</v>
      </c>
      <c r="V273">
        <f ca="1"/>
        <v>59.931764677396792</v>
      </c>
      <c r="W273">
        <f ca="1"/>
        <v>15.243514059250924</v>
      </c>
      <c r="X273">
        <f ca="1"/>
        <v>0</v>
      </c>
      <c r="Y273">
        <f ca="1"/>
        <v>0.609701687388993</v>
      </c>
      <c r="Z273">
        <f ca="1"/>
        <v>0</v>
      </c>
      <c r="AA273">
        <f ca="1"/>
        <v>0</v>
      </c>
      <c r="AB273">
        <f ca="1"/>
        <v>0.99999999669908313</v>
      </c>
      <c r="AD273" s="2">
        <f t="shared" ca="1" si="42"/>
        <v>45630</v>
      </c>
      <c r="AE273">
        <f t="shared" ca="1" si="43"/>
        <v>0</v>
      </c>
      <c r="AG273" s="63">
        <f t="shared" ca="1" si="47"/>
        <v>82.373605255304298</v>
      </c>
      <c r="AH273" s="63">
        <f t="shared" ca="1" si="48"/>
        <v>82.373605255304284</v>
      </c>
      <c r="AI273" s="3">
        <f t="shared" ca="1" si="49"/>
        <v>0</v>
      </c>
    </row>
    <row r="274" spans="7:35">
      <c r="G274" s="3">
        <f t="shared" ca="1" si="44"/>
        <v>295</v>
      </c>
      <c r="H274" s="95">
        <f t="shared" ca="1" si="46"/>
        <v>45585</v>
      </c>
      <c r="I274" s="119">
        <f ca="1">HLOOKUP($H$4,'Met Data'!$A$2:$F$368,G274,FALSE)</f>
        <v>12.4916666666666</v>
      </c>
      <c r="J274" s="119">
        <f ca="1">HLOOKUP($H$4,'Met Data'!$H$2:$M$368,G274,FALSE)*L274</f>
        <v>0.51666666666666605</v>
      </c>
      <c r="K274" s="96">
        <f ca="1">HLOOKUP($H$4,'Met Data'!$O$2:$T$368,G274,FALSE)</f>
        <v>2.2874725559703002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45631</v>
      </c>
      <c r="Q274">
        <f ca="1"/>
        <v>80.108958745099059</v>
      </c>
      <c r="R274">
        <f ca="1"/>
        <v>1.4424184021320912</v>
      </c>
      <c r="S274">
        <f ca="1"/>
        <v>1.0669429803272124E-2</v>
      </c>
      <c r="T274">
        <f ca="1"/>
        <v>0.60591304030107673</v>
      </c>
      <c r="U274">
        <f ca="1"/>
        <v>0</v>
      </c>
      <c r="V274">
        <f ca="1"/>
        <v>61.374183079528883</v>
      </c>
      <c r="W274">
        <f ca="1"/>
        <v>15.610390044141043</v>
      </c>
      <c r="X274">
        <f ca="1"/>
        <v>0</v>
      </c>
      <c r="Y274">
        <f ca="1"/>
        <v>0.60480355336317781</v>
      </c>
      <c r="Z274">
        <f ca="1"/>
        <v>0</v>
      </c>
      <c r="AA274">
        <f ca="1"/>
        <v>0</v>
      </c>
      <c r="AB274">
        <f ca="1"/>
        <v>0.99999999752936986</v>
      </c>
      <c r="AD274" s="2">
        <f t="shared" ca="1" si="42"/>
        <v>45631</v>
      </c>
      <c r="AE274">
        <f t="shared" ca="1" si="43"/>
        <v>0</v>
      </c>
      <c r="AG274" s="63">
        <f t="shared" ca="1" si="47"/>
        <v>81.55137714723115</v>
      </c>
      <c r="AH274" s="63">
        <f t="shared" ca="1" si="48"/>
        <v>81.55137714723115</v>
      </c>
      <c r="AI274" s="3">
        <f t="shared" ca="1" si="49"/>
        <v>0</v>
      </c>
    </row>
    <row r="275" spans="7:35">
      <c r="G275" s="3">
        <f t="shared" ca="1" si="44"/>
        <v>296</v>
      </c>
      <c r="H275" s="95">
        <f t="shared" ca="1" si="46"/>
        <v>45586</v>
      </c>
      <c r="I275" s="119">
        <f ca="1">HLOOKUP($H$4,'Met Data'!$A$2:$F$368,G275,FALSE)</f>
        <v>12.925000000000001</v>
      </c>
      <c r="J275" s="119">
        <f ca="1">HLOOKUP($H$4,'Met Data'!$H$2:$M$368,G275,FALSE)*L275</f>
        <v>3.7166666666666601</v>
      </c>
      <c r="K275" s="96">
        <f ca="1">HLOOKUP($H$4,'Met Data'!$O$2:$T$368,G275,FALSE)</f>
        <v>2.31884542682567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45632</v>
      </c>
      <c r="Q275">
        <f ca="1"/>
        <v>79.302473172825756</v>
      </c>
      <c r="R275">
        <f ca="1"/>
        <v>1.3929485886077941</v>
      </c>
      <c r="S275">
        <f ca="1"/>
        <v>1.0088887192750917E-2</v>
      </c>
      <c r="T275">
        <f ca="1"/>
        <v>0.57637412914174213</v>
      </c>
      <c r="U275">
        <f ca="1"/>
        <v>0</v>
      </c>
      <c r="V275">
        <f ca="1"/>
        <v>62.767131668136678</v>
      </c>
      <c r="W275">
        <f ca="1"/>
        <v>15.964683489504328</v>
      </c>
      <c r="X275">
        <f ca="1"/>
        <v>0</v>
      </c>
      <c r="Y275">
        <f ca="1"/>
        <v>0.60173060536274603</v>
      </c>
      <c r="Z275">
        <f ca="1"/>
        <v>0</v>
      </c>
      <c r="AA275">
        <f ca="1"/>
        <v>0</v>
      </c>
      <c r="AB275">
        <f ca="1"/>
        <v>0.99999999813199514</v>
      </c>
      <c r="AD275" s="2">
        <f t="shared" ca="1" si="42"/>
        <v>45632</v>
      </c>
      <c r="AE275">
        <f t="shared" ca="1" si="43"/>
        <v>0</v>
      </c>
      <c r="AG275" s="63">
        <f t="shared" ca="1" si="47"/>
        <v>80.695421761433551</v>
      </c>
      <c r="AH275" s="63">
        <f t="shared" ca="1" si="48"/>
        <v>80.695421761433551</v>
      </c>
      <c r="AI275" s="3">
        <f t="shared" ca="1" si="49"/>
        <v>0</v>
      </c>
    </row>
    <row r="276" spans="7:35">
      <c r="G276" s="3">
        <f t="shared" ca="1" si="44"/>
        <v>297</v>
      </c>
      <c r="H276" s="95">
        <f t="shared" ca="1" si="46"/>
        <v>45587</v>
      </c>
      <c r="I276" s="119">
        <f ca="1">HLOOKUP($H$4,'Met Data'!$A$2:$F$368,G276,FALSE)</f>
        <v>12.2291666666666</v>
      </c>
      <c r="J276" s="119">
        <f ca="1">HLOOKUP($H$4,'Met Data'!$H$2:$M$368,G276,FALSE)*L276</f>
        <v>2.8333333333333299</v>
      </c>
      <c r="K276" s="96">
        <f ca="1">HLOOKUP($H$4,'Met Data'!$O$2:$T$368,G276,FALSE)</f>
        <v>2.7150999093147798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45633</v>
      </c>
      <c r="Q276">
        <f ca="1"/>
        <v>78.567731647351081</v>
      </c>
      <c r="R276">
        <f ca="1"/>
        <v>1.3381095291057008</v>
      </c>
      <c r="S276">
        <f ca="1"/>
        <v>1.0318405702093969E-2</v>
      </c>
      <c r="T276">
        <f ca="1"/>
        <v>0.59304959792894463</v>
      </c>
      <c r="U276">
        <f ca="1"/>
        <v>0</v>
      </c>
      <c r="V276">
        <f ca="1"/>
        <v>64.105241197242378</v>
      </c>
      <c r="W276">
        <f ca="1"/>
        <v>16.305028739298606</v>
      </c>
      <c r="X276">
        <f ca="1"/>
        <v>0</v>
      </c>
      <c r="Y276">
        <f ca="1"/>
        <v>0.66093087032659792</v>
      </c>
      <c r="Z276">
        <f ca="1"/>
        <v>0</v>
      </c>
      <c r="AA276">
        <f ca="1"/>
        <v>0</v>
      </c>
      <c r="AB276">
        <f ca="1"/>
        <v>0.99999999857212551</v>
      </c>
      <c r="AD276" s="2">
        <f t="shared" ca="1" si="42"/>
        <v>45633</v>
      </c>
      <c r="AE276">
        <f t="shared" ca="1" si="43"/>
        <v>0</v>
      </c>
      <c r="AG276" s="63">
        <f t="shared" ca="1" si="47"/>
        <v>79.905841176456789</v>
      </c>
      <c r="AH276" s="63">
        <f t="shared" ca="1" si="48"/>
        <v>79.905841176456789</v>
      </c>
      <c r="AI276" s="3">
        <f t="shared" ca="1" si="49"/>
        <v>0</v>
      </c>
    </row>
    <row r="277" spans="7:35">
      <c r="G277" s="3">
        <f t="shared" ca="1" si="44"/>
        <v>298</v>
      </c>
      <c r="H277" s="95">
        <f t="shared" ca="1" si="46"/>
        <v>45588</v>
      </c>
      <c r="I277" s="119">
        <f ca="1">HLOOKUP($H$4,'Met Data'!$A$2:$F$368,G277,FALSE)</f>
        <v>12.2708333333333</v>
      </c>
      <c r="J277" s="119">
        <f ca="1">HLOOKUP($H$4,'Met Data'!$H$2:$M$368,G277,FALSE)*L277</f>
        <v>0.85</v>
      </c>
      <c r="K277" s="96">
        <f ca="1">HLOOKUP($H$4,'Met Data'!$O$2:$T$368,G277,FALSE)</f>
        <v>2.95103134032406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45634</v>
      </c>
      <c r="Q277">
        <f ca="1"/>
        <v>77.782914673875496</v>
      </c>
      <c r="R277">
        <f ca="1"/>
        <v>1.3935925585849702</v>
      </c>
      <c r="S277">
        <f ca="1"/>
        <v>1.0346996843566103E-2</v>
      </c>
      <c r="T277">
        <f ca="1"/>
        <v>0.59842858826582201</v>
      </c>
      <c r="U277">
        <f ca="1"/>
        <v>0</v>
      </c>
      <c r="V277">
        <f ca="1"/>
        <v>65.498833755827349</v>
      </c>
      <c r="W277">
        <f ca="1"/>
        <v>16.659485977025653</v>
      </c>
      <c r="X277">
        <f ca="1"/>
        <v>0</v>
      </c>
      <c r="Y277">
        <f ca="1"/>
        <v>0.62786247460293709</v>
      </c>
      <c r="Z277">
        <f ca="1"/>
        <v>0</v>
      </c>
      <c r="AA277">
        <f ca="1"/>
        <v>0</v>
      </c>
      <c r="AB277">
        <f ca="1"/>
        <v>0.99999999892103997</v>
      </c>
      <c r="AD277" s="2">
        <f t="shared" ca="1" si="42"/>
        <v>45634</v>
      </c>
      <c r="AE277">
        <f t="shared" ca="1" si="43"/>
        <v>0</v>
      </c>
      <c r="AG277" s="63">
        <f t="shared" ca="1" si="47"/>
        <v>79.176507232460466</v>
      </c>
      <c r="AH277" s="63">
        <f t="shared" ca="1" si="48"/>
        <v>79.176507232460466</v>
      </c>
      <c r="AI277" s="3">
        <f t="shared" ca="1" si="49"/>
        <v>0</v>
      </c>
    </row>
    <row r="278" spans="7:35">
      <c r="G278" s="3">
        <f t="shared" ca="1" si="44"/>
        <v>299</v>
      </c>
      <c r="H278" s="95">
        <f t="shared" ca="1" si="46"/>
        <v>45589</v>
      </c>
      <c r="I278" s="119">
        <f ca="1">HLOOKUP($H$4,'Met Data'!$A$2:$F$368,G278,FALSE)</f>
        <v>12.858333333333301</v>
      </c>
      <c r="J278" s="119">
        <f ca="1">HLOOKUP($H$4,'Met Data'!$H$2:$M$368,G278,FALSE)*L278</f>
        <v>1.0333333333333301</v>
      </c>
      <c r="K278" s="96">
        <f ca="1">HLOOKUP($H$4,'Met Data'!$O$2:$T$368,G278,FALSE)</f>
        <v>2.6842724832832401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45635</v>
      </c>
      <c r="Q278">
        <f ca="1"/>
        <v>77.028268161157996</v>
      </c>
      <c r="R278">
        <f ca="1"/>
        <v>1.4608819105254014</v>
      </c>
      <c r="S278">
        <f ca="1"/>
        <v>1.1921944643688676E-2</v>
      </c>
      <c r="T278">
        <f ca="1"/>
        <v>0.69431345316421555</v>
      </c>
      <c r="U278">
        <f ca="1"/>
        <v>0</v>
      </c>
      <c r="V278">
        <f ca="1"/>
        <v>66.95971566635275</v>
      </c>
      <c r="W278">
        <f ca="1"/>
        <v>17.031058115137547</v>
      </c>
      <c r="X278">
        <f ca="1"/>
        <v>0</v>
      </c>
      <c r="Y278">
        <f ca="1"/>
        <v>0.69124292290718059</v>
      </c>
      <c r="Z278">
        <f ca="1"/>
        <v>0</v>
      </c>
      <c r="AA278">
        <f ca="1"/>
        <v>0</v>
      </c>
      <c r="AB278">
        <f ca="1"/>
        <v>0.99999999919621607</v>
      </c>
      <c r="AD278" s="2">
        <f t="shared" ca="1" si="42"/>
        <v>45635</v>
      </c>
      <c r="AE278">
        <f t="shared" ca="1" si="43"/>
        <v>0</v>
      </c>
      <c r="AG278" s="63">
        <f t="shared" ca="1" si="47"/>
        <v>78.489150071683397</v>
      </c>
      <c r="AH278" s="63">
        <f t="shared" ca="1" si="48"/>
        <v>78.489150071683397</v>
      </c>
      <c r="AI278" s="3">
        <f t="shared" ca="1" si="49"/>
        <v>0</v>
      </c>
    </row>
    <row r="279" spans="7:35">
      <c r="G279" s="3">
        <f t="shared" ca="1" si="44"/>
        <v>300</v>
      </c>
      <c r="H279" s="95">
        <f t="shared" ca="1" si="46"/>
        <v>45590</v>
      </c>
      <c r="I279" s="119">
        <f ca="1">HLOOKUP($H$4,'Met Data'!$A$2:$F$368,G279,FALSE)</f>
        <v>13.7708333333333</v>
      </c>
      <c r="J279" s="119">
        <f ca="1">HLOOKUP($H$4,'Met Data'!$H$2:$M$368,G279,FALSE)*L279</f>
        <v>3.5166666666666599</v>
      </c>
      <c r="K279" s="96">
        <f ca="1">HLOOKUP($H$4,'Met Data'!$O$2:$T$368,G279,FALSE)</f>
        <v>2.91343955355575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45636</v>
      </c>
      <c r="Q279">
        <f ca="1"/>
        <v>76.235178851248222</v>
      </c>
      <c r="R279">
        <f ca="1"/>
        <v>1.5259326235578499</v>
      </c>
      <c r="S279">
        <f ca="1"/>
        <v>1.227727149682778E-2</v>
      </c>
      <c r="T279">
        <f ca="1"/>
        <v>0.72056604215124842</v>
      </c>
      <c r="U279">
        <f ca="1"/>
        <v>0</v>
      </c>
      <c r="V279">
        <f ca="1"/>
        <v>68.4856482899106</v>
      </c>
      <c r="W279">
        <f ca="1"/>
        <v>17.419175760694653</v>
      </c>
      <c r="X279">
        <f ca="1"/>
        <v>0</v>
      </c>
      <c r="Y279">
        <f ca="1"/>
        <v>0.67211153017377978</v>
      </c>
      <c r="Z279">
        <f ca="1"/>
        <v>0</v>
      </c>
      <c r="AA279">
        <f ca="1"/>
        <v>0</v>
      </c>
      <c r="AB279">
        <f ca="1"/>
        <v>0.99999999940967421</v>
      </c>
      <c r="AD279" s="2">
        <f t="shared" ca="1" si="42"/>
        <v>45636</v>
      </c>
      <c r="AE279">
        <f t="shared" ca="1" si="43"/>
        <v>0</v>
      </c>
      <c r="AG279" s="63">
        <f t="shared" ca="1" si="47"/>
        <v>77.761111474806071</v>
      </c>
      <c r="AH279" s="63">
        <f t="shared" ca="1" si="48"/>
        <v>77.761111474806071</v>
      </c>
      <c r="AI279" s="3">
        <f t="shared" ca="1" si="49"/>
        <v>0</v>
      </c>
    </row>
    <row r="280" spans="7:35">
      <c r="G280" s="3">
        <f t="shared" ca="1" si="44"/>
        <v>301</v>
      </c>
      <c r="H280" s="95">
        <f t="shared" ca="1" si="46"/>
        <v>45591</v>
      </c>
      <c r="I280" s="119">
        <f ca="1">HLOOKUP($H$4,'Met Data'!$A$2:$F$368,G280,FALSE)</f>
        <v>13.899999999999901</v>
      </c>
      <c r="J280" s="119">
        <f ca="1">HLOOKUP($H$4,'Met Data'!$H$2:$M$368,G280,FALSE)*L280</f>
        <v>4.75</v>
      </c>
      <c r="K280" s="96">
        <f ca="1">HLOOKUP($H$4,'Met Data'!$O$2:$T$368,G280,FALSE)</f>
        <v>2.4549016141153701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45637</v>
      </c>
      <c r="Q280">
        <f ca="1"/>
        <v>75.446314413034756</v>
      </c>
      <c r="R280">
        <f ca="1"/>
        <v>1.4730882771601301</v>
      </c>
      <c r="S280">
        <f ca="1"/>
        <v>1.1375347450723439E-2</v>
      </c>
      <c r="T280">
        <f ca="1"/>
        <v>0.67284849149593573</v>
      </c>
      <c r="U280">
        <f ca="1"/>
        <v>0</v>
      </c>
      <c r="V280">
        <f ca="1"/>
        <v>69.95873656707073</v>
      </c>
      <c r="W280">
        <f ca="1"/>
        <v>17.793852561624512</v>
      </c>
      <c r="X280">
        <f ca="1"/>
        <v>0</v>
      </c>
      <c r="Y280">
        <f ca="1"/>
        <v>0.65104058877775062</v>
      </c>
      <c r="Z280">
        <f ca="1"/>
        <v>0</v>
      </c>
      <c r="AA280">
        <f ca="1"/>
        <v>0</v>
      </c>
      <c r="AB280">
        <f ca="1"/>
        <v>0.99999999956241847</v>
      </c>
      <c r="AD280" s="2">
        <f t="shared" ca="1" si="42"/>
        <v>45637</v>
      </c>
      <c r="AE280">
        <f t="shared" ca="1" si="43"/>
        <v>0</v>
      </c>
      <c r="AG280" s="63">
        <f t="shared" ca="1" si="47"/>
        <v>76.919402690194886</v>
      </c>
      <c r="AH280" s="63">
        <f t="shared" ca="1" si="48"/>
        <v>76.919402690194886</v>
      </c>
      <c r="AI280" s="3">
        <f t="shared" ca="1" si="49"/>
        <v>0</v>
      </c>
    </row>
    <row r="281" spans="7:35">
      <c r="G281" s="3">
        <f t="shared" ca="1" si="44"/>
        <v>302</v>
      </c>
      <c r="H281" s="95">
        <f t="shared" ca="1" si="46"/>
        <v>45592</v>
      </c>
      <c r="I281" s="119">
        <f ca="1">HLOOKUP($H$4,'Met Data'!$A$2:$F$368,G281,FALSE)</f>
        <v>13.425000000000001</v>
      </c>
      <c r="J281" s="119">
        <f ca="1">HLOOKUP($H$4,'Met Data'!$H$2:$M$368,G281,FALSE)*L281</f>
        <v>5.6333333333333302</v>
      </c>
      <c r="K281" s="96">
        <f ca="1">HLOOKUP($H$4,'Met Data'!$O$2:$T$368,G281,FALSE)</f>
        <v>2.5803220554406501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45638</v>
      </c>
      <c r="Q281">
        <f ca="1"/>
        <v>74.640819437688549</v>
      </c>
      <c r="R281">
        <f ca="1"/>
        <v>1.4540389798387281</v>
      </c>
      <c r="S281">
        <f ca="1"/>
        <v>1.0703333370315704E-2</v>
      </c>
      <c r="T281">
        <f ca="1"/>
        <v>0.63784067112220555</v>
      </c>
      <c r="U281">
        <f ca="1"/>
        <v>0</v>
      </c>
      <c r="V281">
        <f ca="1"/>
        <v>71.412775546909458</v>
      </c>
      <c r="W281">
        <f ca="1"/>
        <v>18.163684215192188</v>
      </c>
      <c r="X281">
        <f ca="1"/>
        <v>0</v>
      </c>
      <c r="Y281">
        <f ca="1"/>
        <v>0.61803529531583568</v>
      </c>
      <c r="Z281">
        <f ca="1"/>
        <v>0</v>
      </c>
      <c r="AA281">
        <f ca="1"/>
        <v>0</v>
      </c>
      <c r="AB281">
        <f ca="1"/>
        <v>0.99999999967495001</v>
      </c>
      <c r="AD281" s="2">
        <f t="shared" ca="1" si="42"/>
        <v>45638</v>
      </c>
      <c r="AE281">
        <f t="shared" ca="1" si="43"/>
        <v>0</v>
      </c>
      <c r="AG281" s="63">
        <f t="shared" ca="1" si="47"/>
        <v>76.094858417527277</v>
      </c>
      <c r="AH281" s="63">
        <f t="shared" ca="1" si="48"/>
        <v>76.094858417527277</v>
      </c>
      <c r="AI281" s="3">
        <f t="shared" ca="1" si="49"/>
        <v>0</v>
      </c>
    </row>
    <row r="282" spans="7:35">
      <c r="G282" s="3">
        <f t="shared" ca="1" si="44"/>
        <v>303</v>
      </c>
      <c r="H282" s="95">
        <f t="shared" ca="1" si="46"/>
        <v>45593</v>
      </c>
      <c r="I282" s="119">
        <f ca="1">HLOOKUP($H$4,'Met Data'!$A$2:$F$368,G282,FALSE)</f>
        <v>13.9625</v>
      </c>
      <c r="J282" s="119">
        <f ca="1">HLOOKUP($H$4,'Met Data'!$H$2:$M$368,G282,FALSE)*L282</f>
        <v>3.7833333333333301</v>
      </c>
      <c r="K282" s="96">
        <f ca="1">HLOOKUP($H$4,'Met Data'!$O$2:$T$368,G282,FALSE)</f>
        <v>2.91115304555708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3" t="e">
        <f t="shared" ca="1" si="47"/>
        <v>#N/A</v>
      </c>
      <c r="AH282" s="63" t="e">
        <f t="shared" ca="1" si="48"/>
        <v>#N/A</v>
      </c>
      <c r="AI282" s="3" t="e">
        <f t="shared" ca="1" si="49"/>
        <v>#N/A</v>
      </c>
    </row>
    <row r="283" spans="7:35">
      <c r="G283" s="3">
        <f t="shared" ca="1" si="44"/>
        <v>304</v>
      </c>
      <c r="H283" s="95">
        <f t="shared" ca="1" si="46"/>
        <v>45594</v>
      </c>
      <c r="I283" s="119">
        <f ca="1">HLOOKUP($H$4,'Met Data'!$A$2:$F$368,G283,FALSE)</f>
        <v>13.045833333333301</v>
      </c>
      <c r="J283" s="119">
        <f ca="1">HLOOKUP($H$4,'Met Data'!$H$2:$M$368,G283,FALSE)*L283</f>
        <v>0.39999999999999902</v>
      </c>
      <c r="K283" s="96">
        <f ca="1">HLOOKUP($H$4,'Met Data'!$O$2:$T$368,G283,FALSE)</f>
        <v>3.19138361024571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305</v>
      </c>
      <c r="H284" s="95">
        <f t="shared" ca="1" si="46"/>
        <v>45595</v>
      </c>
      <c r="I284" s="119">
        <f ca="1">HLOOKUP($H$4,'Met Data'!$A$2:$F$368,G284,FALSE)</f>
        <v>12.6166666666666</v>
      </c>
      <c r="J284" s="119">
        <f ca="1">HLOOKUP($H$4,'Met Data'!$H$2:$M$368,G284,FALSE)*L284</f>
        <v>3.4666666666666601</v>
      </c>
      <c r="K284" s="96">
        <f ca="1">HLOOKUP($H$4,'Met Data'!$O$2:$T$368,G284,FALSE)</f>
        <v>3.1814806222099299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306</v>
      </c>
      <c r="H285" s="95">
        <f t="shared" ca="1" si="46"/>
        <v>45596</v>
      </c>
      <c r="I285" s="119">
        <f ca="1">HLOOKUP($H$4,'Met Data'!$A$2:$F$368,G285,FALSE)</f>
        <v>12.4791666666666</v>
      </c>
      <c r="J285" s="119">
        <f ca="1">HLOOKUP($H$4,'Met Data'!$H$2:$M$368,G285,FALSE)*L285</f>
        <v>2.68333333333333</v>
      </c>
      <c r="K285" s="96">
        <f ca="1">HLOOKUP($H$4,'Met Data'!$O$2:$T$368,G285,FALSE)</f>
        <v>3.1007141373476301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307</v>
      </c>
      <c r="H286" s="95">
        <f t="shared" ca="1" si="46"/>
        <v>45597</v>
      </c>
      <c r="I286" s="119">
        <f ca="1">HLOOKUP($H$4,'Met Data'!$A$2:$F$368,G286,FALSE)</f>
        <v>13.3125</v>
      </c>
      <c r="J286" s="119">
        <f ca="1">HLOOKUP($H$4,'Met Data'!$H$2:$M$368,G286,FALSE)*L286</f>
        <v>1.68333333333333</v>
      </c>
      <c r="K286" s="96">
        <f ca="1">HLOOKUP($H$4,'Met Data'!$O$2:$T$368,G286,FALSE)</f>
        <v>3.50405600149278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308</v>
      </c>
      <c r="H287" s="95">
        <f t="shared" ca="1" si="46"/>
        <v>45598</v>
      </c>
      <c r="I287" s="119">
        <f ca="1">HLOOKUP($H$4,'Met Data'!$A$2:$F$368,G287,FALSE)</f>
        <v>14.35</v>
      </c>
      <c r="J287" s="119">
        <f ca="1">HLOOKUP($H$4,'Met Data'!$H$2:$M$368,G287,FALSE)*L287</f>
        <v>5.1333333333333302</v>
      </c>
      <c r="K287" s="96">
        <f ca="1">HLOOKUP($H$4,'Met Data'!$O$2:$T$368,G287,FALSE)</f>
        <v>2.61745839191309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309</v>
      </c>
      <c r="H288" s="95">
        <f t="shared" ca="1" si="46"/>
        <v>45599</v>
      </c>
      <c r="I288" s="119">
        <f ca="1">HLOOKUP($H$4,'Met Data'!$A$2:$F$368,G288,FALSE)</f>
        <v>13.875</v>
      </c>
      <c r="J288" s="119">
        <f ca="1">HLOOKUP($H$4,'Met Data'!$H$2:$M$368,G288,FALSE)*L288</f>
        <v>1.86666666666666</v>
      </c>
      <c r="K288" s="96">
        <f ca="1">HLOOKUP($H$4,'Met Data'!$O$2:$T$368,G288,FALSE)</f>
        <v>2.7392607073945601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310</v>
      </c>
      <c r="H289" s="95">
        <f t="shared" ca="1" si="46"/>
        <v>45600</v>
      </c>
      <c r="I289" s="119">
        <f ca="1">HLOOKUP($H$4,'Met Data'!$A$2:$F$368,G289,FALSE)</f>
        <v>13.316666666666601</v>
      </c>
      <c r="J289" s="119">
        <f ca="1">HLOOKUP($H$4,'Met Data'!$H$2:$M$368,G289,FALSE)*L289</f>
        <v>1.13333333333333</v>
      </c>
      <c r="K289" s="96">
        <f ca="1">HLOOKUP($H$4,'Met Data'!$O$2:$T$368,G289,FALSE)</f>
        <v>3.4135545366379101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311</v>
      </c>
      <c r="H290" s="95">
        <f t="shared" ca="1" si="46"/>
        <v>45601</v>
      </c>
      <c r="I290" s="119">
        <f ca="1">HLOOKUP($H$4,'Met Data'!$A$2:$F$368,G290,FALSE)</f>
        <v>13.1454545454545</v>
      </c>
      <c r="J290" s="119">
        <f ca="1">HLOOKUP($H$4,'Met Data'!$H$2:$M$368,G290,FALSE)*L290</f>
        <v>0.472727272727272</v>
      </c>
      <c r="K290" s="96">
        <f ca="1">HLOOKUP($H$4,'Met Data'!$O$2:$T$368,G290,FALSE)</f>
        <v>3.2963131788019302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312</v>
      </c>
      <c r="H291" s="95">
        <f t="shared" ca="1" si="46"/>
        <v>45602</v>
      </c>
      <c r="I291" s="119">
        <f ca="1">HLOOKUP($H$4,'Met Data'!$A$2:$F$368,G291,FALSE)</f>
        <v>13.4166666666666</v>
      </c>
      <c r="J291" s="119">
        <f ca="1">HLOOKUP($H$4,'Met Data'!$H$2:$M$368,G291,FALSE)*L291</f>
        <v>2.35</v>
      </c>
      <c r="K291" s="96">
        <f ca="1">HLOOKUP($H$4,'Met Data'!$O$2:$T$368,G291,FALSE)</f>
        <v>3.43315852526095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313</v>
      </c>
      <c r="H292" s="95">
        <f t="shared" ca="1" si="46"/>
        <v>45603</v>
      </c>
      <c r="I292" s="119">
        <f ca="1">HLOOKUP($H$4,'Met Data'!$A$2:$F$368,G292,FALSE)</f>
        <v>13.8708333333333</v>
      </c>
      <c r="J292" s="119">
        <f ca="1">HLOOKUP($H$4,'Met Data'!$H$2:$M$368,G292,FALSE)*L292</f>
        <v>2.86666666666666</v>
      </c>
      <c r="K292" s="96">
        <f ca="1">HLOOKUP($H$4,'Met Data'!$O$2:$T$368,G292,FALSE)</f>
        <v>3.09770464623969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314</v>
      </c>
      <c r="H293" s="95">
        <f t="shared" ca="1" si="46"/>
        <v>45604</v>
      </c>
      <c r="I293" s="119">
        <f ca="1">HLOOKUP($H$4,'Met Data'!$A$2:$F$368,G293,FALSE)</f>
        <v>14.158333333333299</v>
      </c>
      <c r="J293" s="119">
        <f ca="1">HLOOKUP($H$4,'Met Data'!$H$2:$M$368,G293,FALSE)*L293</f>
        <v>3.2166666666666601</v>
      </c>
      <c r="K293" s="96">
        <f ca="1">HLOOKUP($H$4,'Met Data'!$O$2:$T$368,G293,FALSE)</f>
        <v>3.3024968395707299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315</v>
      </c>
      <c r="H294" s="95">
        <f t="shared" ca="1" si="46"/>
        <v>45605</v>
      </c>
      <c r="I294" s="119">
        <f ca="1">HLOOKUP($H$4,'Met Data'!$A$2:$F$368,G294,FALSE)</f>
        <v>13.6666666666666</v>
      </c>
      <c r="J294" s="119">
        <f ca="1">HLOOKUP($H$4,'Met Data'!$H$2:$M$368,G294,FALSE)*L294</f>
        <v>2.0499999999999998</v>
      </c>
      <c r="K294" s="96">
        <f ca="1">HLOOKUP($H$4,'Met Data'!$O$2:$T$368,G294,FALSE)</f>
        <v>2.6586912182490101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316</v>
      </c>
      <c r="H295" s="95">
        <f t="shared" ca="1" si="46"/>
        <v>45606</v>
      </c>
      <c r="I295" s="119">
        <f ca="1">HLOOKUP($H$4,'Met Data'!$A$2:$F$368,G295,FALSE)</f>
        <v>13.8958333333333</v>
      </c>
      <c r="J295" s="119">
        <f ca="1">HLOOKUP($H$4,'Met Data'!$H$2:$M$368,G295,FALSE)*L295</f>
        <v>3.94999999999999</v>
      </c>
      <c r="K295" s="96">
        <f ca="1">HLOOKUP($H$4,'Met Data'!$O$2:$T$368,G295,FALSE)</f>
        <v>2.87577977788037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317</v>
      </c>
      <c r="H296" s="95">
        <f t="shared" ca="1" si="46"/>
        <v>45607</v>
      </c>
      <c r="I296" s="119">
        <f ca="1">HLOOKUP($H$4,'Met Data'!$A$2:$F$368,G296,FALSE)</f>
        <v>13.0625</v>
      </c>
      <c r="J296" s="119">
        <f ca="1">HLOOKUP($H$4,'Met Data'!$H$2:$M$368,G296,FALSE)*L296</f>
        <v>3.0666666666666602</v>
      </c>
      <c r="K296" s="96">
        <f ca="1">HLOOKUP($H$4,'Met Data'!$O$2:$T$368,G296,FALSE)</f>
        <v>2.8947392121826798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318</v>
      </c>
      <c r="H297" s="95">
        <f t="shared" ca="1" si="46"/>
        <v>45608</v>
      </c>
      <c r="I297" s="119">
        <f ca="1">HLOOKUP($H$4,'Met Data'!$A$2:$F$368,G297,FALSE)</f>
        <v>12.55</v>
      </c>
      <c r="J297" s="119">
        <f ca="1">HLOOKUP($H$4,'Met Data'!$H$2:$M$368,G297,FALSE)*L297</f>
        <v>1.2</v>
      </c>
      <c r="K297" s="96">
        <f ca="1">HLOOKUP($H$4,'Met Data'!$O$2:$T$368,G297,FALSE)</f>
        <v>3.2727192045008802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319</v>
      </c>
      <c r="H298" s="95">
        <f t="shared" ca="1" si="46"/>
        <v>45609</v>
      </c>
      <c r="I298" s="119">
        <f ca="1">HLOOKUP($H$4,'Met Data'!$A$2:$F$368,G298,FALSE)</f>
        <v>12.591666666666599</v>
      </c>
      <c r="J298" s="119">
        <f ca="1">HLOOKUP($H$4,'Met Data'!$H$2:$M$368,G298,FALSE)*L298</f>
        <v>1.25</v>
      </c>
      <c r="K298" s="96">
        <f ca="1">HLOOKUP($H$4,'Met Data'!$O$2:$T$368,G298,FALSE)</f>
        <v>3.2542764283054399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320</v>
      </c>
      <c r="H299" s="95">
        <f t="shared" ca="1" si="46"/>
        <v>45610</v>
      </c>
      <c r="I299" s="119">
        <f ca="1">HLOOKUP($H$4,'Met Data'!$A$2:$F$368,G299,FALSE)</f>
        <v>13.462499999999901</v>
      </c>
      <c r="J299" s="119">
        <f ca="1">HLOOKUP($H$4,'Met Data'!$H$2:$M$368,G299,FALSE)*L299</f>
        <v>2.0666666666666602</v>
      </c>
      <c r="K299" s="96">
        <f ca="1">HLOOKUP($H$4,'Met Data'!$O$2:$T$368,G299,FALSE)</f>
        <v>3.39036465144653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321</v>
      </c>
      <c r="H300" s="95">
        <f t="shared" ca="1" si="46"/>
        <v>45611</v>
      </c>
      <c r="I300" s="119">
        <f ca="1">HLOOKUP($H$4,'Met Data'!$A$2:$F$368,G300,FALSE)</f>
        <v>14.7458333333333</v>
      </c>
      <c r="J300" s="119">
        <f ca="1">HLOOKUP($H$4,'Met Data'!$H$2:$M$368,G300,FALSE)*L300</f>
        <v>5.2166666666666597</v>
      </c>
      <c r="K300" s="96">
        <f ca="1">HLOOKUP($H$4,'Met Data'!$O$2:$T$368,G300,FALSE)</f>
        <v>3.3940384004400501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322</v>
      </c>
      <c r="H301" s="95">
        <f t="shared" ca="1" si="46"/>
        <v>45612</v>
      </c>
      <c r="I301" s="119">
        <f ca="1">HLOOKUP($H$4,'Met Data'!$A$2:$F$368,G301,FALSE)</f>
        <v>14.945833333333301</v>
      </c>
      <c r="J301" s="119">
        <f ca="1">HLOOKUP($H$4,'Met Data'!$H$2:$M$368,G301,FALSE)*L301</f>
        <v>5.3333333333333304</v>
      </c>
      <c r="K301" s="96">
        <f ca="1">HLOOKUP($H$4,'Met Data'!$O$2:$T$368,G301,FALSE)</f>
        <v>2.86263659321907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323</v>
      </c>
      <c r="H302" s="95">
        <f t="shared" ca="1" si="46"/>
        <v>45613</v>
      </c>
      <c r="I302" s="119">
        <f ca="1">HLOOKUP($H$4,'Met Data'!$A$2:$F$368,G302,FALSE)</f>
        <v>14.45</v>
      </c>
      <c r="J302" s="119">
        <f ca="1">HLOOKUP($H$4,'Met Data'!$H$2:$M$368,G302,FALSE)*L302</f>
        <v>6.0833333333333304</v>
      </c>
      <c r="K302" s="96">
        <f ca="1">HLOOKUP($H$4,'Met Data'!$O$2:$T$368,G302,FALSE)</f>
        <v>3.2654882571522399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324</v>
      </c>
      <c r="H303" s="95">
        <f t="shared" ca="1" si="46"/>
        <v>45614</v>
      </c>
      <c r="I303" s="119">
        <f ca="1">HLOOKUP($H$4,'Met Data'!$A$2:$F$368,G303,FALSE)</f>
        <v>13.941666666666601</v>
      </c>
      <c r="J303" s="119">
        <f ca="1">HLOOKUP($H$4,'Met Data'!$H$2:$M$368,G303,FALSE)*L303</f>
        <v>0.98333333333333295</v>
      </c>
      <c r="K303" s="96">
        <f ca="1">HLOOKUP($H$4,'Met Data'!$O$2:$T$368,G303,FALSE)</f>
        <v>3.5976260978488002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325</v>
      </c>
      <c r="H304" s="95">
        <f t="shared" ca="1" si="46"/>
        <v>45615</v>
      </c>
      <c r="I304" s="119">
        <f ca="1">HLOOKUP($H$4,'Met Data'!$A$2:$F$368,G304,FALSE)</f>
        <v>14.1208333333333</v>
      </c>
      <c r="J304" s="119">
        <f ca="1">HLOOKUP($H$4,'Met Data'!$H$2:$M$368,G304,FALSE)*L304</f>
        <v>2.36666666666666</v>
      </c>
      <c r="K304" s="96">
        <f ca="1">HLOOKUP($H$4,'Met Data'!$O$2:$T$368,G304,FALSE)</f>
        <v>3.2574752266568199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326</v>
      </c>
      <c r="H305" s="95">
        <f t="shared" ca="1" si="46"/>
        <v>45616</v>
      </c>
      <c r="I305" s="119">
        <f ca="1">HLOOKUP($H$4,'Met Data'!$A$2:$F$368,G305,FALSE)</f>
        <v>14.2</v>
      </c>
      <c r="J305" s="119">
        <f ca="1">HLOOKUP($H$4,'Met Data'!$H$2:$M$368,G305,FALSE)*L305</f>
        <v>1.4166666666666601</v>
      </c>
      <c r="K305" s="96">
        <f ca="1">HLOOKUP($H$4,'Met Data'!$O$2:$T$368,G305,FALSE)</f>
        <v>3.2248407363783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327</v>
      </c>
      <c r="H306" s="95">
        <f t="shared" ca="1" si="46"/>
        <v>45617</v>
      </c>
      <c r="I306" s="119">
        <f ca="1">HLOOKUP($H$4,'Met Data'!$A$2:$F$368,G306,FALSE)</f>
        <v>14.2916666666666</v>
      </c>
      <c r="J306" s="119">
        <f ca="1">HLOOKUP($H$4,'Met Data'!$H$2:$M$368,G306,FALSE)*L306</f>
        <v>1.2333333333333301</v>
      </c>
      <c r="K306" s="96">
        <f ca="1">HLOOKUP($H$4,'Met Data'!$O$2:$T$368,G306,FALSE)</f>
        <v>3.2303061956604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328</v>
      </c>
      <c r="H307" s="95">
        <f t="shared" ca="1" si="46"/>
        <v>45618</v>
      </c>
      <c r="I307" s="119">
        <f ca="1">HLOOKUP($H$4,'Met Data'!$A$2:$F$368,G307,FALSE)</f>
        <v>14.8666666666666</v>
      </c>
      <c r="J307" s="119">
        <f ca="1">HLOOKUP($H$4,'Met Data'!$H$2:$M$368,G307,FALSE)*L307</f>
        <v>0.21666666666666601</v>
      </c>
      <c r="K307" s="96">
        <f ca="1">HLOOKUP($H$4,'Met Data'!$O$2:$T$368,G307,FALSE)</f>
        <v>3.8851743269165699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329</v>
      </c>
      <c r="H308" s="95">
        <f t="shared" ca="1" si="46"/>
        <v>45619</v>
      </c>
      <c r="I308" s="119">
        <f ca="1">HLOOKUP($H$4,'Met Data'!$A$2:$F$368,G308,FALSE)</f>
        <v>14.875</v>
      </c>
      <c r="J308" s="119">
        <f ca="1">HLOOKUP($H$4,'Met Data'!$H$2:$M$368,G308,FALSE)*L308</f>
        <v>1.8333333333333299</v>
      </c>
      <c r="K308" s="96">
        <f ca="1">HLOOKUP($H$4,'Met Data'!$O$2:$T$368,G308,FALSE)</f>
        <v>3.3424019609463702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330</v>
      </c>
      <c r="H309" s="95">
        <f t="shared" ca="1" si="46"/>
        <v>45620</v>
      </c>
      <c r="I309" s="119">
        <f ca="1">HLOOKUP($H$4,'Met Data'!$A$2:$F$368,G309,FALSE)</f>
        <v>15.8125</v>
      </c>
      <c r="J309" s="119">
        <f ca="1">HLOOKUP($H$4,'Met Data'!$H$2:$M$368,G309,FALSE)*L309</f>
        <v>2.0166666666666599</v>
      </c>
      <c r="K309" s="96">
        <f ca="1">HLOOKUP($H$4,'Met Data'!$O$2:$T$368,G309,FALSE)</f>
        <v>3.2688322627941302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331</v>
      </c>
      <c r="H310" s="95">
        <f t="shared" ca="1" si="46"/>
        <v>45621</v>
      </c>
      <c r="I310" s="119">
        <f ca="1">HLOOKUP($H$4,'Met Data'!$A$2:$F$368,G310,FALSE)</f>
        <v>15.945833333333301</v>
      </c>
      <c r="J310" s="119">
        <f ca="1">HLOOKUP($H$4,'Met Data'!$H$2:$M$368,G310,FALSE)*L310</f>
        <v>5.8833333333333302</v>
      </c>
      <c r="K310" s="96">
        <f ca="1">HLOOKUP($H$4,'Met Data'!$O$2:$T$368,G310,FALSE)</f>
        <v>3.26798762006384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332</v>
      </c>
      <c r="H311" s="95">
        <f t="shared" ca="1" si="46"/>
        <v>45622</v>
      </c>
      <c r="I311" s="119">
        <f ca="1">HLOOKUP($H$4,'Met Data'!$A$2:$F$368,G311,FALSE)</f>
        <v>16.279166666666601</v>
      </c>
      <c r="J311" s="119">
        <f ca="1">HLOOKUP($H$4,'Met Data'!$H$2:$M$368,G311,FALSE)*L311</f>
        <v>1.4833333333333301</v>
      </c>
      <c r="K311" s="96">
        <f ca="1">HLOOKUP($H$4,'Met Data'!$O$2:$T$368,G311,FALSE)</f>
        <v>3.19082213890132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333</v>
      </c>
      <c r="H312" s="95">
        <f t="shared" ca="1" si="46"/>
        <v>45623</v>
      </c>
      <c r="I312" s="119">
        <f ca="1">HLOOKUP($H$4,'Met Data'!$A$2:$F$368,G312,FALSE)</f>
        <v>16.070833333333301</v>
      </c>
      <c r="J312" s="119">
        <f ca="1">HLOOKUP($H$4,'Met Data'!$H$2:$M$368,G312,FALSE)*L312</f>
        <v>7.43333333333333</v>
      </c>
      <c r="K312" s="96">
        <f ca="1">HLOOKUP($H$4,'Met Data'!$O$2:$T$368,G312,FALSE)</f>
        <v>3.00999975823754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334</v>
      </c>
      <c r="H313" s="95">
        <f t="shared" ca="1" si="46"/>
        <v>45624</v>
      </c>
      <c r="I313" s="119">
        <f ca="1">HLOOKUP($H$4,'Met Data'!$A$2:$F$368,G313,FALSE)</f>
        <v>15.033333333333299</v>
      </c>
      <c r="J313" s="119">
        <f ca="1">HLOOKUP($H$4,'Met Data'!$H$2:$M$368,G313,FALSE)*L313</f>
        <v>0.66666666666666596</v>
      </c>
      <c r="K313" s="96">
        <f ca="1">HLOOKUP($H$4,'Met Data'!$O$2:$T$368,G313,FALSE)</f>
        <v>4.1701433642644803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335</v>
      </c>
      <c r="H314" s="95">
        <f t="shared" ca="1" si="46"/>
        <v>45625</v>
      </c>
      <c r="I314" s="119">
        <f ca="1">HLOOKUP($H$4,'Met Data'!$A$2:$F$368,G314,FALSE)</f>
        <v>16.1166666666666</v>
      </c>
      <c r="J314" s="119">
        <f ca="1">HLOOKUP($H$4,'Met Data'!$H$2:$M$368,G314,FALSE)*L314</f>
        <v>5.2333333333333298</v>
      </c>
      <c r="K314" s="96">
        <f ca="1">HLOOKUP($H$4,'Met Data'!$O$2:$T$368,G314,FALSE)</f>
        <v>3.7664149911337801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336</v>
      </c>
      <c r="H315" s="95">
        <f t="shared" ca="1" si="46"/>
        <v>45626</v>
      </c>
      <c r="I315" s="119">
        <f ca="1">HLOOKUP($H$4,'Met Data'!$A$2:$F$368,G315,FALSE)</f>
        <v>15.887499999999999</v>
      </c>
      <c r="J315" s="119">
        <f ca="1">HLOOKUP($H$4,'Met Data'!$H$2:$M$368,G315,FALSE)*L315</f>
        <v>6.75</v>
      </c>
      <c r="K315" s="96">
        <f ca="1">HLOOKUP($H$4,'Met Data'!$O$2:$T$368,G315,FALSE)</f>
        <v>3.2490041935251899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337</v>
      </c>
      <c r="H316" s="95">
        <f t="shared" ca="1" si="46"/>
        <v>45627</v>
      </c>
      <c r="I316" s="119">
        <f ca="1">HLOOKUP($H$4,'Met Data'!$A$2:$F$368,G316,FALSE)</f>
        <v>16.1458333333333</v>
      </c>
      <c r="J316" s="119">
        <f ca="1">HLOOKUP($H$4,'Met Data'!$H$2:$M$368,G316,FALSE)*L316</f>
        <v>1.0833333333333299</v>
      </c>
      <c r="K316" s="96">
        <f ca="1">HLOOKUP($H$4,'Met Data'!$O$2:$T$368,G316,FALSE)</f>
        <v>3.8649058322152201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338</v>
      </c>
      <c r="H317" s="95">
        <f t="shared" ca="1" si="46"/>
        <v>45628</v>
      </c>
      <c r="I317" s="119">
        <f ca="1">HLOOKUP($H$4,'Met Data'!$A$2:$F$368,G317,FALSE)</f>
        <v>16.0625</v>
      </c>
      <c r="J317" s="119">
        <f ca="1">HLOOKUP($H$4,'Met Data'!$H$2:$M$368,G317,FALSE)*L317</f>
        <v>2.2666666666666599</v>
      </c>
      <c r="K317" s="96">
        <f ca="1">HLOOKUP($H$4,'Met Data'!$O$2:$T$368,G317,FALSE)</f>
        <v>3.3633315244434101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339</v>
      </c>
      <c r="H318" s="95">
        <f t="shared" ca="1" si="46"/>
        <v>45629</v>
      </c>
      <c r="I318" s="119">
        <f ca="1">HLOOKUP($H$4,'Met Data'!$A$2:$F$368,G318,FALSE)</f>
        <v>16.591666666666601</v>
      </c>
      <c r="J318" s="119">
        <f ca="1">HLOOKUP($H$4,'Met Data'!$H$2:$M$368,G318,FALSE)*L318</f>
        <v>3.0333333333333301</v>
      </c>
      <c r="K318" s="96">
        <f ca="1">HLOOKUP($H$4,'Met Data'!$O$2:$T$368,G318,FALSE)</f>
        <v>3.8332290024095501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340</v>
      </c>
      <c r="H319" s="95">
        <f t="shared" ca="1" si="46"/>
        <v>45630</v>
      </c>
      <c r="I319" s="119">
        <f ca="1">HLOOKUP($H$4,'Met Data'!$A$2:$F$368,G319,FALSE)</f>
        <v>16.441666666666599</v>
      </c>
      <c r="J319" s="119">
        <f ca="1">HLOOKUP($H$4,'Met Data'!$H$2:$M$368,G319,FALSE)*L319</f>
        <v>1.0833333333333299</v>
      </c>
      <c r="K319" s="96">
        <f ca="1">HLOOKUP($H$4,'Met Data'!$O$2:$T$368,G319,FALSE)</f>
        <v>3.3753600087216298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341</v>
      </c>
      <c r="H320" s="95">
        <f t="shared" ca="1" si="46"/>
        <v>45631</v>
      </c>
      <c r="I320" s="119">
        <f ca="1">HLOOKUP($H$4,'Met Data'!$A$2:$F$368,G320,FALSE)</f>
        <v>16.454166666666602</v>
      </c>
      <c r="J320" s="119">
        <f ca="1">HLOOKUP($H$4,'Met Data'!$H$2:$M$368,G320,FALSE)*L320</f>
        <v>2.61666666666666</v>
      </c>
      <c r="K320" s="96">
        <f ca="1">HLOOKUP($H$4,'Met Data'!$O$2:$T$368,G320,FALSE)</f>
        <v>2.8811659068389401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342</v>
      </c>
      <c r="H321" s="95">
        <f t="shared" ca="1" si="46"/>
        <v>45632</v>
      </c>
      <c r="I321" s="119">
        <f ca="1">HLOOKUP($H$4,'Met Data'!$A$2:$F$368,G321,FALSE)</f>
        <v>15.879166666666601</v>
      </c>
      <c r="J321" s="119">
        <f ca="1">HLOOKUP($H$4,'Met Data'!$H$2:$M$368,G321,FALSE)*L321</f>
        <v>3.1</v>
      </c>
      <c r="K321" s="96">
        <f ca="1">HLOOKUP($H$4,'Met Data'!$O$2:$T$368,G321,FALSE)</f>
        <v>3.4185168625157498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343</v>
      </c>
      <c r="H322" s="95">
        <f t="shared" ca="1" si="46"/>
        <v>45633</v>
      </c>
      <c r="I322" s="119">
        <f ca="1">HLOOKUP($H$4,'Met Data'!$A$2:$F$368,G322,FALSE)</f>
        <v>15.259090909090901</v>
      </c>
      <c r="J322" s="119">
        <f ca="1">HLOOKUP($H$4,'Met Data'!$H$2:$M$368,G322,FALSE)*L322</f>
        <v>6.1090909090908996</v>
      </c>
      <c r="K322" s="96">
        <f ca="1">HLOOKUP($H$4,'Met Data'!$O$2:$T$368,G322,FALSE)</f>
        <v>2.9122766026990501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344</v>
      </c>
      <c r="H323" s="95">
        <f t="shared" ca="1" si="46"/>
        <v>45634</v>
      </c>
      <c r="I323" s="119">
        <f ca="1">HLOOKUP($H$4,'Met Data'!$A$2:$F$368,G323,FALSE)</f>
        <v>15.9125</v>
      </c>
      <c r="J323" s="119">
        <f ca="1">HLOOKUP($H$4,'Met Data'!$H$2:$M$368,G323,FALSE)*L323</f>
        <v>1.7833333333333301</v>
      </c>
      <c r="K323" s="96">
        <f ca="1">HLOOKUP($H$4,'Met Data'!$O$2:$T$368,G323,FALSE)</f>
        <v>3.7124167377990198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345</v>
      </c>
      <c r="H324" s="95">
        <f t="shared" ca="1" si="46"/>
        <v>45635</v>
      </c>
      <c r="I324" s="119">
        <f ca="1">HLOOKUP($H$4,'Met Data'!$A$2:$F$368,G324,FALSE)</f>
        <v>16.720833333333299</v>
      </c>
      <c r="J324" s="119">
        <f ca="1">HLOOKUP($H$4,'Met Data'!$H$2:$M$368,G324,FALSE)*L324</f>
        <v>6.61666666666666</v>
      </c>
      <c r="K324" s="96">
        <f ca="1">HLOOKUP($H$4,'Met Data'!$O$2:$T$368,G324,FALSE)</f>
        <v>3.19412245919293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346</v>
      </c>
      <c r="H325" s="95">
        <f t="shared" ca="1" si="46"/>
        <v>45636</v>
      </c>
      <c r="I325" s="119">
        <f ca="1">HLOOKUP($H$4,'Met Data'!$A$2:$F$368,G325,FALSE)</f>
        <v>17.529166666666601</v>
      </c>
      <c r="J325" s="119">
        <f ca="1">HLOOKUP($H$4,'Met Data'!$H$2:$M$368,G325,FALSE)*L325</f>
        <v>2.0333333333333301</v>
      </c>
      <c r="K325" s="96">
        <f ca="1">HLOOKUP($H$4,'Met Data'!$O$2:$T$368,G325,FALSE)</f>
        <v>3.0664285414958901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347</v>
      </c>
      <c r="H326" s="95">
        <f t="shared" ca="1" si="46"/>
        <v>45637</v>
      </c>
      <c r="I326" s="119">
        <f ca="1">HLOOKUP($H$4,'Met Data'!$A$2:$F$368,G326,FALSE)</f>
        <v>17.004166666666599</v>
      </c>
      <c r="J326" s="119">
        <f ca="1">HLOOKUP($H$4,'Met Data'!$H$2:$M$368,G326,FALSE)*L326</f>
        <v>2.4666666666666601</v>
      </c>
      <c r="K326" s="96">
        <f ca="1">HLOOKUP($H$4,'Met Data'!$O$2:$T$368,G326,FALSE)</f>
        <v>3.6044975025694099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ref="G327:G390" ca="1" si="54">H327-DATE(YEAR(H327),1,0)+1</f>
        <v>348</v>
      </c>
      <c r="H327" s="95">
        <f t="shared" ca="1" si="46"/>
        <v>45638</v>
      </c>
      <c r="I327" s="119">
        <f ca="1">HLOOKUP($H$4,'Met Data'!$A$2:$F$368,G327,FALSE)</f>
        <v>16.883333333333301</v>
      </c>
      <c r="J327" s="119">
        <f ca="1">HLOOKUP($H$4,'Met Data'!$H$2:$M$368,G327,FALSE)*L327</f>
        <v>1.7333333333333301</v>
      </c>
      <c r="K327" s="96">
        <f ca="1">HLOOKUP($H$4,'Met Data'!$O$2:$T$368,G327,FALSE)</f>
        <v>4.1436131117359496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ca="1" si="54"/>
        <v>349</v>
      </c>
      <c r="H328" s="95">
        <f t="shared" ref="H328:H391" ca="1" si="56">H327+1</f>
        <v>45639</v>
      </c>
      <c r="I328" s="119">
        <f ca="1">HLOOKUP($H$4,'Met Data'!$A$2:$F$368,G328,FALSE)</f>
        <v>16.191666666666599</v>
      </c>
      <c r="J328" s="119">
        <f ca="1">HLOOKUP($H$4,'Met Data'!$H$2:$M$368,G328,FALSE)*L328</f>
        <v>1.5333333333333301</v>
      </c>
      <c r="K328" s="96">
        <f ca="1">HLOOKUP($H$4,'Met Data'!$O$2:$T$368,G328,FALSE)</f>
        <v>3.8138486605430502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350</v>
      </c>
      <c r="H329" s="95">
        <f t="shared" ca="1" si="56"/>
        <v>45640</v>
      </c>
      <c r="I329" s="119">
        <f ca="1">HLOOKUP($H$4,'Met Data'!$A$2:$F$368,G329,FALSE)</f>
        <v>15.754166666666601</v>
      </c>
      <c r="J329" s="119">
        <f ca="1">HLOOKUP($H$4,'Met Data'!$H$2:$M$368,G329,FALSE)*L329</f>
        <v>4.9166666666666599</v>
      </c>
      <c r="K329" s="96">
        <f ca="1">HLOOKUP($H$4,'Met Data'!$O$2:$T$368,G329,FALSE)</f>
        <v>4.2245531095694204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351</v>
      </c>
      <c r="H330" s="95">
        <f t="shared" ca="1" si="56"/>
        <v>45641</v>
      </c>
      <c r="I330" s="119">
        <f ca="1">HLOOKUP($H$4,'Met Data'!$A$2:$F$368,G330,FALSE)</f>
        <v>16.766666666666602</v>
      </c>
      <c r="J330" s="119">
        <f ca="1">HLOOKUP($H$4,'Met Data'!$H$2:$M$368,G330,FALSE)*L330</f>
        <v>1.5999999999999901</v>
      </c>
      <c r="K330" s="96">
        <f ca="1">HLOOKUP($H$4,'Met Data'!$O$2:$T$368,G330,FALSE)</f>
        <v>4.0567025040665996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352</v>
      </c>
      <c r="H331" s="95">
        <f t="shared" ca="1" si="56"/>
        <v>45642</v>
      </c>
      <c r="I331" s="119">
        <f ca="1">HLOOKUP($H$4,'Met Data'!$A$2:$F$368,G331,FALSE)</f>
        <v>16.766666666666602</v>
      </c>
      <c r="J331" s="119">
        <f ca="1">HLOOKUP($H$4,'Met Data'!$H$2:$M$368,G331,FALSE)*L331</f>
        <v>4.3166666666666602</v>
      </c>
      <c r="K331" s="96">
        <f ca="1">HLOOKUP($H$4,'Met Data'!$O$2:$T$368,G331,FALSE)</f>
        <v>3.8858032497445998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ref="AG331:AG394" ca="1" si="57">Q330+S331+T331+U331</f>
        <v>#N/A</v>
      </c>
      <c r="AH331" s="63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>
      <c r="G332" s="3">
        <f t="shared" ca="1" si="54"/>
        <v>353</v>
      </c>
      <c r="H332" s="95">
        <f t="shared" ca="1" si="56"/>
        <v>45643</v>
      </c>
      <c r="I332" s="119">
        <f ca="1">HLOOKUP($H$4,'Met Data'!$A$2:$F$368,G332,FALSE)</f>
        <v>17.191666666666599</v>
      </c>
      <c r="J332" s="119">
        <f ca="1">HLOOKUP($H$4,'Met Data'!$H$2:$M$368,G332,FALSE)*L332</f>
        <v>1.25</v>
      </c>
      <c r="K332" s="96">
        <f ca="1">HLOOKUP($H$4,'Met Data'!$O$2:$T$368,G332,FALSE)</f>
        <v>3.5439221574521702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ca="1" si="57"/>
        <v>#N/A</v>
      </c>
      <c r="AH332" s="63" t="e">
        <f t="shared" ca="1" si="58"/>
        <v>#N/A</v>
      </c>
      <c r="AI332" s="3" t="e">
        <f t="shared" ca="1" si="59"/>
        <v>#N/A</v>
      </c>
    </row>
    <row r="333" spans="7:35">
      <c r="G333" s="3">
        <f t="shared" ca="1" si="54"/>
        <v>354</v>
      </c>
      <c r="H333" s="95">
        <f t="shared" ca="1" si="56"/>
        <v>45644</v>
      </c>
      <c r="I333" s="119">
        <f ca="1">HLOOKUP($H$4,'Met Data'!$A$2:$F$368,G333,FALSE)</f>
        <v>16.725000000000001</v>
      </c>
      <c r="J333" s="119">
        <f ca="1">HLOOKUP($H$4,'Met Data'!$H$2:$M$368,G333,FALSE)*L333</f>
        <v>6.43333333333333</v>
      </c>
      <c r="K333" s="96">
        <f ca="1">HLOOKUP($H$4,'Met Data'!$O$2:$T$368,G333,FALSE)</f>
        <v>2.7226403112081199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355</v>
      </c>
      <c r="H334" s="95">
        <f t="shared" ca="1" si="56"/>
        <v>45645</v>
      </c>
      <c r="I334" s="119">
        <f ca="1">HLOOKUP($H$4,'Met Data'!$A$2:$F$368,G334,FALSE)</f>
        <v>15.9625</v>
      </c>
      <c r="J334" s="119">
        <f ca="1">HLOOKUP($H$4,'Met Data'!$H$2:$M$368,G334,FALSE)*L334</f>
        <v>4.3333333333333304</v>
      </c>
      <c r="K334" s="96">
        <f ca="1">HLOOKUP($H$4,'Met Data'!$O$2:$T$368,G334,FALSE)</f>
        <v>3.7253118866284498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356</v>
      </c>
      <c r="H335" s="95">
        <f t="shared" ca="1" si="56"/>
        <v>45646</v>
      </c>
      <c r="I335" s="119">
        <f ca="1">HLOOKUP($H$4,'Met Data'!$A$2:$F$368,G335,FALSE)</f>
        <v>16.074999999999999</v>
      </c>
      <c r="J335" s="119">
        <f ca="1">HLOOKUP($H$4,'Met Data'!$H$2:$M$368,G335,FALSE)*L335</f>
        <v>0.89999999999999902</v>
      </c>
      <c r="K335" s="96">
        <f ca="1">HLOOKUP($H$4,'Met Data'!$O$2:$T$368,G335,FALSE)</f>
        <v>3.69045556475041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357</v>
      </c>
      <c r="H336" s="95">
        <f t="shared" ca="1" si="56"/>
        <v>45647</v>
      </c>
      <c r="I336" s="119">
        <f ca="1">HLOOKUP($H$4,'Met Data'!$A$2:$F$368,G336,FALSE)</f>
        <v>16.1458333333333</v>
      </c>
      <c r="J336" s="119">
        <f ca="1">HLOOKUP($H$4,'Met Data'!$H$2:$M$368,G336,FALSE)*L336</f>
        <v>0.78333333333333299</v>
      </c>
      <c r="K336" s="96">
        <f ca="1">HLOOKUP($H$4,'Met Data'!$O$2:$T$368,G336,FALSE)</f>
        <v>3.66376320931905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358</v>
      </c>
      <c r="H337" s="95">
        <f t="shared" ca="1" si="56"/>
        <v>45648</v>
      </c>
      <c r="I337" s="119">
        <f ca="1">HLOOKUP($H$4,'Met Data'!$A$2:$F$368,G337,FALSE)</f>
        <v>16.820833333333301</v>
      </c>
      <c r="J337" s="119">
        <f ca="1">HLOOKUP($H$4,'Met Data'!$H$2:$M$368,G337,FALSE)*L337</f>
        <v>1.1666666666666601</v>
      </c>
      <c r="K337" s="96">
        <f ca="1">HLOOKUP($H$4,'Met Data'!$O$2:$T$368,G337,FALSE)</f>
        <v>4.2904592235930501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359</v>
      </c>
      <c r="H338" s="95">
        <f t="shared" ca="1" si="56"/>
        <v>45649</v>
      </c>
      <c r="I338" s="119">
        <f ca="1">HLOOKUP($H$4,'Met Data'!$A$2:$F$368,G338,FALSE)</f>
        <v>16.883333333333301</v>
      </c>
      <c r="J338" s="119">
        <f ca="1">HLOOKUP($H$4,'Met Data'!$H$2:$M$368,G338,FALSE)*L338</f>
        <v>4.1499999999999897</v>
      </c>
      <c r="K338" s="96">
        <f ca="1">HLOOKUP($H$4,'Met Data'!$O$2:$T$368,G338,FALSE)</f>
        <v>3.61274265774352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360</v>
      </c>
      <c r="H339" s="95">
        <f t="shared" ca="1" si="56"/>
        <v>45650</v>
      </c>
      <c r="I339" s="119">
        <f ca="1">HLOOKUP($H$4,'Met Data'!$A$2:$F$368,G339,FALSE)</f>
        <v>17.399999999999999</v>
      </c>
      <c r="J339" s="119">
        <f ca="1">HLOOKUP($H$4,'Met Data'!$H$2:$M$368,G339,FALSE)*L339</f>
        <v>5.0166666666666604</v>
      </c>
      <c r="K339" s="96">
        <f ca="1">HLOOKUP($H$4,'Met Data'!$O$2:$T$368,G339,FALSE)</f>
        <v>4.09028075025509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361</v>
      </c>
      <c r="H340" s="95">
        <f t="shared" ca="1" si="56"/>
        <v>45651</v>
      </c>
      <c r="I340" s="119">
        <f ca="1">HLOOKUP($H$4,'Met Data'!$A$2:$F$368,G340,FALSE)</f>
        <v>17.920833333333299</v>
      </c>
      <c r="J340" s="119">
        <f ca="1">HLOOKUP($H$4,'Met Data'!$H$2:$M$368,G340,FALSE)*L340</f>
        <v>0.56666666666666599</v>
      </c>
      <c r="K340" s="96">
        <f ca="1">HLOOKUP($H$4,'Met Data'!$O$2:$T$368,G340,FALSE)</f>
        <v>4.1244552423616296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362</v>
      </c>
      <c r="H341" s="95">
        <f t="shared" ca="1" si="56"/>
        <v>45652</v>
      </c>
      <c r="I341" s="119">
        <f ca="1">HLOOKUP($H$4,'Met Data'!$A$2:$F$368,G341,FALSE)</f>
        <v>17.537500000000001</v>
      </c>
      <c r="J341" s="119">
        <f ca="1">HLOOKUP($H$4,'Met Data'!$H$2:$M$368,G341,FALSE)*L341</f>
        <v>1.2833333333333301</v>
      </c>
      <c r="K341" s="96">
        <f ca="1">HLOOKUP($H$4,'Met Data'!$O$2:$T$368,G341,FALSE)</f>
        <v>4.3692883234689903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363</v>
      </c>
      <c r="H342" s="95">
        <f t="shared" ca="1" si="56"/>
        <v>45653</v>
      </c>
      <c r="I342" s="119">
        <f ca="1">HLOOKUP($H$4,'Met Data'!$A$2:$F$368,G342,FALSE)</f>
        <v>17.012499999999999</v>
      </c>
      <c r="J342" s="119">
        <f ca="1">HLOOKUP($H$4,'Met Data'!$H$2:$M$368,G342,FALSE)*L342</f>
        <v>1.5833333333333299</v>
      </c>
      <c r="K342" s="96">
        <f ca="1">HLOOKUP($H$4,'Met Data'!$O$2:$T$368,G342,FALSE)</f>
        <v>3.8686759650684999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364</v>
      </c>
      <c r="H343" s="95">
        <f t="shared" ca="1" si="56"/>
        <v>45654</v>
      </c>
      <c r="I343" s="119">
        <f ca="1">HLOOKUP($H$4,'Met Data'!$A$2:$F$368,G343,FALSE)</f>
        <v>17.1041666666666</v>
      </c>
      <c r="J343" s="119">
        <f ca="1">HLOOKUP($H$4,'Met Data'!$H$2:$M$368,G343,FALSE)*L343</f>
        <v>4.2833333333333297</v>
      </c>
      <c r="K343" s="96">
        <f ca="1">HLOOKUP($H$4,'Met Data'!$O$2:$T$368,G343,FALSE)</f>
        <v>3.65125453231978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365</v>
      </c>
      <c r="H344" s="95">
        <f t="shared" ca="1" si="56"/>
        <v>45655</v>
      </c>
      <c r="I344" s="119">
        <f ca="1">HLOOKUP($H$4,'Met Data'!$A$2:$F$368,G344,FALSE)</f>
        <v>17.0541666666666</v>
      </c>
      <c r="J344" s="119">
        <f ca="1">HLOOKUP($H$4,'Met Data'!$H$2:$M$368,G344,FALSE)*L344</f>
        <v>3.68333333333333</v>
      </c>
      <c r="K344" s="96">
        <f ca="1">HLOOKUP($H$4,'Met Data'!$O$2:$T$368,G344,FALSE)</f>
        <v>3.3111049356888498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366</v>
      </c>
      <c r="H345" s="95">
        <f t="shared" ca="1" si="56"/>
        <v>45656</v>
      </c>
      <c r="I345" s="119">
        <f ca="1">HLOOKUP($H$4,'Met Data'!$A$2:$F$368,G345,FALSE)</f>
        <v>16.6875</v>
      </c>
      <c r="J345" s="119">
        <f ca="1">HLOOKUP($H$4,'Met Data'!$H$2:$M$368,G345,FALSE)*L345</f>
        <v>4.68333333333333</v>
      </c>
      <c r="K345" s="96">
        <f ca="1">HLOOKUP($H$4,'Met Data'!$O$2:$T$368,G345,FALSE)</f>
        <v>3.7095349810249001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367</v>
      </c>
      <c r="H346" s="95">
        <f t="shared" ca="1" si="56"/>
        <v>45657</v>
      </c>
      <c r="I346" s="119">
        <f ca="1">HLOOKUP($H$4,'Met Data'!$A$2:$F$368,G346,FALSE)</f>
        <v>15.483333333333301</v>
      </c>
      <c r="J346" s="119">
        <f ca="1">HLOOKUP($H$4,'Met Data'!$H$2:$M$368,G346,FALSE)*L346</f>
        <v>0</v>
      </c>
      <c r="K346" s="96">
        <f ca="1">HLOOKUP($H$4,'Met Data'!$O$2:$T$368,G346,FALSE)</f>
        <v>5.2329405479025102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2</v>
      </c>
      <c r="H347" s="95">
        <f t="shared" ca="1" si="56"/>
        <v>45658</v>
      </c>
      <c r="I347" s="119">
        <f ca="1">HLOOKUP($H$4,'Met Data'!$A$2:$F$368,G347,FALSE)</f>
        <v>17.908333333333299</v>
      </c>
      <c r="J347" s="119">
        <f ca="1">HLOOKUP($H$4,'Met Data'!$H$2:$M$368,G347,FALSE)*L347</f>
        <v>2.5499999999999998</v>
      </c>
      <c r="K347" s="96">
        <f ca="1">HLOOKUP($H$4,'Met Data'!$O$2:$T$368,G347,FALSE)</f>
        <v>3.6545263506553698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3</v>
      </c>
      <c r="H348" s="95">
        <f t="shared" ca="1" si="56"/>
        <v>45659</v>
      </c>
      <c r="I348" s="119">
        <f ca="1">HLOOKUP($H$4,'Met Data'!$A$2:$F$368,G348,FALSE)</f>
        <v>18.454166666666602</v>
      </c>
      <c r="J348" s="119">
        <f ca="1">HLOOKUP($H$4,'Met Data'!$H$2:$M$368,G348,FALSE)*L348</f>
        <v>2.3166666666666602</v>
      </c>
      <c r="K348" s="96">
        <f ca="1">HLOOKUP($H$4,'Met Data'!$O$2:$T$368,G348,FALSE)</f>
        <v>3.0374578661788201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4</v>
      </c>
      <c r="H349" s="95">
        <f t="shared" ca="1" si="56"/>
        <v>45660</v>
      </c>
      <c r="I349" s="119">
        <f ca="1">HLOOKUP($H$4,'Met Data'!$A$2:$F$368,G349,FALSE)</f>
        <v>18.4916666666666</v>
      </c>
      <c r="J349" s="119">
        <f ca="1">HLOOKUP($H$4,'Met Data'!$H$2:$M$368,G349,FALSE)*L349</f>
        <v>6.6333333333333302</v>
      </c>
      <c r="K349" s="96">
        <f ca="1">HLOOKUP($H$4,'Met Data'!$O$2:$T$368,G349,FALSE)</f>
        <v>3.5424660833564698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5</v>
      </c>
      <c r="H350" s="95">
        <f t="shared" ca="1" si="56"/>
        <v>45661</v>
      </c>
      <c r="I350" s="119">
        <f ca="1">HLOOKUP($H$4,'Met Data'!$A$2:$F$368,G350,FALSE)</f>
        <v>17</v>
      </c>
      <c r="J350" s="119">
        <f ca="1">HLOOKUP($H$4,'Met Data'!$H$2:$M$368,G350,FALSE)*L350</f>
        <v>1.93333333333333</v>
      </c>
      <c r="K350" s="96">
        <f ca="1">HLOOKUP($H$4,'Met Data'!$O$2:$T$368,G350,FALSE)</f>
        <v>4.6893309655458602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6</v>
      </c>
      <c r="H351" s="95">
        <f t="shared" ca="1" si="56"/>
        <v>45662</v>
      </c>
      <c r="I351" s="119">
        <f ca="1">HLOOKUP($H$4,'Met Data'!$A$2:$F$368,G351,FALSE)</f>
        <v>16.4166666666666</v>
      </c>
      <c r="J351" s="119">
        <f ca="1">HLOOKUP($H$4,'Met Data'!$H$2:$M$368,G351,FALSE)*L351</f>
        <v>2.9833333333333298</v>
      </c>
      <c r="K351" s="96">
        <f ca="1">HLOOKUP($H$4,'Met Data'!$O$2:$T$368,G351,FALSE)</f>
        <v>4.0957861961112103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7</v>
      </c>
      <c r="H352" s="95">
        <f t="shared" ca="1" si="56"/>
        <v>45663</v>
      </c>
      <c r="I352" s="119">
        <f ca="1">HLOOKUP($H$4,'Met Data'!$A$2:$F$368,G352,FALSE)</f>
        <v>17.629166666666599</v>
      </c>
      <c r="J352" s="119">
        <f ca="1">HLOOKUP($H$4,'Met Data'!$H$2:$M$368,G352,FALSE)*L352</f>
        <v>0.43333333333333302</v>
      </c>
      <c r="K352" s="96">
        <f ca="1">HLOOKUP($H$4,'Met Data'!$O$2:$T$368,G352,FALSE)</f>
        <v>4.0765351917680999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8</v>
      </c>
      <c r="H353" s="95">
        <f t="shared" ca="1" si="56"/>
        <v>45664</v>
      </c>
      <c r="I353" s="119">
        <f ca="1">HLOOKUP($H$4,'Met Data'!$A$2:$F$368,G353,FALSE)</f>
        <v>17.004166666666599</v>
      </c>
      <c r="J353" s="119">
        <f ca="1">HLOOKUP($H$4,'Met Data'!$H$2:$M$368,G353,FALSE)*L353</f>
        <v>2.7833333333333301</v>
      </c>
      <c r="K353" s="96">
        <f ca="1">HLOOKUP($H$4,'Met Data'!$O$2:$T$368,G353,FALSE)</f>
        <v>3.5869881049730998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9</v>
      </c>
      <c r="H354" s="95">
        <f t="shared" ca="1" si="56"/>
        <v>45665</v>
      </c>
      <c r="I354" s="119">
        <f ca="1">HLOOKUP($H$4,'Met Data'!$A$2:$F$368,G354,FALSE)</f>
        <v>17.433333333333302</v>
      </c>
      <c r="J354" s="119">
        <f ca="1">HLOOKUP($H$4,'Met Data'!$H$2:$M$368,G354,FALSE)*L354</f>
        <v>2.3833333333333302</v>
      </c>
      <c r="K354" s="96">
        <f ca="1">HLOOKUP($H$4,'Met Data'!$O$2:$T$368,G354,FALSE)</f>
        <v>4.2605807421289903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10</v>
      </c>
      <c r="H355" s="95">
        <f t="shared" ca="1" si="56"/>
        <v>45666</v>
      </c>
      <c r="I355" s="119">
        <f ca="1">HLOOKUP($H$4,'Met Data'!$A$2:$F$368,G355,FALSE)</f>
        <v>17.0208333333333</v>
      </c>
      <c r="J355" s="119">
        <f ca="1">HLOOKUP($H$4,'Met Data'!$H$2:$M$368,G355,FALSE)*L355</f>
        <v>0.3</v>
      </c>
      <c r="K355" s="96">
        <f ca="1">HLOOKUP($H$4,'Met Data'!$O$2:$T$368,G355,FALSE)</f>
        <v>4.14669035003873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11</v>
      </c>
      <c r="H356" s="95">
        <f t="shared" ca="1" si="56"/>
        <v>45667</v>
      </c>
      <c r="I356" s="119">
        <f ca="1">HLOOKUP($H$4,'Met Data'!$A$2:$F$368,G356,FALSE)</f>
        <v>17.6041666666666</v>
      </c>
      <c r="J356" s="119">
        <f ca="1">HLOOKUP($H$4,'Met Data'!$H$2:$M$368,G356,FALSE)*L356</f>
        <v>0.88333333333333297</v>
      </c>
      <c r="K356" s="96">
        <f ca="1">HLOOKUP($H$4,'Met Data'!$O$2:$T$368,G356,FALSE)</f>
        <v>3.4815515936566799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12</v>
      </c>
      <c r="H357" s="95">
        <f t="shared" ca="1" si="56"/>
        <v>45668</v>
      </c>
      <c r="I357" s="119">
        <f ca="1">HLOOKUP($H$4,'Met Data'!$A$2:$F$368,G357,FALSE)</f>
        <v>17.654166666666601</v>
      </c>
      <c r="J357" s="119">
        <f ca="1">HLOOKUP($H$4,'Met Data'!$H$2:$M$368,G357,FALSE)*L357</f>
        <v>0.33333333333333298</v>
      </c>
      <c r="K357" s="96">
        <f ca="1">HLOOKUP($H$4,'Met Data'!$O$2:$T$368,G357,FALSE)</f>
        <v>4.1035718910061201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13</v>
      </c>
      <c r="H358" s="95">
        <f t="shared" ca="1" si="56"/>
        <v>45669</v>
      </c>
      <c r="I358" s="119">
        <f ca="1">HLOOKUP($H$4,'Met Data'!$A$2:$F$368,G358,FALSE)</f>
        <v>18.175000000000001</v>
      </c>
      <c r="J358" s="119">
        <f ca="1">HLOOKUP($H$4,'Met Data'!$H$2:$M$368,G358,FALSE)*L358</f>
        <v>0.96666666666666601</v>
      </c>
      <c r="K358" s="96">
        <f ca="1">HLOOKUP($H$4,'Met Data'!$O$2:$T$368,G358,FALSE)</f>
        <v>3.7942004669494902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14</v>
      </c>
      <c r="H359" s="95">
        <f t="shared" ca="1" si="56"/>
        <v>45670</v>
      </c>
      <c r="I359" s="119">
        <f ca="1">HLOOKUP($H$4,'Met Data'!$A$2:$F$368,G359,FALSE)</f>
        <v>17.883333333333301</v>
      </c>
      <c r="J359" s="119">
        <f ca="1">HLOOKUP($H$4,'Met Data'!$H$2:$M$368,G359,FALSE)*L359</f>
        <v>3.0333333333333301</v>
      </c>
      <c r="K359" s="96">
        <f ca="1">HLOOKUP($H$4,'Met Data'!$O$2:$T$368,G359,FALSE)</f>
        <v>3.9941259720520699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15</v>
      </c>
      <c r="H360" s="95">
        <f t="shared" ca="1" si="56"/>
        <v>45671</v>
      </c>
      <c r="I360" s="119">
        <f ca="1">HLOOKUP($H$4,'Met Data'!$A$2:$F$368,G360,FALSE)</f>
        <v>17.279166666666601</v>
      </c>
      <c r="J360" s="119">
        <f ca="1">HLOOKUP($H$4,'Met Data'!$H$2:$M$368,G360,FALSE)*L360</f>
        <v>2.8833333333333302</v>
      </c>
      <c r="K360" s="96">
        <f ca="1">HLOOKUP($H$4,'Met Data'!$O$2:$T$368,G360,FALSE)</f>
        <v>4.3919546564694203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16</v>
      </c>
      <c r="H361" s="95">
        <f t="shared" ca="1" si="56"/>
        <v>45672</v>
      </c>
      <c r="I361" s="119">
        <f ca="1">HLOOKUP($H$4,'Met Data'!$A$2:$F$368,G361,FALSE)</f>
        <v>17.5208333333333</v>
      </c>
      <c r="J361" s="119">
        <f ca="1">HLOOKUP($H$4,'Met Data'!$H$2:$M$368,G361,FALSE)*L361</f>
        <v>2.5833333333333299</v>
      </c>
      <c r="K361" s="96">
        <f ca="1">HLOOKUP($H$4,'Met Data'!$O$2:$T$368,G361,FALSE)</f>
        <v>4.2128718222508397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17</v>
      </c>
      <c r="H362" s="95">
        <f t="shared" ca="1" si="56"/>
        <v>45673</v>
      </c>
      <c r="I362" s="119">
        <f ca="1">HLOOKUP($H$4,'Met Data'!$A$2:$F$368,G362,FALSE)</f>
        <v>17.970833333333299</v>
      </c>
      <c r="J362" s="119">
        <f ca="1">HLOOKUP($H$4,'Met Data'!$H$2:$M$368,G362,FALSE)*L362</f>
        <v>0.266666666666666</v>
      </c>
      <c r="K362" s="96">
        <f ca="1">HLOOKUP($H$4,'Met Data'!$O$2:$T$368,G362,FALSE)</f>
        <v>4.0252286180437302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18</v>
      </c>
      <c r="H363" s="95">
        <f t="shared" ca="1" si="56"/>
        <v>45674</v>
      </c>
      <c r="I363" s="119">
        <f ca="1">HLOOKUP($H$4,'Met Data'!$A$2:$F$368,G363,FALSE)</f>
        <v>18.2708333333333</v>
      </c>
      <c r="J363" s="119">
        <f ca="1">HLOOKUP($H$4,'Met Data'!$H$2:$M$368,G363,FALSE)*L363</f>
        <v>1.81666666666666</v>
      </c>
      <c r="K363" s="96">
        <f ca="1">HLOOKUP($H$4,'Met Data'!$O$2:$T$368,G363,FALSE)</f>
        <v>4.3125410240098896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19</v>
      </c>
      <c r="H364" s="95">
        <f t="shared" ca="1" si="56"/>
        <v>45675</v>
      </c>
      <c r="I364" s="119">
        <f ca="1">HLOOKUP($H$4,'Met Data'!$A$2:$F$368,G364,FALSE)</f>
        <v>17.954166666666602</v>
      </c>
      <c r="J364" s="119">
        <f ca="1">HLOOKUP($H$4,'Met Data'!$H$2:$M$368,G364,FALSE)*L364</f>
        <v>4.1499999999999897</v>
      </c>
      <c r="K364" s="96">
        <f ca="1">HLOOKUP($H$4,'Met Data'!$O$2:$T$368,G364,FALSE)</f>
        <v>3.9046074195490301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20</v>
      </c>
      <c r="H365" s="95">
        <f t="shared" ca="1" si="56"/>
        <v>45676</v>
      </c>
      <c r="I365" s="119">
        <f ca="1">HLOOKUP($H$4,'Met Data'!$A$2:$F$368,G365,FALSE)</f>
        <v>18.454166666666602</v>
      </c>
      <c r="J365" s="119">
        <f ca="1">HLOOKUP($H$4,'Met Data'!$H$2:$M$368,G365,FALSE)*L365</f>
        <v>2.5166666666666599</v>
      </c>
      <c r="K365" s="96">
        <f ca="1">HLOOKUP($H$4,'Met Data'!$O$2:$T$368,G365,FALSE)</f>
        <v>4.0894627552594898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21</v>
      </c>
      <c r="H366" s="95">
        <f t="shared" ca="1" si="56"/>
        <v>45677</v>
      </c>
      <c r="I366" s="119">
        <f ca="1">HLOOKUP($H$4,'Met Data'!$A$2:$F$368,G366,FALSE)</f>
        <v>18.125</v>
      </c>
      <c r="J366" s="119">
        <f ca="1">HLOOKUP($H$4,'Met Data'!$H$2:$M$368,G366,FALSE)*L366</f>
        <v>3.3333333333333299</v>
      </c>
      <c r="K366" s="96">
        <f ca="1">HLOOKUP($H$4,'Met Data'!$O$2:$T$368,G366,FALSE)</f>
        <v>4.4627747616983804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22</v>
      </c>
      <c r="H367" s="95">
        <f t="shared" ca="1" si="56"/>
        <v>45678</v>
      </c>
      <c r="I367" s="119">
        <f ca="1">HLOOKUP($H$4,'Met Data'!$A$2:$F$368,G367,FALSE)</f>
        <v>17.6791666666666</v>
      </c>
      <c r="J367" s="119">
        <f ca="1">HLOOKUP($H$4,'Met Data'!$H$2:$M$368,G367,FALSE)*L367</f>
        <v>2.4</v>
      </c>
      <c r="K367" s="96">
        <f ca="1">HLOOKUP($H$4,'Met Data'!$O$2:$T$368,G367,FALSE)</f>
        <v>3.8954755691343999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23</v>
      </c>
      <c r="H368" s="95">
        <f t="shared" ca="1" si="56"/>
        <v>45679</v>
      </c>
      <c r="I368" s="119">
        <f ca="1">HLOOKUP($H$4,'Met Data'!$A$2:$F$368,G368,FALSE)</f>
        <v>17.350000000000001</v>
      </c>
      <c r="J368" s="119">
        <f ca="1">HLOOKUP($H$4,'Met Data'!$H$2:$M$368,G368,FALSE)*L368</f>
        <v>2.6333333333333302</v>
      </c>
      <c r="K368" s="96">
        <f ca="1">HLOOKUP($H$4,'Met Data'!$O$2:$T$368,G368,FALSE)</f>
        <v>3.2997711779398098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24</v>
      </c>
      <c r="H369" s="95">
        <f t="shared" ca="1" si="56"/>
        <v>45680</v>
      </c>
      <c r="I369" s="119">
        <f ca="1">HLOOKUP($H$4,'Met Data'!$A$2:$F$368,G369,FALSE)</f>
        <v>17.504166666666599</v>
      </c>
      <c r="J369" s="119">
        <f ca="1">HLOOKUP($H$4,'Met Data'!$H$2:$M$368,G369,FALSE)*L369</f>
        <v>5.5166666666666604</v>
      </c>
      <c r="K369" s="96">
        <f ca="1">HLOOKUP($H$4,'Met Data'!$O$2:$T$368,G369,FALSE)</f>
        <v>3.46570930270954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25</v>
      </c>
      <c r="H370" s="95">
        <f t="shared" ca="1" si="56"/>
        <v>45681</v>
      </c>
      <c r="I370" s="119">
        <f ca="1">HLOOKUP($H$4,'Met Data'!$A$2:$F$368,G370,FALSE)</f>
        <v>17.713636363636301</v>
      </c>
      <c r="J370" s="119">
        <f ca="1">HLOOKUP($H$4,'Met Data'!$H$2:$M$368,G370,FALSE)*L370</f>
        <v>1.3818181818181801</v>
      </c>
      <c r="K370" s="96">
        <f ca="1">HLOOKUP($H$4,'Met Data'!$O$2:$T$368,G370,FALSE)</f>
        <v>4.0186876239346203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26</v>
      </c>
      <c r="H371" s="95">
        <f t="shared" ca="1" si="56"/>
        <v>45682</v>
      </c>
      <c r="I371" s="119">
        <f ca="1">HLOOKUP($H$4,'Met Data'!$A$2:$F$368,G371,FALSE)</f>
        <v>17.8541666666666</v>
      </c>
      <c r="J371" s="119">
        <f ca="1">HLOOKUP($H$4,'Met Data'!$H$2:$M$368,G371,FALSE)*L371</f>
        <v>0.46666666666666601</v>
      </c>
      <c r="K371" s="96">
        <f ca="1">HLOOKUP($H$4,'Met Data'!$O$2:$T$368,G371,FALSE)</f>
        <v>4.1496250953293998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27</v>
      </c>
      <c r="H372" s="95">
        <f t="shared" ca="1" si="56"/>
        <v>45683</v>
      </c>
      <c r="I372" s="119">
        <f ca="1">HLOOKUP($H$4,'Met Data'!$A$2:$F$368,G372,FALSE)</f>
        <v>18.933333333333302</v>
      </c>
      <c r="J372" s="119">
        <f ca="1">HLOOKUP($H$4,'Met Data'!$H$2:$M$368,G372,FALSE)*L372</f>
        <v>1.8</v>
      </c>
      <c r="K372" s="96">
        <f ca="1">HLOOKUP($H$4,'Met Data'!$O$2:$T$368,G372,FALSE)</f>
        <v>4.1034832888531598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28</v>
      </c>
      <c r="H373" s="95">
        <f t="shared" ca="1" si="56"/>
        <v>45684</v>
      </c>
      <c r="I373" s="119">
        <f ca="1">HLOOKUP($H$4,'Met Data'!$A$2:$F$368,G373,FALSE)</f>
        <v>18.524999999999999</v>
      </c>
      <c r="J373" s="119">
        <f ca="1">HLOOKUP($H$4,'Met Data'!$H$2:$M$368,G373,FALSE)*L373</f>
        <v>4.2166666666666597</v>
      </c>
      <c r="K373" s="96">
        <f ca="1">HLOOKUP($H$4,'Met Data'!$O$2:$T$368,G373,FALSE)</f>
        <v>3.2920480795367801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29</v>
      </c>
      <c r="H374" s="95">
        <f t="shared" ca="1" si="56"/>
        <v>45685</v>
      </c>
      <c r="I374" s="119">
        <f ca="1">HLOOKUP($H$4,'Met Data'!$A$2:$F$368,G374,FALSE)</f>
        <v>18.283333333333299</v>
      </c>
      <c r="J374" s="119">
        <f ca="1">HLOOKUP($H$4,'Met Data'!$H$2:$M$368,G374,FALSE)*L374</f>
        <v>0.96666666666666601</v>
      </c>
      <c r="K374" s="96">
        <f ca="1">HLOOKUP($H$4,'Met Data'!$O$2:$T$368,G374,FALSE)</f>
        <v>3.7580315328576899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30</v>
      </c>
      <c r="H375" s="95">
        <f t="shared" ca="1" si="56"/>
        <v>45686</v>
      </c>
      <c r="I375" s="119">
        <f ca="1">HLOOKUP($H$4,'Met Data'!$A$2:$F$368,G375,FALSE)</f>
        <v>18.95</v>
      </c>
      <c r="J375" s="119">
        <f ca="1">HLOOKUP($H$4,'Met Data'!$H$2:$M$368,G375,FALSE)*L375</f>
        <v>0.233333333333333</v>
      </c>
      <c r="K375" s="96">
        <f ca="1">HLOOKUP($H$4,'Met Data'!$O$2:$T$368,G375,FALSE)</f>
        <v>4.4825712398856101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31</v>
      </c>
      <c r="H376" s="95">
        <f t="shared" ca="1" si="56"/>
        <v>45687</v>
      </c>
      <c r="I376" s="119">
        <f ca="1">HLOOKUP($H$4,'Met Data'!$A$2:$F$368,G376,FALSE)</f>
        <v>19.070833333333301</v>
      </c>
      <c r="J376" s="119">
        <f ca="1">HLOOKUP($H$4,'Met Data'!$H$2:$M$368,G376,FALSE)*L376</f>
        <v>1.45</v>
      </c>
      <c r="K376" s="96">
        <f ca="1">HLOOKUP($H$4,'Met Data'!$O$2:$T$368,G376,FALSE)</f>
        <v>4.1485395322845697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32</v>
      </c>
      <c r="H377" s="95">
        <f t="shared" ca="1" si="56"/>
        <v>45688</v>
      </c>
      <c r="I377" s="119">
        <f ca="1">HLOOKUP($H$4,'Met Data'!$A$2:$F$368,G377,FALSE)</f>
        <v>18.716666666666601</v>
      </c>
      <c r="J377" s="119">
        <f ca="1">HLOOKUP($H$4,'Met Data'!$H$2:$M$368,G377,FALSE)*L377</f>
        <v>1.6666666666666601E-2</v>
      </c>
      <c r="K377" s="96">
        <f ca="1">HLOOKUP($H$4,'Met Data'!$O$2:$T$368,G377,FALSE)</f>
        <v>3.9002627778438899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33</v>
      </c>
      <c r="H378" s="95">
        <f t="shared" ca="1" si="56"/>
        <v>45689</v>
      </c>
      <c r="I378" s="119">
        <f ca="1">HLOOKUP($H$4,'Met Data'!$A$2:$F$368,G378,FALSE)</f>
        <v>18.720833333333299</v>
      </c>
      <c r="J378" s="119">
        <f ca="1">HLOOKUP($H$4,'Met Data'!$H$2:$M$368,G378,FALSE)*L378</f>
        <v>5.1333333333333302</v>
      </c>
      <c r="K378" s="96">
        <f ca="1">HLOOKUP($H$4,'Met Data'!$O$2:$T$368,G378,FALSE)</f>
        <v>3.3425533464765702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34</v>
      </c>
      <c r="H379" s="95">
        <f t="shared" ca="1" si="56"/>
        <v>45690</v>
      </c>
      <c r="I379" s="119">
        <f ca="1">HLOOKUP($H$4,'Met Data'!$A$2:$F$368,G379,FALSE)</f>
        <v>18.558333333333302</v>
      </c>
      <c r="J379" s="119">
        <f ca="1">HLOOKUP($H$4,'Met Data'!$H$2:$M$368,G379,FALSE)*L379</f>
        <v>5.1666666666666599</v>
      </c>
      <c r="K379" s="96">
        <f ca="1">HLOOKUP($H$4,'Met Data'!$O$2:$T$368,G379,FALSE)</f>
        <v>3.37031285883524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35</v>
      </c>
      <c r="H380" s="95">
        <f t="shared" ca="1" si="56"/>
        <v>45691</v>
      </c>
      <c r="I380" s="119">
        <f ca="1">HLOOKUP($H$4,'Met Data'!$A$2:$F$368,G380,FALSE)</f>
        <v>18.841666666666601</v>
      </c>
      <c r="J380" s="119">
        <f ca="1">HLOOKUP($H$4,'Met Data'!$H$2:$M$368,G380,FALSE)*L380</f>
        <v>0.483333333333333</v>
      </c>
      <c r="K380" s="96">
        <f ca="1">HLOOKUP($H$4,'Met Data'!$O$2:$T$368,G380,FALSE)</f>
        <v>4.5373745966907704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36</v>
      </c>
      <c r="H381" s="95">
        <f t="shared" ca="1" si="56"/>
        <v>45692</v>
      </c>
      <c r="I381" s="119">
        <f ca="1">HLOOKUP($H$4,'Met Data'!$A$2:$F$368,G381,FALSE)</f>
        <v>18.441666666666599</v>
      </c>
      <c r="J381" s="119">
        <f ca="1">HLOOKUP($H$4,'Met Data'!$H$2:$M$368,G381,FALSE)*L381</f>
        <v>4.8</v>
      </c>
      <c r="K381" s="96">
        <f ca="1">HLOOKUP($H$4,'Met Data'!$O$2:$T$368,G381,FALSE)</f>
        <v>3.5125215918157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37</v>
      </c>
      <c r="H382" s="95">
        <f t="shared" ca="1" si="56"/>
        <v>45693</v>
      </c>
      <c r="I382" s="119">
        <f ca="1">HLOOKUP($H$4,'Met Data'!$A$2:$F$368,G382,FALSE)</f>
        <v>17.975000000000001</v>
      </c>
      <c r="J382" s="119">
        <f ca="1">HLOOKUP($H$4,'Met Data'!$H$2:$M$368,G382,FALSE)*L382</f>
        <v>2.0166666666666599</v>
      </c>
      <c r="K382" s="96">
        <f ca="1">HLOOKUP($H$4,'Met Data'!$O$2:$T$368,G382,FALSE)</f>
        <v>3.7922889429532498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38</v>
      </c>
      <c r="H383" s="95">
        <f t="shared" ca="1" si="56"/>
        <v>45694</v>
      </c>
      <c r="I383" s="119">
        <f ca="1">HLOOKUP($H$4,'Met Data'!$A$2:$F$368,G383,FALSE)</f>
        <v>17.383333333333301</v>
      </c>
      <c r="J383" s="119">
        <f ca="1">HLOOKUP($H$4,'Met Data'!$H$2:$M$368,G383,FALSE)*L383</f>
        <v>0.15</v>
      </c>
      <c r="K383" s="96">
        <f ca="1">HLOOKUP($H$4,'Met Data'!$O$2:$T$368,G383,FALSE)</f>
        <v>3.67022287265541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39</v>
      </c>
      <c r="H384" s="95">
        <f t="shared" ca="1" si="56"/>
        <v>45695</v>
      </c>
      <c r="I384" s="119">
        <f ca="1">HLOOKUP($H$4,'Met Data'!$A$2:$F$368,G384,FALSE)</f>
        <v>17.0416666666666</v>
      </c>
      <c r="J384" s="119">
        <f ca="1">HLOOKUP($H$4,'Met Data'!$H$2:$M$368,G384,FALSE)*L384</f>
        <v>3.0166666666666599</v>
      </c>
      <c r="K384" s="96">
        <f ca="1">HLOOKUP($H$4,'Met Data'!$O$2:$T$368,G384,FALSE)</f>
        <v>3.8754357428809398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40</v>
      </c>
      <c r="H385" s="95">
        <f t="shared" ca="1" si="56"/>
        <v>45696</v>
      </c>
      <c r="I385" s="119">
        <f ca="1">HLOOKUP($H$4,'Met Data'!$A$2:$F$368,G385,FALSE)</f>
        <v>17.483333333333299</v>
      </c>
      <c r="J385" s="119">
        <f ca="1">HLOOKUP($H$4,'Met Data'!$H$2:$M$368,G385,FALSE)*L385</f>
        <v>2.69999999999999</v>
      </c>
      <c r="K385" s="96">
        <f ca="1">HLOOKUP($H$4,'Met Data'!$O$2:$T$368,G385,FALSE)</f>
        <v>3.8024866154372199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41</v>
      </c>
      <c r="H386" s="95">
        <f t="shared" ca="1" si="56"/>
        <v>45697</v>
      </c>
      <c r="I386" s="119">
        <f ca="1">HLOOKUP($H$4,'Met Data'!$A$2:$F$368,G386,FALSE)</f>
        <v>17.5625</v>
      </c>
      <c r="J386" s="119">
        <f ca="1">HLOOKUP($H$4,'Met Data'!$H$2:$M$368,G386,FALSE)*L386</f>
        <v>0.51666666666666605</v>
      </c>
      <c r="K386" s="96">
        <f ca="1">HLOOKUP($H$4,'Met Data'!$O$2:$T$368,G386,FALSE)</f>
        <v>3.9226252937625699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42</v>
      </c>
      <c r="H387" s="95">
        <f t="shared" ca="1" si="56"/>
        <v>45698</v>
      </c>
      <c r="I387" s="119">
        <f ca="1">HLOOKUP($H$4,'Met Data'!$A$2:$F$368,G387,FALSE)</f>
        <v>17.7083333333333</v>
      </c>
      <c r="J387" s="119">
        <f ca="1">HLOOKUP($H$4,'Met Data'!$H$2:$M$368,G387,FALSE)*L387</f>
        <v>2.7333333333333298</v>
      </c>
      <c r="K387" s="96">
        <f ca="1">HLOOKUP($H$4,'Met Data'!$O$2:$T$368,G387,FALSE)</f>
        <v>3.6312925833969301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43</v>
      </c>
      <c r="H388" s="95">
        <f t="shared" ca="1" si="56"/>
        <v>45699</v>
      </c>
      <c r="I388" s="119">
        <f ca="1">HLOOKUP($H$4,'Met Data'!$A$2:$F$368,G388,FALSE)</f>
        <v>17.654166666666601</v>
      </c>
      <c r="J388" s="119">
        <f ca="1">HLOOKUP($H$4,'Met Data'!$H$2:$M$368,G388,FALSE)*L388</f>
        <v>5.3166666666666602</v>
      </c>
      <c r="K388" s="96">
        <f ca="1">HLOOKUP($H$4,'Met Data'!$O$2:$T$368,G388,FALSE)</f>
        <v>3.7825096271499201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44</v>
      </c>
      <c r="H389" s="95">
        <f t="shared" ca="1" si="56"/>
        <v>45700</v>
      </c>
      <c r="I389" s="119">
        <f ca="1">HLOOKUP($H$4,'Met Data'!$A$2:$F$368,G389,FALSE)</f>
        <v>18.245833333333302</v>
      </c>
      <c r="J389" s="119">
        <f ca="1">HLOOKUP($H$4,'Met Data'!$H$2:$M$368,G389,FALSE)*L389</f>
        <v>1.8</v>
      </c>
      <c r="K389" s="96">
        <f ca="1">HLOOKUP($H$4,'Met Data'!$O$2:$T$368,G389,FALSE)</f>
        <v>3.5345089397679601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45</v>
      </c>
      <c r="H390" s="95">
        <f t="shared" ca="1" si="56"/>
        <v>45701</v>
      </c>
      <c r="I390" s="119">
        <f ca="1">HLOOKUP($H$4,'Met Data'!$A$2:$F$368,G390,FALSE)</f>
        <v>18.674999999999901</v>
      </c>
      <c r="J390" s="119">
        <f ca="1">HLOOKUP($H$4,'Met Data'!$H$2:$M$368,G390,FALSE)*L390</f>
        <v>0.44999999999999901</v>
      </c>
      <c r="K390" s="96">
        <f ca="1">HLOOKUP($H$4,'Met Data'!$O$2:$T$368,G390,FALSE)</f>
        <v>3.2860966338213999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ref="G391:G454" ca="1" si="64">H391-DATE(YEAR(H391),1,0)+1</f>
        <v>46</v>
      </c>
      <c r="H391" s="95">
        <f t="shared" ca="1" si="56"/>
        <v>45702</v>
      </c>
      <c r="I391" s="119">
        <f ca="1">HLOOKUP($H$4,'Met Data'!$A$2:$F$368,G391,FALSE)</f>
        <v>18.670833333333299</v>
      </c>
      <c r="J391" s="119">
        <f ca="1">HLOOKUP($H$4,'Met Data'!$H$2:$M$368,G391,FALSE)*L391</f>
        <v>1.13333333333333</v>
      </c>
      <c r="K391" s="96">
        <f ca="1">HLOOKUP($H$4,'Met Data'!$O$2:$T$368,G391,FALSE)</f>
        <v>3.8932908527116399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ca="1" si="64"/>
        <v>47</v>
      </c>
      <c r="H392" s="95">
        <f t="shared" ref="H392:H455" ca="1" si="66">H391+1</f>
        <v>45703</v>
      </c>
      <c r="I392" s="119">
        <f ca="1">HLOOKUP($H$4,'Met Data'!$A$2:$F$368,G392,FALSE)</f>
        <v>18.1666666666666</v>
      </c>
      <c r="J392" s="119">
        <f ca="1">HLOOKUP($H$4,'Met Data'!$H$2:$M$368,G392,FALSE)*L392</f>
        <v>1.7333333333333301</v>
      </c>
      <c r="K392" s="96">
        <f ca="1">HLOOKUP($H$4,'Met Data'!$O$2:$T$368,G392,FALSE)</f>
        <v>3.7918051722380999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48</v>
      </c>
      <c r="H393" s="95">
        <f t="shared" ca="1" si="66"/>
        <v>45704</v>
      </c>
      <c r="I393" s="119">
        <f ca="1">HLOOKUP($H$4,'Met Data'!$A$2:$F$368,G393,FALSE)</f>
        <v>17.879166666666599</v>
      </c>
      <c r="J393" s="119">
        <f ca="1">HLOOKUP($H$4,'Met Data'!$H$2:$M$368,G393,FALSE)*L393</f>
        <v>0.73333333333333295</v>
      </c>
      <c r="K393" s="96">
        <f ca="1">HLOOKUP($H$4,'Met Data'!$O$2:$T$368,G393,FALSE)</f>
        <v>3.8813294167315999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49</v>
      </c>
      <c r="H394" s="95">
        <f t="shared" ca="1" si="66"/>
        <v>45705</v>
      </c>
      <c r="I394" s="119">
        <f ca="1">HLOOKUP($H$4,'Met Data'!$A$2:$F$368,G394,FALSE)</f>
        <v>18.2083333333333</v>
      </c>
      <c r="J394" s="119">
        <f ca="1">HLOOKUP($H$4,'Met Data'!$H$2:$M$368,G394,FALSE)*L394</f>
        <v>2.8833333333333302</v>
      </c>
      <c r="K394" s="96">
        <f ca="1">HLOOKUP($H$4,'Met Data'!$O$2:$T$368,G394,FALSE)</f>
        <v>3.5062121478789399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50</v>
      </c>
      <c r="H395" s="95">
        <f t="shared" ca="1" si="66"/>
        <v>45706</v>
      </c>
      <c r="I395" s="119">
        <f ca="1">HLOOKUP($H$4,'Met Data'!$A$2:$F$368,G395,FALSE)</f>
        <v>18.529166666666601</v>
      </c>
      <c r="J395" s="119">
        <f ca="1">HLOOKUP($H$4,'Met Data'!$H$2:$M$368,G395,FALSE)*L395</f>
        <v>2.85</v>
      </c>
      <c r="K395" s="96">
        <f ca="1">HLOOKUP($H$4,'Met Data'!$O$2:$T$368,G395,FALSE)</f>
        <v>3.5342235016405201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ref="AG395:AG458" ca="1" si="67">Q394+S395+T395+U395</f>
        <v>#N/A</v>
      </c>
      <c r="AH395" s="63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>
      <c r="G396" s="3">
        <f t="shared" ca="1" si="64"/>
        <v>51</v>
      </c>
      <c r="H396" s="95">
        <f t="shared" ca="1" si="66"/>
        <v>45707</v>
      </c>
      <c r="I396" s="119">
        <f ca="1">HLOOKUP($H$4,'Met Data'!$A$2:$F$368,G396,FALSE)</f>
        <v>18.925000000000001</v>
      </c>
      <c r="J396" s="119">
        <f ca="1">HLOOKUP($H$4,'Met Data'!$H$2:$M$368,G396,FALSE)*L396</f>
        <v>3.86666666666666</v>
      </c>
      <c r="K396" s="96">
        <f ca="1">HLOOKUP($H$4,'Met Data'!$O$2:$T$368,G396,FALSE)</f>
        <v>3.6338116563958698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ca="1" si="67"/>
        <v>#N/A</v>
      </c>
      <c r="AH396" s="63" t="e">
        <f t="shared" ca="1" si="68"/>
        <v>#N/A</v>
      </c>
      <c r="AI396" s="3" t="e">
        <f t="shared" ca="1" si="69"/>
        <v>#N/A</v>
      </c>
    </row>
    <row r="397" spans="7:35">
      <c r="G397" s="3">
        <f t="shared" ca="1" si="64"/>
        <v>52</v>
      </c>
      <c r="H397" s="95">
        <f t="shared" ca="1" si="66"/>
        <v>45708</v>
      </c>
      <c r="I397" s="119">
        <f ca="1">HLOOKUP($H$4,'Met Data'!$A$2:$F$368,G397,FALSE)</f>
        <v>19.195833333333301</v>
      </c>
      <c r="J397" s="119">
        <f ca="1">HLOOKUP($H$4,'Met Data'!$H$2:$M$368,G397,FALSE)*L397</f>
        <v>1.18333333333333</v>
      </c>
      <c r="K397" s="96">
        <f ca="1">HLOOKUP($H$4,'Met Data'!$O$2:$T$368,G397,FALSE)</f>
        <v>3.7477053916930299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53</v>
      </c>
      <c r="H398" s="95">
        <f t="shared" ca="1" si="66"/>
        <v>45709</v>
      </c>
      <c r="I398" s="119">
        <f ca="1">HLOOKUP($H$4,'Met Data'!$A$2:$F$368,G398,FALSE)</f>
        <v>18.945833333333301</v>
      </c>
      <c r="J398" s="119">
        <f ca="1">HLOOKUP($H$4,'Met Data'!$H$2:$M$368,G398,FALSE)*L398</f>
        <v>1.3333333333333299</v>
      </c>
      <c r="K398" s="96">
        <f ca="1">HLOOKUP($H$4,'Met Data'!$O$2:$T$368,G398,FALSE)</f>
        <v>3.7395681594102799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54</v>
      </c>
      <c r="H399" s="95">
        <f t="shared" ca="1" si="66"/>
        <v>45710</v>
      </c>
      <c r="I399" s="119">
        <f ca="1">HLOOKUP($H$4,'Met Data'!$A$2:$F$368,G399,FALSE)</f>
        <v>18.912499999999898</v>
      </c>
      <c r="J399" s="119">
        <f ca="1">HLOOKUP($H$4,'Met Data'!$H$2:$M$368,G399,FALSE)*L399</f>
        <v>6.18333333333333</v>
      </c>
      <c r="K399" s="96">
        <f ca="1">HLOOKUP($H$4,'Met Data'!$O$2:$T$368,G399,FALSE)</f>
        <v>3.0629444033618198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55</v>
      </c>
      <c r="H400" s="95">
        <f t="shared" ca="1" si="66"/>
        <v>45711</v>
      </c>
      <c r="I400" s="119">
        <f ca="1">HLOOKUP($H$4,'Met Data'!$A$2:$F$368,G400,FALSE)</f>
        <v>17.745833333333302</v>
      </c>
      <c r="J400" s="119">
        <f ca="1">HLOOKUP($H$4,'Met Data'!$H$2:$M$368,G400,FALSE)*L400</f>
        <v>0.7</v>
      </c>
      <c r="K400" s="96">
        <f ca="1">HLOOKUP($H$4,'Met Data'!$O$2:$T$368,G400,FALSE)</f>
        <v>3.7397228058893299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56</v>
      </c>
      <c r="H401" s="95">
        <f t="shared" ca="1" si="66"/>
        <v>45712</v>
      </c>
      <c r="I401" s="119">
        <f ca="1">HLOOKUP($H$4,'Met Data'!$A$2:$F$368,G401,FALSE)</f>
        <v>16.945833333333301</v>
      </c>
      <c r="J401" s="119">
        <f ca="1">HLOOKUP($H$4,'Met Data'!$H$2:$M$368,G401,FALSE)*L401</f>
        <v>1.5999999999999901</v>
      </c>
      <c r="K401" s="96">
        <f ca="1">HLOOKUP($H$4,'Met Data'!$O$2:$T$368,G401,FALSE)</f>
        <v>3.5683594386422701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57</v>
      </c>
      <c r="H402" s="95">
        <f t="shared" ca="1" si="66"/>
        <v>45713</v>
      </c>
      <c r="I402" s="119">
        <f ca="1">HLOOKUP($H$4,'Met Data'!$A$2:$F$368,G402,FALSE)</f>
        <v>17.495833333333302</v>
      </c>
      <c r="J402" s="119">
        <f ca="1">HLOOKUP($H$4,'Met Data'!$H$2:$M$368,G402,FALSE)*L402</f>
        <v>0.86666666666666603</v>
      </c>
      <c r="K402" s="96">
        <f ca="1">HLOOKUP($H$4,'Met Data'!$O$2:$T$368,G402,FALSE)</f>
        <v>3.5556810366886502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58</v>
      </c>
      <c r="H403" s="95">
        <f t="shared" ca="1" si="66"/>
        <v>45714</v>
      </c>
      <c r="I403" s="119">
        <f ca="1">HLOOKUP($H$4,'Met Data'!$A$2:$F$368,G403,FALSE)</f>
        <v>16.954166666666602</v>
      </c>
      <c r="J403" s="119">
        <f ca="1">HLOOKUP($H$4,'Met Data'!$H$2:$M$368,G403,FALSE)*L403</f>
        <v>0.93333333333333302</v>
      </c>
      <c r="K403" s="96">
        <f ca="1">HLOOKUP($H$4,'Met Data'!$O$2:$T$368,G403,FALSE)</f>
        <v>3.6102637976598602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59</v>
      </c>
      <c r="H404" s="95">
        <f t="shared" ca="1" si="66"/>
        <v>45715</v>
      </c>
      <c r="I404" s="119">
        <f ca="1">HLOOKUP($H$4,'Met Data'!$A$2:$F$368,G404,FALSE)</f>
        <v>16.829166666666602</v>
      </c>
      <c r="J404" s="119">
        <f ca="1">HLOOKUP($H$4,'Met Data'!$H$2:$M$368,G404,FALSE)*L404</f>
        <v>0.41666666666666602</v>
      </c>
      <c r="K404" s="96">
        <f ca="1">HLOOKUP($H$4,'Met Data'!$O$2:$T$368,G404,FALSE)</f>
        <v>3.6752740997587301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60</v>
      </c>
      <c r="H405" s="95">
        <f t="shared" ca="1" si="66"/>
        <v>45716</v>
      </c>
      <c r="I405" s="119">
        <f ca="1">HLOOKUP($H$4,'Met Data'!$A$2:$F$368,G405,FALSE)</f>
        <v>17.512499999999999</v>
      </c>
      <c r="J405" s="119">
        <f ca="1">HLOOKUP($H$4,'Met Data'!$H$2:$M$368,G405,FALSE)*L405</f>
        <v>0.38333333333333303</v>
      </c>
      <c r="K405" s="96">
        <f ca="1">HLOOKUP($H$4,'Met Data'!$O$2:$T$368,G405,FALSE)</f>
        <v>3.6973328494211302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61</v>
      </c>
      <c r="H406" s="95">
        <f t="shared" ca="1" si="66"/>
        <v>45717</v>
      </c>
      <c r="I406" s="119">
        <f ca="1">HLOOKUP($H$4,'Met Data'!$A$2:$F$368,G406,FALSE)</f>
        <v>17.1166666666666</v>
      </c>
      <c r="J406" s="119">
        <f ca="1">HLOOKUP($H$4,'Met Data'!$H$2:$M$368,G406,FALSE)*L406</f>
        <v>2.3166666666666602</v>
      </c>
      <c r="K406" s="96">
        <f ca="1">HLOOKUP($H$4,'Met Data'!$O$2:$T$368,G406,FALSE)</f>
        <v>3.5365052642272401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62</v>
      </c>
      <c r="H407" s="95">
        <f t="shared" ca="1" si="66"/>
        <v>45718</v>
      </c>
      <c r="I407" s="119">
        <f ca="1">HLOOKUP($H$4,'Met Data'!$A$2:$F$368,G407,FALSE)</f>
        <v>17.037500000000001</v>
      </c>
      <c r="J407" s="119">
        <f ca="1">HLOOKUP($H$4,'Met Data'!$H$2:$M$368,G407,FALSE)*L407</f>
        <v>2.18333333333333</v>
      </c>
      <c r="K407" s="96">
        <f ca="1">HLOOKUP($H$4,'Met Data'!$O$2:$T$368,G407,FALSE)</f>
        <v>3.0680063753167199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63</v>
      </c>
      <c r="H408" s="95">
        <f t="shared" ca="1" si="66"/>
        <v>45719</v>
      </c>
      <c r="I408" s="119">
        <f ca="1">HLOOKUP($H$4,'Met Data'!$A$2:$F$368,G408,FALSE)</f>
        <v>17.204166666666602</v>
      </c>
      <c r="J408" s="119">
        <f ca="1">HLOOKUP($H$4,'Met Data'!$H$2:$M$368,G408,FALSE)*L408</f>
        <v>0.61666666666666603</v>
      </c>
      <c r="K408" s="96">
        <f ca="1">HLOOKUP($H$4,'Met Data'!$O$2:$T$368,G408,FALSE)</f>
        <v>3.2161744467378801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64</v>
      </c>
      <c r="H409" s="95">
        <f t="shared" ca="1" si="66"/>
        <v>45720</v>
      </c>
      <c r="I409" s="119">
        <f ca="1">HLOOKUP($H$4,'Met Data'!$A$2:$F$368,G409,FALSE)</f>
        <v>16.720833333333299</v>
      </c>
      <c r="J409" s="119">
        <f ca="1">HLOOKUP($H$4,'Met Data'!$H$2:$M$368,G409,FALSE)*L409</f>
        <v>2.93333333333333</v>
      </c>
      <c r="K409" s="96">
        <f ca="1">HLOOKUP($H$4,'Met Data'!$O$2:$T$368,G409,FALSE)</f>
        <v>2.8476580172568502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65</v>
      </c>
      <c r="H410" s="95">
        <f t="shared" ca="1" si="66"/>
        <v>45721</v>
      </c>
      <c r="I410" s="119">
        <f ca="1">HLOOKUP($H$4,'Met Data'!$A$2:$F$368,G410,FALSE)</f>
        <v>17.05</v>
      </c>
      <c r="J410" s="119">
        <f ca="1">HLOOKUP($H$4,'Met Data'!$H$2:$M$368,G410,FALSE)*L410</f>
        <v>3.5</v>
      </c>
      <c r="K410" s="96">
        <f ca="1">HLOOKUP($H$4,'Met Data'!$O$2:$T$368,G410,FALSE)</f>
        <v>3.0856400612975601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66</v>
      </c>
      <c r="H411" s="95">
        <f t="shared" ca="1" si="66"/>
        <v>45722</v>
      </c>
      <c r="I411" s="119">
        <f ca="1">HLOOKUP($H$4,'Met Data'!$A$2:$F$368,G411,FALSE)</f>
        <v>16.5625</v>
      </c>
      <c r="J411" s="119">
        <f ca="1">HLOOKUP($H$4,'Met Data'!$H$2:$M$368,G411,FALSE)*L411</f>
        <v>1.9166666666666601</v>
      </c>
      <c r="K411" s="96">
        <f ca="1">HLOOKUP($H$4,'Met Data'!$O$2:$T$368,G411,FALSE)</f>
        <v>2.4477007585282702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67</v>
      </c>
      <c r="H412" s="95">
        <f t="shared" ca="1" si="66"/>
        <v>45723</v>
      </c>
      <c r="I412" s="119">
        <f ca="1">HLOOKUP($H$4,'Met Data'!$A$2:$F$368,G412,FALSE)</f>
        <v>16.349999999999898</v>
      </c>
      <c r="J412" s="119">
        <f ca="1">HLOOKUP($H$4,'Met Data'!$H$2:$M$368,G412,FALSE)*L412</f>
        <v>5.4</v>
      </c>
      <c r="K412" s="96">
        <f ca="1">HLOOKUP($H$4,'Met Data'!$O$2:$T$368,G412,FALSE)</f>
        <v>3.2051572713162999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68</v>
      </c>
      <c r="H413" s="95">
        <f t="shared" ca="1" si="66"/>
        <v>45724</v>
      </c>
      <c r="I413" s="119">
        <f ca="1">HLOOKUP($H$4,'Met Data'!$A$2:$F$368,G413,FALSE)</f>
        <v>16.404166666666601</v>
      </c>
      <c r="J413" s="119">
        <f ca="1">HLOOKUP($H$4,'Met Data'!$H$2:$M$368,G413,FALSE)*L413</f>
        <v>1.7666666666666599</v>
      </c>
      <c r="K413" s="96">
        <f ca="1">HLOOKUP($H$4,'Met Data'!$O$2:$T$368,G413,FALSE)</f>
        <v>3.3473688975414899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69</v>
      </c>
      <c r="H414" s="95">
        <f t="shared" ca="1" si="66"/>
        <v>45725</v>
      </c>
      <c r="I414" s="119">
        <f ca="1">HLOOKUP($H$4,'Met Data'!$A$2:$F$368,G414,FALSE)</f>
        <v>16.174999999999901</v>
      </c>
      <c r="J414" s="119">
        <f ca="1">HLOOKUP($H$4,'Met Data'!$H$2:$M$368,G414,FALSE)*L414</f>
        <v>0.54999999999999905</v>
      </c>
      <c r="K414" s="96">
        <f ca="1">HLOOKUP($H$4,'Met Data'!$O$2:$T$368,G414,FALSE)</f>
        <v>3.3552920602916099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70</v>
      </c>
      <c r="H415" s="95">
        <f t="shared" ca="1" si="66"/>
        <v>45726</v>
      </c>
      <c r="I415" s="119">
        <f ca="1">HLOOKUP($H$4,'Met Data'!$A$2:$F$368,G415,FALSE)</f>
        <v>16.625</v>
      </c>
      <c r="J415" s="119">
        <f ca="1">HLOOKUP($H$4,'Met Data'!$H$2:$M$368,G415,FALSE)*L415</f>
        <v>2.0666666666666602</v>
      </c>
      <c r="K415" s="96">
        <f ca="1">HLOOKUP($H$4,'Met Data'!$O$2:$T$368,G415,FALSE)</f>
        <v>3.2920876744510998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71</v>
      </c>
      <c r="H416" s="95">
        <f t="shared" ca="1" si="66"/>
        <v>45727</v>
      </c>
      <c r="I416" s="119">
        <f ca="1">HLOOKUP($H$4,'Met Data'!$A$2:$F$368,G416,FALSE)</f>
        <v>16.266666666666602</v>
      </c>
      <c r="J416" s="119">
        <f ca="1">HLOOKUP($H$4,'Met Data'!$H$2:$M$368,G416,FALSE)*L416</f>
        <v>3.44999999999999</v>
      </c>
      <c r="K416" s="96">
        <f ca="1">HLOOKUP($H$4,'Met Data'!$O$2:$T$368,G416,FALSE)</f>
        <v>2.5592177640993499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72</v>
      </c>
      <c r="H417" s="95">
        <f t="shared" ca="1" si="66"/>
        <v>45728</v>
      </c>
      <c r="I417" s="119">
        <f ca="1">HLOOKUP($H$4,'Met Data'!$A$2:$F$368,G417,FALSE)</f>
        <v>16.404166666666601</v>
      </c>
      <c r="J417" s="119">
        <f ca="1">HLOOKUP($H$4,'Met Data'!$H$2:$M$368,G417,FALSE)*L417</f>
        <v>1.5833333333333299</v>
      </c>
      <c r="K417" s="96">
        <f ca="1">HLOOKUP($H$4,'Met Data'!$O$2:$T$368,G417,FALSE)</f>
        <v>2.85115032224514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73</v>
      </c>
      <c r="H418" s="95">
        <f t="shared" ca="1" si="66"/>
        <v>45729</v>
      </c>
      <c r="I418" s="119">
        <f ca="1">HLOOKUP($H$4,'Met Data'!$A$2:$F$368,G418,FALSE)</f>
        <v>15.324999999999999</v>
      </c>
      <c r="J418" s="119">
        <f ca="1">HLOOKUP($H$4,'Met Data'!$H$2:$M$368,G418,FALSE)*L418</f>
        <v>1.38333333333333</v>
      </c>
      <c r="K418" s="96">
        <f ca="1">HLOOKUP($H$4,'Met Data'!$O$2:$T$368,G418,FALSE)</f>
        <v>2.7545575054438101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74</v>
      </c>
      <c r="H419" s="95">
        <f t="shared" ca="1" si="66"/>
        <v>45730</v>
      </c>
      <c r="I419" s="119">
        <f ca="1">HLOOKUP($H$4,'Met Data'!$A$2:$F$368,G419,FALSE)</f>
        <v>15.8333333333333</v>
      </c>
      <c r="J419" s="119">
        <f ca="1">HLOOKUP($H$4,'Met Data'!$H$2:$M$368,G419,FALSE)*L419</f>
        <v>0.483333333333333</v>
      </c>
      <c r="K419" s="96">
        <f ca="1">HLOOKUP($H$4,'Met Data'!$O$2:$T$368,G419,FALSE)</f>
        <v>2.9925841251346701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75</v>
      </c>
      <c r="H420" s="95">
        <f t="shared" ca="1" si="66"/>
        <v>45731</v>
      </c>
      <c r="I420" s="119">
        <f ca="1">HLOOKUP($H$4,'Met Data'!$A$2:$F$368,G420,FALSE)</f>
        <v>16.966666666666601</v>
      </c>
      <c r="J420" s="119">
        <f ca="1">HLOOKUP($H$4,'Met Data'!$H$2:$M$368,G420,FALSE)*L420</f>
        <v>0.31666666666666599</v>
      </c>
      <c r="K420" s="96">
        <f ca="1">HLOOKUP($H$4,'Met Data'!$O$2:$T$368,G420,FALSE)</f>
        <v>2.9125814341448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76</v>
      </c>
      <c r="H421" s="95">
        <f t="shared" ca="1" si="66"/>
        <v>45732</v>
      </c>
      <c r="I421" s="119">
        <f ca="1">HLOOKUP($H$4,'Met Data'!$A$2:$F$368,G421,FALSE)</f>
        <v>17.766666666666602</v>
      </c>
      <c r="J421" s="119">
        <f ca="1">HLOOKUP($H$4,'Met Data'!$H$2:$M$368,G421,FALSE)*L421</f>
        <v>2.25</v>
      </c>
      <c r="K421" s="96">
        <f ca="1">HLOOKUP($H$4,'Met Data'!$O$2:$T$368,G421,FALSE)</f>
        <v>2.3685635659939601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77</v>
      </c>
      <c r="H422" s="95">
        <f t="shared" ca="1" si="66"/>
        <v>45733</v>
      </c>
      <c r="I422" s="119">
        <f ca="1">HLOOKUP($H$4,'Met Data'!$A$2:$F$368,G422,FALSE)</f>
        <v>16.100000000000001</v>
      </c>
      <c r="J422" s="119">
        <f ca="1">HLOOKUP($H$4,'Met Data'!$H$2:$M$368,G422,FALSE)*L422</f>
        <v>1.4</v>
      </c>
      <c r="K422" s="96">
        <f ca="1">HLOOKUP($H$4,'Met Data'!$O$2:$T$368,G422,FALSE)</f>
        <v>2.7759280674014901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78</v>
      </c>
      <c r="H423" s="95">
        <f t="shared" ca="1" si="66"/>
        <v>45734</v>
      </c>
      <c r="I423" s="119">
        <f ca="1">HLOOKUP($H$4,'Met Data'!$A$2:$F$368,G423,FALSE)</f>
        <v>15.379166666666601</v>
      </c>
      <c r="J423" s="119">
        <f ca="1">HLOOKUP($H$4,'Met Data'!$H$2:$M$368,G423,FALSE)*L423</f>
        <v>3.68333333333333</v>
      </c>
      <c r="K423" s="96">
        <f ca="1">HLOOKUP($H$4,'Met Data'!$O$2:$T$368,G423,FALSE)</f>
        <v>2.7162290778951999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79</v>
      </c>
      <c r="H424" s="95">
        <f t="shared" ca="1" si="66"/>
        <v>45735</v>
      </c>
      <c r="I424" s="119">
        <f ca="1">HLOOKUP($H$4,'Met Data'!$A$2:$F$368,G424,FALSE)</f>
        <v>15.858333333333301</v>
      </c>
      <c r="J424" s="119">
        <f ca="1">HLOOKUP($H$4,'Met Data'!$H$2:$M$368,G424,FALSE)*L424</f>
        <v>0.85</v>
      </c>
      <c r="K424" s="96">
        <f ca="1">HLOOKUP($H$4,'Met Data'!$O$2:$T$368,G424,FALSE)</f>
        <v>2.8216063312721902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80</v>
      </c>
      <c r="H425" s="95">
        <f t="shared" ca="1" si="66"/>
        <v>45736</v>
      </c>
      <c r="I425" s="119">
        <f ca="1">HLOOKUP($H$4,'Met Data'!$A$2:$F$368,G425,FALSE)</f>
        <v>16.216666666666601</v>
      </c>
      <c r="J425" s="119">
        <f ca="1">HLOOKUP($H$4,'Met Data'!$H$2:$M$368,G425,FALSE)*L425</f>
        <v>8.3333333333333301E-2</v>
      </c>
      <c r="K425" s="96">
        <f ca="1">HLOOKUP($H$4,'Met Data'!$O$2:$T$368,G425,FALSE)</f>
        <v>2.7500481593686201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81</v>
      </c>
      <c r="H426" s="95">
        <f t="shared" ca="1" si="66"/>
        <v>45737</v>
      </c>
      <c r="I426" s="119">
        <f ca="1">HLOOKUP($H$4,'Met Data'!$A$2:$F$368,G426,FALSE)</f>
        <v>16.483333333333299</v>
      </c>
      <c r="J426" s="119">
        <f ca="1">HLOOKUP($H$4,'Met Data'!$H$2:$M$368,G426,FALSE)*L426</f>
        <v>1.11666666666666</v>
      </c>
      <c r="K426" s="96">
        <f ca="1">HLOOKUP($H$4,'Met Data'!$O$2:$T$368,G426,FALSE)</f>
        <v>2.6292753041097501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82</v>
      </c>
      <c r="H427" s="95">
        <f t="shared" ca="1" si="66"/>
        <v>45738</v>
      </c>
      <c r="I427" s="119">
        <f ca="1">HLOOKUP($H$4,'Met Data'!$A$2:$F$368,G427,FALSE)</f>
        <v>16.6791666666666</v>
      </c>
      <c r="J427" s="119">
        <f ca="1">HLOOKUP($H$4,'Met Data'!$H$2:$M$368,G427,FALSE)*L427</f>
        <v>1.63333333333333</v>
      </c>
      <c r="K427" s="96">
        <f ca="1">HLOOKUP($H$4,'Met Data'!$O$2:$T$368,G427,FALSE)</f>
        <v>2.3413673129625598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83</v>
      </c>
      <c r="H428" s="95">
        <f t="shared" ca="1" si="66"/>
        <v>45739</v>
      </c>
      <c r="I428" s="119">
        <f ca="1">HLOOKUP($H$4,'Met Data'!$A$2:$F$368,G428,FALSE)</f>
        <v>16.8</v>
      </c>
      <c r="J428" s="119">
        <f ca="1">HLOOKUP($H$4,'Met Data'!$H$2:$M$368,G428,FALSE)*L428</f>
        <v>2.2833333333333301</v>
      </c>
      <c r="K428" s="96">
        <f ca="1">HLOOKUP($H$4,'Met Data'!$O$2:$T$368,G428,FALSE)</f>
        <v>2.7038604411954998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84</v>
      </c>
      <c r="H429" s="95">
        <f t="shared" ca="1" si="66"/>
        <v>45740</v>
      </c>
      <c r="I429" s="119">
        <f ca="1">HLOOKUP($H$4,'Met Data'!$A$2:$F$368,G429,FALSE)</f>
        <v>16.237500000000001</v>
      </c>
      <c r="J429" s="119">
        <f ca="1">HLOOKUP($H$4,'Met Data'!$H$2:$M$368,G429,FALSE)*L429</f>
        <v>3.7833333333333301</v>
      </c>
      <c r="K429" s="96">
        <f ca="1">HLOOKUP($H$4,'Met Data'!$O$2:$T$368,G429,FALSE)</f>
        <v>2.1387131538714801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85</v>
      </c>
      <c r="H430" s="95">
        <f t="shared" ca="1" si="66"/>
        <v>45741</v>
      </c>
      <c r="I430" s="119">
        <f ca="1">HLOOKUP($H$4,'Met Data'!$A$2:$F$368,G430,FALSE)</f>
        <v>16.875</v>
      </c>
      <c r="J430" s="119">
        <f ca="1">HLOOKUP($H$4,'Met Data'!$H$2:$M$368,G430,FALSE)*L430</f>
        <v>2.9</v>
      </c>
      <c r="K430" s="96">
        <f ca="1">HLOOKUP($H$4,'Met Data'!$O$2:$T$368,G430,FALSE)</f>
        <v>2.4308063740099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86</v>
      </c>
      <c r="H431" s="95">
        <f t="shared" ca="1" si="66"/>
        <v>45742</v>
      </c>
      <c r="I431" s="119">
        <f ca="1">HLOOKUP($H$4,'Met Data'!$A$2:$F$368,G431,FALSE)</f>
        <v>17.024999999999999</v>
      </c>
      <c r="J431" s="119">
        <f ca="1">HLOOKUP($H$4,'Met Data'!$H$2:$M$368,G431,FALSE)*L431</f>
        <v>3.7333333333333298</v>
      </c>
      <c r="K431" s="96">
        <f ca="1">HLOOKUP($H$4,'Met Data'!$O$2:$T$368,G431,FALSE)</f>
        <v>2.3866525377963699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87</v>
      </c>
      <c r="H432" s="95">
        <f t="shared" ca="1" si="66"/>
        <v>45743</v>
      </c>
      <c r="I432" s="119">
        <f ca="1">HLOOKUP($H$4,'Met Data'!$A$2:$F$368,G432,FALSE)</f>
        <v>17.3</v>
      </c>
      <c r="J432" s="119">
        <f ca="1">HLOOKUP($H$4,'Met Data'!$H$2:$M$368,G432,FALSE)*L432</f>
        <v>1.93333333333333</v>
      </c>
      <c r="K432" s="96">
        <f ca="1">HLOOKUP($H$4,'Met Data'!$O$2:$T$368,G432,FALSE)</f>
        <v>2.6501779961824399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88</v>
      </c>
      <c r="H433" s="95">
        <f t="shared" ca="1" si="66"/>
        <v>45744</v>
      </c>
      <c r="I433" s="119">
        <f ca="1">HLOOKUP($H$4,'Met Data'!$A$2:$F$368,G433,FALSE)</f>
        <v>15.983333333333301</v>
      </c>
      <c r="J433" s="119">
        <f ca="1">HLOOKUP($H$4,'Met Data'!$H$2:$M$368,G433,FALSE)*L433</f>
        <v>1.2166666666666599</v>
      </c>
      <c r="K433" s="96">
        <f ca="1">HLOOKUP($H$4,'Met Data'!$O$2:$T$368,G433,FALSE)</f>
        <v>2.2352735074469998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89</v>
      </c>
      <c r="H434" s="95">
        <f t="shared" ca="1" si="66"/>
        <v>45745</v>
      </c>
      <c r="I434" s="119">
        <f ca="1">HLOOKUP($H$4,'Met Data'!$A$2:$F$368,G434,FALSE)</f>
        <v>16.404166666666601</v>
      </c>
      <c r="J434" s="119">
        <f ca="1">HLOOKUP($H$4,'Met Data'!$H$2:$M$368,G434,FALSE)*L434</f>
        <v>2.3333333333333299</v>
      </c>
      <c r="K434" s="96">
        <f ca="1">HLOOKUP($H$4,'Met Data'!$O$2:$T$368,G434,FALSE)</f>
        <v>2.3461969045698901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90</v>
      </c>
      <c r="H435" s="95">
        <f t="shared" ca="1" si="66"/>
        <v>45746</v>
      </c>
      <c r="I435" s="119">
        <f ca="1">HLOOKUP($H$4,'Met Data'!$A$2:$F$368,G435,FALSE)</f>
        <v>16.629166666666599</v>
      </c>
      <c r="J435" s="119">
        <f ca="1">HLOOKUP($H$4,'Met Data'!$H$2:$M$368,G435,FALSE)*L435</f>
        <v>2.2333333333333298</v>
      </c>
      <c r="K435" s="96">
        <f ca="1">HLOOKUP($H$4,'Met Data'!$O$2:$T$368,G435,FALSE)</f>
        <v>2.5330458314755799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91</v>
      </c>
      <c r="H436" s="95">
        <f t="shared" ca="1" si="66"/>
        <v>45747</v>
      </c>
      <c r="I436" s="119">
        <f ca="1">HLOOKUP($H$4,'Met Data'!$A$2:$F$368,G436,FALSE)</f>
        <v>16.112499999999901</v>
      </c>
      <c r="J436" s="119">
        <f ca="1">HLOOKUP($H$4,'Met Data'!$H$2:$M$368,G436,FALSE)*L436</f>
        <v>2.0833333333333299</v>
      </c>
      <c r="K436" s="96">
        <f ca="1">HLOOKUP($H$4,'Met Data'!$O$2:$T$368,G436,FALSE)</f>
        <v>2.4661161715906501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92</v>
      </c>
      <c r="H437" s="95">
        <f t="shared" ca="1" si="66"/>
        <v>45748</v>
      </c>
      <c r="I437" s="119">
        <f ca="1">HLOOKUP($H$4,'Met Data'!$A$2:$F$368,G437,FALSE)</f>
        <v>15.862500000000001</v>
      </c>
      <c r="J437" s="119">
        <f ca="1">HLOOKUP($H$4,'Met Data'!$H$2:$M$368,G437,FALSE)*L437</f>
        <v>1.3333333333333299</v>
      </c>
      <c r="K437" s="96">
        <f ca="1">HLOOKUP($H$4,'Met Data'!$O$2:$T$368,G437,FALSE)</f>
        <v>2.3173978620084501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93</v>
      </c>
      <c r="H438" s="95">
        <f t="shared" ca="1" si="66"/>
        <v>45749</v>
      </c>
      <c r="I438" s="119">
        <f ca="1">HLOOKUP($H$4,'Met Data'!$A$2:$F$368,G438,FALSE)</f>
        <v>15.299999999999899</v>
      </c>
      <c r="J438" s="119">
        <f ca="1">HLOOKUP($H$4,'Met Data'!$H$2:$M$368,G438,FALSE)*L438</f>
        <v>0.36666666666666597</v>
      </c>
      <c r="K438" s="96">
        <f ca="1">HLOOKUP($H$4,'Met Data'!$O$2:$T$368,G438,FALSE)</f>
        <v>2.1311275850035698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94</v>
      </c>
      <c r="H439" s="95">
        <f t="shared" ca="1" si="66"/>
        <v>45750</v>
      </c>
      <c r="I439" s="119">
        <f ca="1">HLOOKUP($H$4,'Met Data'!$A$2:$F$368,G439,FALSE)</f>
        <v>16.266666666666602</v>
      </c>
      <c r="J439" s="119">
        <f ca="1">HLOOKUP($H$4,'Met Data'!$H$2:$M$368,G439,FALSE)*L439</f>
        <v>4.36666666666666</v>
      </c>
      <c r="K439" s="96">
        <f ca="1">HLOOKUP($H$4,'Met Data'!$O$2:$T$368,G439,FALSE)</f>
        <v>2.1942415542804201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95</v>
      </c>
      <c r="H440" s="95">
        <f t="shared" ca="1" si="66"/>
        <v>45751</v>
      </c>
      <c r="I440" s="119">
        <f ca="1">HLOOKUP($H$4,'Met Data'!$A$2:$F$368,G440,FALSE)</f>
        <v>16.008333333333301</v>
      </c>
      <c r="J440" s="119">
        <f ca="1">HLOOKUP($H$4,'Met Data'!$H$2:$M$368,G440,FALSE)*L440</f>
        <v>5.5833333333333304</v>
      </c>
      <c r="K440" s="96">
        <f ca="1">HLOOKUP($H$4,'Met Data'!$O$2:$T$368,G440,FALSE)</f>
        <v>2.18875214188912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96</v>
      </c>
      <c r="H441" s="95">
        <f t="shared" ca="1" si="66"/>
        <v>45752</v>
      </c>
      <c r="I441" s="119">
        <f ca="1">HLOOKUP($H$4,'Met Data'!$A$2:$F$368,G441,FALSE)</f>
        <v>14.8083333333333</v>
      </c>
      <c r="J441" s="119">
        <f ca="1">HLOOKUP($H$4,'Met Data'!$H$2:$M$368,G441,FALSE)*L441</f>
        <v>3.93333333333333</v>
      </c>
      <c r="K441" s="96">
        <f ca="1">HLOOKUP($H$4,'Met Data'!$O$2:$T$368,G441,FALSE)</f>
        <v>2.25899576438928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97</v>
      </c>
      <c r="H442" s="95">
        <f t="shared" ca="1" si="66"/>
        <v>45753</v>
      </c>
      <c r="I442" s="119">
        <f ca="1">HLOOKUP($H$4,'Met Data'!$A$2:$F$368,G442,FALSE)</f>
        <v>14.283333333333299</v>
      </c>
      <c r="J442" s="119">
        <f ca="1">HLOOKUP($H$4,'Met Data'!$H$2:$M$368,G442,FALSE)*L442</f>
        <v>1.2666666666666599</v>
      </c>
      <c r="K442" s="96">
        <f ca="1">HLOOKUP($H$4,'Met Data'!$O$2:$T$368,G442,FALSE)</f>
        <v>2.2952223200603901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98</v>
      </c>
      <c r="H443" s="95">
        <f t="shared" ca="1" si="66"/>
        <v>45754</v>
      </c>
      <c r="I443" s="119">
        <f ca="1">HLOOKUP($H$4,'Met Data'!$A$2:$F$368,G443,FALSE)</f>
        <v>13.258333333333301</v>
      </c>
      <c r="J443" s="119">
        <f ca="1">HLOOKUP($H$4,'Met Data'!$H$2:$M$368,G443,FALSE)*L443</f>
        <v>1.18333333333333</v>
      </c>
      <c r="K443" s="96">
        <f ca="1">HLOOKUP($H$4,'Met Data'!$O$2:$T$368,G443,FALSE)</f>
        <v>1.94562323949851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99</v>
      </c>
      <c r="H444" s="95">
        <f t="shared" ca="1" si="66"/>
        <v>45755</v>
      </c>
      <c r="I444" s="119">
        <f ca="1">HLOOKUP($H$4,'Met Data'!$A$2:$F$368,G444,FALSE)</f>
        <v>13.8666666666666</v>
      </c>
      <c r="J444" s="119">
        <f ca="1">HLOOKUP($H$4,'Met Data'!$H$2:$M$368,G444,FALSE)*L444</f>
        <v>4.7333333333333298</v>
      </c>
      <c r="K444" s="96">
        <f ca="1">HLOOKUP($H$4,'Met Data'!$O$2:$T$368,G444,FALSE)</f>
        <v>1.65226329552866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100</v>
      </c>
      <c r="H445" s="95">
        <f t="shared" ca="1" si="66"/>
        <v>45756</v>
      </c>
      <c r="I445" s="119">
        <f ca="1">HLOOKUP($H$4,'Met Data'!$A$2:$F$368,G445,FALSE)</f>
        <v>14.404166666666599</v>
      </c>
      <c r="J445" s="119">
        <f ca="1">HLOOKUP($H$4,'Met Data'!$H$2:$M$368,G445,FALSE)*L445</f>
        <v>4.3166666666666602</v>
      </c>
      <c r="K445" s="96">
        <f ca="1">HLOOKUP($H$4,'Met Data'!$O$2:$T$368,G445,FALSE)</f>
        <v>1.8668252234765801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101</v>
      </c>
      <c r="H446" s="95">
        <f t="shared" ca="1" si="66"/>
        <v>45757</v>
      </c>
      <c r="I446" s="119">
        <f ca="1">HLOOKUP($H$4,'Met Data'!$A$2:$F$368,G446,FALSE)</f>
        <v>14.5416666666666</v>
      </c>
      <c r="J446" s="119">
        <f ca="1">HLOOKUP($H$4,'Met Data'!$H$2:$M$368,G446,FALSE)*L446</f>
        <v>4.43333333333333</v>
      </c>
      <c r="K446" s="96">
        <f ca="1">HLOOKUP($H$4,'Met Data'!$O$2:$T$368,G446,FALSE)</f>
        <v>1.97301093095216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102</v>
      </c>
      <c r="H447" s="95">
        <f t="shared" ca="1" si="66"/>
        <v>45758</v>
      </c>
      <c r="I447" s="119">
        <f ca="1">HLOOKUP($H$4,'Met Data'!$A$2:$F$368,G447,FALSE)</f>
        <v>14.279166666666599</v>
      </c>
      <c r="J447" s="119">
        <f ca="1">HLOOKUP($H$4,'Met Data'!$H$2:$M$368,G447,FALSE)*L447</f>
        <v>1.3333333333333299</v>
      </c>
      <c r="K447" s="96">
        <f ca="1">HLOOKUP($H$4,'Met Data'!$O$2:$T$368,G447,FALSE)</f>
        <v>1.63836682585681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103</v>
      </c>
      <c r="H448" s="95">
        <f t="shared" ca="1" si="66"/>
        <v>45759</v>
      </c>
      <c r="I448" s="119">
        <f ca="1">HLOOKUP($H$4,'Met Data'!$A$2:$F$368,G448,FALSE)</f>
        <v>15.1666666666666</v>
      </c>
      <c r="J448" s="119">
        <f ca="1">HLOOKUP($H$4,'Met Data'!$H$2:$M$368,G448,FALSE)*L448</f>
        <v>3.7833333333333301</v>
      </c>
      <c r="K448" s="96">
        <f ca="1">HLOOKUP($H$4,'Met Data'!$O$2:$T$368,G448,FALSE)</f>
        <v>1.8936832301932101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104</v>
      </c>
      <c r="H449" s="95">
        <f t="shared" ca="1" si="66"/>
        <v>45760</v>
      </c>
      <c r="I449" s="119">
        <f ca="1">HLOOKUP($H$4,'Met Data'!$A$2:$F$368,G449,FALSE)</f>
        <v>14.675000000000001</v>
      </c>
      <c r="J449" s="119">
        <f ca="1">HLOOKUP($H$4,'Met Data'!$H$2:$M$368,G449,FALSE)*L449</f>
        <v>4.5166666666666604</v>
      </c>
      <c r="K449" s="96">
        <f ca="1">HLOOKUP($H$4,'Met Data'!$O$2:$T$368,G449,FALSE)</f>
        <v>1.6971366028359001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105</v>
      </c>
      <c r="H450" s="95">
        <f t="shared" ca="1" si="66"/>
        <v>45761</v>
      </c>
      <c r="I450" s="119">
        <f ca="1">HLOOKUP($H$4,'Met Data'!$A$2:$F$368,G450,FALSE)</f>
        <v>13.504166666666601</v>
      </c>
      <c r="J450" s="119">
        <f ca="1">HLOOKUP($H$4,'Met Data'!$H$2:$M$368,G450,FALSE)*L450</f>
        <v>4.5</v>
      </c>
      <c r="K450" s="96">
        <f ca="1">HLOOKUP($H$4,'Met Data'!$O$2:$T$368,G450,FALSE)</f>
        <v>1.6970685904410301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106</v>
      </c>
      <c r="H451" s="95">
        <f t="shared" ca="1" si="66"/>
        <v>45762</v>
      </c>
      <c r="I451" s="119">
        <f ca="1">HLOOKUP($H$4,'Met Data'!$A$2:$F$368,G451,FALSE)</f>
        <v>13.779166666666599</v>
      </c>
      <c r="J451" s="119">
        <f ca="1">HLOOKUP($H$4,'Met Data'!$H$2:$M$368,G451,FALSE)*L451</f>
        <v>0.9</v>
      </c>
      <c r="K451" s="96">
        <f ca="1">HLOOKUP($H$4,'Met Data'!$O$2:$T$368,G451,FALSE)</f>
        <v>2.0649391337631702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107</v>
      </c>
      <c r="H452" s="95">
        <f t="shared" ca="1" si="66"/>
        <v>45763</v>
      </c>
      <c r="I452" s="119">
        <f ca="1">HLOOKUP($H$4,'Met Data'!$A$2:$F$368,G452,FALSE)</f>
        <v>13.920833333333301</v>
      </c>
      <c r="J452" s="119">
        <f ca="1">HLOOKUP($H$4,'Met Data'!$H$2:$M$368,G452,FALSE)*L452</f>
        <v>7.6</v>
      </c>
      <c r="K452" s="96">
        <f ca="1">HLOOKUP($H$4,'Met Data'!$O$2:$T$368,G452,FALSE)</f>
        <v>1.7084212444020199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108</v>
      </c>
      <c r="H453" s="95">
        <f t="shared" ca="1" si="66"/>
        <v>45764</v>
      </c>
      <c r="I453" s="119">
        <f ca="1">HLOOKUP($H$4,'Met Data'!$A$2:$F$368,G453,FALSE)</f>
        <v>13.6416666666666</v>
      </c>
      <c r="J453" s="119">
        <f ca="1">HLOOKUP($H$4,'Met Data'!$H$2:$M$368,G453,FALSE)*L453</f>
        <v>3.44999999999999</v>
      </c>
      <c r="K453" s="96">
        <f ca="1">HLOOKUP($H$4,'Met Data'!$O$2:$T$368,G453,FALSE)</f>
        <v>1.46996077972592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109</v>
      </c>
      <c r="H454" s="95">
        <f t="shared" ca="1" si="66"/>
        <v>45765</v>
      </c>
      <c r="I454" s="119">
        <f ca="1">HLOOKUP($H$4,'Met Data'!$A$2:$F$368,G454,FALSE)</f>
        <v>13.6833333333333</v>
      </c>
      <c r="J454" s="119">
        <f ca="1">HLOOKUP($H$4,'Met Data'!$H$2:$M$368,G454,FALSE)*L454</f>
        <v>2.4166666666666599</v>
      </c>
      <c r="K454" s="96">
        <f ca="1">HLOOKUP($H$4,'Met Data'!$O$2:$T$368,G454,FALSE)</f>
        <v>1.64274717869015</v>
      </c>
      <c r="L454">
        <f t="shared" ref="L454:L517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ref="G455:G495" ca="1" si="74">H455-DATE(YEAR(H455),1,0)+1</f>
        <v>110</v>
      </c>
      <c r="H455" s="95">
        <f t="shared" ca="1" si="66"/>
        <v>45766</v>
      </c>
      <c r="I455" s="119">
        <f ca="1">HLOOKUP($H$4,'Met Data'!$A$2:$F$368,G455,FALSE)</f>
        <v>12.945833333333301</v>
      </c>
      <c r="J455" s="119">
        <f ca="1">HLOOKUP($H$4,'Met Data'!$H$2:$M$368,G455,FALSE)*L455</f>
        <v>1.5999999999999901</v>
      </c>
      <c r="K455" s="96">
        <f ca="1">HLOOKUP($H$4,'Met Data'!$O$2:$T$368,G455,FALSE)</f>
        <v>1.70342846945819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ca="1" si="74"/>
        <v>111</v>
      </c>
      <c r="H456" s="95">
        <f t="shared" ref="H456:H519" ca="1" si="76">H455+1</f>
        <v>45767</v>
      </c>
      <c r="I456" s="119">
        <f ca="1">HLOOKUP($H$4,'Met Data'!$A$2:$F$368,G456,FALSE)</f>
        <v>14.2875</v>
      </c>
      <c r="J456" s="119">
        <f ca="1">HLOOKUP($H$4,'Met Data'!$H$2:$M$368,G456,FALSE)*L456</f>
        <v>1.1499999999999999</v>
      </c>
      <c r="K456" s="96">
        <f ca="1">HLOOKUP($H$4,'Met Data'!$O$2:$T$368,G456,FALSE)</f>
        <v>1.68674688590323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112</v>
      </c>
      <c r="H457" s="95">
        <f t="shared" ca="1" si="76"/>
        <v>45768</v>
      </c>
      <c r="I457" s="119">
        <f ca="1">HLOOKUP($H$4,'Met Data'!$A$2:$F$368,G457,FALSE)</f>
        <v>14.275</v>
      </c>
      <c r="J457" s="119">
        <f ca="1">HLOOKUP($H$4,'Met Data'!$H$2:$M$368,G457,FALSE)*L457</f>
        <v>2.0833333333333299</v>
      </c>
      <c r="K457" s="96">
        <f ca="1">HLOOKUP($H$4,'Met Data'!$O$2:$T$368,G457,FALSE)</f>
        <v>1.5152419322458901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113</v>
      </c>
      <c r="H458" s="95">
        <f t="shared" ca="1" si="76"/>
        <v>45769</v>
      </c>
      <c r="I458" s="119">
        <f ca="1">HLOOKUP($H$4,'Met Data'!$A$2:$F$368,G458,FALSE)</f>
        <v>13.595833333333299</v>
      </c>
      <c r="J458" s="119">
        <f ca="1">HLOOKUP($H$4,'Met Data'!$H$2:$M$368,G458,FALSE)*L458</f>
        <v>0.76666666666666605</v>
      </c>
      <c r="K458" s="96">
        <f ca="1">HLOOKUP($H$4,'Met Data'!$O$2:$T$368,G458,FALSE)</f>
        <v>1.65518894118648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114</v>
      </c>
      <c r="H459" s="95">
        <f t="shared" ca="1" si="76"/>
        <v>45770</v>
      </c>
      <c r="I459" s="119">
        <f ca="1">HLOOKUP($H$4,'Met Data'!$A$2:$F$368,G459,FALSE)</f>
        <v>13.9125</v>
      </c>
      <c r="J459" s="119">
        <f ca="1">HLOOKUP($H$4,'Met Data'!$H$2:$M$368,G459,FALSE)*L459</f>
        <v>0.3</v>
      </c>
      <c r="K459" s="96">
        <f ca="1">HLOOKUP($H$4,'Met Data'!$O$2:$T$368,G459,FALSE)</f>
        <v>1.66585763602601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ref="AG459:AG495" ca="1" si="77">Q458+S459+T459+U459</f>
        <v>#N/A</v>
      </c>
      <c r="AH459" s="63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>
      <c r="G460" s="3">
        <f t="shared" ca="1" si="74"/>
        <v>115</v>
      </c>
      <c r="H460" s="95">
        <f t="shared" ca="1" si="76"/>
        <v>45771</v>
      </c>
      <c r="I460" s="119">
        <f ca="1">HLOOKUP($H$4,'Met Data'!$A$2:$F$368,G460,FALSE)</f>
        <v>14.820833333333301</v>
      </c>
      <c r="J460" s="119">
        <f ca="1">HLOOKUP($H$4,'Met Data'!$H$2:$M$368,G460,FALSE)*L460</f>
        <v>2.5333333333333301</v>
      </c>
      <c r="K460" s="96">
        <f ca="1">HLOOKUP($H$4,'Met Data'!$O$2:$T$368,G460,FALSE)</f>
        <v>1.5754379638326901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ca="1" si="77"/>
        <v>#N/A</v>
      </c>
      <c r="AH460" s="63" t="e">
        <f t="shared" ca="1" si="78"/>
        <v>#N/A</v>
      </c>
      <c r="AI460" s="3" t="e">
        <f t="shared" ca="1" si="79"/>
        <v>#N/A</v>
      </c>
    </row>
    <row r="461" spans="7:35">
      <c r="G461" s="3">
        <f t="shared" ca="1" si="74"/>
        <v>116</v>
      </c>
      <c r="H461" s="95">
        <f t="shared" ca="1" si="76"/>
        <v>45772</v>
      </c>
      <c r="I461" s="119">
        <f ca="1">HLOOKUP($H$4,'Met Data'!$A$2:$F$368,G461,FALSE)</f>
        <v>14.4166666666666</v>
      </c>
      <c r="J461" s="119">
        <f ca="1">HLOOKUP($H$4,'Met Data'!$H$2:$M$368,G461,FALSE)*L461</f>
        <v>7.3833333333333302</v>
      </c>
      <c r="K461" s="96">
        <f ca="1">HLOOKUP($H$4,'Met Data'!$O$2:$T$368,G461,FALSE)</f>
        <v>1.4622003711311999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117</v>
      </c>
      <c r="H462" s="95">
        <f t="shared" ca="1" si="76"/>
        <v>45773</v>
      </c>
      <c r="I462" s="119">
        <f ca="1">HLOOKUP($H$4,'Met Data'!$A$2:$F$368,G462,FALSE)</f>
        <v>13.9375</v>
      </c>
      <c r="J462" s="119">
        <f ca="1">HLOOKUP($H$4,'Met Data'!$H$2:$M$368,G462,FALSE)*L462</f>
        <v>0.7</v>
      </c>
      <c r="K462" s="96">
        <f ca="1">HLOOKUP($H$4,'Met Data'!$O$2:$T$368,G462,FALSE)</f>
        <v>1.4965322621758601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118</v>
      </c>
      <c r="H463" s="95">
        <f t="shared" ca="1" si="76"/>
        <v>45774</v>
      </c>
      <c r="I463" s="119">
        <f ca="1">HLOOKUP($H$4,'Met Data'!$A$2:$F$368,G463,FALSE)</f>
        <v>14.8045454545454</v>
      </c>
      <c r="J463" s="119">
        <f ca="1">HLOOKUP($H$4,'Met Data'!$H$2:$M$368,G463,FALSE)*L463</f>
        <v>4.5818181818181802</v>
      </c>
      <c r="K463" s="96">
        <f ca="1">HLOOKUP($H$4,'Met Data'!$O$2:$T$368,G463,FALSE)</f>
        <v>1.5702581753512701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119</v>
      </c>
      <c r="H464" s="95">
        <f t="shared" ca="1" si="76"/>
        <v>45775</v>
      </c>
      <c r="I464" s="119">
        <f ca="1">HLOOKUP($H$4,'Met Data'!$A$2:$F$368,G464,FALSE)</f>
        <v>14.1090909090909</v>
      </c>
      <c r="J464" s="119">
        <f ca="1">HLOOKUP($H$4,'Met Data'!$H$2:$M$368,G464,FALSE)*L464</f>
        <v>5.5454545454545396</v>
      </c>
      <c r="K464" s="96">
        <f ca="1">HLOOKUP($H$4,'Met Data'!$O$2:$T$368,G464,FALSE)</f>
        <v>1.27231342308323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120</v>
      </c>
      <c r="H465" s="95">
        <f t="shared" ca="1" si="76"/>
        <v>45776</v>
      </c>
      <c r="I465" s="119">
        <f ca="1">HLOOKUP($H$4,'Met Data'!$A$2:$F$368,G465,FALSE)</f>
        <v>13.8375</v>
      </c>
      <c r="J465" s="119">
        <f ca="1">HLOOKUP($H$4,'Met Data'!$H$2:$M$368,G465,FALSE)*L465</f>
        <v>4.68333333333333</v>
      </c>
      <c r="K465" s="96">
        <f ca="1">HLOOKUP($H$4,'Met Data'!$O$2:$T$368,G465,FALSE)</f>
        <v>1.5077932055652401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121</v>
      </c>
      <c r="H466" s="95">
        <f t="shared" ca="1" si="76"/>
        <v>45777</v>
      </c>
      <c r="I466" s="119">
        <f ca="1">HLOOKUP($H$4,'Met Data'!$A$2:$F$368,G466,FALSE)</f>
        <v>13.6458333333333</v>
      </c>
      <c r="J466" s="119">
        <f ca="1">HLOOKUP($H$4,'Met Data'!$H$2:$M$368,G466,FALSE)*L466</f>
        <v>5.3999999999999897</v>
      </c>
      <c r="K466" s="96">
        <f ca="1">HLOOKUP($H$4,'Met Data'!$O$2:$T$368,G466,FALSE)</f>
        <v>1.60300410285803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122</v>
      </c>
      <c r="H467" s="95">
        <f t="shared" ca="1" si="76"/>
        <v>45778</v>
      </c>
      <c r="I467" s="119">
        <f ca="1">HLOOKUP($H$4,'Met Data'!$A$2:$F$368,G467,FALSE)</f>
        <v>11.883333333333301</v>
      </c>
      <c r="J467" s="119">
        <f ca="1">HLOOKUP($H$4,'Met Data'!$H$2:$M$368,G467,FALSE)*L467</f>
        <v>0.25</v>
      </c>
      <c r="K467" s="96">
        <f ca="1">HLOOKUP($H$4,'Met Data'!$O$2:$T$368,G467,FALSE)</f>
        <v>1.67837953393642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123</v>
      </c>
      <c r="H468" s="95">
        <f t="shared" ca="1" si="76"/>
        <v>45779</v>
      </c>
      <c r="I468" s="119">
        <f ca="1">HLOOKUP($H$4,'Met Data'!$A$2:$F$368,G468,FALSE)</f>
        <v>11.8541666666666</v>
      </c>
      <c r="J468" s="119">
        <f ca="1">HLOOKUP($H$4,'Met Data'!$H$2:$M$368,G468,FALSE)*L468</f>
        <v>0.133333333333333</v>
      </c>
      <c r="K468" s="96">
        <f ca="1">HLOOKUP($H$4,'Met Data'!$O$2:$T$368,G468,FALSE)</f>
        <v>1.44561782365903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124</v>
      </c>
      <c r="H469" s="95">
        <f t="shared" ca="1" si="76"/>
        <v>45780</v>
      </c>
      <c r="I469" s="119">
        <f ca="1">HLOOKUP($H$4,'Met Data'!$A$2:$F$368,G469,FALSE)</f>
        <v>13.0875</v>
      </c>
      <c r="J469" s="119">
        <f ca="1">HLOOKUP($H$4,'Met Data'!$H$2:$M$368,G469,FALSE)*L469</f>
        <v>2.1333333333333302</v>
      </c>
      <c r="K469" s="96">
        <f ca="1">HLOOKUP($H$4,'Met Data'!$O$2:$T$368,G469,FALSE)</f>
        <v>1.4319782957140901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125</v>
      </c>
      <c r="H470" s="95">
        <f t="shared" ca="1" si="76"/>
        <v>45781</v>
      </c>
      <c r="I470" s="119">
        <f ca="1">HLOOKUP($H$4,'Met Data'!$A$2:$F$368,G470,FALSE)</f>
        <v>13.137499999999999</v>
      </c>
      <c r="J470" s="119">
        <f ca="1">HLOOKUP($H$4,'Met Data'!$H$2:$M$368,G470,FALSE)*L470</f>
        <v>3</v>
      </c>
      <c r="K470" s="96">
        <f ca="1">HLOOKUP($H$4,'Met Data'!$O$2:$T$368,G470,FALSE)</f>
        <v>1.16413167388704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126</v>
      </c>
      <c r="H471" s="95">
        <f t="shared" ca="1" si="76"/>
        <v>45782</v>
      </c>
      <c r="I471" s="119">
        <f ca="1">HLOOKUP($H$4,'Met Data'!$A$2:$F$368,G471,FALSE)</f>
        <v>13.591666666666599</v>
      </c>
      <c r="J471" s="119">
        <f ca="1">HLOOKUP($H$4,'Met Data'!$H$2:$M$368,G471,FALSE)*L471</f>
        <v>4.8499999999999996</v>
      </c>
      <c r="K471" s="96">
        <f ca="1">HLOOKUP($H$4,'Met Data'!$O$2:$T$368,G471,FALSE)</f>
        <v>1.3049016144750001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127</v>
      </c>
      <c r="H472" s="95">
        <f t="shared" ca="1" si="76"/>
        <v>45783</v>
      </c>
      <c r="I472" s="119">
        <f ca="1">HLOOKUP($H$4,'Met Data'!$A$2:$F$368,G472,FALSE)</f>
        <v>13.2708333333333</v>
      </c>
      <c r="J472" s="119">
        <f ca="1">HLOOKUP($H$4,'Met Data'!$H$2:$M$368,G472,FALSE)*L472</f>
        <v>2.36666666666666</v>
      </c>
      <c r="K472" s="96">
        <f ca="1">HLOOKUP($H$4,'Met Data'!$O$2:$T$368,G472,FALSE)</f>
        <v>1.29751787384439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128</v>
      </c>
      <c r="H473" s="95">
        <f t="shared" ca="1" si="76"/>
        <v>45784</v>
      </c>
      <c r="I473" s="119">
        <f ca="1">HLOOKUP($H$4,'Met Data'!$A$2:$F$368,G473,FALSE)</f>
        <v>12.6791666666666</v>
      </c>
      <c r="J473" s="119">
        <f ca="1">HLOOKUP($H$4,'Met Data'!$H$2:$M$368,G473,FALSE)*L473</f>
        <v>5.4166666666666599</v>
      </c>
      <c r="K473" s="96">
        <f ca="1">HLOOKUP($H$4,'Met Data'!$O$2:$T$368,G473,FALSE)</f>
        <v>1.3071916611718599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129</v>
      </c>
      <c r="H474" s="95">
        <f t="shared" ca="1" si="76"/>
        <v>45785</v>
      </c>
      <c r="I474" s="119">
        <f ca="1">HLOOKUP($H$4,'Met Data'!$A$2:$F$368,G474,FALSE)</f>
        <v>12.799999999999899</v>
      </c>
      <c r="J474" s="119">
        <f ca="1">HLOOKUP($H$4,'Met Data'!$H$2:$M$368,G474,FALSE)*L474</f>
        <v>2.1666666666666599</v>
      </c>
      <c r="K474" s="96">
        <f ca="1">HLOOKUP($H$4,'Met Data'!$O$2:$T$368,G474,FALSE)</f>
        <v>1.27112414081248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130</v>
      </c>
      <c r="H475" s="95">
        <f t="shared" ca="1" si="76"/>
        <v>45786</v>
      </c>
      <c r="I475" s="119">
        <f ca="1">HLOOKUP($H$4,'Met Data'!$A$2:$F$368,G475,FALSE)</f>
        <v>14.1</v>
      </c>
      <c r="J475" s="119">
        <f ca="1">HLOOKUP($H$4,'Met Data'!$H$2:$M$368,G475,FALSE)*L475</f>
        <v>1.2333333333333301</v>
      </c>
      <c r="K475" s="96">
        <f ca="1">HLOOKUP($H$4,'Met Data'!$O$2:$T$368,G475,FALSE)</f>
        <v>1.3593529897032299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131</v>
      </c>
      <c r="H476" s="95">
        <f t="shared" ca="1" si="76"/>
        <v>45787</v>
      </c>
      <c r="I476" s="119">
        <f ca="1">HLOOKUP($H$4,'Met Data'!$A$2:$F$368,G476,FALSE)</f>
        <v>13.7416666666666</v>
      </c>
      <c r="J476" s="119">
        <f ca="1">HLOOKUP($H$4,'Met Data'!$H$2:$M$368,G476,FALSE)*L476</f>
        <v>1.56666666666666</v>
      </c>
      <c r="K476" s="96">
        <f ca="1">HLOOKUP($H$4,'Met Data'!$O$2:$T$368,G476,FALSE)</f>
        <v>1.1980493949464299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132</v>
      </c>
      <c r="H477" s="95">
        <f t="shared" ca="1" si="76"/>
        <v>45788</v>
      </c>
      <c r="I477" s="119">
        <f ca="1">HLOOKUP($H$4,'Met Data'!$A$2:$F$368,G477,FALSE)</f>
        <v>13.1</v>
      </c>
      <c r="J477" s="119">
        <f ca="1">HLOOKUP($H$4,'Met Data'!$H$2:$M$368,G477,FALSE)*L477</f>
        <v>3.7166666666666601</v>
      </c>
      <c r="K477" s="96">
        <f ca="1">HLOOKUP($H$4,'Met Data'!$O$2:$T$368,G477,FALSE)</f>
        <v>1.0818629782871001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133</v>
      </c>
      <c r="H478" s="95">
        <f t="shared" ca="1" si="76"/>
        <v>45789</v>
      </c>
      <c r="I478" s="119">
        <f ca="1">HLOOKUP($H$4,'Met Data'!$A$2:$F$368,G478,FALSE)</f>
        <v>13.566666666666601</v>
      </c>
      <c r="J478" s="119">
        <f ca="1">HLOOKUP($H$4,'Met Data'!$H$2:$M$368,G478,FALSE)*L478</f>
        <v>5.86666666666666</v>
      </c>
      <c r="K478" s="96">
        <f ca="1">HLOOKUP($H$4,'Met Data'!$O$2:$T$368,G478,FALSE)</f>
        <v>0.93360919947406795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134</v>
      </c>
      <c r="H479" s="95">
        <f t="shared" ca="1" si="76"/>
        <v>45790</v>
      </c>
      <c r="I479" s="119">
        <f ca="1">HLOOKUP($H$4,'Met Data'!$A$2:$F$368,G479,FALSE)</f>
        <v>12.887499999999999</v>
      </c>
      <c r="J479" s="119">
        <f ca="1">HLOOKUP($H$4,'Met Data'!$H$2:$M$368,G479,FALSE)*L479</f>
        <v>5.1666666666666599</v>
      </c>
      <c r="K479" s="96">
        <f ca="1">HLOOKUP($H$4,'Met Data'!$O$2:$T$368,G479,FALSE)</f>
        <v>1.3361527471355901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135</v>
      </c>
      <c r="H480" s="95">
        <f t="shared" ca="1" si="76"/>
        <v>45791</v>
      </c>
      <c r="I480" s="119">
        <f ca="1">HLOOKUP($H$4,'Met Data'!$A$2:$F$368,G480,FALSE)</f>
        <v>13</v>
      </c>
      <c r="J480" s="119">
        <f ca="1">HLOOKUP($H$4,'Met Data'!$H$2:$M$368,G480,FALSE)*L480</f>
        <v>4.86666666666666</v>
      </c>
      <c r="K480" s="96">
        <f ca="1">HLOOKUP($H$4,'Met Data'!$O$2:$T$368,G480,FALSE)</f>
        <v>1.1907632624443201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136</v>
      </c>
      <c r="H481" s="95">
        <f t="shared" ca="1" si="76"/>
        <v>45792</v>
      </c>
      <c r="I481" s="119">
        <f ca="1">HLOOKUP($H$4,'Met Data'!$A$2:$F$368,G481,FALSE)</f>
        <v>13.470833333333299</v>
      </c>
      <c r="J481" s="119">
        <f ca="1">HLOOKUP($H$4,'Met Data'!$H$2:$M$368,G481,FALSE)*L481</f>
        <v>8.7833333333333297</v>
      </c>
      <c r="K481" s="96">
        <f ca="1">HLOOKUP($H$4,'Met Data'!$O$2:$T$368,G481,FALSE)</f>
        <v>1.16840876605303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137</v>
      </c>
      <c r="H482" s="95">
        <f t="shared" ca="1" si="76"/>
        <v>45793</v>
      </c>
      <c r="I482" s="119">
        <f ca="1">HLOOKUP($H$4,'Met Data'!$A$2:$F$368,G482,FALSE)</f>
        <v>12.8666666666666</v>
      </c>
      <c r="J482" s="119">
        <f ca="1">HLOOKUP($H$4,'Met Data'!$H$2:$M$368,G482,FALSE)*L482</f>
        <v>4.86666666666666</v>
      </c>
      <c r="K482" s="96">
        <f ca="1">HLOOKUP($H$4,'Met Data'!$O$2:$T$368,G482,FALSE)</f>
        <v>1.23845839693481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138</v>
      </c>
      <c r="H483" s="95">
        <f t="shared" ca="1" si="76"/>
        <v>45794</v>
      </c>
      <c r="I483" s="119">
        <f ca="1">HLOOKUP($H$4,'Met Data'!$A$2:$F$368,G483,FALSE)</f>
        <v>12.237499999999899</v>
      </c>
      <c r="J483" s="119">
        <f ca="1">HLOOKUP($H$4,'Met Data'!$H$2:$M$368,G483,FALSE)*L483</f>
        <v>3.7166666666666601</v>
      </c>
      <c r="K483" s="96">
        <f ca="1">HLOOKUP($H$4,'Met Data'!$O$2:$T$368,G483,FALSE)</f>
        <v>1.3074898165915401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139</v>
      </c>
      <c r="H484" s="95">
        <f t="shared" ca="1" si="76"/>
        <v>45795</v>
      </c>
      <c r="I484" s="119">
        <f ca="1">HLOOKUP($H$4,'Met Data'!$A$2:$F$368,G484,FALSE)</f>
        <v>11.595833333333299</v>
      </c>
      <c r="J484" s="119">
        <f ca="1">HLOOKUP($H$4,'Met Data'!$H$2:$M$368,G484,FALSE)*L484</f>
        <v>2.61666666666666</v>
      </c>
      <c r="K484" s="96">
        <f ca="1">HLOOKUP($H$4,'Met Data'!$O$2:$T$368,G484,FALSE)</f>
        <v>1.3321153360432201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140</v>
      </c>
      <c r="H485" s="95">
        <f t="shared" ca="1" si="76"/>
        <v>45796</v>
      </c>
      <c r="I485" s="119">
        <f ca="1">HLOOKUP($H$4,'Met Data'!$A$2:$F$368,G485,FALSE)</f>
        <v>11.904166666666599</v>
      </c>
      <c r="J485" s="119">
        <f ca="1">HLOOKUP($H$4,'Met Data'!$H$2:$M$368,G485,FALSE)*L485</f>
        <v>2.35</v>
      </c>
      <c r="K485" s="96">
        <f ca="1">HLOOKUP($H$4,'Met Data'!$O$2:$T$368,G485,FALSE)</f>
        <v>1.2961776408629699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141</v>
      </c>
      <c r="H486" s="95">
        <f t="shared" ca="1" si="76"/>
        <v>45797</v>
      </c>
      <c r="I486" s="119">
        <f ca="1">HLOOKUP($H$4,'Met Data'!$A$2:$F$368,G486,FALSE)</f>
        <v>11.762499999999999</v>
      </c>
      <c r="J486" s="119">
        <f ca="1">HLOOKUP($H$4,'Met Data'!$H$2:$M$368,G486,FALSE)*L486</f>
        <v>0.31666666666666599</v>
      </c>
      <c r="K486" s="96">
        <f ca="1">HLOOKUP($H$4,'Met Data'!$O$2:$T$368,G486,FALSE)</f>
        <v>1.26598619456247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142</v>
      </c>
      <c r="H487" s="95">
        <f t="shared" ca="1" si="76"/>
        <v>45798</v>
      </c>
      <c r="I487" s="119">
        <f ca="1">HLOOKUP($H$4,'Met Data'!$A$2:$F$368,G487,FALSE)</f>
        <v>11.612500000000001</v>
      </c>
      <c r="J487" s="119">
        <f ca="1">HLOOKUP($H$4,'Met Data'!$H$2:$M$368,G487,FALSE)*L487</f>
        <v>2</v>
      </c>
      <c r="K487" s="96">
        <f ca="1">HLOOKUP($H$4,'Met Data'!$O$2:$T$368,G487,FALSE)</f>
        <v>1.0607063970516699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143</v>
      </c>
      <c r="H488" s="95">
        <f t="shared" ca="1" si="76"/>
        <v>45799</v>
      </c>
      <c r="I488" s="119">
        <f ca="1">HLOOKUP($H$4,'Met Data'!$A$2:$F$368,G488,FALSE)</f>
        <v>10.174999999999899</v>
      </c>
      <c r="J488" s="119">
        <f ca="1">HLOOKUP($H$4,'Met Data'!$H$2:$M$368,G488,FALSE)*L488</f>
        <v>2.93333333333333</v>
      </c>
      <c r="K488" s="96">
        <f ca="1">HLOOKUP($H$4,'Met Data'!$O$2:$T$368,G488,FALSE)</f>
        <v>1.10734547072848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144</v>
      </c>
      <c r="H489" s="95">
        <f t="shared" ca="1" si="76"/>
        <v>45800</v>
      </c>
      <c r="I489" s="119">
        <f ca="1">HLOOKUP($H$4,'Met Data'!$A$2:$F$368,G489,FALSE)</f>
        <v>10.7416666666666</v>
      </c>
      <c r="J489" s="119">
        <f ca="1">HLOOKUP($H$4,'Met Data'!$H$2:$M$368,G489,FALSE)*L489</f>
        <v>2.8</v>
      </c>
      <c r="K489" s="96">
        <f ca="1">HLOOKUP($H$4,'Met Data'!$O$2:$T$368,G489,FALSE)</f>
        <v>0.94921082080766905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145</v>
      </c>
      <c r="H490" s="95">
        <f t="shared" ca="1" si="76"/>
        <v>45801</v>
      </c>
      <c r="I490" s="119">
        <f ca="1">HLOOKUP($H$4,'Met Data'!$A$2:$F$368,G490,FALSE)</f>
        <v>10.983333333333301</v>
      </c>
      <c r="J490" s="119">
        <f ca="1">HLOOKUP($H$4,'Met Data'!$H$2:$M$368,G490,FALSE)*L490</f>
        <v>5.61666666666666</v>
      </c>
      <c r="K490" s="96">
        <f ca="1">HLOOKUP($H$4,'Met Data'!$O$2:$T$368,G490,FALSE)</f>
        <v>0.95593712910075901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146</v>
      </c>
      <c r="H491" s="95">
        <f t="shared" ca="1" si="76"/>
        <v>45802</v>
      </c>
      <c r="I491" s="119">
        <f ca="1">HLOOKUP($H$4,'Met Data'!$A$2:$F$368,G491,FALSE)</f>
        <v>10.7666666666666</v>
      </c>
      <c r="J491" s="119">
        <f ca="1">HLOOKUP($H$4,'Met Data'!$H$2:$M$368,G491,FALSE)*L491</f>
        <v>3.1666666666666599</v>
      </c>
      <c r="K491" s="96">
        <f ca="1">HLOOKUP($H$4,'Met Data'!$O$2:$T$368,G491,FALSE)</f>
        <v>0.98597820560947502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147</v>
      </c>
      <c r="H492" s="95">
        <f t="shared" ca="1" si="76"/>
        <v>45803</v>
      </c>
      <c r="I492" s="119">
        <f ca="1">HLOOKUP($H$4,'Met Data'!$A$2:$F$368,G492,FALSE)</f>
        <v>11.1833333333333</v>
      </c>
      <c r="J492" s="119">
        <f ca="1">HLOOKUP($H$4,'Met Data'!$H$2:$M$368,G492,FALSE)*L492</f>
        <v>6.1499999999999897</v>
      </c>
      <c r="K492" s="96">
        <f ca="1">HLOOKUP($H$4,'Met Data'!$O$2:$T$368,G492,FALSE)</f>
        <v>1.02530679052105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148</v>
      </c>
      <c r="H493" s="95">
        <f t="shared" ca="1" si="76"/>
        <v>45804</v>
      </c>
      <c r="I493" s="119">
        <f ca="1">HLOOKUP($H$4,'Met Data'!$A$2:$F$368,G493,FALSE)</f>
        <v>10.566666666666601</v>
      </c>
      <c r="J493" s="119">
        <f ca="1">HLOOKUP($H$4,'Met Data'!$H$2:$M$368,G493,FALSE)*L493</f>
        <v>2.7666666666666599</v>
      </c>
      <c r="K493" s="96">
        <f ca="1">HLOOKUP($H$4,'Met Data'!$O$2:$T$368,G493,FALSE)</f>
        <v>1.05508542906727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149</v>
      </c>
      <c r="H494" s="95">
        <f t="shared" ca="1" si="76"/>
        <v>45805</v>
      </c>
      <c r="I494" s="119">
        <f ca="1">HLOOKUP($H$4,'Met Data'!$A$2:$F$368,G494,FALSE)</f>
        <v>10.283333333333299</v>
      </c>
      <c r="J494" s="119">
        <f ca="1">HLOOKUP($H$4,'Met Data'!$H$2:$M$368,G494,FALSE)*L494</f>
        <v>2.7333333333333298</v>
      </c>
      <c r="K494" s="96">
        <f ca="1">HLOOKUP($H$4,'Met Data'!$O$2:$T$368,G494,FALSE)</f>
        <v>0.96273544691676505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 ht="15.75" thickBot="1">
      <c r="G495" s="3">
        <f t="shared" ca="1" si="74"/>
        <v>150</v>
      </c>
      <c r="H495" s="97">
        <f t="shared" ca="1" si="76"/>
        <v>45806</v>
      </c>
      <c r="I495" s="121">
        <f ca="1">HLOOKUP($H$4,'Met Data'!$A$2:$F$368,G495,FALSE)</f>
        <v>10.8</v>
      </c>
      <c r="J495" s="119">
        <f ca="1">HLOOKUP($H$4,'Met Data'!$H$2:$M$368,G495,FALSE)*L495</f>
        <v>3.2333333333333298</v>
      </c>
      <c r="K495" s="98">
        <f ca="1">HLOOKUP($H$4,'Met Data'!$O$2:$T$368,G495,FALSE)</f>
        <v>1.08816831727148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ref="G496:G559" ca="1" si="80">H496-DATE(YEAR(H496),1,0)+1</f>
        <v>151</v>
      </c>
      <c r="H496" s="97">
        <f t="shared" ca="1" si="76"/>
        <v>45807</v>
      </c>
      <c r="I496" s="121">
        <f ca="1">HLOOKUP($H$4,'Met Data'!$A$2:$F$368,G496,FALSE)</f>
        <v>9.6624999999999996</v>
      </c>
      <c r="J496" s="119">
        <f ca="1">HLOOKUP($H$4,'Met Data'!$H$2:$M$368,G496,FALSE)*L496</f>
        <v>1.88333333333333</v>
      </c>
      <c r="K496" s="98">
        <f ca="1">HLOOKUP($H$4,'Met Data'!$O$2:$T$368,G496,FALSE)</f>
        <v>1.0187040175234601</v>
      </c>
      <c r="L496">
        <f t="shared" ca="1" si="70"/>
        <v>1</v>
      </c>
      <c r="N496" t="e">
        <f t="shared" ref="N496:N559" ca="1" si="81">IF(P496&lt;$P$3,TRUE,FALSE)</f>
        <v>#N/A</v>
      </c>
      <c r="O496" t="e">
        <f t="shared" ref="O496:O559" ca="1" si="82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3">IFERROR(P496,$AD$4)</f>
        <v>0</v>
      </c>
      <c r="AE496">
        <f t="shared" ref="AE496:AE559" ca="1" si="84">IFERROR(U496,0)</f>
        <v>0</v>
      </c>
      <c r="AG496" s="63" t="e">
        <f t="shared" ref="AG496:AG559" ca="1" si="85">Q495+S496+T496+U496</f>
        <v>#N/A</v>
      </c>
      <c r="AH496" s="63" t="e">
        <f t="shared" ref="AH496:AH559" ca="1" si="86">Q496+R496+X496</f>
        <v>#N/A</v>
      </c>
      <c r="AI496" s="3" t="e">
        <f t="shared" ref="AI496:AI559" ca="1" si="87">AH496-AG496</f>
        <v>#N/A</v>
      </c>
    </row>
    <row r="497" spans="7:35" ht="15.75" thickBot="1">
      <c r="G497" s="3">
        <f t="shared" ca="1" si="80"/>
        <v>152</v>
      </c>
      <c r="H497" s="97">
        <f t="shared" ca="1" si="76"/>
        <v>45808</v>
      </c>
      <c r="I497" s="121">
        <f ca="1">HLOOKUP($H$4,'Met Data'!$A$2:$F$368,G497,FALSE)</f>
        <v>9.7166666666666597</v>
      </c>
      <c r="J497" s="119">
        <f ca="1">HLOOKUP($H$4,'Met Data'!$H$2:$M$368,G497,FALSE)*L497</f>
        <v>4.7</v>
      </c>
      <c r="K497" s="98">
        <f ca="1">HLOOKUP($H$4,'Met Data'!$O$2:$T$368,G497,FALSE)</f>
        <v>1.10197006718848</v>
      </c>
      <c r="L497">
        <f t="shared" ca="1" si="70"/>
        <v>1</v>
      </c>
      <c r="N497" t="e">
        <f t="shared" ca="1" si="81"/>
        <v>#N/A</v>
      </c>
      <c r="O497" t="e">
        <f t="shared" ca="1" si="82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3"/>
        <v>0</v>
      </c>
      <c r="AE497">
        <f t="shared" ca="1" si="84"/>
        <v>0</v>
      </c>
      <c r="AG497" s="63" t="e">
        <f t="shared" ca="1" si="85"/>
        <v>#N/A</v>
      </c>
      <c r="AH497" s="63" t="e">
        <f t="shared" ca="1" si="86"/>
        <v>#N/A</v>
      </c>
      <c r="AI497" s="3" t="e">
        <f t="shared" ca="1" si="87"/>
        <v>#N/A</v>
      </c>
    </row>
    <row r="498" spans="7:35" ht="15.75" thickBot="1">
      <c r="G498" s="3">
        <f t="shared" ca="1" si="80"/>
        <v>153</v>
      </c>
      <c r="H498" s="97">
        <f t="shared" ca="1" si="76"/>
        <v>45809</v>
      </c>
      <c r="I498" s="121">
        <f ca="1">HLOOKUP($H$4,'Met Data'!$A$2:$F$368,G498,FALSE)</f>
        <v>10.004166666666601</v>
      </c>
      <c r="J498" s="119">
        <f ca="1">HLOOKUP($H$4,'Met Data'!$H$2:$M$368,G498,FALSE)*L498</f>
        <v>2.5</v>
      </c>
      <c r="K498" s="98">
        <f ca="1">HLOOKUP($H$4,'Met Data'!$O$2:$T$368,G498,FALSE)</f>
        <v>1.1690097853574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154</v>
      </c>
      <c r="H499" s="97">
        <f t="shared" ca="1" si="76"/>
        <v>45810</v>
      </c>
      <c r="I499" s="121">
        <f ca="1">HLOOKUP($H$4,'Met Data'!$A$2:$F$368,G499,FALSE)</f>
        <v>9.99583333333333</v>
      </c>
      <c r="J499" s="119">
        <f ca="1">HLOOKUP($H$4,'Met Data'!$H$2:$M$368,G499,FALSE)*L499</f>
        <v>2.7833333333333301</v>
      </c>
      <c r="K499" s="98">
        <f ca="1">HLOOKUP($H$4,'Met Data'!$O$2:$T$368,G499,FALSE)</f>
        <v>1.0280895768516001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155</v>
      </c>
      <c r="H500" s="97">
        <f t="shared" ca="1" si="76"/>
        <v>45811</v>
      </c>
      <c r="I500" s="121">
        <f ca="1">HLOOKUP($H$4,'Met Data'!$A$2:$F$368,G500,FALSE)</f>
        <v>9.8999999999999897</v>
      </c>
      <c r="J500" s="119">
        <f ca="1">HLOOKUP($H$4,'Met Data'!$H$2:$M$368,G500,FALSE)*L500</f>
        <v>1.7833333333333301</v>
      </c>
      <c r="K500" s="98">
        <f ca="1">HLOOKUP($H$4,'Met Data'!$O$2:$T$368,G500,FALSE)</f>
        <v>0.97110296937720297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156</v>
      </c>
      <c r="H501" s="97">
        <f t="shared" ca="1" si="76"/>
        <v>45812</v>
      </c>
      <c r="I501" s="121">
        <f ca="1">HLOOKUP($H$4,'Met Data'!$A$2:$F$368,G501,FALSE)</f>
        <v>10.95</v>
      </c>
      <c r="J501" s="119">
        <f ca="1">HLOOKUP($H$4,'Met Data'!$H$2:$M$368,G501,FALSE)*L501</f>
        <v>2.44999999999999</v>
      </c>
      <c r="K501" s="98">
        <f ca="1">HLOOKUP($H$4,'Met Data'!$O$2:$T$368,G501,FALSE)</f>
        <v>0.960770877493487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157</v>
      </c>
      <c r="H502" s="97">
        <f t="shared" ca="1" si="76"/>
        <v>45813</v>
      </c>
      <c r="I502" s="121">
        <f ca="1">HLOOKUP($H$4,'Met Data'!$A$2:$F$368,G502,FALSE)</f>
        <v>10.6875</v>
      </c>
      <c r="J502" s="119">
        <f ca="1">HLOOKUP($H$4,'Met Data'!$H$2:$M$368,G502,FALSE)*L502</f>
        <v>4.1333333333333302</v>
      </c>
      <c r="K502" s="98">
        <f ca="1">HLOOKUP($H$4,'Met Data'!$O$2:$T$368,G502,FALSE)</f>
        <v>0.84332690198160198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158</v>
      </c>
      <c r="H503" s="97">
        <f t="shared" ca="1" si="76"/>
        <v>45814</v>
      </c>
      <c r="I503" s="121">
        <f ca="1">HLOOKUP($H$4,'Met Data'!$A$2:$F$368,G503,FALSE)</f>
        <v>10.5625</v>
      </c>
      <c r="J503" s="119">
        <f ca="1">HLOOKUP($H$4,'Met Data'!$H$2:$M$368,G503,FALSE)*L503</f>
        <v>5.3</v>
      </c>
      <c r="K503" s="98">
        <f ca="1">HLOOKUP($H$4,'Met Data'!$O$2:$T$368,G503,FALSE)</f>
        <v>0.93242759876210701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159</v>
      </c>
      <c r="H504" s="97">
        <f t="shared" ca="1" si="76"/>
        <v>45815</v>
      </c>
      <c r="I504" s="121">
        <f ca="1">HLOOKUP($H$4,'Met Data'!$A$2:$F$368,G504,FALSE)</f>
        <v>10.4625</v>
      </c>
      <c r="J504" s="119">
        <f ca="1">HLOOKUP($H$4,'Met Data'!$H$2:$M$368,G504,FALSE)*L504</f>
        <v>2.44999999999999</v>
      </c>
      <c r="K504" s="98">
        <f ca="1">HLOOKUP($H$4,'Met Data'!$O$2:$T$368,G504,FALSE)</f>
        <v>0.99912564942381998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160</v>
      </c>
      <c r="H505" s="97">
        <f t="shared" ca="1" si="76"/>
        <v>45816</v>
      </c>
      <c r="I505" s="121">
        <f ca="1">HLOOKUP($H$4,'Met Data'!$A$2:$F$368,G505,FALSE)</f>
        <v>9.5875000000000004</v>
      </c>
      <c r="J505" s="119">
        <f ca="1">HLOOKUP($H$4,'Met Data'!$H$2:$M$368,G505,FALSE)*L505</f>
        <v>1.7333333333333301</v>
      </c>
      <c r="K505" s="98">
        <f ca="1">HLOOKUP($H$4,'Met Data'!$O$2:$T$368,G505,FALSE)</f>
        <v>1.0839051549829499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161</v>
      </c>
      <c r="H506" s="97">
        <f t="shared" ca="1" si="76"/>
        <v>45817</v>
      </c>
      <c r="I506" s="121">
        <f ca="1">HLOOKUP($H$4,'Met Data'!$A$2:$F$368,G506,FALSE)</f>
        <v>9.4875000000000007</v>
      </c>
      <c r="J506" s="119">
        <f ca="1">HLOOKUP($H$4,'Met Data'!$H$2:$M$368,G506,FALSE)*L506</f>
        <v>1.55</v>
      </c>
      <c r="K506" s="98">
        <f ca="1">HLOOKUP($H$4,'Met Data'!$O$2:$T$368,G506,FALSE)</f>
        <v>0.94567596592895498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162</v>
      </c>
      <c r="H507" s="97">
        <f t="shared" ca="1" si="76"/>
        <v>45818</v>
      </c>
      <c r="I507" s="121">
        <f ca="1">HLOOKUP($H$4,'Met Data'!$A$2:$F$368,G507,FALSE)</f>
        <v>10.9</v>
      </c>
      <c r="J507" s="119">
        <f ca="1">HLOOKUP($H$4,'Met Data'!$H$2:$M$368,G507,FALSE)*L507</f>
        <v>4.8363636363636298</v>
      </c>
      <c r="K507" s="98">
        <f ca="1">HLOOKUP($H$4,'Met Data'!$O$2:$T$368,G507,FALSE)</f>
        <v>0.77149259834587403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163</v>
      </c>
      <c r="H508" s="97">
        <f t="shared" ca="1" si="76"/>
        <v>45819</v>
      </c>
      <c r="I508" s="121">
        <f ca="1">HLOOKUP($H$4,'Met Data'!$A$2:$F$368,G508,FALSE)</f>
        <v>10.8954545454545</v>
      </c>
      <c r="J508" s="119">
        <f ca="1">HLOOKUP($H$4,'Met Data'!$H$2:$M$368,G508,FALSE)*L508</f>
        <v>7.1454545454545402</v>
      </c>
      <c r="K508" s="98">
        <f ca="1">HLOOKUP($H$4,'Met Data'!$O$2:$T$368,G508,FALSE)</f>
        <v>0.76887644299908198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164</v>
      </c>
      <c r="H509" s="97">
        <f t="shared" ca="1" si="76"/>
        <v>45820</v>
      </c>
      <c r="I509" s="121">
        <f ca="1">HLOOKUP($H$4,'Met Data'!$A$2:$F$368,G509,FALSE)</f>
        <v>11.8375</v>
      </c>
      <c r="J509" s="119">
        <f ca="1">HLOOKUP($H$4,'Met Data'!$H$2:$M$368,G509,FALSE)*L509</f>
        <v>0.88333333333333297</v>
      </c>
      <c r="K509" s="98">
        <f ca="1">HLOOKUP($H$4,'Met Data'!$O$2:$T$368,G509,FALSE)</f>
        <v>0.886573255907814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165</v>
      </c>
      <c r="H510" s="97">
        <f t="shared" ca="1" si="76"/>
        <v>45821</v>
      </c>
      <c r="I510" s="121">
        <f ca="1">HLOOKUP($H$4,'Met Data'!$A$2:$F$368,G510,FALSE)</f>
        <v>10.4916666666666</v>
      </c>
      <c r="J510" s="119">
        <f ca="1">HLOOKUP($H$4,'Met Data'!$H$2:$M$368,G510,FALSE)*L510</f>
        <v>5.3166666666666602</v>
      </c>
      <c r="K510" s="98">
        <f ca="1">HLOOKUP($H$4,'Met Data'!$O$2:$T$368,G510,FALSE)</f>
        <v>0.75300621765048603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166</v>
      </c>
      <c r="H511" s="97">
        <f t="shared" ca="1" si="76"/>
        <v>45822</v>
      </c>
      <c r="I511" s="121">
        <f ca="1">HLOOKUP($H$4,'Met Data'!$A$2:$F$368,G511,FALSE)</f>
        <v>10.133333333333301</v>
      </c>
      <c r="J511" s="119">
        <f ca="1">HLOOKUP($H$4,'Met Data'!$H$2:$M$368,G511,FALSE)*L511</f>
        <v>1.2</v>
      </c>
      <c r="K511" s="98">
        <f ca="1">HLOOKUP($H$4,'Met Data'!$O$2:$T$368,G511,FALSE)</f>
        <v>1.0949815777606999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167</v>
      </c>
      <c r="H512" s="97">
        <f t="shared" ca="1" si="76"/>
        <v>45823</v>
      </c>
      <c r="I512" s="121">
        <f ca="1">HLOOKUP($H$4,'Met Data'!$A$2:$F$368,G512,FALSE)</f>
        <v>9.0291666666666597</v>
      </c>
      <c r="J512" s="119">
        <f ca="1">HLOOKUP($H$4,'Met Data'!$H$2:$M$368,G512,FALSE)*L512</f>
        <v>2.0499999999999998</v>
      </c>
      <c r="K512" s="98">
        <f ca="1">HLOOKUP($H$4,'Met Data'!$O$2:$T$368,G512,FALSE)</f>
        <v>0.76363291076582096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168</v>
      </c>
      <c r="H513" s="97">
        <f t="shared" ca="1" si="76"/>
        <v>45824</v>
      </c>
      <c r="I513" s="121">
        <f ca="1">HLOOKUP($H$4,'Met Data'!$A$2:$F$368,G513,FALSE)</f>
        <v>10.125</v>
      </c>
      <c r="J513" s="119">
        <f ca="1">HLOOKUP($H$4,'Met Data'!$H$2:$M$368,G513,FALSE)*L513</f>
        <v>2.68333333333333</v>
      </c>
      <c r="K513" s="98">
        <f ca="1">HLOOKUP($H$4,'Met Data'!$O$2:$T$368,G513,FALSE)</f>
        <v>0.84633721178312304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169</v>
      </c>
      <c r="H514" s="97">
        <f t="shared" ca="1" si="76"/>
        <v>45825</v>
      </c>
      <c r="I514" s="121">
        <f ca="1">HLOOKUP($H$4,'Met Data'!$A$2:$F$368,G514,FALSE)</f>
        <v>10.2291666666666</v>
      </c>
      <c r="J514" s="119">
        <f ca="1">HLOOKUP($H$4,'Met Data'!$H$2:$M$368,G514,FALSE)*L514</f>
        <v>2.5333333333333301</v>
      </c>
      <c r="K514" s="98">
        <f ca="1">HLOOKUP($H$4,'Met Data'!$O$2:$T$368,G514,FALSE)</f>
        <v>0.91611783655738799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170</v>
      </c>
      <c r="H515" s="97">
        <f t="shared" ca="1" si="76"/>
        <v>45826</v>
      </c>
      <c r="I515" s="121">
        <f ca="1">HLOOKUP($H$4,'Met Data'!$A$2:$F$368,G515,FALSE)</f>
        <v>10.316666666666601</v>
      </c>
      <c r="J515" s="119">
        <f ca="1">HLOOKUP($H$4,'Met Data'!$H$2:$M$368,G515,FALSE)*L515</f>
        <v>5.5</v>
      </c>
      <c r="K515" s="98">
        <f ca="1">HLOOKUP($H$4,'Met Data'!$O$2:$T$368,G515,FALSE)</f>
        <v>0.749895043982166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171</v>
      </c>
      <c r="H516" s="97">
        <f t="shared" ca="1" si="76"/>
        <v>45827</v>
      </c>
      <c r="I516" s="121">
        <f ca="1">HLOOKUP($H$4,'Met Data'!$A$2:$F$368,G516,FALSE)</f>
        <v>10.6666666666666</v>
      </c>
      <c r="J516" s="119">
        <f ca="1">HLOOKUP($H$4,'Met Data'!$H$2:$M$368,G516,FALSE)*L516</f>
        <v>11.883333333333301</v>
      </c>
      <c r="K516" s="98">
        <f ca="1">HLOOKUP($H$4,'Met Data'!$O$2:$T$368,G516,FALSE)</f>
        <v>0.72031723210574305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172</v>
      </c>
      <c r="H517" s="97">
        <f t="shared" ca="1" si="76"/>
        <v>45828</v>
      </c>
      <c r="I517" s="121">
        <f ca="1">HLOOKUP($H$4,'Met Data'!$A$2:$F$368,G517,FALSE)</f>
        <v>10.6181818181818</v>
      </c>
      <c r="J517" s="119">
        <f ca="1">HLOOKUP($H$4,'Met Data'!$H$2:$M$368,G517,FALSE)*L517</f>
        <v>9.0181818181818105</v>
      </c>
      <c r="K517" s="98">
        <f ca="1">HLOOKUP($H$4,'Met Data'!$O$2:$T$368,G517,FALSE)</f>
        <v>0.829345309973199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173</v>
      </c>
      <c r="H518" s="97">
        <f t="shared" ca="1" si="76"/>
        <v>45829</v>
      </c>
      <c r="I518" s="121">
        <f ca="1">HLOOKUP($H$4,'Met Data'!$A$2:$F$368,G518,FALSE)</f>
        <v>10.0318181818181</v>
      </c>
      <c r="J518" s="119">
        <f ca="1">HLOOKUP($H$4,'Met Data'!$H$2:$M$368,G518,FALSE)*L518</f>
        <v>1.9090909090909001</v>
      </c>
      <c r="K518" s="98">
        <f ca="1">HLOOKUP($H$4,'Met Data'!$O$2:$T$368,G518,FALSE)</f>
        <v>0.90574236110997597</v>
      </c>
      <c r="L518">
        <f t="shared" ref="L518:L581" ca="1" si="88">IF(H518&lt;$B$31,$J$3,$J$4)</f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174</v>
      </c>
      <c r="H519" s="97">
        <f t="shared" ca="1" si="76"/>
        <v>45830</v>
      </c>
      <c r="I519" s="121">
        <f ca="1">HLOOKUP($H$4,'Met Data'!$A$2:$F$368,G519,FALSE)</f>
        <v>8.9727272727272709</v>
      </c>
      <c r="J519" s="119">
        <f ca="1">HLOOKUP($H$4,'Met Data'!$H$2:$M$368,G519,FALSE)*L519</f>
        <v>1.9636363636363601</v>
      </c>
      <c r="K519" s="98">
        <f ca="1">HLOOKUP($H$4,'Met Data'!$O$2:$T$368,G519,FALSE)</f>
        <v>0.89904843691310898</v>
      </c>
      <c r="L519">
        <f t="shared" ca="1" si="88"/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175</v>
      </c>
      <c r="H520" s="97">
        <f t="shared" ref="H520:H583" ca="1" si="89">H519+1</f>
        <v>45831</v>
      </c>
      <c r="I520" s="121">
        <f ca="1">HLOOKUP($H$4,'Met Data'!$A$2:$F$368,G520,FALSE)</f>
        <v>9.0227272727272698</v>
      </c>
      <c r="J520" s="119">
        <f ca="1">HLOOKUP($H$4,'Met Data'!$H$2:$M$368,G520,FALSE)*L520</f>
        <v>3.0181818181818101</v>
      </c>
      <c r="K520" s="98">
        <f ca="1">HLOOKUP($H$4,'Met Data'!$O$2:$T$368,G520,FALSE)</f>
        <v>0.82913615112138495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176</v>
      </c>
      <c r="H521" s="97">
        <f t="shared" ca="1" si="89"/>
        <v>45832</v>
      </c>
      <c r="I521" s="121">
        <f ca="1">HLOOKUP($H$4,'Met Data'!$A$2:$F$368,G521,FALSE)</f>
        <v>10.3590909090909</v>
      </c>
      <c r="J521" s="119">
        <f ca="1">HLOOKUP($H$4,'Met Data'!$H$2:$M$368,G521,FALSE)*L521</f>
        <v>3.7454545454545398</v>
      </c>
      <c r="K521" s="98">
        <f ca="1">HLOOKUP($H$4,'Met Data'!$O$2:$T$368,G521,FALSE)</f>
        <v>0.88746237543267503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177</v>
      </c>
      <c r="H522" s="97">
        <f t="shared" ca="1" si="89"/>
        <v>45833</v>
      </c>
      <c r="I522" s="121">
        <f ca="1">HLOOKUP($H$4,'Met Data'!$A$2:$F$368,G522,FALSE)</f>
        <v>9.5090909090909097</v>
      </c>
      <c r="J522" s="119">
        <f ca="1">HLOOKUP($H$4,'Met Data'!$H$2:$M$368,G522,FALSE)*L522</f>
        <v>3.1090909090909</v>
      </c>
      <c r="K522" s="98">
        <f ca="1">HLOOKUP($H$4,'Met Data'!$O$2:$T$368,G522,FALSE)</f>
        <v>0.97866599470650895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178</v>
      </c>
      <c r="H523" s="97">
        <f t="shared" ca="1" si="89"/>
        <v>45834</v>
      </c>
      <c r="I523" s="121">
        <f ca="1">HLOOKUP($H$4,'Met Data'!$A$2:$F$368,G523,FALSE)</f>
        <v>9.1272727272727199</v>
      </c>
      <c r="J523" s="119">
        <f ca="1">HLOOKUP($H$4,'Met Data'!$H$2:$M$368,G523,FALSE)*L523</f>
        <v>1.25454545454545</v>
      </c>
      <c r="K523" s="98">
        <f ca="1">HLOOKUP($H$4,'Met Data'!$O$2:$T$368,G523,FALSE)</f>
        <v>1.0040569739087299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179</v>
      </c>
      <c r="H524" s="97">
        <f t="shared" ca="1" si="89"/>
        <v>45835</v>
      </c>
      <c r="I524" s="121">
        <f ca="1">HLOOKUP($H$4,'Met Data'!$A$2:$F$368,G524,FALSE)</f>
        <v>8.7727272727272698</v>
      </c>
      <c r="J524" s="119">
        <f ca="1">HLOOKUP($H$4,'Met Data'!$H$2:$M$368,G524,FALSE)*L524</f>
        <v>2.9818181818181801</v>
      </c>
      <c r="K524" s="98">
        <f ca="1">HLOOKUP($H$4,'Met Data'!$O$2:$T$368,G524,FALSE)</f>
        <v>0.89055521132494797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180</v>
      </c>
      <c r="H525" s="97">
        <f t="shared" ca="1" si="89"/>
        <v>45836</v>
      </c>
      <c r="I525" s="121">
        <f ca="1">HLOOKUP($H$4,'Met Data'!$A$2:$F$368,G525,FALSE)</f>
        <v>8.8363636363636306</v>
      </c>
      <c r="J525" s="119">
        <f ca="1">HLOOKUP($H$4,'Met Data'!$H$2:$M$368,G525,FALSE)*L525</f>
        <v>0.90909090909090895</v>
      </c>
      <c r="K525" s="98">
        <f ca="1">HLOOKUP($H$4,'Met Data'!$O$2:$T$368,G525,FALSE)</f>
        <v>0.949335994975394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181</v>
      </c>
      <c r="H526" s="97">
        <f t="shared" ca="1" si="89"/>
        <v>45837</v>
      </c>
      <c r="I526" s="121">
        <f ca="1">HLOOKUP($H$4,'Met Data'!$A$2:$F$368,G526,FALSE)</f>
        <v>8.7136363636363594</v>
      </c>
      <c r="J526" s="119">
        <f ca="1">HLOOKUP($H$4,'Met Data'!$H$2:$M$368,G526,FALSE)*L526</f>
        <v>1.7833333333333301</v>
      </c>
      <c r="K526" s="98">
        <f ca="1">HLOOKUP($H$4,'Met Data'!$O$2:$T$368,G526,FALSE)</f>
        <v>0.92539172734817898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182</v>
      </c>
      <c r="H527" s="97">
        <f t="shared" ca="1" si="89"/>
        <v>45838</v>
      </c>
      <c r="I527" s="121">
        <f ca="1">HLOOKUP($H$4,'Met Data'!$A$2:$F$368,G527,FALSE)</f>
        <v>8.5291666666666597</v>
      </c>
      <c r="J527" s="119">
        <f ca="1">HLOOKUP($H$4,'Met Data'!$H$2:$M$368,G527,FALSE)*L527</f>
        <v>2.5833333333333299</v>
      </c>
      <c r="K527" s="98">
        <f ca="1">HLOOKUP($H$4,'Met Data'!$O$2:$T$368,G527,FALSE)</f>
        <v>0.82623977006466498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183</v>
      </c>
      <c r="H528" s="97">
        <f t="shared" ca="1" si="89"/>
        <v>45839</v>
      </c>
      <c r="I528" s="121">
        <f ca="1">HLOOKUP($H$4,'Met Data'!$A$2:$F$368,G528,FALSE)</f>
        <v>8.8208333333333293</v>
      </c>
      <c r="J528" s="119">
        <f ca="1">HLOOKUP($H$4,'Met Data'!$H$2:$M$368,G528,FALSE)*L528</f>
        <v>2.1333333333333302</v>
      </c>
      <c r="K528" s="98">
        <f ca="1">HLOOKUP($H$4,'Met Data'!$O$2:$T$368,G528,FALSE)</f>
        <v>0.80690048817841498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184</v>
      </c>
      <c r="H529" s="97">
        <f t="shared" ca="1" si="89"/>
        <v>45840</v>
      </c>
      <c r="I529" s="121">
        <f ca="1">HLOOKUP($H$4,'Met Data'!$A$2:$F$368,G529,FALSE)</f>
        <v>8.2249999999999996</v>
      </c>
      <c r="J529" s="119">
        <f ca="1">HLOOKUP($H$4,'Met Data'!$H$2:$M$368,G529,FALSE)*L529</f>
        <v>0.83333333333333304</v>
      </c>
      <c r="K529" s="98">
        <f ca="1">HLOOKUP($H$4,'Met Data'!$O$2:$T$368,G529,FALSE)</f>
        <v>1.0149186441071101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185</v>
      </c>
      <c r="H530" s="97">
        <f t="shared" ca="1" si="89"/>
        <v>45841</v>
      </c>
      <c r="I530" s="121">
        <f ca="1">HLOOKUP($H$4,'Met Data'!$A$2:$F$368,G530,FALSE)</f>
        <v>8.8333333333333304</v>
      </c>
      <c r="J530" s="119">
        <f ca="1">HLOOKUP($H$4,'Met Data'!$H$2:$M$368,G530,FALSE)*L530</f>
        <v>3.5666666666666602</v>
      </c>
      <c r="K530" s="98">
        <f ca="1">HLOOKUP($H$4,'Met Data'!$O$2:$T$368,G530,FALSE)</f>
        <v>0.89125379504041602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186</v>
      </c>
      <c r="H531" s="97">
        <f t="shared" ca="1" si="89"/>
        <v>45842</v>
      </c>
      <c r="I531" s="121">
        <f ca="1">HLOOKUP($H$4,'Met Data'!$A$2:$F$368,G531,FALSE)</f>
        <v>8.6</v>
      </c>
      <c r="J531" s="119">
        <f ca="1">HLOOKUP($H$4,'Met Data'!$H$2:$M$368,G531,FALSE)*L531</f>
        <v>0.73333333333333295</v>
      </c>
      <c r="K531" s="98">
        <f ca="1">HLOOKUP($H$4,'Met Data'!$O$2:$T$368,G531,FALSE)</f>
        <v>0.87224086772784204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187</v>
      </c>
      <c r="H532" s="97">
        <f t="shared" ca="1" si="89"/>
        <v>45843</v>
      </c>
      <c r="I532" s="121">
        <f ca="1">HLOOKUP($H$4,'Met Data'!$A$2:$F$368,G532,FALSE)</f>
        <v>9.4</v>
      </c>
      <c r="J532" s="119">
        <f ca="1">HLOOKUP($H$4,'Met Data'!$H$2:$M$368,G532,FALSE)*L532</f>
        <v>9.9999999999999895E-2</v>
      </c>
      <c r="K532" s="98">
        <f ca="1">HLOOKUP($H$4,'Met Data'!$O$2:$T$368,G532,FALSE)</f>
        <v>0.96939333533810901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188</v>
      </c>
      <c r="H533" s="97">
        <f t="shared" ca="1" si="89"/>
        <v>45844</v>
      </c>
      <c r="I533" s="121">
        <f ca="1">HLOOKUP($H$4,'Met Data'!$A$2:$F$368,G533,FALSE)</f>
        <v>9.12083333333333</v>
      </c>
      <c r="J533" s="119">
        <f ca="1">HLOOKUP($H$4,'Met Data'!$H$2:$M$368,G533,FALSE)*L533</f>
        <v>2.18333333333333</v>
      </c>
      <c r="K533" s="98">
        <f ca="1">HLOOKUP($H$4,'Met Data'!$O$2:$T$368,G533,FALSE)</f>
        <v>0.851628840058262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189</v>
      </c>
      <c r="H534" s="97">
        <f t="shared" ca="1" si="89"/>
        <v>45845</v>
      </c>
      <c r="I534" s="121">
        <f ca="1">HLOOKUP($H$4,'Met Data'!$A$2:$F$368,G534,FALSE)</f>
        <v>9.6583333333333297</v>
      </c>
      <c r="J534" s="119">
        <f ca="1">HLOOKUP($H$4,'Met Data'!$H$2:$M$368,G534,FALSE)*L534</f>
        <v>4.5666666666666602</v>
      </c>
      <c r="K534" s="98">
        <f ca="1">HLOOKUP($H$4,'Met Data'!$O$2:$T$368,G534,FALSE)</f>
        <v>0.80851868655974801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190</v>
      </c>
      <c r="H535" s="97">
        <f t="shared" ca="1" si="89"/>
        <v>45846</v>
      </c>
      <c r="I535" s="121">
        <f ca="1">HLOOKUP($H$4,'Met Data'!$A$2:$F$368,G535,FALSE)</f>
        <v>8.5291666666666597</v>
      </c>
      <c r="J535" s="119">
        <f ca="1">HLOOKUP($H$4,'Met Data'!$H$2:$M$368,G535,FALSE)*L535</f>
        <v>3.7833333333333301</v>
      </c>
      <c r="K535" s="98">
        <f ca="1">HLOOKUP($H$4,'Met Data'!$O$2:$T$368,G535,FALSE)</f>
        <v>1.09493770994468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191</v>
      </c>
      <c r="H536" s="97">
        <f t="shared" ca="1" si="89"/>
        <v>45847</v>
      </c>
      <c r="I536" s="121">
        <f ca="1">HLOOKUP($H$4,'Met Data'!$A$2:$F$368,G536,FALSE)</f>
        <v>8.1583333333333297</v>
      </c>
      <c r="J536" s="119">
        <f ca="1">HLOOKUP($H$4,'Met Data'!$H$2:$M$368,G536,FALSE)*L536</f>
        <v>4.18333333333333</v>
      </c>
      <c r="K536" s="98">
        <f ca="1">HLOOKUP($H$4,'Met Data'!$O$2:$T$368,G536,FALSE)</f>
        <v>0.89025740200721304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192</v>
      </c>
      <c r="H537" s="97">
        <f t="shared" ca="1" si="89"/>
        <v>45848</v>
      </c>
      <c r="I537" s="121">
        <f ca="1">HLOOKUP($H$4,'Met Data'!$A$2:$F$368,G537,FALSE)</f>
        <v>8.24166666666666</v>
      </c>
      <c r="J537" s="119">
        <f ca="1">HLOOKUP($H$4,'Met Data'!$H$2:$M$368,G537,FALSE)*L537</f>
        <v>2.2666666666666599</v>
      </c>
      <c r="K537" s="98">
        <f ca="1">HLOOKUP($H$4,'Met Data'!$O$2:$T$368,G537,FALSE)</f>
        <v>1.06467045295546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193</v>
      </c>
      <c r="H538" s="97">
        <f t="shared" ca="1" si="89"/>
        <v>45849</v>
      </c>
      <c r="I538" s="121">
        <f ca="1">HLOOKUP($H$4,'Met Data'!$A$2:$F$368,G538,FALSE)</f>
        <v>8.0333333333333297</v>
      </c>
      <c r="J538" s="119">
        <f ca="1">HLOOKUP($H$4,'Met Data'!$H$2:$M$368,G538,FALSE)*L538</f>
        <v>4.6500000000000004</v>
      </c>
      <c r="K538" s="98">
        <f ca="1">HLOOKUP($H$4,'Met Data'!$O$2:$T$368,G538,FALSE)</f>
        <v>1.03430816091664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194</v>
      </c>
      <c r="H539" s="97">
        <f t="shared" ca="1" si="89"/>
        <v>45850</v>
      </c>
      <c r="I539" s="121">
        <f ca="1">HLOOKUP($H$4,'Met Data'!$A$2:$F$368,G539,FALSE)</f>
        <v>8.37083333333333</v>
      </c>
      <c r="J539" s="119">
        <f ca="1">HLOOKUP($H$4,'Met Data'!$H$2:$M$368,G539,FALSE)*L539</f>
        <v>1.61666666666666</v>
      </c>
      <c r="K539" s="98">
        <f ca="1">HLOOKUP($H$4,'Met Data'!$O$2:$T$368,G539,FALSE)</f>
        <v>1.0039262064680501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195</v>
      </c>
      <c r="H540" s="97">
        <f t="shared" ca="1" si="89"/>
        <v>45851</v>
      </c>
      <c r="I540" s="121">
        <f ca="1">HLOOKUP($H$4,'Met Data'!$A$2:$F$368,G540,FALSE)</f>
        <v>8.0916666666666597</v>
      </c>
      <c r="J540" s="119">
        <f ca="1">HLOOKUP($H$4,'Met Data'!$H$2:$M$368,G540,FALSE)*L540</f>
        <v>5.0666666666666602</v>
      </c>
      <c r="K540" s="98">
        <f ca="1">HLOOKUP($H$4,'Met Data'!$O$2:$T$368,G540,FALSE)</f>
        <v>0.87492032925951801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196</v>
      </c>
      <c r="H541" s="97">
        <f t="shared" ca="1" si="89"/>
        <v>45852</v>
      </c>
      <c r="I541" s="121">
        <f ca="1">HLOOKUP($H$4,'Met Data'!$A$2:$F$368,G541,FALSE)</f>
        <v>7.9156250000000004</v>
      </c>
      <c r="J541" s="119">
        <f ca="1">HLOOKUP($H$4,'Met Data'!$H$2:$M$368,G541,FALSE)*L541</f>
        <v>4.1666666666666599</v>
      </c>
      <c r="K541" s="98">
        <f ca="1">HLOOKUP($H$4,'Met Data'!$O$2:$T$368,G541,FALSE)</f>
        <v>0.80250527716076203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197</v>
      </c>
      <c r="H542" s="97">
        <f t="shared" ca="1" si="89"/>
        <v>45853</v>
      </c>
      <c r="I542" s="121">
        <f ca="1">HLOOKUP($H$4,'Met Data'!$A$2:$F$368,G542,FALSE)</f>
        <v>8.8590909090909093</v>
      </c>
      <c r="J542" s="119">
        <f ca="1">HLOOKUP($H$4,'Met Data'!$H$2:$M$368,G542,FALSE)*L542</f>
        <v>2.0666666666666602</v>
      </c>
      <c r="K542" s="98">
        <f ca="1">HLOOKUP($H$4,'Met Data'!$O$2:$T$368,G542,FALSE)</f>
        <v>0.97822362204517799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198</v>
      </c>
      <c r="H543" s="97">
        <f t="shared" ca="1" si="89"/>
        <v>45854</v>
      </c>
      <c r="I543" s="121">
        <f ca="1">HLOOKUP($H$4,'Met Data'!$A$2:$F$368,G543,FALSE)</f>
        <v>8.8590909090909093</v>
      </c>
      <c r="J543" s="119">
        <f ca="1">HLOOKUP($H$4,'Met Data'!$H$2:$M$368,G543,FALSE)*L543</f>
        <v>6.0666666666666602</v>
      </c>
      <c r="K543" s="98">
        <f ca="1">HLOOKUP($H$4,'Met Data'!$O$2:$T$368,G543,FALSE)</f>
        <v>0.78802331007485205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199</v>
      </c>
      <c r="H544" s="97">
        <f t="shared" ca="1" si="89"/>
        <v>45855</v>
      </c>
      <c r="I544" s="121">
        <f ca="1">HLOOKUP($H$4,'Met Data'!$A$2:$F$368,G544,FALSE)</f>
        <v>9.5909090909090899</v>
      </c>
      <c r="J544" s="119">
        <f ca="1">HLOOKUP($H$4,'Met Data'!$H$2:$M$368,G544,FALSE)*L544</f>
        <v>4.5999999999999996</v>
      </c>
      <c r="K544" s="98">
        <f ca="1">HLOOKUP($H$4,'Met Data'!$O$2:$T$368,G544,FALSE)</f>
        <v>0.944748845250029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200</v>
      </c>
      <c r="H545" s="97">
        <f t="shared" ca="1" si="89"/>
        <v>45856</v>
      </c>
      <c r="I545" s="121">
        <f ca="1">HLOOKUP($H$4,'Met Data'!$A$2:$F$368,G545,FALSE)</f>
        <v>8.8450000000000006</v>
      </c>
      <c r="J545" s="119">
        <f ca="1">HLOOKUP($H$4,'Met Data'!$H$2:$M$368,G545,FALSE)*L545</f>
        <v>1.1000000000000001</v>
      </c>
      <c r="K545" s="98">
        <f ca="1">HLOOKUP($H$4,'Met Data'!$O$2:$T$368,G545,FALSE)</f>
        <v>1.0240187106181899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201</v>
      </c>
      <c r="H546" s="97">
        <f t="shared" ca="1" si="89"/>
        <v>45857</v>
      </c>
      <c r="I546" s="121">
        <f ca="1">HLOOKUP($H$4,'Met Data'!$A$2:$F$368,G546,FALSE)</f>
        <v>8.99166666666666</v>
      </c>
      <c r="J546" s="119">
        <f ca="1">HLOOKUP($H$4,'Met Data'!$H$2:$M$368,G546,FALSE)*L546</f>
        <v>1.3499999999999901</v>
      </c>
      <c r="K546" s="98">
        <f ca="1">HLOOKUP($H$4,'Met Data'!$O$2:$T$368,G546,FALSE)</f>
        <v>1.16174529470798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202</v>
      </c>
      <c r="H547" s="97">
        <f t="shared" ca="1" si="89"/>
        <v>45858</v>
      </c>
      <c r="I547" s="121">
        <f ca="1">HLOOKUP($H$4,'Met Data'!$A$2:$F$368,G547,FALSE)</f>
        <v>9.5</v>
      </c>
      <c r="J547" s="119">
        <f ca="1">HLOOKUP($H$4,'Met Data'!$H$2:$M$368,G547,FALSE)*L547</f>
        <v>2.75</v>
      </c>
      <c r="K547" s="98">
        <f ca="1">HLOOKUP($H$4,'Met Data'!$O$2:$T$368,G547,FALSE)</f>
        <v>0.94669865516537999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203</v>
      </c>
      <c r="H548" s="97">
        <f t="shared" ca="1" si="89"/>
        <v>45859</v>
      </c>
      <c r="I548" s="121">
        <f ca="1">HLOOKUP($H$4,'Met Data'!$A$2:$F$368,G548,FALSE)</f>
        <v>9.8333333333333304</v>
      </c>
      <c r="J548" s="119">
        <f ca="1">HLOOKUP($H$4,'Met Data'!$H$2:$M$368,G548,FALSE)*L548</f>
        <v>3.6333333333333302</v>
      </c>
      <c r="K548" s="98">
        <f ca="1">HLOOKUP($H$4,'Met Data'!$O$2:$T$368,G548,FALSE)</f>
        <v>1.0815395194790001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204</v>
      </c>
      <c r="H549" s="97">
        <f t="shared" ca="1" si="89"/>
        <v>45860</v>
      </c>
      <c r="I549" s="121">
        <f ca="1">HLOOKUP($H$4,'Met Data'!$A$2:$F$368,G549,FALSE)</f>
        <v>10.029166666666599</v>
      </c>
      <c r="J549" s="119">
        <f ca="1">HLOOKUP($H$4,'Met Data'!$H$2:$M$368,G549,FALSE)*L549</f>
        <v>4.68333333333333</v>
      </c>
      <c r="K549" s="98">
        <f ca="1">HLOOKUP($H$4,'Met Data'!$O$2:$T$368,G549,FALSE)</f>
        <v>1.0771273773513399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205</v>
      </c>
      <c r="H550" s="97">
        <f t="shared" ca="1" si="89"/>
        <v>45861</v>
      </c>
      <c r="I550" s="121">
        <f ca="1">HLOOKUP($H$4,'Met Data'!$A$2:$F$368,G550,FALSE)</f>
        <v>9.4250000000000007</v>
      </c>
      <c r="J550" s="119">
        <f ca="1">HLOOKUP($H$4,'Met Data'!$H$2:$M$368,G550,FALSE)*L550</f>
        <v>5.2666666666666604</v>
      </c>
      <c r="K550" s="98">
        <f ca="1">HLOOKUP($H$4,'Met Data'!$O$2:$T$368,G550,FALSE)</f>
        <v>0.87955885998233896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206</v>
      </c>
      <c r="H551" s="97">
        <f t="shared" ca="1" si="89"/>
        <v>45862</v>
      </c>
      <c r="I551" s="121">
        <f ca="1">HLOOKUP($H$4,'Met Data'!$A$2:$F$368,G551,FALSE)</f>
        <v>9.4</v>
      </c>
      <c r="J551" s="119">
        <f ca="1">HLOOKUP($H$4,'Met Data'!$H$2:$M$368,G551,FALSE)*L551</f>
        <v>2.0499999999999998</v>
      </c>
      <c r="K551" s="98">
        <f ca="1">HLOOKUP($H$4,'Met Data'!$O$2:$T$368,G551,FALSE)</f>
        <v>0.953998897248024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207</v>
      </c>
      <c r="H552" s="97">
        <f t="shared" ca="1" si="89"/>
        <v>45863</v>
      </c>
      <c r="I552" s="121">
        <f ca="1">HLOOKUP($H$4,'Met Data'!$A$2:$F$368,G552,FALSE)</f>
        <v>8.92916666666666</v>
      </c>
      <c r="J552" s="119">
        <f ca="1">HLOOKUP($H$4,'Met Data'!$H$2:$M$368,G552,FALSE)*L552</f>
        <v>1.1499999999999999</v>
      </c>
      <c r="K552" s="98">
        <f ca="1">HLOOKUP($H$4,'Met Data'!$O$2:$T$368,G552,FALSE)</f>
        <v>1.2467505566806001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208</v>
      </c>
      <c r="H553" s="97">
        <f t="shared" ca="1" si="89"/>
        <v>45864</v>
      </c>
      <c r="I553" s="121">
        <f ca="1">HLOOKUP($H$4,'Met Data'!$A$2:$F$368,G553,FALSE)</f>
        <v>8.7624999999999993</v>
      </c>
      <c r="J553" s="119">
        <f ca="1">HLOOKUP($H$4,'Met Data'!$H$2:$M$368,G553,FALSE)*L553</f>
        <v>0.45</v>
      </c>
      <c r="K553" s="98">
        <f ca="1">HLOOKUP($H$4,'Met Data'!$O$2:$T$368,G553,FALSE)</f>
        <v>1.3150067848265401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209</v>
      </c>
      <c r="H554" s="97">
        <f t="shared" ca="1" si="89"/>
        <v>45865</v>
      </c>
      <c r="I554" s="121">
        <f ca="1">HLOOKUP($H$4,'Met Data'!$A$2:$F$368,G554,FALSE)</f>
        <v>9.3333333333333304</v>
      </c>
      <c r="J554" s="119">
        <f ca="1">HLOOKUP($H$4,'Met Data'!$H$2:$M$368,G554,FALSE)*L554</f>
        <v>2.0166666666666599</v>
      </c>
      <c r="K554" s="98">
        <f ca="1">HLOOKUP($H$4,'Met Data'!$O$2:$T$368,G554,FALSE)</f>
        <v>1.11956275252086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210</v>
      </c>
      <c r="H555" s="97">
        <f t="shared" ca="1" si="89"/>
        <v>45866</v>
      </c>
      <c r="I555" s="121">
        <f ca="1">HLOOKUP($H$4,'Met Data'!$A$2:$F$368,G555,FALSE)</f>
        <v>8.9875000000000007</v>
      </c>
      <c r="J555" s="119">
        <f ca="1">HLOOKUP($H$4,'Met Data'!$H$2:$M$368,G555,FALSE)*L555</f>
        <v>1.2666666666666599</v>
      </c>
      <c r="K555" s="98">
        <f ca="1">HLOOKUP($H$4,'Met Data'!$O$2:$T$368,G555,FALSE)</f>
        <v>1.28515382274214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211</v>
      </c>
      <c r="H556" s="97">
        <f t="shared" ca="1" si="89"/>
        <v>45867</v>
      </c>
      <c r="I556" s="121">
        <f ca="1">HLOOKUP($H$4,'Met Data'!$A$2:$F$368,G556,FALSE)</f>
        <v>9.0374999999999996</v>
      </c>
      <c r="J556" s="119">
        <f ca="1">HLOOKUP($H$4,'Met Data'!$H$2:$M$368,G556,FALSE)*L556</f>
        <v>2.7999999999999901</v>
      </c>
      <c r="K556" s="98">
        <f ca="1">HLOOKUP($H$4,'Met Data'!$O$2:$T$368,G556,FALSE)</f>
        <v>1.1959337492079301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212</v>
      </c>
      <c r="H557" s="97">
        <f t="shared" ca="1" si="89"/>
        <v>45868</v>
      </c>
      <c r="I557" s="121">
        <f ca="1">HLOOKUP($H$4,'Met Data'!$A$2:$F$368,G557,FALSE)</f>
        <v>8.17916666666666</v>
      </c>
      <c r="J557" s="119">
        <f ca="1">HLOOKUP($H$4,'Met Data'!$H$2:$M$368,G557,FALSE)*L557</f>
        <v>1.55</v>
      </c>
      <c r="K557" s="98">
        <f ca="1">HLOOKUP($H$4,'Met Data'!$O$2:$T$368,G557,FALSE)</f>
        <v>1.3658842309244701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213</v>
      </c>
      <c r="H558" s="97">
        <f t="shared" ca="1" si="89"/>
        <v>45869</v>
      </c>
      <c r="I558" s="121">
        <f ca="1">HLOOKUP($H$4,'Met Data'!$A$2:$F$368,G558,FALSE)</f>
        <v>8.75</v>
      </c>
      <c r="J558" s="119">
        <f ca="1">HLOOKUP($H$4,'Met Data'!$H$2:$M$368,G558,FALSE)*L558</f>
        <v>2.44999999999999</v>
      </c>
      <c r="K558" s="98">
        <f ca="1">HLOOKUP($H$4,'Met Data'!$O$2:$T$368,G558,FALSE)</f>
        <v>0.89818915942500899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214</v>
      </c>
      <c r="H559" s="97">
        <f t="shared" ca="1" si="89"/>
        <v>45870</v>
      </c>
      <c r="I559" s="121">
        <f ca="1">HLOOKUP($H$4,'Met Data'!$A$2:$F$368,G559,FALSE)</f>
        <v>10.3375</v>
      </c>
      <c r="J559" s="119">
        <f ca="1">HLOOKUP($H$4,'Met Data'!$H$2:$M$368,G559,FALSE)*L559</f>
        <v>5.2666666666666604</v>
      </c>
      <c r="K559" s="98">
        <f ca="1">HLOOKUP($H$4,'Met Data'!$O$2:$T$368,G559,FALSE)</f>
        <v>0.94454335980482496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ref="G560:G623" ca="1" si="90">H560-DATE(YEAR(H560),1,0)+1</f>
        <v>215</v>
      </c>
      <c r="H560" s="97">
        <f t="shared" ca="1" si="89"/>
        <v>45871</v>
      </c>
      <c r="I560" s="121">
        <f ca="1">HLOOKUP($H$4,'Met Data'!$A$2:$F$368,G560,FALSE)</f>
        <v>10.595454545454499</v>
      </c>
      <c r="J560" s="119">
        <f ca="1">HLOOKUP($H$4,'Met Data'!$H$2:$M$368,G560,FALSE)*L560</f>
        <v>4.4166666666666599</v>
      </c>
      <c r="K560" s="98">
        <f ca="1">HLOOKUP($H$4,'Met Data'!$O$2:$T$368,G560,FALSE)</f>
        <v>1.0832642567801201</v>
      </c>
      <c r="L560">
        <f t="shared" ca="1" si="88"/>
        <v>1</v>
      </c>
      <c r="N560" t="e">
        <f t="shared" ref="N560:N623" ca="1" si="91">IF(P560&lt;$P$3,TRUE,FALSE)</f>
        <v>#N/A</v>
      </c>
      <c r="O560" t="e">
        <f t="shared" ref="O560:O623" ca="1" si="92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3">IFERROR(P560,$AD$4)</f>
        <v>0</v>
      </c>
      <c r="AE560">
        <f t="shared" ref="AE560:AE623" ca="1" si="94">IFERROR(U560,0)</f>
        <v>0</v>
      </c>
      <c r="AG560" s="63" t="e">
        <f t="shared" ref="AG560:AG623" ca="1" si="95">Q559+S560+T560+U560</f>
        <v>#N/A</v>
      </c>
      <c r="AH560" s="63" t="e">
        <f t="shared" ref="AH560:AH623" ca="1" si="96">Q560+R560+X560</f>
        <v>#N/A</v>
      </c>
      <c r="AI560" s="3" t="e">
        <f t="shared" ref="AI560:AI623" ca="1" si="97">AH560-AG560</f>
        <v>#N/A</v>
      </c>
    </row>
    <row r="561" spans="7:35" ht="15.75" thickBot="1">
      <c r="G561" s="3">
        <f t="shared" ca="1" si="90"/>
        <v>216</v>
      </c>
      <c r="H561" s="97">
        <f t="shared" ca="1" si="89"/>
        <v>45872</v>
      </c>
      <c r="I561" s="121">
        <f ca="1">HLOOKUP($H$4,'Met Data'!$A$2:$F$368,G561,FALSE)</f>
        <v>10.1041666666666</v>
      </c>
      <c r="J561" s="119">
        <f ca="1">HLOOKUP($H$4,'Met Data'!$H$2:$M$368,G561,FALSE)*L561</f>
        <v>2.0833333333333299</v>
      </c>
      <c r="K561" s="98">
        <f ca="1">HLOOKUP($H$4,'Met Data'!$O$2:$T$368,G561,FALSE)</f>
        <v>1.39183263100002</v>
      </c>
      <c r="L561">
        <f t="shared" ca="1" si="88"/>
        <v>1</v>
      </c>
      <c r="N561" t="e">
        <f t="shared" ca="1" si="91"/>
        <v>#N/A</v>
      </c>
      <c r="O561" t="e">
        <f t="shared" ca="1" si="92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3"/>
        <v>0</v>
      </c>
      <c r="AE561">
        <f t="shared" ca="1" si="94"/>
        <v>0</v>
      </c>
      <c r="AG561" s="63" t="e">
        <f t="shared" ca="1" si="95"/>
        <v>#N/A</v>
      </c>
      <c r="AH561" s="63" t="e">
        <f t="shared" ca="1" si="96"/>
        <v>#N/A</v>
      </c>
      <c r="AI561" s="3" t="e">
        <f t="shared" ca="1" si="97"/>
        <v>#N/A</v>
      </c>
    </row>
    <row r="562" spans="7:35" ht="15.75" thickBot="1">
      <c r="G562" s="3">
        <f t="shared" ca="1" si="90"/>
        <v>217</v>
      </c>
      <c r="H562" s="97">
        <f t="shared" ca="1" si="89"/>
        <v>45873</v>
      </c>
      <c r="I562" s="121">
        <f ca="1">HLOOKUP($H$4,'Met Data'!$A$2:$F$368,G562,FALSE)</f>
        <v>10.1833333333333</v>
      </c>
      <c r="J562" s="119">
        <f ca="1">HLOOKUP($H$4,'Met Data'!$H$2:$M$368,G562,FALSE)*L562</f>
        <v>5.9833333333333298</v>
      </c>
      <c r="K562" s="98">
        <f ca="1">HLOOKUP($H$4,'Met Data'!$O$2:$T$368,G562,FALSE)</f>
        <v>1.0301492818772899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218</v>
      </c>
      <c r="H563" s="97">
        <f t="shared" ca="1" si="89"/>
        <v>45874</v>
      </c>
      <c r="I563" s="121">
        <f ca="1">HLOOKUP($H$4,'Met Data'!$A$2:$F$368,G563,FALSE)</f>
        <v>9.7708333333333304</v>
      </c>
      <c r="J563" s="119">
        <f ca="1">HLOOKUP($H$4,'Met Data'!$H$2:$M$368,G563,FALSE)*L563</f>
        <v>2.9833333333333298</v>
      </c>
      <c r="K563" s="98">
        <f ca="1">HLOOKUP($H$4,'Met Data'!$O$2:$T$368,G563,FALSE)</f>
        <v>1.3432284560273799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219</v>
      </c>
      <c r="H564" s="97">
        <f t="shared" ca="1" si="89"/>
        <v>45875</v>
      </c>
      <c r="I564" s="121">
        <f ca="1">HLOOKUP($H$4,'Met Data'!$A$2:$F$368,G564,FALSE)</f>
        <v>9.8791666666666593</v>
      </c>
      <c r="J564" s="119">
        <f ca="1">HLOOKUP($H$4,'Met Data'!$H$2:$M$368,G564,FALSE)*L564</f>
        <v>4.4833333333333298</v>
      </c>
      <c r="K564" s="98">
        <f ca="1">HLOOKUP($H$4,'Met Data'!$O$2:$T$368,G564,FALSE)</f>
        <v>1.0259838566514501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220</v>
      </c>
      <c r="H565" s="97">
        <f t="shared" ca="1" si="89"/>
        <v>45876</v>
      </c>
      <c r="I565" s="121">
        <f ca="1">HLOOKUP($H$4,'Met Data'!$A$2:$F$368,G565,FALSE)</f>
        <v>9.9874999999999901</v>
      </c>
      <c r="J565" s="119">
        <f ca="1">HLOOKUP($H$4,'Met Data'!$H$2:$M$368,G565,FALSE)*L565</f>
        <v>2.2000000000000002</v>
      </c>
      <c r="K565" s="98">
        <f ca="1">HLOOKUP($H$4,'Met Data'!$O$2:$T$368,G565,FALSE)</f>
        <v>1.1029484647982599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221</v>
      </c>
      <c r="H566" s="97">
        <f t="shared" ca="1" si="89"/>
        <v>45877</v>
      </c>
      <c r="I566" s="121">
        <f ca="1">HLOOKUP($H$4,'Met Data'!$A$2:$F$368,G566,FALSE)</f>
        <v>9.4625000000000004</v>
      </c>
      <c r="J566" s="119">
        <f ca="1">HLOOKUP($H$4,'Met Data'!$H$2:$M$368,G566,FALSE)*L566</f>
        <v>3.61666666666666</v>
      </c>
      <c r="K566" s="98">
        <f ca="1">HLOOKUP($H$4,'Met Data'!$O$2:$T$368,G566,FALSE)</f>
        <v>1.10790183862933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222</v>
      </c>
      <c r="H567" s="97">
        <f t="shared" ca="1" si="89"/>
        <v>45878</v>
      </c>
      <c r="I567" s="121">
        <f ca="1">HLOOKUP($H$4,'Met Data'!$A$2:$F$368,G567,FALSE)</f>
        <v>8.42916666666666</v>
      </c>
      <c r="J567" s="119">
        <f ca="1">HLOOKUP($H$4,'Met Data'!$H$2:$M$368,G567,FALSE)*L567</f>
        <v>3.4</v>
      </c>
      <c r="K567" s="98">
        <f ca="1">HLOOKUP($H$4,'Met Data'!$O$2:$T$368,G567,FALSE)</f>
        <v>1.32402542664303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223</v>
      </c>
      <c r="H568" s="97">
        <f t="shared" ca="1" si="89"/>
        <v>45879</v>
      </c>
      <c r="I568" s="121">
        <f ca="1">HLOOKUP($H$4,'Met Data'!$A$2:$F$368,G568,FALSE)</f>
        <v>7.8416666666666597</v>
      </c>
      <c r="J568" s="119">
        <f ca="1">HLOOKUP($H$4,'Met Data'!$H$2:$M$368,G568,FALSE)*L568</f>
        <v>1.38333333333333</v>
      </c>
      <c r="K568" s="98">
        <f ca="1">HLOOKUP($H$4,'Met Data'!$O$2:$T$368,G568,FALSE)</f>
        <v>1.2882274194230801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224</v>
      </c>
      <c r="H569" s="97">
        <f t="shared" ca="1" si="89"/>
        <v>45880</v>
      </c>
      <c r="I569" s="121">
        <f ca="1">HLOOKUP($H$4,'Met Data'!$A$2:$F$368,G569,FALSE)</f>
        <v>8.7916666666666607</v>
      </c>
      <c r="J569" s="119">
        <f ca="1">HLOOKUP($H$4,'Met Data'!$H$2:$M$368,G569,FALSE)*L569</f>
        <v>4.7</v>
      </c>
      <c r="K569" s="98">
        <f ca="1">HLOOKUP($H$4,'Met Data'!$O$2:$T$368,G569,FALSE)</f>
        <v>1.2700812995642401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225</v>
      </c>
      <c r="H570" s="97">
        <f t="shared" ca="1" si="89"/>
        <v>45881</v>
      </c>
      <c r="I570" s="121">
        <f ca="1">HLOOKUP($H$4,'Met Data'!$A$2:$F$368,G570,FALSE)</f>
        <v>9.2041666666666604</v>
      </c>
      <c r="J570" s="119">
        <f ca="1">HLOOKUP($H$4,'Met Data'!$H$2:$M$368,G570,FALSE)*L570</f>
        <v>4.9666666666666597</v>
      </c>
      <c r="K570" s="98">
        <f ca="1">HLOOKUP($H$4,'Met Data'!$O$2:$T$368,G570,FALSE)</f>
        <v>1.216678160996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226</v>
      </c>
      <c r="H571" s="97">
        <f t="shared" ca="1" si="89"/>
        <v>45882</v>
      </c>
      <c r="I571" s="121">
        <f ca="1">HLOOKUP($H$4,'Met Data'!$A$2:$F$368,G571,FALSE)</f>
        <v>9.49583333333333</v>
      </c>
      <c r="J571" s="119">
        <f ca="1">HLOOKUP($H$4,'Met Data'!$H$2:$M$368,G571,FALSE)*L571</f>
        <v>3.11666666666666</v>
      </c>
      <c r="K571" s="98">
        <f ca="1">HLOOKUP($H$4,'Met Data'!$O$2:$T$368,G571,FALSE)</f>
        <v>1.2041756804414001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227</v>
      </c>
      <c r="H572" s="97">
        <f t="shared" ca="1" si="89"/>
        <v>45883</v>
      </c>
      <c r="I572" s="121">
        <f ca="1">HLOOKUP($H$4,'Met Data'!$A$2:$F$368,G572,FALSE)</f>
        <v>9.7791666666666597</v>
      </c>
      <c r="J572" s="119">
        <f ca="1">HLOOKUP($H$4,'Met Data'!$H$2:$M$368,G572,FALSE)*L572</f>
        <v>6.7</v>
      </c>
      <c r="K572" s="98">
        <f ca="1">HLOOKUP($H$4,'Met Data'!$O$2:$T$368,G572,FALSE)</f>
        <v>1.1357294741412001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228</v>
      </c>
      <c r="H573" s="97">
        <f t="shared" ca="1" si="89"/>
        <v>45884</v>
      </c>
      <c r="I573" s="121">
        <f ca="1">HLOOKUP($H$4,'Met Data'!$A$2:$F$368,G573,FALSE)</f>
        <v>9.4375</v>
      </c>
      <c r="J573" s="119">
        <f ca="1">HLOOKUP($H$4,'Met Data'!$H$2:$M$368,G573,FALSE)*L573</f>
        <v>3.2833333333333301</v>
      </c>
      <c r="K573" s="98">
        <f ca="1">HLOOKUP($H$4,'Met Data'!$O$2:$T$368,G573,FALSE)</f>
        <v>1.2410385498851699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229</v>
      </c>
      <c r="H574" s="97">
        <f t="shared" ca="1" si="89"/>
        <v>45885</v>
      </c>
      <c r="I574" s="121">
        <f ca="1">HLOOKUP($H$4,'Met Data'!$A$2:$F$368,G574,FALSE)</f>
        <v>9.6999999999999993</v>
      </c>
      <c r="J574" s="119">
        <f ca="1">HLOOKUP($H$4,'Met Data'!$H$2:$M$368,G574,FALSE)*L574</f>
        <v>1.5999999999999901</v>
      </c>
      <c r="K574" s="98">
        <f ca="1">HLOOKUP($H$4,'Met Data'!$O$2:$T$368,G574,FALSE)</f>
        <v>1.30158376837533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230</v>
      </c>
      <c r="H575" s="97">
        <f t="shared" ca="1" si="89"/>
        <v>45886</v>
      </c>
      <c r="I575" s="121">
        <f ca="1">HLOOKUP($H$4,'Met Data'!$A$2:$F$368,G575,FALSE)</f>
        <v>9.61666666666666</v>
      </c>
      <c r="J575" s="119">
        <f ca="1">HLOOKUP($H$4,'Met Data'!$H$2:$M$368,G575,FALSE)*L575</f>
        <v>6.5999999999999899</v>
      </c>
      <c r="K575" s="98">
        <f ca="1">HLOOKUP($H$4,'Met Data'!$O$2:$T$368,G575,FALSE)</f>
        <v>1.3713845776081399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231</v>
      </c>
      <c r="H576" s="97">
        <f t="shared" ca="1" si="89"/>
        <v>45887</v>
      </c>
      <c r="I576" s="121">
        <f ca="1">HLOOKUP($H$4,'Met Data'!$A$2:$F$368,G576,FALSE)</f>
        <v>8.8333333333333304</v>
      </c>
      <c r="J576" s="119">
        <f ca="1">HLOOKUP($H$4,'Met Data'!$H$2:$M$368,G576,FALSE)*L576</f>
        <v>3.3</v>
      </c>
      <c r="K576" s="98">
        <f ca="1">HLOOKUP($H$4,'Met Data'!$O$2:$T$368,G576,FALSE)</f>
        <v>1.38797998518043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232</v>
      </c>
      <c r="H577" s="97">
        <f t="shared" ca="1" si="89"/>
        <v>45888</v>
      </c>
      <c r="I577" s="121">
        <f ca="1">HLOOKUP($H$4,'Met Data'!$A$2:$F$368,G577,FALSE)</f>
        <v>9.4833333333333307</v>
      </c>
      <c r="J577" s="119">
        <f ca="1">HLOOKUP($H$4,'Met Data'!$H$2:$M$368,G577,FALSE)*L577</f>
        <v>2.1333333333333302</v>
      </c>
      <c r="K577" s="98">
        <f ca="1">HLOOKUP($H$4,'Met Data'!$O$2:$T$368,G577,FALSE)</f>
        <v>1.56092628574794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233</v>
      </c>
      <c r="H578" s="97">
        <f t="shared" ca="1" si="89"/>
        <v>45889</v>
      </c>
      <c r="I578" s="121">
        <f ca="1">HLOOKUP($H$4,'Met Data'!$A$2:$F$368,G578,FALSE)</f>
        <v>9.2583333333333293</v>
      </c>
      <c r="J578" s="119">
        <f ca="1">HLOOKUP($H$4,'Met Data'!$H$2:$M$368,G578,FALSE)*L578</f>
        <v>3.65</v>
      </c>
      <c r="K578" s="98">
        <f ca="1">HLOOKUP($H$4,'Met Data'!$O$2:$T$368,G578,FALSE)</f>
        <v>1.4422774750484899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234</v>
      </c>
      <c r="H579" s="97">
        <f t="shared" ca="1" si="89"/>
        <v>45890</v>
      </c>
      <c r="I579" s="121">
        <f ca="1">HLOOKUP($H$4,'Met Data'!$A$2:$F$368,G579,FALSE)</f>
        <v>9.7708333333333304</v>
      </c>
      <c r="J579" s="119">
        <f ca="1">HLOOKUP($H$4,'Met Data'!$H$2:$M$368,G579,FALSE)*L579</f>
        <v>2.36666666666666</v>
      </c>
      <c r="K579" s="98">
        <f ca="1">HLOOKUP($H$4,'Met Data'!$O$2:$T$368,G579,FALSE)</f>
        <v>1.70464821639982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235</v>
      </c>
      <c r="H580" s="97">
        <f t="shared" ca="1" si="89"/>
        <v>45891</v>
      </c>
      <c r="I580" s="121">
        <f ca="1">HLOOKUP($H$4,'Met Data'!$A$2:$F$368,G580,FALSE)</f>
        <v>9.5208333333333304</v>
      </c>
      <c r="J580" s="119">
        <f ca="1">HLOOKUP($H$4,'Met Data'!$H$2:$M$368,G580,FALSE)*L580</f>
        <v>4.4666666666666597</v>
      </c>
      <c r="K580" s="98">
        <f ca="1">HLOOKUP($H$4,'Met Data'!$O$2:$T$368,G580,FALSE)</f>
        <v>1.6762831823304301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236</v>
      </c>
      <c r="H581" s="97">
        <f t="shared" ca="1" si="89"/>
        <v>45892</v>
      </c>
      <c r="I581" s="121">
        <f ca="1">HLOOKUP($H$4,'Met Data'!$A$2:$F$368,G581,FALSE)</f>
        <v>9.5791666666666604</v>
      </c>
      <c r="J581" s="119">
        <f ca="1">HLOOKUP($H$4,'Met Data'!$H$2:$M$368,G581,FALSE)*L581</f>
        <v>1.4833333333333301</v>
      </c>
      <c r="K581" s="98">
        <f ca="1">HLOOKUP($H$4,'Met Data'!$O$2:$T$368,G581,FALSE)</f>
        <v>1.44273965203753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237</v>
      </c>
      <c r="H582" s="97">
        <f t="shared" ca="1" si="89"/>
        <v>45893</v>
      </c>
      <c r="I582" s="121">
        <f ca="1">HLOOKUP($H$4,'Met Data'!$A$2:$F$368,G582,FALSE)</f>
        <v>9.8874999999999993</v>
      </c>
      <c r="J582" s="119">
        <f ca="1">HLOOKUP($H$4,'Met Data'!$H$2:$M$368,G582,FALSE)*L582</f>
        <v>0.56666666666666599</v>
      </c>
      <c r="K582" s="98">
        <f ca="1">HLOOKUP($H$4,'Met Data'!$O$2:$T$368,G582,FALSE)</f>
        <v>1.7386735184612501</v>
      </c>
      <c r="L582">
        <f t="shared" ref="L582:L645" ca="1" si="98">IF(H582&lt;$B$31,$J$3,$J$4)</f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238</v>
      </c>
      <c r="H583" s="97">
        <f t="shared" ca="1" si="89"/>
        <v>45894</v>
      </c>
      <c r="I583" s="121">
        <f ca="1">HLOOKUP($H$4,'Met Data'!$A$2:$F$368,G583,FALSE)</f>
        <v>9.7208333333333297</v>
      </c>
      <c r="J583" s="119">
        <f ca="1">HLOOKUP($H$4,'Met Data'!$H$2:$M$368,G583,FALSE)*L583</f>
        <v>2.4666666666666601</v>
      </c>
      <c r="K583" s="98">
        <f ca="1">HLOOKUP($H$4,'Met Data'!$O$2:$T$368,G583,FALSE)</f>
        <v>1.45538034550647</v>
      </c>
      <c r="L583">
        <f t="shared" ca="1" si="98"/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239</v>
      </c>
      <c r="H584" s="97">
        <f t="shared" ref="H584:H647" ca="1" si="99">H583+1</f>
        <v>45895</v>
      </c>
      <c r="I584" s="121">
        <f ca="1">HLOOKUP($H$4,'Met Data'!$A$2:$F$368,G584,FALSE)</f>
        <v>10.716666666666599</v>
      </c>
      <c r="J584" s="119">
        <f ca="1">HLOOKUP($H$4,'Met Data'!$H$2:$M$368,G584,FALSE)*L584</f>
        <v>3.0666666666666602</v>
      </c>
      <c r="K584" s="98">
        <f ca="1">HLOOKUP($H$4,'Met Data'!$O$2:$T$368,G584,FALSE)</f>
        <v>1.4899612238642299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240</v>
      </c>
      <c r="H585" s="97">
        <f t="shared" ca="1" si="99"/>
        <v>45896</v>
      </c>
      <c r="I585" s="121">
        <f ca="1">HLOOKUP($H$4,'Met Data'!$A$2:$F$368,G585,FALSE)</f>
        <v>10.754166666666601</v>
      </c>
      <c r="J585" s="119">
        <f ca="1">HLOOKUP($H$4,'Met Data'!$H$2:$M$368,G585,FALSE)*L585</f>
        <v>1.0333333333333301</v>
      </c>
      <c r="K585" s="98">
        <f ca="1">HLOOKUP($H$4,'Met Data'!$O$2:$T$368,G585,FALSE)</f>
        <v>1.6543487023337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241</v>
      </c>
      <c r="H586" s="97">
        <f t="shared" ca="1" si="99"/>
        <v>45897</v>
      </c>
      <c r="I586" s="121">
        <f ca="1">HLOOKUP($H$4,'Met Data'!$A$2:$F$368,G586,FALSE)</f>
        <v>11.0833333333333</v>
      </c>
      <c r="J586" s="119">
        <f ca="1">HLOOKUP($H$4,'Met Data'!$H$2:$M$368,G586,FALSE)*L586</f>
        <v>1.9</v>
      </c>
      <c r="K586" s="98">
        <f ca="1">HLOOKUP($H$4,'Met Data'!$O$2:$T$368,G586,FALSE)</f>
        <v>1.6425180639822501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242</v>
      </c>
      <c r="H587" s="97">
        <f t="shared" ca="1" si="99"/>
        <v>45898</v>
      </c>
      <c r="I587" s="121">
        <f ca="1">HLOOKUP($H$4,'Met Data'!$A$2:$F$368,G587,FALSE)</f>
        <v>10.5791666666666</v>
      </c>
      <c r="J587" s="119">
        <f ca="1">HLOOKUP($H$4,'Met Data'!$H$2:$M$368,G587,FALSE)*L587</f>
        <v>3.0166666666666599</v>
      </c>
      <c r="K587" s="98">
        <f ca="1">HLOOKUP($H$4,'Met Data'!$O$2:$T$368,G587,FALSE)</f>
        <v>1.5065040723285099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243</v>
      </c>
      <c r="H588" s="97">
        <f t="shared" ca="1" si="99"/>
        <v>45899</v>
      </c>
      <c r="I588" s="121">
        <f ca="1">HLOOKUP($H$4,'Met Data'!$A$2:$F$368,G588,FALSE)</f>
        <v>11.1208333333333</v>
      </c>
      <c r="J588" s="119">
        <f ca="1">HLOOKUP($H$4,'Met Data'!$H$2:$M$368,G588,FALSE)*L588</f>
        <v>1.56666666666666</v>
      </c>
      <c r="K588" s="98">
        <f ca="1">HLOOKUP($H$4,'Met Data'!$O$2:$T$368,G588,FALSE)</f>
        <v>1.7782422370636499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244</v>
      </c>
      <c r="H589" s="97">
        <f t="shared" ca="1" si="99"/>
        <v>45900</v>
      </c>
      <c r="I589" s="121">
        <f ca="1">HLOOKUP($H$4,'Met Data'!$A$2:$F$368,G589,FALSE)</f>
        <v>10.6666666666666</v>
      </c>
      <c r="J589" s="119">
        <f ca="1">HLOOKUP($H$4,'Met Data'!$H$2:$M$368,G589,FALSE)*L589</f>
        <v>1.7333333333333301</v>
      </c>
      <c r="K589" s="98">
        <f ca="1">HLOOKUP($H$4,'Met Data'!$O$2:$T$368,G589,FALSE)</f>
        <v>1.8075127039194601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245</v>
      </c>
      <c r="H590" s="97">
        <f t="shared" ca="1" si="99"/>
        <v>45901</v>
      </c>
      <c r="I590" s="121">
        <f ca="1">HLOOKUP($H$4,'Met Data'!$A$2:$F$368,G590,FALSE)</f>
        <v>10.1208333333333</v>
      </c>
      <c r="J590" s="119">
        <f ca="1">HLOOKUP($H$4,'Met Data'!$H$2:$M$368,G590,FALSE)*L590</f>
        <v>0.8</v>
      </c>
      <c r="K590" s="98">
        <f ca="1">HLOOKUP($H$4,'Met Data'!$O$2:$T$368,G590,FALSE)</f>
        <v>1.80445161149383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246</v>
      </c>
      <c r="H591" s="97">
        <f t="shared" ca="1" si="99"/>
        <v>45902</v>
      </c>
      <c r="I591" s="121">
        <f ca="1">HLOOKUP($H$4,'Met Data'!$A$2:$F$368,G591,FALSE)</f>
        <v>9.6624999999999996</v>
      </c>
      <c r="J591" s="119">
        <f ca="1">HLOOKUP($H$4,'Met Data'!$H$2:$M$368,G591,FALSE)*L591</f>
        <v>3.0833333333333299</v>
      </c>
      <c r="K591" s="98">
        <f ca="1">HLOOKUP($H$4,'Met Data'!$O$2:$T$368,G591,FALSE)</f>
        <v>1.4517482623371101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247</v>
      </c>
      <c r="H592" s="97">
        <f t="shared" ca="1" si="99"/>
        <v>45903</v>
      </c>
      <c r="I592" s="121">
        <f ca="1">HLOOKUP($H$4,'Met Data'!$A$2:$F$368,G592,FALSE)</f>
        <v>9.7541666666666593</v>
      </c>
      <c r="J592" s="119">
        <f ca="1">HLOOKUP($H$4,'Met Data'!$H$2:$M$368,G592,FALSE)*L592</f>
        <v>1.0833333333333299</v>
      </c>
      <c r="K592" s="98">
        <f ca="1">HLOOKUP($H$4,'Met Data'!$O$2:$T$368,G592,FALSE)</f>
        <v>1.75831978881469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248</v>
      </c>
      <c r="H593" s="97">
        <f t="shared" ca="1" si="99"/>
        <v>45904</v>
      </c>
      <c r="I593" s="121">
        <f ca="1">HLOOKUP($H$4,'Met Data'!$A$2:$F$368,G593,FALSE)</f>
        <v>10.0583333333333</v>
      </c>
      <c r="J593" s="119">
        <f ca="1">HLOOKUP($H$4,'Met Data'!$H$2:$M$368,G593,FALSE)*L593</f>
        <v>2.44999999999999</v>
      </c>
      <c r="K593" s="98">
        <f ca="1">HLOOKUP($H$4,'Met Data'!$O$2:$T$368,G593,FALSE)</f>
        <v>1.8005069619965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249</v>
      </c>
      <c r="H594" s="97">
        <f t="shared" ca="1" si="99"/>
        <v>45905</v>
      </c>
      <c r="I594" s="121">
        <f ca="1">HLOOKUP($H$4,'Met Data'!$A$2:$F$368,G594,FALSE)</f>
        <v>9.7750000000000004</v>
      </c>
      <c r="J594" s="119">
        <f ca="1">HLOOKUP($H$4,'Met Data'!$H$2:$M$368,G594,FALSE)*L594</f>
        <v>3.2</v>
      </c>
      <c r="K594" s="98">
        <f ca="1">HLOOKUP($H$4,'Met Data'!$O$2:$T$368,G594,FALSE)</f>
        <v>1.49919962363172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250</v>
      </c>
      <c r="H595" s="97">
        <f t="shared" ca="1" si="99"/>
        <v>45906</v>
      </c>
      <c r="I595" s="121">
        <f ca="1">HLOOKUP($H$4,'Met Data'!$A$2:$F$368,G595,FALSE)</f>
        <v>10.3333333333333</v>
      </c>
      <c r="J595" s="119">
        <f ca="1">HLOOKUP($H$4,'Met Data'!$H$2:$M$368,G595,FALSE)*L595</f>
        <v>5.93333333333333</v>
      </c>
      <c r="K595" s="98">
        <f ca="1">HLOOKUP($H$4,'Met Data'!$O$2:$T$368,G595,FALSE)</f>
        <v>1.4735664157819599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251</v>
      </c>
      <c r="H596" s="97">
        <f t="shared" ca="1" si="99"/>
        <v>45907</v>
      </c>
      <c r="I596" s="121">
        <f ca="1">HLOOKUP($H$4,'Met Data'!$A$2:$F$368,G596,FALSE)</f>
        <v>10.7708333333333</v>
      </c>
      <c r="J596" s="119">
        <f ca="1">HLOOKUP($H$4,'Met Data'!$H$2:$M$368,G596,FALSE)*L596</f>
        <v>1.2</v>
      </c>
      <c r="K596" s="98">
        <f ca="1">HLOOKUP($H$4,'Met Data'!$O$2:$T$368,G596,FALSE)</f>
        <v>1.8170202832795099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252</v>
      </c>
      <c r="H597" s="97">
        <f t="shared" ca="1" si="99"/>
        <v>45908</v>
      </c>
      <c r="I597" s="121">
        <f ca="1">HLOOKUP($H$4,'Met Data'!$A$2:$F$368,G597,FALSE)</f>
        <v>10.5791666666666</v>
      </c>
      <c r="J597" s="119">
        <f ca="1">HLOOKUP($H$4,'Met Data'!$H$2:$M$368,G597,FALSE)*L597</f>
        <v>0.88333333333333297</v>
      </c>
      <c r="K597" s="98">
        <f ca="1">HLOOKUP($H$4,'Met Data'!$O$2:$T$368,G597,FALSE)</f>
        <v>1.8773510693625799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253</v>
      </c>
      <c r="H598" s="97">
        <f t="shared" ca="1" si="99"/>
        <v>45909</v>
      </c>
      <c r="I598" s="121">
        <f ca="1">HLOOKUP($H$4,'Met Data'!$A$2:$F$368,G598,FALSE)</f>
        <v>9.6125000000000007</v>
      </c>
      <c r="J598" s="119">
        <f ca="1">HLOOKUP($H$4,'Met Data'!$H$2:$M$368,G598,FALSE)*L598</f>
        <v>4.36666666666666</v>
      </c>
      <c r="K598" s="98">
        <f ca="1">HLOOKUP($H$4,'Met Data'!$O$2:$T$368,G598,FALSE)</f>
        <v>1.8525160666589899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254</v>
      </c>
      <c r="H599" s="97">
        <f t="shared" ca="1" si="99"/>
        <v>45910</v>
      </c>
      <c r="I599" s="121">
        <f ca="1">HLOOKUP($H$4,'Met Data'!$A$2:$F$368,G599,FALSE)</f>
        <v>10.0875</v>
      </c>
      <c r="J599" s="119">
        <f ca="1">HLOOKUP($H$4,'Met Data'!$H$2:$M$368,G599,FALSE)*L599</f>
        <v>3.44999999999999</v>
      </c>
      <c r="K599" s="98">
        <f ca="1">HLOOKUP($H$4,'Met Data'!$O$2:$T$368,G599,FALSE)</f>
        <v>1.67590206119575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255</v>
      </c>
      <c r="H600" s="97">
        <f t="shared" ca="1" si="99"/>
        <v>45911</v>
      </c>
      <c r="I600" s="121">
        <f ca="1">HLOOKUP($H$4,'Met Data'!$A$2:$F$368,G600,FALSE)</f>
        <v>10.6416666666666</v>
      </c>
      <c r="J600" s="119">
        <f ca="1">HLOOKUP($H$4,'Met Data'!$H$2:$M$368,G600,FALSE)*L600</f>
        <v>6.4666666666666597</v>
      </c>
      <c r="K600" s="98">
        <f ca="1">HLOOKUP($H$4,'Met Data'!$O$2:$T$368,G600,FALSE)</f>
        <v>1.7070370554204599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256</v>
      </c>
      <c r="H601" s="97">
        <f t="shared" ca="1" si="99"/>
        <v>45912</v>
      </c>
      <c r="I601" s="121">
        <f ca="1">HLOOKUP($H$4,'Met Data'!$A$2:$F$368,G601,FALSE)</f>
        <v>10.4541666666666</v>
      </c>
      <c r="J601" s="119">
        <f ca="1">HLOOKUP($H$4,'Met Data'!$H$2:$M$368,G601,FALSE)*L601</f>
        <v>2.0166666666666599</v>
      </c>
      <c r="K601" s="98">
        <f ca="1">HLOOKUP($H$4,'Met Data'!$O$2:$T$368,G601,FALSE)</f>
        <v>1.9219866027073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257</v>
      </c>
      <c r="H602" s="97">
        <f t="shared" ca="1" si="99"/>
        <v>45913</v>
      </c>
      <c r="I602" s="121">
        <f ca="1">HLOOKUP($H$4,'Met Data'!$A$2:$F$368,G602,FALSE)</f>
        <v>11.216666666666599</v>
      </c>
      <c r="J602" s="119">
        <f ca="1">HLOOKUP($H$4,'Met Data'!$H$2:$M$368,G602,FALSE)*L602</f>
        <v>1.4833333333333301</v>
      </c>
      <c r="K602" s="98">
        <f ca="1">HLOOKUP($H$4,'Met Data'!$O$2:$T$368,G602,FALSE)</f>
        <v>1.86072433418519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258</v>
      </c>
      <c r="H603" s="97">
        <f t="shared" ca="1" si="99"/>
        <v>45914</v>
      </c>
      <c r="I603" s="121">
        <f ca="1">HLOOKUP($H$4,'Met Data'!$A$2:$F$368,G603,FALSE)</f>
        <v>11.1</v>
      </c>
      <c r="J603" s="119">
        <f ca="1">HLOOKUP($H$4,'Met Data'!$H$2:$M$368,G603,FALSE)*L603</f>
        <v>2.4166666666666599</v>
      </c>
      <c r="K603" s="98">
        <f ca="1">HLOOKUP($H$4,'Met Data'!$O$2:$T$368,G603,FALSE)</f>
        <v>1.6515892534407901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259</v>
      </c>
      <c r="H604" s="97">
        <f t="shared" ca="1" si="99"/>
        <v>45915</v>
      </c>
      <c r="I604" s="121">
        <f ca="1">HLOOKUP($H$4,'Met Data'!$A$2:$F$368,G604,FALSE)</f>
        <v>11.3708333333333</v>
      </c>
      <c r="J604" s="119">
        <f ca="1">HLOOKUP($H$4,'Met Data'!$H$2:$M$368,G604,FALSE)*L604</f>
        <v>1.3</v>
      </c>
      <c r="K604" s="98">
        <f ca="1">HLOOKUP($H$4,'Met Data'!$O$2:$T$368,G604,FALSE)</f>
        <v>1.8040111781852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260</v>
      </c>
      <c r="H605" s="97">
        <f t="shared" ca="1" si="99"/>
        <v>45916</v>
      </c>
      <c r="I605" s="121">
        <f ca="1">HLOOKUP($H$4,'Met Data'!$A$2:$F$368,G605,FALSE)</f>
        <v>11.2916666666666</v>
      </c>
      <c r="J605" s="119">
        <f ca="1">HLOOKUP($H$4,'Met Data'!$H$2:$M$368,G605,FALSE)*L605</f>
        <v>2.6</v>
      </c>
      <c r="K605" s="98">
        <f ca="1">HLOOKUP($H$4,'Met Data'!$O$2:$T$368,G605,FALSE)</f>
        <v>1.8880733064353601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261</v>
      </c>
      <c r="H606" s="97">
        <f t="shared" ca="1" si="99"/>
        <v>45917</v>
      </c>
      <c r="I606" s="121">
        <f ca="1">HLOOKUP($H$4,'Met Data'!$A$2:$F$368,G606,FALSE)</f>
        <v>12.2125</v>
      </c>
      <c r="J606" s="119">
        <f ca="1">HLOOKUP($H$4,'Met Data'!$H$2:$M$368,G606,FALSE)*L606</f>
        <v>4.5999999999999996</v>
      </c>
      <c r="K606" s="98">
        <f ca="1">HLOOKUP($H$4,'Met Data'!$O$2:$T$368,G606,FALSE)</f>
        <v>2.0382752192881299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262</v>
      </c>
      <c r="H607" s="97">
        <f t="shared" ca="1" si="99"/>
        <v>45918</v>
      </c>
      <c r="I607" s="121">
        <f ca="1">HLOOKUP($H$4,'Met Data'!$A$2:$F$368,G607,FALSE)</f>
        <v>11.35</v>
      </c>
      <c r="J607" s="119">
        <f ca="1">HLOOKUP($H$4,'Met Data'!$H$2:$M$368,G607,FALSE)*L607</f>
        <v>3.93333333333333</v>
      </c>
      <c r="K607" s="98">
        <f ca="1">HLOOKUP($H$4,'Met Data'!$O$2:$T$368,G607,FALSE)</f>
        <v>2.00744960029109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263</v>
      </c>
      <c r="H608" s="97">
        <f t="shared" ca="1" si="99"/>
        <v>45919</v>
      </c>
      <c r="I608" s="121">
        <f ca="1">HLOOKUP($H$4,'Met Data'!$A$2:$F$368,G608,FALSE)</f>
        <v>10.504166666666601</v>
      </c>
      <c r="J608" s="119">
        <f ca="1">HLOOKUP($H$4,'Met Data'!$H$2:$M$368,G608,FALSE)*L608</f>
        <v>8.7333333333333307</v>
      </c>
      <c r="K608" s="98">
        <f ca="1">HLOOKUP($H$4,'Met Data'!$O$2:$T$368,G608,FALSE)</f>
        <v>1.9387559167362001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264</v>
      </c>
      <c r="H609" s="97">
        <f t="shared" ca="1" si="99"/>
        <v>45920</v>
      </c>
      <c r="I609" s="121">
        <f ca="1">HLOOKUP($H$4,'Met Data'!$A$2:$F$368,G609,FALSE)</f>
        <v>10.387499999999999</v>
      </c>
      <c r="J609" s="119">
        <f ca="1">HLOOKUP($H$4,'Met Data'!$H$2:$M$368,G609,FALSE)*L609</f>
        <v>3.85</v>
      </c>
      <c r="K609" s="98">
        <f ca="1">HLOOKUP($H$4,'Met Data'!$O$2:$T$368,G609,FALSE)</f>
        <v>2.0861830094945102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265</v>
      </c>
      <c r="H610" s="97">
        <f t="shared" ca="1" si="99"/>
        <v>45921</v>
      </c>
      <c r="I610" s="121">
        <f ca="1">HLOOKUP($H$4,'Met Data'!$A$2:$F$368,G610,FALSE)</f>
        <v>9.85</v>
      </c>
      <c r="J610" s="119">
        <f ca="1">HLOOKUP($H$4,'Met Data'!$H$2:$M$368,G610,FALSE)*L610</f>
        <v>1.7999999999999901</v>
      </c>
      <c r="K610" s="98">
        <f ca="1">HLOOKUP($H$4,'Met Data'!$O$2:$T$368,G610,FALSE)</f>
        <v>2.1398164486974101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266</v>
      </c>
      <c r="H611" s="97">
        <f t="shared" ca="1" si="99"/>
        <v>45922</v>
      </c>
      <c r="I611" s="121">
        <f ca="1">HLOOKUP($H$4,'Met Data'!$A$2:$F$368,G611,FALSE)</f>
        <v>10.158333333333299</v>
      </c>
      <c r="J611" s="119">
        <f ca="1">HLOOKUP($H$4,'Met Data'!$H$2:$M$368,G611,FALSE)*L611</f>
        <v>3.93333333333333</v>
      </c>
      <c r="K611" s="98">
        <f ca="1">HLOOKUP($H$4,'Met Data'!$O$2:$T$368,G611,FALSE)</f>
        <v>2.31412085445224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267</v>
      </c>
      <c r="H612" s="97">
        <f t="shared" ca="1" si="99"/>
        <v>45923</v>
      </c>
      <c r="I612" s="121">
        <f ca="1">HLOOKUP($H$4,'Met Data'!$A$2:$F$368,G612,FALSE)</f>
        <v>10.9625</v>
      </c>
      <c r="J612" s="119">
        <f ca="1">HLOOKUP($H$4,'Met Data'!$H$2:$M$368,G612,FALSE)*L612</f>
        <v>1.86666666666666</v>
      </c>
      <c r="K612" s="98">
        <f ca="1">HLOOKUP($H$4,'Met Data'!$O$2:$T$368,G612,FALSE)</f>
        <v>2.2059606634486699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268</v>
      </c>
      <c r="H613" s="97">
        <f t="shared" ca="1" si="99"/>
        <v>45924</v>
      </c>
      <c r="I613" s="121">
        <f ca="1">HLOOKUP($H$4,'Met Data'!$A$2:$F$368,G613,FALSE)</f>
        <v>11.6458333333333</v>
      </c>
      <c r="J613" s="119">
        <f ca="1">HLOOKUP($H$4,'Met Data'!$H$2:$M$368,G613,FALSE)*L613</f>
        <v>5.5166666666666604</v>
      </c>
      <c r="K613" s="98">
        <f ca="1">HLOOKUP($H$4,'Met Data'!$O$2:$T$368,G613,FALSE)</f>
        <v>1.6755097599300399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269</v>
      </c>
      <c r="H614" s="97">
        <f t="shared" ca="1" si="99"/>
        <v>45925</v>
      </c>
      <c r="I614" s="121">
        <f ca="1">HLOOKUP($H$4,'Met Data'!$A$2:$F$368,G614,FALSE)</f>
        <v>12.112500000000001</v>
      </c>
      <c r="J614" s="119">
        <f ca="1">HLOOKUP($H$4,'Met Data'!$H$2:$M$368,G614,FALSE)*L614</f>
        <v>1.56666666666666</v>
      </c>
      <c r="K614" s="98">
        <f ca="1">HLOOKUP($H$4,'Met Data'!$O$2:$T$368,G614,FALSE)</f>
        <v>2.1669648664524801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270</v>
      </c>
      <c r="H615" s="97">
        <f t="shared" ca="1" si="99"/>
        <v>45926</v>
      </c>
      <c r="I615" s="121">
        <f ca="1">HLOOKUP($H$4,'Met Data'!$A$2:$F$368,G615,FALSE)</f>
        <v>11.6875</v>
      </c>
      <c r="J615" s="119">
        <f ca="1">HLOOKUP($H$4,'Met Data'!$H$2:$M$368,G615,FALSE)*L615</f>
        <v>1.0833333333333299</v>
      </c>
      <c r="K615" s="98">
        <f ca="1">HLOOKUP($H$4,'Met Data'!$O$2:$T$368,G615,FALSE)</f>
        <v>2.2423317945335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271</v>
      </c>
      <c r="H616" s="97">
        <f t="shared" ca="1" si="99"/>
        <v>45927</v>
      </c>
      <c r="I616" s="121">
        <f ca="1">HLOOKUP($H$4,'Met Data'!$A$2:$F$368,G616,FALSE)</f>
        <v>12.0541666666666</v>
      </c>
      <c r="J616" s="119">
        <f ca="1">HLOOKUP($H$4,'Met Data'!$H$2:$M$368,G616,FALSE)*L616</f>
        <v>1.05</v>
      </c>
      <c r="K616" s="98">
        <f ca="1">HLOOKUP($H$4,'Met Data'!$O$2:$T$368,G616,FALSE)</f>
        <v>2.4484809787012698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272</v>
      </c>
      <c r="H617" s="97">
        <f t="shared" ca="1" si="99"/>
        <v>45928</v>
      </c>
      <c r="I617" s="121">
        <f ca="1">HLOOKUP($H$4,'Met Data'!$A$2:$F$368,G617,FALSE)</f>
        <v>12.3291666666666</v>
      </c>
      <c r="J617" s="119">
        <f ca="1">HLOOKUP($H$4,'Met Data'!$H$2:$M$368,G617,FALSE)*L617</f>
        <v>5.1499999999999897</v>
      </c>
      <c r="K617" s="98">
        <f ca="1">HLOOKUP($H$4,'Met Data'!$O$2:$T$368,G617,FALSE)</f>
        <v>2.13295390564413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273</v>
      </c>
      <c r="H618" s="97">
        <f t="shared" ca="1" si="99"/>
        <v>45929</v>
      </c>
      <c r="I618" s="121">
        <f ca="1">HLOOKUP($H$4,'Met Data'!$A$2:$F$368,G618,FALSE)</f>
        <v>12.65</v>
      </c>
      <c r="J618" s="119">
        <f ca="1">HLOOKUP($H$4,'Met Data'!$H$2:$M$368,G618,FALSE)*L618</f>
        <v>2.15</v>
      </c>
      <c r="K618" s="98">
        <f ca="1">HLOOKUP($H$4,'Met Data'!$O$2:$T$368,G618,FALSE)</f>
        <v>2.3067555107961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274</v>
      </c>
      <c r="H619" s="97">
        <f t="shared" ca="1" si="99"/>
        <v>45930</v>
      </c>
      <c r="I619" s="121">
        <f ca="1">HLOOKUP($H$4,'Met Data'!$A$2:$F$368,G619,FALSE)</f>
        <v>12.5208333333333</v>
      </c>
      <c r="J619" s="119">
        <f ca="1">HLOOKUP($H$4,'Met Data'!$H$2:$M$368,G619,FALSE)*L619</f>
        <v>5.61666666666666</v>
      </c>
      <c r="K619" s="98">
        <f ca="1">HLOOKUP($H$4,'Met Data'!$O$2:$T$368,G619,FALSE)</f>
        <v>2.4465918649770302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275</v>
      </c>
      <c r="H620" s="97">
        <f t="shared" ca="1" si="99"/>
        <v>45931</v>
      </c>
      <c r="I620" s="121">
        <f ca="1">HLOOKUP($H$4,'Met Data'!$A$2:$F$368,G620,FALSE)</f>
        <v>11.65</v>
      </c>
      <c r="J620" s="119">
        <f ca="1">HLOOKUP($H$4,'Met Data'!$H$2:$M$368,G620,FALSE)*L620</f>
        <v>2.35</v>
      </c>
      <c r="K620" s="98">
        <f ca="1">HLOOKUP($H$4,'Met Data'!$O$2:$T$368,G620,FALSE)</f>
        <v>2.46735033441291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276</v>
      </c>
      <c r="H621" s="97">
        <f t="shared" ca="1" si="99"/>
        <v>45932</v>
      </c>
      <c r="I621" s="121">
        <f ca="1">HLOOKUP($H$4,'Met Data'!$A$2:$F$368,G621,FALSE)</f>
        <v>12.0166666666666</v>
      </c>
      <c r="J621" s="119">
        <f ca="1">HLOOKUP($H$4,'Met Data'!$H$2:$M$368,G621,FALSE)*L621</f>
        <v>2.2833333333333301</v>
      </c>
      <c r="K621" s="98">
        <f ca="1">HLOOKUP($H$4,'Met Data'!$O$2:$T$368,G621,FALSE)</f>
        <v>2.1199025888480301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277</v>
      </c>
      <c r="H622" s="97">
        <f t="shared" ca="1" si="99"/>
        <v>45933</v>
      </c>
      <c r="I622" s="121">
        <f ca="1">HLOOKUP($H$4,'Met Data'!$A$2:$F$368,G622,FALSE)</f>
        <v>12.941666666666601</v>
      </c>
      <c r="J622" s="119">
        <f ca="1">HLOOKUP($H$4,'Met Data'!$H$2:$M$368,G622,FALSE)*L622</f>
        <v>4.2666666666666604</v>
      </c>
      <c r="K622" s="98">
        <f ca="1">HLOOKUP($H$4,'Met Data'!$O$2:$T$368,G622,FALSE)</f>
        <v>2.6275875550097898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278</v>
      </c>
      <c r="H623" s="97">
        <f t="shared" ca="1" si="99"/>
        <v>45934</v>
      </c>
      <c r="I623" s="121">
        <f ca="1">HLOOKUP($H$4,'Met Data'!$A$2:$F$368,G623,FALSE)</f>
        <v>11.95</v>
      </c>
      <c r="J623" s="119">
        <f ca="1">HLOOKUP($H$4,'Met Data'!$H$2:$M$368,G623,FALSE)*L623</f>
        <v>1.13333333333333</v>
      </c>
      <c r="K623" s="98">
        <f ca="1">HLOOKUP($H$4,'Met Data'!$O$2:$T$368,G623,FALSE)</f>
        <v>2.2251605523882798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ref="G624:G687" ca="1" si="100">H624-DATE(YEAR(H624),1,0)+1</f>
        <v>279</v>
      </c>
      <c r="H624" s="97">
        <f t="shared" ca="1" si="99"/>
        <v>45935</v>
      </c>
      <c r="I624" s="121">
        <f ca="1">HLOOKUP($H$4,'Met Data'!$A$2:$F$368,G624,FALSE)</f>
        <v>11.8958333333333</v>
      </c>
      <c r="J624" s="119">
        <f ca="1">HLOOKUP($H$4,'Met Data'!$H$2:$M$368,G624,FALSE)*L624</f>
        <v>2.0666666666666602</v>
      </c>
      <c r="K624" s="98">
        <f ca="1">HLOOKUP($H$4,'Met Data'!$O$2:$T$368,G624,FALSE)</f>
        <v>2.2142725820580198</v>
      </c>
      <c r="L624">
        <f t="shared" ca="1" si="98"/>
        <v>1</v>
      </c>
      <c r="N624" t="e">
        <f t="shared" ref="N624:N687" ca="1" si="101">IF(P624&lt;$P$3,TRUE,FALSE)</f>
        <v>#N/A</v>
      </c>
      <c r="O624" t="e">
        <f t="shared" ref="O624:O687" ca="1" si="102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3">IFERROR(P624,$AD$4)</f>
        <v>0</v>
      </c>
      <c r="AE624">
        <f t="shared" ref="AE624:AE687" ca="1" si="104">IFERROR(U624,0)</f>
        <v>0</v>
      </c>
      <c r="AG624" s="63" t="e">
        <f t="shared" ref="AG624:AG687" ca="1" si="105">Q623+S624+T624+U624</f>
        <v>#N/A</v>
      </c>
      <c r="AH624" s="63" t="e">
        <f t="shared" ref="AH624:AH687" ca="1" si="106">Q624+R624+X624</f>
        <v>#N/A</v>
      </c>
      <c r="AI624" s="3" t="e">
        <f t="shared" ref="AI624:AI687" ca="1" si="107">AH624-AG624</f>
        <v>#N/A</v>
      </c>
    </row>
    <row r="625" spans="7:35" ht="15.75" thickBot="1">
      <c r="G625" s="3">
        <f t="shared" ca="1" si="100"/>
        <v>280</v>
      </c>
      <c r="H625" s="97">
        <f t="shared" ca="1" si="99"/>
        <v>45936</v>
      </c>
      <c r="I625" s="121">
        <f ca="1">HLOOKUP($H$4,'Met Data'!$A$2:$F$368,G625,FALSE)</f>
        <v>11.8333333333333</v>
      </c>
      <c r="J625" s="119">
        <f ca="1">HLOOKUP($H$4,'Met Data'!$H$2:$M$368,G625,FALSE)*L625</f>
        <v>1.43333333333333</v>
      </c>
      <c r="K625" s="98">
        <f ca="1">HLOOKUP($H$4,'Met Data'!$O$2:$T$368,G625,FALSE)</f>
        <v>2.5217662070296001</v>
      </c>
      <c r="L625">
        <f t="shared" ca="1" si="98"/>
        <v>1</v>
      </c>
      <c r="N625" t="e">
        <f t="shared" ca="1" si="101"/>
        <v>#N/A</v>
      </c>
      <c r="O625" t="e">
        <f t="shared" ca="1" si="102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3"/>
        <v>0</v>
      </c>
      <c r="AE625">
        <f t="shared" ca="1" si="104"/>
        <v>0</v>
      </c>
      <c r="AG625" s="63" t="e">
        <f t="shared" ca="1" si="105"/>
        <v>#N/A</v>
      </c>
      <c r="AH625" s="63" t="e">
        <f t="shared" ca="1" si="106"/>
        <v>#N/A</v>
      </c>
      <c r="AI625" s="3" t="e">
        <f t="shared" ca="1" si="107"/>
        <v>#N/A</v>
      </c>
    </row>
    <row r="626" spans="7:35" ht="15.75" thickBot="1">
      <c r="G626" s="3">
        <f t="shared" ca="1" si="100"/>
        <v>281</v>
      </c>
      <c r="H626" s="97">
        <f t="shared" ca="1" si="99"/>
        <v>45937</v>
      </c>
      <c r="I626" s="121">
        <f ca="1">HLOOKUP($H$4,'Met Data'!$A$2:$F$368,G626,FALSE)</f>
        <v>12.133333333333301</v>
      </c>
      <c r="J626" s="119">
        <f ca="1">HLOOKUP($H$4,'Met Data'!$H$2:$M$368,G626,FALSE)*L626</f>
        <v>1.5</v>
      </c>
      <c r="K626" s="98">
        <f ca="1">HLOOKUP($H$4,'Met Data'!$O$2:$T$368,G626,FALSE)</f>
        <v>2.4929362431341402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282</v>
      </c>
      <c r="H627" s="97">
        <f t="shared" ca="1" si="99"/>
        <v>45938</v>
      </c>
      <c r="I627" s="121">
        <f ca="1">HLOOKUP($H$4,'Met Data'!$A$2:$F$368,G627,FALSE)</f>
        <v>11.8708333333333</v>
      </c>
      <c r="J627" s="119">
        <f ca="1">HLOOKUP($H$4,'Met Data'!$H$2:$M$368,G627,FALSE)*L627</f>
        <v>4.18333333333333</v>
      </c>
      <c r="K627" s="98">
        <f ca="1">HLOOKUP($H$4,'Met Data'!$O$2:$T$368,G627,FALSE)</f>
        <v>2.0932595279969002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283</v>
      </c>
      <c r="H628" s="97">
        <f t="shared" ca="1" si="99"/>
        <v>45939</v>
      </c>
      <c r="I628" s="121">
        <f ca="1">HLOOKUP($H$4,'Met Data'!$A$2:$F$368,G628,FALSE)</f>
        <v>11.529166666666599</v>
      </c>
      <c r="J628" s="119">
        <f ca="1">HLOOKUP($H$4,'Met Data'!$H$2:$M$368,G628,FALSE)*L628</f>
        <v>2.2166666666666601</v>
      </c>
      <c r="K628" s="98">
        <f ca="1">HLOOKUP($H$4,'Met Data'!$O$2:$T$368,G628,FALSE)</f>
        <v>2.3166472445358202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284</v>
      </c>
      <c r="H629" s="97">
        <f t="shared" ca="1" si="99"/>
        <v>45940</v>
      </c>
      <c r="I629" s="121">
        <f ca="1">HLOOKUP($H$4,'Met Data'!$A$2:$F$368,G629,FALSE)</f>
        <v>11.316666666666601</v>
      </c>
      <c r="J629" s="119">
        <f ca="1">HLOOKUP($H$4,'Met Data'!$H$2:$M$368,G629,FALSE)*L629</f>
        <v>2.9833333333333298</v>
      </c>
      <c r="K629" s="98">
        <f ca="1">HLOOKUP($H$4,'Met Data'!$O$2:$T$368,G629,FALSE)</f>
        <v>2.57259273420483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285</v>
      </c>
      <c r="H630" s="97">
        <f t="shared" ca="1" si="99"/>
        <v>45941</v>
      </c>
      <c r="I630" s="121">
        <f ca="1">HLOOKUP($H$4,'Met Data'!$A$2:$F$368,G630,FALSE)</f>
        <v>12.466666666666599</v>
      </c>
      <c r="J630" s="119">
        <f ca="1">HLOOKUP($H$4,'Met Data'!$H$2:$M$368,G630,FALSE)*L630</f>
        <v>3.5333333333333301</v>
      </c>
      <c r="K630" s="98">
        <f ca="1">HLOOKUP($H$4,'Met Data'!$O$2:$T$368,G630,FALSE)</f>
        <v>2.44735536591925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286</v>
      </c>
      <c r="H631" s="97">
        <f t="shared" ca="1" si="99"/>
        <v>45942</v>
      </c>
      <c r="I631" s="121">
        <f ca="1">HLOOKUP($H$4,'Met Data'!$A$2:$F$368,G631,FALSE)</f>
        <v>12.566666666666601</v>
      </c>
      <c r="J631" s="119">
        <f ca="1">HLOOKUP($H$4,'Met Data'!$H$2:$M$368,G631,FALSE)*L631</f>
        <v>1.88333333333333</v>
      </c>
      <c r="K631" s="98">
        <f ca="1">HLOOKUP($H$4,'Met Data'!$O$2:$T$368,G631,FALSE)</f>
        <v>2.6706436990123898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287</v>
      </c>
      <c r="H632" s="97">
        <f t="shared" ca="1" si="99"/>
        <v>45943</v>
      </c>
      <c r="I632" s="121">
        <f ca="1">HLOOKUP($H$4,'Met Data'!$A$2:$F$368,G632,FALSE)</f>
        <v>12.133333333333301</v>
      </c>
      <c r="J632" s="119">
        <f ca="1">HLOOKUP($H$4,'Met Data'!$H$2:$M$368,G632,FALSE)*L632</f>
        <v>2.6666666666666599</v>
      </c>
      <c r="K632" s="98">
        <f ca="1">HLOOKUP($H$4,'Met Data'!$O$2:$T$368,G632,FALSE)</f>
        <v>1.9257972512671799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288</v>
      </c>
      <c r="H633" s="97">
        <f t="shared" ca="1" si="99"/>
        <v>45944</v>
      </c>
      <c r="I633" s="121">
        <f ca="1">HLOOKUP($H$4,'Met Data'!$A$2:$F$368,G633,FALSE)</f>
        <v>12.762499999999999</v>
      </c>
      <c r="J633" s="119">
        <f ca="1">HLOOKUP($H$4,'Met Data'!$H$2:$M$368,G633,FALSE)*L633</f>
        <v>3.6333333333333302</v>
      </c>
      <c r="K633" s="98">
        <f ca="1">HLOOKUP($H$4,'Met Data'!$O$2:$T$368,G633,FALSE)</f>
        <v>2.2182002807721002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289</v>
      </c>
      <c r="H634" s="97">
        <f t="shared" ca="1" si="99"/>
        <v>45945</v>
      </c>
      <c r="I634" s="121">
        <f ca="1">HLOOKUP($H$4,'Met Data'!$A$2:$F$368,G634,FALSE)</f>
        <v>12.675000000000001</v>
      </c>
      <c r="J634" s="119">
        <f ca="1">HLOOKUP($H$4,'Met Data'!$H$2:$M$368,G634,FALSE)*L634</f>
        <v>4.2166666666666597</v>
      </c>
      <c r="K634" s="98">
        <f ca="1">HLOOKUP($H$4,'Met Data'!$O$2:$T$368,G634,FALSE)</f>
        <v>2.3809243707544998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290</v>
      </c>
      <c r="H635" s="97">
        <f t="shared" ca="1" si="99"/>
        <v>45946</v>
      </c>
      <c r="I635" s="121">
        <f ca="1">HLOOKUP($H$4,'Met Data'!$A$2:$F$368,G635,FALSE)</f>
        <v>12.3041666666666</v>
      </c>
      <c r="J635" s="119">
        <f ca="1">HLOOKUP($H$4,'Met Data'!$H$2:$M$368,G635,FALSE)*L635</f>
        <v>1.4666666666666599</v>
      </c>
      <c r="K635" s="98">
        <f ca="1">HLOOKUP($H$4,'Met Data'!$O$2:$T$368,G635,FALSE)</f>
        <v>2.7800377367024298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291</v>
      </c>
      <c r="H636" s="97">
        <f t="shared" ca="1" si="99"/>
        <v>45947</v>
      </c>
      <c r="I636" s="121">
        <f ca="1">HLOOKUP($H$4,'Met Data'!$A$2:$F$368,G636,FALSE)</f>
        <v>12.987499999999899</v>
      </c>
      <c r="J636" s="119">
        <f ca="1">HLOOKUP($H$4,'Met Data'!$H$2:$M$368,G636,FALSE)*L636</f>
        <v>2.75</v>
      </c>
      <c r="K636" s="98">
        <f ca="1">HLOOKUP($H$4,'Met Data'!$O$2:$T$368,G636,FALSE)</f>
        <v>2.65151934906442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292</v>
      </c>
      <c r="H637" s="97">
        <f t="shared" ca="1" si="99"/>
        <v>45948</v>
      </c>
      <c r="I637" s="121">
        <f ca="1">HLOOKUP($H$4,'Met Data'!$A$2:$F$368,G637,FALSE)</f>
        <v>12.7416666666666</v>
      </c>
      <c r="J637" s="119">
        <f ca="1">HLOOKUP($H$4,'Met Data'!$H$2:$M$368,G637,FALSE)*L637</f>
        <v>3.0666666666666602</v>
      </c>
      <c r="K637" s="98">
        <f ca="1">HLOOKUP($H$4,'Met Data'!$O$2:$T$368,G637,FALSE)</f>
        <v>2.2346438003254501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293</v>
      </c>
      <c r="H638" s="97">
        <f t="shared" ca="1" si="99"/>
        <v>45949</v>
      </c>
      <c r="I638" s="121">
        <f ca="1">HLOOKUP($H$4,'Met Data'!$A$2:$F$368,G638,FALSE)</f>
        <v>12.154166666666599</v>
      </c>
      <c r="J638" s="119">
        <f ca="1">HLOOKUP($H$4,'Met Data'!$H$2:$M$368,G638,FALSE)*L638</f>
        <v>1.1000000000000001</v>
      </c>
      <c r="K638" s="98">
        <f ca="1">HLOOKUP($H$4,'Met Data'!$O$2:$T$368,G638,FALSE)</f>
        <v>2.9905003990183601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294</v>
      </c>
      <c r="H639" s="97">
        <f t="shared" ca="1" si="99"/>
        <v>45950</v>
      </c>
      <c r="I639" s="121">
        <f ca="1">HLOOKUP($H$4,'Met Data'!$A$2:$F$368,G639,FALSE)</f>
        <v>12.6666666666666</v>
      </c>
      <c r="J639" s="119">
        <f ca="1">HLOOKUP($H$4,'Met Data'!$H$2:$M$368,G639,FALSE)*L639</f>
        <v>1.13333333333333</v>
      </c>
      <c r="K639" s="98">
        <f ca="1">HLOOKUP($H$4,'Met Data'!$O$2:$T$368,G639,FALSE)</f>
        <v>2.7134262355768599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295</v>
      </c>
      <c r="H640" s="97">
        <f t="shared" ca="1" si="99"/>
        <v>45951</v>
      </c>
      <c r="I640" s="121">
        <f ca="1">HLOOKUP($H$4,'Met Data'!$A$2:$F$368,G640,FALSE)</f>
        <v>12.4916666666666</v>
      </c>
      <c r="J640" s="119">
        <f ca="1">HLOOKUP($H$4,'Met Data'!$H$2:$M$368,G640,FALSE)*L640</f>
        <v>0.51666666666666605</v>
      </c>
      <c r="K640" s="98">
        <f ca="1">HLOOKUP($H$4,'Met Data'!$O$2:$T$368,G640,FALSE)</f>
        <v>2.2874725559703002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296</v>
      </c>
      <c r="H641" s="97">
        <f t="shared" ca="1" si="99"/>
        <v>45952</v>
      </c>
      <c r="I641" s="121">
        <f ca="1">HLOOKUP($H$4,'Met Data'!$A$2:$F$368,G641,FALSE)</f>
        <v>12.925000000000001</v>
      </c>
      <c r="J641" s="119">
        <f ca="1">HLOOKUP($H$4,'Met Data'!$H$2:$M$368,G641,FALSE)*L641</f>
        <v>3.7166666666666601</v>
      </c>
      <c r="K641" s="98">
        <f ca="1">HLOOKUP($H$4,'Met Data'!$O$2:$T$368,G641,FALSE)</f>
        <v>2.31884542682567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297</v>
      </c>
      <c r="H642" s="97">
        <f t="shared" ca="1" si="99"/>
        <v>45953</v>
      </c>
      <c r="I642" s="121">
        <f ca="1">HLOOKUP($H$4,'Met Data'!$A$2:$F$368,G642,FALSE)</f>
        <v>12.2291666666666</v>
      </c>
      <c r="J642" s="119">
        <f ca="1">HLOOKUP($H$4,'Met Data'!$H$2:$M$368,G642,FALSE)*L642</f>
        <v>2.8333333333333299</v>
      </c>
      <c r="K642" s="98">
        <f ca="1">HLOOKUP($H$4,'Met Data'!$O$2:$T$368,G642,FALSE)</f>
        <v>2.7150999093147798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298</v>
      </c>
      <c r="H643" s="97">
        <f t="shared" ca="1" si="99"/>
        <v>45954</v>
      </c>
      <c r="I643" s="121">
        <f ca="1">HLOOKUP($H$4,'Met Data'!$A$2:$F$368,G643,FALSE)</f>
        <v>12.2708333333333</v>
      </c>
      <c r="J643" s="119">
        <f ca="1">HLOOKUP($H$4,'Met Data'!$H$2:$M$368,G643,FALSE)*L643</f>
        <v>0.85</v>
      </c>
      <c r="K643" s="98">
        <f ca="1">HLOOKUP($H$4,'Met Data'!$O$2:$T$368,G643,FALSE)</f>
        <v>2.95103134032406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299</v>
      </c>
      <c r="H644" s="97">
        <f t="shared" ca="1" si="99"/>
        <v>45955</v>
      </c>
      <c r="I644" s="121">
        <f ca="1">HLOOKUP($H$4,'Met Data'!$A$2:$F$368,G644,FALSE)</f>
        <v>12.858333333333301</v>
      </c>
      <c r="J644" s="119">
        <f ca="1">HLOOKUP($H$4,'Met Data'!$H$2:$M$368,G644,FALSE)*L644</f>
        <v>1.0333333333333301</v>
      </c>
      <c r="K644" s="98">
        <f ca="1">HLOOKUP($H$4,'Met Data'!$O$2:$T$368,G644,FALSE)</f>
        <v>2.6842724832832401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300</v>
      </c>
      <c r="H645" s="97">
        <f t="shared" ca="1" si="99"/>
        <v>45956</v>
      </c>
      <c r="I645" s="121">
        <f ca="1">HLOOKUP($H$4,'Met Data'!$A$2:$F$368,G645,FALSE)</f>
        <v>13.7708333333333</v>
      </c>
      <c r="J645" s="119">
        <f ca="1">HLOOKUP($H$4,'Met Data'!$H$2:$M$368,G645,FALSE)*L645</f>
        <v>3.5166666666666599</v>
      </c>
      <c r="K645" s="98">
        <f ca="1">HLOOKUP($H$4,'Met Data'!$O$2:$T$368,G645,FALSE)</f>
        <v>2.91343955355575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301</v>
      </c>
      <c r="H646" s="97">
        <f t="shared" ca="1" si="99"/>
        <v>45957</v>
      </c>
      <c r="I646" s="121">
        <f ca="1">HLOOKUP($H$4,'Met Data'!$A$2:$F$368,G646,FALSE)</f>
        <v>13.899999999999901</v>
      </c>
      <c r="J646" s="119">
        <f ca="1">HLOOKUP($H$4,'Met Data'!$H$2:$M$368,G646,FALSE)*L646</f>
        <v>4.75</v>
      </c>
      <c r="K646" s="98">
        <f ca="1">HLOOKUP($H$4,'Met Data'!$O$2:$T$368,G646,FALSE)</f>
        <v>2.4549016141153701</v>
      </c>
      <c r="L646">
        <f t="shared" ref="L646:L709" ca="1" si="108">IF(H646&lt;$B$31,$J$3,$J$4)</f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302</v>
      </c>
      <c r="H647" s="97">
        <f t="shared" ca="1" si="99"/>
        <v>45958</v>
      </c>
      <c r="I647" s="121">
        <f ca="1">HLOOKUP($H$4,'Met Data'!$A$2:$F$368,G647,FALSE)</f>
        <v>13.425000000000001</v>
      </c>
      <c r="J647" s="119">
        <f ca="1">HLOOKUP($H$4,'Met Data'!$H$2:$M$368,G647,FALSE)*L647</f>
        <v>5.6333333333333302</v>
      </c>
      <c r="K647" s="98">
        <f ca="1">HLOOKUP($H$4,'Met Data'!$O$2:$T$368,G647,FALSE)</f>
        <v>2.5803220554406501</v>
      </c>
      <c r="L647">
        <f t="shared" ca="1" si="108"/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303</v>
      </c>
      <c r="H648" s="97">
        <f t="shared" ref="H648:H711" ca="1" si="109">H647+1</f>
        <v>45959</v>
      </c>
      <c r="I648" s="121">
        <f ca="1">HLOOKUP($H$4,'Met Data'!$A$2:$F$368,G648,FALSE)</f>
        <v>13.9625</v>
      </c>
      <c r="J648" s="119">
        <f ca="1">HLOOKUP($H$4,'Met Data'!$H$2:$M$368,G648,FALSE)*L648</f>
        <v>3.7833333333333301</v>
      </c>
      <c r="K648" s="98">
        <f ca="1">HLOOKUP($H$4,'Met Data'!$O$2:$T$368,G648,FALSE)</f>
        <v>2.91115304555708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304</v>
      </c>
      <c r="H649" s="97">
        <f t="shared" ca="1" si="109"/>
        <v>45960</v>
      </c>
      <c r="I649" s="121">
        <f ca="1">HLOOKUP($H$4,'Met Data'!$A$2:$F$368,G649,FALSE)</f>
        <v>13.045833333333301</v>
      </c>
      <c r="J649" s="119">
        <f ca="1">HLOOKUP($H$4,'Met Data'!$H$2:$M$368,G649,FALSE)*L649</f>
        <v>0.39999999999999902</v>
      </c>
      <c r="K649" s="98">
        <f ca="1">HLOOKUP($H$4,'Met Data'!$O$2:$T$368,G649,FALSE)</f>
        <v>3.19138361024571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305</v>
      </c>
      <c r="H650" s="97">
        <f t="shared" ca="1" si="109"/>
        <v>45961</v>
      </c>
      <c r="I650" s="121">
        <f ca="1">HLOOKUP($H$4,'Met Data'!$A$2:$F$368,G650,FALSE)</f>
        <v>12.6166666666666</v>
      </c>
      <c r="J650" s="119">
        <f ca="1">HLOOKUP($H$4,'Met Data'!$H$2:$M$368,G650,FALSE)*L650</f>
        <v>3.4666666666666601</v>
      </c>
      <c r="K650" s="98">
        <f ca="1">HLOOKUP($H$4,'Met Data'!$O$2:$T$368,G650,FALSE)</f>
        <v>3.1814806222099299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306</v>
      </c>
      <c r="H651" s="97">
        <f t="shared" ca="1" si="109"/>
        <v>45962</v>
      </c>
      <c r="I651" s="121">
        <f ca="1">HLOOKUP($H$4,'Met Data'!$A$2:$F$368,G651,FALSE)</f>
        <v>12.4791666666666</v>
      </c>
      <c r="J651" s="119">
        <f ca="1">HLOOKUP($H$4,'Met Data'!$H$2:$M$368,G651,FALSE)*L651</f>
        <v>2.68333333333333</v>
      </c>
      <c r="K651" s="98">
        <f ca="1">HLOOKUP($H$4,'Met Data'!$O$2:$T$368,G651,FALSE)</f>
        <v>3.1007141373476301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307</v>
      </c>
      <c r="H652" s="97">
        <f t="shared" ca="1" si="109"/>
        <v>45963</v>
      </c>
      <c r="I652" s="121">
        <f ca="1">HLOOKUP($H$4,'Met Data'!$A$2:$F$368,G652,FALSE)</f>
        <v>13.3125</v>
      </c>
      <c r="J652" s="119">
        <f ca="1">HLOOKUP($H$4,'Met Data'!$H$2:$M$368,G652,FALSE)*L652</f>
        <v>1.68333333333333</v>
      </c>
      <c r="K652" s="98">
        <f ca="1">HLOOKUP($H$4,'Met Data'!$O$2:$T$368,G652,FALSE)</f>
        <v>3.50405600149278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308</v>
      </c>
      <c r="H653" s="97">
        <f t="shared" ca="1" si="109"/>
        <v>45964</v>
      </c>
      <c r="I653" s="121">
        <f ca="1">HLOOKUP($H$4,'Met Data'!$A$2:$F$368,G653,FALSE)</f>
        <v>14.35</v>
      </c>
      <c r="J653" s="119">
        <f ca="1">HLOOKUP($H$4,'Met Data'!$H$2:$M$368,G653,FALSE)*L653</f>
        <v>5.1333333333333302</v>
      </c>
      <c r="K653" s="98">
        <f ca="1">HLOOKUP($H$4,'Met Data'!$O$2:$T$368,G653,FALSE)</f>
        <v>2.61745839191309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309</v>
      </c>
      <c r="H654" s="97">
        <f t="shared" ca="1" si="109"/>
        <v>45965</v>
      </c>
      <c r="I654" s="121">
        <f ca="1">HLOOKUP($H$4,'Met Data'!$A$2:$F$368,G654,FALSE)</f>
        <v>13.875</v>
      </c>
      <c r="J654" s="119">
        <f ca="1">HLOOKUP($H$4,'Met Data'!$H$2:$M$368,G654,FALSE)*L654</f>
        <v>1.86666666666666</v>
      </c>
      <c r="K654" s="98">
        <f ca="1">HLOOKUP($H$4,'Met Data'!$O$2:$T$368,G654,FALSE)</f>
        <v>2.7392607073945601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310</v>
      </c>
      <c r="H655" s="97">
        <f t="shared" ca="1" si="109"/>
        <v>45966</v>
      </c>
      <c r="I655" s="121">
        <f ca="1">HLOOKUP($H$4,'Met Data'!$A$2:$F$368,G655,FALSE)</f>
        <v>13.316666666666601</v>
      </c>
      <c r="J655" s="119">
        <f ca="1">HLOOKUP($H$4,'Met Data'!$H$2:$M$368,G655,FALSE)*L655</f>
        <v>1.13333333333333</v>
      </c>
      <c r="K655" s="98">
        <f ca="1">HLOOKUP($H$4,'Met Data'!$O$2:$T$368,G655,FALSE)</f>
        <v>3.4135545366379101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311</v>
      </c>
      <c r="H656" s="97">
        <f t="shared" ca="1" si="109"/>
        <v>45967</v>
      </c>
      <c r="I656" s="121">
        <f ca="1">HLOOKUP($H$4,'Met Data'!$A$2:$F$368,G656,FALSE)</f>
        <v>13.1454545454545</v>
      </c>
      <c r="J656" s="119">
        <f ca="1">HLOOKUP($H$4,'Met Data'!$H$2:$M$368,G656,FALSE)*L656</f>
        <v>0.472727272727272</v>
      </c>
      <c r="K656" s="98">
        <f ca="1">HLOOKUP($H$4,'Met Data'!$O$2:$T$368,G656,FALSE)</f>
        <v>3.2963131788019302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312</v>
      </c>
      <c r="H657" s="97">
        <f t="shared" ca="1" si="109"/>
        <v>45968</v>
      </c>
      <c r="I657" s="121">
        <f ca="1">HLOOKUP($H$4,'Met Data'!$A$2:$F$368,G657,FALSE)</f>
        <v>13.4166666666666</v>
      </c>
      <c r="J657" s="119">
        <f ca="1">HLOOKUP($H$4,'Met Data'!$H$2:$M$368,G657,FALSE)*L657</f>
        <v>2.35</v>
      </c>
      <c r="K657" s="98">
        <f ca="1">HLOOKUP($H$4,'Met Data'!$O$2:$T$368,G657,FALSE)</f>
        <v>3.43315852526095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313</v>
      </c>
      <c r="H658" s="97">
        <f t="shared" ca="1" si="109"/>
        <v>45969</v>
      </c>
      <c r="I658" s="121">
        <f ca="1">HLOOKUP($H$4,'Met Data'!$A$2:$F$368,G658,FALSE)</f>
        <v>13.8708333333333</v>
      </c>
      <c r="J658" s="119">
        <f ca="1">HLOOKUP($H$4,'Met Data'!$H$2:$M$368,G658,FALSE)*L658</f>
        <v>2.86666666666666</v>
      </c>
      <c r="K658" s="98">
        <f ca="1">HLOOKUP($H$4,'Met Data'!$O$2:$T$368,G658,FALSE)</f>
        <v>3.09770464623969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314</v>
      </c>
      <c r="H659" s="97">
        <f t="shared" ca="1" si="109"/>
        <v>45970</v>
      </c>
      <c r="I659" s="121">
        <f ca="1">HLOOKUP($H$4,'Met Data'!$A$2:$F$368,G659,FALSE)</f>
        <v>14.158333333333299</v>
      </c>
      <c r="J659" s="119">
        <f ca="1">HLOOKUP($H$4,'Met Data'!$H$2:$M$368,G659,FALSE)*L659</f>
        <v>3.2166666666666601</v>
      </c>
      <c r="K659" s="98">
        <f ca="1">HLOOKUP($H$4,'Met Data'!$O$2:$T$368,G659,FALSE)</f>
        <v>3.3024968395707299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315</v>
      </c>
      <c r="H660" s="97">
        <f t="shared" ca="1" si="109"/>
        <v>45971</v>
      </c>
      <c r="I660" s="121">
        <f ca="1">HLOOKUP($H$4,'Met Data'!$A$2:$F$368,G660,FALSE)</f>
        <v>13.6666666666666</v>
      </c>
      <c r="J660" s="119">
        <f ca="1">HLOOKUP($H$4,'Met Data'!$H$2:$M$368,G660,FALSE)*L660</f>
        <v>2.0499999999999998</v>
      </c>
      <c r="K660" s="98">
        <f ca="1">HLOOKUP($H$4,'Met Data'!$O$2:$T$368,G660,FALSE)</f>
        <v>2.6586912182490101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316</v>
      </c>
      <c r="H661" s="97">
        <f t="shared" ca="1" si="109"/>
        <v>45972</v>
      </c>
      <c r="I661" s="121">
        <f ca="1">HLOOKUP($H$4,'Met Data'!$A$2:$F$368,G661,FALSE)</f>
        <v>13.8958333333333</v>
      </c>
      <c r="J661" s="119">
        <f ca="1">HLOOKUP($H$4,'Met Data'!$H$2:$M$368,G661,FALSE)*L661</f>
        <v>3.94999999999999</v>
      </c>
      <c r="K661" s="98">
        <f ca="1">HLOOKUP($H$4,'Met Data'!$O$2:$T$368,G661,FALSE)</f>
        <v>2.87577977788037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317</v>
      </c>
      <c r="H662" s="97">
        <f t="shared" ca="1" si="109"/>
        <v>45973</v>
      </c>
      <c r="I662" s="121">
        <f ca="1">HLOOKUP($H$4,'Met Data'!$A$2:$F$368,G662,FALSE)</f>
        <v>13.0625</v>
      </c>
      <c r="J662" s="119">
        <f ca="1">HLOOKUP($H$4,'Met Data'!$H$2:$M$368,G662,FALSE)*L662</f>
        <v>3.0666666666666602</v>
      </c>
      <c r="K662" s="98">
        <f ca="1">HLOOKUP($H$4,'Met Data'!$O$2:$T$368,G662,FALSE)</f>
        <v>2.8947392121826798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318</v>
      </c>
      <c r="H663" s="97">
        <f t="shared" ca="1" si="109"/>
        <v>45974</v>
      </c>
      <c r="I663" s="121">
        <f ca="1">HLOOKUP($H$4,'Met Data'!$A$2:$F$368,G663,FALSE)</f>
        <v>12.55</v>
      </c>
      <c r="J663" s="119">
        <f ca="1">HLOOKUP($H$4,'Met Data'!$H$2:$M$368,G663,FALSE)*L663</f>
        <v>1.2</v>
      </c>
      <c r="K663" s="98">
        <f ca="1">HLOOKUP($H$4,'Met Data'!$O$2:$T$368,G663,FALSE)</f>
        <v>3.2727192045008802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319</v>
      </c>
      <c r="H664" s="97">
        <f t="shared" ca="1" si="109"/>
        <v>45975</v>
      </c>
      <c r="I664" s="121">
        <f ca="1">HLOOKUP($H$4,'Met Data'!$A$2:$F$368,G664,FALSE)</f>
        <v>12.591666666666599</v>
      </c>
      <c r="J664" s="119">
        <f ca="1">HLOOKUP($H$4,'Met Data'!$H$2:$M$368,G664,FALSE)*L664</f>
        <v>1.25</v>
      </c>
      <c r="K664" s="98">
        <f ca="1">HLOOKUP($H$4,'Met Data'!$O$2:$T$368,G664,FALSE)</f>
        <v>3.2542764283054399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320</v>
      </c>
      <c r="H665" s="97">
        <f t="shared" ca="1" si="109"/>
        <v>45976</v>
      </c>
      <c r="I665" s="121">
        <f ca="1">HLOOKUP($H$4,'Met Data'!$A$2:$F$368,G665,FALSE)</f>
        <v>13.462499999999901</v>
      </c>
      <c r="J665" s="119">
        <f ca="1">HLOOKUP($H$4,'Met Data'!$H$2:$M$368,G665,FALSE)*L665</f>
        <v>2.0666666666666602</v>
      </c>
      <c r="K665" s="98">
        <f ca="1">HLOOKUP($H$4,'Met Data'!$O$2:$T$368,G665,FALSE)</f>
        <v>3.39036465144653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321</v>
      </c>
      <c r="H666" s="97">
        <f t="shared" ca="1" si="109"/>
        <v>45977</v>
      </c>
      <c r="I666" s="121">
        <f ca="1">HLOOKUP($H$4,'Met Data'!$A$2:$F$368,G666,FALSE)</f>
        <v>14.7458333333333</v>
      </c>
      <c r="J666" s="119">
        <f ca="1">HLOOKUP($H$4,'Met Data'!$H$2:$M$368,G666,FALSE)*L666</f>
        <v>5.2166666666666597</v>
      </c>
      <c r="K666" s="98">
        <f ca="1">HLOOKUP($H$4,'Met Data'!$O$2:$T$368,G666,FALSE)</f>
        <v>3.3940384004400501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322</v>
      </c>
      <c r="H667" s="97">
        <f t="shared" ca="1" si="109"/>
        <v>45978</v>
      </c>
      <c r="I667" s="121">
        <f ca="1">HLOOKUP($H$4,'Met Data'!$A$2:$F$368,G667,FALSE)</f>
        <v>14.945833333333301</v>
      </c>
      <c r="J667" s="119">
        <f ca="1">HLOOKUP($H$4,'Met Data'!$H$2:$M$368,G667,FALSE)*L667</f>
        <v>5.3333333333333304</v>
      </c>
      <c r="K667" s="98">
        <f ca="1">HLOOKUP($H$4,'Met Data'!$O$2:$T$368,G667,FALSE)</f>
        <v>2.86263659321907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323</v>
      </c>
      <c r="H668" s="97">
        <f t="shared" ca="1" si="109"/>
        <v>45979</v>
      </c>
      <c r="I668" s="121">
        <f ca="1">HLOOKUP($H$4,'Met Data'!$A$2:$F$368,G668,FALSE)</f>
        <v>14.45</v>
      </c>
      <c r="J668" s="119">
        <f ca="1">HLOOKUP($H$4,'Met Data'!$H$2:$M$368,G668,FALSE)*L668</f>
        <v>6.0833333333333304</v>
      </c>
      <c r="K668" s="98">
        <f ca="1">HLOOKUP($H$4,'Met Data'!$O$2:$T$368,G668,FALSE)</f>
        <v>3.2654882571522399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324</v>
      </c>
      <c r="H669" s="97">
        <f t="shared" ca="1" si="109"/>
        <v>45980</v>
      </c>
      <c r="I669" s="121">
        <f ca="1">HLOOKUP($H$4,'Met Data'!$A$2:$F$368,G669,FALSE)</f>
        <v>13.941666666666601</v>
      </c>
      <c r="J669" s="119">
        <f ca="1">HLOOKUP($H$4,'Met Data'!$H$2:$M$368,G669,FALSE)*L669</f>
        <v>0.98333333333333295</v>
      </c>
      <c r="K669" s="98">
        <f ca="1">HLOOKUP($H$4,'Met Data'!$O$2:$T$368,G669,FALSE)</f>
        <v>3.5976260978488002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325</v>
      </c>
      <c r="H670" s="97">
        <f t="shared" ca="1" si="109"/>
        <v>45981</v>
      </c>
      <c r="I670" s="121">
        <f ca="1">HLOOKUP($H$4,'Met Data'!$A$2:$F$368,G670,FALSE)</f>
        <v>14.1208333333333</v>
      </c>
      <c r="J670" s="119">
        <f ca="1">HLOOKUP($H$4,'Met Data'!$H$2:$M$368,G670,FALSE)*L670</f>
        <v>2.36666666666666</v>
      </c>
      <c r="K670" s="98">
        <f ca="1">HLOOKUP($H$4,'Met Data'!$O$2:$T$368,G670,FALSE)</f>
        <v>3.2574752266568199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326</v>
      </c>
      <c r="H671" s="97">
        <f t="shared" ca="1" si="109"/>
        <v>45982</v>
      </c>
      <c r="I671" s="121">
        <f ca="1">HLOOKUP($H$4,'Met Data'!$A$2:$F$368,G671,FALSE)</f>
        <v>14.2</v>
      </c>
      <c r="J671" s="119">
        <f ca="1">HLOOKUP($H$4,'Met Data'!$H$2:$M$368,G671,FALSE)*L671</f>
        <v>1.4166666666666601</v>
      </c>
      <c r="K671" s="98">
        <f ca="1">HLOOKUP($H$4,'Met Data'!$O$2:$T$368,G671,FALSE)</f>
        <v>3.2248407363783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327</v>
      </c>
      <c r="H672" s="97">
        <f t="shared" ca="1" si="109"/>
        <v>45983</v>
      </c>
      <c r="I672" s="121">
        <f ca="1">HLOOKUP($H$4,'Met Data'!$A$2:$F$368,G672,FALSE)</f>
        <v>14.2916666666666</v>
      </c>
      <c r="J672" s="119">
        <f ca="1">HLOOKUP($H$4,'Met Data'!$H$2:$M$368,G672,FALSE)*L672</f>
        <v>1.2333333333333301</v>
      </c>
      <c r="K672" s="98">
        <f ca="1">HLOOKUP($H$4,'Met Data'!$O$2:$T$368,G672,FALSE)</f>
        <v>3.2303061956604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328</v>
      </c>
      <c r="H673" s="97">
        <f t="shared" ca="1" si="109"/>
        <v>45984</v>
      </c>
      <c r="I673" s="121">
        <f ca="1">HLOOKUP($H$4,'Met Data'!$A$2:$F$368,G673,FALSE)</f>
        <v>14.8666666666666</v>
      </c>
      <c r="J673" s="119">
        <f ca="1">HLOOKUP($H$4,'Met Data'!$H$2:$M$368,G673,FALSE)*L673</f>
        <v>0.21666666666666601</v>
      </c>
      <c r="K673" s="98">
        <f ca="1">HLOOKUP($H$4,'Met Data'!$O$2:$T$368,G673,FALSE)</f>
        <v>3.8851743269165699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329</v>
      </c>
      <c r="H674" s="97">
        <f t="shared" ca="1" si="109"/>
        <v>45985</v>
      </c>
      <c r="I674" s="121">
        <f ca="1">HLOOKUP($H$4,'Met Data'!$A$2:$F$368,G674,FALSE)</f>
        <v>14.875</v>
      </c>
      <c r="J674" s="119">
        <f ca="1">HLOOKUP($H$4,'Met Data'!$H$2:$M$368,G674,FALSE)*L674</f>
        <v>1.8333333333333299</v>
      </c>
      <c r="K674" s="98">
        <f ca="1">HLOOKUP($H$4,'Met Data'!$O$2:$T$368,G674,FALSE)</f>
        <v>3.3424019609463702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330</v>
      </c>
      <c r="H675" s="97">
        <f t="shared" ca="1" si="109"/>
        <v>45986</v>
      </c>
      <c r="I675" s="121">
        <f ca="1">HLOOKUP($H$4,'Met Data'!$A$2:$F$368,G675,FALSE)</f>
        <v>15.8125</v>
      </c>
      <c r="J675" s="119">
        <f ca="1">HLOOKUP($H$4,'Met Data'!$H$2:$M$368,G675,FALSE)*L675</f>
        <v>2.0166666666666599</v>
      </c>
      <c r="K675" s="98">
        <f ca="1">HLOOKUP($H$4,'Met Data'!$O$2:$T$368,G675,FALSE)</f>
        <v>3.2688322627941302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331</v>
      </c>
      <c r="H676" s="97">
        <f t="shared" ca="1" si="109"/>
        <v>45987</v>
      </c>
      <c r="I676" s="121">
        <f ca="1">HLOOKUP($H$4,'Met Data'!$A$2:$F$368,G676,FALSE)</f>
        <v>15.945833333333301</v>
      </c>
      <c r="J676" s="119">
        <f ca="1">HLOOKUP($H$4,'Met Data'!$H$2:$M$368,G676,FALSE)*L676</f>
        <v>5.8833333333333302</v>
      </c>
      <c r="K676" s="98">
        <f ca="1">HLOOKUP($H$4,'Met Data'!$O$2:$T$368,G676,FALSE)</f>
        <v>3.26798762006384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332</v>
      </c>
      <c r="H677" s="97">
        <f t="shared" ca="1" si="109"/>
        <v>45988</v>
      </c>
      <c r="I677" s="121">
        <f ca="1">HLOOKUP($H$4,'Met Data'!$A$2:$F$368,G677,FALSE)</f>
        <v>16.279166666666601</v>
      </c>
      <c r="J677" s="119">
        <f ca="1">HLOOKUP($H$4,'Met Data'!$H$2:$M$368,G677,FALSE)*L677</f>
        <v>1.4833333333333301</v>
      </c>
      <c r="K677" s="98">
        <f ca="1">HLOOKUP($H$4,'Met Data'!$O$2:$T$368,G677,FALSE)</f>
        <v>3.19082213890132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333</v>
      </c>
      <c r="H678" s="97">
        <f t="shared" ca="1" si="109"/>
        <v>45989</v>
      </c>
      <c r="I678" s="121">
        <f ca="1">HLOOKUP($H$4,'Met Data'!$A$2:$F$368,G678,FALSE)</f>
        <v>16.070833333333301</v>
      </c>
      <c r="J678" s="119">
        <f ca="1">HLOOKUP($H$4,'Met Data'!$H$2:$M$368,G678,FALSE)*L678</f>
        <v>7.43333333333333</v>
      </c>
      <c r="K678" s="98">
        <f ca="1">HLOOKUP($H$4,'Met Data'!$O$2:$T$368,G678,FALSE)</f>
        <v>3.00999975823754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334</v>
      </c>
      <c r="H679" s="97">
        <f t="shared" ca="1" si="109"/>
        <v>45990</v>
      </c>
      <c r="I679" s="121">
        <f ca="1">HLOOKUP($H$4,'Met Data'!$A$2:$F$368,G679,FALSE)</f>
        <v>15.033333333333299</v>
      </c>
      <c r="J679" s="119">
        <f ca="1">HLOOKUP($H$4,'Met Data'!$H$2:$M$368,G679,FALSE)*L679</f>
        <v>0.66666666666666596</v>
      </c>
      <c r="K679" s="98">
        <f ca="1">HLOOKUP($H$4,'Met Data'!$O$2:$T$368,G679,FALSE)</f>
        <v>4.1701433642644803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335</v>
      </c>
      <c r="H680" s="97">
        <f t="shared" ca="1" si="109"/>
        <v>45991</v>
      </c>
      <c r="I680" s="121">
        <f ca="1">HLOOKUP($H$4,'Met Data'!$A$2:$F$368,G680,FALSE)</f>
        <v>16.1166666666666</v>
      </c>
      <c r="J680" s="119">
        <f ca="1">HLOOKUP($H$4,'Met Data'!$H$2:$M$368,G680,FALSE)*L680</f>
        <v>5.2333333333333298</v>
      </c>
      <c r="K680" s="98">
        <f ca="1">HLOOKUP($H$4,'Met Data'!$O$2:$T$368,G680,FALSE)</f>
        <v>3.7664149911337801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336</v>
      </c>
      <c r="H681" s="97">
        <f t="shared" ca="1" si="109"/>
        <v>45992</v>
      </c>
      <c r="I681" s="121">
        <f ca="1">HLOOKUP($H$4,'Met Data'!$A$2:$F$368,G681,FALSE)</f>
        <v>15.887499999999999</v>
      </c>
      <c r="J681" s="119">
        <f ca="1">HLOOKUP($H$4,'Met Data'!$H$2:$M$368,G681,FALSE)*L681</f>
        <v>6.75</v>
      </c>
      <c r="K681" s="98">
        <f ca="1">HLOOKUP($H$4,'Met Data'!$O$2:$T$368,G681,FALSE)</f>
        <v>3.2490041935251899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337</v>
      </c>
      <c r="H682" s="97">
        <f t="shared" ca="1" si="109"/>
        <v>45993</v>
      </c>
      <c r="I682" s="121">
        <f ca="1">HLOOKUP($H$4,'Met Data'!$A$2:$F$368,G682,FALSE)</f>
        <v>16.1458333333333</v>
      </c>
      <c r="J682" s="119">
        <f ca="1">HLOOKUP($H$4,'Met Data'!$H$2:$M$368,G682,FALSE)*L682</f>
        <v>1.0833333333333299</v>
      </c>
      <c r="K682" s="98">
        <f ca="1">HLOOKUP($H$4,'Met Data'!$O$2:$T$368,G682,FALSE)</f>
        <v>3.8649058322152201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338</v>
      </c>
      <c r="H683" s="97">
        <f t="shared" ca="1" si="109"/>
        <v>45994</v>
      </c>
      <c r="I683" s="121">
        <f ca="1">HLOOKUP($H$4,'Met Data'!$A$2:$F$368,G683,FALSE)</f>
        <v>16.0625</v>
      </c>
      <c r="J683" s="119">
        <f ca="1">HLOOKUP($H$4,'Met Data'!$H$2:$M$368,G683,FALSE)*L683</f>
        <v>2.2666666666666599</v>
      </c>
      <c r="K683" s="98">
        <f ca="1">HLOOKUP($H$4,'Met Data'!$O$2:$T$368,G683,FALSE)</f>
        <v>3.3633315244434101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339</v>
      </c>
      <c r="H684" s="97">
        <f t="shared" ca="1" si="109"/>
        <v>45995</v>
      </c>
      <c r="I684" s="121">
        <f ca="1">HLOOKUP($H$4,'Met Data'!$A$2:$F$368,G684,FALSE)</f>
        <v>16.591666666666601</v>
      </c>
      <c r="J684" s="119">
        <f ca="1">HLOOKUP($H$4,'Met Data'!$H$2:$M$368,G684,FALSE)*L684</f>
        <v>3.0333333333333301</v>
      </c>
      <c r="K684" s="98">
        <f ca="1">HLOOKUP($H$4,'Met Data'!$O$2:$T$368,G684,FALSE)</f>
        <v>3.8332290024095501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340</v>
      </c>
      <c r="H685" s="97">
        <f t="shared" ca="1" si="109"/>
        <v>45996</v>
      </c>
      <c r="I685" s="121">
        <f ca="1">HLOOKUP($H$4,'Met Data'!$A$2:$F$368,G685,FALSE)</f>
        <v>16.441666666666599</v>
      </c>
      <c r="J685" s="119">
        <f ca="1">HLOOKUP($H$4,'Met Data'!$H$2:$M$368,G685,FALSE)*L685</f>
        <v>1.0833333333333299</v>
      </c>
      <c r="K685" s="98">
        <f ca="1">HLOOKUP($H$4,'Met Data'!$O$2:$T$368,G685,FALSE)</f>
        <v>3.3753600087216298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341</v>
      </c>
      <c r="H686" s="97">
        <f t="shared" ca="1" si="109"/>
        <v>45997</v>
      </c>
      <c r="I686" s="121">
        <f ca="1">HLOOKUP($H$4,'Met Data'!$A$2:$F$368,G686,FALSE)</f>
        <v>16.454166666666602</v>
      </c>
      <c r="J686" s="119">
        <f ca="1">HLOOKUP($H$4,'Met Data'!$H$2:$M$368,G686,FALSE)*L686</f>
        <v>2.61666666666666</v>
      </c>
      <c r="K686" s="98">
        <f ca="1">HLOOKUP($H$4,'Met Data'!$O$2:$T$368,G686,FALSE)</f>
        <v>2.8811659068389401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342</v>
      </c>
      <c r="H687" s="97">
        <f t="shared" ca="1" si="109"/>
        <v>45998</v>
      </c>
      <c r="I687" s="121">
        <f ca="1">HLOOKUP($H$4,'Met Data'!$A$2:$F$368,G687,FALSE)</f>
        <v>15.879166666666601</v>
      </c>
      <c r="J687" s="119">
        <f ca="1">HLOOKUP($H$4,'Met Data'!$H$2:$M$368,G687,FALSE)*L687</f>
        <v>3.1</v>
      </c>
      <c r="K687" s="98">
        <f ca="1">HLOOKUP($H$4,'Met Data'!$O$2:$T$368,G687,FALSE)</f>
        <v>3.4185168625157498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ref="G688:G751" ca="1" si="110">H688-DATE(YEAR(H688),1,0)+1</f>
        <v>343</v>
      </c>
      <c r="H688" s="97">
        <f t="shared" ca="1" si="109"/>
        <v>45999</v>
      </c>
      <c r="I688" s="121">
        <f ca="1">HLOOKUP($H$4,'Met Data'!$A$2:$F$368,G688,FALSE)</f>
        <v>15.259090909090901</v>
      </c>
      <c r="J688" s="119">
        <f ca="1">HLOOKUP($H$4,'Met Data'!$H$2:$M$368,G688,FALSE)*L688</f>
        <v>6.1090909090908996</v>
      </c>
      <c r="K688" s="98">
        <f ca="1">HLOOKUP($H$4,'Met Data'!$O$2:$T$368,G688,FALSE)</f>
        <v>2.9122766026990501</v>
      </c>
      <c r="L688">
        <f t="shared" ca="1" si="108"/>
        <v>1</v>
      </c>
      <c r="N688" t="e">
        <f t="shared" ref="N688:N751" ca="1" si="111">IF(P688&lt;$P$3,TRUE,FALSE)</f>
        <v>#N/A</v>
      </c>
      <c r="O688" t="e">
        <f t="shared" ref="O688:O751" ca="1" si="112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3">IFERROR(P688,$AD$4)</f>
        <v>0</v>
      </c>
      <c r="AE688">
        <f t="shared" ref="AE688:AE751" ca="1" si="114">IFERROR(U688,0)</f>
        <v>0</v>
      </c>
      <c r="AG688" s="63" t="e">
        <f t="shared" ref="AG688:AG751" ca="1" si="115">Q687+S688+T688+U688</f>
        <v>#N/A</v>
      </c>
      <c r="AH688" s="63" t="e">
        <f t="shared" ref="AH688:AH751" ca="1" si="116">Q688+R688+X688</f>
        <v>#N/A</v>
      </c>
      <c r="AI688" s="3" t="e">
        <f t="shared" ref="AI688:AI751" ca="1" si="117">AH688-AG688</f>
        <v>#N/A</v>
      </c>
    </row>
    <row r="689" spans="7:35" ht="15.75" thickBot="1">
      <c r="G689" s="3">
        <f t="shared" ca="1" si="110"/>
        <v>344</v>
      </c>
      <c r="H689" s="97">
        <f t="shared" ca="1" si="109"/>
        <v>46000</v>
      </c>
      <c r="I689" s="121">
        <f ca="1">HLOOKUP($H$4,'Met Data'!$A$2:$F$368,G689,FALSE)</f>
        <v>15.9125</v>
      </c>
      <c r="J689" s="119">
        <f ca="1">HLOOKUP($H$4,'Met Data'!$H$2:$M$368,G689,FALSE)*L689</f>
        <v>1.7833333333333301</v>
      </c>
      <c r="K689" s="98">
        <f ca="1">HLOOKUP($H$4,'Met Data'!$O$2:$T$368,G689,FALSE)</f>
        <v>3.7124167377990198</v>
      </c>
      <c r="L689">
        <f t="shared" ca="1" si="108"/>
        <v>1</v>
      </c>
      <c r="N689" t="e">
        <f t="shared" ca="1" si="111"/>
        <v>#N/A</v>
      </c>
      <c r="O689" t="e">
        <f t="shared" ca="1" si="112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3"/>
        <v>0</v>
      </c>
      <c r="AE689">
        <f t="shared" ca="1" si="114"/>
        <v>0</v>
      </c>
      <c r="AG689" s="63" t="e">
        <f t="shared" ca="1" si="115"/>
        <v>#N/A</v>
      </c>
      <c r="AH689" s="63" t="e">
        <f t="shared" ca="1" si="116"/>
        <v>#N/A</v>
      </c>
      <c r="AI689" s="3" t="e">
        <f t="shared" ca="1" si="117"/>
        <v>#N/A</v>
      </c>
    </row>
    <row r="690" spans="7:35" ht="15.75" thickBot="1">
      <c r="G690" s="3">
        <f t="shared" ca="1" si="110"/>
        <v>345</v>
      </c>
      <c r="H690" s="97">
        <f t="shared" ca="1" si="109"/>
        <v>46001</v>
      </c>
      <c r="I690" s="121">
        <f ca="1">HLOOKUP($H$4,'Met Data'!$A$2:$F$368,G690,FALSE)</f>
        <v>16.720833333333299</v>
      </c>
      <c r="J690" s="119">
        <f ca="1">HLOOKUP($H$4,'Met Data'!$H$2:$M$368,G690,FALSE)*L690</f>
        <v>6.61666666666666</v>
      </c>
      <c r="K690" s="98">
        <f ca="1">HLOOKUP($H$4,'Met Data'!$O$2:$T$368,G690,FALSE)</f>
        <v>3.19412245919293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346</v>
      </c>
      <c r="H691" s="97">
        <f t="shared" ca="1" si="109"/>
        <v>46002</v>
      </c>
      <c r="I691" s="121">
        <f ca="1">HLOOKUP($H$4,'Met Data'!$A$2:$F$368,G691,FALSE)</f>
        <v>17.529166666666601</v>
      </c>
      <c r="J691" s="119">
        <f ca="1">HLOOKUP($H$4,'Met Data'!$H$2:$M$368,G691,FALSE)*L691</f>
        <v>2.0333333333333301</v>
      </c>
      <c r="K691" s="98">
        <f ca="1">HLOOKUP($H$4,'Met Data'!$O$2:$T$368,G691,FALSE)</f>
        <v>3.0664285414958901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347</v>
      </c>
      <c r="H692" s="97">
        <f t="shared" ca="1" si="109"/>
        <v>46003</v>
      </c>
      <c r="I692" s="121">
        <f ca="1">HLOOKUP($H$4,'Met Data'!$A$2:$F$368,G692,FALSE)</f>
        <v>17.004166666666599</v>
      </c>
      <c r="J692" s="119">
        <f ca="1">HLOOKUP($H$4,'Met Data'!$H$2:$M$368,G692,FALSE)*L692</f>
        <v>2.4666666666666601</v>
      </c>
      <c r="K692" s="98">
        <f ca="1">HLOOKUP($H$4,'Met Data'!$O$2:$T$368,G692,FALSE)</f>
        <v>3.6044975025694099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348</v>
      </c>
      <c r="H693" s="97">
        <f t="shared" ca="1" si="109"/>
        <v>46004</v>
      </c>
      <c r="I693" s="121">
        <f ca="1">HLOOKUP($H$4,'Met Data'!$A$2:$F$368,G693,FALSE)</f>
        <v>16.883333333333301</v>
      </c>
      <c r="J693" s="119">
        <f ca="1">HLOOKUP($H$4,'Met Data'!$H$2:$M$368,G693,FALSE)*L693</f>
        <v>1.7333333333333301</v>
      </c>
      <c r="K693" s="98">
        <f ca="1">HLOOKUP($H$4,'Met Data'!$O$2:$T$368,G693,FALSE)</f>
        <v>4.1436131117359496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349</v>
      </c>
      <c r="H694" s="97">
        <f t="shared" ca="1" si="109"/>
        <v>46005</v>
      </c>
      <c r="I694" s="121">
        <f ca="1">HLOOKUP($H$4,'Met Data'!$A$2:$F$368,G694,FALSE)</f>
        <v>16.191666666666599</v>
      </c>
      <c r="J694" s="119">
        <f ca="1">HLOOKUP($H$4,'Met Data'!$H$2:$M$368,G694,FALSE)*L694</f>
        <v>1.5333333333333301</v>
      </c>
      <c r="K694" s="98">
        <f ca="1">HLOOKUP($H$4,'Met Data'!$O$2:$T$368,G694,FALSE)</f>
        <v>3.8138486605430502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350</v>
      </c>
      <c r="H695" s="97">
        <f t="shared" ca="1" si="109"/>
        <v>46006</v>
      </c>
      <c r="I695" s="121">
        <f ca="1">HLOOKUP($H$4,'Met Data'!$A$2:$F$368,G695,FALSE)</f>
        <v>15.754166666666601</v>
      </c>
      <c r="J695" s="119">
        <f ca="1">HLOOKUP($H$4,'Met Data'!$H$2:$M$368,G695,FALSE)*L695</f>
        <v>4.9166666666666599</v>
      </c>
      <c r="K695" s="98">
        <f ca="1">HLOOKUP($H$4,'Met Data'!$O$2:$T$368,G695,FALSE)</f>
        <v>4.2245531095694204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351</v>
      </c>
      <c r="H696" s="97">
        <f t="shared" ca="1" si="109"/>
        <v>46007</v>
      </c>
      <c r="I696" s="121">
        <f ca="1">HLOOKUP($H$4,'Met Data'!$A$2:$F$368,G696,FALSE)</f>
        <v>16.766666666666602</v>
      </c>
      <c r="J696" s="119">
        <f ca="1">HLOOKUP($H$4,'Met Data'!$H$2:$M$368,G696,FALSE)*L696</f>
        <v>1.5999999999999901</v>
      </c>
      <c r="K696" s="98">
        <f ca="1">HLOOKUP($H$4,'Met Data'!$O$2:$T$368,G696,FALSE)</f>
        <v>4.0567025040665996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352</v>
      </c>
      <c r="H697" s="97">
        <f t="shared" ca="1" si="109"/>
        <v>46008</v>
      </c>
      <c r="I697" s="121">
        <f ca="1">HLOOKUP($H$4,'Met Data'!$A$2:$F$368,G697,FALSE)</f>
        <v>16.766666666666602</v>
      </c>
      <c r="J697" s="119">
        <f ca="1">HLOOKUP($H$4,'Met Data'!$H$2:$M$368,G697,FALSE)*L697</f>
        <v>4.3166666666666602</v>
      </c>
      <c r="K697" s="98">
        <f ca="1">HLOOKUP($H$4,'Met Data'!$O$2:$T$368,G697,FALSE)</f>
        <v>3.8858032497445998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353</v>
      </c>
      <c r="H698" s="97">
        <f t="shared" ca="1" si="109"/>
        <v>46009</v>
      </c>
      <c r="I698" s="121">
        <f ca="1">HLOOKUP($H$4,'Met Data'!$A$2:$F$368,G698,FALSE)</f>
        <v>17.191666666666599</v>
      </c>
      <c r="J698" s="119">
        <f ca="1">HLOOKUP($H$4,'Met Data'!$H$2:$M$368,G698,FALSE)*L698</f>
        <v>1.25</v>
      </c>
      <c r="K698" s="98">
        <f ca="1">HLOOKUP($H$4,'Met Data'!$O$2:$T$368,G698,FALSE)</f>
        <v>3.5439221574521702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354</v>
      </c>
      <c r="H699" s="97">
        <f t="shared" ca="1" si="109"/>
        <v>46010</v>
      </c>
      <c r="I699" s="121">
        <f ca="1">HLOOKUP($H$4,'Met Data'!$A$2:$F$368,G699,FALSE)</f>
        <v>16.725000000000001</v>
      </c>
      <c r="J699" s="119">
        <f ca="1">HLOOKUP($H$4,'Met Data'!$H$2:$M$368,G699,FALSE)*L699</f>
        <v>6.43333333333333</v>
      </c>
      <c r="K699" s="98">
        <f ca="1">HLOOKUP($H$4,'Met Data'!$O$2:$T$368,G699,FALSE)</f>
        <v>2.7226403112081199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355</v>
      </c>
      <c r="H700" s="97">
        <f t="shared" ca="1" si="109"/>
        <v>46011</v>
      </c>
      <c r="I700" s="121">
        <f ca="1">HLOOKUP($H$4,'Met Data'!$A$2:$F$368,G700,FALSE)</f>
        <v>15.9625</v>
      </c>
      <c r="J700" s="119">
        <f ca="1">HLOOKUP($H$4,'Met Data'!$H$2:$M$368,G700,FALSE)*L700</f>
        <v>4.3333333333333304</v>
      </c>
      <c r="K700" s="98">
        <f ca="1">HLOOKUP($H$4,'Met Data'!$O$2:$T$368,G700,FALSE)</f>
        <v>3.7253118866284498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356</v>
      </c>
      <c r="H701" s="97">
        <f t="shared" ca="1" si="109"/>
        <v>46012</v>
      </c>
      <c r="I701" s="121">
        <f ca="1">HLOOKUP($H$4,'Met Data'!$A$2:$F$368,G701,FALSE)</f>
        <v>16.074999999999999</v>
      </c>
      <c r="J701" s="119">
        <f ca="1">HLOOKUP($H$4,'Met Data'!$H$2:$M$368,G701,FALSE)*L701</f>
        <v>0.89999999999999902</v>
      </c>
      <c r="K701" s="98">
        <f ca="1">HLOOKUP($H$4,'Met Data'!$O$2:$T$368,G701,FALSE)</f>
        <v>3.69045556475041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357</v>
      </c>
      <c r="H702" s="97">
        <f t="shared" ca="1" si="109"/>
        <v>46013</v>
      </c>
      <c r="I702" s="121">
        <f ca="1">HLOOKUP($H$4,'Met Data'!$A$2:$F$368,G702,FALSE)</f>
        <v>16.1458333333333</v>
      </c>
      <c r="J702" s="119">
        <f ca="1">HLOOKUP($H$4,'Met Data'!$H$2:$M$368,G702,FALSE)*L702</f>
        <v>0.78333333333333299</v>
      </c>
      <c r="K702" s="98">
        <f ca="1">HLOOKUP($H$4,'Met Data'!$O$2:$T$368,G702,FALSE)</f>
        <v>3.66376320931905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358</v>
      </c>
      <c r="H703" s="97">
        <f t="shared" ca="1" si="109"/>
        <v>46014</v>
      </c>
      <c r="I703" s="121">
        <f ca="1">HLOOKUP($H$4,'Met Data'!$A$2:$F$368,G703,FALSE)</f>
        <v>16.820833333333301</v>
      </c>
      <c r="J703" s="119">
        <f ca="1">HLOOKUP($H$4,'Met Data'!$H$2:$M$368,G703,FALSE)*L703</f>
        <v>1.1666666666666601</v>
      </c>
      <c r="K703" s="98">
        <f ca="1">HLOOKUP($H$4,'Met Data'!$O$2:$T$368,G703,FALSE)</f>
        <v>4.2904592235930501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359</v>
      </c>
      <c r="H704" s="97">
        <f t="shared" ca="1" si="109"/>
        <v>46015</v>
      </c>
      <c r="I704" s="121">
        <f ca="1">HLOOKUP($H$4,'Met Data'!$A$2:$F$368,G704,FALSE)</f>
        <v>16.883333333333301</v>
      </c>
      <c r="J704" s="119">
        <f ca="1">HLOOKUP($H$4,'Met Data'!$H$2:$M$368,G704,FALSE)*L704</f>
        <v>4.1499999999999897</v>
      </c>
      <c r="K704" s="98">
        <f ca="1">HLOOKUP($H$4,'Met Data'!$O$2:$T$368,G704,FALSE)</f>
        <v>3.61274265774352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360</v>
      </c>
      <c r="H705" s="97">
        <f t="shared" ca="1" si="109"/>
        <v>46016</v>
      </c>
      <c r="I705" s="121">
        <f ca="1">HLOOKUP($H$4,'Met Data'!$A$2:$F$368,G705,FALSE)</f>
        <v>17.399999999999999</v>
      </c>
      <c r="J705" s="119">
        <f ca="1">HLOOKUP($H$4,'Met Data'!$H$2:$M$368,G705,FALSE)*L705</f>
        <v>5.0166666666666604</v>
      </c>
      <c r="K705" s="98">
        <f ca="1">HLOOKUP($H$4,'Met Data'!$O$2:$T$368,G705,FALSE)</f>
        <v>4.09028075025509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361</v>
      </c>
      <c r="H706" s="97">
        <f t="shared" ca="1" si="109"/>
        <v>46017</v>
      </c>
      <c r="I706" s="121">
        <f ca="1">HLOOKUP($H$4,'Met Data'!$A$2:$F$368,G706,FALSE)</f>
        <v>17.920833333333299</v>
      </c>
      <c r="J706" s="119">
        <f ca="1">HLOOKUP($H$4,'Met Data'!$H$2:$M$368,G706,FALSE)*L706</f>
        <v>0.56666666666666599</v>
      </c>
      <c r="K706" s="98">
        <f ca="1">HLOOKUP($H$4,'Met Data'!$O$2:$T$368,G706,FALSE)</f>
        <v>4.1244552423616296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362</v>
      </c>
      <c r="H707" s="97">
        <f t="shared" ca="1" si="109"/>
        <v>46018</v>
      </c>
      <c r="I707" s="121">
        <f ca="1">HLOOKUP($H$4,'Met Data'!$A$2:$F$368,G707,FALSE)</f>
        <v>17.537500000000001</v>
      </c>
      <c r="J707" s="119">
        <f ca="1">HLOOKUP($H$4,'Met Data'!$H$2:$M$368,G707,FALSE)*L707</f>
        <v>1.2833333333333301</v>
      </c>
      <c r="K707" s="98">
        <f ca="1">HLOOKUP($H$4,'Met Data'!$O$2:$T$368,G707,FALSE)</f>
        <v>4.3692883234689903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363</v>
      </c>
      <c r="H708" s="97">
        <f t="shared" ca="1" si="109"/>
        <v>46019</v>
      </c>
      <c r="I708" s="121">
        <f ca="1">HLOOKUP($H$4,'Met Data'!$A$2:$F$368,G708,FALSE)</f>
        <v>17.012499999999999</v>
      </c>
      <c r="J708" s="119">
        <f ca="1">HLOOKUP($H$4,'Met Data'!$H$2:$M$368,G708,FALSE)*L708</f>
        <v>1.5833333333333299</v>
      </c>
      <c r="K708" s="98">
        <f ca="1">HLOOKUP($H$4,'Met Data'!$O$2:$T$368,G708,FALSE)</f>
        <v>3.8686759650684999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364</v>
      </c>
      <c r="H709" s="97">
        <f t="shared" ca="1" si="109"/>
        <v>46020</v>
      </c>
      <c r="I709" s="121">
        <f ca="1">HLOOKUP($H$4,'Met Data'!$A$2:$F$368,G709,FALSE)</f>
        <v>17.1041666666666</v>
      </c>
      <c r="J709" s="119">
        <f ca="1">HLOOKUP($H$4,'Met Data'!$H$2:$M$368,G709,FALSE)*L709</f>
        <v>4.2833333333333297</v>
      </c>
      <c r="K709" s="98">
        <f ca="1">HLOOKUP($H$4,'Met Data'!$O$2:$T$368,G709,FALSE)</f>
        <v>3.65125453231978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365</v>
      </c>
      <c r="H710" s="97">
        <f t="shared" ca="1" si="109"/>
        <v>46021</v>
      </c>
      <c r="I710" s="121">
        <f ca="1">HLOOKUP($H$4,'Met Data'!$A$2:$F$368,G710,FALSE)</f>
        <v>17.0541666666666</v>
      </c>
      <c r="J710" s="119">
        <f ca="1">HLOOKUP($H$4,'Met Data'!$H$2:$M$368,G710,FALSE)*L710</f>
        <v>3.68333333333333</v>
      </c>
      <c r="K710" s="98">
        <f ca="1">HLOOKUP($H$4,'Met Data'!$O$2:$T$368,G710,FALSE)</f>
        <v>3.3111049356888498</v>
      </c>
      <c r="L710">
        <f t="shared" ref="L710:L773" ca="1" si="118">IF(H710&lt;$B$31,$J$3,$J$4)</f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366</v>
      </c>
      <c r="H711" s="97">
        <f t="shared" ca="1" si="109"/>
        <v>46022</v>
      </c>
      <c r="I711" s="121">
        <f ca="1">HLOOKUP($H$4,'Met Data'!$A$2:$F$368,G711,FALSE)</f>
        <v>16.6875</v>
      </c>
      <c r="J711" s="119">
        <f ca="1">HLOOKUP($H$4,'Met Data'!$H$2:$M$368,G711,FALSE)*L711</f>
        <v>4.68333333333333</v>
      </c>
      <c r="K711" s="98">
        <f ca="1">HLOOKUP($H$4,'Met Data'!$O$2:$T$368,G711,FALSE)</f>
        <v>3.7095349810249001</v>
      </c>
      <c r="L711">
        <f t="shared" ca="1" si="118"/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2</v>
      </c>
      <c r="H712" s="97">
        <f t="shared" ref="H712:H775" ca="1" si="119">H711+1</f>
        <v>46023</v>
      </c>
      <c r="I712" s="121">
        <f ca="1">HLOOKUP($H$4,'Met Data'!$A$2:$F$368,G712,FALSE)</f>
        <v>17.908333333333299</v>
      </c>
      <c r="J712" s="119">
        <f ca="1">HLOOKUP($H$4,'Met Data'!$H$2:$M$368,G712,FALSE)*L712</f>
        <v>2.5499999999999998</v>
      </c>
      <c r="K712" s="98">
        <f ca="1">HLOOKUP($H$4,'Met Data'!$O$2:$T$368,G712,FALSE)</f>
        <v>3.6545263506553698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3</v>
      </c>
      <c r="H713" s="97">
        <f t="shared" ca="1" si="119"/>
        <v>46024</v>
      </c>
      <c r="I713" s="121">
        <f ca="1">HLOOKUP($H$4,'Met Data'!$A$2:$F$368,G713,FALSE)</f>
        <v>18.454166666666602</v>
      </c>
      <c r="J713" s="119">
        <f ca="1">HLOOKUP($H$4,'Met Data'!$H$2:$M$368,G713,FALSE)*L713</f>
        <v>2.3166666666666602</v>
      </c>
      <c r="K713" s="98">
        <f ca="1">HLOOKUP($H$4,'Met Data'!$O$2:$T$368,G713,FALSE)</f>
        <v>3.0374578661788201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4</v>
      </c>
      <c r="H714" s="97">
        <f t="shared" ca="1" si="119"/>
        <v>46025</v>
      </c>
      <c r="I714" s="121">
        <f ca="1">HLOOKUP($H$4,'Met Data'!$A$2:$F$368,G714,FALSE)</f>
        <v>18.4916666666666</v>
      </c>
      <c r="J714" s="119">
        <f ca="1">HLOOKUP($H$4,'Met Data'!$H$2:$M$368,G714,FALSE)*L714</f>
        <v>6.6333333333333302</v>
      </c>
      <c r="K714" s="98">
        <f ca="1">HLOOKUP($H$4,'Met Data'!$O$2:$T$368,G714,FALSE)</f>
        <v>3.5424660833564698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5</v>
      </c>
      <c r="H715" s="97">
        <f t="shared" ca="1" si="119"/>
        <v>46026</v>
      </c>
      <c r="I715" s="121">
        <f ca="1">HLOOKUP($H$4,'Met Data'!$A$2:$F$368,G715,FALSE)</f>
        <v>17</v>
      </c>
      <c r="J715" s="119">
        <f ca="1">HLOOKUP($H$4,'Met Data'!$H$2:$M$368,G715,FALSE)*L715</f>
        <v>1.93333333333333</v>
      </c>
      <c r="K715" s="98">
        <f ca="1">HLOOKUP($H$4,'Met Data'!$O$2:$T$368,G715,FALSE)</f>
        <v>4.6893309655458602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6</v>
      </c>
      <c r="H716" s="97">
        <f t="shared" ca="1" si="119"/>
        <v>46027</v>
      </c>
      <c r="I716" s="121">
        <f ca="1">HLOOKUP($H$4,'Met Data'!$A$2:$F$368,G716,FALSE)</f>
        <v>16.4166666666666</v>
      </c>
      <c r="J716" s="119">
        <f ca="1">HLOOKUP($H$4,'Met Data'!$H$2:$M$368,G716,FALSE)*L716</f>
        <v>2.9833333333333298</v>
      </c>
      <c r="K716" s="98">
        <f ca="1">HLOOKUP($H$4,'Met Data'!$O$2:$T$368,G716,FALSE)</f>
        <v>4.0957861961112103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7</v>
      </c>
      <c r="H717" s="97">
        <f t="shared" ca="1" si="119"/>
        <v>46028</v>
      </c>
      <c r="I717" s="121">
        <f ca="1">HLOOKUP($H$4,'Met Data'!$A$2:$F$368,G717,FALSE)</f>
        <v>17.629166666666599</v>
      </c>
      <c r="J717" s="119">
        <f ca="1">HLOOKUP($H$4,'Met Data'!$H$2:$M$368,G717,FALSE)*L717</f>
        <v>0.43333333333333302</v>
      </c>
      <c r="K717" s="98">
        <f ca="1">HLOOKUP($H$4,'Met Data'!$O$2:$T$368,G717,FALSE)</f>
        <v>4.0765351917680999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8</v>
      </c>
      <c r="H718" s="97">
        <f t="shared" ca="1" si="119"/>
        <v>46029</v>
      </c>
      <c r="I718" s="121">
        <f ca="1">HLOOKUP($H$4,'Met Data'!$A$2:$F$368,G718,FALSE)</f>
        <v>17.004166666666599</v>
      </c>
      <c r="J718" s="119">
        <f ca="1">HLOOKUP($H$4,'Met Data'!$H$2:$M$368,G718,FALSE)*L718</f>
        <v>2.7833333333333301</v>
      </c>
      <c r="K718" s="98">
        <f ca="1">HLOOKUP($H$4,'Met Data'!$O$2:$T$368,G718,FALSE)</f>
        <v>3.5869881049730998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9</v>
      </c>
      <c r="H719" s="97">
        <f t="shared" ca="1" si="119"/>
        <v>46030</v>
      </c>
      <c r="I719" s="121">
        <f ca="1">HLOOKUP($H$4,'Met Data'!$A$2:$F$368,G719,FALSE)</f>
        <v>17.433333333333302</v>
      </c>
      <c r="J719" s="119">
        <f ca="1">HLOOKUP($H$4,'Met Data'!$H$2:$M$368,G719,FALSE)*L719</f>
        <v>2.3833333333333302</v>
      </c>
      <c r="K719" s="98">
        <f ca="1">HLOOKUP($H$4,'Met Data'!$O$2:$T$368,G719,FALSE)</f>
        <v>4.2605807421289903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10</v>
      </c>
      <c r="H720" s="97">
        <f t="shared" ca="1" si="119"/>
        <v>46031</v>
      </c>
      <c r="I720" s="121">
        <f ca="1">HLOOKUP($H$4,'Met Data'!$A$2:$F$368,G720,FALSE)</f>
        <v>17.0208333333333</v>
      </c>
      <c r="J720" s="119">
        <f ca="1">HLOOKUP($H$4,'Met Data'!$H$2:$M$368,G720,FALSE)*L720</f>
        <v>0.3</v>
      </c>
      <c r="K720" s="98">
        <f ca="1">HLOOKUP($H$4,'Met Data'!$O$2:$T$368,G720,FALSE)</f>
        <v>4.14669035003873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11</v>
      </c>
      <c r="H721" s="97">
        <f t="shared" ca="1" si="119"/>
        <v>46032</v>
      </c>
      <c r="I721" s="121">
        <f ca="1">HLOOKUP($H$4,'Met Data'!$A$2:$F$368,G721,FALSE)</f>
        <v>17.6041666666666</v>
      </c>
      <c r="J721" s="119">
        <f ca="1">HLOOKUP($H$4,'Met Data'!$H$2:$M$368,G721,FALSE)*L721</f>
        <v>0.88333333333333297</v>
      </c>
      <c r="K721" s="98">
        <f ca="1">HLOOKUP($H$4,'Met Data'!$O$2:$T$368,G721,FALSE)</f>
        <v>3.4815515936566799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12</v>
      </c>
      <c r="H722" s="97">
        <f t="shared" ca="1" si="119"/>
        <v>46033</v>
      </c>
      <c r="I722" s="121">
        <f ca="1">HLOOKUP($H$4,'Met Data'!$A$2:$F$368,G722,FALSE)</f>
        <v>17.654166666666601</v>
      </c>
      <c r="J722" s="119">
        <f ca="1">HLOOKUP($H$4,'Met Data'!$H$2:$M$368,G722,FALSE)*L722</f>
        <v>0.33333333333333298</v>
      </c>
      <c r="K722" s="98">
        <f ca="1">HLOOKUP($H$4,'Met Data'!$O$2:$T$368,G722,FALSE)</f>
        <v>4.1035718910061201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13</v>
      </c>
      <c r="H723" s="97">
        <f t="shared" ca="1" si="119"/>
        <v>46034</v>
      </c>
      <c r="I723" s="121">
        <f ca="1">HLOOKUP($H$4,'Met Data'!$A$2:$F$368,G723,FALSE)</f>
        <v>18.175000000000001</v>
      </c>
      <c r="J723" s="119">
        <f ca="1">HLOOKUP($H$4,'Met Data'!$H$2:$M$368,G723,FALSE)*L723</f>
        <v>0.96666666666666601</v>
      </c>
      <c r="K723" s="98">
        <f ca="1">HLOOKUP($H$4,'Met Data'!$O$2:$T$368,G723,FALSE)</f>
        <v>3.7942004669494902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14</v>
      </c>
      <c r="H724" s="97">
        <f t="shared" ca="1" si="119"/>
        <v>46035</v>
      </c>
      <c r="I724" s="121">
        <f ca="1">HLOOKUP($H$4,'Met Data'!$A$2:$F$368,G724,FALSE)</f>
        <v>17.883333333333301</v>
      </c>
      <c r="J724" s="119">
        <f ca="1">HLOOKUP($H$4,'Met Data'!$H$2:$M$368,G724,FALSE)*L724</f>
        <v>3.0333333333333301</v>
      </c>
      <c r="K724" s="98">
        <f ca="1">HLOOKUP($H$4,'Met Data'!$O$2:$T$368,G724,FALSE)</f>
        <v>3.9941259720520699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15</v>
      </c>
      <c r="H725" s="97">
        <f t="shared" ca="1" si="119"/>
        <v>46036</v>
      </c>
      <c r="I725" s="121">
        <f ca="1">HLOOKUP($H$4,'Met Data'!$A$2:$F$368,G725,FALSE)</f>
        <v>17.279166666666601</v>
      </c>
      <c r="J725" s="119">
        <f ca="1">HLOOKUP($H$4,'Met Data'!$H$2:$M$368,G725,FALSE)*L725</f>
        <v>2.8833333333333302</v>
      </c>
      <c r="K725" s="98">
        <f ca="1">HLOOKUP($H$4,'Met Data'!$O$2:$T$368,G725,FALSE)</f>
        <v>4.3919546564694203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16</v>
      </c>
      <c r="H726" s="97">
        <f t="shared" ca="1" si="119"/>
        <v>46037</v>
      </c>
      <c r="I726" s="121">
        <f ca="1">HLOOKUP($H$4,'Met Data'!$A$2:$F$368,G726,FALSE)</f>
        <v>17.5208333333333</v>
      </c>
      <c r="J726" s="119">
        <f ca="1">HLOOKUP($H$4,'Met Data'!$H$2:$M$368,G726,FALSE)*L726</f>
        <v>2.5833333333333299</v>
      </c>
      <c r="K726" s="98">
        <f ca="1">HLOOKUP($H$4,'Met Data'!$O$2:$T$368,G726,FALSE)</f>
        <v>4.2128718222508397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17</v>
      </c>
      <c r="H727" s="97">
        <f t="shared" ca="1" si="119"/>
        <v>46038</v>
      </c>
      <c r="I727" s="121">
        <f ca="1">HLOOKUP($H$4,'Met Data'!$A$2:$F$368,G727,FALSE)</f>
        <v>17.970833333333299</v>
      </c>
      <c r="J727" s="119">
        <f ca="1">HLOOKUP($H$4,'Met Data'!$H$2:$M$368,G727,FALSE)*L727</f>
        <v>0.266666666666666</v>
      </c>
      <c r="K727" s="98">
        <f ca="1">HLOOKUP($H$4,'Met Data'!$O$2:$T$368,G727,FALSE)</f>
        <v>4.0252286180437302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18</v>
      </c>
      <c r="H728" s="97">
        <f t="shared" ca="1" si="119"/>
        <v>46039</v>
      </c>
      <c r="I728" s="121">
        <f ca="1">HLOOKUP($H$4,'Met Data'!$A$2:$F$368,G728,FALSE)</f>
        <v>18.2708333333333</v>
      </c>
      <c r="J728" s="119">
        <f ca="1">HLOOKUP($H$4,'Met Data'!$H$2:$M$368,G728,FALSE)*L728</f>
        <v>1.81666666666666</v>
      </c>
      <c r="K728" s="98">
        <f ca="1">HLOOKUP($H$4,'Met Data'!$O$2:$T$368,G728,FALSE)</f>
        <v>4.3125410240098896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19</v>
      </c>
      <c r="H729" s="97">
        <f t="shared" ca="1" si="119"/>
        <v>46040</v>
      </c>
      <c r="I729" s="121">
        <f ca="1">HLOOKUP($H$4,'Met Data'!$A$2:$F$368,G729,FALSE)</f>
        <v>17.954166666666602</v>
      </c>
      <c r="J729" s="119">
        <f ca="1">HLOOKUP($H$4,'Met Data'!$H$2:$M$368,G729,FALSE)*L729</f>
        <v>4.1499999999999897</v>
      </c>
      <c r="K729" s="98">
        <f ca="1">HLOOKUP($H$4,'Met Data'!$O$2:$T$368,G729,FALSE)</f>
        <v>3.9046074195490301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20</v>
      </c>
      <c r="H730" s="97">
        <f t="shared" ca="1" si="119"/>
        <v>46041</v>
      </c>
      <c r="I730" s="121">
        <f ca="1">HLOOKUP($H$4,'Met Data'!$A$2:$F$368,G730,FALSE)</f>
        <v>18.454166666666602</v>
      </c>
      <c r="J730" s="119">
        <f ca="1">HLOOKUP($H$4,'Met Data'!$H$2:$M$368,G730,FALSE)*L730</f>
        <v>2.5166666666666599</v>
      </c>
      <c r="K730" s="98">
        <f ca="1">HLOOKUP($H$4,'Met Data'!$O$2:$T$368,G730,FALSE)</f>
        <v>4.0894627552594898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21</v>
      </c>
      <c r="H731" s="97">
        <f t="shared" ca="1" si="119"/>
        <v>46042</v>
      </c>
      <c r="I731" s="121">
        <f ca="1">HLOOKUP($H$4,'Met Data'!$A$2:$F$368,G731,FALSE)</f>
        <v>18.125</v>
      </c>
      <c r="J731" s="119">
        <f ca="1">HLOOKUP($H$4,'Met Data'!$H$2:$M$368,G731,FALSE)*L731</f>
        <v>3.3333333333333299</v>
      </c>
      <c r="K731" s="98">
        <f ca="1">HLOOKUP($H$4,'Met Data'!$O$2:$T$368,G731,FALSE)</f>
        <v>4.4627747616983804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22</v>
      </c>
      <c r="H732" s="97">
        <f t="shared" ca="1" si="119"/>
        <v>46043</v>
      </c>
      <c r="I732" s="121">
        <f ca="1">HLOOKUP($H$4,'Met Data'!$A$2:$F$368,G732,FALSE)</f>
        <v>17.6791666666666</v>
      </c>
      <c r="J732" s="119">
        <f ca="1">HLOOKUP($H$4,'Met Data'!$H$2:$M$368,G732,FALSE)*L732</f>
        <v>2.4</v>
      </c>
      <c r="K732" s="98">
        <f ca="1">HLOOKUP($H$4,'Met Data'!$O$2:$T$368,G732,FALSE)</f>
        <v>3.8954755691343999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23</v>
      </c>
      <c r="H733" s="97">
        <f t="shared" ca="1" si="119"/>
        <v>46044</v>
      </c>
      <c r="I733" s="121">
        <f ca="1">HLOOKUP($H$4,'Met Data'!$A$2:$F$368,G733,FALSE)</f>
        <v>17.350000000000001</v>
      </c>
      <c r="J733" s="119">
        <f ca="1">HLOOKUP($H$4,'Met Data'!$H$2:$M$368,G733,FALSE)*L733</f>
        <v>2.6333333333333302</v>
      </c>
      <c r="K733" s="98">
        <f ca="1">HLOOKUP($H$4,'Met Data'!$O$2:$T$368,G733,FALSE)</f>
        <v>3.2997711779398098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24</v>
      </c>
      <c r="H734" s="97">
        <f t="shared" ca="1" si="119"/>
        <v>46045</v>
      </c>
      <c r="I734" s="121">
        <f ca="1">HLOOKUP($H$4,'Met Data'!$A$2:$F$368,G734,FALSE)</f>
        <v>17.504166666666599</v>
      </c>
      <c r="J734" s="119">
        <f ca="1">HLOOKUP($H$4,'Met Data'!$H$2:$M$368,G734,FALSE)*L734</f>
        <v>5.5166666666666604</v>
      </c>
      <c r="K734" s="98">
        <f ca="1">HLOOKUP($H$4,'Met Data'!$O$2:$T$368,G734,FALSE)</f>
        <v>3.46570930270954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25</v>
      </c>
      <c r="H735" s="97">
        <f t="shared" ca="1" si="119"/>
        <v>46046</v>
      </c>
      <c r="I735" s="121">
        <f ca="1">HLOOKUP($H$4,'Met Data'!$A$2:$F$368,G735,FALSE)</f>
        <v>17.713636363636301</v>
      </c>
      <c r="J735" s="119">
        <f ca="1">HLOOKUP($H$4,'Met Data'!$H$2:$M$368,G735,FALSE)*L735</f>
        <v>1.3818181818181801</v>
      </c>
      <c r="K735" s="98">
        <f ca="1">HLOOKUP($H$4,'Met Data'!$O$2:$T$368,G735,FALSE)</f>
        <v>4.0186876239346203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26</v>
      </c>
      <c r="H736" s="97">
        <f t="shared" ca="1" si="119"/>
        <v>46047</v>
      </c>
      <c r="I736" s="121">
        <f ca="1">HLOOKUP($H$4,'Met Data'!$A$2:$F$368,G736,FALSE)</f>
        <v>17.8541666666666</v>
      </c>
      <c r="J736" s="119">
        <f ca="1">HLOOKUP($H$4,'Met Data'!$H$2:$M$368,G736,FALSE)*L736</f>
        <v>0.46666666666666601</v>
      </c>
      <c r="K736" s="98">
        <f ca="1">HLOOKUP($H$4,'Met Data'!$O$2:$T$368,G736,FALSE)</f>
        <v>4.1496250953293998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27</v>
      </c>
      <c r="H737" s="97">
        <f t="shared" ca="1" si="119"/>
        <v>46048</v>
      </c>
      <c r="I737" s="121">
        <f ca="1">HLOOKUP($H$4,'Met Data'!$A$2:$F$368,G737,FALSE)</f>
        <v>18.933333333333302</v>
      </c>
      <c r="J737" s="119">
        <f ca="1">HLOOKUP($H$4,'Met Data'!$H$2:$M$368,G737,FALSE)*L737</f>
        <v>1.8</v>
      </c>
      <c r="K737" s="98">
        <f ca="1">HLOOKUP($H$4,'Met Data'!$O$2:$T$368,G737,FALSE)</f>
        <v>4.1034832888531598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28</v>
      </c>
      <c r="H738" s="97">
        <f t="shared" ca="1" si="119"/>
        <v>46049</v>
      </c>
      <c r="I738" s="121">
        <f ca="1">HLOOKUP($H$4,'Met Data'!$A$2:$F$368,G738,FALSE)</f>
        <v>18.524999999999999</v>
      </c>
      <c r="J738" s="119">
        <f ca="1">HLOOKUP($H$4,'Met Data'!$H$2:$M$368,G738,FALSE)*L738</f>
        <v>4.2166666666666597</v>
      </c>
      <c r="K738" s="98">
        <f ca="1">HLOOKUP($H$4,'Met Data'!$O$2:$T$368,G738,FALSE)</f>
        <v>3.2920480795367801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29</v>
      </c>
      <c r="H739" s="97">
        <f t="shared" ca="1" si="119"/>
        <v>46050</v>
      </c>
      <c r="I739" s="121">
        <f ca="1">HLOOKUP($H$4,'Met Data'!$A$2:$F$368,G739,FALSE)</f>
        <v>18.283333333333299</v>
      </c>
      <c r="J739" s="119">
        <f ca="1">HLOOKUP($H$4,'Met Data'!$H$2:$M$368,G739,FALSE)*L739</f>
        <v>0.96666666666666601</v>
      </c>
      <c r="K739" s="98">
        <f ca="1">HLOOKUP($H$4,'Met Data'!$O$2:$T$368,G739,FALSE)</f>
        <v>3.7580315328576899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30</v>
      </c>
      <c r="H740" s="97">
        <f t="shared" ca="1" si="119"/>
        <v>46051</v>
      </c>
      <c r="I740" s="121">
        <f ca="1">HLOOKUP($H$4,'Met Data'!$A$2:$F$368,G740,FALSE)</f>
        <v>18.95</v>
      </c>
      <c r="J740" s="119">
        <f ca="1">HLOOKUP($H$4,'Met Data'!$H$2:$M$368,G740,FALSE)*L740</f>
        <v>0.233333333333333</v>
      </c>
      <c r="K740" s="98">
        <f ca="1">HLOOKUP($H$4,'Met Data'!$O$2:$T$368,G740,FALSE)</f>
        <v>4.4825712398856101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31</v>
      </c>
      <c r="H741" s="97">
        <f t="shared" ca="1" si="119"/>
        <v>46052</v>
      </c>
      <c r="I741" s="121">
        <f ca="1">HLOOKUP($H$4,'Met Data'!$A$2:$F$368,G741,FALSE)</f>
        <v>19.070833333333301</v>
      </c>
      <c r="J741" s="119">
        <f ca="1">HLOOKUP($H$4,'Met Data'!$H$2:$M$368,G741,FALSE)*L741</f>
        <v>1.45</v>
      </c>
      <c r="K741" s="98">
        <f ca="1">HLOOKUP($H$4,'Met Data'!$O$2:$T$368,G741,FALSE)</f>
        <v>4.1485395322845697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32</v>
      </c>
      <c r="H742" s="97">
        <f t="shared" ca="1" si="119"/>
        <v>46053</v>
      </c>
      <c r="I742" s="121">
        <f ca="1">HLOOKUP($H$4,'Met Data'!$A$2:$F$368,G742,FALSE)</f>
        <v>18.716666666666601</v>
      </c>
      <c r="J742" s="119">
        <f ca="1">HLOOKUP($H$4,'Met Data'!$H$2:$M$368,G742,FALSE)*L742</f>
        <v>1.6666666666666601E-2</v>
      </c>
      <c r="K742" s="98">
        <f ca="1">HLOOKUP($H$4,'Met Data'!$O$2:$T$368,G742,FALSE)</f>
        <v>3.9002627778438899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33</v>
      </c>
      <c r="H743" s="97">
        <f t="shared" ca="1" si="119"/>
        <v>46054</v>
      </c>
      <c r="I743" s="121">
        <f ca="1">HLOOKUP($H$4,'Met Data'!$A$2:$F$368,G743,FALSE)</f>
        <v>18.720833333333299</v>
      </c>
      <c r="J743" s="119">
        <f ca="1">HLOOKUP($H$4,'Met Data'!$H$2:$M$368,G743,FALSE)*L743</f>
        <v>5.1333333333333302</v>
      </c>
      <c r="K743" s="98">
        <f ca="1">HLOOKUP($H$4,'Met Data'!$O$2:$T$368,G743,FALSE)</f>
        <v>3.3425533464765702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34</v>
      </c>
      <c r="H744" s="97">
        <f t="shared" ca="1" si="119"/>
        <v>46055</v>
      </c>
      <c r="I744" s="121">
        <f ca="1">HLOOKUP($H$4,'Met Data'!$A$2:$F$368,G744,FALSE)</f>
        <v>18.558333333333302</v>
      </c>
      <c r="J744" s="119">
        <f ca="1">HLOOKUP($H$4,'Met Data'!$H$2:$M$368,G744,FALSE)*L744</f>
        <v>5.1666666666666599</v>
      </c>
      <c r="K744" s="98">
        <f ca="1">HLOOKUP($H$4,'Met Data'!$O$2:$T$368,G744,FALSE)</f>
        <v>3.37031285883524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35</v>
      </c>
      <c r="H745" s="97">
        <f t="shared" ca="1" si="119"/>
        <v>46056</v>
      </c>
      <c r="I745" s="121">
        <f ca="1">HLOOKUP($H$4,'Met Data'!$A$2:$F$368,G745,FALSE)</f>
        <v>18.841666666666601</v>
      </c>
      <c r="J745" s="119">
        <f ca="1">HLOOKUP($H$4,'Met Data'!$H$2:$M$368,G745,FALSE)*L745</f>
        <v>0.483333333333333</v>
      </c>
      <c r="K745" s="98">
        <f ca="1">HLOOKUP($H$4,'Met Data'!$O$2:$T$368,G745,FALSE)</f>
        <v>4.5373745966907704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36</v>
      </c>
      <c r="H746" s="97">
        <f t="shared" ca="1" si="119"/>
        <v>46057</v>
      </c>
      <c r="I746" s="121">
        <f ca="1">HLOOKUP($H$4,'Met Data'!$A$2:$F$368,G746,FALSE)</f>
        <v>18.441666666666599</v>
      </c>
      <c r="J746" s="119">
        <f ca="1">HLOOKUP($H$4,'Met Data'!$H$2:$M$368,G746,FALSE)*L746</f>
        <v>4.8</v>
      </c>
      <c r="K746" s="98">
        <f ca="1">HLOOKUP($H$4,'Met Data'!$O$2:$T$368,G746,FALSE)</f>
        <v>3.5125215918157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37</v>
      </c>
      <c r="H747" s="97">
        <f t="shared" ca="1" si="119"/>
        <v>46058</v>
      </c>
      <c r="I747" s="121">
        <f ca="1">HLOOKUP($H$4,'Met Data'!$A$2:$F$368,G747,FALSE)</f>
        <v>17.975000000000001</v>
      </c>
      <c r="J747" s="119">
        <f ca="1">HLOOKUP($H$4,'Met Data'!$H$2:$M$368,G747,FALSE)*L747</f>
        <v>2.0166666666666599</v>
      </c>
      <c r="K747" s="98">
        <f ca="1">HLOOKUP($H$4,'Met Data'!$O$2:$T$368,G747,FALSE)</f>
        <v>3.7922889429532498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38</v>
      </c>
      <c r="H748" s="97">
        <f t="shared" ca="1" si="119"/>
        <v>46059</v>
      </c>
      <c r="I748" s="121">
        <f ca="1">HLOOKUP($H$4,'Met Data'!$A$2:$F$368,G748,FALSE)</f>
        <v>17.383333333333301</v>
      </c>
      <c r="J748" s="119">
        <f ca="1">HLOOKUP($H$4,'Met Data'!$H$2:$M$368,G748,FALSE)*L748</f>
        <v>0.15</v>
      </c>
      <c r="K748" s="98">
        <f ca="1">HLOOKUP($H$4,'Met Data'!$O$2:$T$368,G748,FALSE)</f>
        <v>3.67022287265541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39</v>
      </c>
      <c r="H749" s="97">
        <f t="shared" ca="1" si="119"/>
        <v>46060</v>
      </c>
      <c r="I749" s="121">
        <f ca="1">HLOOKUP($H$4,'Met Data'!$A$2:$F$368,G749,FALSE)</f>
        <v>17.0416666666666</v>
      </c>
      <c r="J749" s="119">
        <f ca="1">HLOOKUP($H$4,'Met Data'!$H$2:$M$368,G749,FALSE)*L749</f>
        <v>3.0166666666666599</v>
      </c>
      <c r="K749" s="98">
        <f ca="1">HLOOKUP($H$4,'Met Data'!$O$2:$T$368,G749,FALSE)</f>
        <v>3.8754357428809398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40</v>
      </c>
      <c r="H750" s="97">
        <f t="shared" ca="1" si="119"/>
        <v>46061</v>
      </c>
      <c r="I750" s="121">
        <f ca="1">HLOOKUP($H$4,'Met Data'!$A$2:$F$368,G750,FALSE)</f>
        <v>17.483333333333299</v>
      </c>
      <c r="J750" s="119">
        <f ca="1">HLOOKUP($H$4,'Met Data'!$H$2:$M$368,G750,FALSE)*L750</f>
        <v>2.69999999999999</v>
      </c>
      <c r="K750" s="98">
        <f ca="1">HLOOKUP($H$4,'Met Data'!$O$2:$T$368,G750,FALSE)</f>
        <v>3.8024866154372199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41</v>
      </c>
      <c r="H751" s="97">
        <f t="shared" ca="1" si="119"/>
        <v>46062</v>
      </c>
      <c r="I751" s="121">
        <f ca="1">HLOOKUP($H$4,'Met Data'!$A$2:$F$368,G751,FALSE)</f>
        <v>17.5625</v>
      </c>
      <c r="J751" s="119">
        <f ca="1">HLOOKUP($H$4,'Met Data'!$H$2:$M$368,G751,FALSE)*L751</f>
        <v>0.51666666666666605</v>
      </c>
      <c r="K751" s="98">
        <f ca="1">HLOOKUP($H$4,'Met Data'!$O$2:$T$368,G751,FALSE)</f>
        <v>3.9226252937625699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ref="G752:G815" ca="1" si="120">H752-DATE(YEAR(H752),1,0)+1</f>
        <v>42</v>
      </c>
      <c r="H752" s="97">
        <f t="shared" ca="1" si="119"/>
        <v>46063</v>
      </c>
      <c r="I752" s="121">
        <f ca="1">HLOOKUP($H$4,'Met Data'!$A$2:$F$368,G752,FALSE)</f>
        <v>17.7083333333333</v>
      </c>
      <c r="J752" s="119">
        <f ca="1">HLOOKUP($H$4,'Met Data'!$H$2:$M$368,G752,FALSE)*L752</f>
        <v>2.7333333333333298</v>
      </c>
      <c r="K752" s="98">
        <f ca="1">HLOOKUP($H$4,'Met Data'!$O$2:$T$368,G752,FALSE)</f>
        <v>3.6312925833969301</v>
      </c>
      <c r="L752">
        <f t="shared" ca="1" si="118"/>
        <v>1</v>
      </c>
      <c r="N752" t="e">
        <f t="shared" ref="N752:N815" ca="1" si="121">IF(P752&lt;$P$3,TRUE,FALSE)</f>
        <v>#N/A</v>
      </c>
      <c r="O752" t="e">
        <f t="shared" ref="O752:O815" ca="1" si="122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3">IFERROR(P752,$AD$4)</f>
        <v>0</v>
      </c>
      <c r="AE752">
        <f t="shared" ref="AE752:AE815" ca="1" si="124">IFERROR(U752,0)</f>
        <v>0</v>
      </c>
      <c r="AG752" s="63" t="e">
        <f t="shared" ref="AG752:AG815" ca="1" si="125">Q751+S752+T752+U752</f>
        <v>#N/A</v>
      </c>
      <c r="AH752" s="63" t="e">
        <f t="shared" ref="AH752:AH815" ca="1" si="126">Q752+R752+X752</f>
        <v>#N/A</v>
      </c>
      <c r="AI752" s="3" t="e">
        <f t="shared" ref="AI752:AI815" ca="1" si="127">AH752-AG752</f>
        <v>#N/A</v>
      </c>
    </row>
    <row r="753" spans="7:35" ht="15.75" thickBot="1">
      <c r="G753" s="3">
        <f t="shared" ca="1" si="120"/>
        <v>43</v>
      </c>
      <c r="H753" s="97">
        <f t="shared" ca="1" si="119"/>
        <v>46064</v>
      </c>
      <c r="I753" s="121">
        <f ca="1">HLOOKUP($H$4,'Met Data'!$A$2:$F$368,G753,FALSE)</f>
        <v>17.654166666666601</v>
      </c>
      <c r="J753" s="119">
        <f ca="1">HLOOKUP($H$4,'Met Data'!$H$2:$M$368,G753,FALSE)*L753</f>
        <v>5.3166666666666602</v>
      </c>
      <c r="K753" s="98">
        <f ca="1">HLOOKUP($H$4,'Met Data'!$O$2:$T$368,G753,FALSE)</f>
        <v>3.7825096271499201</v>
      </c>
      <c r="L753">
        <f t="shared" ca="1" si="118"/>
        <v>1</v>
      </c>
      <c r="N753" t="e">
        <f t="shared" ca="1" si="121"/>
        <v>#N/A</v>
      </c>
      <c r="O753" t="e">
        <f t="shared" ca="1" si="122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3"/>
        <v>0</v>
      </c>
      <c r="AE753">
        <f t="shared" ca="1" si="124"/>
        <v>0</v>
      </c>
      <c r="AG753" s="63" t="e">
        <f t="shared" ca="1" si="125"/>
        <v>#N/A</v>
      </c>
      <c r="AH753" s="63" t="e">
        <f t="shared" ca="1" si="126"/>
        <v>#N/A</v>
      </c>
      <c r="AI753" s="3" t="e">
        <f t="shared" ca="1" si="127"/>
        <v>#N/A</v>
      </c>
    </row>
    <row r="754" spans="7:35" ht="15.75" thickBot="1">
      <c r="G754" s="3">
        <f t="shared" ca="1" si="120"/>
        <v>44</v>
      </c>
      <c r="H754" s="97">
        <f t="shared" ca="1" si="119"/>
        <v>46065</v>
      </c>
      <c r="I754" s="121">
        <f ca="1">HLOOKUP($H$4,'Met Data'!$A$2:$F$368,G754,FALSE)</f>
        <v>18.245833333333302</v>
      </c>
      <c r="J754" s="119">
        <f ca="1">HLOOKUP($H$4,'Met Data'!$H$2:$M$368,G754,FALSE)*L754</f>
        <v>1.8</v>
      </c>
      <c r="K754" s="98">
        <f ca="1">HLOOKUP($H$4,'Met Data'!$O$2:$T$368,G754,FALSE)</f>
        <v>3.5345089397679601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45</v>
      </c>
      <c r="H755" s="97">
        <f t="shared" ca="1" si="119"/>
        <v>46066</v>
      </c>
      <c r="I755" s="121">
        <f ca="1">HLOOKUP($H$4,'Met Data'!$A$2:$F$368,G755,FALSE)</f>
        <v>18.674999999999901</v>
      </c>
      <c r="J755" s="119">
        <f ca="1">HLOOKUP($H$4,'Met Data'!$H$2:$M$368,G755,FALSE)*L755</f>
        <v>0.44999999999999901</v>
      </c>
      <c r="K755" s="98">
        <f ca="1">HLOOKUP($H$4,'Met Data'!$O$2:$T$368,G755,FALSE)</f>
        <v>3.2860966338213999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46</v>
      </c>
      <c r="H756" s="97">
        <f t="shared" ca="1" si="119"/>
        <v>46067</v>
      </c>
      <c r="I756" s="121">
        <f ca="1">HLOOKUP($H$4,'Met Data'!$A$2:$F$368,G756,FALSE)</f>
        <v>18.670833333333299</v>
      </c>
      <c r="J756" s="119">
        <f ca="1">HLOOKUP($H$4,'Met Data'!$H$2:$M$368,G756,FALSE)*L756</f>
        <v>1.13333333333333</v>
      </c>
      <c r="K756" s="98">
        <f ca="1">HLOOKUP($H$4,'Met Data'!$O$2:$T$368,G756,FALSE)</f>
        <v>3.8932908527116399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47</v>
      </c>
      <c r="H757" s="97">
        <f t="shared" ca="1" si="119"/>
        <v>46068</v>
      </c>
      <c r="I757" s="121">
        <f ca="1">HLOOKUP($H$4,'Met Data'!$A$2:$F$368,G757,FALSE)</f>
        <v>18.1666666666666</v>
      </c>
      <c r="J757" s="119">
        <f ca="1">HLOOKUP($H$4,'Met Data'!$H$2:$M$368,G757,FALSE)*L757</f>
        <v>1.7333333333333301</v>
      </c>
      <c r="K757" s="98">
        <f ca="1">HLOOKUP($H$4,'Met Data'!$O$2:$T$368,G757,FALSE)</f>
        <v>3.7918051722380999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48</v>
      </c>
      <c r="H758" s="97">
        <f t="shared" ca="1" si="119"/>
        <v>46069</v>
      </c>
      <c r="I758" s="121">
        <f ca="1">HLOOKUP($H$4,'Met Data'!$A$2:$F$368,G758,FALSE)</f>
        <v>17.879166666666599</v>
      </c>
      <c r="J758" s="119">
        <f ca="1">HLOOKUP($H$4,'Met Data'!$H$2:$M$368,G758,FALSE)*L758</f>
        <v>0.73333333333333295</v>
      </c>
      <c r="K758" s="98">
        <f ca="1">HLOOKUP($H$4,'Met Data'!$O$2:$T$368,G758,FALSE)</f>
        <v>3.8813294167315999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49</v>
      </c>
      <c r="H759" s="97">
        <f t="shared" ca="1" si="119"/>
        <v>46070</v>
      </c>
      <c r="I759" s="121">
        <f ca="1">HLOOKUP($H$4,'Met Data'!$A$2:$F$368,G759,FALSE)</f>
        <v>18.2083333333333</v>
      </c>
      <c r="J759" s="119">
        <f ca="1">HLOOKUP($H$4,'Met Data'!$H$2:$M$368,G759,FALSE)*L759</f>
        <v>2.8833333333333302</v>
      </c>
      <c r="K759" s="98">
        <f ca="1">HLOOKUP($H$4,'Met Data'!$O$2:$T$368,G759,FALSE)</f>
        <v>3.5062121478789399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50</v>
      </c>
      <c r="H760" s="97">
        <f t="shared" ca="1" si="119"/>
        <v>46071</v>
      </c>
      <c r="I760" s="121">
        <f ca="1">HLOOKUP($H$4,'Met Data'!$A$2:$F$368,G760,FALSE)</f>
        <v>18.529166666666601</v>
      </c>
      <c r="J760" s="119">
        <f ca="1">HLOOKUP($H$4,'Met Data'!$H$2:$M$368,G760,FALSE)*L760</f>
        <v>2.85</v>
      </c>
      <c r="K760" s="98">
        <f ca="1">HLOOKUP($H$4,'Met Data'!$O$2:$T$368,G760,FALSE)</f>
        <v>3.5342235016405201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51</v>
      </c>
      <c r="H761" s="97">
        <f t="shared" ca="1" si="119"/>
        <v>46072</v>
      </c>
      <c r="I761" s="121">
        <f ca="1">HLOOKUP($H$4,'Met Data'!$A$2:$F$368,G761,FALSE)</f>
        <v>18.925000000000001</v>
      </c>
      <c r="J761" s="119">
        <f ca="1">HLOOKUP($H$4,'Met Data'!$H$2:$M$368,G761,FALSE)*L761</f>
        <v>3.86666666666666</v>
      </c>
      <c r="K761" s="98">
        <f ca="1">HLOOKUP($H$4,'Met Data'!$O$2:$T$368,G761,FALSE)</f>
        <v>3.6338116563958698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52</v>
      </c>
      <c r="H762" s="97">
        <f t="shared" ca="1" si="119"/>
        <v>46073</v>
      </c>
      <c r="I762" s="121">
        <f ca="1">HLOOKUP($H$4,'Met Data'!$A$2:$F$368,G762,FALSE)</f>
        <v>19.195833333333301</v>
      </c>
      <c r="J762" s="119">
        <f ca="1">HLOOKUP($H$4,'Met Data'!$H$2:$M$368,G762,FALSE)*L762</f>
        <v>1.18333333333333</v>
      </c>
      <c r="K762" s="98">
        <f ca="1">HLOOKUP($H$4,'Met Data'!$O$2:$T$368,G762,FALSE)</f>
        <v>3.7477053916930299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53</v>
      </c>
      <c r="H763" s="97">
        <f t="shared" ca="1" si="119"/>
        <v>46074</v>
      </c>
      <c r="I763" s="121">
        <f ca="1">HLOOKUP($H$4,'Met Data'!$A$2:$F$368,G763,FALSE)</f>
        <v>18.945833333333301</v>
      </c>
      <c r="J763" s="119">
        <f ca="1">HLOOKUP($H$4,'Met Data'!$H$2:$M$368,G763,FALSE)*L763</f>
        <v>1.3333333333333299</v>
      </c>
      <c r="K763" s="98">
        <f ca="1">HLOOKUP($H$4,'Met Data'!$O$2:$T$368,G763,FALSE)</f>
        <v>3.7395681594102799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54</v>
      </c>
      <c r="H764" s="97">
        <f t="shared" ca="1" si="119"/>
        <v>46075</v>
      </c>
      <c r="I764" s="121">
        <f ca="1">HLOOKUP($H$4,'Met Data'!$A$2:$F$368,G764,FALSE)</f>
        <v>18.912499999999898</v>
      </c>
      <c r="J764" s="119">
        <f ca="1">HLOOKUP($H$4,'Met Data'!$H$2:$M$368,G764,FALSE)*L764</f>
        <v>6.18333333333333</v>
      </c>
      <c r="K764" s="98">
        <f ca="1">HLOOKUP($H$4,'Met Data'!$O$2:$T$368,G764,FALSE)</f>
        <v>3.0629444033618198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55</v>
      </c>
      <c r="H765" s="97">
        <f t="shared" ca="1" si="119"/>
        <v>46076</v>
      </c>
      <c r="I765" s="121">
        <f ca="1">HLOOKUP($H$4,'Met Data'!$A$2:$F$368,G765,FALSE)</f>
        <v>17.745833333333302</v>
      </c>
      <c r="J765" s="119">
        <f ca="1">HLOOKUP($H$4,'Met Data'!$H$2:$M$368,G765,FALSE)*L765</f>
        <v>0.7</v>
      </c>
      <c r="K765" s="98">
        <f ca="1">HLOOKUP($H$4,'Met Data'!$O$2:$T$368,G765,FALSE)</f>
        <v>3.7397228058893299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56</v>
      </c>
      <c r="H766" s="97">
        <f t="shared" ca="1" si="119"/>
        <v>46077</v>
      </c>
      <c r="I766" s="121">
        <f ca="1">HLOOKUP($H$4,'Met Data'!$A$2:$F$368,G766,FALSE)</f>
        <v>16.945833333333301</v>
      </c>
      <c r="J766" s="119">
        <f ca="1">HLOOKUP($H$4,'Met Data'!$H$2:$M$368,G766,FALSE)*L766</f>
        <v>1.5999999999999901</v>
      </c>
      <c r="K766" s="98">
        <f ca="1">HLOOKUP($H$4,'Met Data'!$O$2:$T$368,G766,FALSE)</f>
        <v>3.5683594386422701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57</v>
      </c>
      <c r="H767" s="97">
        <f t="shared" ca="1" si="119"/>
        <v>46078</v>
      </c>
      <c r="I767" s="121">
        <f ca="1">HLOOKUP($H$4,'Met Data'!$A$2:$F$368,G767,FALSE)</f>
        <v>17.495833333333302</v>
      </c>
      <c r="J767" s="119">
        <f ca="1">HLOOKUP($H$4,'Met Data'!$H$2:$M$368,G767,FALSE)*L767</f>
        <v>0.86666666666666603</v>
      </c>
      <c r="K767" s="98">
        <f ca="1">HLOOKUP($H$4,'Met Data'!$O$2:$T$368,G767,FALSE)</f>
        <v>3.5556810366886502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58</v>
      </c>
      <c r="H768" s="97">
        <f t="shared" ca="1" si="119"/>
        <v>46079</v>
      </c>
      <c r="I768" s="121">
        <f ca="1">HLOOKUP($H$4,'Met Data'!$A$2:$F$368,G768,FALSE)</f>
        <v>16.954166666666602</v>
      </c>
      <c r="J768" s="119">
        <f ca="1">HLOOKUP($H$4,'Met Data'!$H$2:$M$368,G768,FALSE)*L768</f>
        <v>0.93333333333333302</v>
      </c>
      <c r="K768" s="98">
        <f ca="1">HLOOKUP($H$4,'Met Data'!$O$2:$T$368,G768,FALSE)</f>
        <v>3.6102637976598602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59</v>
      </c>
      <c r="H769" s="97">
        <f t="shared" ca="1" si="119"/>
        <v>46080</v>
      </c>
      <c r="I769" s="121">
        <f ca="1">HLOOKUP($H$4,'Met Data'!$A$2:$F$368,G769,FALSE)</f>
        <v>16.829166666666602</v>
      </c>
      <c r="J769" s="119">
        <f ca="1">HLOOKUP($H$4,'Met Data'!$H$2:$M$368,G769,FALSE)*L769</f>
        <v>0.41666666666666602</v>
      </c>
      <c r="K769" s="98">
        <f ca="1">HLOOKUP($H$4,'Met Data'!$O$2:$T$368,G769,FALSE)</f>
        <v>3.6752740997587301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60</v>
      </c>
      <c r="H770" s="97">
        <f t="shared" ca="1" si="119"/>
        <v>46081</v>
      </c>
      <c r="I770" s="121">
        <f ca="1">HLOOKUP($H$4,'Met Data'!$A$2:$F$368,G770,FALSE)</f>
        <v>17.512499999999999</v>
      </c>
      <c r="J770" s="119">
        <f ca="1">HLOOKUP($H$4,'Met Data'!$H$2:$M$368,G770,FALSE)*L770</f>
        <v>0.38333333333333303</v>
      </c>
      <c r="K770" s="98">
        <f ca="1">HLOOKUP($H$4,'Met Data'!$O$2:$T$368,G770,FALSE)</f>
        <v>3.6973328494211302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61</v>
      </c>
      <c r="H771" s="97">
        <f t="shared" ca="1" si="119"/>
        <v>46082</v>
      </c>
      <c r="I771" s="121">
        <f ca="1">HLOOKUP($H$4,'Met Data'!$A$2:$F$368,G771,FALSE)</f>
        <v>17.1166666666666</v>
      </c>
      <c r="J771" s="119">
        <f ca="1">HLOOKUP($H$4,'Met Data'!$H$2:$M$368,G771,FALSE)*L771</f>
        <v>2.3166666666666602</v>
      </c>
      <c r="K771" s="98">
        <f ca="1">HLOOKUP($H$4,'Met Data'!$O$2:$T$368,G771,FALSE)</f>
        <v>3.5365052642272401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62</v>
      </c>
      <c r="H772" s="97">
        <f t="shared" ca="1" si="119"/>
        <v>46083</v>
      </c>
      <c r="I772" s="121">
        <f ca="1">HLOOKUP($H$4,'Met Data'!$A$2:$F$368,G772,FALSE)</f>
        <v>17.037500000000001</v>
      </c>
      <c r="J772" s="119">
        <f ca="1">HLOOKUP($H$4,'Met Data'!$H$2:$M$368,G772,FALSE)*L772</f>
        <v>2.18333333333333</v>
      </c>
      <c r="K772" s="98">
        <f ca="1">HLOOKUP($H$4,'Met Data'!$O$2:$T$368,G772,FALSE)</f>
        <v>3.0680063753167199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63</v>
      </c>
      <c r="H773" s="97">
        <f t="shared" ca="1" si="119"/>
        <v>46084</v>
      </c>
      <c r="I773" s="121">
        <f ca="1">HLOOKUP($H$4,'Met Data'!$A$2:$F$368,G773,FALSE)</f>
        <v>17.204166666666602</v>
      </c>
      <c r="J773" s="119">
        <f ca="1">HLOOKUP($H$4,'Met Data'!$H$2:$M$368,G773,FALSE)*L773</f>
        <v>0.61666666666666603</v>
      </c>
      <c r="K773" s="98">
        <f ca="1">HLOOKUP($H$4,'Met Data'!$O$2:$T$368,G773,FALSE)</f>
        <v>3.2161744467378801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64</v>
      </c>
      <c r="H774" s="97">
        <f t="shared" ca="1" si="119"/>
        <v>46085</v>
      </c>
      <c r="I774" s="121">
        <f ca="1">HLOOKUP($H$4,'Met Data'!$A$2:$F$368,G774,FALSE)</f>
        <v>16.720833333333299</v>
      </c>
      <c r="J774" s="119">
        <f ca="1">HLOOKUP($H$4,'Met Data'!$H$2:$M$368,G774,FALSE)*L774</f>
        <v>2.93333333333333</v>
      </c>
      <c r="K774" s="98">
        <f ca="1">HLOOKUP($H$4,'Met Data'!$O$2:$T$368,G774,FALSE)</f>
        <v>2.8476580172568502</v>
      </c>
      <c r="L774">
        <f t="shared" ref="L774:L837" ca="1" si="128">IF(H774&lt;$B$31,$J$3,$J$4)</f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65</v>
      </c>
      <c r="H775" s="97">
        <f t="shared" ca="1" si="119"/>
        <v>46086</v>
      </c>
      <c r="I775" s="121">
        <f ca="1">HLOOKUP($H$4,'Met Data'!$A$2:$F$368,G775,FALSE)</f>
        <v>17.05</v>
      </c>
      <c r="J775" s="119">
        <f ca="1">HLOOKUP($H$4,'Met Data'!$H$2:$M$368,G775,FALSE)*L775</f>
        <v>3.5</v>
      </c>
      <c r="K775" s="98">
        <f ca="1">HLOOKUP($H$4,'Met Data'!$O$2:$T$368,G775,FALSE)</f>
        <v>3.0856400612975601</v>
      </c>
      <c r="L775">
        <f t="shared" ca="1" si="128"/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66</v>
      </c>
      <c r="H776" s="97">
        <f t="shared" ref="H776:H839" ca="1" si="129">H775+1</f>
        <v>46087</v>
      </c>
      <c r="I776" s="121">
        <f ca="1">HLOOKUP($H$4,'Met Data'!$A$2:$F$368,G776,FALSE)</f>
        <v>16.5625</v>
      </c>
      <c r="J776" s="119">
        <f ca="1">HLOOKUP($H$4,'Met Data'!$H$2:$M$368,G776,FALSE)*L776</f>
        <v>1.9166666666666601</v>
      </c>
      <c r="K776" s="98">
        <f ca="1">HLOOKUP($H$4,'Met Data'!$O$2:$T$368,G776,FALSE)</f>
        <v>2.4477007585282702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67</v>
      </c>
      <c r="H777" s="97">
        <f t="shared" ca="1" si="129"/>
        <v>46088</v>
      </c>
      <c r="I777" s="121">
        <f ca="1">HLOOKUP($H$4,'Met Data'!$A$2:$F$368,G777,FALSE)</f>
        <v>16.349999999999898</v>
      </c>
      <c r="J777" s="119">
        <f ca="1">HLOOKUP($H$4,'Met Data'!$H$2:$M$368,G777,FALSE)*L777</f>
        <v>5.4</v>
      </c>
      <c r="K777" s="98">
        <f ca="1">HLOOKUP($H$4,'Met Data'!$O$2:$T$368,G777,FALSE)</f>
        <v>3.2051572713162999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68</v>
      </c>
      <c r="H778" s="97">
        <f t="shared" ca="1" si="129"/>
        <v>46089</v>
      </c>
      <c r="I778" s="121">
        <f ca="1">HLOOKUP($H$4,'Met Data'!$A$2:$F$368,G778,FALSE)</f>
        <v>16.404166666666601</v>
      </c>
      <c r="J778" s="119">
        <f ca="1">HLOOKUP($H$4,'Met Data'!$H$2:$M$368,G778,FALSE)*L778</f>
        <v>1.7666666666666599</v>
      </c>
      <c r="K778" s="98">
        <f ca="1">HLOOKUP($H$4,'Met Data'!$O$2:$T$368,G778,FALSE)</f>
        <v>3.3473688975414899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69</v>
      </c>
      <c r="H779" s="97">
        <f t="shared" ca="1" si="129"/>
        <v>46090</v>
      </c>
      <c r="I779" s="121">
        <f ca="1">HLOOKUP($H$4,'Met Data'!$A$2:$F$368,G779,FALSE)</f>
        <v>16.174999999999901</v>
      </c>
      <c r="J779" s="119">
        <f ca="1">HLOOKUP($H$4,'Met Data'!$H$2:$M$368,G779,FALSE)*L779</f>
        <v>0.54999999999999905</v>
      </c>
      <c r="K779" s="98">
        <f ca="1">HLOOKUP($H$4,'Met Data'!$O$2:$T$368,G779,FALSE)</f>
        <v>3.3552920602916099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70</v>
      </c>
      <c r="H780" s="97">
        <f t="shared" ca="1" si="129"/>
        <v>46091</v>
      </c>
      <c r="I780" s="121">
        <f ca="1">HLOOKUP($H$4,'Met Data'!$A$2:$F$368,G780,FALSE)</f>
        <v>16.625</v>
      </c>
      <c r="J780" s="119">
        <f ca="1">HLOOKUP($H$4,'Met Data'!$H$2:$M$368,G780,FALSE)*L780</f>
        <v>2.0666666666666602</v>
      </c>
      <c r="K780" s="98">
        <f ca="1">HLOOKUP($H$4,'Met Data'!$O$2:$T$368,G780,FALSE)</f>
        <v>3.2920876744510998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71</v>
      </c>
      <c r="H781" s="97">
        <f t="shared" ca="1" si="129"/>
        <v>46092</v>
      </c>
      <c r="I781" s="121">
        <f ca="1">HLOOKUP($H$4,'Met Data'!$A$2:$F$368,G781,FALSE)</f>
        <v>16.266666666666602</v>
      </c>
      <c r="J781" s="119">
        <f ca="1">HLOOKUP($H$4,'Met Data'!$H$2:$M$368,G781,FALSE)*L781</f>
        <v>3.44999999999999</v>
      </c>
      <c r="K781" s="98">
        <f ca="1">HLOOKUP($H$4,'Met Data'!$O$2:$T$368,G781,FALSE)</f>
        <v>2.5592177640993499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72</v>
      </c>
      <c r="H782" s="97">
        <f t="shared" ca="1" si="129"/>
        <v>46093</v>
      </c>
      <c r="I782" s="121">
        <f ca="1">HLOOKUP($H$4,'Met Data'!$A$2:$F$368,G782,FALSE)</f>
        <v>16.404166666666601</v>
      </c>
      <c r="J782" s="119">
        <f ca="1">HLOOKUP($H$4,'Met Data'!$H$2:$M$368,G782,FALSE)*L782</f>
        <v>1.5833333333333299</v>
      </c>
      <c r="K782" s="98">
        <f ca="1">HLOOKUP($H$4,'Met Data'!$O$2:$T$368,G782,FALSE)</f>
        <v>2.85115032224514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73</v>
      </c>
      <c r="H783" s="97">
        <f t="shared" ca="1" si="129"/>
        <v>46094</v>
      </c>
      <c r="I783" s="121">
        <f ca="1">HLOOKUP($H$4,'Met Data'!$A$2:$F$368,G783,FALSE)</f>
        <v>15.324999999999999</v>
      </c>
      <c r="J783" s="119">
        <f ca="1">HLOOKUP($H$4,'Met Data'!$H$2:$M$368,G783,FALSE)*L783</f>
        <v>1.38333333333333</v>
      </c>
      <c r="K783" s="98">
        <f ca="1">HLOOKUP($H$4,'Met Data'!$O$2:$T$368,G783,FALSE)</f>
        <v>2.7545575054438101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74</v>
      </c>
      <c r="H784" s="97">
        <f t="shared" ca="1" si="129"/>
        <v>46095</v>
      </c>
      <c r="I784" s="121">
        <f ca="1">HLOOKUP($H$4,'Met Data'!$A$2:$F$368,G784,FALSE)</f>
        <v>15.8333333333333</v>
      </c>
      <c r="J784" s="119">
        <f ca="1">HLOOKUP($H$4,'Met Data'!$H$2:$M$368,G784,FALSE)*L784</f>
        <v>0.483333333333333</v>
      </c>
      <c r="K784" s="98">
        <f ca="1">HLOOKUP($H$4,'Met Data'!$O$2:$T$368,G784,FALSE)</f>
        <v>2.9925841251346701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75</v>
      </c>
      <c r="H785" s="97">
        <f t="shared" ca="1" si="129"/>
        <v>46096</v>
      </c>
      <c r="I785" s="121">
        <f ca="1">HLOOKUP($H$4,'Met Data'!$A$2:$F$368,G785,FALSE)</f>
        <v>16.966666666666601</v>
      </c>
      <c r="J785" s="119">
        <f ca="1">HLOOKUP($H$4,'Met Data'!$H$2:$M$368,G785,FALSE)*L785</f>
        <v>0.31666666666666599</v>
      </c>
      <c r="K785" s="98">
        <f ca="1">HLOOKUP($H$4,'Met Data'!$O$2:$T$368,G785,FALSE)</f>
        <v>2.9125814341448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76</v>
      </c>
      <c r="H786" s="97">
        <f t="shared" ca="1" si="129"/>
        <v>46097</v>
      </c>
      <c r="I786" s="121">
        <f ca="1">HLOOKUP($H$4,'Met Data'!$A$2:$F$368,G786,FALSE)</f>
        <v>17.766666666666602</v>
      </c>
      <c r="J786" s="119">
        <f ca="1">HLOOKUP($H$4,'Met Data'!$H$2:$M$368,G786,FALSE)*L786</f>
        <v>2.25</v>
      </c>
      <c r="K786" s="98">
        <f ca="1">HLOOKUP($H$4,'Met Data'!$O$2:$T$368,G786,FALSE)</f>
        <v>2.3685635659939601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77</v>
      </c>
      <c r="H787" s="97">
        <f t="shared" ca="1" si="129"/>
        <v>46098</v>
      </c>
      <c r="I787" s="121">
        <f ca="1">HLOOKUP($H$4,'Met Data'!$A$2:$F$368,G787,FALSE)</f>
        <v>16.100000000000001</v>
      </c>
      <c r="J787" s="119">
        <f ca="1">HLOOKUP($H$4,'Met Data'!$H$2:$M$368,G787,FALSE)*L787</f>
        <v>1.4</v>
      </c>
      <c r="K787" s="98">
        <f ca="1">HLOOKUP($H$4,'Met Data'!$O$2:$T$368,G787,FALSE)</f>
        <v>2.7759280674014901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78</v>
      </c>
      <c r="H788" s="97">
        <f t="shared" ca="1" si="129"/>
        <v>46099</v>
      </c>
      <c r="I788" s="121">
        <f ca="1">HLOOKUP($H$4,'Met Data'!$A$2:$F$368,G788,FALSE)</f>
        <v>15.379166666666601</v>
      </c>
      <c r="J788" s="119">
        <f ca="1">HLOOKUP($H$4,'Met Data'!$H$2:$M$368,G788,FALSE)*L788</f>
        <v>3.68333333333333</v>
      </c>
      <c r="K788" s="98">
        <f ca="1">HLOOKUP($H$4,'Met Data'!$O$2:$T$368,G788,FALSE)</f>
        <v>2.7162290778951999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79</v>
      </c>
      <c r="H789" s="97">
        <f t="shared" ca="1" si="129"/>
        <v>46100</v>
      </c>
      <c r="I789" s="121">
        <f ca="1">HLOOKUP($H$4,'Met Data'!$A$2:$F$368,G789,FALSE)</f>
        <v>15.858333333333301</v>
      </c>
      <c r="J789" s="119">
        <f ca="1">HLOOKUP($H$4,'Met Data'!$H$2:$M$368,G789,FALSE)*L789</f>
        <v>0.85</v>
      </c>
      <c r="K789" s="98">
        <f ca="1">HLOOKUP($H$4,'Met Data'!$O$2:$T$368,G789,FALSE)</f>
        <v>2.8216063312721902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80</v>
      </c>
      <c r="H790" s="97">
        <f t="shared" ca="1" si="129"/>
        <v>46101</v>
      </c>
      <c r="I790" s="121">
        <f ca="1">HLOOKUP($H$4,'Met Data'!$A$2:$F$368,G790,FALSE)</f>
        <v>16.216666666666601</v>
      </c>
      <c r="J790" s="119">
        <f ca="1">HLOOKUP($H$4,'Met Data'!$H$2:$M$368,G790,FALSE)*L790</f>
        <v>8.3333333333333301E-2</v>
      </c>
      <c r="K790" s="98">
        <f ca="1">HLOOKUP($H$4,'Met Data'!$O$2:$T$368,G790,FALSE)</f>
        <v>2.7500481593686201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81</v>
      </c>
      <c r="H791" s="97">
        <f t="shared" ca="1" si="129"/>
        <v>46102</v>
      </c>
      <c r="I791" s="121">
        <f ca="1">HLOOKUP($H$4,'Met Data'!$A$2:$F$368,G791,FALSE)</f>
        <v>16.483333333333299</v>
      </c>
      <c r="J791" s="119">
        <f ca="1">HLOOKUP($H$4,'Met Data'!$H$2:$M$368,G791,FALSE)*L791</f>
        <v>1.11666666666666</v>
      </c>
      <c r="K791" s="98">
        <f ca="1">HLOOKUP($H$4,'Met Data'!$O$2:$T$368,G791,FALSE)</f>
        <v>2.6292753041097501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82</v>
      </c>
      <c r="H792" s="97">
        <f t="shared" ca="1" si="129"/>
        <v>46103</v>
      </c>
      <c r="I792" s="121">
        <f ca="1">HLOOKUP($H$4,'Met Data'!$A$2:$F$368,G792,FALSE)</f>
        <v>16.6791666666666</v>
      </c>
      <c r="J792" s="119">
        <f ca="1">HLOOKUP($H$4,'Met Data'!$H$2:$M$368,G792,FALSE)*L792</f>
        <v>1.63333333333333</v>
      </c>
      <c r="K792" s="98">
        <f ca="1">HLOOKUP($H$4,'Met Data'!$O$2:$T$368,G792,FALSE)</f>
        <v>2.3413673129625598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83</v>
      </c>
      <c r="H793" s="97">
        <f t="shared" ca="1" si="129"/>
        <v>46104</v>
      </c>
      <c r="I793" s="121">
        <f ca="1">HLOOKUP($H$4,'Met Data'!$A$2:$F$368,G793,FALSE)</f>
        <v>16.8</v>
      </c>
      <c r="J793" s="119">
        <f ca="1">HLOOKUP($H$4,'Met Data'!$H$2:$M$368,G793,FALSE)*L793</f>
        <v>2.2833333333333301</v>
      </c>
      <c r="K793" s="98">
        <f ca="1">HLOOKUP($H$4,'Met Data'!$O$2:$T$368,G793,FALSE)</f>
        <v>2.7038604411954998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84</v>
      </c>
      <c r="H794" s="97">
        <f t="shared" ca="1" si="129"/>
        <v>46105</v>
      </c>
      <c r="I794" s="121">
        <f ca="1">HLOOKUP($H$4,'Met Data'!$A$2:$F$368,G794,FALSE)</f>
        <v>16.237500000000001</v>
      </c>
      <c r="J794" s="119">
        <f ca="1">HLOOKUP($H$4,'Met Data'!$H$2:$M$368,G794,FALSE)*L794</f>
        <v>3.7833333333333301</v>
      </c>
      <c r="K794" s="98">
        <f ca="1">HLOOKUP($H$4,'Met Data'!$O$2:$T$368,G794,FALSE)</f>
        <v>2.1387131538714801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85</v>
      </c>
      <c r="H795" s="97">
        <f t="shared" ca="1" si="129"/>
        <v>46106</v>
      </c>
      <c r="I795" s="121">
        <f ca="1">HLOOKUP($H$4,'Met Data'!$A$2:$F$368,G795,FALSE)</f>
        <v>16.875</v>
      </c>
      <c r="J795" s="119">
        <f ca="1">HLOOKUP($H$4,'Met Data'!$H$2:$M$368,G795,FALSE)*L795</f>
        <v>2.9</v>
      </c>
      <c r="K795" s="98">
        <f ca="1">HLOOKUP($H$4,'Met Data'!$O$2:$T$368,G795,FALSE)</f>
        <v>2.4308063740099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86</v>
      </c>
      <c r="H796" s="97">
        <f t="shared" ca="1" si="129"/>
        <v>46107</v>
      </c>
      <c r="I796" s="121">
        <f ca="1">HLOOKUP($H$4,'Met Data'!$A$2:$F$368,G796,FALSE)</f>
        <v>17.024999999999999</v>
      </c>
      <c r="J796" s="119">
        <f ca="1">HLOOKUP($H$4,'Met Data'!$H$2:$M$368,G796,FALSE)*L796</f>
        <v>3.7333333333333298</v>
      </c>
      <c r="K796" s="98">
        <f ca="1">HLOOKUP($H$4,'Met Data'!$O$2:$T$368,G796,FALSE)</f>
        <v>2.3866525377963699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87</v>
      </c>
      <c r="H797" s="97">
        <f t="shared" ca="1" si="129"/>
        <v>46108</v>
      </c>
      <c r="I797" s="121">
        <f ca="1">HLOOKUP($H$4,'Met Data'!$A$2:$F$368,G797,FALSE)</f>
        <v>17.3</v>
      </c>
      <c r="J797" s="119">
        <f ca="1">HLOOKUP($H$4,'Met Data'!$H$2:$M$368,G797,FALSE)*L797</f>
        <v>1.93333333333333</v>
      </c>
      <c r="K797" s="98">
        <f ca="1">HLOOKUP($H$4,'Met Data'!$O$2:$T$368,G797,FALSE)</f>
        <v>2.6501779961824399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88</v>
      </c>
      <c r="H798" s="97">
        <f t="shared" ca="1" si="129"/>
        <v>46109</v>
      </c>
      <c r="I798" s="121">
        <f ca="1">HLOOKUP($H$4,'Met Data'!$A$2:$F$368,G798,FALSE)</f>
        <v>15.983333333333301</v>
      </c>
      <c r="J798" s="119">
        <f ca="1">HLOOKUP($H$4,'Met Data'!$H$2:$M$368,G798,FALSE)*L798</f>
        <v>1.2166666666666599</v>
      </c>
      <c r="K798" s="98">
        <f ca="1">HLOOKUP($H$4,'Met Data'!$O$2:$T$368,G798,FALSE)</f>
        <v>2.2352735074469998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89</v>
      </c>
      <c r="H799" s="97">
        <f t="shared" ca="1" si="129"/>
        <v>46110</v>
      </c>
      <c r="I799" s="121">
        <f ca="1">HLOOKUP($H$4,'Met Data'!$A$2:$F$368,G799,FALSE)</f>
        <v>16.404166666666601</v>
      </c>
      <c r="J799" s="119">
        <f ca="1">HLOOKUP($H$4,'Met Data'!$H$2:$M$368,G799,FALSE)*L799</f>
        <v>2.3333333333333299</v>
      </c>
      <c r="K799" s="98">
        <f ca="1">HLOOKUP($H$4,'Met Data'!$O$2:$T$368,G799,FALSE)</f>
        <v>2.3461969045698901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90</v>
      </c>
      <c r="H800" s="97">
        <f t="shared" ca="1" si="129"/>
        <v>46111</v>
      </c>
      <c r="I800" s="121">
        <f ca="1">HLOOKUP($H$4,'Met Data'!$A$2:$F$368,G800,FALSE)</f>
        <v>16.629166666666599</v>
      </c>
      <c r="J800" s="119">
        <f ca="1">HLOOKUP($H$4,'Met Data'!$H$2:$M$368,G800,FALSE)*L800</f>
        <v>2.2333333333333298</v>
      </c>
      <c r="K800" s="98">
        <f ca="1">HLOOKUP($H$4,'Met Data'!$O$2:$T$368,G800,FALSE)</f>
        <v>2.5330458314755799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91</v>
      </c>
      <c r="H801" s="97">
        <f t="shared" ca="1" si="129"/>
        <v>46112</v>
      </c>
      <c r="I801" s="121">
        <f ca="1">HLOOKUP($H$4,'Met Data'!$A$2:$F$368,G801,FALSE)</f>
        <v>16.112499999999901</v>
      </c>
      <c r="J801" s="119">
        <f ca="1">HLOOKUP($H$4,'Met Data'!$H$2:$M$368,G801,FALSE)*L801</f>
        <v>2.0833333333333299</v>
      </c>
      <c r="K801" s="98">
        <f ca="1">HLOOKUP($H$4,'Met Data'!$O$2:$T$368,G801,FALSE)</f>
        <v>2.4661161715906501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92</v>
      </c>
      <c r="H802" s="97">
        <f t="shared" ca="1" si="129"/>
        <v>46113</v>
      </c>
      <c r="I802" s="121">
        <f ca="1">HLOOKUP($H$4,'Met Data'!$A$2:$F$368,G802,FALSE)</f>
        <v>15.862500000000001</v>
      </c>
      <c r="J802" s="119">
        <f ca="1">HLOOKUP($H$4,'Met Data'!$H$2:$M$368,G802,FALSE)*L802</f>
        <v>1.3333333333333299</v>
      </c>
      <c r="K802" s="98">
        <f ca="1">HLOOKUP($H$4,'Met Data'!$O$2:$T$368,G802,FALSE)</f>
        <v>2.3173978620084501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93</v>
      </c>
      <c r="H803" s="97">
        <f t="shared" ca="1" si="129"/>
        <v>46114</v>
      </c>
      <c r="I803" s="121">
        <f ca="1">HLOOKUP($H$4,'Met Data'!$A$2:$F$368,G803,FALSE)</f>
        <v>15.299999999999899</v>
      </c>
      <c r="J803" s="119">
        <f ca="1">HLOOKUP($H$4,'Met Data'!$H$2:$M$368,G803,FALSE)*L803</f>
        <v>0.36666666666666597</v>
      </c>
      <c r="K803" s="98">
        <f ca="1">HLOOKUP($H$4,'Met Data'!$O$2:$T$368,G803,FALSE)</f>
        <v>2.1311275850035698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94</v>
      </c>
      <c r="H804" s="97">
        <f t="shared" ca="1" si="129"/>
        <v>46115</v>
      </c>
      <c r="I804" s="121">
        <f ca="1">HLOOKUP($H$4,'Met Data'!$A$2:$F$368,G804,FALSE)</f>
        <v>16.266666666666602</v>
      </c>
      <c r="J804" s="119">
        <f ca="1">HLOOKUP($H$4,'Met Data'!$H$2:$M$368,G804,FALSE)*L804</f>
        <v>4.36666666666666</v>
      </c>
      <c r="K804" s="98">
        <f ca="1">HLOOKUP($H$4,'Met Data'!$O$2:$T$368,G804,FALSE)</f>
        <v>2.1942415542804201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95</v>
      </c>
      <c r="H805" s="97">
        <f t="shared" ca="1" si="129"/>
        <v>46116</v>
      </c>
      <c r="I805" s="121">
        <f ca="1">HLOOKUP($H$4,'Met Data'!$A$2:$F$368,G805,FALSE)</f>
        <v>16.008333333333301</v>
      </c>
      <c r="J805" s="119">
        <f ca="1">HLOOKUP($H$4,'Met Data'!$H$2:$M$368,G805,FALSE)*L805</f>
        <v>5.5833333333333304</v>
      </c>
      <c r="K805" s="98">
        <f ca="1">HLOOKUP($H$4,'Met Data'!$O$2:$T$368,G805,FALSE)</f>
        <v>2.18875214188912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96</v>
      </c>
      <c r="H806" s="97">
        <f t="shared" ca="1" si="129"/>
        <v>46117</v>
      </c>
      <c r="I806" s="121">
        <f ca="1">HLOOKUP($H$4,'Met Data'!$A$2:$F$368,G806,FALSE)</f>
        <v>14.8083333333333</v>
      </c>
      <c r="J806" s="119">
        <f ca="1">HLOOKUP($H$4,'Met Data'!$H$2:$M$368,G806,FALSE)*L806</f>
        <v>3.93333333333333</v>
      </c>
      <c r="K806" s="98">
        <f ca="1">HLOOKUP($H$4,'Met Data'!$O$2:$T$368,G806,FALSE)</f>
        <v>2.25899576438928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97</v>
      </c>
      <c r="H807" s="97">
        <f t="shared" ca="1" si="129"/>
        <v>46118</v>
      </c>
      <c r="I807" s="121">
        <f ca="1">HLOOKUP($H$4,'Met Data'!$A$2:$F$368,G807,FALSE)</f>
        <v>14.283333333333299</v>
      </c>
      <c r="J807" s="119">
        <f ca="1">HLOOKUP($H$4,'Met Data'!$H$2:$M$368,G807,FALSE)*L807</f>
        <v>1.2666666666666599</v>
      </c>
      <c r="K807" s="98">
        <f ca="1">HLOOKUP($H$4,'Met Data'!$O$2:$T$368,G807,FALSE)</f>
        <v>2.2952223200603901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98</v>
      </c>
      <c r="H808" s="97">
        <f t="shared" ca="1" si="129"/>
        <v>46119</v>
      </c>
      <c r="I808" s="121">
        <f ca="1">HLOOKUP($H$4,'Met Data'!$A$2:$F$368,G808,FALSE)</f>
        <v>13.258333333333301</v>
      </c>
      <c r="J808" s="119">
        <f ca="1">HLOOKUP($H$4,'Met Data'!$H$2:$M$368,G808,FALSE)*L808</f>
        <v>1.18333333333333</v>
      </c>
      <c r="K808" s="98">
        <f ca="1">HLOOKUP($H$4,'Met Data'!$O$2:$T$368,G808,FALSE)</f>
        <v>1.94562323949851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99</v>
      </c>
      <c r="H809" s="97">
        <f t="shared" ca="1" si="129"/>
        <v>46120</v>
      </c>
      <c r="I809" s="121">
        <f ca="1">HLOOKUP($H$4,'Met Data'!$A$2:$F$368,G809,FALSE)</f>
        <v>13.8666666666666</v>
      </c>
      <c r="J809" s="119">
        <f ca="1">HLOOKUP($H$4,'Met Data'!$H$2:$M$368,G809,FALSE)*L809</f>
        <v>4.7333333333333298</v>
      </c>
      <c r="K809" s="98">
        <f ca="1">HLOOKUP($H$4,'Met Data'!$O$2:$T$368,G809,FALSE)</f>
        <v>1.65226329552866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100</v>
      </c>
      <c r="H810" s="97">
        <f t="shared" ca="1" si="129"/>
        <v>46121</v>
      </c>
      <c r="I810" s="121">
        <f ca="1">HLOOKUP($H$4,'Met Data'!$A$2:$F$368,G810,FALSE)</f>
        <v>14.404166666666599</v>
      </c>
      <c r="J810" s="119">
        <f ca="1">HLOOKUP($H$4,'Met Data'!$H$2:$M$368,G810,FALSE)*L810</f>
        <v>4.3166666666666602</v>
      </c>
      <c r="K810" s="98">
        <f ca="1">HLOOKUP($H$4,'Met Data'!$O$2:$T$368,G810,FALSE)</f>
        <v>1.8668252234765801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101</v>
      </c>
      <c r="H811" s="97">
        <f t="shared" ca="1" si="129"/>
        <v>46122</v>
      </c>
      <c r="I811" s="121">
        <f ca="1">HLOOKUP($H$4,'Met Data'!$A$2:$F$368,G811,FALSE)</f>
        <v>14.5416666666666</v>
      </c>
      <c r="J811" s="119">
        <f ca="1">HLOOKUP($H$4,'Met Data'!$H$2:$M$368,G811,FALSE)*L811</f>
        <v>4.43333333333333</v>
      </c>
      <c r="K811" s="98">
        <f ca="1">HLOOKUP($H$4,'Met Data'!$O$2:$T$368,G811,FALSE)</f>
        <v>1.97301093095216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102</v>
      </c>
      <c r="H812" s="97">
        <f t="shared" ca="1" si="129"/>
        <v>46123</v>
      </c>
      <c r="I812" s="121">
        <f ca="1">HLOOKUP($H$4,'Met Data'!$A$2:$F$368,G812,FALSE)</f>
        <v>14.279166666666599</v>
      </c>
      <c r="J812" s="119">
        <f ca="1">HLOOKUP($H$4,'Met Data'!$H$2:$M$368,G812,FALSE)*L812</f>
        <v>1.3333333333333299</v>
      </c>
      <c r="K812" s="98">
        <f ca="1">HLOOKUP($H$4,'Met Data'!$O$2:$T$368,G812,FALSE)</f>
        <v>1.63836682585681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103</v>
      </c>
      <c r="H813" s="97">
        <f t="shared" ca="1" si="129"/>
        <v>46124</v>
      </c>
      <c r="I813" s="121">
        <f ca="1">HLOOKUP($H$4,'Met Data'!$A$2:$F$368,G813,FALSE)</f>
        <v>15.1666666666666</v>
      </c>
      <c r="J813" s="119">
        <f ca="1">HLOOKUP($H$4,'Met Data'!$H$2:$M$368,G813,FALSE)*L813</f>
        <v>3.7833333333333301</v>
      </c>
      <c r="K813" s="98">
        <f ca="1">HLOOKUP($H$4,'Met Data'!$O$2:$T$368,G813,FALSE)</f>
        <v>1.8936832301932101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104</v>
      </c>
      <c r="H814" s="97">
        <f t="shared" ca="1" si="129"/>
        <v>46125</v>
      </c>
      <c r="I814" s="121">
        <f ca="1">HLOOKUP($H$4,'Met Data'!$A$2:$F$368,G814,FALSE)</f>
        <v>14.675000000000001</v>
      </c>
      <c r="J814" s="119">
        <f ca="1">HLOOKUP($H$4,'Met Data'!$H$2:$M$368,G814,FALSE)*L814</f>
        <v>4.5166666666666604</v>
      </c>
      <c r="K814" s="98">
        <f ca="1">HLOOKUP($H$4,'Met Data'!$O$2:$T$368,G814,FALSE)</f>
        <v>1.6971366028359001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105</v>
      </c>
      <c r="H815" s="97">
        <f t="shared" ca="1" si="129"/>
        <v>46126</v>
      </c>
      <c r="I815" s="121">
        <f ca="1">HLOOKUP($H$4,'Met Data'!$A$2:$F$368,G815,FALSE)</f>
        <v>13.504166666666601</v>
      </c>
      <c r="J815" s="119">
        <f ca="1">HLOOKUP($H$4,'Met Data'!$H$2:$M$368,G815,FALSE)*L815</f>
        <v>4.5</v>
      </c>
      <c r="K815" s="98">
        <f ca="1">HLOOKUP($H$4,'Met Data'!$O$2:$T$368,G815,FALSE)</f>
        <v>1.6970685904410301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ref="G816:G879" ca="1" si="130">H816-DATE(YEAR(H816),1,0)+1</f>
        <v>106</v>
      </c>
      <c r="H816" s="97">
        <f t="shared" ca="1" si="129"/>
        <v>46127</v>
      </c>
      <c r="I816" s="121">
        <f ca="1">HLOOKUP($H$4,'Met Data'!$A$2:$F$368,G816,FALSE)</f>
        <v>13.779166666666599</v>
      </c>
      <c r="J816" s="119">
        <f ca="1">HLOOKUP($H$4,'Met Data'!$H$2:$M$368,G816,FALSE)*L816</f>
        <v>0.9</v>
      </c>
      <c r="K816" s="98">
        <f ca="1">HLOOKUP($H$4,'Met Data'!$O$2:$T$368,G816,FALSE)</f>
        <v>2.0649391337631702</v>
      </c>
      <c r="L816">
        <f t="shared" ca="1" si="128"/>
        <v>1</v>
      </c>
      <c r="N816" t="e">
        <f t="shared" ref="N816:N879" ca="1" si="131">IF(P816&lt;$P$3,TRUE,FALSE)</f>
        <v>#N/A</v>
      </c>
      <c r="O816" t="e">
        <f t="shared" ref="O816:O879" ca="1" si="132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3">IFERROR(P816,$AD$4)</f>
        <v>0</v>
      </c>
      <c r="AE816">
        <f t="shared" ref="AE816:AE879" ca="1" si="134">IFERROR(U816,0)</f>
        <v>0</v>
      </c>
      <c r="AG816" s="63" t="e">
        <f t="shared" ref="AG816:AG879" ca="1" si="135">Q815+S816+T816+U816</f>
        <v>#N/A</v>
      </c>
      <c r="AH816" s="63" t="e">
        <f t="shared" ref="AH816:AH879" ca="1" si="136">Q816+R816+X816</f>
        <v>#N/A</v>
      </c>
      <c r="AI816" s="3" t="e">
        <f t="shared" ref="AI816:AI879" ca="1" si="137">AH816-AG816</f>
        <v>#N/A</v>
      </c>
    </row>
    <row r="817" spans="7:35" ht="15.75" thickBot="1">
      <c r="G817" s="3">
        <f t="shared" ca="1" si="130"/>
        <v>107</v>
      </c>
      <c r="H817" s="97">
        <f t="shared" ca="1" si="129"/>
        <v>46128</v>
      </c>
      <c r="I817" s="121">
        <f ca="1">HLOOKUP($H$4,'Met Data'!$A$2:$F$368,G817,FALSE)</f>
        <v>13.920833333333301</v>
      </c>
      <c r="J817" s="119">
        <f ca="1">HLOOKUP($H$4,'Met Data'!$H$2:$M$368,G817,FALSE)*L817</f>
        <v>7.6</v>
      </c>
      <c r="K817" s="98">
        <f ca="1">HLOOKUP($H$4,'Met Data'!$O$2:$T$368,G817,FALSE)</f>
        <v>1.7084212444020199</v>
      </c>
      <c r="L817">
        <f t="shared" ca="1" si="128"/>
        <v>1</v>
      </c>
      <c r="N817" t="e">
        <f t="shared" ca="1" si="131"/>
        <v>#N/A</v>
      </c>
      <c r="O817" t="e">
        <f t="shared" ca="1" si="132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3"/>
        <v>0</v>
      </c>
      <c r="AE817">
        <f t="shared" ca="1" si="134"/>
        <v>0</v>
      </c>
      <c r="AG817" s="63" t="e">
        <f t="shared" ca="1" si="135"/>
        <v>#N/A</v>
      </c>
      <c r="AH817" s="63" t="e">
        <f t="shared" ca="1" si="136"/>
        <v>#N/A</v>
      </c>
      <c r="AI817" s="3" t="e">
        <f t="shared" ca="1" si="137"/>
        <v>#N/A</v>
      </c>
    </row>
    <row r="818" spans="7:35" ht="15.75" thickBot="1">
      <c r="G818" s="3">
        <f t="shared" ca="1" si="130"/>
        <v>108</v>
      </c>
      <c r="H818" s="97">
        <f t="shared" ca="1" si="129"/>
        <v>46129</v>
      </c>
      <c r="I818" s="121">
        <f ca="1">HLOOKUP($H$4,'Met Data'!$A$2:$F$368,G818,FALSE)</f>
        <v>13.6416666666666</v>
      </c>
      <c r="J818" s="119">
        <f ca="1">HLOOKUP($H$4,'Met Data'!$H$2:$M$368,G818,FALSE)*L818</f>
        <v>3.44999999999999</v>
      </c>
      <c r="K818" s="98">
        <f ca="1">HLOOKUP($H$4,'Met Data'!$O$2:$T$368,G818,FALSE)</f>
        <v>1.46996077972592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109</v>
      </c>
      <c r="H819" s="97">
        <f t="shared" ca="1" si="129"/>
        <v>46130</v>
      </c>
      <c r="I819" s="121">
        <f ca="1">HLOOKUP($H$4,'Met Data'!$A$2:$F$368,G819,FALSE)</f>
        <v>13.6833333333333</v>
      </c>
      <c r="J819" s="119">
        <f ca="1">HLOOKUP($H$4,'Met Data'!$H$2:$M$368,G819,FALSE)*L819</f>
        <v>2.4166666666666599</v>
      </c>
      <c r="K819" s="98">
        <f ca="1">HLOOKUP($H$4,'Met Data'!$O$2:$T$368,G819,FALSE)</f>
        <v>1.64274717869015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110</v>
      </c>
      <c r="H820" s="97">
        <f t="shared" ca="1" si="129"/>
        <v>46131</v>
      </c>
      <c r="I820" s="121">
        <f ca="1">HLOOKUP($H$4,'Met Data'!$A$2:$F$368,G820,FALSE)</f>
        <v>12.945833333333301</v>
      </c>
      <c r="J820" s="119">
        <f ca="1">HLOOKUP($H$4,'Met Data'!$H$2:$M$368,G820,FALSE)*L820</f>
        <v>1.5999999999999901</v>
      </c>
      <c r="K820" s="98">
        <f ca="1">HLOOKUP($H$4,'Met Data'!$O$2:$T$368,G820,FALSE)</f>
        <v>1.70342846945819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111</v>
      </c>
      <c r="H821" s="97">
        <f t="shared" ca="1" si="129"/>
        <v>46132</v>
      </c>
      <c r="I821" s="121">
        <f ca="1">HLOOKUP($H$4,'Met Data'!$A$2:$F$368,G821,FALSE)</f>
        <v>14.2875</v>
      </c>
      <c r="J821" s="119">
        <f ca="1">HLOOKUP($H$4,'Met Data'!$H$2:$M$368,G821,FALSE)*L821</f>
        <v>1.1499999999999999</v>
      </c>
      <c r="K821" s="98">
        <f ca="1">HLOOKUP($H$4,'Met Data'!$O$2:$T$368,G821,FALSE)</f>
        <v>1.68674688590323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112</v>
      </c>
      <c r="H822" s="97">
        <f t="shared" ca="1" si="129"/>
        <v>46133</v>
      </c>
      <c r="I822" s="121">
        <f ca="1">HLOOKUP($H$4,'Met Data'!$A$2:$F$368,G822,FALSE)</f>
        <v>14.275</v>
      </c>
      <c r="J822" s="119">
        <f ca="1">HLOOKUP($H$4,'Met Data'!$H$2:$M$368,G822,FALSE)*L822</f>
        <v>2.0833333333333299</v>
      </c>
      <c r="K822" s="98">
        <f ca="1">HLOOKUP($H$4,'Met Data'!$O$2:$T$368,G822,FALSE)</f>
        <v>1.5152419322458901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113</v>
      </c>
      <c r="H823" s="97">
        <f t="shared" ca="1" si="129"/>
        <v>46134</v>
      </c>
      <c r="I823" s="121">
        <f ca="1">HLOOKUP($H$4,'Met Data'!$A$2:$F$368,G823,FALSE)</f>
        <v>13.595833333333299</v>
      </c>
      <c r="J823" s="119">
        <f ca="1">HLOOKUP($H$4,'Met Data'!$H$2:$M$368,G823,FALSE)*L823</f>
        <v>0.76666666666666605</v>
      </c>
      <c r="K823" s="98">
        <f ca="1">HLOOKUP($H$4,'Met Data'!$O$2:$T$368,G823,FALSE)</f>
        <v>1.65518894118648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114</v>
      </c>
      <c r="H824" s="97">
        <f t="shared" ca="1" si="129"/>
        <v>46135</v>
      </c>
      <c r="I824" s="121">
        <f ca="1">HLOOKUP($H$4,'Met Data'!$A$2:$F$368,G824,FALSE)</f>
        <v>13.9125</v>
      </c>
      <c r="J824" s="119">
        <f ca="1">HLOOKUP($H$4,'Met Data'!$H$2:$M$368,G824,FALSE)*L824</f>
        <v>0.3</v>
      </c>
      <c r="K824" s="98">
        <f ca="1">HLOOKUP($H$4,'Met Data'!$O$2:$T$368,G824,FALSE)</f>
        <v>1.66585763602601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115</v>
      </c>
      <c r="H825" s="97">
        <f t="shared" ca="1" si="129"/>
        <v>46136</v>
      </c>
      <c r="I825" s="121">
        <f ca="1">HLOOKUP($H$4,'Met Data'!$A$2:$F$368,G825,FALSE)</f>
        <v>14.820833333333301</v>
      </c>
      <c r="J825" s="119">
        <f ca="1">HLOOKUP($H$4,'Met Data'!$H$2:$M$368,G825,FALSE)*L825</f>
        <v>2.5333333333333301</v>
      </c>
      <c r="K825" s="98">
        <f ca="1">HLOOKUP($H$4,'Met Data'!$O$2:$T$368,G825,FALSE)</f>
        <v>1.5754379638326901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116</v>
      </c>
      <c r="H826" s="97">
        <f t="shared" ca="1" si="129"/>
        <v>46137</v>
      </c>
      <c r="I826" s="121">
        <f ca="1">HLOOKUP($H$4,'Met Data'!$A$2:$F$368,G826,FALSE)</f>
        <v>14.4166666666666</v>
      </c>
      <c r="J826" s="119">
        <f ca="1">HLOOKUP($H$4,'Met Data'!$H$2:$M$368,G826,FALSE)*L826</f>
        <v>7.3833333333333302</v>
      </c>
      <c r="K826" s="98">
        <f ca="1">HLOOKUP($H$4,'Met Data'!$O$2:$T$368,G826,FALSE)</f>
        <v>1.4622003711311999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117</v>
      </c>
      <c r="H827" s="97">
        <f t="shared" ca="1" si="129"/>
        <v>46138</v>
      </c>
      <c r="I827" s="121">
        <f ca="1">HLOOKUP($H$4,'Met Data'!$A$2:$F$368,G827,FALSE)</f>
        <v>13.9375</v>
      </c>
      <c r="J827" s="119">
        <f ca="1">HLOOKUP($H$4,'Met Data'!$H$2:$M$368,G827,FALSE)*L827</f>
        <v>0.7</v>
      </c>
      <c r="K827" s="98">
        <f ca="1">HLOOKUP($H$4,'Met Data'!$O$2:$T$368,G827,FALSE)</f>
        <v>1.4965322621758601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118</v>
      </c>
      <c r="H828" s="97">
        <f t="shared" ca="1" si="129"/>
        <v>46139</v>
      </c>
      <c r="I828" s="121">
        <f ca="1">HLOOKUP($H$4,'Met Data'!$A$2:$F$368,G828,FALSE)</f>
        <v>14.8045454545454</v>
      </c>
      <c r="J828" s="119">
        <f ca="1">HLOOKUP($H$4,'Met Data'!$H$2:$M$368,G828,FALSE)*L828</f>
        <v>4.5818181818181802</v>
      </c>
      <c r="K828" s="98">
        <f ca="1">HLOOKUP($H$4,'Met Data'!$O$2:$T$368,G828,FALSE)</f>
        <v>1.5702581753512701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119</v>
      </c>
      <c r="H829" s="97">
        <f t="shared" ca="1" si="129"/>
        <v>46140</v>
      </c>
      <c r="I829" s="121">
        <f ca="1">HLOOKUP($H$4,'Met Data'!$A$2:$F$368,G829,FALSE)</f>
        <v>14.1090909090909</v>
      </c>
      <c r="J829" s="119">
        <f ca="1">HLOOKUP($H$4,'Met Data'!$H$2:$M$368,G829,FALSE)*L829</f>
        <v>5.5454545454545396</v>
      </c>
      <c r="K829" s="98">
        <f ca="1">HLOOKUP($H$4,'Met Data'!$O$2:$T$368,G829,FALSE)</f>
        <v>1.27231342308323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120</v>
      </c>
      <c r="H830" s="97">
        <f t="shared" ca="1" si="129"/>
        <v>46141</v>
      </c>
      <c r="I830" s="121">
        <f ca="1">HLOOKUP($H$4,'Met Data'!$A$2:$F$368,G830,FALSE)</f>
        <v>13.8375</v>
      </c>
      <c r="J830" s="119">
        <f ca="1">HLOOKUP($H$4,'Met Data'!$H$2:$M$368,G830,FALSE)*L830</f>
        <v>4.68333333333333</v>
      </c>
      <c r="K830" s="98">
        <f ca="1">HLOOKUP($H$4,'Met Data'!$O$2:$T$368,G830,FALSE)</f>
        <v>1.5077932055652401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121</v>
      </c>
      <c r="H831" s="97">
        <f t="shared" ca="1" si="129"/>
        <v>46142</v>
      </c>
      <c r="I831" s="121">
        <f ca="1">HLOOKUP($H$4,'Met Data'!$A$2:$F$368,G831,FALSE)</f>
        <v>13.6458333333333</v>
      </c>
      <c r="J831" s="119">
        <f ca="1">HLOOKUP($H$4,'Met Data'!$H$2:$M$368,G831,FALSE)*L831</f>
        <v>5.3999999999999897</v>
      </c>
      <c r="K831" s="98">
        <f ca="1">HLOOKUP($H$4,'Met Data'!$O$2:$T$368,G831,FALSE)</f>
        <v>1.60300410285803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122</v>
      </c>
      <c r="H832" s="97">
        <f t="shared" ca="1" si="129"/>
        <v>46143</v>
      </c>
      <c r="I832" s="121">
        <f ca="1">HLOOKUP($H$4,'Met Data'!$A$2:$F$368,G832,FALSE)</f>
        <v>11.883333333333301</v>
      </c>
      <c r="J832" s="119">
        <f ca="1">HLOOKUP($H$4,'Met Data'!$H$2:$M$368,G832,FALSE)*L832</f>
        <v>0.25</v>
      </c>
      <c r="K832" s="98">
        <f ca="1">HLOOKUP($H$4,'Met Data'!$O$2:$T$368,G832,FALSE)</f>
        <v>1.67837953393642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123</v>
      </c>
      <c r="H833" s="97">
        <f t="shared" ca="1" si="129"/>
        <v>46144</v>
      </c>
      <c r="I833" s="121">
        <f ca="1">HLOOKUP($H$4,'Met Data'!$A$2:$F$368,G833,FALSE)</f>
        <v>11.8541666666666</v>
      </c>
      <c r="J833" s="119">
        <f ca="1">HLOOKUP($H$4,'Met Data'!$H$2:$M$368,G833,FALSE)*L833</f>
        <v>0.133333333333333</v>
      </c>
      <c r="K833" s="98">
        <f ca="1">HLOOKUP($H$4,'Met Data'!$O$2:$T$368,G833,FALSE)</f>
        <v>1.44561782365903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124</v>
      </c>
      <c r="H834" s="97">
        <f t="shared" ca="1" si="129"/>
        <v>46145</v>
      </c>
      <c r="I834" s="121">
        <f ca="1">HLOOKUP($H$4,'Met Data'!$A$2:$F$368,G834,FALSE)</f>
        <v>13.0875</v>
      </c>
      <c r="J834" s="119">
        <f ca="1">HLOOKUP($H$4,'Met Data'!$H$2:$M$368,G834,FALSE)*L834</f>
        <v>2.1333333333333302</v>
      </c>
      <c r="K834" s="98">
        <f ca="1">HLOOKUP($H$4,'Met Data'!$O$2:$T$368,G834,FALSE)</f>
        <v>1.4319782957140901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125</v>
      </c>
      <c r="H835" s="97">
        <f t="shared" ca="1" si="129"/>
        <v>46146</v>
      </c>
      <c r="I835" s="121">
        <f ca="1">HLOOKUP($H$4,'Met Data'!$A$2:$F$368,G835,FALSE)</f>
        <v>13.137499999999999</v>
      </c>
      <c r="J835" s="119">
        <f ca="1">HLOOKUP($H$4,'Met Data'!$H$2:$M$368,G835,FALSE)*L835</f>
        <v>3</v>
      </c>
      <c r="K835" s="98">
        <f ca="1">HLOOKUP($H$4,'Met Data'!$O$2:$T$368,G835,FALSE)</f>
        <v>1.16413167388704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126</v>
      </c>
      <c r="H836" s="97">
        <f t="shared" ca="1" si="129"/>
        <v>46147</v>
      </c>
      <c r="I836" s="121">
        <f ca="1">HLOOKUP($H$4,'Met Data'!$A$2:$F$368,G836,FALSE)</f>
        <v>13.591666666666599</v>
      </c>
      <c r="J836" s="119">
        <f ca="1">HLOOKUP($H$4,'Met Data'!$H$2:$M$368,G836,FALSE)*L836</f>
        <v>4.8499999999999996</v>
      </c>
      <c r="K836" s="98">
        <f ca="1">HLOOKUP($H$4,'Met Data'!$O$2:$T$368,G836,FALSE)</f>
        <v>1.3049016144750001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127</v>
      </c>
      <c r="H837" s="97">
        <f t="shared" ca="1" si="129"/>
        <v>46148</v>
      </c>
      <c r="I837" s="121">
        <f ca="1">HLOOKUP($H$4,'Met Data'!$A$2:$F$368,G837,FALSE)</f>
        <v>13.2708333333333</v>
      </c>
      <c r="J837" s="119">
        <f ca="1">HLOOKUP($H$4,'Met Data'!$H$2:$M$368,G837,FALSE)*L837</f>
        <v>2.36666666666666</v>
      </c>
      <c r="K837" s="98">
        <f ca="1">HLOOKUP($H$4,'Met Data'!$O$2:$T$368,G837,FALSE)</f>
        <v>1.29751787384439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128</v>
      </c>
      <c r="H838" s="97">
        <f t="shared" ca="1" si="129"/>
        <v>46149</v>
      </c>
      <c r="I838" s="121">
        <f ca="1">HLOOKUP($H$4,'Met Data'!$A$2:$F$368,G838,FALSE)</f>
        <v>12.6791666666666</v>
      </c>
      <c r="J838" s="119">
        <f ca="1">HLOOKUP($H$4,'Met Data'!$H$2:$M$368,G838,FALSE)*L838</f>
        <v>5.4166666666666599</v>
      </c>
      <c r="K838" s="98">
        <f ca="1">HLOOKUP($H$4,'Met Data'!$O$2:$T$368,G838,FALSE)</f>
        <v>1.3071916611718599</v>
      </c>
      <c r="L838">
        <f t="shared" ref="L838:L901" ca="1" si="138">IF(H838&lt;$B$31,$J$3,$J$4)</f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129</v>
      </c>
      <c r="H839" s="97">
        <f t="shared" ca="1" si="129"/>
        <v>46150</v>
      </c>
      <c r="I839" s="121">
        <f ca="1">HLOOKUP($H$4,'Met Data'!$A$2:$F$368,G839,FALSE)</f>
        <v>12.799999999999899</v>
      </c>
      <c r="J839" s="119">
        <f ca="1">HLOOKUP($H$4,'Met Data'!$H$2:$M$368,G839,FALSE)*L839</f>
        <v>2.1666666666666599</v>
      </c>
      <c r="K839" s="98">
        <f ca="1">HLOOKUP($H$4,'Met Data'!$O$2:$T$368,G839,FALSE)</f>
        <v>1.27112414081248</v>
      </c>
      <c r="L839">
        <f t="shared" ca="1" si="138"/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130</v>
      </c>
      <c r="H840" s="97">
        <f t="shared" ref="H840:H903" ca="1" si="139">H839+1</f>
        <v>46151</v>
      </c>
      <c r="I840" s="121">
        <f ca="1">HLOOKUP($H$4,'Met Data'!$A$2:$F$368,G840,FALSE)</f>
        <v>14.1</v>
      </c>
      <c r="J840" s="119">
        <f ca="1">HLOOKUP($H$4,'Met Data'!$H$2:$M$368,G840,FALSE)*L840</f>
        <v>1.2333333333333301</v>
      </c>
      <c r="K840" s="98">
        <f ca="1">HLOOKUP($H$4,'Met Data'!$O$2:$T$368,G840,FALSE)</f>
        <v>1.3593529897032299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131</v>
      </c>
      <c r="H841" s="97">
        <f t="shared" ca="1" si="139"/>
        <v>46152</v>
      </c>
      <c r="I841" s="121">
        <f ca="1">HLOOKUP($H$4,'Met Data'!$A$2:$F$368,G841,FALSE)</f>
        <v>13.7416666666666</v>
      </c>
      <c r="J841" s="119">
        <f ca="1">HLOOKUP($H$4,'Met Data'!$H$2:$M$368,G841,FALSE)*L841</f>
        <v>1.56666666666666</v>
      </c>
      <c r="K841" s="98">
        <f ca="1">HLOOKUP($H$4,'Met Data'!$O$2:$T$368,G841,FALSE)</f>
        <v>1.1980493949464299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132</v>
      </c>
      <c r="H842" s="97">
        <f t="shared" ca="1" si="139"/>
        <v>46153</v>
      </c>
      <c r="I842" s="121">
        <f ca="1">HLOOKUP($H$4,'Met Data'!$A$2:$F$368,G842,FALSE)</f>
        <v>13.1</v>
      </c>
      <c r="J842" s="119">
        <f ca="1">HLOOKUP($H$4,'Met Data'!$H$2:$M$368,G842,FALSE)*L842</f>
        <v>3.7166666666666601</v>
      </c>
      <c r="K842" s="98">
        <f ca="1">HLOOKUP($H$4,'Met Data'!$O$2:$T$368,G842,FALSE)</f>
        <v>1.0818629782871001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133</v>
      </c>
      <c r="H843" s="97">
        <f t="shared" ca="1" si="139"/>
        <v>46154</v>
      </c>
      <c r="I843" s="121">
        <f ca="1">HLOOKUP($H$4,'Met Data'!$A$2:$F$368,G843,FALSE)</f>
        <v>13.566666666666601</v>
      </c>
      <c r="J843" s="119">
        <f ca="1">HLOOKUP($H$4,'Met Data'!$H$2:$M$368,G843,FALSE)*L843</f>
        <v>5.86666666666666</v>
      </c>
      <c r="K843" s="98">
        <f ca="1">HLOOKUP($H$4,'Met Data'!$O$2:$T$368,G843,FALSE)</f>
        <v>0.93360919947406795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134</v>
      </c>
      <c r="H844" s="97">
        <f t="shared" ca="1" si="139"/>
        <v>46155</v>
      </c>
      <c r="I844" s="121">
        <f ca="1">HLOOKUP($H$4,'Met Data'!$A$2:$F$368,G844,FALSE)</f>
        <v>12.887499999999999</v>
      </c>
      <c r="J844" s="119">
        <f ca="1">HLOOKUP($H$4,'Met Data'!$H$2:$M$368,G844,FALSE)*L844</f>
        <v>5.1666666666666599</v>
      </c>
      <c r="K844" s="98">
        <f ca="1">HLOOKUP($H$4,'Met Data'!$O$2:$T$368,G844,FALSE)</f>
        <v>1.3361527471355901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135</v>
      </c>
      <c r="H845" s="97">
        <f t="shared" ca="1" si="139"/>
        <v>46156</v>
      </c>
      <c r="I845" s="121">
        <f ca="1">HLOOKUP($H$4,'Met Data'!$A$2:$F$368,G845,FALSE)</f>
        <v>13</v>
      </c>
      <c r="J845" s="119">
        <f ca="1">HLOOKUP($H$4,'Met Data'!$H$2:$M$368,G845,FALSE)*L845</f>
        <v>4.86666666666666</v>
      </c>
      <c r="K845" s="98">
        <f ca="1">HLOOKUP($H$4,'Met Data'!$O$2:$T$368,G845,FALSE)</f>
        <v>1.1907632624443201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136</v>
      </c>
      <c r="H846" s="97">
        <f t="shared" ca="1" si="139"/>
        <v>46157</v>
      </c>
      <c r="I846" s="121">
        <f ca="1">HLOOKUP($H$4,'Met Data'!$A$2:$F$368,G846,FALSE)</f>
        <v>13.470833333333299</v>
      </c>
      <c r="J846" s="119">
        <f ca="1">HLOOKUP($H$4,'Met Data'!$H$2:$M$368,G846,FALSE)*L846</f>
        <v>8.7833333333333297</v>
      </c>
      <c r="K846" s="98">
        <f ca="1">HLOOKUP($H$4,'Met Data'!$O$2:$T$368,G846,FALSE)</f>
        <v>1.16840876605303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137</v>
      </c>
      <c r="H847" s="97">
        <f t="shared" ca="1" si="139"/>
        <v>46158</v>
      </c>
      <c r="I847" s="121">
        <f ca="1">HLOOKUP($H$4,'Met Data'!$A$2:$F$368,G847,FALSE)</f>
        <v>12.8666666666666</v>
      </c>
      <c r="J847" s="119">
        <f ca="1">HLOOKUP($H$4,'Met Data'!$H$2:$M$368,G847,FALSE)*L847</f>
        <v>4.86666666666666</v>
      </c>
      <c r="K847" s="98">
        <f ca="1">HLOOKUP($H$4,'Met Data'!$O$2:$T$368,G847,FALSE)</f>
        <v>1.23845839693481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138</v>
      </c>
      <c r="H848" s="97">
        <f t="shared" ca="1" si="139"/>
        <v>46159</v>
      </c>
      <c r="I848" s="121">
        <f ca="1">HLOOKUP($H$4,'Met Data'!$A$2:$F$368,G848,FALSE)</f>
        <v>12.237499999999899</v>
      </c>
      <c r="J848" s="119">
        <f ca="1">HLOOKUP($H$4,'Met Data'!$H$2:$M$368,G848,FALSE)*L848</f>
        <v>3.7166666666666601</v>
      </c>
      <c r="K848" s="98">
        <f ca="1">HLOOKUP($H$4,'Met Data'!$O$2:$T$368,G848,FALSE)</f>
        <v>1.3074898165915401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139</v>
      </c>
      <c r="H849" s="97">
        <f t="shared" ca="1" si="139"/>
        <v>46160</v>
      </c>
      <c r="I849" s="121">
        <f ca="1">HLOOKUP($H$4,'Met Data'!$A$2:$F$368,G849,FALSE)</f>
        <v>11.595833333333299</v>
      </c>
      <c r="J849" s="119">
        <f ca="1">HLOOKUP($H$4,'Met Data'!$H$2:$M$368,G849,FALSE)*L849</f>
        <v>2.61666666666666</v>
      </c>
      <c r="K849" s="98">
        <f ca="1">HLOOKUP($H$4,'Met Data'!$O$2:$T$368,G849,FALSE)</f>
        <v>1.3321153360432201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140</v>
      </c>
      <c r="H850" s="97">
        <f t="shared" ca="1" si="139"/>
        <v>46161</v>
      </c>
      <c r="I850" s="121">
        <f ca="1">HLOOKUP($H$4,'Met Data'!$A$2:$F$368,G850,FALSE)</f>
        <v>11.904166666666599</v>
      </c>
      <c r="J850" s="119">
        <f ca="1">HLOOKUP($H$4,'Met Data'!$H$2:$M$368,G850,FALSE)*L850</f>
        <v>2.35</v>
      </c>
      <c r="K850" s="98">
        <f ca="1">HLOOKUP($H$4,'Met Data'!$O$2:$T$368,G850,FALSE)</f>
        <v>1.2961776408629699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141</v>
      </c>
      <c r="H851" s="97">
        <f t="shared" ca="1" si="139"/>
        <v>46162</v>
      </c>
      <c r="I851" s="121">
        <f ca="1">HLOOKUP($H$4,'Met Data'!$A$2:$F$368,G851,FALSE)</f>
        <v>11.762499999999999</v>
      </c>
      <c r="J851" s="119">
        <f ca="1">HLOOKUP($H$4,'Met Data'!$H$2:$M$368,G851,FALSE)*L851</f>
        <v>0.31666666666666599</v>
      </c>
      <c r="K851" s="98">
        <f ca="1">HLOOKUP($H$4,'Met Data'!$O$2:$T$368,G851,FALSE)</f>
        <v>1.26598619456247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142</v>
      </c>
      <c r="H852" s="97">
        <f t="shared" ca="1" si="139"/>
        <v>46163</v>
      </c>
      <c r="I852" s="121">
        <f ca="1">HLOOKUP($H$4,'Met Data'!$A$2:$F$368,G852,FALSE)</f>
        <v>11.612500000000001</v>
      </c>
      <c r="J852" s="119">
        <f ca="1">HLOOKUP($H$4,'Met Data'!$H$2:$M$368,G852,FALSE)*L852</f>
        <v>2</v>
      </c>
      <c r="K852" s="98">
        <f ca="1">HLOOKUP($H$4,'Met Data'!$O$2:$T$368,G852,FALSE)</f>
        <v>1.0607063970516699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143</v>
      </c>
      <c r="H853" s="97">
        <f t="shared" ca="1" si="139"/>
        <v>46164</v>
      </c>
      <c r="I853" s="121">
        <f ca="1">HLOOKUP($H$4,'Met Data'!$A$2:$F$368,G853,FALSE)</f>
        <v>10.174999999999899</v>
      </c>
      <c r="J853" s="119">
        <f ca="1">HLOOKUP($H$4,'Met Data'!$H$2:$M$368,G853,FALSE)*L853</f>
        <v>2.93333333333333</v>
      </c>
      <c r="K853" s="98">
        <f ca="1">HLOOKUP($H$4,'Met Data'!$O$2:$T$368,G853,FALSE)</f>
        <v>1.10734547072848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144</v>
      </c>
      <c r="H854" s="97">
        <f t="shared" ca="1" si="139"/>
        <v>46165</v>
      </c>
      <c r="I854" s="121">
        <f ca="1">HLOOKUP($H$4,'Met Data'!$A$2:$F$368,G854,FALSE)</f>
        <v>10.7416666666666</v>
      </c>
      <c r="J854" s="119">
        <f ca="1">HLOOKUP($H$4,'Met Data'!$H$2:$M$368,G854,FALSE)*L854</f>
        <v>2.8</v>
      </c>
      <c r="K854" s="98">
        <f ca="1">HLOOKUP($H$4,'Met Data'!$O$2:$T$368,G854,FALSE)</f>
        <v>0.94921082080766905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145</v>
      </c>
      <c r="H855" s="97">
        <f t="shared" ca="1" si="139"/>
        <v>46166</v>
      </c>
      <c r="I855" s="121">
        <f ca="1">HLOOKUP($H$4,'Met Data'!$A$2:$F$368,G855,FALSE)</f>
        <v>10.983333333333301</v>
      </c>
      <c r="J855" s="119">
        <f ca="1">HLOOKUP($H$4,'Met Data'!$H$2:$M$368,G855,FALSE)*L855</f>
        <v>5.61666666666666</v>
      </c>
      <c r="K855" s="98">
        <f ca="1">HLOOKUP($H$4,'Met Data'!$O$2:$T$368,G855,FALSE)</f>
        <v>0.95593712910075901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146</v>
      </c>
      <c r="H856" s="97">
        <f t="shared" ca="1" si="139"/>
        <v>46167</v>
      </c>
      <c r="I856" s="121">
        <f ca="1">HLOOKUP($H$4,'Met Data'!$A$2:$F$368,G856,FALSE)</f>
        <v>10.7666666666666</v>
      </c>
      <c r="J856" s="119">
        <f ca="1">HLOOKUP($H$4,'Met Data'!$H$2:$M$368,G856,FALSE)*L856</f>
        <v>3.1666666666666599</v>
      </c>
      <c r="K856" s="98">
        <f ca="1">HLOOKUP($H$4,'Met Data'!$O$2:$T$368,G856,FALSE)</f>
        <v>0.98597820560947502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147</v>
      </c>
      <c r="H857" s="97">
        <f t="shared" ca="1" si="139"/>
        <v>46168</v>
      </c>
      <c r="I857" s="121">
        <f ca="1">HLOOKUP($H$4,'Met Data'!$A$2:$F$368,G857,FALSE)</f>
        <v>11.1833333333333</v>
      </c>
      <c r="J857" s="119">
        <f ca="1">HLOOKUP($H$4,'Met Data'!$H$2:$M$368,G857,FALSE)*L857</f>
        <v>6.1499999999999897</v>
      </c>
      <c r="K857" s="98">
        <f ca="1">HLOOKUP($H$4,'Met Data'!$O$2:$T$368,G857,FALSE)</f>
        <v>1.02530679052105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148</v>
      </c>
      <c r="H858" s="97">
        <f t="shared" ca="1" si="139"/>
        <v>46169</v>
      </c>
      <c r="I858" s="121">
        <f ca="1">HLOOKUP($H$4,'Met Data'!$A$2:$F$368,G858,FALSE)</f>
        <v>10.566666666666601</v>
      </c>
      <c r="J858" s="119">
        <f ca="1">HLOOKUP($H$4,'Met Data'!$H$2:$M$368,G858,FALSE)*L858</f>
        <v>2.7666666666666599</v>
      </c>
      <c r="K858" s="98">
        <f ca="1">HLOOKUP($H$4,'Met Data'!$O$2:$T$368,G858,FALSE)</f>
        <v>1.05508542906727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149</v>
      </c>
      <c r="H859" s="97">
        <f t="shared" ca="1" si="139"/>
        <v>46170</v>
      </c>
      <c r="I859" s="121">
        <f ca="1">HLOOKUP($H$4,'Met Data'!$A$2:$F$368,G859,FALSE)</f>
        <v>10.283333333333299</v>
      </c>
      <c r="J859" s="119">
        <f ca="1">HLOOKUP($H$4,'Met Data'!$H$2:$M$368,G859,FALSE)*L859</f>
        <v>2.7333333333333298</v>
      </c>
      <c r="K859" s="98">
        <f ca="1">HLOOKUP($H$4,'Met Data'!$O$2:$T$368,G859,FALSE)</f>
        <v>0.96273544691676505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150</v>
      </c>
      <c r="H860" s="97">
        <f t="shared" ca="1" si="139"/>
        <v>46171</v>
      </c>
      <c r="I860" s="121">
        <f ca="1">HLOOKUP($H$4,'Met Data'!$A$2:$F$368,G860,FALSE)</f>
        <v>10.8</v>
      </c>
      <c r="J860" s="119">
        <f ca="1">HLOOKUP($H$4,'Met Data'!$H$2:$M$368,G860,FALSE)*L860</f>
        <v>3.2333333333333298</v>
      </c>
      <c r="K860" s="98">
        <f ca="1">HLOOKUP($H$4,'Met Data'!$O$2:$T$368,G860,FALSE)</f>
        <v>1.08816831727148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151</v>
      </c>
      <c r="H861" s="97">
        <f t="shared" ca="1" si="139"/>
        <v>46172</v>
      </c>
      <c r="I861" s="121">
        <f ca="1">HLOOKUP($H$4,'Met Data'!$A$2:$F$368,G861,FALSE)</f>
        <v>9.6624999999999996</v>
      </c>
      <c r="J861" s="119">
        <f ca="1">HLOOKUP($H$4,'Met Data'!$H$2:$M$368,G861,FALSE)*L861</f>
        <v>1.88333333333333</v>
      </c>
      <c r="K861" s="98">
        <f ca="1">HLOOKUP($H$4,'Met Data'!$O$2:$T$368,G861,FALSE)</f>
        <v>1.0187040175234601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152</v>
      </c>
      <c r="H862" s="97">
        <f t="shared" ca="1" si="139"/>
        <v>46173</v>
      </c>
      <c r="I862" s="121">
        <f ca="1">HLOOKUP($H$4,'Met Data'!$A$2:$F$368,G862,FALSE)</f>
        <v>9.7166666666666597</v>
      </c>
      <c r="J862" s="119">
        <f ca="1">HLOOKUP($H$4,'Met Data'!$H$2:$M$368,G862,FALSE)*L862</f>
        <v>4.7</v>
      </c>
      <c r="K862" s="98">
        <f ca="1">HLOOKUP($H$4,'Met Data'!$O$2:$T$368,G862,FALSE)</f>
        <v>1.10197006718848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153</v>
      </c>
      <c r="H863" s="97">
        <f t="shared" ca="1" si="139"/>
        <v>46174</v>
      </c>
      <c r="I863" s="121">
        <f ca="1">HLOOKUP($H$4,'Met Data'!$A$2:$F$368,G863,FALSE)</f>
        <v>10.004166666666601</v>
      </c>
      <c r="J863" s="119">
        <f ca="1">HLOOKUP($H$4,'Met Data'!$H$2:$M$368,G863,FALSE)*L863</f>
        <v>2.5</v>
      </c>
      <c r="K863" s="98">
        <f ca="1">HLOOKUP($H$4,'Met Data'!$O$2:$T$368,G863,FALSE)</f>
        <v>1.1690097853574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154</v>
      </c>
      <c r="H864" s="97">
        <f t="shared" ca="1" si="139"/>
        <v>46175</v>
      </c>
      <c r="I864" s="121">
        <f ca="1">HLOOKUP($H$4,'Met Data'!$A$2:$F$368,G864,FALSE)</f>
        <v>9.99583333333333</v>
      </c>
      <c r="J864" s="119">
        <f ca="1">HLOOKUP($H$4,'Met Data'!$H$2:$M$368,G864,FALSE)*L864</f>
        <v>2.7833333333333301</v>
      </c>
      <c r="K864" s="98">
        <f ca="1">HLOOKUP($H$4,'Met Data'!$O$2:$T$368,G864,FALSE)</f>
        <v>1.0280895768516001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155</v>
      </c>
      <c r="H865" s="97">
        <f t="shared" ca="1" si="139"/>
        <v>46176</v>
      </c>
      <c r="I865" s="121">
        <f ca="1">HLOOKUP($H$4,'Met Data'!$A$2:$F$368,G865,FALSE)</f>
        <v>9.8999999999999897</v>
      </c>
      <c r="J865" s="119">
        <f ca="1">HLOOKUP($H$4,'Met Data'!$H$2:$M$368,G865,FALSE)*L865</f>
        <v>1.7833333333333301</v>
      </c>
      <c r="K865" s="98">
        <f ca="1">HLOOKUP($H$4,'Met Data'!$O$2:$T$368,G865,FALSE)</f>
        <v>0.97110296937720297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156</v>
      </c>
      <c r="H866" s="97">
        <f t="shared" ca="1" si="139"/>
        <v>46177</v>
      </c>
      <c r="I866" s="121">
        <f ca="1">HLOOKUP($H$4,'Met Data'!$A$2:$F$368,G866,FALSE)</f>
        <v>10.95</v>
      </c>
      <c r="J866" s="119">
        <f ca="1">HLOOKUP($H$4,'Met Data'!$H$2:$M$368,G866,FALSE)*L866</f>
        <v>2.44999999999999</v>
      </c>
      <c r="K866" s="98">
        <f ca="1">HLOOKUP($H$4,'Met Data'!$O$2:$T$368,G866,FALSE)</f>
        <v>0.960770877493487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157</v>
      </c>
      <c r="H867" s="97">
        <f t="shared" ca="1" si="139"/>
        <v>46178</v>
      </c>
      <c r="I867" s="121">
        <f ca="1">HLOOKUP($H$4,'Met Data'!$A$2:$F$368,G867,FALSE)</f>
        <v>10.6875</v>
      </c>
      <c r="J867" s="119">
        <f ca="1">HLOOKUP($H$4,'Met Data'!$H$2:$M$368,G867,FALSE)*L867</f>
        <v>4.1333333333333302</v>
      </c>
      <c r="K867" s="98">
        <f ca="1">HLOOKUP($H$4,'Met Data'!$O$2:$T$368,G867,FALSE)</f>
        <v>0.84332690198160198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158</v>
      </c>
      <c r="H868" s="97">
        <f t="shared" ca="1" si="139"/>
        <v>46179</v>
      </c>
      <c r="I868" s="121">
        <f ca="1">HLOOKUP($H$4,'Met Data'!$A$2:$F$368,G868,FALSE)</f>
        <v>10.5625</v>
      </c>
      <c r="J868" s="119">
        <f ca="1">HLOOKUP($H$4,'Met Data'!$H$2:$M$368,G868,FALSE)*L868</f>
        <v>5.3</v>
      </c>
      <c r="K868" s="98">
        <f ca="1">HLOOKUP($H$4,'Met Data'!$O$2:$T$368,G868,FALSE)</f>
        <v>0.93242759876210701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159</v>
      </c>
      <c r="H869" s="97">
        <f t="shared" ca="1" si="139"/>
        <v>46180</v>
      </c>
      <c r="I869" s="121">
        <f ca="1">HLOOKUP($H$4,'Met Data'!$A$2:$F$368,G869,FALSE)</f>
        <v>10.4625</v>
      </c>
      <c r="J869" s="119">
        <f ca="1">HLOOKUP($H$4,'Met Data'!$H$2:$M$368,G869,FALSE)*L869</f>
        <v>2.44999999999999</v>
      </c>
      <c r="K869" s="98">
        <f ca="1">HLOOKUP($H$4,'Met Data'!$O$2:$T$368,G869,FALSE)</f>
        <v>0.99912564942381998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160</v>
      </c>
      <c r="H870" s="97">
        <f t="shared" ca="1" si="139"/>
        <v>46181</v>
      </c>
      <c r="I870" s="121">
        <f ca="1">HLOOKUP($H$4,'Met Data'!$A$2:$F$368,G870,FALSE)</f>
        <v>9.5875000000000004</v>
      </c>
      <c r="J870" s="119">
        <f ca="1">HLOOKUP($H$4,'Met Data'!$H$2:$M$368,G870,FALSE)*L870</f>
        <v>1.7333333333333301</v>
      </c>
      <c r="K870" s="98">
        <f ca="1">HLOOKUP($H$4,'Met Data'!$O$2:$T$368,G870,FALSE)</f>
        <v>1.0839051549829499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161</v>
      </c>
      <c r="H871" s="97">
        <f t="shared" ca="1" si="139"/>
        <v>46182</v>
      </c>
      <c r="I871" s="121">
        <f ca="1">HLOOKUP($H$4,'Met Data'!$A$2:$F$368,G871,FALSE)</f>
        <v>9.4875000000000007</v>
      </c>
      <c r="J871" s="119">
        <f ca="1">HLOOKUP($H$4,'Met Data'!$H$2:$M$368,G871,FALSE)*L871</f>
        <v>1.55</v>
      </c>
      <c r="K871" s="98">
        <f ca="1">HLOOKUP($H$4,'Met Data'!$O$2:$T$368,G871,FALSE)</f>
        <v>0.94567596592895498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162</v>
      </c>
      <c r="H872" s="97">
        <f t="shared" ca="1" si="139"/>
        <v>46183</v>
      </c>
      <c r="I872" s="121">
        <f ca="1">HLOOKUP($H$4,'Met Data'!$A$2:$F$368,G872,FALSE)</f>
        <v>10.9</v>
      </c>
      <c r="J872" s="119">
        <f ca="1">HLOOKUP($H$4,'Met Data'!$H$2:$M$368,G872,FALSE)*L872</f>
        <v>4.8363636363636298</v>
      </c>
      <c r="K872" s="98">
        <f ca="1">HLOOKUP($H$4,'Met Data'!$O$2:$T$368,G872,FALSE)</f>
        <v>0.77149259834587403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163</v>
      </c>
      <c r="H873" s="97">
        <f t="shared" ca="1" si="139"/>
        <v>46184</v>
      </c>
      <c r="I873" s="121">
        <f ca="1">HLOOKUP($H$4,'Met Data'!$A$2:$F$368,G873,FALSE)</f>
        <v>10.8954545454545</v>
      </c>
      <c r="J873" s="119">
        <f ca="1">HLOOKUP($H$4,'Met Data'!$H$2:$M$368,G873,FALSE)*L873</f>
        <v>7.1454545454545402</v>
      </c>
      <c r="K873" s="98">
        <f ca="1">HLOOKUP($H$4,'Met Data'!$O$2:$T$368,G873,FALSE)</f>
        <v>0.76887644299908198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164</v>
      </c>
      <c r="H874" s="97">
        <f t="shared" ca="1" si="139"/>
        <v>46185</v>
      </c>
      <c r="I874" s="121">
        <f ca="1">HLOOKUP($H$4,'Met Data'!$A$2:$F$368,G874,FALSE)</f>
        <v>11.8375</v>
      </c>
      <c r="J874" s="119">
        <f ca="1">HLOOKUP($H$4,'Met Data'!$H$2:$M$368,G874,FALSE)*L874</f>
        <v>0.88333333333333297</v>
      </c>
      <c r="K874" s="98">
        <f ca="1">HLOOKUP($H$4,'Met Data'!$O$2:$T$368,G874,FALSE)</f>
        <v>0.886573255907814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165</v>
      </c>
      <c r="H875" s="97">
        <f t="shared" ca="1" si="139"/>
        <v>46186</v>
      </c>
      <c r="I875" s="121">
        <f ca="1">HLOOKUP($H$4,'Met Data'!$A$2:$F$368,G875,FALSE)</f>
        <v>10.4916666666666</v>
      </c>
      <c r="J875" s="119">
        <f ca="1">HLOOKUP($H$4,'Met Data'!$H$2:$M$368,G875,FALSE)*L875</f>
        <v>5.3166666666666602</v>
      </c>
      <c r="K875" s="98">
        <f ca="1">HLOOKUP($H$4,'Met Data'!$O$2:$T$368,G875,FALSE)</f>
        <v>0.75300621765048603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166</v>
      </c>
      <c r="H876" s="97">
        <f t="shared" ca="1" si="139"/>
        <v>46187</v>
      </c>
      <c r="I876" s="121">
        <f ca="1">HLOOKUP($H$4,'Met Data'!$A$2:$F$368,G876,FALSE)</f>
        <v>10.133333333333301</v>
      </c>
      <c r="J876" s="119">
        <f ca="1">HLOOKUP($H$4,'Met Data'!$H$2:$M$368,G876,FALSE)*L876</f>
        <v>1.2</v>
      </c>
      <c r="K876" s="98">
        <f ca="1">HLOOKUP($H$4,'Met Data'!$O$2:$T$368,G876,FALSE)</f>
        <v>1.0949815777606999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167</v>
      </c>
      <c r="H877" s="97">
        <f t="shared" ca="1" si="139"/>
        <v>46188</v>
      </c>
      <c r="I877" s="121">
        <f ca="1">HLOOKUP($H$4,'Met Data'!$A$2:$F$368,G877,FALSE)</f>
        <v>9.0291666666666597</v>
      </c>
      <c r="J877" s="119">
        <f ca="1">HLOOKUP($H$4,'Met Data'!$H$2:$M$368,G877,FALSE)*L877</f>
        <v>2.0499999999999998</v>
      </c>
      <c r="K877" s="98">
        <f ca="1">HLOOKUP($H$4,'Met Data'!$O$2:$T$368,G877,FALSE)</f>
        <v>0.76363291076582096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168</v>
      </c>
      <c r="H878" s="97">
        <f t="shared" ca="1" si="139"/>
        <v>46189</v>
      </c>
      <c r="I878" s="121">
        <f ca="1">HLOOKUP($H$4,'Met Data'!$A$2:$F$368,G878,FALSE)</f>
        <v>10.125</v>
      </c>
      <c r="J878" s="119">
        <f ca="1">HLOOKUP($H$4,'Met Data'!$H$2:$M$368,G878,FALSE)*L878</f>
        <v>2.68333333333333</v>
      </c>
      <c r="K878" s="98">
        <f ca="1">HLOOKUP($H$4,'Met Data'!$O$2:$T$368,G878,FALSE)</f>
        <v>0.84633721178312304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169</v>
      </c>
      <c r="H879" s="97">
        <f t="shared" ca="1" si="139"/>
        <v>46190</v>
      </c>
      <c r="I879" s="121">
        <f ca="1">HLOOKUP($H$4,'Met Data'!$A$2:$F$368,G879,FALSE)</f>
        <v>10.2291666666666</v>
      </c>
      <c r="J879" s="119">
        <f ca="1">HLOOKUP($H$4,'Met Data'!$H$2:$M$368,G879,FALSE)*L879</f>
        <v>2.5333333333333301</v>
      </c>
      <c r="K879" s="98">
        <f ca="1">HLOOKUP($H$4,'Met Data'!$O$2:$T$368,G879,FALSE)</f>
        <v>0.91611783655738799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ref="G880:G943" ca="1" si="140">H880-DATE(YEAR(H880),1,0)+1</f>
        <v>170</v>
      </c>
      <c r="H880" s="97">
        <f t="shared" ca="1" si="139"/>
        <v>46191</v>
      </c>
      <c r="I880" s="121">
        <f ca="1">HLOOKUP($H$4,'Met Data'!$A$2:$F$368,G880,FALSE)</f>
        <v>10.316666666666601</v>
      </c>
      <c r="J880" s="119">
        <f ca="1">HLOOKUP($H$4,'Met Data'!$H$2:$M$368,G880,FALSE)*L880</f>
        <v>5.5</v>
      </c>
      <c r="K880" s="98">
        <f ca="1">HLOOKUP($H$4,'Met Data'!$O$2:$T$368,G880,FALSE)</f>
        <v>0.749895043982166</v>
      </c>
      <c r="L880">
        <f t="shared" ca="1" si="138"/>
        <v>1</v>
      </c>
      <c r="N880" t="e">
        <f t="shared" ref="N880:N943" ca="1" si="141">IF(P880&lt;$P$3,TRUE,FALSE)</f>
        <v>#N/A</v>
      </c>
      <c r="O880" t="e">
        <f t="shared" ref="O880:O943" ca="1" si="142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3">IFERROR(P880,$AD$4)</f>
        <v>0</v>
      </c>
      <c r="AE880">
        <f t="shared" ref="AE880:AE943" ca="1" si="144">IFERROR(U880,0)</f>
        <v>0</v>
      </c>
      <c r="AG880" s="63" t="e">
        <f t="shared" ref="AG880:AG943" ca="1" si="145">Q879+S880+T880+U880</f>
        <v>#N/A</v>
      </c>
      <c r="AH880" s="63" t="e">
        <f t="shared" ref="AH880:AH943" ca="1" si="146">Q880+R880+X880</f>
        <v>#N/A</v>
      </c>
      <c r="AI880" s="3" t="e">
        <f t="shared" ref="AI880:AI943" ca="1" si="147">AH880-AG880</f>
        <v>#N/A</v>
      </c>
    </row>
    <row r="881" spans="7:35" ht="15.75" thickBot="1">
      <c r="G881" s="3">
        <f t="shared" ca="1" si="140"/>
        <v>171</v>
      </c>
      <c r="H881" s="97">
        <f t="shared" ca="1" si="139"/>
        <v>46192</v>
      </c>
      <c r="I881" s="121">
        <f ca="1">HLOOKUP($H$4,'Met Data'!$A$2:$F$368,G881,FALSE)</f>
        <v>10.6666666666666</v>
      </c>
      <c r="J881" s="119">
        <f ca="1">HLOOKUP($H$4,'Met Data'!$H$2:$M$368,G881,FALSE)*L881</f>
        <v>11.883333333333301</v>
      </c>
      <c r="K881" s="98">
        <f ca="1">HLOOKUP($H$4,'Met Data'!$O$2:$T$368,G881,FALSE)</f>
        <v>0.72031723210574305</v>
      </c>
      <c r="L881">
        <f t="shared" ca="1" si="138"/>
        <v>1</v>
      </c>
      <c r="N881" t="e">
        <f t="shared" ca="1" si="141"/>
        <v>#N/A</v>
      </c>
      <c r="O881" t="e">
        <f t="shared" ca="1" si="142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3"/>
        <v>0</v>
      </c>
      <c r="AE881">
        <f t="shared" ca="1" si="144"/>
        <v>0</v>
      </c>
      <c r="AG881" s="63" t="e">
        <f t="shared" ca="1" si="145"/>
        <v>#N/A</v>
      </c>
      <c r="AH881" s="63" t="e">
        <f t="shared" ca="1" si="146"/>
        <v>#N/A</v>
      </c>
      <c r="AI881" s="3" t="e">
        <f t="shared" ca="1" si="147"/>
        <v>#N/A</v>
      </c>
    </row>
    <row r="882" spans="7:35" ht="15.75" thickBot="1">
      <c r="G882" s="3">
        <f t="shared" ca="1" si="140"/>
        <v>172</v>
      </c>
      <c r="H882" s="97">
        <f t="shared" ca="1" si="139"/>
        <v>46193</v>
      </c>
      <c r="I882" s="121">
        <f ca="1">HLOOKUP($H$4,'Met Data'!$A$2:$F$368,G882,FALSE)</f>
        <v>10.6181818181818</v>
      </c>
      <c r="J882" s="119">
        <f ca="1">HLOOKUP($H$4,'Met Data'!$H$2:$M$368,G882,FALSE)*L882</f>
        <v>9.0181818181818105</v>
      </c>
      <c r="K882" s="98">
        <f ca="1">HLOOKUP($H$4,'Met Data'!$O$2:$T$368,G882,FALSE)</f>
        <v>0.829345309973199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173</v>
      </c>
      <c r="H883" s="97">
        <f t="shared" ca="1" si="139"/>
        <v>46194</v>
      </c>
      <c r="I883" s="121">
        <f ca="1">HLOOKUP($H$4,'Met Data'!$A$2:$F$368,G883,FALSE)</f>
        <v>10.0318181818181</v>
      </c>
      <c r="J883" s="119">
        <f ca="1">HLOOKUP($H$4,'Met Data'!$H$2:$M$368,G883,FALSE)*L883</f>
        <v>1.9090909090909001</v>
      </c>
      <c r="K883" s="98">
        <f ca="1">HLOOKUP($H$4,'Met Data'!$O$2:$T$368,G883,FALSE)</f>
        <v>0.90574236110997597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174</v>
      </c>
      <c r="H884" s="97">
        <f t="shared" ca="1" si="139"/>
        <v>46195</v>
      </c>
      <c r="I884" s="121">
        <f ca="1">HLOOKUP($H$4,'Met Data'!$A$2:$F$368,G884,FALSE)</f>
        <v>8.9727272727272709</v>
      </c>
      <c r="J884" s="119">
        <f ca="1">HLOOKUP($H$4,'Met Data'!$H$2:$M$368,G884,FALSE)*L884</f>
        <v>1.9636363636363601</v>
      </c>
      <c r="K884" s="98">
        <f ca="1">HLOOKUP($H$4,'Met Data'!$O$2:$T$368,G884,FALSE)</f>
        <v>0.89904843691310898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175</v>
      </c>
      <c r="H885" s="97">
        <f t="shared" ca="1" si="139"/>
        <v>46196</v>
      </c>
      <c r="I885" s="121">
        <f ca="1">HLOOKUP($H$4,'Met Data'!$A$2:$F$368,G885,FALSE)</f>
        <v>9.0227272727272698</v>
      </c>
      <c r="J885" s="119">
        <f ca="1">HLOOKUP($H$4,'Met Data'!$H$2:$M$368,G885,FALSE)*L885</f>
        <v>3.0181818181818101</v>
      </c>
      <c r="K885" s="98">
        <f ca="1">HLOOKUP($H$4,'Met Data'!$O$2:$T$368,G885,FALSE)</f>
        <v>0.82913615112138495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176</v>
      </c>
      <c r="H886" s="97">
        <f t="shared" ca="1" si="139"/>
        <v>46197</v>
      </c>
      <c r="I886" s="121">
        <f ca="1">HLOOKUP($H$4,'Met Data'!$A$2:$F$368,G886,FALSE)</f>
        <v>10.3590909090909</v>
      </c>
      <c r="J886" s="119">
        <f ca="1">HLOOKUP($H$4,'Met Data'!$H$2:$M$368,G886,FALSE)*L886</f>
        <v>3.7454545454545398</v>
      </c>
      <c r="K886" s="98">
        <f ca="1">HLOOKUP($H$4,'Met Data'!$O$2:$T$368,G886,FALSE)</f>
        <v>0.88746237543267503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177</v>
      </c>
      <c r="H887" s="97">
        <f t="shared" ca="1" si="139"/>
        <v>46198</v>
      </c>
      <c r="I887" s="121">
        <f ca="1">HLOOKUP($H$4,'Met Data'!$A$2:$F$368,G887,FALSE)</f>
        <v>9.5090909090909097</v>
      </c>
      <c r="J887" s="119">
        <f ca="1">HLOOKUP($H$4,'Met Data'!$H$2:$M$368,G887,FALSE)*L887</f>
        <v>3.1090909090909</v>
      </c>
      <c r="K887" s="98">
        <f ca="1">HLOOKUP($H$4,'Met Data'!$O$2:$T$368,G887,FALSE)</f>
        <v>0.97866599470650895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178</v>
      </c>
      <c r="H888" s="97">
        <f t="shared" ca="1" si="139"/>
        <v>46199</v>
      </c>
      <c r="I888" s="121">
        <f ca="1">HLOOKUP($H$4,'Met Data'!$A$2:$F$368,G888,FALSE)</f>
        <v>9.1272727272727199</v>
      </c>
      <c r="J888" s="119">
        <f ca="1">HLOOKUP($H$4,'Met Data'!$H$2:$M$368,G888,FALSE)*L888</f>
        <v>1.25454545454545</v>
      </c>
      <c r="K888" s="98">
        <f ca="1">HLOOKUP($H$4,'Met Data'!$O$2:$T$368,G888,FALSE)</f>
        <v>1.0040569739087299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179</v>
      </c>
      <c r="H889" s="97">
        <f t="shared" ca="1" si="139"/>
        <v>46200</v>
      </c>
      <c r="I889" s="121">
        <f ca="1">HLOOKUP($H$4,'Met Data'!$A$2:$F$368,G889,FALSE)</f>
        <v>8.7727272727272698</v>
      </c>
      <c r="J889" s="119">
        <f ca="1">HLOOKUP($H$4,'Met Data'!$H$2:$M$368,G889,FALSE)*L889</f>
        <v>2.9818181818181801</v>
      </c>
      <c r="K889" s="98">
        <f ca="1">HLOOKUP($H$4,'Met Data'!$O$2:$T$368,G889,FALSE)</f>
        <v>0.89055521132494797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180</v>
      </c>
      <c r="H890" s="97">
        <f t="shared" ca="1" si="139"/>
        <v>46201</v>
      </c>
      <c r="I890" s="121">
        <f ca="1">HLOOKUP($H$4,'Met Data'!$A$2:$F$368,G890,FALSE)</f>
        <v>8.8363636363636306</v>
      </c>
      <c r="J890" s="119">
        <f ca="1">HLOOKUP($H$4,'Met Data'!$H$2:$M$368,G890,FALSE)*L890</f>
        <v>0.90909090909090895</v>
      </c>
      <c r="K890" s="98">
        <f ca="1">HLOOKUP($H$4,'Met Data'!$O$2:$T$368,G890,FALSE)</f>
        <v>0.949335994975394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181</v>
      </c>
      <c r="H891" s="97">
        <f t="shared" ca="1" si="139"/>
        <v>46202</v>
      </c>
      <c r="I891" s="121">
        <f ca="1">HLOOKUP($H$4,'Met Data'!$A$2:$F$368,G891,FALSE)</f>
        <v>8.7136363636363594</v>
      </c>
      <c r="J891" s="119">
        <f ca="1">HLOOKUP($H$4,'Met Data'!$H$2:$M$368,G891,FALSE)*L891</f>
        <v>1.7833333333333301</v>
      </c>
      <c r="K891" s="98">
        <f ca="1">HLOOKUP($H$4,'Met Data'!$O$2:$T$368,G891,FALSE)</f>
        <v>0.92539172734817898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182</v>
      </c>
      <c r="H892" s="97">
        <f t="shared" ca="1" si="139"/>
        <v>46203</v>
      </c>
      <c r="I892" s="121">
        <f ca="1">HLOOKUP($H$4,'Met Data'!$A$2:$F$368,G892,FALSE)</f>
        <v>8.5291666666666597</v>
      </c>
      <c r="J892" s="119">
        <f ca="1">HLOOKUP($H$4,'Met Data'!$H$2:$M$368,G892,FALSE)*L892</f>
        <v>2.5833333333333299</v>
      </c>
      <c r="K892" s="98">
        <f ca="1">HLOOKUP($H$4,'Met Data'!$O$2:$T$368,G892,FALSE)</f>
        <v>0.82623977006466498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183</v>
      </c>
      <c r="H893" s="97">
        <f t="shared" ca="1" si="139"/>
        <v>46204</v>
      </c>
      <c r="I893" s="121">
        <f ca="1">HLOOKUP($H$4,'Met Data'!$A$2:$F$368,G893,FALSE)</f>
        <v>8.8208333333333293</v>
      </c>
      <c r="J893" s="119">
        <f ca="1">HLOOKUP($H$4,'Met Data'!$H$2:$M$368,G893,FALSE)*L893</f>
        <v>2.1333333333333302</v>
      </c>
      <c r="K893" s="98">
        <f ca="1">HLOOKUP($H$4,'Met Data'!$O$2:$T$368,G893,FALSE)</f>
        <v>0.80690048817841498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184</v>
      </c>
      <c r="H894" s="97">
        <f t="shared" ca="1" si="139"/>
        <v>46205</v>
      </c>
      <c r="I894" s="121">
        <f ca="1">HLOOKUP($H$4,'Met Data'!$A$2:$F$368,G894,FALSE)</f>
        <v>8.2249999999999996</v>
      </c>
      <c r="J894" s="119">
        <f ca="1">HLOOKUP($H$4,'Met Data'!$H$2:$M$368,G894,FALSE)*L894</f>
        <v>0.83333333333333304</v>
      </c>
      <c r="K894" s="98">
        <f ca="1">HLOOKUP($H$4,'Met Data'!$O$2:$T$368,G894,FALSE)</f>
        <v>1.0149186441071101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185</v>
      </c>
      <c r="H895" s="97">
        <f t="shared" ca="1" si="139"/>
        <v>46206</v>
      </c>
      <c r="I895" s="121">
        <f ca="1">HLOOKUP($H$4,'Met Data'!$A$2:$F$368,G895,FALSE)</f>
        <v>8.8333333333333304</v>
      </c>
      <c r="J895" s="119">
        <f ca="1">HLOOKUP($H$4,'Met Data'!$H$2:$M$368,G895,FALSE)*L895</f>
        <v>3.5666666666666602</v>
      </c>
      <c r="K895" s="98">
        <f ca="1">HLOOKUP($H$4,'Met Data'!$O$2:$T$368,G895,FALSE)</f>
        <v>0.89125379504041602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186</v>
      </c>
      <c r="H896" s="97">
        <f t="shared" ca="1" si="139"/>
        <v>46207</v>
      </c>
      <c r="I896" s="121">
        <f ca="1">HLOOKUP($H$4,'Met Data'!$A$2:$F$368,G896,FALSE)</f>
        <v>8.6</v>
      </c>
      <c r="J896" s="119">
        <f ca="1">HLOOKUP($H$4,'Met Data'!$H$2:$M$368,G896,FALSE)*L896</f>
        <v>0.73333333333333295</v>
      </c>
      <c r="K896" s="98">
        <f ca="1">HLOOKUP($H$4,'Met Data'!$O$2:$T$368,G896,FALSE)</f>
        <v>0.87224086772784204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187</v>
      </c>
      <c r="H897" s="97">
        <f t="shared" ca="1" si="139"/>
        <v>46208</v>
      </c>
      <c r="I897" s="121">
        <f ca="1">HLOOKUP($H$4,'Met Data'!$A$2:$F$368,G897,FALSE)</f>
        <v>9.4</v>
      </c>
      <c r="J897" s="119">
        <f ca="1">HLOOKUP($H$4,'Met Data'!$H$2:$M$368,G897,FALSE)*L897</f>
        <v>9.9999999999999895E-2</v>
      </c>
      <c r="K897" s="98">
        <f ca="1">HLOOKUP($H$4,'Met Data'!$O$2:$T$368,G897,FALSE)</f>
        <v>0.96939333533810901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188</v>
      </c>
      <c r="H898" s="97">
        <f t="shared" ca="1" si="139"/>
        <v>46209</v>
      </c>
      <c r="I898" s="121">
        <f ca="1">HLOOKUP($H$4,'Met Data'!$A$2:$F$368,G898,FALSE)</f>
        <v>9.12083333333333</v>
      </c>
      <c r="J898" s="119">
        <f ca="1">HLOOKUP($H$4,'Met Data'!$H$2:$M$368,G898,FALSE)*L898</f>
        <v>2.18333333333333</v>
      </c>
      <c r="K898" s="98">
        <f ca="1">HLOOKUP($H$4,'Met Data'!$O$2:$T$368,G898,FALSE)</f>
        <v>0.851628840058262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189</v>
      </c>
      <c r="H899" s="97">
        <f t="shared" ca="1" si="139"/>
        <v>46210</v>
      </c>
      <c r="I899" s="121">
        <f ca="1">HLOOKUP($H$4,'Met Data'!$A$2:$F$368,G899,FALSE)</f>
        <v>9.6583333333333297</v>
      </c>
      <c r="J899" s="119">
        <f ca="1">HLOOKUP($H$4,'Met Data'!$H$2:$M$368,G899,FALSE)*L899</f>
        <v>4.5666666666666602</v>
      </c>
      <c r="K899" s="98">
        <f ca="1">HLOOKUP($H$4,'Met Data'!$O$2:$T$368,G899,FALSE)</f>
        <v>0.80851868655974801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190</v>
      </c>
      <c r="H900" s="97">
        <f t="shared" ca="1" si="139"/>
        <v>46211</v>
      </c>
      <c r="I900" s="121">
        <f ca="1">HLOOKUP($H$4,'Met Data'!$A$2:$F$368,G900,FALSE)</f>
        <v>8.5291666666666597</v>
      </c>
      <c r="J900" s="119">
        <f ca="1">HLOOKUP($H$4,'Met Data'!$H$2:$M$368,G900,FALSE)*L900</f>
        <v>3.7833333333333301</v>
      </c>
      <c r="K900" s="98">
        <f ca="1">HLOOKUP($H$4,'Met Data'!$O$2:$T$368,G900,FALSE)</f>
        <v>1.09493770994468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191</v>
      </c>
      <c r="H901" s="97">
        <f t="shared" ca="1" si="139"/>
        <v>46212</v>
      </c>
      <c r="I901" s="121">
        <f ca="1">HLOOKUP($H$4,'Met Data'!$A$2:$F$368,G901,FALSE)</f>
        <v>8.1583333333333297</v>
      </c>
      <c r="J901" s="119">
        <f ca="1">HLOOKUP($H$4,'Met Data'!$H$2:$M$368,G901,FALSE)*L901</f>
        <v>4.18333333333333</v>
      </c>
      <c r="K901" s="98">
        <f ca="1">HLOOKUP($H$4,'Met Data'!$O$2:$T$368,G901,FALSE)</f>
        <v>0.89025740200721304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192</v>
      </c>
      <c r="H902" s="97">
        <f t="shared" ca="1" si="139"/>
        <v>46213</v>
      </c>
      <c r="I902" s="121">
        <f ca="1">HLOOKUP($H$4,'Met Data'!$A$2:$F$368,G902,FALSE)</f>
        <v>8.24166666666666</v>
      </c>
      <c r="J902" s="119">
        <f ca="1">HLOOKUP($H$4,'Met Data'!$H$2:$M$368,G902,FALSE)*L902</f>
        <v>2.2666666666666599</v>
      </c>
      <c r="K902" s="98">
        <f ca="1">HLOOKUP($H$4,'Met Data'!$O$2:$T$368,G902,FALSE)</f>
        <v>1.06467045295546</v>
      </c>
      <c r="L902">
        <f t="shared" ref="L902:L965" ca="1" si="148">IF(H902&lt;$B$31,$J$3,$J$4)</f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193</v>
      </c>
      <c r="H903" s="97">
        <f t="shared" ca="1" si="139"/>
        <v>46214</v>
      </c>
      <c r="I903" s="121">
        <f ca="1">HLOOKUP($H$4,'Met Data'!$A$2:$F$368,G903,FALSE)</f>
        <v>8.0333333333333297</v>
      </c>
      <c r="J903" s="119">
        <f ca="1">HLOOKUP($H$4,'Met Data'!$H$2:$M$368,G903,FALSE)*L903</f>
        <v>4.6500000000000004</v>
      </c>
      <c r="K903" s="98">
        <f ca="1">HLOOKUP($H$4,'Met Data'!$O$2:$T$368,G903,FALSE)</f>
        <v>1.03430816091664</v>
      </c>
      <c r="L903">
        <f t="shared" ca="1" si="148"/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194</v>
      </c>
      <c r="H904" s="97">
        <f t="shared" ref="H904:H967" ca="1" si="149">H903+1</f>
        <v>46215</v>
      </c>
      <c r="I904" s="121">
        <f ca="1">HLOOKUP($H$4,'Met Data'!$A$2:$F$368,G904,FALSE)</f>
        <v>8.37083333333333</v>
      </c>
      <c r="J904" s="119">
        <f ca="1">HLOOKUP($H$4,'Met Data'!$H$2:$M$368,G904,FALSE)*L904</f>
        <v>1.61666666666666</v>
      </c>
      <c r="K904" s="98">
        <f ca="1">HLOOKUP($H$4,'Met Data'!$O$2:$T$368,G904,FALSE)</f>
        <v>1.0039262064680501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195</v>
      </c>
      <c r="H905" s="97">
        <f t="shared" ca="1" si="149"/>
        <v>46216</v>
      </c>
      <c r="I905" s="121">
        <f ca="1">HLOOKUP($H$4,'Met Data'!$A$2:$F$368,G905,FALSE)</f>
        <v>8.0916666666666597</v>
      </c>
      <c r="J905" s="119">
        <f ca="1">HLOOKUP($H$4,'Met Data'!$H$2:$M$368,G905,FALSE)*L905</f>
        <v>5.0666666666666602</v>
      </c>
      <c r="K905" s="98">
        <f ca="1">HLOOKUP($H$4,'Met Data'!$O$2:$T$368,G905,FALSE)</f>
        <v>0.87492032925951801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196</v>
      </c>
      <c r="H906" s="97">
        <f t="shared" ca="1" si="149"/>
        <v>46217</v>
      </c>
      <c r="I906" s="121">
        <f ca="1">HLOOKUP($H$4,'Met Data'!$A$2:$F$368,G906,FALSE)</f>
        <v>7.9156250000000004</v>
      </c>
      <c r="J906" s="119">
        <f ca="1">HLOOKUP($H$4,'Met Data'!$H$2:$M$368,G906,FALSE)*L906</f>
        <v>4.1666666666666599</v>
      </c>
      <c r="K906" s="98">
        <f ca="1">HLOOKUP($H$4,'Met Data'!$O$2:$T$368,G906,FALSE)</f>
        <v>0.80250527716076203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197</v>
      </c>
      <c r="H907" s="97">
        <f t="shared" ca="1" si="149"/>
        <v>46218</v>
      </c>
      <c r="I907" s="121">
        <f ca="1">HLOOKUP($H$4,'Met Data'!$A$2:$F$368,G907,FALSE)</f>
        <v>8.8590909090909093</v>
      </c>
      <c r="J907" s="119">
        <f ca="1">HLOOKUP($H$4,'Met Data'!$H$2:$M$368,G907,FALSE)*L907</f>
        <v>2.0666666666666602</v>
      </c>
      <c r="K907" s="98">
        <f ca="1">HLOOKUP($H$4,'Met Data'!$O$2:$T$368,G907,FALSE)</f>
        <v>0.97822362204517799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198</v>
      </c>
      <c r="H908" s="97">
        <f t="shared" ca="1" si="149"/>
        <v>46219</v>
      </c>
      <c r="I908" s="121">
        <f ca="1">HLOOKUP($H$4,'Met Data'!$A$2:$F$368,G908,FALSE)</f>
        <v>8.8590909090909093</v>
      </c>
      <c r="J908" s="119">
        <f ca="1">HLOOKUP($H$4,'Met Data'!$H$2:$M$368,G908,FALSE)*L908</f>
        <v>6.0666666666666602</v>
      </c>
      <c r="K908" s="98">
        <f ca="1">HLOOKUP($H$4,'Met Data'!$O$2:$T$368,G908,FALSE)</f>
        <v>0.78802331007485205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199</v>
      </c>
      <c r="H909" s="97">
        <f t="shared" ca="1" si="149"/>
        <v>46220</v>
      </c>
      <c r="I909" s="121">
        <f ca="1">HLOOKUP($H$4,'Met Data'!$A$2:$F$368,G909,FALSE)</f>
        <v>9.5909090909090899</v>
      </c>
      <c r="J909" s="119">
        <f ca="1">HLOOKUP($H$4,'Met Data'!$H$2:$M$368,G909,FALSE)*L909</f>
        <v>4.5999999999999996</v>
      </c>
      <c r="K909" s="98">
        <f ca="1">HLOOKUP($H$4,'Met Data'!$O$2:$T$368,G909,FALSE)</f>
        <v>0.944748845250029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200</v>
      </c>
      <c r="H910" s="97">
        <f t="shared" ca="1" si="149"/>
        <v>46221</v>
      </c>
      <c r="I910" s="121">
        <f ca="1">HLOOKUP($H$4,'Met Data'!$A$2:$F$368,G910,FALSE)</f>
        <v>8.8450000000000006</v>
      </c>
      <c r="J910" s="119">
        <f ca="1">HLOOKUP($H$4,'Met Data'!$H$2:$M$368,G910,FALSE)*L910</f>
        <v>1.1000000000000001</v>
      </c>
      <c r="K910" s="98">
        <f ca="1">HLOOKUP($H$4,'Met Data'!$O$2:$T$368,G910,FALSE)</f>
        <v>1.0240187106181899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201</v>
      </c>
      <c r="H911" s="97">
        <f t="shared" ca="1" si="149"/>
        <v>46222</v>
      </c>
      <c r="I911" s="121">
        <f ca="1">HLOOKUP($H$4,'Met Data'!$A$2:$F$368,G911,FALSE)</f>
        <v>8.99166666666666</v>
      </c>
      <c r="J911" s="119">
        <f ca="1">HLOOKUP($H$4,'Met Data'!$H$2:$M$368,G911,FALSE)*L911</f>
        <v>1.3499999999999901</v>
      </c>
      <c r="K911" s="98">
        <f ca="1">HLOOKUP($H$4,'Met Data'!$O$2:$T$368,G911,FALSE)</f>
        <v>1.16174529470798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202</v>
      </c>
      <c r="H912" s="97">
        <f t="shared" ca="1" si="149"/>
        <v>46223</v>
      </c>
      <c r="I912" s="121">
        <f ca="1">HLOOKUP($H$4,'Met Data'!$A$2:$F$368,G912,FALSE)</f>
        <v>9.5</v>
      </c>
      <c r="J912" s="119">
        <f ca="1">HLOOKUP($H$4,'Met Data'!$H$2:$M$368,G912,FALSE)*L912</f>
        <v>2.75</v>
      </c>
      <c r="K912" s="98">
        <f ca="1">HLOOKUP($H$4,'Met Data'!$O$2:$T$368,G912,FALSE)</f>
        <v>0.94669865516537999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203</v>
      </c>
      <c r="H913" s="97">
        <f t="shared" ca="1" si="149"/>
        <v>46224</v>
      </c>
      <c r="I913" s="121">
        <f ca="1">HLOOKUP($H$4,'Met Data'!$A$2:$F$368,G913,FALSE)</f>
        <v>9.8333333333333304</v>
      </c>
      <c r="J913" s="119">
        <f ca="1">HLOOKUP($H$4,'Met Data'!$H$2:$M$368,G913,FALSE)*L913</f>
        <v>3.6333333333333302</v>
      </c>
      <c r="K913" s="98">
        <f ca="1">HLOOKUP($H$4,'Met Data'!$O$2:$T$368,G913,FALSE)</f>
        <v>1.0815395194790001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204</v>
      </c>
      <c r="H914" s="97">
        <f t="shared" ca="1" si="149"/>
        <v>46225</v>
      </c>
      <c r="I914" s="121">
        <f ca="1">HLOOKUP($H$4,'Met Data'!$A$2:$F$368,G914,FALSE)</f>
        <v>10.029166666666599</v>
      </c>
      <c r="J914" s="119">
        <f ca="1">HLOOKUP($H$4,'Met Data'!$H$2:$M$368,G914,FALSE)*L914</f>
        <v>4.68333333333333</v>
      </c>
      <c r="K914" s="98">
        <f ca="1">HLOOKUP($H$4,'Met Data'!$O$2:$T$368,G914,FALSE)</f>
        <v>1.0771273773513399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205</v>
      </c>
      <c r="H915" s="97">
        <f t="shared" ca="1" si="149"/>
        <v>46226</v>
      </c>
      <c r="I915" s="121">
        <f ca="1">HLOOKUP($H$4,'Met Data'!$A$2:$F$368,G915,FALSE)</f>
        <v>9.4250000000000007</v>
      </c>
      <c r="J915" s="119">
        <f ca="1">HLOOKUP($H$4,'Met Data'!$H$2:$M$368,G915,FALSE)*L915</f>
        <v>5.2666666666666604</v>
      </c>
      <c r="K915" s="98">
        <f ca="1">HLOOKUP($H$4,'Met Data'!$O$2:$T$368,G915,FALSE)</f>
        <v>0.87955885998233896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206</v>
      </c>
      <c r="H916" s="97">
        <f t="shared" ca="1" si="149"/>
        <v>46227</v>
      </c>
      <c r="I916" s="121">
        <f ca="1">HLOOKUP($H$4,'Met Data'!$A$2:$F$368,G916,FALSE)</f>
        <v>9.4</v>
      </c>
      <c r="J916" s="119">
        <f ca="1">HLOOKUP($H$4,'Met Data'!$H$2:$M$368,G916,FALSE)*L916</f>
        <v>2.0499999999999998</v>
      </c>
      <c r="K916" s="98">
        <f ca="1">HLOOKUP($H$4,'Met Data'!$O$2:$T$368,G916,FALSE)</f>
        <v>0.953998897248024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207</v>
      </c>
      <c r="H917" s="97">
        <f t="shared" ca="1" si="149"/>
        <v>46228</v>
      </c>
      <c r="I917" s="121">
        <f ca="1">HLOOKUP($H$4,'Met Data'!$A$2:$F$368,G917,FALSE)</f>
        <v>8.92916666666666</v>
      </c>
      <c r="J917" s="119">
        <f ca="1">HLOOKUP($H$4,'Met Data'!$H$2:$M$368,G917,FALSE)*L917</f>
        <v>1.1499999999999999</v>
      </c>
      <c r="K917" s="98">
        <f ca="1">HLOOKUP($H$4,'Met Data'!$O$2:$T$368,G917,FALSE)</f>
        <v>1.2467505566806001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208</v>
      </c>
      <c r="H918" s="97">
        <f t="shared" ca="1" si="149"/>
        <v>46229</v>
      </c>
      <c r="I918" s="121">
        <f ca="1">HLOOKUP($H$4,'Met Data'!$A$2:$F$368,G918,FALSE)</f>
        <v>8.7624999999999993</v>
      </c>
      <c r="J918" s="119">
        <f ca="1">HLOOKUP($H$4,'Met Data'!$H$2:$M$368,G918,FALSE)*L918</f>
        <v>0.45</v>
      </c>
      <c r="K918" s="98">
        <f ca="1">HLOOKUP($H$4,'Met Data'!$O$2:$T$368,G918,FALSE)</f>
        <v>1.3150067848265401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209</v>
      </c>
      <c r="H919" s="97">
        <f t="shared" ca="1" si="149"/>
        <v>46230</v>
      </c>
      <c r="I919" s="121">
        <f ca="1">HLOOKUP($H$4,'Met Data'!$A$2:$F$368,G919,FALSE)</f>
        <v>9.3333333333333304</v>
      </c>
      <c r="J919" s="119">
        <f ca="1">HLOOKUP($H$4,'Met Data'!$H$2:$M$368,G919,FALSE)*L919</f>
        <v>2.0166666666666599</v>
      </c>
      <c r="K919" s="98">
        <f ca="1">HLOOKUP($H$4,'Met Data'!$O$2:$T$368,G919,FALSE)</f>
        <v>1.11956275252086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210</v>
      </c>
      <c r="H920" s="97">
        <f t="shared" ca="1" si="149"/>
        <v>46231</v>
      </c>
      <c r="I920" s="121">
        <f ca="1">HLOOKUP($H$4,'Met Data'!$A$2:$F$368,G920,FALSE)</f>
        <v>8.9875000000000007</v>
      </c>
      <c r="J920" s="119">
        <f ca="1">HLOOKUP($H$4,'Met Data'!$H$2:$M$368,G920,FALSE)*L920</f>
        <v>1.2666666666666599</v>
      </c>
      <c r="K920" s="98">
        <f ca="1">HLOOKUP($H$4,'Met Data'!$O$2:$T$368,G920,FALSE)</f>
        <v>1.28515382274214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211</v>
      </c>
      <c r="H921" s="97">
        <f t="shared" ca="1" si="149"/>
        <v>46232</v>
      </c>
      <c r="I921" s="121">
        <f ca="1">HLOOKUP($H$4,'Met Data'!$A$2:$F$368,G921,FALSE)</f>
        <v>9.0374999999999996</v>
      </c>
      <c r="J921" s="119">
        <f ca="1">HLOOKUP($H$4,'Met Data'!$H$2:$M$368,G921,FALSE)*L921</f>
        <v>2.7999999999999901</v>
      </c>
      <c r="K921" s="98">
        <f ca="1">HLOOKUP($H$4,'Met Data'!$O$2:$T$368,G921,FALSE)</f>
        <v>1.1959337492079301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212</v>
      </c>
      <c r="H922" s="97">
        <f t="shared" ca="1" si="149"/>
        <v>46233</v>
      </c>
      <c r="I922" s="121">
        <f ca="1">HLOOKUP($H$4,'Met Data'!$A$2:$F$368,G922,FALSE)</f>
        <v>8.17916666666666</v>
      </c>
      <c r="J922" s="119">
        <f ca="1">HLOOKUP($H$4,'Met Data'!$H$2:$M$368,G922,FALSE)*L922</f>
        <v>1.55</v>
      </c>
      <c r="K922" s="98">
        <f ca="1">HLOOKUP($H$4,'Met Data'!$O$2:$T$368,G922,FALSE)</f>
        <v>1.3658842309244701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213</v>
      </c>
      <c r="H923" s="97">
        <f t="shared" ca="1" si="149"/>
        <v>46234</v>
      </c>
      <c r="I923" s="121">
        <f ca="1">HLOOKUP($H$4,'Met Data'!$A$2:$F$368,G923,FALSE)</f>
        <v>8.75</v>
      </c>
      <c r="J923" s="119">
        <f ca="1">HLOOKUP($H$4,'Met Data'!$H$2:$M$368,G923,FALSE)*L923</f>
        <v>2.44999999999999</v>
      </c>
      <c r="K923" s="98">
        <f ca="1">HLOOKUP($H$4,'Met Data'!$O$2:$T$368,G923,FALSE)</f>
        <v>0.89818915942500899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214</v>
      </c>
      <c r="H924" s="97">
        <f t="shared" ca="1" si="149"/>
        <v>46235</v>
      </c>
      <c r="I924" s="121">
        <f ca="1">HLOOKUP($H$4,'Met Data'!$A$2:$F$368,G924,FALSE)</f>
        <v>10.3375</v>
      </c>
      <c r="J924" s="119">
        <f ca="1">HLOOKUP($H$4,'Met Data'!$H$2:$M$368,G924,FALSE)*L924</f>
        <v>5.2666666666666604</v>
      </c>
      <c r="K924" s="98">
        <f ca="1">HLOOKUP($H$4,'Met Data'!$O$2:$T$368,G924,FALSE)</f>
        <v>0.94454335980482496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215</v>
      </c>
      <c r="H925" s="97">
        <f t="shared" ca="1" si="149"/>
        <v>46236</v>
      </c>
      <c r="I925" s="121">
        <f ca="1">HLOOKUP($H$4,'Met Data'!$A$2:$F$368,G925,FALSE)</f>
        <v>10.595454545454499</v>
      </c>
      <c r="J925" s="119">
        <f ca="1">HLOOKUP($H$4,'Met Data'!$H$2:$M$368,G925,FALSE)*L925</f>
        <v>4.4166666666666599</v>
      </c>
      <c r="K925" s="98">
        <f ca="1">HLOOKUP($H$4,'Met Data'!$O$2:$T$368,G925,FALSE)</f>
        <v>1.0832642567801201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216</v>
      </c>
      <c r="H926" s="97">
        <f t="shared" ca="1" si="149"/>
        <v>46237</v>
      </c>
      <c r="I926" s="121">
        <f ca="1">HLOOKUP($H$4,'Met Data'!$A$2:$F$368,G926,FALSE)</f>
        <v>10.1041666666666</v>
      </c>
      <c r="J926" s="119">
        <f ca="1">HLOOKUP($H$4,'Met Data'!$H$2:$M$368,G926,FALSE)*L926</f>
        <v>2.0833333333333299</v>
      </c>
      <c r="K926" s="98">
        <f ca="1">HLOOKUP($H$4,'Met Data'!$O$2:$T$368,G926,FALSE)</f>
        <v>1.39183263100002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217</v>
      </c>
      <c r="H927" s="97">
        <f t="shared" ca="1" si="149"/>
        <v>46238</v>
      </c>
      <c r="I927" s="121">
        <f ca="1">HLOOKUP($H$4,'Met Data'!$A$2:$F$368,G927,FALSE)</f>
        <v>10.1833333333333</v>
      </c>
      <c r="J927" s="119">
        <f ca="1">HLOOKUP($H$4,'Met Data'!$H$2:$M$368,G927,FALSE)*L927</f>
        <v>5.9833333333333298</v>
      </c>
      <c r="K927" s="98">
        <f ca="1">HLOOKUP($H$4,'Met Data'!$O$2:$T$368,G927,FALSE)</f>
        <v>1.0301492818772899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218</v>
      </c>
      <c r="H928" s="97">
        <f t="shared" ca="1" si="149"/>
        <v>46239</v>
      </c>
      <c r="I928" s="121">
        <f ca="1">HLOOKUP($H$4,'Met Data'!$A$2:$F$368,G928,FALSE)</f>
        <v>9.7708333333333304</v>
      </c>
      <c r="J928" s="119">
        <f ca="1">HLOOKUP($H$4,'Met Data'!$H$2:$M$368,G928,FALSE)*L928</f>
        <v>2.9833333333333298</v>
      </c>
      <c r="K928" s="98">
        <f ca="1">HLOOKUP($H$4,'Met Data'!$O$2:$T$368,G928,FALSE)</f>
        <v>1.3432284560273799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219</v>
      </c>
      <c r="H929" s="97">
        <f t="shared" ca="1" si="149"/>
        <v>46240</v>
      </c>
      <c r="I929" s="121">
        <f ca="1">HLOOKUP($H$4,'Met Data'!$A$2:$F$368,G929,FALSE)</f>
        <v>9.8791666666666593</v>
      </c>
      <c r="J929" s="119">
        <f ca="1">HLOOKUP($H$4,'Met Data'!$H$2:$M$368,G929,FALSE)*L929</f>
        <v>4.4833333333333298</v>
      </c>
      <c r="K929" s="98">
        <f ca="1">HLOOKUP($H$4,'Met Data'!$O$2:$T$368,G929,FALSE)</f>
        <v>1.0259838566514501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220</v>
      </c>
      <c r="H930" s="97">
        <f t="shared" ca="1" si="149"/>
        <v>46241</v>
      </c>
      <c r="I930" s="121">
        <f ca="1">HLOOKUP($H$4,'Met Data'!$A$2:$F$368,G930,FALSE)</f>
        <v>9.9874999999999901</v>
      </c>
      <c r="J930" s="119">
        <f ca="1">HLOOKUP($H$4,'Met Data'!$H$2:$M$368,G930,FALSE)*L930</f>
        <v>2.2000000000000002</v>
      </c>
      <c r="K930" s="98">
        <f ca="1">HLOOKUP($H$4,'Met Data'!$O$2:$T$368,G930,FALSE)</f>
        <v>1.1029484647982599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221</v>
      </c>
      <c r="H931" s="97">
        <f t="shared" ca="1" si="149"/>
        <v>46242</v>
      </c>
      <c r="I931" s="121">
        <f ca="1">HLOOKUP($H$4,'Met Data'!$A$2:$F$368,G931,FALSE)</f>
        <v>9.4625000000000004</v>
      </c>
      <c r="J931" s="119">
        <f ca="1">HLOOKUP($H$4,'Met Data'!$H$2:$M$368,G931,FALSE)*L931</f>
        <v>3.61666666666666</v>
      </c>
      <c r="K931" s="98">
        <f ca="1">HLOOKUP($H$4,'Met Data'!$O$2:$T$368,G931,FALSE)</f>
        <v>1.10790183862933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222</v>
      </c>
      <c r="H932" s="97">
        <f t="shared" ca="1" si="149"/>
        <v>46243</v>
      </c>
      <c r="I932" s="121">
        <f ca="1">HLOOKUP($H$4,'Met Data'!$A$2:$F$368,G932,FALSE)</f>
        <v>8.42916666666666</v>
      </c>
      <c r="J932" s="119">
        <f ca="1">HLOOKUP($H$4,'Met Data'!$H$2:$M$368,G932,FALSE)*L932</f>
        <v>3.4</v>
      </c>
      <c r="K932" s="98">
        <f ca="1">HLOOKUP($H$4,'Met Data'!$O$2:$T$368,G932,FALSE)</f>
        <v>1.32402542664303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223</v>
      </c>
      <c r="H933" s="97">
        <f t="shared" ca="1" si="149"/>
        <v>46244</v>
      </c>
      <c r="I933" s="121">
        <f ca="1">HLOOKUP($H$4,'Met Data'!$A$2:$F$368,G933,FALSE)</f>
        <v>7.8416666666666597</v>
      </c>
      <c r="J933" s="119">
        <f ca="1">HLOOKUP($H$4,'Met Data'!$H$2:$M$368,G933,FALSE)*L933</f>
        <v>1.38333333333333</v>
      </c>
      <c r="K933" s="98">
        <f ca="1">HLOOKUP($H$4,'Met Data'!$O$2:$T$368,G933,FALSE)</f>
        <v>1.2882274194230801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224</v>
      </c>
      <c r="H934" s="97">
        <f t="shared" ca="1" si="149"/>
        <v>46245</v>
      </c>
      <c r="I934" s="121">
        <f ca="1">HLOOKUP($H$4,'Met Data'!$A$2:$F$368,G934,FALSE)</f>
        <v>8.7916666666666607</v>
      </c>
      <c r="J934" s="119">
        <f ca="1">HLOOKUP($H$4,'Met Data'!$H$2:$M$368,G934,FALSE)*L934</f>
        <v>4.7</v>
      </c>
      <c r="K934" s="98">
        <f ca="1">HLOOKUP($H$4,'Met Data'!$O$2:$T$368,G934,FALSE)</f>
        <v>1.2700812995642401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225</v>
      </c>
      <c r="H935" s="97">
        <f t="shared" ca="1" si="149"/>
        <v>46246</v>
      </c>
      <c r="I935" s="121">
        <f ca="1">HLOOKUP($H$4,'Met Data'!$A$2:$F$368,G935,FALSE)</f>
        <v>9.2041666666666604</v>
      </c>
      <c r="J935" s="119">
        <f ca="1">HLOOKUP($H$4,'Met Data'!$H$2:$M$368,G935,FALSE)*L935</f>
        <v>4.9666666666666597</v>
      </c>
      <c r="K935" s="98">
        <f ca="1">HLOOKUP($H$4,'Met Data'!$O$2:$T$368,G935,FALSE)</f>
        <v>1.216678160996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226</v>
      </c>
      <c r="H936" s="97">
        <f t="shared" ca="1" si="149"/>
        <v>46247</v>
      </c>
      <c r="I936" s="121">
        <f ca="1">HLOOKUP($H$4,'Met Data'!$A$2:$F$368,G936,FALSE)</f>
        <v>9.49583333333333</v>
      </c>
      <c r="J936" s="119">
        <f ca="1">HLOOKUP($H$4,'Met Data'!$H$2:$M$368,G936,FALSE)*L936</f>
        <v>3.11666666666666</v>
      </c>
      <c r="K936" s="98">
        <f ca="1">HLOOKUP($H$4,'Met Data'!$O$2:$T$368,G936,FALSE)</f>
        <v>1.2041756804414001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227</v>
      </c>
      <c r="H937" s="97">
        <f t="shared" ca="1" si="149"/>
        <v>46248</v>
      </c>
      <c r="I937" s="121">
        <f ca="1">HLOOKUP($H$4,'Met Data'!$A$2:$F$368,G937,FALSE)</f>
        <v>9.7791666666666597</v>
      </c>
      <c r="J937" s="119">
        <f ca="1">HLOOKUP($H$4,'Met Data'!$H$2:$M$368,G937,FALSE)*L937</f>
        <v>6.7</v>
      </c>
      <c r="K937" s="98">
        <f ca="1">HLOOKUP($H$4,'Met Data'!$O$2:$T$368,G937,FALSE)</f>
        <v>1.1357294741412001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228</v>
      </c>
      <c r="H938" s="97">
        <f t="shared" ca="1" si="149"/>
        <v>46249</v>
      </c>
      <c r="I938" s="121">
        <f ca="1">HLOOKUP($H$4,'Met Data'!$A$2:$F$368,G938,FALSE)</f>
        <v>9.4375</v>
      </c>
      <c r="J938" s="119">
        <f ca="1">HLOOKUP($H$4,'Met Data'!$H$2:$M$368,G938,FALSE)*L938</f>
        <v>3.2833333333333301</v>
      </c>
      <c r="K938" s="98">
        <f ca="1">HLOOKUP($H$4,'Met Data'!$O$2:$T$368,G938,FALSE)</f>
        <v>1.2410385498851699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229</v>
      </c>
      <c r="H939" s="97">
        <f t="shared" ca="1" si="149"/>
        <v>46250</v>
      </c>
      <c r="I939" s="121">
        <f ca="1">HLOOKUP($H$4,'Met Data'!$A$2:$F$368,G939,FALSE)</f>
        <v>9.6999999999999993</v>
      </c>
      <c r="J939" s="119">
        <f ca="1">HLOOKUP($H$4,'Met Data'!$H$2:$M$368,G939,FALSE)*L939</f>
        <v>1.5999999999999901</v>
      </c>
      <c r="K939" s="98">
        <f ca="1">HLOOKUP($H$4,'Met Data'!$O$2:$T$368,G939,FALSE)</f>
        <v>1.30158376837533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230</v>
      </c>
      <c r="H940" s="97">
        <f t="shared" ca="1" si="149"/>
        <v>46251</v>
      </c>
      <c r="I940" s="121">
        <f ca="1">HLOOKUP($H$4,'Met Data'!$A$2:$F$368,G940,FALSE)</f>
        <v>9.61666666666666</v>
      </c>
      <c r="J940" s="119">
        <f ca="1">HLOOKUP($H$4,'Met Data'!$H$2:$M$368,G940,FALSE)*L940</f>
        <v>6.5999999999999899</v>
      </c>
      <c r="K940" s="98">
        <f ca="1">HLOOKUP($H$4,'Met Data'!$O$2:$T$368,G940,FALSE)</f>
        <v>1.3713845776081399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231</v>
      </c>
      <c r="H941" s="97">
        <f t="shared" ca="1" si="149"/>
        <v>46252</v>
      </c>
      <c r="I941" s="121">
        <f ca="1">HLOOKUP($H$4,'Met Data'!$A$2:$F$368,G941,FALSE)</f>
        <v>8.8333333333333304</v>
      </c>
      <c r="J941" s="119">
        <f ca="1">HLOOKUP($H$4,'Met Data'!$H$2:$M$368,G941,FALSE)*L941</f>
        <v>3.3</v>
      </c>
      <c r="K941" s="98">
        <f ca="1">HLOOKUP($H$4,'Met Data'!$O$2:$T$368,G941,FALSE)</f>
        <v>1.38797998518043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232</v>
      </c>
      <c r="H942" s="97">
        <f t="shared" ca="1" si="149"/>
        <v>46253</v>
      </c>
      <c r="I942" s="121">
        <f ca="1">HLOOKUP($H$4,'Met Data'!$A$2:$F$368,G942,FALSE)</f>
        <v>9.4833333333333307</v>
      </c>
      <c r="J942" s="119">
        <f ca="1">HLOOKUP($H$4,'Met Data'!$H$2:$M$368,G942,FALSE)*L942</f>
        <v>2.1333333333333302</v>
      </c>
      <c r="K942" s="98">
        <f ca="1">HLOOKUP($H$4,'Met Data'!$O$2:$T$368,G942,FALSE)</f>
        <v>1.56092628574794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233</v>
      </c>
      <c r="H943" s="97">
        <f t="shared" ca="1" si="149"/>
        <v>46254</v>
      </c>
      <c r="I943" s="121">
        <f ca="1">HLOOKUP($H$4,'Met Data'!$A$2:$F$368,G943,FALSE)</f>
        <v>9.2583333333333293</v>
      </c>
      <c r="J943" s="119">
        <f ca="1">HLOOKUP($H$4,'Met Data'!$H$2:$M$368,G943,FALSE)*L943</f>
        <v>3.65</v>
      </c>
      <c r="K943" s="98">
        <f ca="1">HLOOKUP($H$4,'Met Data'!$O$2:$T$368,G943,FALSE)</f>
        <v>1.4422774750484899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ref="G944:G999" ca="1" si="150">H944-DATE(YEAR(H944),1,0)+1</f>
        <v>234</v>
      </c>
      <c r="H944" s="97">
        <f t="shared" ca="1" si="149"/>
        <v>46255</v>
      </c>
      <c r="I944" s="121">
        <f ca="1">HLOOKUP($H$4,'Met Data'!$A$2:$F$368,G944,FALSE)</f>
        <v>9.7708333333333304</v>
      </c>
      <c r="J944" s="119">
        <f ca="1">HLOOKUP($H$4,'Met Data'!$H$2:$M$368,G944,FALSE)*L944</f>
        <v>2.36666666666666</v>
      </c>
      <c r="K944" s="98">
        <f ca="1">HLOOKUP($H$4,'Met Data'!$O$2:$T$368,G944,FALSE)</f>
        <v>1.70464821639982</v>
      </c>
      <c r="L944">
        <f t="shared" ca="1" si="148"/>
        <v>1</v>
      </c>
      <c r="N944" t="e">
        <f t="shared" ref="N944:N999" ca="1" si="151">IF(P944&lt;$P$3,TRUE,FALSE)</f>
        <v>#N/A</v>
      </c>
      <c r="O944" t="e">
        <f t="shared" ref="O944:O999" ca="1" si="152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3">IFERROR(P944,$AD$4)</f>
        <v>0</v>
      </c>
      <c r="AE944">
        <f t="shared" ref="AE944:AE999" ca="1" si="154">IFERROR(U944,0)</f>
        <v>0</v>
      </c>
      <c r="AG944" s="63" t="e">
        <f t="shared" ref="AG944:AG999" ca="1" si="155">Q943+S944+T944+U944</f>
        <v>#N/A</v>
      </c>
      <c r="AH944" s="63" t="e">
        <f t="shared" ref="AH944:AH999" ca="1" si="156">Q944+R944+X944</f>
        <v>#N/A</v>
      </c>
      <c r="AI944" s="3" t="e">
        <f t="shared" ref="AI944:AI999" ca="1" si="157">AH944-AG944</f>
        <v>#N/A</v>
      </c>
    </row>
    <row r="945" spans="7:35" ht="15.75" thickBot="1">
      <c r="G945" s="3">
        <f t="shared" ca="1" si="150"/>
        <v>235</v>
      </c>
      <c r="H945" s="97">
        <f t="shared" ca="1" si="149"/>
        <v>46256</v>
      </c>
      <c r="I945" s="121">
        <f ca="1">HLOOKUP($H$4,'Met Data'!$A$2:$F$368,G945,FALSE)</f>
        <v>9.5208333333333304</v>
      </c>
      <c r="J945" s="119">
        <f ca="1">HLOOKUP($H$4,'Met Data'!$H$2:$M$368,G945,FALSE)*L945</f>
        <v>4.4666666666666597</v>
      </c>
      <c r="K945" s="98">
        <f ca="1">HLOOKUP($H$4,'Met Data'!$O$2:$T$368,G945,FALSE)</f>
        <v>1.6762831823304301</v>
      </c>
      <c r="L945">
        <f t="shared" ca="1" si="148"/>
        <v>1</v>
      </c>
      <c r="N945" t="e">
        <f t="shared" ca="1" si="151"/>
        <v>#N/A</v>
      </c>
      <c r="O945" t="e">
        <f t="shared" ca="1" si="152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3"/>
        <v>0</v>
      </c>
      <c r="AE945">
        <f t="shared" ca="1" si="154"/>
        <v>0</v>
      </c>
      <c r="AG945" s="63" t="e">
        <f t="shared" ca="1" si="155"/>
        <v>#N/A</v>
      </c>
      <c r="AH945" s="63" t="e">
        <f t="shared" ca="1" si="156"/>
        <v>#N/A</v>
      </c>
      <c r="AI945" s="3" t="e">
        <f t="shared" ca="1" si="157"/>
        <v>#N/A</v>
      </c>
    </row>
    <row r="946" spans="7:35" ht="15.75" thickBot="1">
      <c r="G946" s="3">
        <f t="shared" ca="1" si="150"/>
        <v>236</v>
      </c>
      <c r="H946" s="97">
        <f t="shared" ca="1" si="149"/>
        <v>46257</v>
      </c>
      <c r="I946" s="121">
        <f ca="1">HLOOKUP($H$4,'Met Data'!$A$2:$F$368,G946,FALSE)</f>
        <v>9.5791666666666604</v>
      </c>
      <c r="J946" s="119">
        <f ca="1">HLOOKUP($H$4,'Met Data'!$H$2:$M$368,G946,FALSE)*L946</f>
        <v>1.4833333333333301</v>
      </c>
      <c r="K946" s="98">
        <f ca="1">HLOOKUP($H$4,'Met Data'!$O$2:$T$368,G946,FALSE)</f>
        <v>1.44273965203753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237</v>
      </c>
      <c r="H947" s="97">
        <f t="shared" ca="1" si="149"/>
        <v>46258</v>
      </c>
      <c r="I947" s="121">
        <f ca="1">HLOOKUP($H$4,'Met Data'!$A$2:$F$368,G947,FALSE)</f>
        <v>9.8874999999999993</v>
      </c>
      <c r="J947" s="119">
        <f ca="1">HLOOKUP($H$4,'Met Data'!$H$2:$M$368,G947,FALSE)*L947</f>
        <v>0.56666666666666599</v>
      </c>
      <c r="K947" s="98">
        <f ca="1">HLOOKUP($H$4,'Met Data'!$O$2:$T$368,G947,FALSE)</f>
        <v>1.7386735184612501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238</v>
      </c>
      <c r="H948" s="97">
        <f t="shared" ca="1" si="149"/>
        <v>46259</v>
      </c>
      <c r="I948" s="121">
        <f ca="1">HLOOKUP($H$4,'Met Data'!$A$2:$F$368,G948,FALSE)</f>
        <v>9.7208333333333297</v>
      </c>
      <c r="J948" s="119">
        <f ca="1">HLOOKUP($H$4,'Met Data'!$H$2:$M$368,G948,FALSE)*L948</f>
        <v>2.4666666666666601</v>
      </c>
      <c r="K948" s="98">
        <f ca="1">HLOOKUP($H$4,'Met Data'!$O$2:$T$368,G948,FALSE)</f>
        <v>1.45538034550647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239</v>
      </c>
      <c r="H949" s="97">
        <f t="shared" ca="1" si="149"/>
        <v>46260</v>
      </c>
      <c r="I949" s="121">
        <f ca="1">HLOOKUP($H$4,'Met Data'!$A$2:$F$368,G949,FALSE)</f>
        <v>10.716666666666599</v>
      </c>
      <c r="J949" s="119">
        <f ca="1">HLOOKUP($H$4,'Met Data'!$H$2:$M$368,G949,FALSE)*L949</f>
        <v>3.0666666666666602</v>
      </c>
      <c r="K949" s="98">
        <f ca="1">HLOOKUP($H$4,'Met Data'!$O$2:$T$368,G949,FALSE)</f>
        <v>1.4899612238642299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240</v>
      </c>
      <c r="H950" s="97">
        <f t="shared" ca="1" si="149"/>
        <v>46261</v>
      </c>
      <c r="I950" s="121">
        <f ca="1">HLOOKUP($H$4,'Met Data'!$A$2:$F$368,G950,FALSE)</f>
        <v>10.754166666666601</v>
      </c>
      <c r="J950" s="119">
        <f ca="1">HLOOKUP($H$4,'Met Data'!$H$2:$M$368,G950,FALSE)*L950</f>
        <v>1.0333333333333301</v>
      </c>
      <c r="K950" s="98">
        <f ca="1">HLOOKUP($H$4,'Met Data'!$O$2:$T$368,G950,FALSE)</f>
        <v>1.6543487023337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241</v>
      </c>
      <c r="H951" s="97">
        <f t="shared" ca="1" si="149"/>
        <v>46262</v>
      </c>
      <c r="I951" s="121">
        <f ca="1">HLOOKUP($H$4,'Met Data'!$A$2:$F$368,G951,FALSE)</f>
        <v>11.0833333333333</v>
      </c>
      <c r="J951" s="119">
        <f ca="1">HLOOKUP($H$4,'Met Data'!$H$2:$M$368,G951,FALSE)*L951</f>
        <v>1.9</v>
      </c>
      <c r="K951" s="98">
        <f ca="1">HLOOKUP($H$4,'Met Data'!$O$2:$T$368,G951,FALSE)</f>
        <v>1.6425180639822501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242</v>
      </c>
      <c r="H952" s="97">
        <f t="shared" ca="1" si="149"/>
        <v>46263</v>
      </c>
      <c r="I952" s="121">
        <f ca="1">HLOOKUP($H$4,'Met Data'!$A$2:$F$368,G952,FALSE)</f>
        <v>10.5791666666666</v>
      </c>
      <c r="J952" s="119">
        <f ca="1">HLOOKUP($H$4,'Met Data'!$H$2:$M$368,G952,FALSE)*L952</f>
        <v>3.0166666666666599</v>
      </c>
      <c r="K952" s="98">
        <f ca="1">HLOOKUP($H$4,'Met Data'!$O$2:$T$368,G952,FALSE)</f>
        <v>1.5065040723285099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243</v>
      </c>
      <c r="H953" s="97">
        <f t="shared" ca="1" si="149"/>
        <v>46264</v>
      </c>
      <c r="I953" s="121">
        <f ca="1">HLOOKUP($H$4,'Met Data'!$A$2:$F$368,G953,FALSE)</f>
        <v>11.1208333333333</v>
      </c>
      <c r="J953" s="119">
        <f ca="1">HLOOKUP($H$4,'Met Data'!$H$2:$M$368,G953,FALSE)*L953</f>
        <v>1.56666666666666</v>
      </c>
      <c r="K953" s="98">
        <f ca="1">HLOOKUP($H$4,'Met Data'!$O$2:$T$368,G953,FALSE)</f>
        <v>1.7782422370636499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244</v>
      </c>
      <c r="H954" s="97">
        <f t="shared" ca="1" si="149"/>
        <v>46265</v>
      </c>
      <c r="I954" s="121">
        <f ca="1">HLOOKUP($H$4,'Met Data'!$A$2:$F$368,G954,FALSE)</f>
        <v>10.6666666666666</v>
      </c>
      <c r="J954" s="119">
        <f ca="1">HLOOKUP($H$4,'Met Data'!$H$2:$M$368,G954,FALSE)*L954</f>
        <v>1.7333333333333301</v>
      </c>
      <c r="K954" s="98">
        <f ca="1">HLOOKUP($H$4,'Met Data'!$O$2:$T$368,G954,FALSE)</f>
        <v>1.8075127039194601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245</v>
      </c>
      <c r="H955" s="97">
        <f t="shared" ca="1" si="149"/>
        <v>46266</v>
      </c>
      <c r="I955" s="121">
        <f ca="1">HLOOKUP($H$4,'Met Data'!$A$2:$F$368,G955,FALSE)</f>
        <v>10.1208333333333</v>
      </c>
      <c r="J955" s="119">
        <f ca="1">HLOOKUP($H$4,'Met Data'!$H$2:$M$368,G955,FALSE)*L955</f>
        <v>0.8</v>
      </c>
      <c r="K955" s="98">
        <f ca="1">HLOOKUP($H$4,'Met Data'!$O$2:$T$368,G955,FALSE)</f>
        <v>1.80445161149383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246</v>
      </c>
      <c r="H956" s="97">
        <f t="shared" ca="1" si="149"/>
        <v>46267</v>
      </c>
      <c r="I956" s="121">
        <f ca="1">HLOOKUP($H$4,'Met Data'!$A$2:$F$368,G956,FALSE)</f>
        <v>9.6624999999999996</v>
      </c>
      <c r="J956" s="119">
        <f ca="1">HLOOKUP($H$4,'Met Data'!$H$2:$M$368,G956,FALSE)*L956</f>
        <v>3.0833333333333299</v>
      </c>
      <c r="K956" s="98">
        <f ca="1">HLOOKUP($H$4,'Met Data'!$O$2:$T$368,G956,FALSE)</f>
        <v>1.4517482623371101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247</v>
      </c>
      <c r="H957" s="97">
        <f t="shared" ca="1" si="149"/>
        <v>46268</v>
      </c>
      <c r="I957" s="121">
        <f ca="1">HLOOKUP($H$4,'Met Data'!$A$2:$F$368,G957,FALSE)</f>
        <v>9.7541666666666593</v>
      </c>
      <c r="J957" s="119">
        <f ca="1">HLOOKUP($H$4,'Met Data'!$H$2:$M$368,G957,FALSE)*L957</f>
        <v>1.0833333333333299</v>
      </c>
      <c r="K957" s="98">
        <f ca="1">HLOOKUP($H$4,'Met Data'!$O$2:$T$368,G957,FALSE)</f>
        <v>1.75831978881469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248</v>
      </c>
      <c r="H958" s="97">
        <f t="shared" ca="1" si="149"/>
        <v>46269</v>
      </c>
      <c r="I958" s="121">
        <f ca="1">HLOOKUP($H$4,'Met Data'!$A$2:$F$368,G958,FALSE)</f>
        <v>10.0583333333333</v>
      </c>
      <c r="J958" s="119">
        <f ca="1">HLOOKUP($H$4,'Met Data'!$H$2:$M$368,G958,FALSE)*L958</f>
        <v>2.44999999999999</v>
      </c>
      <c r="K958" s="98">
        <f ca="1">HLOOKUP($H$4,'Met Data'!$O$2:$T$368,G958,FALSE)</f>
        <v>1.8005069619965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249</v>
      </c>
      <c r="H959" s="97">
        <f t="shared" ca="1" si="149"/>
        <v>46270</v>
      </c>
      <c r="I959" s="121">
        <f ca="1">HLOOKUP($H$4,'Met Data'!$A$2:$F$368,G959,FALSE)</f>
        <v>9.7750000000000004</v>
      </c>
      <c r="J959" s="119">
        <f ca="1">HLOOKUP($H$4,'Met Data'!$H$2:$M$368,G959,FALSE)*L959</f>
        <v>3.2</v>
      </c>
      <c r="K959" s="98">
        <f ca="1">HLOOKUP($H$4,'Met Data'!$O$2:$T$368,G959,FALSE)</f>
        <v>1.49919962363172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250</v>
      </c>
      <c r="H960" s="97">
        <f t="shared" ca="1" si="149"/>
        <v>46271</v>
      </c>
      <c r="I960" s="121">
        <f ca="1">HLOOKUP($H$4,'Met Data'!$A$2:$F$368,G960,FALSE)</f>
        <v>10.3333333333333</v>
      </c>
      <c r="J960" s="119">
        <f ca="1">HLOOKUP($H$4,'Met Data'!$H$2:$M$368,G960,FALSE)*L960</f>
        <v>5.93333333333333</v>
      </c>
      <c r="K960" s="98">
        <f ca="1">HLOOKUP($H$4,'Met Data'!$O$2:$T$368,G960,FALSE)</f>
        <v>1.4735664157819599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251</v>
      </c>
      <c r="H961" s="97">
        <f t="shared" ca="1" si="149"/>
        <v>46272</v>
      </c>
      <c r="I961" s="121">
        <f ca="1">HLOOKUP($H$4,'Met Data'!$A$2:$F$368,G961,FALSE)</f>
        <v>10.7708333333333</v>
      </c>
      <c r="J961" s="119">
        <f ca="1">HLOOKUP($H$4,'Met Data'!$H$2:$M$368,G961,FALSE)*L961</f>
        <v>1.2</v>
      </c>
      <c r="K961" s="98">
        <f ca="1">HLOOKUP($H$4,'Met Data'!$O$2:$T$368,G961,FALSE)</f>
        <v>1.8170202832795099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252</v>
      </c>
      <c r="H962" s="97">
        <f t="shared" ca="1" si="149"/>
        <v>46273</v>
      </c>
      <c r="I962" s="121">
        <f ca="1">HLOOKUP($H$4,'Met Data'!$A$2:$F$368,G962,FALSE)</f>
        <v>10.5791666666666</v>
      </c>
      <c r="J962" s="119">
        <f ca="1">HLOOKUP($H$4,'Met Data'!$H$2:$M$368,G962,FALSE)*L962</f>
        <v>0.88333333333333297</v>
      </c>
      <c r="K962" s="98">
        <f ca="1">HLOOKUP($H$4,'Met Data'!$O$2:$T$368,G962,FALSE)</f>
        <v>1.8773510693625799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253</v>
      </c>
      <c r="H963" s="97">
        <f t="shared" ca="1" si="149"/>
        <v>46274</v>
      </c>
      <c r="I963" s="121">
        <f ca="1">HLOOKUP($H$4,'Met Data'!$A$2:$F$368,G963,FALSE)</f>
        <v>9.6125000000000007</v>
      </c>
      <c r="J963" s="119">
        <f ca="1">HLOOKUP($H$4,'Met Data'!$H$2:$M$368,G963,FALSE)*L963</f>
        <v>4.36666666666666</v>
      </c>
      <c r="K963" s="98">
        <f ca="1">HLOOKUP($H$4,'Met Data'!$O$2:$T$368,G963,FALSE)</f>
        <v>1.8525160666589899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254</v>
      </c>
      <c r="H964" s="97">
        <f t="shared" ca="1" si="149"/>
        <v>46275</v>
      </c>
      <c r="I964" s="121">
        <f ca="1">HLOOKUP($H$4,'Met Data'!$A$2:$F$368,G964,FALSE)</f>
        <v>10.0875</v>
      </c>
      <c r="J964" s="119">
        <f ca="1">HLOOKUP($H$4,'Met Data'!$H$2:$M$368,G964,FALSE)*L964</f>
        <v>3.44999999999999</v>
      </c>
      <c r="K964" s="98">
        <f ca="1">HLOOKUP($H$4,'Met Data'!$O$2:$T$368,G964,FALSE)</f>
        <v>1.67590206119575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255</v>
      </c>
      <c r="H965" s="97">
        <f t="shared" ca="1" si="149"/>
        <v>46276</v>
      </c>
      <c r="I965" s="121">
        <f ca="1">HLOOKUP($H$4,'Met Data'!$A$2:$F$368,G965,FALSE)</f>
        <v>10.6416666666666</v>
      </c>
      <c r="J965" s="119">
        <f ca="1">HLOOKUP($H$4,'Met Data'!$H$2:$M$368,G965,FALSE)*L965</f>
        <v>6.4666666666666597</v>
      </c>
      <c r="K965" s="98">
        <f ca="1">HLOOKUP($H$4,'Met Data'!$O$2:$T$368,G965,FALSE)</f>
        <v>1.7070370554204599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256</v>
      </c>
      <c r="H966" s="97">
        <f t="shared" ca="1" si="149"/>
        <v>46277</v>
      </c>
      <c r="I966" s="121">
        <f ca="1">HLOOKUP($H$4,'Met Data'!$A$2:$F$368,G966,FALSE)</f>
        <v>10.4541666666666</v>
      </c>
      <c r="J966" s="119">
        <f ca="1">HLOOKUP($H$4,'Met Data'!$H$2:$M$368,G966,FALSE)*L966</f>
        <v>2.0166666666666599</v>
      </c>
      <c r="K966" s="98">
        <f ca="1">HLOOKUP($H$4,'Met Data'!$O$2:$T$368,G966,FALSE)</f>
        <v>1.9219866027073</v>
      </c>
      <c r="L966">
        <f t="shared" ref="L966:L999" ca="1" si="158">IF(H966&lt;$B$31,$J$3,$J$4)</f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257</v>
      </c>
      <c r="H967" s="97">
        <f t="shared" ca="1" si="149"/>
        <v>46278</v>
      </c>
      <c r="I967" s="121">
        <f ca="1">HLOOKUP($H$4,'Met Data'!$A$2:$F$368,G967,FALSE)</f>
        <v>11.216666666666599</v>
      </c>
      <c r="J967" s="119">
        <f ca="1">HLOOKUP($H$4,'Met Data'!$H$2:$M$368,G967,FALSE)*L967</f>
        <v>1.4833333333333301</v>
      </c>
      <c r="K967" s="98">
        <f ca="1">HLOOKUP($H$4,'Met Data'!$O$2:$T$368,G967,FALSE)</f>
        <v>1.86072433418519</v>
      </c>
      <c r="L967">
        <f t="shared" ca="1" si="158"/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258</v>
      </c>
      <c r="H968" s="97">
        <f t="shared" ref="H968:H999" ca="1" si="159">H967+1</f>
        <v>46279</v>
      </c>
      <c r="I968" s="121">
        <f ca="1">HLOOKUP($H$4,'Met Data'!$A$2:$F$368,G968,FALSE)</f>
        <v>11.1</v>
      </c>
      <c r="J968" s="119">
        <f ca="1">HLOOKUP($H$4,'Met Data'!$H$2:$M$368,G968,FALSE)*L968</f>
        <v>2.4166666666666599</v>
      </c>
      <c r="K968" s="98">
        <f ca="1">HLOOKUP($H$4,'Met Data'!$O$2:$T$368,G968,FALSE)</f>
        <v>1.6515892534407901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259</v>
      </c>
      <c r="H969" s="97">
        <f t="shared" ca="1" si="159"/>
        <v>46280</v>
      </c>
      <c r="I969" s="121">
        <f ca="1">HLOOKUP($H$4,'Met Data'!$A$2:$F$368,G969,FALSE)</f>
        <v>11.3708333333333</v>
      </c>
      <c r="J969" s="119">
        <f ca="1">HLOOKUP($H$4,'Met Data'!$H$2:$M$368,G969,FALSE)*L969</f>
        <v>1.3</v>
      </c>
      <c r="K969" s="98">
        <f ca="1">HLOOKUP($H$4,'Met Data'!$O$2:$T$368,G969,FALSE)</f>
        <v>1.8040111781852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260</v>
      </c>
      <c r="H970" s="97">
        <f t="shared" ca="1" si="159"/>
        <v>46281</v>
      </c>
      <c r="I970" s="121">
        <f ca="1">HLOOKUP($H$4,'Met Data'!$A$2:$F$368,G970,FALSE)</f>
        <v>11.2916666666666</v>
      </c>
      <c r="J970" s="119">
        <f ca="1">HLOOKUP($H$4,'Met Data'!$H$2:$M$368,G970,FALSE)*L970</f>
        <v>2.6</v>
      </c>
      <c r="K970" s="98">
        <f ca="1">HLOOKUP($H$4,'Met Data'!$O$2:$T$368,G970,FALSE)</f>
        <v>1.8880733064353601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261</v>
      </c>
      <c r="H971" s="97">
        <f t="shared" ca="1" si="159"/>
        <v>46282</v>
      </c>
      <c r="I971" s="121">
        <f ca="1">HLOOKUP($H$4,'Met Data'!$A$2:$F$368,G971,FALSE)</f>
        <v>12.2125</v>
      </c>
      <c r="J971" s="119">
        <f ca="1">HLOOKUP($H$4,'Met Data'!$H$2:$M$368,G971,FALSE)*L971</f>
        <v>4.5999999999999996</v>
      </c>
      <c r="K971" s="98">
        <f ca="1">HLOOKUP($H$4,'Met Data'!$O$2:$T$368,G971,FALSE)</f>
        <v>2.0382752192881299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262</v>
      </c>
      <c r="H972" s="97">
        <f t="shared" ca="1" si="159"/>
        <v>46283</v>
      </c>
      <c r="I972" s="121">
        <f ca="1">HLOOKUP($H$4,'Met Data'!$A$2:$F$368,G972,FALSE)</f>
        <v>11.35</v>
      </c>
      <c r="J972" s="119">
        <f ca="1">HLOOKUP($H$4,'Met Data'!$H$2:$M$368,G972,FALSE)*L972</f>
        <v>3.93333333333333</v>
      </c>
      <c r="K972" s="98">
        <f ca="1">HLOOKUP($H$4,'Met Data'!$O$2:$T$368,G972,FALSE)</f>
        <v>2.00744960029109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263</v>
      </c>
      <c r="H973" s="97">
        <f t="shared" ca="1" si="159"/>
        <v>46284</v>
      </c>
      <c r="I973" s="121">
        <f ca="1">HLOOKUP($H$4,'Met Data'!$A$2:$F$368,G973,FALSE)</f>
        <v>10.504166666666601</v>
      </c>
      <c r="J973" s="119">
        <f ca="1">HLOOKUP($H$4,'Met Data'!$H$2:$M$368,G973,FALSE)*L973</f>
        <v>8.7333333333333307</v>
      </c>
      <c r="K973" s="98">
        <f ca="1">HLOOKUP($H$4,'Met Data'!$O$2:$T$368,G973,FALSE)</f>
        <v>1.9387559167362001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264</v>
      </c>
      <c r="H974" s="97">
        <f t="shared" ca="1" si="159"/>
        <v>46285</v>
      </c>
      <c r="I974" s="121">
        <f ca="1">HLOOKUP($H$4,'Met Data'!$A$2:$F$368,G974,FALSE)</f>
        <v>10.387499999999999</v>
      </c>
      <c r="J974" s="119">
        <f ca="1">HLOOKUP($H$4,'Met Data'!$H$2:$M$368,G974,FALSE)*L974</f>
        <v>3.85</v>
      </c>
      <c r="K974" s="98">
        <f ca="1">HLOOKUP($H$4,'Met Data'!$O$2:$T$368,G974,FALSE)</f>
        <v>2.0861830094945102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265</v>
      </c>
      <c r="H975" s="97">
        <f t="shared" ca="1" si="159"/>
        <v>46286</v>
      </c>
      <c r="I975" s="121">
        <f ca="1">HLOOKUP($H$4,'Met Data'!$A$2:$F$368,G975,FALSE)</f>
        <v>9.85</v>
      </c>
      <c r="J975" s="119">
        <f ca="1">HLOOKUP($H$4,'Met Data'!$H$2:$M$368,G975,FALSE)*L975</f>
        <v>1.7999999999999901</v>
      </c>
      <c r="K975" s="98">
        <f ca="1">HLOOKUP($H$4,'Met Data'!$O$2:$T$368,G975,FALSE)</f>
        <v>2.1398164486974101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266</v>
      </c>
      <c r="H976" s="97">
        <f t="shared" ca="1" si="159"/>
        <v>46287</v>
      </c>
      <c r="I976" s="121">
        <f ca="1">HLOOKUP($H$4,'Met Data'!$A$2:$F$368,G976,FALSE)</f>
        <v>10.158333333333299</v>
      </c>
      <c r="J976" s="119">
        <f ca="1">HLOOKUP($H$4,'Met Data'!$H$2:$M$368,G976,FALSE)*L976</f>
        <v>3.93333333333333</v>
      </c>
      <c r="K976" s="98">
        <f ca="1">HLOOKUP($H$4,'Met Data'!$O$2:$T$368,G976,FALSE)</f>
        <v>2.31412085445224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267</v>
      </c>
      <c r="H977" s="97">
        <f t="shared" ca="1" si="159"/>
        <v>46288</v>
      </c>
      <c r="I977" s="121">
        <f ca="1">HLOOKUP($H$4,'Met Data'!$A$2:$F$368,G977,FALSE)</f>
        <v>10.9625</v>
      </c>
      <c r="J977" s="119">
        <f ca="1">HLOOKUP($H$4,'Met Data'!$H$2:$M$368,G977,FALSE)*L977</f>
        <v>1.86666666666666</v>
      </c>
      <c r="K977" s="98">
        <f ca="1">HLOOKUP($H$4,'Met Data'!$O$2:$T$368,G977,FALSE)</f>
        <v>2.2059606634486699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268</v>
      </c>
      <c r="H978" s="97">
        <f t="shared" ca="1" si="159"/>
        <v>46289</v>
      </c>
      <c r="I978" s="121">
        <f ca="1">HLOOKUP($H$4,'Met Data'!$A$2:$F$368,G978,FALSE)</f>
        <v>11.6458333333333</v>
      </c>
      <c r="J978" s="119">
        <f ca="1">HLOOKUP($H$4,'Met Data'!$H$2:$M$368,G978,FALSE)*L978</f>
        <v>5.5166666666666604</v>
      </c>
      <c r="K978" s="98">
        <f ca="1">HLOOKUP($H$4,'Met Data'!$O$2:$T$368,G978,FALSE)</f>
        <v>1.6755097599300399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269</v>
      </c>
      <c r="H979" s="97">
        <f t="shared" ca="1" si="159"/>
        <v>46290</v>
      </c>
      <c r="I979" s="121">
        <f ca="1">HLOOKUP($H$4,'Met Data'!$A$2:$F$368,G979,FALSE)</f>
        <v>12.112500000000001</v>
      </c>
      <c r="J979" s="119">
        <f ca="1">HLOOKUP($H$4,'Met Data'!$H$2:$M$368,G979,FALSE)*L979</f>
        <v>1.56666666666666</v>
      </c>
      <c r="K979" s="98">
        <f ca="1">HLOOKUP($H$4,'Met Data'!$O$2:$T$368,G979,FALSE)</f>
        <v>2.1669648664524801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270</v>
      </c>
      <c r="H980" s="97">
        <f t="shared" ca="1" si="159"/>
        <v>46291</v>
      </c>
      <c r="I980" s="121">
        <f ca="1">HLOOKUP($H$4,'Met Data'!$A$2:$F$368,G980,FALSE)</f>
        <v>11.6875</v>
      </c>
      <c r="J980" s="119">
        <f ca="1">HLOOKUP($H$4,'Met Data'!$H$2:$M$368,G980,FALSE)*L980</f>
        <v>1.0833333333333299</v>
      </c>
      <c r="K980" s="98">
        <f ca="1">HLOOKUP($H$4,'Met Data'!$O$2:$T$368,G980,FALSE)</f>
        <v>2.2423317945335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271</v>
      </c>
      <c r="H981" s="97">
        <f t="shared" ca="1" si="159"/>
        <v>46292</v>
      </c>
      <c r="I981" s="121">
        <f ca="1">HLOOKUP($H$4,'Met Data'!$A$2:$F$368,G981,FALSE)</f>
        <v>12.0541666666666</v>
      </c>
      <c r="J981" s="119">
        <f ca="1">HLOOKUP($H$4,'Met Data'!$H$2:$M$368,G981,FALSE)*L981</f>
        <v>1.05</v>
      </c>
      <c r="K981" s="98">
        <f ca="1">HLOOKUP($H$4,'Met Data'!$O$2:$T$368,G981,FALSE)</f>
        <v>2.4484809787012698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272</v>
      </c>
      <c r="H982" s="97">
        <f t="shared" ca="1" si="159"/>
        <v>46293</v>
      </c>
      <c r="I982" s="121">
        <f ca="1">HLOOKUP($H$4,'Met Data'!$A$2:$F$368,G982,FALSE)</f>
        <v>12.3291666666666</v>
      </c>
      <c r="J982" s="119">
        <f ca="1">HLOOKUP($H$4,'Met Data'!$H$2:$M$368,G982,FALSE)*L982</f>
        <v>5.1499999999999897</v>
      </c>
      <c r="K982" s="98">
        <f ca="1">HLOOKUP($H$4,'Met Data'!$O$2:$T$368,G982,FALSE)</f>
        <v>2.13295390564413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273</v>
      </c>
      <c r="H983" s="97">
        <f t="shared" ca="1" si="159"/>
        <v>46294</v>
      </c>
      <c r="I983" s="121">
        <f ca="1">HLOOKUP($H$4,'Met Data'!$A$2:$F$368,G983,FALSE)</f>
        <v>12.65</v>
      </c>
      <c r="J983" s="119">
        <f ca="1">HLOOKUP($H$4,'Met Data'!$H$2:$M$368,G983,FALSE)*L983</f>
        <v>2.15</v>
      </c>
      <c r="K983" s="98">
        <f ca="1">HLOOKUP($H$4,'Met Data'!$O$2:$T$368,G983,FALSE)</f>
        <v>2.3067555107961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274</v>
      </c>
      <c r="H984" s="97">
        <f t="shared" ca="1" si="159"/>
        <v>46295</v>
      </c>
      <c r="I984" s="121">
        <f ca="1">HLOOKUP($H$4,'Met Data'!$A$2:$F$368,G984,FALSE)</f>
        <v>12.5208333333333</v>
      </c>
      <c r="J984" s="119">
        <f ca="1">HLOOKUP($H$4,'Met Data'!$H$2:$M$368,G984,FALSE)*L984</f>
        <v>5.61666666666666</v>
      </c>
      <c r="K984" s="98">
        <f ca="1">HLOOKUP($H$4,'Met Data'!$O$2:$T$368,G984,FALSE)</f>
        <v>2.4465918649770302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275</v>
      </c>
      <c r="H985" s="97">
        <f t="shared" ca="1" si="159"/>
        <v>46296</v>
      </c>
      <c r="I985" s="121">
        <f ca="1">HLOOKUP($H$4,'Met Data'!$A$2:$F$368,G985,FALSE)</f>
        <v>11.65</v>
      </c>
      <c r="J985" s="119">
        <f ca="1">HLOOKUP($H$4,'Met Data'!$H$2:$M$368,G985,FALSE)*L985</f>
        <v>2.35</v>
      </c>
      <c r="K985" s="98">
        <f ca="1">HLOOKUP($H$4,'Met Data'!$O$2:$T$368,G985,FALSE)</f>
        <v>2.46735033441291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276</v>
      </c>
      <c r="H986" s="97">
        <f t="shared" ca="1" si="159"/>
        <v>46297</v>
      </c>
      <c r="I986" s="121">
        <f ca="1">HLOOKUP($H$4,'Met Data'!$A$2:$F$368,G986,FALSE)</f>
        <v>12.0166666666666</v>
      </c>
      <c r="J986" s="119">
        <f ca="1">HLOOKUP($H$4,'Met Data'!$H$2:$M$368,G986,FALSE)*L986</f>
        <v>2.2833333333333301</v>
      </c>
      <c r="K986" s="98">
        <f ca="1">HLOOKUP($H$4,'Met Data'!$O$2:$T$368,G986,FALSE)</f>
        <v>2.1199025888480301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277</v>
      </c>
      <c r="H987" s="97">
        <f t="shared" ca="1" si="159"/>
        <v>46298</v>
      </c>
      <c r="I987" s="121">
        <f ca="1">HLOOKUP($H$4,'Met Data'!$A$2:$F$368,G987,FALSE)</f>
        <v>12.941666666666601</v>
      </c>
      <c r="J987" s="119">
        <f ca="1">HLOOKUP($H$4,'Met Data'!$H$2:$M$368,G987,FALSE)*L987</f>
        <v>4.2666666666666604</v>
      </c>
      <c r="K987" s="98">
        <f ca="1">HLOOKUP($H$4,'Met Data'!$O$2:$T$368,G987,FALSE)</f>
        <v>2.6275875550097898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278</v>
      </c>
      <c r="H988" s="97">
        <f t="shared" ca="1" si="159"/>
        <v>46299</v>
      </c>
      <c r="I988" s="121">
        <f ca="1">HLOOKUP($H$4,'Met Data'!$A$2:$F$368,G988,FALSE)</f>
        <v>11.95</v>
      </c>
      <c r="J988" s="119">
        <f ca="1">HLOOKUP($H$4,'Met Data'!$H$2:$M$368,G988,FALSE)*L988</f>
        <v>1.13333333333333</v>
      </c>
      <c r="K988" s="98">
        <f ca="1">HLOOKUP($H$4,'Met Data'!$O$2:$T$368,G988,FALSE)</f>
        <v>2.2251605523882798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279</v>
      </c>
      <c r="H989" s="97">
        <f t="shared" ca="1" si="159"/>
        <v>46300</v>
      </c>
      <c r="I989" s="121">
        <f ca="1">HLOOKUP($H$4,'Met Data'!$A$2:$F$368,G989,FALSE)</f>
        <v>11.8958333333333</v>
      </c>
      <c r="J989" s="119">
        <f ca="1">HLOOKUP($H$4,'Met Data'!$H$2:$M$368,G989,FALSE)*L989</f>
        <v>2.0666666666666602</v>
      </c>
      <c r="K989" s="98">
        <f ca="1">HLOOKUP($H$4,'Met Data'!$O$2:$T$368,G989,FALSE)</f>
        <v>2.2142725820580198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280</v>
      </c>
      <c r="H990" s="97">
        <f t="shared" ca="1" si="159"/>
        <v>46301</v>
      </c>
      <c r="I990" s="121">
        <f ca="1">HLOOKUP($H$4,'Met Data'!$A$2:$F$368,G990,FALSE)</f>
        <v>11.8333333333333</v>
      </c>
      <c r="J990" s="119">
        <f ca="1">HLOOKUP($H$4,'Met Data'!$H$2:$M$368,G990,FALSE)*L990</f>
        <v>1.43333333333333</v>
      </c>
      <c r="K990" s="98">
        <f ca="1">HLOOKUP($H$4,'Met Data'!$O$2:$T$368,G990,FALSE)</f>
        <v>2.5217662070296001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281</v>
      </c>
      <c r="H991" s="97">
        <f t="shared" ca="1" si="159"/>
        <v>46302</v>
      </c>
      <c r="I991" s="121">
        <f ca="1">HLOOKUP($H$4,'Met Data'!$A$2:$F$368,G991,FALSE)</f>
        <v>12.133333333333301</v>
      </c>
      <c r="J991" s="119">
        <f ca="1">HLOOKUP($H$4,'Met Data'!$H$2:$M$368,G991,FALSE)*L991</f>
        <v>1.5</v>
      </c>
      <c r="K991" s="98">
        <f ca="1">HLOOKUP($H$4,'Met Data'!$O$2:$T$368,G991,FALSE)</f>
        <v>2.4929362431341402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282</v>
      </c>
      <c r="H992" s="97">
        <f t="shared" ca="1" si="159"/>
        <v>46303</v>
      </c>
      <c r="I992" s="121">
        <f ca="1">HLOOKUP($H$4,'Met Data'!$A$2:$F$368,G992,FALSE)</f>
        <v>11.8708333333333</v>
      </c>
      <c r="J992" s="119">
        <f ca="1">HLOOKUP($H$4,'Met Data'!$H$2:$M$368,G992,FALSE)*L992</f>
        <v>4.18333333333333</v>
      </c>
      <c r="K992" s="98">
        <f ca="1">HLOOKUP($H$4,'Met Data'!$O$2:$T$368,G992,FALSE)</f>
        <v>2.0932595279969002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283</v>
      </c>
      <c r="H993" s="97">
        <f t="shared" ca="1" si="159"/>
        <v>46304</v>
      </c>
      <c r="I993" s="121">
        <f ca="1">HLOOKUP($H$4,'Met Data'!$A$2:$F$368,G993,FALSE)</f>
        <v>11.529166666666599</v>
      </c>
      <c r="J993" s="119">
        <f ca="1">HLOOKUP($H$4,'Met Data'!$H$2:$M$368,G993,FALSE)*L993</f>
        <v>2.2166666666666601</v>
      </c>
      <c r="K993" s="98">
        <f ca="1">HLOOKUP($H$4,'Met Data'!$O$2:$T$368,G993,FALSE)</f>
        <v>2.3166472445358202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284</v>
      </c>
      <c r="H994" s="97">
        <f t="shared" ca="1" si="159"/>
        <v>46305</v>
      </c>
      <c r="I994" s="121">
        <f ca="1">HLOOKUP($H$4,'Met Data'!$A$2:$F$368,G994,FALSE)</f>
        <v>11.316666666666601</v>
      </c>
      <c r="J994" s="119">
        <f ca="1">HLOOKUP($H$4,'Met Data'!$H$2:$M$368,G994,FALSE)*L994</f>
        <v>2.9833333333333298</v>
      </c>
      <c r="K994" s="98">
        <f ca="1">HLOOKUP($H$4,'Met Data'!$O$2:$T$368,G994,FALSE)</f>
        <v>2.57259273420483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285</v>
      </c>
      <c r="H995" s="97">
        <f t="shared" ca="1" si="159"/>
        <v>46306</v>
      </c>
      <c r="I995" s="121">
        <f ca="1">HLOOKUP($H$4,'Met Data'!$A$2:$F$368,G995,FALSE)</f>
        <v>12.466666666666599</v>
      </c>
      <c r="J995" s="119">
        <f ca="1">HLOOKUP($H$4,'Met Data'!$H$2:$M$368,G995,FALSE)*L995</f>
        <v>3.5333333333333301</v>
      </c>
      <c r="K995" s="98">
        <f ca="1">HLOOKUP($H$4,'Met Data'!$O$2:$T$368,G995,FALSE)</f>
        <v>2.44735536591925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286</v>
      </c>
      <c r="H996" s="97">
        <f t="shared" ca="1" si="159"/>
        <v>46307</v>
      </c>
      <c r="I996" s="121">
        <f ca="1">HLOOKUP($H$4,'Met Data'!$A$2:$F$368,G996,FALSE)</f>
        <v>12.566666666666601</v>
      </c>
      <c r="J996" s="119">
        <f ca="1">HLOOKUP($H$4,'Met Data'!$H$2:$M$368,G996,FALSE)*L996</f>
        <v>1.88333333333333</v>
      </c>
      <c r="K996" s="98">
        <f ca="1">HLOOKUP($H$4,'Met Data'!$O$2:$T$368,G996,FALSE)</f>
        <v>2.6706436990123898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287</v>
      </c>
      <c r="H997" s="97">
        <f t="shared" ca="1" si="159"/>
        <v>46308</v>
      </c>
      <c r="I997" s="121">
        <f ca="1">HLOOKUP($H$4,'Met Data'!$A$2:$F$368,G997,FALSE)</f>
        <v>12.133333333333301</v>
      </c>
      <c r="J997" s="119">
        <f ca="1">HLOOKUP($H$4,'Met Data'!$H$2:$M$368,G997,FALSE)*L997</f>
        <v>2.6666666666666599</v>
      </c>
      <c r="K997" s="98">
        <f ca="1">HLOOKUP($H$4,'Met Data'!$O$2:$T$368,G997,FALSE)</f>
        <v>1.9257972512671799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288</v>
      </c>
      <c r="H998" s="97">
        <f t="shared" ca="1" si="159"/>
        <v>46309</v>
      </c>
      <c r="I998" s="121">
        <f ca="1">HLOOKUP($H$4,'Met Data'!$A$2:$F$368,G998,FALSE)</f>
        <v>12.762499999999999</v>
      </c>
      <c r="J998" s="119">
        <f ca="1">HLOOKUP($H$4,'Met Data'!$H$2:$M$368,G998,FALSE)*L998</f>
        <v>3.6333333333333302</v>
      </c>
      <c r="K998" s="98">
        <f ca="1">HLOOKUP($H$4,'Met Data'!$O$2:$T$368,G998,FALSE)</f>
        <v>2.2182002807721002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289</v>
      </c>
      <c r="H999" s="97">
        <f t="shared" ca="1" si="159"/>
        <v>46310</v>
      </c>
      <c r="I999" s="121">
        <f ca="1">HLOOKUP($H$4,'Met Data'!$A$2:$F$368,G999,FALSE)</f>
        <v>12.675000000000001</v>
      </c>
      <c r="J999" s="119">
        <f ca="1">HLOOKUP($H$4,'Met Data'!$H$2:$M$368,G999,FALSE)*L999</f>
        <v>4.2166666666666597</v>
      </c>
      <c r="K999" s="98">
        <f ca="1">HLOOKUP($H$4,'Met Data'!$O$2:$T$368,G999,FALSE)</f>
        <v>2.3809243707544998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7" sqref="AP7:AP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221</v>
      </c>
      <c r="AJ6" t="s">
        <v>223</v>
      </c>
      <c r="AM6" s="126" t="s">
        <v>245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4" t="s">
        <v>246</v>
      </c>
      <c r="AN7">
        <v>15</v>
      </c>
      <c r="AP7" t="s">
        <v>233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4" t="s">
        <v>247</v>
      </c>
      <c r="AN8">
        <v>17</v>
      </c>
      <c r="AP8" t="s">
        <v>234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4" t="s">
        <v>248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4" t="s">
        <v>249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4" t="s">
        <v>250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4" t="s">
        <v>251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4" t="s">
        <v>252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4" t="s">
        <v>253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4" t="s">
        <v>254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4" t="s">
        <v>255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4" t="s">
        <v>256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7" t="s">
        <v>198</v>
      </c>
      <c r="B1" s="147"/>
      <c r="C1" s="147"/>
      <c r="D1" s="147"/>
      <c r="E1" s="147"/>
      <c r="F1" s="147"/>
      <c r="H1" s="147" t="s">
        <v>199</v>
      </c>
      <c r="I1" s="147"/>
      <c r="J1" s="147"/>
      <c r="K1" s="147"/>
      <c r="L1" s="147"/>
      <c r="M1" s="147"/>
      <c r="O1" s="147" t="s">
        <v>200</v>
      </c>
      <c r="P1" s="147"/>
      <c r="Q1" s="147"/>
      <c r="R1" s="147"/>
      <c r="S1" s="147"/>
      <c r="T1" s="147"/>
      <c r="V1" s="147"/>
      <c r="W1" s="147"/>
      <c r="X1" s="147"/>
      <c r="Y1" s="147"/>
      <c r="Z1" s="147"/>
      <c r="AA1" s="147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2024-03-26T22:49:18Z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