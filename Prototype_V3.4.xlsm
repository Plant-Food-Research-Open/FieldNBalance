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87A563F4-1978-45BD-B959-F8427ACF23E4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Interface'!$P$7:$AB$1000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D10" i="1" l="1"/>
  <c r="B34" i="3" s="1"/>
  <c r="P4" i="3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2" i="3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Q6" i="3" l="1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AE31" i="3" s="1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S57" i="3"/>
  <c r="AA57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R7" i="3"/>
  <c r="U8" i="3"/>
  <c r="AE8" i="3" s="1"/>
  <c r="X9" i="3"/>
  <c r="AA10" i="3"/>
  <c r="Q12" i="3"/>
  <c r="T13" i="3"/>
  <c r="W14" i="3"/>
  <c r="Z15" i="3"/>
  <c r="P17" i="3"/>
  <c r="S18" i="3"/>
  <c r="V19" i="3"/>
  <c r="Y20" i="3"/>
  <c r="AB21" i="3"/>
  <c r="R23" i="3"/>
  <c r="U24" i="3"/>
  <c r="AE24" i="3" s="1"/>
  <c r="X25" i="3"/>
  <c r="AA26" i="3"/>
  <c r="Q28" i="3"/>
  <c r="T29" i="3"/>
  <c r="W30" i="3"/>
  <c r="Z31" i="3"/>
  <c r="P33" i="3"/>
  <c r="S34" i="3"/>
  <c r="V35" i="3"/>
  <c r="Y36" i="3"/>
  <c r="AB37" i="3"/>
  <c r="R39" i="3"/>
  <c r="U40" i="3"/>
  <c r="X41" i="3"/>
  <c r="AA42" i="3"/>
  <c r="Q44" i="3"/>
  <c r="T45" i="3"/>
  <c r="W46" i="3"/>
  <c r="Z47" i="3"/>
  <c r="P49" i="3"/>
  <c r="S50" i="3"/>
  <c r="V51" i="3"/>
  <c r="Y52" i="3"/>
  <c r="AB53" i="3"/>
  <c r="AA54" i="3"/>
  <c r="X55" i="3"/>
  <c r="U56" i="3"/>
  <c r="AE56" i="3" s="1"/>
  <c r="T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S6" i="3"/>
  <c r="V7" i="3"/>
  <c r="Y8" i="3"/>
  <c r="AB9" i="3"/>
  <c r="R11" i="3"/>
  <c r="U12" i="3"/>
  <c r="X13" i="3"/>
  <c r="AA14" i="3"/>
  <c r="Q16" i="3"/>
  <c r="T17" i="3"/>
  <c r="W18" i="3"/>
  <c r="Z19" i="3"/>
  <c r="P21" i="3"/>
  <c r="S22" i="3"/>
  <c r="V23" i="3"/>
  <c r="Y24" i="3"/>
  <c r="AB25" i="3"/>
  <c r="R27" i="3"/>
  <c r="U28" i="3"/>
  <c r="AE28" i="3" s="1"/>
  <c r="X29" i="3"/>
  <c r="AA30" i="3"/>
  <c r="Q32" i="3"/>
  <c r="T33" i="3"/>
  <c r="W34" i="3"/>
  <c r="Z35" i="3"/>
  <c r="P37" i="3"/>
  <c r="S38" i="3"/>
  <c r="V39" i="3"/>
  <c r="Y40" i="3"/>
  <c r="AB41" i="3"/>
  <c r="R43" i="3"/>
  <c r="U44" i="3"/>
  <c r="X45" i="3"/>
  <c r="AA46" i="3"/>
  <c r="Q48" i="3"/>
  <c r="T49" i="3"/>
  <c r="W50" i="3"/>
  <c r="Z51" i="3"/>
  <c r="P53" i="3"/>
  <c r="S54" i="3"/>
  <c r="P55" i="3"/>
  <c r="Z55" i="3"/>
  <c r="Y56" i="3"/>
  <c r="V57" i="3"/>
  <c r="S58" i="3"/>
  <c r="AA58" i="3"/>
  <c r="V59" i="3"/>
  <c r="Q60" i="3"/>
  <c r="Y60" i="3"/>
  <c r="T61" i="3"/>
  <c r="AB61" i="3"/>
  <c r="W62" i="3"/>
  <c r="R63" i="3"/>
  <c r="Z63" i="3"/>
  <c r="U64" i="3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AE72" i="3" s="1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T6" i="3"/>
  <c r="W7" i="3"/>
  <c r="Z8" i="3"/>
  <c r="P10" i="3"/>
  <c r="S11" i="3"/>
  <c r="V12" i="3"/>
  <c r="Y13" i="3"/>
  <c r="AB14" i="3"/>
  <c r="R16" i="3"/>
  <c r="U17" i="3"/>
  <c r="X18" i="3"/>
  <c r="AA19" i="3"/>
  <c r="Q21" i="3"/>
  <c r="T22" i="3"/>
  <c r="W23" i="3"/>
  <c r="Z24" i="3"/>
  <c r="P26" i="3"/>
  <c r="S27" i="3"/>
  <c r="V28" i="3"/>
  <c r="Y29" i="3"/>
  <c r="AB30" i="3"/>
  <c r="R32" i="3"/>
  <c r="U33" i="3"/>
  <c r="X34" i="3"/>
  <c r="AA35" i="3"/>
  <c r="Q37" i="3"/>
  <c r="T38" i="3"/>
  <c r="W39" i="3"/>
  <c r="Z40" i="3"/>
  <c r="P42" i="3"/>
  <c r="S43" i="3"/>
  <c r="V44" i="3"/>
  <c r="Y45" i="3"/>
  <c r="AB46" i="3"/>
  <c r="R48" i="3"/>
  <c r="U49" i="3"/>
  <c r="X50" i="3"/>
  <c r="AA51" i="3"/>
  <c r="Q53" i="3"/>
  <c r="T54" i="3"/>
  <c r="Q55" i="3"/>
  <c r="AA55" i="3"/>
  <c r="Z56" i="3"/>
  <c r="W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P102" i="3"/>
  <c r="X102" i="3"/>
  <c r="S103" i="3"/>
  <c r="W6" i="3"/>
  <c r="Z7" i="3"/>
  <c r="P9" i="3"/>
  <c r="S10" i="3"/>
  <c r="V11" i="3"/>
  <c r="Y12" i="3"/>
  <c r="AB13" i="3"/>
  <c r="R15" i="3"/>
  <c r="U16" i="3"/>
  <c r="X17" i="3"/>
  <c r="AA18" i="3"/>
  <c r="Q20" i="3"/>
  <c r="T21" i="3"/>
  <c r="W22" i="3"/>
  <c r="Z23" i="3"/>
  <c r="P25" i="3"/>
  <c r="S26" i="3"/>
  <c r="V27" i="3"/>
  <c r="Y28" i="3"/>
  <c r="AB29" i="3"/>
  <c r="R31" i="3"/>
  <c r="U32" i="3"/>
  <c r="X33" i="3"/>
  <c r="AA34" i="3"/>
  <c r="Q36" i="3"/>
  <c r="T37" i="3"/>
  <c r="W38" i="3"/>
  <c r="Z39" i="3"/>
  <c r="P41" i="3"/>
  <c r="S42" i="3"/>
  <c r="V43" i="3"/>
  <c r="Y44" i="3"/>
  <c r="AB45" i="3"/>
  <c r="R47" i="3"/>
  <c r="U48" i="3"/>
  <c r="X49" i="3"/>
  <c r="AA50" i="3"/>
  <c r="Q52" i="3"/>
  <c r="T53" i="3"/>
  <c r="U54" i="3"/>
  <c r="AE54" i="3" s="1"/>
  <c r="R55" i="3"/>
  <c r="Q56" i="3"/>
  <c r="AA56" i="3"/>
  <c r="X57" i="3"/>
  <c r="U58" i="3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79" i="3"/>
  <c r="AB79" i="3"/>
  <c r="W80" i="3"/>
  <c r="R81" i="3"/>
  <c r="AA6" i="3"/>
  <c r="Q8" i="3"/>
  <c r="T9" i="3"/>
  <c r="W10" i="3"/>
  <c r="Z11" i="3"/>
  <c r="P13" i="3"/>
  <c r="S14" i="3"/>
  <c r="V15" i="3"/>
  <c r="Y16" i="3"/>
  <c r="AB17" i="3"/>
  <c r="R19" i="3"/>
  <c r="U20" i="3"/>
  <c r="X21" i="3"/>
  <c r="AA22" i="3"/>
  <c r="Q24" i="3"/>
  <c r="T25" i="3"/>
  <c r="W26" i="3"/>
  <c r="Z27" i="3"/>
  <c r="P29" i="3"/>
  <c r="S30" i="3"/>
  <c r="V31" i="3"/>
  <c r="Y32" i="3"/>
  <c r="AB33" i="3"/>
  <c r="R35" i="3"/>
  <c r="U36" i="3"/>
  <c r="X37" i="3"/>
  <c r="AA38" i="3"/>
  <c r="Q40" i="3"/>
  <c r="T41" i="3"/>
  <c r="W42" i="3"/>
  <c r="Z43" i="3"/>
  <c r="P45" i="3"/>
  <c r="O45" i="3" s="1" a="1"/>
  <c r="O45" i="3" s="1"/>
  <c r="S46" i="3"/>
  <c r="V47" i="3"/>
  <c r="Y48" i="3"/>
  <c r="AB49" i="3"/>
  <c r="R51" i="3"/>
  <c r="U52" i="3"/>
  <c r="AE52" i="3" s="1"/>
  <c r="X53" i="3"/>
  <c r="W54" i="3"/>
  <c r="V55" i="3"/>
  <c r="S56" i="3"/>
  <c r="P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AE68" i="3" s="1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AB6" i="3"/>
  <c r="R8" i="3"/>
  <c r="U9" i="3"/>
  <c r="X10" i="3"/>
  <c r="AA11" i="3"/>
  <c r="Q13" i="3"/>
  <c r="T14" i="3"/>
  <c r="W15" i="3"/>
  <c r="Z16" i="3"/>
  <c r="P18" i="3"/>
  <c r="S19" i="3"/>
  <c r="V20" i="3"/>
  <c r="Y21" i="3"/>
  <c r="AB22" i="3"/>
  <c r="R24" i="3"/>
  <c r="U25" i="3"/>
  <c r="AE25" i="3" s="1"/>
  <c r="X26" i="3"/>
  <c r="AA27" i="3"/>
  <c r="Q29" i="3"/>
  <c r="T30" i="3"/>
  <c r="W31" i="3"/>
  <c r="Z32" i="3"/>
  <c r="P34" i="3"/>
  <c r="S35" i="3"/>
  <c r="V36" i="3"/>
  <c r="Y37" i="3"/>
  <c r="AB38" i="3"/>
  <c r="R40" i="3"/>
  <c r="U41" i="3"/>
  <c r="AE41" i="3" s="1"/>
  <c r="X42" i="3"/>
  <c r="AA43" i="3"/>
  <c r="Q45" i="3"/>
  <c r="T46" i="3"/>
  <c r="W47" i="3"/>
  <c r="Z48" i="3"/>
  <c r="P50" i="3"/>
  <c r="S51" i="3"/>
  <c r="V52" i="3"/>
  <c r="Y53" i="3"/>
  <c r="X54" i="3"/>
  <c r="W55" i="3"/>
  <c r="T56" i="3"/>
  <c r="Q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S7" i="3"/>
  <c r="R12" i="3"/>
  <c r="Q17" i="3"/>
  <c r="P22" i="3"/>
  <c r="AB26" i="3"/>
  <c r="AA31" i="3"/>
  <c r="Z36" i="3"/>
  <c r="Y41" i="3"/>
  <c r="X46" i="3"/>
  <c r="W51" i="3"/>
  <c r="Y55" i="3"/>
  <c r="Z58" i="3"/>
  <c r="S61" i="3"/>
  <c r="Y63" i="3"/>
  <c r="R66" i="3"/>
  <c r="X68" i="3"/>
  <c r="Q71" i="3"/>
  <c r="W73" i="3"/>
  <c r="P76" i="3"/>
  <c r="V78" i="3"/>
  <c r="Q80" i="3"/>
  <c r="T81" i="3"/>
  <c r="U82" i="3"/>
  <c r="T83" i="3"/>
  <c r="S84" i="3"/>
  <c r="P85" i="3"/>
  <c r="Z85" i="3"/>
  <c r="Y86" i="3"/>
  <c r="V87" i="3"/>
  <c r="S88" i="3"/>
  <c r="R89" i="3"/>
  <c r="AB89" i="3"/>
  <c r="Y90" i="3"/>
  <c r="X91" i="3"/>
  <c r="U92" i="3"/>
  <c r="AE92" i="3" s="1"/>
  <c r="R93" i="3"/>
  <c r="Q94" i="3"/>
  <c r="AA94" i="3"/>
  <c r="X95" i="3"/>
  <c r="W96" i="3"/>
  <c r="T97" i="3"/>
  <c r="Q98" i="3"/>
  <c r="P99" i="3"/>
  <c r="Z99" i="3"/>
  <c r="W100" i="3"/>
  <c r="V101" i="3"/>
  <c r="S102" i="3"/>
  <c r="P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A7" i="3"/>
  <c r="Z12" i="3"/>
  <c r="Y17" i="3"/>
  <c r="X22" i="3"/>
  <c r="W27" i="3"/>
  <c r="V32" i="3"/>
  <c r="U37" i="3"/>
  <c r="AE37" i="3" s="1"/>
  <c r="T42" i="3"/>
  <c r="S47" i="3"/>
  <c r="R52" i="3"/>
  <c r="R56" i="3"/>
  <c r="Q59" i="3"/>
  <c r="W61" i="3"/>
  <c r="P64" i="3"/>
  <c r="V66" i="3"/>
  <c r="AB68" i="3"/>
  <c r="U71" i="3"/>
  <c r="AA73" i="3"/>
  <c r="T76" i="3"/>
  <c r="Z78" i="3"/>
  <c r="S80" i="3"/>
  <c r="V81" i="3"/>
  <c r="V82" i="3"/>
  <c r="U83" i="3"/>
  <c r="AE83" i="3" s="1"/>
  <c r="T84" i="3"/>
  <c r="Q85" i="3"/>
  <c r="AA85" i="3"/>
  <c r="Z86" i="3"/>
  <c r="W87" i="3"/>
  <c r="T88" i="3"/>
  <c r="S89" i="3"/>
  <c r="P90" i="3"/>
  <c r="Z90" i="3"/>
  <c r="Y91" i="3"/>
  <c r="V92" i="3"/>
  <c r="S93" i="3"/>
  <c r="R94" i="3"/>
  <c r="AB94" i="3"/>
  <c r="Y95" i="3"/>
  <c r="X96" i="3"/>
  <c r="U97" i="3"/>
  <c r="R98" i="3"/>
  <c r="Q99" i="3"/>
  <c r="AA99" i="3"/>
  <c r="X100" i="3"/>
  <c r="W101" i="3"/>
  <c r="T102" i="3"/>
  <c r="Q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Y9" i="3"/>
  <c r="X14" i="3"/>
  <c r="W19" i="3"/>
  <c r="V24" i="3"/>
  <c r="U29" i="3"/>
  <c r="AE29" i="3" s="1"/>
  <c r="T34" i="3"/>
  <c r="S39" i="3"/>
  <c r="R44" i="3"/>
  <c r="Q49" i="3"/>
  <c r="P54" i="3"/>
  <c r="U57" i="3"/>
  <c r="P60" i="3"/>
  <c r="V62" i="3"/>
  <c r="AB64" i="3"/>
  <c r="U67" i="3"/>
  <c r="AA69" i="3"/>
  <c r="T72" i="3"/>
  <c r="Z74" i="3"/>
  <c r="S77" i="3"/>
  <c r="V79" i="3"/>
  <c r="Y80" i="3"/>
  <c r="AA81" i="3"/>
  <c r="Z82" i="3"/>
  <c r="Z83" i="3"/>
  <c r="W84" i="3"/>
  <c r="V85" i="3"/>
  <c r="S86" i="3"/>
  <c r="P87" i="3"/>
  <c r="AB87" i="3"/>
  <c r="Y88" i="3"/>
  <c r="V89" i="3"/>
  <c r="U90" i="3"/>
  <c r="R91" i="3"/>
  <c r="AB91" i="3"/>
  <c r="AA92" i="3"/>
  <c r="X93" i="3"/>
  <c r="U94" i="3"/>
  <c r="AE94" i="3" s="1"/>
  <c r="T95" i="3"/>
  <c r="Q96" i="3"/>
  <c r="AA96" i="3"/>
  <c r="Z97" i="3"/>
  <c r="W98" i="3"/>
  <c r="T99" i="3"/>
  <c r="S100" i="3"/>
  <c r="P101" i="3"/>
  <c r="Z101" i="3"/>
  <c r="Y102" i="3"/>
  <c r="V103" i="3"/>
  <c r="Q104" i="3"/>
  <c r="Y104" i="3"/>
  <c r="T105" i="3"/>
  <c r="AB105" i="3"/>
  <c r="W106" i="3"/>
  <c r="R107" i="3"/>
  <c r="Z107" i="3"/>
  <c r="U108" i="3"/>
  <c r="AE108" i="3" s="1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T10" i="3"/>
  <c r="S15" i="3"/>
  <c r="R20" i="3"/>
  <c r="Q25" i="3"/>
  <c r="P30" i="3"/>
  <c r="AB34" i="3"/>
  <c r="AA39" i="3"/>
  <c r="Z44" i="3"/>
  <c r="Y49" i="3"/>
  <c r="V54" i="3"/>
  <c r="Y57" i="3"/>
  <c r="T60" i="3"/>
  <c r="Z62" i="3"/>
  <c r="S65" i="3"/>
  <c r="Y67" i="3"/>
  <c r="R70" i="3"/>
  <c r="X72" i="3"/>
  <c r="Q75" i="3"/>
  <c r="W77" i="3"/>
  <c r="X79" i="3"/>
  <c r="AA80" i="3"/>
  <c r="AB81" i="3"/>
  <c r="P83" i="3"/>
  <c r="AA83" i="3"/>
  <c r="X84" i="3"/>
  <c r="W85" i="3"/>
  <c r="T86" i="3"/>
  <c r="Q87" i="3"/>
  <c r="P88" i="3"/>
  <c r="Z88" i="3"/>
  <c r="W89" i="3"/>
  <c r="V90" i="3"/>
  <c r="S91" i="3"/>
  <c r="P92" i="3"/>
  <c r="AB92" i="3"/>
  <c r="Y93" i="3"/>
  <c r="V94" i="3"/>
  <c r="U95" i="3"/>
  <c r="R96" i="3"/>
  <c r="AB96" i="3"/>
  <c r="AA97" i="3"/>
  <c r="X98" i="3"/>
  <c r="U99" i="3"/>
  <c r="T100" i="3"/>
  <c r="Q101" i="3"/>
  <c r="AA101" i="3"/>
  <c r="Z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V8" i="3"/>
  <c r="T18" i="3"/>
  <c r="R28" i="3"/>
  <c r="P38" i="3"/>
  <c r="AA47" i="3"/>
  <c r="V56" i="3"/>
  <c r="AA61" i="3"/>
  <c r="Z66" i="3"/>
  <c r="Y71" i="3"/>
  <c r="X76" i="3"/>
  <c r="T80" i="3"/>
  <c r="W82" i="3"/>
  <c r="U84" i="3"/>
  <c r="Q86" i="3"/>
  <c r="X87" i="3"/>
  <c r="T89" i="3"/>
  <c r="P91" i="3"/>
  <c r="W92" i="3"/>
  <c r="S94" i="3"/>
  <c r="AB95" i="3"/>
  <c r="V97" i="3"/>
  <c r="R99" i="3"/>
  <c r="AA100" i="3"/>
  <c r="U102" i="3"/>
  <c r="AE102" i="3" s="1"/>
  <c r="AB103" i="3"/>
  <c r="R105" i="3"/>
  <c r="U106" i="3"/>
  <c r="AE106" i="3" s="1"/>
  <c r="X107" i="3"/>
  <c r="AA108" i="3"/>
  <c r="Q110" i="3"/>
  <c r="T111" i="3"/>
  <c r="W112" i="3"/>
  <c r="Z113" i="3"/>
  <c r="P115" i="3"/>
  <c r="S116" i="3"/>
  <c r="V117" i="3"/>
  <c r="Y118" i="3"/>
  <c r="AB119" i="3"/>
  <c r="R121" i="3"/>
  <c r="U122" i="3"/>
  <c r="AE122" i="3" s="1"/>
  <c r="X123" i="3"/>
  <c r="AA124" i="3"/>
  <c r="Q126" i="3"/>
  <c r="Q127" i="3"/>
  <c r="Q128" i="3"/>
  <c r="R129" i="3"/>
  <c r="Q130" i="3"/>
  <c r="Q131" i="3"/>
  <c r="AB131" i="3"/>
  <c r="AA132" i="3"/>
  <c r="X133" i="3"/>
  <c r="U134" i="3"/>
  <c r="T135" i="3"/>
  <c r="Q136" i="3"/>
  <c r="AA136" i="3"/>
  <c r="Z137" i="3"/>
  <c r="W138" i="3"/>
  <c r="T139" i="3"/>
  <c r="S140" i="3"/>
  <c r="P141" i="3"/>
  <c r="Z141" i="3"/>
  <c r="Y142" i="3"/>
  <c r="V143" i="3"/>
  <c r="S144" i="3"/>
  <c r="R145" i="3"/>
  <c r="AB145" i="3"/>
  <c r="Y146" i="3"/>
  <c r="X147" i="3"/>
  <c r="U148" i="3"/>
  <c r="R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P209" i="3"/>
  <c r="X209" i="3"/>
  <c r="S210" i="3"/>
  <c r="AA210" i="3"/>
  <c r="Q9" i="3"/>
  <c r="AB18" i="3"/>
  <c r="Z28" i="3"/>
  <c r="X38" i="3"/>
  <c r="V48" i="3"/>
  <c r="AB56" i="3"/>
  <c r="R62" i="3"/>
  <c r="Q67" i="3"/>
  <c r="P72" i="3"/>
  <c r="AB76" i="3"/>
  <c r="X80" i="3"/>
  <c r="Y82" i="3"/>
  <c r="V84" i="3"/>
  <c r="R86" i="3"/>
  <c r="Y87" i="3"/>
  <c r="U89" i="3"/>
  <c r="AE89" i="3" s="1"/>
  <c r="Q91" i="3"/>
  <c r="X92" i="3"/>
  <c r="T94" i="3"/>
  <c r="P96" i="3"/>
  <c r="W97" i="3"/>
  <c r="S99" i="3"/>
  <c r="AB100" i="3"/>
  <c r="V102" i="3"/>
  <c r="P104" i="3"/>
  <c r="S105" i="3"/>
  <c r="V106" i="3"/>
  <c r="Y107" i="3"/>
  <c r="AB108" i="3"/>
  <c r="R110" i="3"/>
  <c r="U111" i="3"/>
  <c r="X112" i="3"/>
  <c r="AA113" i="3"/>
  <c r="Q115" i="3"/>
  <c r="T116" i="3"/>
  <c r="W117" i="3"/>
  <c r="Z118" i="3"/>
  <c r="P120" i="3"/>
  <c r="S121" i="3"/>
  <c r="V122" i="3"/>
  <c r="Y123" i="3"/>
  <c r="AB124" i="3"/>
  <c r="R126" i="3"/>
  <c r="T127" i="3"/>
  <c r="S128" i="3"/>
  <c r="S129" i="3"/>
  <c r="R130" i="3"/>
  <c r="R131" i="3"/>
  <c r="P132" i="3"/>
  <c r="AB132" i="3"/>
  <c r="Y133" i="3"/>
  <c r="V134" i="3"/>
  <c r="U135" i="3"/>
  <c r="R136" i="3"/>
  <c r="AB136" i="3"/>
  <c r="AA137" i="3"/>
  <c r="X138" i="3"/>
  <c r="U139" i="3"/>
  <c r="T140" i="3"/>
  <c r="Q141" i="3"/>
  <c r="AA141" i="3"/>
  <c r="Z142" i="3"/>
  <c r="W143" i="3"/>
  <c r="T144" i="3"/>
  <c r="S145" i="3"/>
  <c r="P146" i="3"/>
  <c r="Z146" i="3"/>
  <c r="Y147" i="3"/>
  <c r="V148" i="3"/>
  <c r="S149" i="3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U13" i="3"/>
  <c r="S23" i="3"/>
  <c r="Q33" i="3"/>
  <c r="AB42" i="3"/>
  <c r="Z52" i="3"/>
  <c r="U59" i="3"/>
  <c r="AE59" i="3" s="1"/>
  <c r="T64" i="3"/>
  <c r="S69" i="3"/>
  <c r="R74" i="3"/>
  <c r="Q79" i="3"/>
  <c r="W81" i="3"/>
  <c r="X83" i="3"/>
  <c r="R85" i="3"/>
  <c r="AA86" i="3"/>
  <c r="W88" i="3"/>
  <c r="Q90" i="3"/>
  <c r="Z91" i="3"/>
  <c r="V93" i="3"/>
  <c r="P95" i="3"/>
  <c r="Y96" i="3"/>
  <c r="U98" i="3"/>
  <c r="AB99" i="3"/>
  <c r="X101" i="3"/>
  <c r="T103" i="3"/>
  <c r="W104" i="3"/>
  <c r="Z105" i="3"/>
  <c r="P107" i="3"/>
  <c r="S108" i="3"/>
  <c r="V109" i="3"/>
  <c r="Y110" i="3"/>
  <c r="AB111" i="3"/>
  <c r="R113" i="3"/>
  <c r="U114" i="3"/>
  <c r="X115" i="3"/>
  <c r="AA116" i="3"/>
  <c r="Q118" i="3"/>
  <c r="T119" i="3"/>
  <c r="W120" i="3"/>
  <c r="Z121" i="3"/>
  <c r="P123" i="3"/>
  <c r="S124" i="3"/>
  <c r="V125" i="3"/>
  <c r="Y126" i="3"/>
  <c r="X127" i="3"/>
  <c r="X128" i="3"/>
  <c r="W129" i="3"/>
  <c r="W130" i="3"/>
  <c r="X131" i="3"/>
  <c r="U132" i="3"/>
  <c r="R133" i="3"/>
  <c r="Q134" i="3"/>
  <c r="AA134" i="3"/>
  <c r="X135" i="3"/>
  <c r="W136" i="3"/>
  <c r="T137" i="3"/>
  <c r="Q138" i="3"/>
  <c r="P139" i="3"/>
  <c r="Z139" i="3"/>
  <c r="W140" i="3"/>
  <c r="V141" i="3"/>
  <c r="S142" i="3"/>
  <c r="P143" i="3"/>
  <c r="AB143" i="3"/>
  <c r="Y144" i="3"/>
  <c r="V145" i="3"/>
  <c r="U146" i="3"/>
  <c r="AE146" i="3" s="1"/>
  <c r="R147" i="3"/>
  <c r="AB147" i="3"/>
  <c r="AA148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P14" i="3"/>
  <c r="AA23" i="3"/>
  <c r="Y33" i="3"/>
  <c r="W43" i="3"/>
  <c r="U53" i="3"/>
  <c r="AE53" i="3" s="1"/>
  <c r="Y59" i="3"/>
  <c r="X64" i="3"/>
  <c r="W69" i="3"/>
  <c r="V74" i="3"/>
  <c r="U79" i="3"/>
  <c r="Z81" i="3"/>
  <c r="Y83" i="3"/>
  <c r="S85" i="3"/>
  <c r="AB86" i="3"/>
  <c r="X88" i="3"/>
  <c r="R90" i="3"/>
  <c r="AA91" i="3"/>
  <c r="W93" i="3"/>
  <c r="Q95" i="3"/>
  <c r="Z96" i="3"/>
  <c r="V98" i="3"/>
  <c r="P100" i="3"/>
  <c r="Y101" i="3"/>
  <c r="U103" i="3"/>
  <c r="AE103" i="3" s="1"/>
  <c r="X104" i="3"/>
  <c r="AA105" i="3"/>
  <c r="Q107" i="3"/>
  <c r="T108" i="3"/>
  <c r="W109" i="3"/>
  <c r="Z110" i="3"/>
  <c r="P112" i="3"/>
  <c r="S113" i="3"/>
  <c r="V114" i="3"/>
  <c r="Y115" i="3"/>
  <c r="AB116" i="3"/>
  <c r="R118" i="3"/>
  <c r="U119" i="3"/>
  <c r="AE119" i="3" s="1"/>
  <c r="X120" i="3"/>
  <c r="AA121" i="3"/>
  <c r="Q123" i="3"/>
  <c r="T124" i="3"/>
  <c r="W125" i="3"/>
  <c r="Z126" i="3"/>
  <c r="Y127" i="3"/>
  <c r="Y128" i="3"/>
  <c r="Z129" i="3"/>
  <c r="Y130" i="3"/>
  <c r="Y131" i="3"/>
  <c r="V132" i="3"/>
  <c r="S133" i="3"/>
  <c r="R134" i="3"/>
  <c r="AB134" i="3"/>
  <c r="Y135" i="3"/>
  <c r="X136" i="3"/>
  <c r="U137" i="3"/>
  <c r="AE137" i="3" s="1"/>
  <c r="R138" i="3"/>
  <c r="Q139" i="3"/>
  <c r="AA139" i="3"/>
  <c r="X140" i="3"/>
  <c r="W141" i="3"/>
  <c r="T142" i="3"/>
  <c r="Q143" i="3"/>
  <c r="P144" i="3"/>
  <c r="Z144" i="3"/>
  <c r="W145" i="3"/>
  <c r="V146" i="3"/>
  <c r="S147" i="3"/>
  <c r="P148" i="3"/>
  <c r="AB148" i="3"/>
  <c r="Y149" i="3"/>
  <c r="T150" i="3"/>
  <c r="AB150" i="3"/>
  <c r="W151" i="3"/>
  <c r="R152" i="3"/>
  <c r="Z152" i="3"/>
  <c r="U153" i="3"/>
  <c r="AE153" i="3" s="1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AE209" i="3" s="1"/>
  <c r="P210" i="3"/>
  <c r="X210" i="3"/>
  <c r="S211" i="3"/>
  <c r="P6" i="3"/>
  <c r="Y25" i="3"/>
  <c r="U45" i="3"/>
  <c r="AE45" i="3" s="1"/>
  <c r="X60" i="3"/>
  <c r="V70" i="3"/>
  <c r="Y79" i="3"/>
  <c r="AB83" i="3"/>
  <c r="T87" i="3"/>
  <c r="W90" i="3"/>
  <c r="Z93" i="3"/>
  <c r="R97" i="3"/>
  <c r="U100" i="3"/>
  <c r="X103" i="3"/>
  <c r="Q106" i="3"/>
  <c r="W108" i="3"/>
  <c r="P111" i="3"/>
  <c r="V113" i="3"/>
  <c r="AB115" i="3"/>
  <c r="U118" i="3"/>
  <c r="AE118" i="3" s="1"/>
  <c r="AA120" i="3"/>
  <c r="T123" i="3"/>
  <c r="Z125" i="3"/>
  <c r="AB127" i="3"/>
  <c r="AA129" i="3"/>
  <c r="Z131" i="3"/>
  <c r="V133" i="3"/>
  <c r="P135" i="3"/>
  <c r="Y136" i="3"/>
  <c r="U138" i="3"/>
  <c r="AB139" i="3"/>
  <c r="X141" i="3"/>
  <c r="X6" i="3"/>
  <c r="T26" i="3"/>
  <c r="P46" i="3"/>
  <c r="AB60" i="3"/>
  <c r="AB10" i="3"/>
  <c r="X30" i="3"/>
  <c r="T50" i="3"/>
  <c r="Q63" i="3"/>
  <c r="AB72" i="3"/>
  <c r="AB80" i="3"/>
  <c r="AA84" i="3"/>
  <c r="Q88" i="3"/>
  <c r="T91" i="3"/>
  <c r="Y94" i="3"/>
  <c r="AB97" i="3"/>
  <c r="R101" i="3"/>
  <c r="S104" i="3"/>
  <c r="Y106" i="3"/>
  <c r="R109" i="3"/>
  <c r="X111" i="3"/>
  <c r="Q114" i="3"/>
  <c r="W116" i="3"/>
  <c r="P119" i="3"/>
  <c r="V121" i="3"/>
  <c r="AB123" i="3"/>
  <c r="U126" i="3"/>
  <c r="T128" i="3"/>
  <c r="U130" i="3"/>
  <c r="AE130" i="3" s="1"/>
  <c r="S132" i="3"/>
  <c r="Z133" i="3"/>
  <c r="V135" i="3"/>
  <c r="R137" i="3"/>
  <c r="Y138" i="3"/>
  <c r="U140" i="3"/>
  <c r="Q142" i="3"/>
  <c r="X143" i="3"/>
  <c r="T145" i="3"/>
  <c r="P147" i="3"/>
  <c r="W148" i="3"/>
  <c r="Q150" i="3"/>
  <c r="T151" i="3"/>
  <c r="W152" i="3"/>
  <c r="Z153" i="3"/>
  <c r="P155" i="3"/>
  <c r="S156" i="3"/>
  <c r="V157" i="3"/>
  <c r="Y158" i="3"/>
  <c r="AB159" i="3"/>
  <c r="R161" i="3"/>
  <c r="U162" i="3"/>
  <c r="AE162" i="3" s="1"/>
  <c r="X163" i="3"/>
  <c r="AA164" i="3"/>
  <c r="Q166" i="3"/>
  <c r="T167" i="3"/>
  <c r="W168" i="3"/>
  <c r="Z169" i="3"/>
  <c r="P171" i="3"/>
  <c r="S172" i="3"/>
  <c r="V173" i="3"/>
  <c r="Y174" i="3"/>
  <c r="AB175" i="3"/>
  <c r="R177" i="3"/>
  <c r="U178" i="3"/>
  <c r="X179" i="3"/>
  <c r="AA180" i="3"/>
  <c r="Q182" i="3"/>
  <c r="T183" i="3"/>
  <c r="W184" i="3"/>
  <c r="Z185" i="3"/>
  <c r="P187" i="3"/>
  <c r="S188" i="3"/>
  <c r="V189" i="3"/>
  <c r="Y190" i="3"/>
  <c r="AB191" i="3"/>
  <c r="R193" i="3"/>
  <c r="U194" i="3"/>
  <c r="AE194" i="3" s="1"/>
  <c r="X195" i="3"/>
  <c r="AA196" i="3"/>
  <c r="Q198" i="3"/>
  <c r="T199" i="3"/>
  <c r="W200" i="3"/>
  <c r="Z201" i="3"/>
  <c r="P203" i="3"/>
  <c r="S204" i="3"/>
  <c r="V205" i="3"/>
  <c r="Y206" i="3"/>
  <c r="AB207" i="3"/>
  <c r="R209" i="3"/>
  <c r="U210" i="3"/>
  <c r="AE210" i="3" s="1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AE272" i="3" s="1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W11" i="3"/>
  <c r="S31" i="3"/>
  <c r="AB50" i="3"/>
  <c r="U63" i="3"/>
  <c r="S73" i="3"/>
  <c r="S81" i="3"/>
  <c r="AB84" i="3"/>
  <c r="R88" i="3"/>
  <c r="U91" i="3"/>
  <c r="AE91" i="3" s="1"/>
  <c r="Z94" i="3"/>
  <c r="P98" i="3"/>
  <c r="S101" i="3"/>
  <c r="T104" i="3"/>
  <c r="Z106" i="3"/>
  <c r="S109" i="3"/>
  <c r="Y111" i="3"/>
  <c r="R114" i="3"/>
  <c r="X116" i="3"/>
  <c r="Q119" i="3"/>
  <c r="W121" i="3"/>
  <c r="P124" i="3"/>
  <c r="V126" i="3"/>
  <c r="W128" i="3"/>
  <c r="V130" i="3"/>
  <c r="T132" i="3"/>
  <c r="AA133" i="3"/>
  <c r="W135" i="3"/>
  <c r="S137" i="3"/>
  <c r="Z138" i="3"/>
  <c r="V140" i="3"/>
  <c r="R142" i="3"/>
  <c r="Y143" i="3"/>
  <c r="U145" i="3"/>
  <c r="AE145" i="3" s="1"/>
  <c r="Q147" i="3"/>
  <c r="X148" i="3"/>
  <c r="R150" i="3"/>
  <c r="U151" i="3"/>
  <c r="AE151" i="3" s="1"/>
  <c r="X152" i="3"/>
  <c r="AA153" i="3"/>
  <c r="Q155" i="3"/>
  <c r="T156" i="3"/>
  <c r="W157" i="3"/>
  <c r="Z158" i="3"/>
  <c r="P160" i="3"/>
  <c r="S161" i="3"/>
  <c r="V162" i="3"/>
  <c r="Y163" i="3"/>
  <c r="AB164" i="3"/>
  <c r="R166" i="3"/>
  <c r="U167" i="3"/>
  <c r="AE167" i="3" s="1"/>
  <c r="X168" i="3"/>
  <c r="AA169" i="3"/>
  <c r="Q171" i="3"/>
  <c r="T172" i="3"/>
  <c r="W173" i="3"/>
  <c r="Z174" i="3"/>
  <c r="P176" i="3"/>
  <c r="S177" i="3"/>
  <c r="V178" i="3"/>
  <c r="Y179" i="3"/>
  <c r="AB180" i="3"/>
  <c r="R182" i="3"/>
  <c r="U183" i="3"/>
  <c r="AE183" i="3" s="1"/>
  <c r="X184" i="3"/>
  <c r="AA185" i="3"/>
  <c r="Q187" i="3"/>
  <c r="T188" i="3"/>
  <c r="W189" i="3"/>
  <c r="Z190" i="3"/>
  <c r="P192" i="3"/>
  <c r="S193" i="3"/>
  <c r="V194" i="3"/>
  <c r="Y195" i="3"/>
  <c r="AB196" i="3"/>
  <c r="R198" i="3"/>
  <c r="U199" i="3"/>
  <c r="X200" i="3"/>
  <c r="AA201" i="3"/>
  <c r="Q203" i="3"/>
  <c r="T204" i="3"/>
  <c r="W205" i="3"/>
  <c r="Z206" i="3"/>
  <c r="P208" i="3"/>
  <c r="S209" i="3"/>
  <c r="V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AE221" i="3" s="1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AA15" i="3"/>
  <c r="W35" i="3"/>
  <c r="AB54" i="3"/>
  <c r="W65" i="3"/>
  <c r="U75" i="3"/>
  <c r="AE75" i="3" s="1"/>
  <c r="Q82" i="3"/>
  <c r="X85" i="3"/>
  <c r="AA88" i="3"/>
  <c r="S92" i="3"/>
  <c r="V95" i="3"/>
  <c r="Y98" i="3"/>
  <c r="Q102" i="3"/>
  <c r="AA104" i="3"/>
  <c r="T107" i="3"/>
  <c r="Z109" i="3"/>
  <c r="S112" i="3"/>
  <c r="Y114" i="3"/>
  <c r="R117" i="3"/>
  <c r="X119" i="3"/>
  <c r="Q122" i="3"/>
  <c r="W124" i="3"/>
  <c r="AA126" i="3"/>
  <c r="AA128" i="3"/>
  <c r="Z130" i="3"/>
  <c r="W132" i="3"/>
  <c r="S134" i="3"/>
  <c r="AB135" i="3"/>
  <c r="V137" i="3"/>
  <c r="R139" i="3"/>
  <c r="AA140" i="3"/>
  <c r="V16" i="3"/>
  <c r="R36" i="3"/>
  <c r="S55" i="3"/>
  <c r="Z20" i="3"/>
  <c r="V40" i="3"/>
  <c r="R58" i="3"/>
  <c r="P68" i="3"/>
  <c r="AA77" i="3"/>
  <c r="Q83" i="3"/>
  <c r="U86" i="3"/>
  <c r="AE86" i="3" s="1"/>
  <c r="Z89" i="3"/>
  <c r="P93" i="3"/>
  <c r="S96" i="3"/>
  <c r="X99" i="3"/>
  <c r="AA102" i="3"/>
  <c r="V105" i="3"/>
  <c r="AB107" i="3"/>
  <c r="U110" i="3"/>
  <c r="AE110" i="3" s="1"/>
  <c r="AA112" i="3"/>
  <c r="T115" i="3"/>
  <c r="Z117" i="3"/>
  <c r="S120" i="3"/>
  <c r="Y122" i="3"/>
  <c r="R125" i="3"/>
  <c r="U127" i="3"/>
  <c r="T129" i="3"/>
  <c r="T131" i="3"/>
  <c r="P133" i="3"/>
  <c r="Y134" i="3"/>
  <c r="S136" i="3"/>
  <c r="AB137" i="3"/>
  <c r="X139" i="3"/>
  <c r="R141" i="3"/>
  <c r="AA142" i="3"/>
  <c r="W144" i="3"/>
  <c r="Q146" i="3"/>
  <c r="Z147" i="3"/>
  <c r="V149" i="3"/>
  <c r="Y150" i="3"/>
  <c r="AB151" i="3"/>
  <c r="R153" i="3"/>
  <c r="U154" i="3"/>
  <c r="AE154" i="3" s="1"/>
  <c r="X155" i="3"/>
  <c r="AA156" i="3"/>
  <c r="Q158" i="3"/>
  <c r="T159" i="3"/>
  <c r="W160" i="3"/>
  <c r="Z161" i="3"/>
  <c r="P163" i="3"/>
  <c r="S164" i="3"/>
  <c r="V165" i="3"/>
  <c r="Y166" i="3"/>
  <c r="AB167" i="3"/>
  <c r="R169" i="3"/>
  <c r="U170" i="3"/>
  <c r="AE170" i="3" s="1"/>
  <c r="X171" i="3"/>
  <c r="AA172" i="3"/>
  <c r="Q174" i="3"/>
  <c r="T175" i="3"/>
  <c r="W176" i="3"/>
  <c r="Z177" i="3"/>
  <c r="P179" i="3"/>
  <c r="S180" i="3"/>
  <c r="V181" i="3"/>
  <c r="Y182" i="3"/>
  <c r="AB183" i="3"/>
  <c r="R185" i="3"/>
  <c r="U186" i="3"/>
  <c r="AE186" i="3" s="1"/>
  <c r="X187" i="3"/>
  <c r="AA188" i="3"/>
  <c r="Q190" i="3"/>
  <c r="T191" i="3"/>
  <c r="W192" i="3"/>
  <c r="Z193" i="3"/>
  <c r="P195" i="3"/>
  <c r="S196" i="3"/>
  <c r="V197" i="3"/>
  <c r="Y198" i="3"/>
  <c r="AB199" i="3"/>
  <c r="R201" i="3"/>
  <c r="U202" i="3"/>
  <c r="X203" i="3"/>
  <c r="AA204" i="3"/>
  <c r="Q206" i="3"/>
  <c r="T207" i="3"/>
  <c r="W208" i="3"/>
  <c r="Z209" i="3"/>
  <c r="P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AE340" i="3" s="1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U21" i="3"/>
  <c r="AE21" i="3" s="1"/>
  <c r="Q41" i="3"/>
  <c r="V58" i="3"/>
  <c r="T68" i="3"/>
  <c r="R78" i="3"/>
  <c r="R83" i="3"/>
  <c r="V86" i="3"/>
  <c r="AA89" i="3"/>
  <c r="Q93" i="3"/>
  <c r="T96" i="3"/>
  <c r="Y99" i="3"/>
  <c r="AB102" i="3"/>
  <c r="W105" i="3"/>
  <c r="P108" i="3"/>
  <c r="V110" i="3"/>
  <c r="AB112" i="3"/>
  <c r="U115" i="3"/>
  <c r="AA117" i="3"/>
  <c r="T120" i="3"/>
  <c r="Z122" i="3"/>
  <c r="S125" i="3"/>
  <c r="V127" i="3"/>
  <c r="V129" i="3"/>
  <c r="U131" i="3"/>
  <c r="AE131" i="3" s="1"/>
  <c r="Q133" i="3"/>
  <c r="Z134" i="3"/>
  <c r="T136" i="3"/>
  <c r="P138" i="3"/>
  <c r="Y139" i="3"/>
  <c r="S141" i="3"/>
  <c r="AB142" i="3"/>
  <c r="X144" i="3"/>
  <c r="R146" i="3"/>
  <c r="AA147" i="3"/>
  <c r="W149" i="3"/>
  <c r="Z150" i="3"/>
  <c r="P152" i="3"/>
  <c r="S153" i="3"/>
  <c r="V154" i="3"/>
  <c r="Y155" i="3"/>
  <c r="AB156" i="3"/>
  <c r="R158" i="3"/>
  <c r="U159" i="3"/>
  <c r="AE159" i="3" s="1"/>
  <c r="X160" i="3"/>
  <c r="AA161" i="3"/>
  <c r="Q163" i="3"/>
  <c r="T164" i="3"/>
  <c r="W165" i="3"/>
  <c r="Z166" i="3"/>
  <c r="P168" i="3"/>
  <c r="S169" i="3"/>
  <c r="V170" i="3"/>
  <c r="Y171" i="3"/>
  <c r="AB172" i="3"/>
  <c r="R174" i="3"/>
  <c r="U175" i="3"/>
  <c r="AE175" i="3" s="1"/>
  <c r="X176" i="3"/>
  <c r="AA177" i="3"/>
  <c r="Q179" i="3"/>
  <c r="T180" i="3"/>
  <c r="W181" i="3"/>
  <c r="Z182" i="3"/>
  <c r="P184" i="3"/>
  <c r="S185" i="3"/>
  <c r="V186" i="3"/>
  <c r="Y187" i="3"/>
  <c r="AB188" i="3"/>
  <c r="R190" i="3"/>
  <c r="U191" i="3"/>
  <c r="AE191" i="3" s="1"/>
  <c r="X192" i="3"/>
  <c r="AA193" i="3"/>
  <c r="Q195" i="3"/>
  <c r="T196" i="3"/>
  <c r="W197" i="3"/>
  <c r="Z198" i="3"/>
  <c r="P200" i="3"/>
  <c r="S201" i="3"/>
  <c r="V202" i="3"/>
  <c r="Y203" i="3"/>
  <c r="AB204" i="3"/>
  <c r="R206" i="3"/>
  <c r="U207" i="3"/>
  <c r="AE207" i="3" s="1"/>
  <c r="X208" i="3"/>
  <c r="AA209" i="3"/>
  <c r="Q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AE225" i="3" s="1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AE273" i="3" s="1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AE321" i="3" s="1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AE337" i="3" s="1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AA65" i="3"/>
  <c r="AB88" i="3"/>
  <c r="R102" i="3"/>
  <c r="T112" i="3"/>
  <c r="R122" i="3"/>
  <c r="P131" i="3"/>
  <c r="W137" i="3"/>
  <c r="T143" i="3"/>
  <c r="W146" i="3"/>
  <c r="Z149" i="3"/>
  <c r="S152" i="3"/>
  <c r="Y154" i="3"/>
  <c r="R157" i="3"/>
  <c r="X159" i="3"/>
  <c r="Q162" i="3"/>
  <c r="W164" i="3"/>
  <c r="P167" i="3"/>
  <c r="V169" i="3"/>
  <c r="AB171" i="3"/>
  <c r="U174" i="3"/>
  <c r="AA176" i="3"/>
  <c r="T179" i="3"/>
  <c r="Z181" i="3"/>
  <c r="S184" i="3"/>
  <c r="Y186" i="3"/>
  <c r="R189" i="3"/>
  <c r="X191" i="3"/>
  <c r="Q194" i="3"/>
  <c r="W196" i="3"/>
  <c r="P199" i="3"/>
  <c r="V201" i="3"/>
  <c r="AB203" i="3"/>
  <c r="U206" i="3"/>
  <c r="AE206" i="3" s="1"/>
  <c r="AA208" i="3"/>
  <c r="T211" i="3"/>
  <c r="W212" i="3"/>
  <c r="Z213" i="3"/>
  <c r="P215" i="3"/>
  <c r="S216" i="3"/>
  <c r="V217" i="3"/>
  <c r="Y218" i="3"/>
  <c r="AB219" i="3"/>
  <c r="R221" i="3"/>
  <c r="U222" i="3"/>
  <c r="X223" i="3"/>
  <c r="AA224" i="3"/>
  <c r="Q226" i="3"/>
  <c r="T227" i="3"/>
  <c r="W228" i="3"/>
  <c r="Z229" i="3"/>
  <c r="P231" i="3"/>
  <c r="S232" i="3"/>
  <c r="V233" i="3"/>
  <c r="Y234" i="3"/>
  <c r="AB235" i="3"/>
  <c r="R237" i="3"/>
  <c r="U238" i="3"/>
  <c r="AE238" i="3" s="1"/>
  <c r="X239" i="3"/>
  <c r="AA240" i="3"/>
  <c r="Q242" i="3"/>
  <c r="T243" i="3"/>
  <c r="W244" i="3"/>
  <c r="Z245" i="3"/>
  <c r="P247" i="3"/>
  <c r="S248" i="3"/>
  <c r="V249" i="3"/>
  <c r="Y250" i="3"/>
  <c r="AB251" i="3"/>
  <c r="R253" i="3"/>
  <c r="U254" i="3"/>
  <c r="AE254" i="3" s="1"/>
  <c r="X255" i="3"/>
  <c r="AA256" i="3"/>
  <c r="Q258" i="3"/>
  <c r="T259" i="3"/>
  <c r="W260" i="3"/>
  <c r="Z261" i="3"/>
  <c r="P263" i="3"/>
  <c r="S264" i="3"/>
  <c r="V265" i="3"/>
  <c r="Y266" i="3"/>
  <c r="AB267" i="3"/>
  <c r="R269" i="3"/>
  <c r="U270" i="3"/>
  <c r="AE270" i="3" s="1"/>
  <c r="X271" i="3"/>
  <c r="AA272" i="3"/>
  <c r="Z70" i="3"/>
  <c r="X90" i="3"/>
  <c r="Y103" i="3"/>
  <c r="W113" i="3"/>
  <c r="U123" i="3"/>
  <c r="AE123" i="3" s="1"/>
  <c r="AA131" i="3"/>
  <c r="V138" i="3"/>
  <c r="U143" i="3"/>
  <c r="AE143" i="3" s="1"/>
  <c r="X146" i="3"/>
  <c r="AA149" i="3"/>
  <c r="T152" i="3"/>
  <c r="Z154" i="3"/>
  <c r="S157" i="3"/>
  <c r="Y159" i="3"/>
  <c r="R162" i="3"/>
  <c r="X164" i="3"/>
  <c r="Q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W201" i="3"/>
  <c r="P204" i="3"/>
  <c r="V206" i="3"/>
  <c r="AB208" i="3"/>
  <c r="U211" i="3"/>
  <c r="AE211" i="3" s="1"/>
  <c r="X212" i="3"/>
  <c r="AA213" i="3"/>
  <c r="Q215" i="3"/>
  <c r="T216" i="3"/>
  <c r="W217" i="3"/>
  <c r="Z218" i="3"/>
  <c r="P220" i="3"/>
  <c r="S221" i="3"/>
  <c r="V222" i="3"/>
  <c r="Y223" i="3"/>
  <c r="AB224" i="3"/>
  <c r="R226" i="3"/>
  <c r="U227" i="3"/>
  <c r="AE227" i="3" s="1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X244" i="3"/>
  <c r="AA245" i="3"/>
  <c r="Q247" i="3"/>
  <c r="T248" i="3"/>
  <c r="W249" i="3"/>
  <c r="Z250" i="3"/>
  <c r="P252" i="3"/>
  <c r="S253" i="3"/>
  <c r="V254" i="3"/>
  <c r="Y255" i="3"/>
  <c r="AB256" i="3"/>
  <c r="R258" i="3"/>
  <c r="U259" i="3"/>
  <c r="AE259" i="3" s="1"/>
  <c r="X260" i="3"/>
  <c r="AA261" i="3"/>
  <c r="Q263" i="3"/>
  <c r="T264" i="3"/>
  <c r="W265" i="3"/>
  <c r="Z266" i="3"/>
  <c r="P268" i="3"/>
  <c r="S269" i="3"/>
  <c r="V270" i="3"/>
  <c r="Y271" i="3"/>
  <c r="AB272" i="3"/>
  <c r="Y75" i="3"/>
  <c r="T92" i="3"/>
  <c r="AB104" i="3"/>
  <c r="Z114" i="3"/>
  <c r="X124" i="3"/>
  <c r="X132" i="3"/>
  <c r="S139" i="3"/>
  <c r="Q144" i="3"/>
  <c r="T147" i="3"/>
  <c r="U150" i="3"/>
  <c r="AE150" i="3" s="1"/>
  <c r="AA152" i="3"/>
  <c r="T155" i="3"/>
  <c r="Z157" i="3"/>
  <c r="S160" i="3"/>
  <c r="Y162" i="3"/>
  <c r="R165" i="3"/>
  <c r="X167" i="3"/>
  <c r="Q170" i="3"/>
  <c r="W172" i="3"/>
  <c r="P175" i="3"/>
  <c r="V177" i="3"/>
  <c r="AB179" i="3"/>
  <c r="U182" i="3"/>
  <c r="AE182" i="3" s="1"/>
  <c r="AA184" i="3"/>
  <c r="T187" i="3"/>
  <c r="Z189" i="3"/>
  <c r="S192" i="3"/>
  <c r="Y194" i="3"/>
  <c r="R197" i="3"/>
  <c r="X199" i="3"/>
  <c r="Q202" i="3"/>
  <c r="W204" i="3"/>
  <c r="P207" i="3"/>
  <c r="V209" i="3"/>
  <c r="X211" i="3"/>
  <c r="AA212" i="3"/>
  <c r="Q214" i="3"/>
  <c r="T215" i="3"/>
  <c r="W216" i="3"/>
  <c r="Z217" i="3"/>
  <c r="P219" i="3"/>
  <c r="S220" i="3"/>
  <c r="V221" i="3"/>
  <c r="Y222" i="3"/>
  <c r="AB223" i="3"/>
  <c r="R225" i="3"/>
  <c r="U226" i="3"/>
  <c r="AE226" i="3" s="1"/>
  <c r="X227" i="3"/>
  <c r="AA228" i="3"/>
  <c r="Q230" i="3"/>
  <c r="T231" i="3"/>
  <c r="W232" i="3"/>
  <c r="Z233" i="3"/>
  <c r="P235" i="3"/>
  <c r="S236" i="3"/>
  <c r="V237" i="3"/>
  <c r="Y238" i="3"/>
  <c r="AB239" i="3"/>
  <c r="R241" i="3"/>
  <c r="U242" i="3"/>
  <c r="AE242" i="3" s="1"/>
  <c r="X243" i="3"/>
  <c r="AA244" i="3"/>
  <c r="Q246" i="3"/>
  <c r="T247" i="3"/>
  <c r="W248" i="3"/>
  <c r="Z249" i="3"/>
  <c r="P251" i="3"/>
  <c r="S252" i="3"/>
  <c r="V253" i="3"/>
  <c r="Y254" i="3"/>
  <c r="AB255" i="3"/>
  <c r="R257" i="3"/>
  <c r="U258" i="3"/>
  <c r="AE258" i="3" s="1"/>
  <c r="X259" i="3"/>
  <c r="AA260" i="3"/>
  <c r="Q262" i="3"/>
  <c r="T263" i="3"/>
  <c r="W264" i="3"/>
  <c r="Z265" i="3"/>
  <c r="P267" i="3"/>
  <c r="S268" i="3"/>
  <c r="V269" i="3"/>
  <c r="Y270" i="3"/>
  <c r="AB271" i="3"/>
  <c r="R273" i="3"/>
  <c r="U274" i="3"/>
  <c r="AE274" i="3" s="1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AE290" i="3" s="1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AE306" i="3" s="1"/>
  <c r="X307" i="3"/>
  <c r="AA308" i="3"/>
  <c r="Q310" i="3"/>
  <c r="T311" i="3"/>
  <c r="W312" i="3"/>
  <c r="Z313" i="3"/>
  <c r="P315" i="3"/>
  <c r="S316" i="3"/>
  <c r="V317" i="3"/>
  <c r="Y318" i="3"/>
  <c r="AB319" i="3"/>
  <c r="R321" i="3"/>
  <c r="U322" i="3"/>
  <c r="AE322" i="3" s="1"/>
  <c r="X323" i="3"/>
  <c r="AA324" i="3"/>
  <c r="Q326" i="3"/>
  <c r="T327" i="3"/>
  <c r="W328" i="3"/>
  <c r="Z329" i="3"/>
  <c r="P331" i="3"/>
  <c r="S332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U354" i="3"/>
  <c r="AE354" i="3" s="1"/>
  <c r="X355" i="3"/>
  <c r="AA356" i="3"/>
  <c r="Q358" i="3"/>
  <c r="T359" i="3"/>
  <c r="W360" i="3"/>
  <c r="Z361" i="3"/>
  <c r="P363" i="3"/>
  <c r="S364" i="3"/>
  <c r="V365" i="3"/>
  <c r="Y366" i="3"/>
  <c r="AB367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AE456" i="3" s="1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AB469" i="3"/>
  <c r="W470" i="3"/>
  <c r="P80" i="3"/>
  <c r="AA93" i="3"/>
  <c r="R106" i="3"/>
  <c r="P116" i="3"/>
  <c r="AA125" i="3"/>
  <c r="W133" i="3"/>
  <c r="P140" i="3"/>
  <c r="R144" i="3"/>
  <c r="U147" i="3"/>
  <c r="AE147" i="3" s="1"/>
  <c r="V150" i="3"/>
  <c r="AB152" i="3"/>
  <c r="U155" i="3"/>
  <c r="AE155" i="3" s="1"/>
  <c r="AA157" i="3"/>
  <c r="T160" i="3"/>
  <c r="Z162" i="3"/>
  <c r="S165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R202" i="3"/>
  <c r="X204" i="3"/>
  <c r="Q207" i="3"/>
  <c r="W209" i="3"/>
  <c r="Y211" i="3"/>
  <c r="AB212" i="3"/>
  <c r="R214" i="3"/>
  <c r="U215" i="3"/>
  <c r="X216" i="3"/>
  <c r="AA217" i="3"/>
  <c r="Q219" i="3"/>
  <c r="T220" i="3"/>
  <c r="W221" i="3"/>
  <c r="Z222" i="3"/>
  <c r="P224" i="3"/>
  <c r="S225" i="3"/>
  <c r="V226" i="3"/>
  <c r="Y227" i="3"/>
  <c r="AB228" i="3"/>
  <c r="R230" i="3"/>
  <c r="U231" i="3"/>
  <c r="AE231" i="3" s="1"/>
  <c r="X232" i="3"/>
  <c r="AA233" i="3"/>
  <c r="Q235" i="3"/>
  <c r="T236" i="3"/>
  <c r="W237" i="3"/>
  <c r="Z238" i="3"/>
  <c r="P240" i="3"/>
  <c r="S241" i="3"/>
  <c r="V242" i="3"/>
  <c r="Y243" i="3"/>
  <c r="AB244" i="3"/>
  <c r="R246" i="3"/>
  <c r="U247" i="3"/>
  <c r="AE247" i="3" s="1"/>
  <c r="X248" i="3"/>
  <c r="AA249" i="3"/>
  <c r="Q251" i="3"/>
  <c r="T252" i="3"/>
  <c r="W253" i="3"/>
  <c r="Z254" i="3"/>
  <c r="P256" i="3"/>
  <c r="S257" i="3"/>
  <c r="V258" i="3"/>
  <c r="Y259" i="3"/>
  <c r="AB260" i="3"/>
  <c r="R262" i="3"/>
  <c r="U263" i="3"/>
  <c r="AE263" i="3" s="1"/>
  <c r="X264" i="3"/>
  <c r="AA265" i="3"/>
  <c r="Q267" i="3"/>
  <c r="T268" i="3"/>
  <c r="W269" i="3"/>
  <c r="Z270" i="3"/>
  <c r="P272" i="3"/>
  <c r="S273" i="3"/>
  <c r="V274" i="3"/>
  <c r="Y275" i="3"/>
  <c r="AB276" i="3"/>
  <c r="R278" i="3"/>
  <c r="U279" i="3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AE295" i="3" s="1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AE311" i="3" s="1"/>
  <c r="X312" i="3"/>
  <c r="AA313" i="3"/>
  <c r="Q315" i="3"/>
  <c r="T316" i="3"/>
  <c r="W317" i="3"/>
  <c r="Z318" i="3"/>
  <c r="P320" i="3"/>
  <c r="S321" i="3"/>
  <c r="V322" i="3"/>
  <c r="Y323" i="3"/>
  <c r="AB324" i="3"/>
  <c r="R326" i="3"/>
  <c r="U327" i="3"/>
  <c r="AE327" i="3" s="1"/>
  <c r="X328" i="3"/>
  <c r="AA329" i="3"/>
  <c r="Q331" i="3"/>
  <c r="T332" i="3"/>
  <c r="W333" i="3"/>
  <c r="Z334" i="3"/>
  <c r="P336" i="3"/>
  <c r="S337" i="3"/>
  <c r="V338" i="3"/>
  <c r="Y339" i="3"/>
  <c r="AB340" i="3"/>
  <c r="R342" i="3"/>
  <c r="U343" i="3"/>
  <c r="X344" i="3"/>
  <c r="AA345" i="3"/>
  <c r="Q347" i="3"/>
  <c r="T348" i="3"/>
  <c r="W349" i="3"/>
  <c r="Z350" i="3"/>
  <c r="P352" i="3"/>
  <c r="S353" i="3"/>
  <c r="V354" i="3"/>
  <c r="Y355" i="3"/>
  <c r="AB356" i="3"/>
  <c r="R358" i="3"/>
  <c r="U359" i="3"/>
  <c r="AE359" i="3" s="1"/>
  <c r="X360" i="3"/>
  <c r="AA361" i="3"/>
  <c r="Q363" i="3"/>
  <c r="T364" i="3"/>
  <c r="W365" i="3"/>
  <c r="Z366" i="3"/>
  <c r="P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AE453" i="3" s="1"/>
  <c r="P454" i="3"/>
  <c r="X454" i="3"/>
  <c r="S455" i="3"/>
  <c r="AA455" i="3"/>
  <c r="V456" i="3"/>
  <c r="Q457" i="3"/>
  <c r="Y457" i="3"/>
  <c r="T458" i="3"/>
  <c r="R82" i="3"/>
  <c r="W95" i="3"/>
  <c r="U107" i="3"/>
  <c r="AE107" i="3" s="1"/>
  <c r="S117" i="3"/>
  <c r="P127" i="3"/>
  <c r="T134" i="3"/>
  <c r="AB140" i="3"/>
  <c r="AA144" i="3"/>
  <c r="S148" i="3"/>
  <c r="P151" i="3"/>
  <c r="V153" i="3"/>
  <c r="AB155" i="3"/>
  <c r="U158" i="3"/>
  <c r="AE158" i="3" s="1"/>
  <c r="AA160" i="3"/>
  <c r="T163" i="3"/>
  <c r="Z165" i="3"/>
  <c r="S168" i="3"/>
  <c r="Y170" i="3"/>
  <c r="R173" i="3"/>
  <c r="X175" i="3"/>
  <c r="Q178" i="3"/>
  <c r="W180" i="3"/>
  <c r="P183" i="3"/>
  <c r="V185" i="3"/>
  <c r="AB187" i="3"/>
  <c r="U190" i="3"/>
  <c r="AA192" i="3"/>
  <c r="T195" i="3"/>
  <c r="Z197" i="3"/>
  <c r="S200" i="3"/>
  <c r="Y202" i="3"/>
  <c r="R205" i="3"/>
  <c r="X207" i="3"/>
  <c r="Q210" i="3"/>
  <c r="AB211" i="3"/>
  <c r="R213" i="3"/>
  <c r="U214" i="3"/>
  <c r="AE214" i="3" s="1"/>
  <c r="X215" i="3"/>
  <c r="AA216" i="3"/>
  <c r="Q218" i="3"/>
  <c r="T219" i="3"/>
  <c r="W220" i="3"/>
  <c r="Z221" i="3"/>
  <c r="P223" i="3"/>
  <c r="S224" i="3"/>
  <c r="V225" i="3"/>
  <c r="Y226" i="3"/>
  <c r="AB227" i="3"/>
  <c r="R229" i="3"/>
  <c r="U230" i="3"/>
  <c r="AE230" i="3" s="1"/>
  <c r="X231" i="3"/>
  <c r="AA232" i="3"/>
  <c r="Q234" i="3"/>
  <c r="T235" i="3"/>
  <c r="W236" i="3"/>
  <c r="Z237" i="3"/>
  <c r="P239" i="3"/>
  <c r="S240" i="3"/>
  <c r="V241" i="3"/>
  <c r="Y242" i="3"/>
  <c r="AB243" i="3"/>
  <c r="R245" i="3"/>
  <c r="U246" i="3"/>
  <c r="AE246" i="3" s="1"/>
  <c r="X247" i="3"/>
  <c r="AA248" i="3"/>
  <c r="Q250" i="3"/>
  <c r="T251" i="3"/>
  <c r="W252" i="3"/>
  <c r="Z253" i="3"/>
  <c r="P255" i="3"/>
  <c r="S256" i="3"/>
  <c r="V257" i="3"/>
  <c r="Y258" i="3"/>
  <c r="AB259" i="3"/>
  <c r="R261" i="3"/>
  <c r="U262" i="3"/>
  <c r="AE262" i="3" s="1"/>
  <c r="X263" i="3"/>
  <c r="AA264" i="3"/>
  <c r="Q266" i="3"/>
  <c r="T267" i="3"/>
  <c r="W268" i="3"/>
  <c r="Z269" i="3"/>
  <c r="P271" i="3"/>
  <c r="S272" i="3"/>
  <c r="V273" i="3"/>
  <c r="P84" i="3"/>
  <c r="S97" i="3"/>
  <c r="X108" i="3"/>
  <c r="V118" i="3"/>
  <c r="P128" i="3"/>
  <c r="Q135" i="3"/>
  <c r="Y141" i="3"/>
  <c r="AB144" i="3"/>
  <c r="T148" i="3"/>
  <c r="Q151" i="3"/>
  <c r="W153" i="3"/>
  <c r="P156" i="3"/>
  <c r="V158" i="3"/>
  <c r="AB160" i="3"/>
  <c r="U163" i="3"/>
  <c r="AE163" i="3" s="1"/>
  <c r="AA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E195" i="3" s="1"/>
  <c r="AA197" i="3"/>
  <c r="T200" i="3"/>
  <c r="Z202" i="3"/>
  <c r="S205" i="3"/>
  <c r="Y207" i="3"/>
  <c r="R210" i="3"/>
  <c r="P212" i="3"/>
  <c r="S213" i="3"/>
  <c r="V214" i="3"/>
  <c r="Y215" i="3"/>
  <c r="AB216" i="3"/>
  <c r="R218" i="3"/>
  <c r="U219" i="3"/>
  <c r="X220" i="3"/>
  <c r="AA221" i="3"/>
  <c r="Q223" i="3"/>
  <c r="T224" i="3"/>
  <c r="W225" i="3"/>
  <c r="Z226" i="3"/>
  <c r="P228" i="3"/>
  <c r="S229" i="3"/>
  <c r="V230" i="3"/>
  <c r="Y231" i="3"/>
  <c r="AB232" i="3"/>
  <c r="R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AE251" i="3" s="1"/>
  <c r="X252" i="3"/>
  <c r="AA253" i="3"/>
  <c r="Q255" i="3"/>
  <c r="T256" i="3"/>
  <c r="W257" i="3"/>
  <c r="Z258" i="3"/>
  <c r="P260" i="3"/>
  <c r="S261" i="3"/>
  <c r="V262" i="3"/>
  <c r="Y263" i="3"/>
  <c r="AB264" i="3"/>
  <c r="R266" i="3"/>
  <c r="U267" i="3"/>
  <c r="AE267" i="3" s="1"/>
  <c r="X268" i="3"/>
  <c r="AA269" i="3"/>
  <c r="Q271" i="3"/>
  <c r="T272" i="3"/>
  <c r="W273" i="3"/>
  <c r="Y85" i="3"/>
  <c r="Z98" i="3"/>
  <c r="AA109" i="3"/>
  <c r="Y119" i="3"/>
  <c r="AB128" i="3"/>
  <c r="P136" i="3"/>
  <c r="U142" i="3"/>
  <c r="AE142" i="3" s="1"/>
  <c r="Z145" i="3"/>
  <c r="P149" i="3"/>
  <c r="X151" i="3"/>
  <c r="Q154" i="3"/>
  <c r="W156" i="3"/>
  <c r="P159" i="3"/>
  <c r="V161" i="3"/>
  <c r="AB163" i="3"/>
  <c r="U166" i="3"/>
  <c r="AE166" i="3" s="1"/>
  <c r="AA168" i="3"/>
  <c r="T171" i="3"/>
  <c r="Z173" i="3"/>
  <c r="S176" i="3"/>
  <c r="Y178" i="3"/>
  <c r="R181" i="3"/>
  <c r="X183" i="3"/>
  <c r="Q186" i="3"/>
  <c r="W188" i="3"/>
  <c r="P191" i="3"/>
  <c r="V193" i="3"/>
  <c r="AB195" i="3"/>
  <c r="U198" i="3"/>
  <c r="AE198" i="3" s="1"/>
  <c r="AA200" i="3"/>
  <c r="T203" i="3"/>
  <c r="Z205" i="3"/>
  <c r="S208" i="3"/>
  <c r="Y210" i="3"/>
  <c r="S212" i="3"/>
  <c r="V213" i="3"/>
  <c r="Y214" i="3"/>
  <c r="AB215" i="3"/>
  <c r="R217" i="3"/>
  <c r="U218" i="3"/>
  <c r="AE218" i="3" s="1"/>
  <c r="X219" i="3"/>
  <c r="AA220" i="3"/>
  <c r="Q222" i="3"/>
  <c r="T223" i="3"/>
  <c r="W224" i="3"/>
  <c r="Z225" i="3"/>
  <c r="P227" i="3"/>
  <c r="S228" i="3"/>
  <c r="V229" i="3"/>
  <c r="Y230" i="3"/>
  <c r="AB231" i="3"/>
  <c r="R233" i="3"/>
  <c r="U234" i="3"/>
  <c r="AE234" i="3" s="1"/>
  <c r="X235" i="3"/>
  <c r="AA236" i="3"/>
  <c r="Q238" i="3"/>
  <c r="T239" i="3"/>
  <c r="W240" i="3"/>
  <c r="Z241" i="3"/>
  <c r="P243" i="3"/>
  <c r="S244" i="3"/>
  <c r="V245" i="3"/>
  <c r="Y246" i="3"/>
  <c r="AB247" i="3"/>
  <c r="R249" i="3"/>
  <c r="U250" i="3"/>
  <c r="AE250" i="3" s="1"/>
  <c r="X251" i="3"/>
  <c r="AA252" i="3"/>
  <c r="Q254" i="3"/>
  <c r="T255" i="3"/>
  <c r="W256" i="3"/>
  <c r="Z257" i="3"/>
  <c r="P259" i="3"/>
  <c r="S260" i="3"/>
  <c r="V261" i="3"/>
  <c r="Y262" i="3"/>
  <c r="AB263" i="3"/>
  <c r="R265" i="3"/>
  <c r="U266" i="3"/>
  <c r="AE266" i="3" s="1"/>
  <c r="X267" i="3"/>
  <c r="AA268" i="3"/>
  <c r="Q270" i="3"/>
  <c r="T271" i="3"/>
  <c r="W272" i="3"/>
  <c r="Z273" i="3"/>
  <c r="P275" i="3"/>
  <c r="S276" i="3"/>
  <c r="V277" i="3"/>
  <c r="Y278" i="3"/>
  <c r="AB279" i="3"/>
  <c r="R281" i="3"/>
  <c r="U282" i="3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AE298" i="3" s="1"/>
  <c r="X299" i="3"/>
  <c r="AA300" i="3"/>
  <c r="Q302" i="3"/>
  <c r="T303" i="3"/>
  <c r="W304" i="3"/>
  <c r="Z305" i="3"/>
  <c r="P307" i="3"/>
  <c r="S308" i="3"/>
  <c r="V309" i="3"/>
  <c r="Y310" i="3"/>
  <c r="AB311" i="3"/>
  <c r="R313" i="3"/>
  <c r="U314" i="3"/>
  <c r="AE314" i="3" s="1"/>
  <c r="X315" i="3"/>
  <c r="AA316" i="3"/>
  <c r="Q318" i="3"/>
  <c r="T319" i="3"/>
  <c r="W320" i="3"/>
  <c r="Z321" i="3"/>
  <c r="P323" i="3"/>
  <c r="S324" i="3"/>
  <c r="V325" i="3"/>
  <c r="Y326" i="3"/>
  <c r="AB327" i="3"/>
  <c r="R329" i="3"/>
  <c r="U330" i="3"/>
  <c r="AE330" i="3" s="1"/>
  <c r="X331" i="3"/>
  <c r="AA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Z353" i="3"/>
  <c r="P355" i="3"/>
  <c r="S356" i="3"/>
  <c r="V357" i="3"/>
  <c r="Y358" i="3"/>
  <c r="AB359" i="3"/>
  <c r="R361" i="3"/>
  <c r="U362" i="3"/>
  <c r="AE362" i="3" s="1"/>
  <c r="X363" i="3"/>
  <c r="AA364" i="3"/>
  <c r="Q366" i="3"/>
  <c r="T367" i="3"/>
  <c r="W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Y464" i="3"/>
  <c r="T465" i="3"/>
  <c r="AB465" i="3"/>
  <c r="W466" i="3"/>
  <c r="R467" i="3"/>
  <c r="Z467" i="3"/>
  <c r="U87" i="3"/>
  <c r="V100" i="3"/>
  <c r="Q111" i="3"/>
  <c r="AB120" i="3"/>
  <c r="AB129" i="3"/>
  <c r="Z136" i="3"/>
  <c r="V142" i="3"/>
  <c r="AA145" i="3"/>
  <c r="Q149" i="3"/>
  <c r="Y151" i="3"/>
  <c r="R154" i="3"/>
  <c r="X156" i="3"/>
  <c r="Q159" i="3"/>
  <c r="W161" i="3"/>
  <c r="P164" i="3"/>
  <c r="V166" i="3"/>
  <c r="AB168" i="3"/>
  <c r="U171" i="3"/>
  <c r="AE171" i="3" s="1"/>
  <c r="AA173" i="3"/>
  <c r="T176" i="3"/>
  <c r="Z178" i="3"/>
  <c r="S181" i="3"/>
  <c r="Y183" i="3"/>
  <c r="R186" i="3"/>
  <c r="X188" i="3"/>
  <c r="Q191" i="3"/>
  <c r="W193" i="3"/>
  <c r="P196" i="3"/>
  <c r="V198" i="3"/>
  <c r="AB200" i="3"/>
  <c r="U203" i="3"/>
  <c r="AE203" i="3" s="1"/>
  <c r="AA205" i="3"/>
  <c r="T208" i="3"/>
  <c r="Z210" i="3"/>
  <c r="T212" i="3"/>
  <c r="W213" i="3"/>
  <c r="Z214" i="3"/>
  <c r="P216" i="3"/>
  <c r="S217" i="3"/>
  <c r="V218" i="3"/>
  <c r="Y219" i="3"/>
  <c r="AB220" i="3"/>
  <c r="R222" i="3"/>
  <c r="U223" i="3"/>
  <c r="AE223" i="3" s="1"/>
  <c r="X224" i="3"/>
  <c r="AA225" i="3"/>
  <c r="Q227" i="3"/>
  <c r="T228" i="3"/>
  <c r="W229" i="3"/>
  <c r="Z230" i="3"/>
  <c r="P232" i="3"/>
  <c r="S233" i="3"/>
  <c r="V234" i="3"/>
  <c r="Y235" i="3"/>
  <c r="AB236" i="3"/>
  <c r="R238" i="3"/>
  <c r="U239" i="3"/>
  <c r="AE239" i="3" s="1"/>
  <c r="X240" i="3"/>
  <c r="AA241" i="3"/>
  <c r="Q243" i="3"/>
  <c r="T244" i="3"/>
  <c r="W245" i="3"/>
  <c r="Z246" i="3"/>
  <c r="P248" i="3"/>
  <c r="S249" i="3"/>
  <c r="V250" i="3"/>
  <c r="Y251" i="3"/>
  <c r="AB252" i="3"/>
  <c r="R254" i="3"/>
  <c r="U255" i="3"/>
  <c r="AE255" i="3" s="1"/>
  <c r="X256" i="3"/>
  <c r="AA257" i="3"/>
  <c r="Q259" i="3"/>
  <c r="T260" i="3"/>
  <c r="W261" i="3"/>
  <c r="Z262" i="3"/>
  <c r="P264" i="3"/>
  <c r="S265" i="3"/>
  <c r="V266" i="3"/>
  <c r="Y267" i="3"/>
  <c r="AB268" i="3"/>
  <c r="R270" i="3"/>
  <c r="U271" i="3"/>
  <c r="AE271" i="3" s="1"/>
  <c r="X272" i="3"/>
  <c r="AA273" i="3"/>
  <c r="Q275" i="3"/>
  <c r="T276" i="3"/>
  <c r="W277" i="3"/>
  <c r="Z278" i="3"/>
  <c r="P280" i="3"/>
  <c r="S281" i="3"/>
  <c r="V282" i="3"/>
  <c r="Y283" i="3"/>
  <c r="AB284" i="3"/>
  <c r="R286" i="3"/>
  <c r="U287" i="3"/>
  <c r="AE287" i="3" s="1"/>
  <c r="X288" i="3"/>
  <c r="AA289" i="3"/>
  <c r="Q291" i="3"/>
  <c r="T292" i="3"/>
  <c r="W293" i="3"/>
  <c r="Z294" i="3"/>
  <c r="P296" i="3"/>
  <c r="S297" i="3"/>
  <c r="V298" i="3"/>
  <c r="Y299" i="3"/>
  <c r="AB300" i="3"/>
  <c r="R302" i="3"/>
  <c r="U303" i="3"/>
  <c r="X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AE319" i="3" s="1"/>
  <c r="X320" i="3"/>
  <c r="AA321" i="3"/>
  <c r="Q323" i="3"/>
  <c r="T324" i="3"/>
  <c r="W325" i="3"/>
  <c r="Z326" i="3"/>
  <c r="P328" i="3"/>
  <c r="S329" i="3"/>
  <c r="V330" i="3"/>
  <c r="Y331" i="3"/>
  <c r="AB332" i="3"/>
  <c r="R334" i="3"/>
  <c r="U335" i="3"/>
  <c r="AE335" i="3" s="1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AE351" i="3" s="1"/>
  <c r="X352" i="3"/>
  <c r="AA353" i="3"/>
  <c r="Q355" i="3"/>
  <c r="T356" i="3"/>
  <c r="W357" i="3"/>
  <c r="Z358" i="3"/>
  <c r="P360" i="3"/>
  <c r="S361" i="3"/>
  <c r="V362" i="3"/>
  <c r="Y363" i="3"/>
  <c r="AB364" i="3"/>
  <c r="R366" i="3"/>
  <c r="U367" i="3"/>
  <c r="AE367" i="3" s="1"/>
  <c r="X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Q274" i="3"/>
  <c r="W276" i="3"/>
  <c r="P279" i="3"/>
  <c r="V281" i="3"/>
  <c r="AB283" i="3"/>
  <c r="U286" i="3"/>
  <c r="AE286" i="3" s="1"/>
  <c r="AA288" i="3"/>
  <c r="T291" i="3"/>
  <c r="Z293" i="3"/>
  <c r="S296" i="3"/>
  <c r="Y298" i="3"/>
  <c r="R301" i="3"/>
  <c r="X303" i="3"/>
  <c r="Q306" i="3"/>
  <c r="W308" i="3"/>
  <c r="P311" i="3"/>
  <c r="V313" i="3"/>
  <c r="AB315" i="3"/>
  <c r="U318" i="3"/>
  <c r="AA320" i="3"/>
  <c r="T323" i="3"/>
  <c r="Z325" i="3"/>
  <c r="S328" i="3"/>
  <c r="Y330" i="3"/>
  <c r="R333" i="3"/>
  <c r="X335" i="3"/>
  <c r="Q338" i="3"/>
  <c r="W340" i="3"/>
  <c r="P343" i="3"/>
  <c r="V345" i="3"/>
  <c r="AB347" i="3"/>
  <c r="U350" i="3"/>
  <c r="AE350" i="3" s="1"/>
  <c r="AA352" i="3"/>
  <c r="T355" i="3"/>
  <c r="Z357" i="3"/>
  <c r="S360" i="3"/>
  <c r="Y362" i="3"/>
  <c r="R365" i="3"/>
  <c r="X367" i="3"/>
  <c r="V369" i="3"/>
  <c r="Y370" i="3"/>
  <c r="AB371" i="3"/>
  <c r="R373" i="3"/>
  <c r="U374" i="3"/>
  <c r="AE374" i="3" s="1"/>
  <c r="X375" i="3"/>
  <c r="AA376" i="3"/>
  <c r="Q378" i="3"/>
  <c r="T379" i="3"/>
  <c r="W380" i="3"/>
  <c r="Z381" i="3"/>
  <c r="P383" i="3"/>
  <c r="S384" i="3"/>
  <c r="V385" i="3"/>
  <c r="Y386" i="3"/>
  <c r="AB387" i="3"/>
  <c r="R389" i="3"/>
  <c r="U390" i="3"/>
  <c r="AE390" i="3" s="1"/>
  <c r="X391" i="3"/>
  <c r="AA392" i="3"/>
  <c r="Q394" i="3"/>
  <c r="T395" i="3"/>
  <c r="W396" i="3"/>
  <c r="Z397" i="3"/>
  <c r="P399" i="3"/>
  <c r="S400" i="3"/>
  <c r="V401" i="3"/>
  <c r="Y402" i="3"/>
  <c r="AB403" i="3"/>
  <c r="R405" i="3"/>
  <c r="U406" i="3"/>
  <c r="AE406" i="3" s="1"/>
  <c r="X407" i="3"/>
  <c r="AA408" i="3"/>
  <c r="Q410" i="3"/>
  <c r="T411" i="3"/>
  <c r="W412" i="3"/>
  <c r="Z413" i="3"/>
  <c r="P415" i="3"/>
  <c r="S416" i="3"/>
  <c r="V417" i="3"/>
  <c r="Y418" i="3"/>
  <c r="AB419" i="3"/>
  <c r="R421" i="3"/>
  <c r="U422" i="3"/>
  <c r="AE422" i="3" s="1"/>
  <c r="X423" i="3"/>
  <c r="AA424" i="3"/>
  <c r="Q426" i="3"/>
  <c r="T427" i="3"/>
  <c r="W428" i="3"/>
  <c r="Z429" i="3"/>
  <c r="P431" i="3"/>
  <c r="S432" i="3"/>
  <c r="V433" i="3"/>
  <c r="Y434" i="3"/>
  <c r="AB435" i="3"/>
  <c r="R437" i="3"/>
  <c r="U438" i="3"/>
  <c r="AE438" i="3" s="1"/>
  <c r="X439" i="3"/>
  <c r="AA440" i="3"/>
  <c r="Q442" i="3"/>
  <c r="T443" i="3"/>
  <c r="W444" i="3"/>
  <c r="Z445" i="3"/>
  <c r="P447" i="3"/>
  <c r="S448" i="3"/>
  <c r="V449" i="3"/>
  <c r="Y450" i="3"/>
  <c r="AB451" i="3"/>
  <c r="R453" i="3"/>
  <c r="U454" i="3"/>
  <c r="AE454" i="3" s="1"/>
  <c r="X455" i="3"/>
  <c r="AA456" i="3"/>
  <c r="Q458" i="3"/>
  <c r="Q459" i="3"/>
  <c r="R460" i="3"/>
  <c r="R461" i="3"/>
  <c r="Q462" i="3"/>
  <c r="Q463" i="3"/>
  <c r="P464" i="3"/>
  <c r="Q465" i="3"/>
  <c r="Q466" i="3"/>
  <c r="P467" i="3"/>
  <c r="P468" i="3"/>
  <c r="AA468" i="3"/>
  <c r="X469" i="3"/>
  <c r="V470" i="3"/>
  <c r="S471" i="3"/>
  <c r="AB471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R274" i="3"/>
  <c r="X276" i="3"/>
  <c r="Q279" i="3"/>
  <c r="W281" i="3"/>
  <c r="P284" i="3"/>
  <c r="V286" i="3"/>
  <c r="AB288" i="3"/>
  <c r="U291" i="3"/>
  <c r="AE291" i="3" s="1"/>
  <c r="AA293" i="3"/>
  <c r="T296" i="3"/>
  <c r="Z298" i="3"/>
  <c r="S301" i="3"/>
  <c r="Y303" i="3"/>
  <c r="R306" i="3"/>
  <c r="X308" i="3"/>
  <c r="Q311" i="3"/>
  <c r="W313" i="3"/>
  <c r="P316" i="3"/>
  <c r="V318" i="3"/>
  <c r="AB320" i="3"/>
  <c r="U323" i="3"/>
  <c r="AE323" i="3" s="1"/>
  <c r="AA325" i="3"/>
  <c r="T328" i="3"/>
  <c r="Z330" i="3"/>
  <c r="S333" i="3"/>
  <c r="Y335" i="3"/>
  <c r="R338" i="3"/>
  <c r="X340" i="3"/>
  <c r="Q343" i="3"/>
  <c r="W345" i="3"/>
  <c r="P348" i="3"/>
  <c r="V350" i="3"/>
  <c r="AB352" i="3"/>
  <c r="U355" i="3"/>
  <c r="AE355" i="3" s="1"/>
  <c r="AA357" i="3"/>
  <c r="T360" i="3"/>
  <c r="Z362" i="3"/>
  <c r="S365" i="3"/>
  <c r="Y367" i="3"/>
  <c r="W369" i="3"/>
  <c r="Z370" i="3"/>
  <c r="P372" i="3"/>
  <c r="S373" i="3"/>
  <c r="V374" i="3"/>
  <c r="Y375" i="3"/>
  <c r="AB376" i="3"/>
  <c r="R378" i="3"/>
  <c r="U379" i="3"/>
  <c r="X380" i="3"/>
  <c r="AA381" i="3"/>
  <c r="Q383" i="3"/>
  <c r="T384" i="3"/>
  <c r="W385" i="3"/>
  <c r="Z386" i="3"/>
  <c r="P388" i="3"/>
  <c r="S389" i="3"/>
  <c r="V390" i="3"/>
  <c r="Y391" i="3"/>
  <c r="AB392" i="3"/>
  <c r="R394" i="3"/>
  <c r="U395" i="3"/>
  <c r="AE395" i="3" s="1"/>
  <c r="X396" i="3"/>
  <c r="AA397" i="3"/>
  <c r="Q399" i="3"/>
  <c r="T400" i="3"/>
  <c r="W401" i="3"/>
  <c r="Z402" i="3"/>
  <c r="P404" i="3"/>
  <c r="S405" i="3"/>
  <c r="V406" i="3"/>
  <c r="Y407" i="3"/>
  <c r="AB408" i="3"/>
  <c r="R410" i="3"/>
  <c r="U411" i="3"/>
  <c r="AE411" i="3" s="1"/>
  <c r="X412" i="3"/>
  <c r="AA413" i="3"/>
  <c r="Q415" i="3"/>
  <c r="T416" i="3"/>
  <c r="W417" i="3"/>
  <c r="Z418" i="3"/>
  <c r="P420" i="3"/>
  <c r="S421" i="3"/>
  <c r="V422" i="3"/>
  <c r="Y423" i="3"/>
  <c r="AB424" i="3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X444" i="3"/>
  <c r="AA445" i="3"/>
  <c r="Q447" i="3"/>
  <c r="T448" i="3"/>
  <c r="W449" i="3"/>
  <c r="Z450" i="3"/>
  <c r="P452" i="3"/>
  <c r="S453" i="3"/>
  <c r="V454" i="3"/>
  <c r="Y455" i="3"/>
  <c r="AB456" i="3"/>
  <c r="R458" i="3"/>
  <c r="T459" i="3"/>
  <c r="S460" i="3"/>
  <c r="S461" i="3"/>
  <c r="R462" i="3"/>
  <c r="S463" i="3"/>
  <c r="S464" i="3"/>
  <c r="R465" i="3"/>
  <c r="R466" i="3"/>
  <c r="Q467" i="3"/>
  <c r="R468" i="3"/>
  <c r="AB468" i="3"/>
  <c r="Z469" i="3"/>
  <c r="X470" i="3"/>
  <c r="T471" i="3"/>
  <c r="P472" i="3"/>
  <c r="Y472" i="3"/>
  <c r="T473" i="3"/>
  <c r="AB473" i="3"/>
  <c r="W474" i="3"/>
  <c r="R475" i="3"/>
  <c r="Z475" i="3"/>
  <c r="U476" i="3"/>
  <c r="AE476" i="3" s="1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Q496" i="3"/>
  <c r="Y496" i="3"/>
  <c r="T497" i="3"/>
  <c r="AB497" i="3"/>
  <c r="W498" i="3"/>
  <c r="Y274" i="3"/>
  <c r="R277" i="3"/>
  <c r="X279" i="3"/>
  <c r="Q282" i="3"/>
  <c r="W284" i="3"/>
  <c r="P287" i="3"/>
  <c r="V289" i="3"/>
  <c r="AB291" i="3"/>
  <c r="U294" i="3"/>
  <c r="AE294" i="3" s="1"/>
  <c r="AA296" i="3"/>
  <c r="T299" i="3"/>
  <c r="Z301" i="3"/>
  <c r="S304" i="3"/>
  <c r="Y306" i="3"/>
  <c r="R309" i="3"/>
  <c r="X311" i="3"/>
  <c r="Q314" i="3"/>
  <c r="W316" i="3"/>
  <c r="P319" i="3"/>
  <c r="V321" i="3"/>
  <c r="AB323" i="3"/>
  <c r="U326" i="3"/>
  <c r="AE326" i="3" s="1"/>
  <c r="AA328" i="3"/>
  <c r="T331" i="3"/>
  <c r="Z333" i="3"/>
  <c r="S336" i="3"/>
  <c r="Y338" i="3"/>
  <c r="R341" i="3"/>
  <c r="X343" i="3"/>
  <c r="Q346" i="3"/>
  <c r="W348" i="3"/>
  <c r="P351" i="3"/>
  <c r="V353" i="3"/>
  <c r="AB355" i="3"/>
  <c r="U358" i="3"/>
  <c r="AE358" i="3" s="1"/>
  <c r="AA360" i="3"/>
  <c r="T363" i="3"/>
  <c r="Z365" i="3"/>
  <c r="S368" i="3"/>
  <c r="Z369" i="3"/>
  <c r="P371" i="3"/>
  <c r="S372" i="3"/>
  <c r="V373" i="3"/>
  <c r="Y374" i="3"/>
  <c r="AB375" i="3"/>
  <c r="R377" i="3"/>
  <c r="U378" i="3"/>
  <c r="AE378" i="3" s="1"/>
  <c r="X379" i="3"/>
  <c r="AA380" i="3"/>
  <c r="Q382" i="3"/>
  <c r="T383" i="3"/>
  <c r="W384" i="3"/>
  <c r="Z385" i="3"/>
  <c r="P387" i="3"/>
  <c r="S388" i="3"/>
  <c r="V389" i="3"/>
  <c r="Y390" i="3"/>
  <c r="AB391" i="3"/>
  <c r="R393" i="3"/>
  <c r="U394" i="3"/>
  <c r="AE394" i="3" s="1"/>
  <c r="X395" i="3"/>
  <c r="AA396" i="3"/>
  <c r="Q398" i="3"/>
  <c r="T399" i="3"/>
  <c r="W400" i="3"/>
  <c r="Z401" i="3"/>
  <c r="P403" i="3"/>
  <c r="S404" i="3"/>
  <c r="V405" i="3"/>
  <c r="Y406" i="3"/>
  <c r="AB407" i="3"/>
  <c r="R409" i="3"/>
  <c r="U410" i="3"/>
  <c r="AE410" i="3" s="1"/>
  <c r="X411" i="3"/>
  <c r="AA412" i="3"/>
  <c r="Q414" i="3"/>
  <c r="T415" i="3"/>
  <c r="W416" i="3"/>
  <c r="Z417" i="3"/>
  <c r="P419" i="3"/>
  <c r="S420" i="3"/>
  <c r="V421" i="3"/>
  <c r="Y422" i="3"/>
  <c r="AB423" i="3"/>
  <c r="R425" i="3"/>
  <c r="U426" i="3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Q446" i="3"/>
  <c r="T447" i="3"/>
  <c r="W448" i="3"/>
  <c r="Z449" i="3"/>
  <c r="P451" i="3"/>
  <c r="S452" i="3"/>
  <c r="V453" i="3"/>
  <c r="Y454" i="3"/>
  <c r="AB455" i="3"/>
  <c r="R457" i="3"/>
  <c r="U458" i="3"/>
  <c r="AE458" i="3" s="1"/>
  <c r="U459" i="3"/>
  <c r="AE459" i="3" s="1"/>
  <c r="T460" i="3"/>
  <c r="U461" i="3"/>
  <c r="AE461" i="3" s="1"/>
  <c r="U462" i="3"/>
  <c r="AE462" i="3" s="1"/>
  <c r="T463" i="3"/>
  <c r="T464" i="3"/>
  <c r="S465" i="3"/>
  <c r="T466" i="3"/>
  <c r="T467" i="3"/>
  <c r="S468" i="3"/>
  <c r="P469" i="3"/>
  <c r="AA469" i="3"/>
  <c r="Y470" i="3"/>
  <c r="U471" i="3"/>
  <c r="AE471" i="3" s="1"/>
  <c r="Q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Z274" i="3"/>
  <c r="S277" i="3"/>
  <c r="Y279" i="3"/>
  <c r="R282" i="3"/>
  <c r="X284" i="3"/>
  <c r="Q287" i="3"/>
  <c r="W289" i="3"/>
  <c r="P292" i="3"/>
  <c r="V294" i="3"/>
  <c r="AB296" i="3"/>
  <c r="U299" i="3"/>
  <c r="AE299" i="3" s="1"/>
  <c r="AA301" i="3"/>
  <c r="T304" i="3"/>
  <c r="Z306" i="3"/>
  <c r="S309" i="3"/>
  <c r="Y311" i="3"/>
  <c r="R314" i="3"/>
  <c r="X316" i="3"/>
  <c r="Q319" i="3"/>
  <c r="W321" i="3"/>
  <c r="P324" i="3"/>
  <c r="V326" i="3"/>
  <c r="AB328" i="3"/>
  <c r="U331" i="3"/>
  <c r="AE331" i="3" s="1"/>
  <c r="AA333" i="3"/>
  <c r="T336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AA369" i="3"/>
  <c r="Q371" i="3"/>
  <c r="T372" i="3"/>
  <c r="W373" i="3"/>
  <c r="Z374" i="3"/>
  <c r="P376" i="3"/>
  <c r="S377" i="3"/>
  <c r="V378" i="3"/>
  <c r="Y379" i="3"/>
  <c r="AB380" i="3"/>
  <c r="R382" i="3"/>
  <c r="U383" i="3"/>
  <c r="AE383" i="3" s="1"/>
  <c r="X384" i="3"/>
  <c r="AA385" i="3"/>
  <c r="Q387" i="3"/>
  <c r="T388" i="3"/>
  <c r="W389" i="3"/>
  <c r="Z390" i="3"/>
  <c r="P392" i="3"/>
  <c r="S393" i="3"/>
  <c r="V394" i="3"/>
  <c r="Y395" i="3"/>
  <c r="AB396" i="3"/>
  <c r="R398" i="3"/>
  <c r="U399" i="3"/>
  <c r="AE399" i="3" s="1"/>
  <c r="X400" i="3"/>
  <c r="AA401" i="3"/>
  <c r="Q403" i="3"/>
  <c r="T404" i="3"/>
  <c r="W405" i="3"/>
  <c r="Z406" i="3"/>
  <c r="P408" i="3"/>
  <c r="S409" i="3"/>
  <c r="V410" i="3"/>
  <c r="Y411" i="3"/>
  <c r="AB412" i="3"/>
  <c r="R414" i="3"/>
  <c r="U415" i="3"/>
  <c r="AE415" i="3" s="1"/>
  <c r="X416" i="3"/>
  <c r="AA417" i="3"/>
  <c r="Q419" i="3"/>
  <c r="T420" i="3"/>
  <c r="W421" i="3"/>
  <c r="Z422" i="3"/>
  <c r="P424" i="3"/>
  <c r="S425" i="3"/>
  <c r="V426" i="3"/>
  <c r="Y427" i="3"/>
  <c r="AB428" i="3"/>
  <c r="R430" i="3"/>
  <c r="U431" i="3"/>
  <c r="AE431" i="3" s="1"/>
  <c r="X432" i="3"/>
  <c r="AA433" i="3"/>
  <c r="Q435" i="3"/>
  <c r="T436" i="3"/>
  <c r="W437" i="3"/>
  <c r="Z438" i="3"/>
  <c r="P440" i="3"/>
  <c r="S441" i="3"/>
  <c r="V442" i="3"/>
  <c r="Y443" i="3"/>
  <c r="AB444" i="3"/>
  <c r="R446" i="3"/>
  <c r="U447" i="3"/>
  <c r="X448" i="3"/>
  <c r="AA449" i="3"/>
  <c r="Q451" i="3"/>
  <c r="T452" i="3"/>
  <c r="W453" i="3"/>
  <c r="Z454" i="3"/>
  <c r="P456" i="3"/>
  <c r="S457" i="3"/>
  <c r="V458" i="3"/>
  <c r="W459" i="3"/>
  <c r="W460" i="3"/>
  <c r="V461" i="3"/>
  <c r="V462" i="3"/>
  <c r="U463" i="3"/>
  <c r="AE463" i="3" s="1"/>
  <c r="V464" i="3"/>
  <c r="V465" i="3"/>
  <c r="U466" i="3"/>
  <c r="AE466" i="3" s="1"/>
  <c r="U467" i="3"/>
  <c r="AE467" i="3" s="1"/>
  <c r="T468" i="3"/>
  <c r="R469" i="3"/>
  <c r="P470" i="3"/>
  <c r="Z470" i="3"/>
  <c r="V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T275" i="3"/>
  <c r="Z277" i="3"/>
  <c r="S280" i="3"/>
  <c r="Y282" i="3"/>
  <c r="R285" i="3"/>
  <c r="X287" i="3"/>
  <c r="Q290" i="3"/>
  <c r="W292" i="3"/>
  <c r="P295" i="3"/>
  <c r="V297" i="3"/>
  <c r="AB299" i="3"/>
  <c r="U302" i="3"/>
  <c r="AE302" i="3" s="1"/>
  <c r="AA304" i="3"/>
  <c r="T307" i="3"/>
  <c r="Z309" i="3"/>
  <c r="S312" i="3"/>
  <c r="Y314" i="3"/>
  <c r="R317" i="3"/>
  <c r="X319" i="3"/>
  <c r="Q322" i="3"/>
  <c r="W324" i="3"/>
  <c r="P327" i="3"/>
  <c r="V329" i="3"/>
  <c r="AB331" i="3"/>
  <c r="U334" i="3"/>
  <c r="AE334" i="3" s="1"/>
  <c r="AA336" i="3"/>
  <c r="T339" i="3"/>
  <c r="Z341" i="3"/>
  <c r="S344" i="3"/>
  <c r="Y346" i="3"/>
  <c r="R349" i="3"/>
  <c r="X351" i="3"/>
  <c r="Q354" i="3"/>
  <c r="W356" i="3"/>
  <c r="P359" i="3"/>
  <c r="V361" i="3"/>
  <c r="AB363" i="3"/>
  <c r="U366" i="3"/>
  <c r="AE366" i="3" s="1"/>
  <c r="AA368" i="3"/>
  <c r="Q370" i="3"/>
  <c r="T371" i="3"/>
  <c r="W372" i="3"/>
  <c r="Z373" i="3"/>
  <c r="P375" i="3"/>
  <c r="S376" i="3"/>
  <c r="V377" i="3"/>
  <c r="Y378" i="3"/>
  <c r="AB379" i="3"/>
  <c r="R381" i="3"/>
  <c r="U382" i="3"/>
  <c r="AE382" i="3" s="1"/>
  <c r="X383" i="3"/>
  <c r="AA384" i="3"/>
  <c r="Q386" i="3"/>
  <c r="T387" i="3"/>
  <c r="W388" i="3"/>
  <c r="Z389" i="3"/>
  <c r="P391" i="3"/>
  <c r="S392" i="3"/>
  <c r="V393" i="3"/>
  <c r="Y394" i="3"/>
  <c r="AB395" i="3"/>
  <c r="R397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U414" i="3"/>
  <c r="X415" i="3"/>
  <c r="AA416" i="3"/>
  <c r="Q418" i="3"/>
  <c r="T419" i="3"/>
  <c r="W420" i="3"/>
  <c r="Z421" i="3"/>
  <c r="P423" i="3"/>
  <c r="S424" i="3"/>
  <c r="V425" i="3"/>
  <c r="Y426" i="3"/>
  <c r="AB427" i="3"/>
  <c r="R429" i="3"/>
  <c r="U430" i="3"/>
  <c r="AE430" i="3" s="1"/>
  <c r="X431" i="3"/>
  <c r="AA432" i="3"/>
  <c r="Q434" i="3"/>
  <c r="T435" i="3"/>
  <c r="W436" i="3"/>
  <c r="Z437" i="3"/>
  <c r="P439" i="3"/>
  <c r="S440" i="3"/>
  <c r="V441" i="3"/>
  <c r="Y442" i="3"/>
  <c r="AB443" i="3"/>
  <c r="R445" i="3"/>
  <c r="U446" i="3"/>
  <c r="AE446" i="3" s="1"/>
  <c r="X447" i="3"/>
  <c r="AA448" i="3"/>
  <c r="Q450" i="3"/>
  <c r="T451" i="3"/>
  <c r="W452" i="3"/>
  <c r="Z453" i="3"/>
  <c r="P455" i="3"/>
  <c r="S456" i="3"/>
  <c r="V457" i="3"/>
  <c r="Y458" i="3"/>
  <c r="X459" i="3"/>
  <c r="X460" i="3"/>
  <c r="W461" i="3"/>
  <c r="X462" i="3"/>
  <c r="X463" i="3"/>
  <c r="W464" i="3"/>
  <c r="W465" i="3"/>
  <c r="V466" i="3"/>
  <c r="W467" i="3"/>
  <c r="U468" i="3"/>
  <c r="AE468" i="3" s="1"/>
  <c r="S469" i="3"/>
  <c r="Q470" i="3"/>
  <c r="AA470" i="3"/>
  <c r="X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275" i="3"/>
  <c r="AE275" i="3" s="1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E307" i="3" s="1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T344" i="3"/>
  <c r="Z346" i="3"/>
  <c r="S349" i="3"/>
  <c r="Y351" i="3"/>
  <c r="R354" i="3"/>
  <c r="X356" i="3"/>
  <c r="Q359" i="3"/>
  <c r="W361" i="3"/>
  <c r="P364" i="3"/>
  <c r="V366" i="3"/>
  <c r="AB368" i="3"/>
  <c r="R370" i="3"/>
  <c r="U371" i="3"/>
  <c r="AE371" i="3" s="1"/>
  <c r="X372" i="3"/>
  <c r="AA373" i="3"/>
  <c r="Q375" i="3"/>
  <c r="T376" i="3"/>
  <c r="W377" i="3"/>
  <c r="Z378" i="3"/>
  <c r="P380" i="3"/>
  <c r="S381" i="3"/>
  <c r="V382" i="3"/>
  <c r="Y383" i="3"/>
  <c r="AB384" i="3"/>
  <c r="R386" i="3"/>
  <c r="U387" i="3"/>
  <c r="X388" i="3"/>
  <c r="AA389" i="3"/>
  <c r="Q391" i="3"/>
  <c r="T392" i="3"/>
  <c r="W393" i="3"/>
  <c r="Z394" i="3"/>
  <c r="P396" i="3"/>
  <c r="S397" i="3"/>
  <c r="V398" i="3"/>
  <c r="Y399" i="3"/>
  <c r="AB400" i="3"/>
  <c r="R402" i="3"/>
  <c r="U403" i="3"/>
  <c r="AE403" i="3" s="1"/>
  <c r="X404" i="3"/>
  <c r="AA405" i="3"/>
  <c r="Q407" i="3"/>
  <c r="T408" i="3"/>
  <c r="W409" i="3"/>
  <c r="Z410" i="3"/>
  <c r="P412" i="3"/>
  <c r="S413" i="3"/>
  <c r="V414" i="3"/>
  <c r="Y415" i="3"/>
  <c r="AB416" i="3"/>
  <c r="R418" i="3"/>
  <c r="U419" i="3"/>
  <c r="AE419" i="3" s="1"/>
  <c r="X420" i="3"/>
  <c r="AA421" i="3"/>
  <c r="Q423" i="3"/>
  <c r="T424" i="3"/>
  <c r="W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S445" i="3"/>
  <c r="V446" i="3"/>
  <c r="Y447" i="3"/>
  <c r="AB448" i="3"/>
  <c r="R450" i="3"/>
  <c r="U451" i="3"/>
  <c r="AE451" i="3" s="1"/>
  <c r="X452" i="3"/>
  <c r="AA453" i="3"/>
  <c r="Q455" i="3"/>
  <c r="T456" i="3"/>
  <c r="W457" i="3"/>
  <c r="Z458" i="3"/>
  <c r="Y459" i="3"/>
  <c r="Z460" i="3"/>
  <c r="Z461" i="3"/>
  <c r="Y462" i="3"/>
  <c r="Y463" i="3"/>
  <c r="X464" i="3"/>
  <c r="Y465" i="3"/>
  <c r="Y466" i="3"/>
  <c r="X467" i="3"/>
  <c r="W468" i="3"/>
  <c r="U469" i="3"/>
  <c r="AE469" i="3" s="1"/>
  <c r="R470" i="3"/>
  <c r="P471" i="3"/>
  <c r="Y471" i="3"/>
  <c r="U472" i="3"/>
  <c r="AE472" i="3" s="1"/>
  <c r="P473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AE480" i="3" s="1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AB275" i="3"/>
  <c r="U278" i="3"/>
  <c r="AE278" i="3" s="1"/>
  <c r="AA280" i="3"/>
  <c r="T283" i="3"/>
  <c r="Z285" i="3"/>
  <c r="S288" i="3"/>
  <c r="Y290" i="3"/>
  <c r="R293" i="3"/>
  <c r="X295" i="3"/>
  <c r="Q298" i="3"/>
  <c r="W300" i="3"/>
  <c r="P303" i="3"/>
  <c r="V305" i="3"/>
  <c r="AB307" i="3"/>
  <c r="U310" i="3"/>
  <c r="AE310" i="3" s="1"/>
  <c r="AA312" i="3"/>
  <c r="T315" i="3"/>
  <c r="Z317" i="3"/>
  <c r="S320" i="3"/>
  <c r="Y322" i="3"/>
  <c r="R325" i="3"/>
  <c r="X327" i="3"/>
  <c r="Q330" i="3"/>
  <c r="W332" i="3"/>
  <c r="P335" i="3"/>
  <c r="V337" i="3"/>
  <c r="AB339" i="3"/>
  <c r="U342" i="3"/>
  <c r="AA344" i="3"/>
  <c r="T347" i="3"/>
  <c r="Z349" i="3"/>
  <c r="S352" i="3"/>
  <c r="Y354" i="3"/>
  <c r="R357" i="3"/>
  <c r="X359" i="3"/>
  <c r="Q362" i="3"/>
  <c r="W364" i="3"/>
  <c r="P367" i="3"/>
  <c r="R369" i="3"/>
  <c r="U370" i="3"/>
  <c r="X371" i="3"/>
  <c r="AA372" i="3"/>
  <c r="Q374" i="3"/>
  <c r="T375" i="3"/>
  <c r="W376" i="3"/>
  <c r="Z377" i="3"/>
  <c r="P379" i="3"/>
  <c r="S380" i="3"/>
  <c r="V381" i="3"/>
  <c r="Y382" i="3"/>
  <c r="AB383" i="3"/>
  <c r="R385" i="3"/>
  <c r="U386" i="3"/>
  <c r="AE386" i="3" s="1"/>
  <c r="X387" i="3"/>
  <c r="AA388" i="3"/>
  <c r="Q390" i="3"/>
  <c r="T391" i="3"/>
  <c r="W392" i="3"/>
  <c r="Z393" i="3"/>
  <c r="P395" i="3"/>
  <c r="S396" i="3"/>
  <c r="V397" i="3"/>
  <c r="Y398" i="3"/>
  <c r="AB399" i="3"/>
  <c r="R401" i="3"/>
  <c r="U402" i="3"/>
  <c r="AE402" i="3" s="1"/>
  <c r="X403" i="3"/>
  <c r="AA404" i="3"/>
  <c r="Q406" i="3"/>
  <c r="T407" i="3"/>
  <c r="W408" i="3"/>
  <c r="Z409" i="3"/>
  <c r="P411" i="3"/>
  <c r="S412" i="3"/>
  <c r="V413" i="3"/>
  <c r="Y414" i="3"/>
  <c r="AB415" i="3"/>
  <c r="R417" i="3"/>
  <c r="U418" i="3"/>
  <c r="AE418" i="3" s="1"/>
  <c r="X419" i="3"/>
  <c r="AA420" i="3"/>
  <c r="Q422" i="3"/>
  <c r="T423" i="3"/>
  <c r="W424" i="3"/>
  <c r="Z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V445" i="3"/>
  <c r="Y446" i="3"/>
  <c r="AB447" i="3"/>
  <c r="R449" i="3"/>
  <c r="U450" i="3"/>
  <c r="AE450" i="3" s="1"/>
  <c r="X451" i="3"/>
  <c r="AA452" i="3"/>
  <c r="Q454" i="3"/>
  <c r="T455" i="3"/>
  <c r="W456" i="3"/>
  <c r="Z457" i="3"/>
  <c r="AB458" i="3"/>
  <c r="AB459" i="3"/>
  <c r="AA460" i="3"/>
  <c r="AA461" i="3"/>
  <c r="Z462" i="3"/>
  <c r="AA463" i="3"/>
  <c r="AA464" i="3"/>
  <c r="Z465" i="3"/>
  <c r="Z466" i="3"/>
  <c r="Y467" i="3"/>
  <c r="X468" i="3"/>
  <c r="V469" i="3"/>
  <c r="S470" i="3"/>
  <c r="Q471" i="3"/>
  <c r="Z471" i="3"/>
  <c r="V472" i="3"/>
  <c r="Q473" i="3"/>
  <c r="Y473" i="3"/>
  <c r="T474" i="3"/>
  <c r="AB474" i="3"/>
  <c r="W475" i="3"/>
  <c r="R476" i="3"/>
  <c r="Z476" i="3"/>
  <c r="U477" i="3"/>
  <c r="AE477" i="3" s="1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AE565" i="3" s="1"/>
  <c r="P566" i="3"/>
  <c r="X566" i="3"/>
  <c r="S567" i="3"/>
  <c r="AA567" i="3"/>
  <c r="V568" i="3"/>
  <c r="Q569" i="3"/>
  <c r="Y569" i="3"/>
  <c r="T570" i="3"/>
  <c r="AB570" i="3"/>
  <c r="W571" i="3"/>
  <c r="R572" i="3"/>
  <c r="Z572" i="3"/>
  <c r="U573" i="3"/>
  <c r="AE573" i="3" s="1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AE581" i="3" s="1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P276" i="3"/>
  <c r="V278" i="3"/>
  <c r="AB280" i="3"/>
  <c r="U283" i="3"/>
  <c r="AE283" i="3" s="1"/>
  <c r="AA285" i="3"/>
  <c r="T288" i="3"/>
  <c r="Z290" i="3"/>
  <c r="S293" i="3"/>
  <c r="Y295" i="3"/>
  <c r="R298" i="3"/>
  <c r="X300" i="3"/>
  <c r="Q303" i="3"/>
  <c r="W305" i="3"/>
  <c r="P308" i="3"/>
  <c r="V310" i="3"/>
  <c r="AB312" i="3"/>
  <c r="U315" i="3"/>
  <c r="AE315" i="3" s="1"/>
  <c r="AA317" i="3"/>
  <c r="T320" i="3"/>
  <c r="Z322" i="3"/>
  <c r="S325" i="3"/>
  <c r="Y327" i="3"/>
  <c r="R330" i="3"/>
  <c r="X332" i="3"/>
  <c r="Q335" i="3"/>
  <c r="W337" i="3"/>
  <c r="P340" i="3"/>
  <c r="V342" i="3"/>
  <c r="AB344" i="3"/>
  <c r="U347" i="3"/>
  <c r="AE347" i="3" s="1"/>
  <c r="AA349" i="3"/>
  <c r="T352" i="3"/>
  <c r="Z354" i="3"/>
  <c r="S357" i="3"/>
  <c r="Y359" i="3"/>
  <c r="R362" i="3"/>
  <c r="X364" i="3"/>
  <c r="Q367" i="3"/>
  <c r="S369" i="3"/>
  <c r="V370" i="3"/>
  <c r="Y371" i="3"/>
  <c r="AB372" i="3"/>
  <c r="R374" i="3"/>
  <c r="U375" i="3"/>
  <c r="AE375" i="3" s="1"/>
  <c r="X376" i="3"/>
  <c r="AA377" i="3"/>
  <c r="Q379" i="3"/>
  <c r="T380" i="3"/>
  <c r="W381" i="3"/>
  <c r="Z382" i="3"/>
  <c r="P384" i="3"/>
  <c r="S385" i="3"/>
  <c r="V386" i="3"/>
  <c r="Y387" i="3"/>
  <c r="AB388" i="3"/>
  <c r="R390" i="3"/>
  <c r="U391" i="3"/>
  <c r="AE391" i="3" s="1"/>
  <c r="X392" i="3"/>
  <c r="AA393" i="3"/>
  <c r="Q395" i="3"/>
  <c r="T396" i="3"/>
  <c r="W397" i="3"/>
  <c r="Z398" i="3"/>
  <c r="P400" i="3"/>
  <c r="S401" i="3"/>
  <c r="V402" i="3"/>
  <c r="Y403" i="3"/>
  <c r="AB404" i="3"/>
  <c r="R406" i="3"/>
  <c r="U407" i="3"/>
  <c r="AE407" i="3" s="1"/>
  <c r="X408" i="3"/>
  <c r="AA409" i="3"/>
  <c r="Q411" i="3"/>
  <c r="T412" i="3"/>
  <c r="W413" i="3"/>
  <c r="Z414" i="3"/>
  <c r="P416" i="3"/>
  <c r="S417" i="3"/>
  <c r="V418" i="3"/>
  <c r="Y419" i="3"/>
  <c r="AB420" i="3"/>
  <c r="R422" i="3"/>
  <c r="U423" i="3"/>
  <c r="AE423" i="3" s="1"/>
  <c r="X424" i="3"/>
  <c r="AA425" i="3"/>
  <c r="Q427" i="3"/>
  <c r="T428" i="3"/>
  <c r="W429" i="3"/>
  <c r="Z430" i="3"/>
  <c r="P432" i="3"/>
  <c r="S433" i="3"/>
  <c r="V434" i="3"/>
  <c r="Y435" i="3"/>
  <c r="AB436" i="3"/>
  <c r="R438" i="3"/>
  <c r="U439" i="3"/>
  <c r="AE439" i="3" s="1"/>
  <c r="X440" i="3"/>
  <c r="AA441" i="3"/>
  <c r="Q443" i="3"/>
  <c r="T444" i="3"/>
  <c r="W445" i="3"/>
  <c r="Z446" i="3"/>
  <c r="P448" i="3"/>
  <c r="S449" i="3"/>
  <c r="V450" i="3"/>
  <c r="Y451" i="3"/>
  <c r="AB452" i="3"/>
  <c r="R454" i="3"/>
  <c r="U455" i="3"/>
  <c r="AE455" i="3" s="1"/>
  <c r="X456" i="3"/>
  <c r="AA457" i="3"/>
  <c r="P459" i="3"/>
  <c r="P460" i="3"/>
  <c r="AB460" i="3"/>
  <c r="P462" i="3"/>
  <c r="P463" i="3"/>
  <c r="AB463" i="3"/>
  <c r="AB464" i="3"/>
  <c r="AA465" i="3"/>
  <c r="AB466" i="3"/>
  <c r="AB467" i="3"/>
  <c r="Z468" i="3"/>
  <c r="W469" i="3"/>
  <c r="U470" i="3"/>
  <c r="AE470" i="3" s="1"/>
  <c r="R471" i="3"/>
  <c r="AA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AE562" i="3" s="1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Z494" i="3"/>
  <c r="S498" i="3"/>
  <c r="Z499" i="3"/>
  <c r="P501" i="3"/>
  <c r="S502" i="3"/>
  <c r="V503" i="3"/>
  <c r="Y504" i="3"/>
  <c r="AB505" i="3"/>
  <c r="R507" i="3"/>
  <c r="U508" i="3"/>
  <c r="AE508" i="3" s="1"/>
  <c r="X509" i="3"/>
  <c r="AA510" i="3"/>
  <c r="Q512" i="3"/>
  <c r="T513" i="3"/>
  <c r="W514" i="3"/>
  <c r="Z515" i="3"/>
  <c r="P517" i="3"/>
  <c r="S518" i="3"/>
  <c r="V519" i="3"/>
  <c r="Y520" i="3"/>
  <c r="AB521" i="3"/>
  <c r="R523" i="3"/>
  <c r="U524" i="3"/>
  <c r="AE524" i="3" s="1"/>
  <c r="X525" i="3"/>
  <c r="AA526" i="3"/>
  <c r="Q528" i="3"/>
  <c r="T529" i="3"/>
  <c r="W530" i="3"/>
  <c r="Z531" i="3"/>
  <c r="P533" i="3"/>
  <c r="S534" i="3"/>
  <c r="V535" i="3"/>
  <c r="Y536" i="3"/>
  <c r="AB537" i="3"/>
  <c r="R539" i="3"/>
  <c r="U540" i="3"/>
  <c r="AE540" i="3" s="1"/>
  <c r="X541" i="3"/>
  <c r="AA542" i="3"/>
  <c r="Q544" i="3"/>
  <c r="T545" i="3"/>
  <c r="W546" i="3"/>
  <c r="Z547" i="3"/>
  <c r="P549" i="3"/>
  <c r="S550" i="3"/>
  <c r="V551" i="3"/>
  <c r="Y552" i="3"/>
  <c r="AB553" i="3"/>
  <c r="R555" i="3"/>
  <c r="U556" i="3"/>
  <c r="AE556" i="3" s="1"/>
  <c r="X557" i="3"/>
  <c r="AA558" i="3"/>
  <c r="Q560" i="3"/>
  <c r="T561" i="3"/>
  <c r="W562" i="3"/>
  <c r="Z563" i="3"/>
  <c r="P565" i="3"/>
  <c r="S566" i="3"/>
  <c r="V567" i="3"/>
  <c r="Y568" i="3"/>
  <c r="AB569" i="3"/>
  <c r="R571" i="3"/>
  <c r="U572" i="3"/>
  <c r="AE572" i="3" s="1"/>
  <c r="X573" i="3"/>
  <c r="AA574" i="3"/>
  <c r="Q576" i="3"/>
  <c r="T577" i="3"/>
  <c r="W578" i="3"/>
  <c r="Z579" i="3"/>
  <c r="P581" i="3"/>
  <c r="S582" i="3"/>
  <c r="V583" i="3"/>
  <c r="Y584" i="3"/>
  <c r="AB585" i="3"/>
  <c r="R587" i="3"/>
  <c r="U588" i="3"/>
  <c r="AE588" i="3" s="1"/>
  <c r="X589" i="3"/>
  <c r="AA590" i="3"/>
  <c r="Q592" i="3"/>
  <c r="T593" i="3"/>
  <c r="W594" i="3"/>
  <c r="Z595" i="3"/>
  <c r="P597" i="3"/>
  <c r="S598" i="3"/>
  <c r="V599" i="3"/>
  <c r="Y600" i="3"/>
  <c r="AB601" i="3"/>
  <c r="R603" i="3"/>
  <c r="U604" i="3"/>
  <c r="AE604" i="3" s="1"/>
  <c r="X605" i="3"/>
  <c r="AA606" i="3"/>
  <c r="Q608" i="3"/>
  <c r="T609" i="3"/>
  <c r="W610" i="3"/>
  <c r="Z611" i="3"/>
  <c r="P613" i="3"/>
  <c r="S614" i="3"/>
  <c r="V615" i="3"/>
  <c r="Y616" i="3"/>
  <c r="AB617" i="3"/>
  <c r="R619" i="3"/>
  <c r="U620" i="3"/>
  <c r="AE620" i="3" s="1"/>
  <c r="X621" i="3"/>
  <c r="AA622" i="3"/>
  <c r="Q624" i="3"/>
  <c r="T625" i="3"/>
  <c r="W626" i="3"/>
  <c r="Z627" i="3"/>
  <c r="P629" i="3"/>
  <c r="S630" i="3"/>
  <c r="V631" i="3"/>
  <c r="Y632" i="3"/>
  <c r="AB633" i="3"/>
  <c r="R635" i="3"/>
  <c r="U636" i="3"/>
  <c r="AE636" i="3" s="1"/>
  <c r="X637" i="3"/>
  <c r="AA638" i="3"/>
  <c r="Q640" i="3"/>
  <c r="T641" i="3"/>
  <c r="W642" i="3"/>
  <c r="Z643" i="3"/>
  <c r="P645" i="3"/>
  <c r="S646" i="3"/>
  <c r="V647" i="3"/>
  <c r="Y648" i="3"/>
  <c r="AB649" i="3"/>
  <c r="R651" i="3"/>
  <c r="U652" i="3"/>
  <c r="AE652" i="3" s="1"/>
  <c r="X653" i="3"/>
  <c r="AA654" i="3"/>
  <c r="Q656" i="3"/>
  <c r="T657" i="3"/>
  <c r="W658" i="3"/>
  <c r="Z659" i="3"/>
  <c r="P661" i="3"/>
  <c r="S662" i="3"/>
  <c r="V663" i="3"/>
  <c r="X664" i="3"/>
  <c r="W665" i="3"/>
  <c r="T666" i="3"/>
  <c r="R667" i="3"/>
  <c r="AB667" i="3"/>
  <c r="X668" i="3"/>
  <c r="T669" i="3"/>
  <c r="P670" i="3"/>
  <c r="Z670" i="3"/>
  <c r="V671" i="3"/>
  <c r="R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U495" i="3"/>
  <c r="AE495" i="3" s="1"/>
  <c r="V498" i="3"/>
  <c r="P500" i="3"/>
  <c r="S501" i="3"/>
  <c r="V502" i="3"/>
  <c r="Y503" i="3"/>
  <c r="AB504" i="3"/>
  <c r="R506" i="3"/>
  <c r="U507" i="3"/>
  <c r="AE507" i="3" s="1"/>
  <c r="X508" i="3"/>
  <c r="AA509" i="3"/>
  <c r="Q511" i="3"/>
  <c r="T512" i="3"/>
  <c r="W513" i="3"/>
  <c r="Z514" i="3"/>
  <c r="P516" i="3"/>
  <c r="S517" i="3"/>
  <c r="V518" i="3"/>
  <c r="Y519" i="3"/>
  <c r="AB520" i="3"/>
  <c r="R522" i="3"/>
  <c r="U523" i="3"/>
  <c r="AE523" i="3" s="1"/>
  <c r="X524" i="3"/>
  <c r="AA525" i="3"/>
  <c r="Q527" i="3"/>
  <c r="T528" i="3"/>
  <c r="W529" i="3"/>
  <c r="Z530" i="3"/>
  <c r="P532" i="3"/>
  <c r="S533" i="3"/>
  <c r="V534" i="3"/>
  <c r="Y535" i="3"/>
  <c r="AB536" i="3"/>
  <c r="R538" i="3"/>
  <c r="U539" i="3"/>
  <c r="AE539" i="3" s="1"/>
  <c r="X540" i="3"/>
  <c r="AA541" i="3"/>
  <c r="Q543" i="3"/>
  <c r="T544" i="3"/>
  <c r="W545" i="3"/>
  <c r="Z546" i="3"/>
  <c r="P548" i="3"/>
  <c r="S549" i="3"/>
  <c r="V550" i="3"/>
  <c r="Y551" i="3"/>
  <c r="AB552" i="3"/>
  <c r="R554" i="3"/>
  <c r="U555" i="3"/>
  <c r="AE555" i="3" s="1"/>
  <c r="X556" i="3"/>
  <c r="AA557" i="3"/>
  <c r="Q559" i="3"/>
  <c r="T560" i="3"/>
  <c r="W561" i="3"/>
  <c r="Z562" i="3"/>
  <c r="P564" i="3"/>
  <c r="S565" i="3"/>
  <c r="V566" i="3"/>
  <c r="Y567" i="3"/>
  <c r="AB568" i="3"/>
  <c r="R570" i="3"/>
  <c r="U571" i="3"/>
  <c r="AE571" i="3" s="1"/>
  <c r="X572" i="3"/>
  <c r="AA573" i="3"/>
  <c r="Q575" i="3"/>
  <c r="T576" i="3"/>
  <c r="W577" i="3"/>
  <c r="Z578" i="3"/>
  <c r="P496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AE512" i="3" s="1"/>
  <c r="X513" i="3"/>
  <c r="AA514" i="3"/>
  <c r="Q516" i="3"/>
  <c r="T517" i="3"/>
  <c r="W518" i="3"/>
  <c r="Z519" i="3"/>
  <c r="P521" i="3"/>
  <c r="S522" i="3"/>
  <c r="V523" i="3"/>
  <c r="Y524" i="3"/>
  <c r="AB525" i="3"/>
  <c r="R527" i="3"/>
  <c r="U528" i="3"/>
  <c r="AE528" i="3" s="1"/>
  <c r="X529" i="3"/>
  <c r="AA530" i="3"/>
  <c r="Q532" i="3"/>
  <c r="T533" i="3"/>
  <c r="W534" i="3"/>
  <c r="Z535" i="3"/>
  <c r="P537" i="3"/>
  <c r="S538" i="3"/>
  <c r="V539" i="3"/>
  <c r="Y540" i="3"/>
  <c r="AB541" i="3"/>
  <c r="R543" i="3"/>
  <c r="U544" i="3"/>
  <c r="AE544" i="3" s="1"/>
  <c r="X545" i="3"/>
  <c r="AA546" i="3"/>
  <c r="Q548" i="3"/>
  <c r="T549" i="3"/>
  <c r="W550" i="3"/>
  <c r="Z551" i="3"/>
  <c r="P553" i="3"/>
  <c r="S554" i="3"/>
  <c r="V555" i="3"/>
  <c r="Y556" i="3"/>
  <c r="AB557" i="3"/>
  <c r="R559" i="3"/>
  <c r="U560" i="3"/>
  <c r="AE560" i="3" s="1"/>
  <c r="X561" i="3"/>
  <c r="AA562" i="3"/>
  <c r="Q564" i="3"/>
  <c r="T565" i="3"/>
  <c r="W566" i="3"/>
  <c r="Z567" i="3"/>
  <c r="P569" i="3"/>
  <c r="S570" i="3"/>
  <c r="V571" i="3"/>
  <c r="Y572" i="3"/>
  <c r="AB573" i="3"/>
  <c r="R575" i="3"/>
  <c r="U576" i="3"/>
  <c r="AE576" i="3" s="1"/>
  <c r="X577" i="3"/>
  <c r="AA578" i="3"/>
  <c r="Q580" i="3"/>
  <c r="T581" i="3"/>
  <c r="W582" i="3"/>
  <c r="Z583" i="3"/>
  <c r="P585" i="3"/>
  <c r="S586" i="3"/>
  <c r="V587" i="3"/>
  <c r="Y588" i="3"/>
  <c r="AB589" i="3"/>
  <c r="R591" i="3"/>
  <c r="U592" i="3"/>
  <c r="AE592" i="3" s="1"/>
  <c r="X593" i="3"/>
  <c r="AA594" i="3"/>
  <c r="Q596" i="3"/>
  <c r="T597" i="3"/>
  <c r="W598" i="3"/>
  <c r="Z599" i="3"/>
  <c r="P601" i="3"/>
  <c r="S602" i="3"/>
  <c r="V603" i="3"/>
  <c r="Y604" i="3"/>
  <c r="AB605" i="3"/>
  <c r="R607" i="3"/>
  <c r="U608" i="3"/>
  <c r="AE608" i="3" s="1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AE624" i="3" s="1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AE640" i="3" s="1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Z664" i="3"/>
  <c r="Y665" i="3"/>
  <c r="W666" i="3"/>
  <c r="U667" i="3"/>
  <c r="AE667" i="3" s="1"/>
  <c r="Q668" i="3"/>
  <c r="Z668" i="3"/>
  <c r="W669" i="3"/>
  <c r="S670" i="3"/>
  <c r="AB670" i="3"/>
  <c r="X671" i="3"/>
  <c r="T672" i="3"/>
  <c r="P673" i="3"/>
  <c r="X673" i="3"/>
  <c r="S674" i="3"/>
  <c r="AA674" i="3"/>
  <c r="V675" i="3"/>
  <c r="Q676" i="3"/>
  <c r="Y676" i="3"/>
  <c r="T677" i="3"/>
  <c r="AB677" i="3"/>
  <c r="W678" i="3"/>
  <c r="R679" i="3"/>
  <c r="Z679" i="3"/>
  <c r="U680" i="3"/>
  <c r="AE680" i="3" s="1"/>
  <c r="P681" i="3"/>
  <c r="X681" i="3"/>
  <c r="S682" i="3"/>
  <c r="AA682" i="3"/>
  <c r="V683" i="3"/>
  <c r="Q684" i="3"/>
  <c r="Y684" i="3"/>
  <c r="T685" i="3"/>
  <c r="AB685" i="3"/>
  <c r="W686" i="3"/>
  <c r="R687" i="3"/>
  <c r="Z687" i="3"/>
  <c r="U688" i="3"/>
  <c r="AE688" i="3" s="1"/>
  <c r="P689" i="3"/>
  <c r="X689" i="3"/>
  <c r="S690" i="3"/>
  <c r="AA690" i="3"/>
  <c r="V691" i="3"/>
  <c r="Q692" i="3"/>
  <c r="Y692" i="3"/>
  <c r="T693" i="3"/>
  <c r="AB693" i="3"/>
  <c r="W694" i="3"/>
  <c r="R695" i="3"/>
  <c r="Z695" i="3"/>
  <c r="U696" i="3"/>
  <c r="AE696" i="3" s="1"/>
  <c r="P697" i="3"/>
  <c r="X697" i="3"/>
  <c r="S698" i="3"/>
  <c r="AA698" i="3"/>
  <c r="V699" i="3"/>
  <c r="Q700" i="3"/>
  <c r="Y700" i="3"/>
  <c r="T701" i="3"/>
  <c r="AB701" i="3"/>
  <c r="W702" i="3"/>
  <c r="R703" i="3"/>
  <c r="Z703" i="3"/>
  <c r="U704" i="3"/>
  <c r="AE704" i="3" s="1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AE760" i="3" s="1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AE768" i="3" s="1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786" i="3"/>
  <c r="AA786" i="3"/>
  <c r="V787" i="3"/>
  <c r="Q788" i="3"/>
  <c r="Y788" i="3"/>
  <c r="T789" i="3"/>
  <c r="AB789" i="3"/>
  <c r="W790" i="3"/>
  <c r="R791" i="3"/>
  <c r="Z791" i="3"/>
  <c r="U792" i="3"/>
  <c r="AE792" i="3" s="1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AE800" i="3" s="1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AE808" i="3" s="1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AE824" i="3" s="1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X496" i="3"/>
  <c r="Q499" i="3"/>
  <c r="T500" i="3"/>
  <c r="W501" i="3"/>
  <c r="Z502" i="3"/>
  <c r="P504" i="3"/>
  <c r="S505" i="3"/>
  <c r="V506" i="3"/>
  <c r="Y507" i="3"/>
  <c r="AB508" i="3"/>
  <c r="R510" i="3"/>
  <c r="U511" i="3"/>
  <c r="AE511" i="3" s="1"/>
  <c r="X512" i="3"/>
  <c r="AA513" i="3"/>
  <c r="Q515" i="3"/>
  <c r="T516" i="3"/>
  <c r="W517" i="3"/>
  <c r="Z518" i="3"/>
  <c r="P520" i="3"/>
  <c r="S521" i="3"/>
  <c r="V522" i="3"/>
  <c r="Y523" i="3"/>
  <c r="AB524" i="3"/>
  <c r="R526" i="3"/>
  <c r="U527" i="3"/>
  <c r="AE527" i="3" s="1"/>
  <c r="X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AA545" i="3"/>
  <c r="Q547" i="3"/>
  <c r="T548" i="3"/>
  <c r="W549" i="3"/>
  <c r="Z550" i="3"/>
  <c r="P552" i="3"/>
  <c r="S553" i="3"/>
  <c r="V554" i="3"/>
  <c r="Y555" i="3"/>
  <c r="AB556" i="3"/>
  <c r="R558" i="3"/>
  <c r="U559" i="3"/>
  <c r="AE559" i="3" s="1"/>
  <c r="X560" i="3"/>
  <c r="AA561" i="3"/>
  <c r="Q563" i="3"/>
  <c r="T564" i="3"/>
  <c r="W565" i="3"/>
  <c r="Z566" i="3"/>
  <c r="P568" i="3"/>
  <c r="S569" i="3"/>
  <c r="V570" i="3"/>
  <c r="Y571" i="3"/>
  <c r="AB572" i="3"/>
  <c r="R574" i="3"/>
  <c r="U575" i="3"/>
  <c r="AE575" i="3" s="1"/>
  <c r="X576" i="3"/>
  <c r="AA577" i="3"/>
  <c r="Q579" i="3"/>
  <c r="T580" i="3"/>
  <c r="W581" i="3"/>
  <c r="Z582" i="3"/>
  <c r="P584" i="3"/>
  <c r="S585" i="3"/>
  <c r="V586" i="3"/>
  <c r="Y587" i="3"/>
  <c r="AB588" i="3"/>
  <c r="R590" i="3"/>
  <c r="U591" i="3"/>
  <c r="AE591" i="3" s="1"/>
  <c r="X592" i="3"/>
  <c r="AA593" i="3"/>
  <c r="Q595" i="3"/>
  <c r="T596" i="3"/>
  <c r="W597" i="3"/>
  <c r="Z598" i="3"/>
  <c r="P600" i="3"/>
  <c r="S601" i="3"/>
  <c r="V602" i="3"/>
  <c r="Y603" i="3"/>
  <c r="AB604" i="3"/>
  <c r="R606" i="3"/>
  <c r="U607" i="3"/>
  <c r="AE607" i="3" s="1"/>
  <c r="X608" i="3"/>
  <c r="AA609" i="3"/>
  <c r="Q611" i="3"/>
  <c r="T612" i="3"/>
  <c r="W613" i="3"/>
  <c r="Z614" i="3"/>
  <c r="P616" i="3"/>
  <c r="S617" i="3"/>
  <c r="V618" i="3"/>
  <c r="Y619" i="3"/>
  <c r="AB620" i="3"/>
  <c r="R622" i="3"/>
  <c r="U623" i="3"/>
  <c r="AE623" i="3" s="1"/>
  <c r="X624" i="3"/>
  <c r="AA625" i="3"/>
  <c r="Q627" i="3"/>
  <c r="T628" i="3"/>
  <c r="W629" i="3"/>
  <c r="Z630" i="3"/>
  <c r="P632" i="3"/>
  <c r="S633" i="3"/>
  <c r="V634" i="3"/>
  <c r="Y635" i="3"/>
  <c r="AB636" i="3"/>
  <c r="R638" i="3"/>
  <c r="U639" i="3"/>
  <c r="AE639" i="3" s="1"/>
  <c r="X640" i="3"/>
  <c r="AA641" i="3"/>
  <c r="Q643" i="3"/>
  <c r="T644" i="3"/>
  <c r="W645" i="3"/>
  <c r="Z646" i="3"/>
  <c r="P648" i="3"/>
  <c r="S649" i="3"/>
  <c r="V650" i="3"/>
  <c r="Y651" i="3"/>
  <c r="AB652" i="3"/>
  <c r="R654" i="3"/>
  <c r="U655" i="3"/>
  <c r="AE655" i="3" s="1"/>
  <c r="X656" i="3"/>
  <c r="AA657" i="3"/>
  <c r="Q659" i="3"/>
  <c r="T660" i="3"/>
  <c r="W661" i="3"/>
  <c r="Z662" i="3"/>
  <c r="P664" i="3"/>
  <c r="AB664" i="3"/>
  <c r="AA665" i="3"/>
  <c r="X666" i="3"/>
  <c r="V667" i="3"/>
  <c r="R668" i="3"/>
  <c r="AB668" i="3"/>
  <c r="X669" i="3"/>
  <c r="T670" i="3"/>
  <c r="P671" i="3"/>
  <c r="Y671" i="3"/>
  <c r="U672" i="3"/>
  <c r="AE672" i="3" s="1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P497" i="3"/>
  <c r="R499" i="3"/>
  <c r="U500" i="3"/>
  <c r="AE500" i="3" s="1"/>
  <c r="X501" i="3"/>
  <c r="AA502" i="3"/>
  <c r="Q504" i="3"/>
  <c r="T505" i="3"/>
  <c r="W506" i="3"/>
  <c r="Z507" i="3"/>
  <c r="P509" i="3"/>
  <c r="S510" i="3"/>
  <c r="V511" i="3"/>
  <c r="Y512" i="3"/>
  <c r="AB513" i="3"/>
  <c r="R515" i="3"/>
  <c r="U516" i="3"/>
  <c r="AE516" i="3" s="1"/>
  <c r="X517" i="3"/>
  <c r="AA518" i="3"/>
  <c r="Q520" i="3"/>
  <c r="T521" i="3"/>
  <c r="W522" i="3"/>
  <c r="Z523" i="3"/>
  <c r="P525" i="3"/>
  <c r="S526" i="3"/>
  <c r="V527" i="3"/>
  <c r="Y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B545" i="3"/>
  <c r="R547" i="3"/>
  <c r="U548" i="3"/>
  <c r="AE548" i="3" s="1"/>
  <c r="X549" i="3"/>
  <c r="AA550" i="3"/>
  <c r="Q552" i="3"/>
  <c r="T553" i="3"/>
  <c r="W554" i="3"/>
  <c r="Z555" i="3"/>
  <c r="P557" i="3"/>
  <c r="S558" i="3"/>
  <c r="V559" i="3"/>
  <c r="Y560" i="3"/>
  <c r="AB561" i="3"/>
  <c r="R563" i="3"/>
  <c r="U564" i="3"/>
  <c r="AE564" i="3" s="1"/>
  <c r="X565" i="3"/>
  <c r="AA566" i="3"/>
  <c r="Q568" i="3"/>
  <c r="T569" i="3"/>
  <c r="W570" i="3"/>
  <c r="Z571" i="3"/>
  <c r="P573" i="3"/>
  <c r="S574" i="3"/>
  <c r="V575" i="3"/>
  <c r="Y576" i="3"/>
  <c r="AB577" i="3"/>
  <c r="R579" i="3"/>
  <c r="U580" i="3"/>
  <c r="AE580" i="3" s="1"/>
  <c r="X581" i="3"/>
  <c r="AA582" i="3"/>
  <c r="Q584" i="3"/>
  <c r="T585" i="3"/>
  <c r="W586" i="3"/>
  <c r="Z587" i="3"/>
  <c r="P589" i="3"/>
  <c r="S590" i="3"/>
  <c r="V591" i="3"/>
  <c r="Y592" i="3"/>
  <c r="AB593" i="3"/>
  <c r="R595" i="3"/>
  <c r="U596" i="3"/>
  <c r="AE596" i="3" s="1"/>
  <c r="X597" i="3"/>
  <c r="AA598" i="3"/>
  <c r="Q600" i="3"/>
  <c r="T601" i="3"/>
  <c r="W602" i="3"/>
  <c r="Z603" i="3"/>
  <c r="P605" i="3"/>
  <c r="S606" i="3"/>
  <c r="V607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U628" i="3"/>
  <c r="AE628" i="3" s="1"/>
  <c r="X629" i="3"/>
  <c r="AA630" i="3"/>
  <c r="Q632" i="3"/>
  <c r="T633" i="3"/>
  <c r="W634" i="3"/>
  <c r="Z635" i="3"/>
  <c r="P637" i="3"/>
  <c r="S638" i="3"/>
  <c r="V639" i="3"/>
  <c r="Y640" i="3"/>
  <c r="AB641" i="3"/>
  <c r="R643" i="3"/>
  <c r="U644" i="3"/>
  <c r="AE644" i="3" s="1"/>
  <c r="X645" i="3"/>
  <c r="AA646" i="3"/>
  <c r="Q648" i="3"/>
  <c r="T649" i="3"/>
  <c r="W650" i="3"/>
  <c r="Z651" i="3"/>
  <c r="P653" i="3"/>
  <c r="S654" i="3"/>
  <c r="V655" i="3"/>
  <c r="Y656" i="3"/>
  <c r="AB657" i="3"/>
  <c r="R659" i="3"/>
  <c r="U660" i="3"/>
  <c r="AE660" i="3" s="1"/>
  <c r="X661" i="3"/>
  <c r="AA662" i="3"/>
  <c r="Q664" i="3"/>
  <c r="P665" i="3"/>
  <c r="AB665" i="3"/>
  <c r="Z666" i="3"/>
  <c r="W667" i="3"/>
  <c r="T668" i="3"/>
  <c r="P669" i="3"/>
  <c r="Y669" i="3"/>
  <c r="U670" i="3"/>
  <c r="AE670" i="3" s="1"/>
  <c r="Q671" i="3"/>
  <c r="Z671" i="3"/>
  <c r="V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S497" i="3"/>
  <c r="U499" i="3"/>
  <c r="AE499" i="3" s="1"/>
  <c r="X500" i="3"/>
  <c r="AA501" i="3"/>
  <c r="Q503" i="3"/>
  <c r="T504" i="3"/>
  <c r="W505" i="3"/>
  <c r="Z506" i="3"/>
  <c r="P508" i="3"/>
  <c r="S509" i="3"/>
  <c r="V510" i="3"/>
  <c r="Y511" i="3"/>
  <c r="AB512" i="3"/>
  <c r="R514" i="3"/>
  <c r="U515" i="3"/>
  <c r="AE515" i="3" s="1"/>
  <c r="X516" i="3"/>
  <c r="AA517" i="3"/>
  <c r="Q519" i="3"/>
  <c r="T520" i="3"/>
  <c r="W521" i="3"/>
  <c r="Z522" i="3"/>
  <c r="P524" i="3"/>
  <c r="S525" i="3"/>
  <c r="V526" i="3"/>
  <c r="Y527" i="3"/>
  <c r="AB528" i="3"/>
  <c r="R530" i="3"/>
  <c r="U531" i="3"/>
  <c r="AE531" i="3" s="1"/>
  <c r="X532" i="3"/>
  <c r="AA533" i="3"/>
  <c r="Q535" i="3"/>
  <c r="T536" i="3"/>
  <c r="W537" i="3"/>
  <c r="Z538" i="3"/>
  <c r="P540" i="3"/>
  <c r="S541" i="3"/>
  <c r="V542" i="3"/>
  <c r="Y543" i="3"/>
  <c r="AB544" i="3"/>
  <c r="R546" i="3"/>
  <c r="U547" i="3"/>
  <c r="AE547" i="3" s="1"/>
  <c r="X548" i="3"/>
  <c r="AA549" i="3"/>
  <c r="Q551" i="3"/>
  <c r="T552" i="3"/>
  <c r="W553" i="3"/>
  <c r="Z554" i="3"/>
  <c r="P556" i="3"/>
  <c r="S557" i="3"/>
  <c r="V558" i="3"/>
  <c r="Y559" i="3"/>
  <c r="AB560" i="3"/>
  <c r="R562" i="3"/>
  <c r="U563" i="3"/>
  <c r="AE563" i="3" s="1"/>
  <c r="X564" i="3"/>
  <c r="AA565" i="3"/>
  <c r="Q567" i="3"/>
  <c r="T568" i="3"/>
  <c r="W569" i="3"/>
  <c r="Z570" i="3"/>
  <c r="P572" i="3"/>
  <c r="S573" i="3"/>
  <c r="V574" i="3"/>
  <c r="Y575" i="3"/>
  <c r="AB576" i="3"/>
  <c r="X497" i="3"/>
  <c r="V499" i="3"/>
  <c r="Y500" i="3"/>
  <c r="AB501" i="3"/>
  <c r="R503" i="3"/>
  <c r="U504" i="3"/>
  <c r="AE504" i="3" s="1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AE520" i="3" s="1"/>
  <c r="X521" i="3"/>
  <c r="AA522" i="3"/>
  <c r="Q524" i="3"/>
  <c r="T525" i="3"/>
  <c r="W526" i="3"/>
  <c r="Z527" i="3"/>
  <c r="P529" i="3"/>
  <c r="S530" i="3"/>
  <c r="V531" i="3"/>
  <c r="Y532" i="3"/>
  <c r="AB533" i="3"/>
  <c r="R535" i="3"/>
  <c r="U536" i="3"/>
  <c r="AE536" i="3" s="1"/>
  <c r="X537" i="3"/>
  <c r="AA538" i="3"/>
  <c r="Q540" i="3"/>
  <c r="T541" i="3"/>
  <c r="W542" i="3"/>
  <c r="Z543" i="3"/>
  <c r="P545" i="3"/>
  <c r="S546" i="3"/>
  <c r="V547" i="3"/>
  <c r="Y548" i="3"/>
  <c r="AB549" i="3"/>
  <c r="R551" i="3"/>
  <c r="U552" i="3"/>
  <c r="AE552" i="3" s="1"/>
  <c r="X553" i="3"/>
  <c r="AA554" i="3"/>
  <c r="Q556" i="3"/>
  <c r="T557" i="3"/>
  <c r="W558" i="3"/>
  <c r="Z559" i="3"/>
  <c r="P561" i="3"/>
  <c r="S562" i="3"/>
  <c r="V563" i="3"/>
  <c r="Y564" i="3"/>
  <c r="AB565" i="3"/>
  <c r="R567" i="3"/>
  <c r="U568" i="3"/>
  <c r="AE568" i="3" s="1"/>
  <c r="X569" i="3"/>
  <c r="AA570" i="3"/>
  <c r="Q572" i="3"/>
  <c r="T573" i="3"/>
  <c r="W574" i="3"/>
  <c r="Z575" i="3"/>
  <c r="P577" i="3"/>
  <c r="S578" i="3"/>
  <c r="V579" i="3"/>
  <c r="Y580" i="3"/>
  <c r="AB581" i="3"/>
  <c r="R583" i="3"/>
  <c r="U584" i="3"/>
  <c r="AE584" i="3" s="1"/>
  <c r="X585" i="3"/>
  <c r="AA586" i="3"/>
  <c r="Q588" i="3"/>
  <c r="T589" i="3"/>
  <c r="W590" i="3"/>
  <c r="Z591" i="3"/>
  <c r="P593" i="3"/>
  <c r="S594" i="3"/>
  <c r="V595" i="3"/>
  <c r="Y596" i="3"/>
  <c r="AB597" i="3"/>
  <c r="R599" i="3"/>
  <c r="U600" i="3"/>
  <c r="AE600" i="3" s="1"/>
  <c r="X601" i="3"/>
  <c r="AA602" i="3"/>
  <c r="Q604" i="3"/>
  <c r="T605" i="3"/>
  <c r="W606" i="3"/>
  <c r="Z607" i="3"/>
  <c r="P609" i="3"/>
  <c r="S610" i="3"/>
  <c r="V611" i="3"/>
  <c r="Y612" i="3"/>
  <c r="AB613" i="3"/>
  <c r="R615" i="3"/>
  <c r="U616" i="3"/>
  <c r="AE616" i="3" s="1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AE632" i="3" s="1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T664" i="3"/>
  <c r="T665" i="3"/>
  <c r="R666" i="3"/>
  <c r="AB666" i="3"/>
  <c r="Z667" i="3"/>
  <c r="V668" i="3"/>
  <c r="R669" i="3"/>
  <c r="AA669" i="3"/>
  <c r="W670" i="3"/>
  <c r="S671" i="3"/>
  <c r="P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AA497" i="3"/>
  <c r="Y499" i="3"/>
  <c r="AB500" i="3"/>
  <c r="R502" i="3"/>
  <c r="U503" i="3"/>
  <c r="AE503" i="3" s="1"/>
  <c r="X504" i="3"/>
  <c r="AA505" i="3"/>
  <c r="Q507" i="3"/>
  <c r="T508" i="3"/>
  <c r="W509" i="3"/>
  <c r="Z510" i="3"/>
  <c r="P512" i="3"/>
  <c r="S513" i="3"/>
  <c r="V514" i="3"/>
  <c r="Y515" i="3"/>
  <c r="AB516" i="3"/>
  <c r="R518" i="3"/>
  <c r="U519" i="3"/>
  <c r="AE519" i="3" s="1"/>
  <c r="X520" i="3"/>
  <c r="AA521" i="3"/>
  <c r="Q523" i="3"/>
  <c r="T524" i="3"/>
  <c r="W525" i="3"/>
  <c r="Z526" i="3"/>
  <c r="P528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V546" i="3"/>
  <c r="Y547" i="3"/>
  <c r="AB548" i="3"/>
  <c r="R550" i="3"/>
  <c r="U551" i="3"/>
  <c r="AE551" i="3" s="1"/>
  <c r="X552" i="3"/>
  <c r="AA553" i="3"/>
  <c r="Q555" i="3"/>
  <c r="T556" i="3"/>
  <c r="W557" i="3"/>
  <c r="Z558" i="3"/>
  <c r="P560" i="3"/>
  <c r="S561" i="3"/>
  <c r="V562" i="3"/>
  <c r="Y563" i="3"/>
  <c r="AB564" i="3"/>
  <c r="R566" i="3"/>
  <c r="U567" i="3"/>
  <c r="AE567" i="3" s="1"/>
  <c r="X568" i="3"/>
  <c r="AA569" i="3"/>
  <c r="Q571" i="3"/>
  <c r="T572" i="3"/>
  <c r="W573" i="3"/>
  <c r="Z574" i="3"/>
  <c r="P576" i="3"/>
  <c r="S577" i="3"/>
  <c r="V578" i="3"/>
  <c r="Y579" i="3"/>
  <c r="AB580" i="3"/>
  <c r="R582" i="3"/>
  <c r="U583" i="3"/>
  <c r="AE583" i="3" s="1"/>
  <c r="X584" i="3"/>
  <c r="AA585" i="3"/>
  <c r="Q587" i="3"/>
  <c r="T588" i="3"/>
  <c r="W589" i="3"/>
  <c r="Z590" i="3"/>
  <c r="P592" i="3"/>
  <c r="S593" i="3"/>
  <c r="V594" i="3"/>
  <c r="Y595" i="3"/>
  <c r="AB596" i="3"/>
  <c r="R598" i="3"/>
  <c r="U599" i="3"/>
  <c r="AE599" i="3" s="1"/>
  <c r="X600" i="3"/>
  <c r="AA601" i="3"/>
  <c r="Q603" i="3"/>
  <c r="T604" i="3"/>
  <c r="W605" i="3"/>
  <c r="Z606" i="3"/>
  <c r="P608" i="3"/>
  <c r="S609" i="3"/>
  <c r="V610" i="3"/>
  <c r="Y611" i="3"/>
  <c r="AB612" i="3"/>
  <c r="R614" i="3"/>
  <c r="U615" i="3"/>
  <c r="AE615" i="3" s="1"/>
  <c r="X616" i="3"/>
  <c r="AA617" i="3"/>
  <c r="Q619" i="3"/>
  <c r="T620" i="3"/>
  <c r="W621" i="3"/>
  <c r="Z622" i="3"/>
  <c r="P624" i="3"/>
  <c r="S625" i="3"/>
  <c r="V626" i="3"/>
  <c r="Y627" i="3"/>
  <c r="AB628" i="3"/>
  <c r="R630" i="3"/>
  <c r="U631" i="3"/>
  <c r="AE631" i="3" s="1"/>
  <c r="X632" i="3"/>
  <c r="AA633" i="3"/>
  <c r="Q635" i="3"/>
  <c r="T636" i="3"/>
  <c r="W637" i="3"/>
  <c r="Z638" i="3"/>
  <c r="P640" i="3"/>
  <c r="S641" i="3"/>
  <c r="V642" i="3"/>
  <c r="Y643" i="3"/>
  <c r="AB644" i="3"/>
  <c r="R646" i="3"/>
  <c r="U647" i="3"/>
  <c r="AE647" i="3" s="1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AE663" i="3" s="1"/>
  <c r="U664" i="3"/>
  <c r="AE664" i="3" s="1"/>
  <c r="U665" i="3"/>
  <c r="AE665" i="3" s="1"/>
  <c r="S666" i="3"/>
  <c r="Q667" i="3"/>
  <c r="AA667" i="3"/>
  <c r="W668" i="3"/>
  <c r="S669" i="3"/>
  <c r="AB669" i="3"/>
  <c r="X670" i="3"/>
  <c r="U671" i="3"/>
  <c r="AE671" i="3" s="1"/>
  <c r="Q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578" i="3"/>
  <c r="W593" i="3"/>
  <c r="V598" i="3"/>
  <c r="U603" i="3"/>
  <c r="AE603" i="3" s="1"/>
  <c r="T608" i="3"/>
  <c r="S613" i="3"/>
  <c r="R618" i="3"/>
  <c r="Q623" i="3"/>
  <c r="P628" i="3"/>
  <c r="AB632" i="3"/>
  <c r="AA637" i="3"/>
  <c r="Z642" i="3"/>
  <c r="Y647" i="3"/>
  <c r="X652" i="3"/>
  <c r="W657" i="3"/>
  <c r="V662" i="3"/>
  <c r="V666" i="3"/>
  <c r="U669" i="3"/>
  <c r="AE669" i="3" s="1"/>
  <c r="S672" i="3"/>
  <c r="Z674" i="3"/>
  <c r="S677" i="3"/>
  <c r="Y679" i="3"/>
  <c r="R682" i="3"/>
  <c r="X684" i="3"/>
  <c r="P687" i="3"/>
  <c r="W688" i="3"/>
  <c r="Z689" i="3"/>
  <c r="P691" i="3"/>
  <c r="S692" i="3"/>
  <c r="V693" i="3"/>
  <c r="Y694" i="3"/>
  <c r="AB695" i="3"/>
  <c r="R697" i="3"/>
  <c r="U698" i="3"/>
  <c r="AE698" i="3" s="1"/>
  <c r="X699" i="3"/>
  <c r="AA700" i="3"/>
  <c r="Q702" i="3"/>
  <c r="T703" i="3"/>
  <c r="W704" i="3"/>
  <c r="Z705" i="3"/>
  <c r="P707" i="3"/>
  <c r="S708" i="3"/>
  <c r="V709" i="3"/>
  <c r="Y710" i="3"/>
  <c r="AB711" i="3"/>
  <c r="R713" i="3"/>
  <c r="U714" i="3"/>
  <c r="AE714" i="3" s="1"/>
  <c r="X715" i="3"/>
  <c r="AA716" i="3"/>
  <c r="Q718" i="3"/>
  <c r="T719" i="3"/>
  <c r="W720" i="3"/>
  <c r="Z721" i="3"/>
  <c r="P723" i="3"/>
  <c r="S724" i="3"/>
  <c r="V725" i="3"/>
  <c r="Y726" i="3"/>
  <c r="AB727" i="3"/>
  <c r="R729" i="3"/>
  <c r="U730" i="3"/>
  <c r="AE730" i="3" s="1"/>
  <c r="X731" i="3"/>
  <c r="AA732" i="3"/>
  <c r="Q734" i="3"/>
  <c r="T735" i="3"/>
  <c r="W736" i="3"/>
  <c r="Z737" i="3"/>
  <c r="P739" i="3"/>
  <c r="S740" i="3"/>
  <c r="V741" i="3"/>
  <c r="Y742" i="3"/>
  <c r="AB743" i="3"/>
  <c r="R745" i="3"/>
  <c r="U746" i="3"/>
  <c r="AE746" i="3" s="1"/>
  <c r="X747" i="3"/>
  <c r="AA748" i="3"/>
  <c r="Q750" i="3"/>
  <c r="T751" i="3"/>
  <c r="W752" i="3"/>
  <c r="Z753" i="3"/>
  <c r="P755" i="3"/>
  <c r="S756" i="3"/>
  <c r="V757" i="3"/>
  <c r="Y758" i="3"/>
  <c r="AB759" i="3"/>
  <c r="R761" i="3"/>
  <c r="U762" i="3"/>
  <c r="AE762" i="3" s="1"/>
  <c r="X763" i="3"/>
  <c r="AA764" i="3"/>
  <c r="Q766" i="3"/>
  <c r="T767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Z785" i="3"/>
  <c r="P787" i="3"/>
  <c r="S788" i="3"/>
  <c r="V789" i="3"/>
  <c r="Y790" i="3"/>
  <c r="AB791" i="3"/>
  <c r="R793" i="3"/>
  <c r="U794" i="3"/>
  <c r="AE794" i="3" s="1"/>
  <c r="X795" i="3"/>
  <c r="AA796" i="3"/>
  <c r="Q798" i="3"/>
  <c r="T799" i="3"/>
  <c r="W800" i="3"/>
  <c r="Z801" i="3"/>
  <c r="P803" i="3"/>
  <c r="S804" i="3"/>
  <c r="V805" i="3"/>
  <c r="Y806" i="3"/>
  <c r="AB807" i="3"/>
  <c r="R809" i="3"/>
  <c r="U810" i="3"/>
  <c r="AE810" i="3" s="1"/>
  <c r="Q814" i="3"/>
  <c r="T815" i="3"/>
  <c r="W816" i="3"/>
  <c r="Z817" i="3"/>
  <c r="P819" i="3"/>
  <c r="S820" i="3"/>
  <c r="AB823" i="3"/>
  <c r="X827" i="3"/>
  <c r="S836" i="3"/>
  <c r="X843" i="3"/>
  <c r="P851" i="3"/>
  <c r="Q862" i="3"/>
  <c r="AB871" i="3"/>
  <c r="S884" i="3"/>
  <c r="U896" i="3"/>
  <c r="AE896" i="3" s="1"/>
  <c r="U579" i="3"/>
  <c r="AE579" i="3" s="1"/>
  <c r="T584" i="3"/>
  <c r="S589" i="3"/>
  <c r="R594" i="3"/>
  <c r="Q599" i="3"/>
  <c r="P604" i="3"/>
  <c r="AB608" i="3"/>
  <c r="AA613" i="3"/>
  <c r="Z618" i="3"/>
  <c r="Y623" i="3"/>
  <c r="X628" i="3"/>
  <c r="W633" i="3"/>
  <c r="V638" i="3"/>
  <c r="U643" i="3"/>
  <c r="AE643" i="3" s="1"/>
  <c r="T648" i="3"/>
  <c r="S653" i="3"/>
  <c r="R658" i="3"/>
  <c r="Q663" i="3"/>
  <c r="AA666" i="3"/>
  <c r="Z669" i="3"/>
  <c r="X672" i="3"/>
  <c r="Q675" i="3"/>
  <c r="W677" i="3"/>
  <c r="P680" i="3"/>
  <c r="V682" i="3"/>
  <c r="AB684" i="3"/>
  <c r="Q687" i="3"/>
  <c r="X688" i="3"/>
  <c r="AA689" i="3"/>
  <c r="Q691" i="3"/>
  <c r="T692" i="3"/>
  <c r="W693" i="3"/>
  <c r="Z694" i="3"/>
  <c r="P696" i="3"/>
  <c r="S697" i="3"/>
  <c r="V698" i="3"/>
  <c r="Y699" i="3"/>
  <c r="AB700" i="3"/>
  <c r="R702" i="3"/>
  <c r="U703" i="3"/>
  <c r="AE703" i="3" s="1"/>
  <c r="X704" i="3"/>
  <c r="AA705" i="3"/>
  <c r="Q707" i="3"/>
  <c r="T708" i="3"/>
  <c r="W709" i="3"/>
  <c r="Z710" i="3"/>
  <c r="P712" i="3"/>
  <c r="S713" i="3"/>
  <c r="V714" i="3"/>
  <c r="Y715" i="3"/>
  <c r="AB716" i="3"/>
  <c r="R718" i="3"/>
  <c r="U719" i="3"/>
  <c r="AE719" i="3" s="1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AE735" i="3" s="1"/>
  <c r="X736" i="3"/>
  <c r="AA737" i="3"/>
  <c r="Q739" i="3"/>
  <c r="T740" i="3"/>
  <c r="W741" i="3"/>
  <c r="Z742" i="3"/>
  <c r="P744" i="3"/>
  <c r="S745" i="3"/>
  <c r="V746" i="3"/>
  <c r="Y747" i="3"/>
  <c r="AB748" i="3"/>
  <c r="R750" i="3"/>
  <c r="U751" i="3"/>
  <c r="AE751" i="3" s="1"/>
  <c r="X752" i="3"/>
  <c r="AA753" i="3"/>
  <c r="Q755" i="3"/>
  <c r="T756" i="3"/>
  <c r="W757" i="3"/>
  <c r="Z758" i="3"/>
  <c r="P760" i="3"/>
  <c r="S761" i="3"/>
  <c r="V762" i="3"/>
  <c r="Y763" i="3"/>
  <c r="AB764" i="3"/>
  <c r="R766" i="3"/>
  <c r="U767" i="3"/>
  <c r="AE767" i="3" s="1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Q787" i="3"/>
  <c r="T788" i="3"/>
  <c r="W789" i="3"/>
  <c r="Z790" i="3"/>
  <c r="P792" i="3"/>
  <c r="S793" i="3"/>
  <c r="V794" i="3"/>
  <c r="Y795" i="3"/>
  <c r="AB796" i="3"/>
  <c r="R798" i="3"/>
  <c r="U799" i="3"/>
  <c r="AE799" i="3" s="1"/>
  <c r="X800" i="3"/>
  <c r="AA801" i="3"/>
  <c r="Q803" i="3"/>
  <c r="T804" i="3"/>
  <c r="W805" i="3"/>
  <c r="Z806" i="3"/>
  <c r="P808" i="3"/>
  <c r="S809" i="3"/>
  <c r="V810" i="3"/>
  <c r="Y811" i="3"/>
  <c r="AB812" i="3"/>
  <c r="R814" i="3"/>
  <c r="U815" i="3"/>
  <c r="AE815" i="3" s="1"/>
  <c r="X816" i="3"/>
  <c r="AA817" i="3"/>
  <c r="Q819" i="3"/>
  <c r="T820" i="3"/>
  <c r="W821" i="3"/>
  <c r="Z822" i="3"/>
  <c r="P824" i="3"/>
  <c r="S825" i="3"/>
  <c r="V826" i="3"/>
  <c r="Y827" i="3"/>
  <c r="AB828" i="3"/>
  <c r="R830" i="3"/>
  <c r="U831" i="3"/>
  <c r="AE831" i="3" s="1"/>
  <c r="X832" i="3"/>
  <c r="AA833" i="3"/>
  <c r="Q835" i="3"/>
  <c r="T836" i="3"/>
  <c r="W837" i="3"/>
  <c r="Z838" i="3"/>
  <c r="P840" i="3"/>
  <c r="S841" i="3"/>
  <c r="V842" i="3"/>
  <c r="Y843" i="3"/>
  <c r="AB844" i="3"/>
  <c r="R846" i="3"/>
  <c r="U847" i="3"/>
  <c r="AE847" i="3" s="1"/>
  <c r="X848" i="3"/>
  <c r="AA849" i="3"/>
  <c r="Q851" i="3"/>
  <c r="T852" i="3"/>
  <c r="W853" i="3"/>
  <c r="Z854" i="3"/>
  <c r="P856" i="3"/>
  <c r="S857" i="3"/>
  <c r="V858" i="3"/>
  <c r="Y859" i="3"/>
  <c r="AB860" i="3"/>
  <c r="R862" i="3"/>
  <c r="U863" i="3"/>
  <c r="AE863" i="3" s="1"/>
  <c r="X864" i="3"/>
  <c r="AA865" i="3"/>
  <c r="Q867" i="3"/>
  <c r="T868" i="3"/>
  <c r="W869" i="3"/>
  <c r="Z870" i="3"/>
  <c r="P872" i="3"/>
  <c r="P580" i="3"/>
  <c r="AB584" i="3"/>
  <c r="AA589" i="3"/>
  <c r="Z594" i="3"/>
  <c r="Y599" i="3"/>
  <c r="X604" i="3"/>
  <c r="W609" i="3"/>
  <c r="V614" i="3"/>
  <c r="U619" i="3"/>
  <c r="AE619" i="3" s="1"/>
  <c r="T624" i="3"/>
  <c r="S629" i="3"/>
  <c r="R634" i="3"/>
  <c r="Q639" i="3"/>
  <c r="P644" i="3"/>
  <c r="AB648" i="3"/>
  <c r="AA653" i="3"/>
  <c r="Z658" i="3"/>
  <c r="Y663" i="3"/>
  <c r="S667" i="3"/>
  <c r="R670" i="3"/>
  <c r="AB672" i="3"/>
  <c r="U675" i="3"/>
  <c r="AE675" i="3" s="1"/>
  <c r="AA677" i="3"/>
  <c r="T680" i="3"/>
  <c r="Z682" i="3"/>
  <c r="S685" i="3"/>
  <c r="U687" i="3"/>
  <c r="AE687" i="3" s="1"/>
  <c r="AA688" i="3"/>
  <c r="Q690" i="3"/>
  <c r="T691" i="3"/>
  <c r="W692" i="3"/>
  <c r="Z693" i="3"/>
  <c r="P695" i="3"/>
  <c r="S696" i="3"/>
  <c r="V697" i="3"/>
  <c r="Y698" i="3"/>
  <c r="AB699" i="3"/>
  <c r="R701" i="3"/>
  <c r="U702" i="3"/>
  <c r="AE702" i="3" s="1"/>
  <c r="X703" i="3"/>
  <c r="AA704" i="3"/>
  <c r="Q706" i="3"/>
  <c r="T707" i="3"/>
  <c r="W708" i="3"/>
  <c r="Z709" i="3"/>
  <c r="P711" i="3"/>
  <c r="S712" i="3"/>
  <c r="V713" i="3"/>
  <c r="Y714" i="3"/>
  <c r="AB715" i="3"/>
  <c r="R717" i="3"/>
  <c r="U718" i="3"/>
  <c r="AE718" i="3" s="1"/>
  <c r="X719" i="3"/>
  <c r="AA720" i="3"/>
  <c r="Q722" i="3"/>
  <c r="T723" i="3"/>
  <c r="W724" i="3"/>
  <c r="Z725" i="3"/>
  <c r="P727" i="3"/>
  <c r="S728" i="3"/>
  <c r="V729" i="3"/>
  <c r="Y730" i="3"/>
  <c r="AB731" i="3"/>
  <c r="R733" i="3"/>
  <c r="U734" i="3"/>
  <c r="AE734" i="3" s="1"/>
  <c r="X735" i="3"/>
  <c r="AA736" i="3"/>
  <c r="Q738" i="3"/>
  <c r="T739" i="3"/>
  <c r="W740" i="3"/>
  <c r="Z741" i="3"/>
  <c r="P743" i="3"/>
  <c r="S744" i="3"/>
  <c r="V745" i="3"/>
  <c r="Y746" i="3"/>
  <c r="AB747" i="3"/>
  <c r="R749" i="3"/>
  <c r="U750" i="3"/>
  <c r="AE750" i="3" s="1"/>
  <c r="X751" i="3"/>
  <c r="AA752" i="3"/>
  <c r="Q754" i="3"/>
  <c r="T755" i="3"/>
  <c r="W756" i="3"/>
  <c r="Z757" i="3"/>
  <c r="P759" i="3"/>
  <c r="S760" i="3"/>
  <c r="V761" i="3"/>
  <c r="Y762" i="3"/>
  <c r="AB763" i="3"/>
  <c r="R765" i="3"/>
  <c r="U766" i="3"/>
  <c r="AE766" i="3" s="1"/>
  <c r="X767" i="3"/>
  <c r="AA768" i="3"/>
  <c r="Q770" i="3"/>
  <c r="T771" i="3"/>
  <c r="W772" i="3"/>
  <c r="Z773" i="3"/>
  <c r="P775" i="3"/>
  <c r="S776" i="3"/>
  <c r="V777" i="3"/>
  <c r="Y778" i="3"/>
  <c r="AB779" i="3"/>
  <c r="R781" i="3"/>
  <c r="U782" i="3"/>
  <c r="AE782" i="3" s="1"/>
  <c r="X783" i="3"/>
  <c r="AA784" i="3"/>
  <c r="Q786" i="3"/>
  <c r="T787" i="3"/>
  <c r="W788" i="3"/>
  <c r="Z789" i="3"/>
  <c r="P791" i="3"/>
  <c r="S792" i="3"/>
  <c r="V793" i="3"/>
  <c r="Y794" i="3"/>
  <c r="AB795" i="3"/>
  <c r="R797" i="3"/>
  <c r="U798" i="3"/>
  <c r="AE798" i="3" s="1"/>
  <c r="X799" i="3"/>
  <c r="AA800" i="3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Z821" i="3"/>
  <c r="P823" i="3"/>
  <c r="S824" i="3"/>
  <c r="V825" i="3"/>
  <c r="Y826" i="3"/>
  <c r="AB827" i="3"/>
  <c r="R829" i="3"/>
  <c r="U830" i="3"/>
  <c r="AE830" i="3" s="1"/>
  <c r="X831" i="3"/>
  <c r="AA832" i="3"/>
  <c r="Q834" i="3"/>
  <c r="T835" i="3"/>
  <c r="W836" i="3"/>
  <c r="Z837" i="3"/>
  <c r="P839" i="3"/>
  <c r="S840" i="3"/>
  <c r="V841" i="3"/>
  <c r="Y842" i="3"/>
  <c r="AB843" i="3"/>
  <c r="R845" i="3"/>
  <c r="U846" i="3"/>
  <c r="AE846" i="3" s="1"/>
  <c r="X847" i="3"/>
  <c r="AA848" i="3"/>
  <c r="Q850" i="3"/>
  <c r="T851" i="3"/>
  <c r="W852" i="3"/>
  <c r="Z853" i="3"/>
  <c r="P855" i="3"/>
  <c r="S856" i="3"/>
  <c r="V857" i="3"/>
  <c r="Y858" i="3"/>
  <c r="AB859" i="3"/>
  <c r="R861" i="3"/>
  <c r="U862" i="3"/>
  <c r="AE862" i="3" s="1"/>
  <c r="X863" i="3"/>
  <c r="AA864" i="3"/>
  <c r="Q866" i="3"/>
  <c r="T867" i="3"/>
  <c r="W868" i="3"/>
  <c r="Z869" i="3"/>
  <c r="P871" i="3"/>
  <c r="S872" i="3"/>
  <c r="V873" i="3"/>
  <c r="Y874" i="3"/>
  <c r="AB875" i="3"/>
  <c r="R877" i="3"/>
  <c r="U878" i="3"/>
  <c r="AE878" i="3" s="1"/>
  <c r="X879" i="3"/>
  <c r="AA880" i="3"/>
  <c r="Q882" i="3"/>
  <c r="T883" i="3"/>
  <c r="W884" i="3"/>
  <c r="Z885" i="3"/>
  <c r="P887" i="3"/>
  <c r="S888" i="3"/>
  <c r="V889" i="3"/>
  <c r="Y890" i="3"/>
  <c r="AB891" i="3"/>
  <c r="R893" i="3"/>
  <c r="U894" i="3"/>
  <c r="AE894" i="3" s="1"/>
  <c r="X895" i="3"/>
  <c r="X896" i="3"/>
  <c r="X897" i="3"/>
  <c r="Y898" i="3"/>
  <c r="X899" i="3"/>
  <c r="X900" i="3"/>
  <c r="U901" i="3"/>
  <c r="AE901" i="3" s="1"/>
  <c r="Q902" i="3"/>
  <c r="Z902" i="3"/>
  <c r="V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R1000" i="3"/>
  <c r="Z1000" i="3"/>
  <c r="P596" i="3"/>
  <c r="X580" i="3"/>
  <c r="W585" i="3"/>
  <c r="V590" i="3"/>
  <c r="U595" i="3"/>
  <c r="AE595" i="3" s="1"/>
  <c r="T600" i="3"/>
  <c r="S605" i="3"/>
  <c r="R610" i="3"/>
  <c r="Q615" i="3"/>
  <c r="P620" i="3"/>
  <c r="AB624" i="3"/>
  <c r="AA629" i="3"/>
  <c r="Z634" i="3"/>
  <c r="Y639" i="3"/>
  <c r="X644" i="3"/>
  <c r="W649" i="3"/>
  <c r="V654" i="3"/>
  <c r="U659" i="3"/>
  <c r="AE659" i="3" s="1"/>
  <c r="R664" i="3"/>
  <c r="Y667" i="3"/>
  <c r="V670" i="3"/>
  <c r="S673" i="3"/>
  <c r="Y675" i="3"/>
  <c r="R678" i="3"/>
  <c r="X680" i="3"/>
  <c r="Q683" i="3"/>
  <c r="W685" i="3"/>
  <c r="X687" i="3"/>
  <c r="AB688" i="3"/>
  <c r="R690" i="3"/>
  <c r="U691" i="3"/>
  <c r="AE691" i="3" s="1"/>
  <c r="X692" i="3"/>
  <c r="AA693" i="3"/>
  <c r="Q695" i="3"/>
  <c r="T696" i="3"/>
  <c r="W697" i="3"/>
  <c r="Z698" i="3"/>
  <c r="P700" i="3"/>
  <c r="S701" i="3"/>
  <c r="V702" i="3"/>
  <c r="Y703" i="3"/>
  <c r="AB704" i="3"/>
  <c r="R706" i="3"/>
  <c r="U707" i="3"/>
  <c r="AE707" i="3" s="1"/>
  <c r="X708" i="3"/>
  <c r="AA709" i="3"/>
  <c r="Q711" i="3"/>
  <c r="T712" i="3"/>
  <c r="W713" i="3"/>
  <c r="Z714" i="3"/>
  <c r="P716" i="3"/>
  <c r="S717" i="3"/>
  <c r="V718" i="3"/>
  <c r="Y719" i="3"/>
  <c r="AB720" i="3"/>
  <c r="R722" i="3"/>
  <c r="U723" i="3"/>
  <c r="AE723" i="3" s="1"/>
  <c r="X724" i="3"/>
  <c r="AA725" i="3"/>
  <c r="Q727" i="3"/>
  <c r="T728" i="3"/>
  <c r="W729" i="3"/>
  <c r="Z730" i="3"/>
  <c r="P732" i="3"/>
  <c r="S733" i="3"/>
  <c r="V734" i="3"/>
  <c r="Y735" i="3"/>
  <c r="AB736" i="3"/>
  <c r="R738" i="3"/>
  <c r="U739" i="3"/>
  <c r="AE739" i="3" s="1"/>
  <c r="X740" i="3"/>
  <c r="AA741" i="3"/>
  <c r="Q743" i="3"/>
  <c r="T744" i="3"/>
  <c r="W745" i="3"/>
  <c r="Z746" i="3"/>
  <c r="P748" i="3"/>
  <c r="S749" i="3"/>
  <c r="V750" i="3"/>
  <c r="Y751" i="3"/>
  <c r="AB752" i="3"/>
  <c r="R754" i="3"/>
  <c r="U755" i="3"/>
  <c r="AE755" i="3" s="1"/>
  <c r="X756" i="3"/>
  <c r="AA757" i="3"/>
  <c r="Q759" i="3"/>
  <c r="T760" i="3"/>
  <c r="W761" i="3"/>
  <c r="Z762" i="3"/>
  <c r="P764" i="3"/>
  <c r="S765" i="3"/>
  <c r="V766" i="3"/>
  <c r="Y767" i="3"/>
  <c r="AB768" i="3"/>
  <c r="R770" i="3"/>
  <c r="U771" i="3"/>
  <c r="AE771" i="3" s="1"/>
  <c r="X772" i="3"/>
  <c r="AA773" i="3"/>
  <c r="Q775" i="3"/>
  <c r="T776" i="3"/>
  <c r="W777" i="3"/>
  <c r="Z778" i="3"/>
  <c r="P780" i="3"/>
  <c r="S781" i="3"/>
  <c r="V782" i="3"/>
  <c r="Y783" i="3"/>
  <c r="AB784" i="3"/>
  <c r="R786" i="3"/>
  <c r="U787" i="3"/>
  <c r="AE787" i="3" s="1"/>
  <c r="X788" i="3"/>
  <c r="AA789" i="3"/>
  <c r="Q791" i="3"/>
  <c r="T792" i="3"/>
  <c r="W793" i="3"/>
  <c r="Z794" i="3"/>
  <c r="P796" i="3"/>
  <c r="S797" i="3"/>
  <c r="V798" i="3"/>
  <c r="Y799" i="3"/>
  <c r="AB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AE819" i="3" s="1"/>
  <c r="X820" i="3"/>
  <c r="AA821" i="3"/>
  <c r="Q823" i="3"/>
  <c r="T824" i="3"/>
  <c r="W825" i="3"/>
  <c r="Z826" i="3"/>
  <c r="P828" i="3"/>
  <c r="S829" i="3"/>
  <c r="V830" i="3"/>
  <c r="Y831" i="3"/>
  <c r="AB832" i="3"/>
  <c r="R834" i="3"/>
  <c r="U835" i="3"/>
  <c r="AE835" i="3" s="1"/>
  <c r="X836" i="3"/>
  <c r="AA837" i="3"/>
  <c r="Q839" i="3"/>
  <c r="T840" i="3"/>
  <c r="W841" i="3"/>
  <c r="Z842" i="3"/>
  <c r="P844" i="3"/>
  <c r="S845" i="3"/>
  <c r="V846" i="3"/>
  <c r="Y847" i="3"/>
  <c r="AB848" i="3"/>
  <c r="R850" i="3"/>
  <c r="U851" i="3"/>
  <c r="AE851" i="3" s="1"/>
  <c r="X852" i="3"/>
  <c r="AA853" i="3"/>
  <c r="Q855" i="3"/>
  <c r="T856" i="3"/>
  <c r="W857" i="3"/>
  <c r="Z858" i="3"/>
  <c r="P860" i="3"/>
  <c r="S861" i="3"/>
  <c r="V862" i="3"/>
  <c r="Y863" i="3"/>
  <c r="AB864" i="3"/>
  <c r="R866" i="3"/>
  <c r="U867" i="3"/>
  <c r="AE867" i="3" s="1"/>
  <c r="X868" i="3"/>
  <c r="AA869" i="3"/>
  <c r="Q871" i="3"/>
  <c r="T872" i="3"/>
  <c r="W873" i="3"/>
  <c r="Z874" i="3"/>
  <c r="P876" i="3"/>
  <c r="S877" i="3"/>
  <c r="V878" i="3"/>
  <c r="Y879" i="3"/>
  <c r="AB880" i="3"/>
  <c r="R882" i="3"/>
  <c r="U883" i="3"/>
  <c r="AE883" i="3" s="1"/>
  <c r="X884" i="3"/>
  <c r="AA885" i="3"/>
  <c r="Q887" i="3"/>
  <c r="T888" i="3"/>
  <c r="W889" i="3"/>
  <c r="Z890" i="3"/>
  <c r="P892" i="3"/>
  <c r="S893" i="3"/>
  <c r="V894" i="3"/>
  <c r="Y895" i="3"/>
  <c r="AA896" i="3"/>
  <c r="Z897" i="3"/>
  <c r="Z898" i="3"/>
  <c r="Y899" i="3"/>
  <c r="Y900" i="3"/>
  <c r="V901" i="3"/>
  <c r="R902" i="3"/>
  <c r="AA902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S1000" i="3"/>
  <c r="AA1000" i="3"/>
  <c r="Z761" i="3"/>
  <c r="S581" i="3"/>
  <c r="R586" i="3"/>
  <c r="Q591" i="3"/>
  <c r="AB600" i="3"/>
  <c r="AA605" i="3"/>
  <c r="Z610" i="3"/>
  <c r="Y615" i="3"/>
  <c r="X620" i="3"/>
  <c r="W625" i="3"/>
  <c r="V630" i="3"/>
  <c r="U635" i="3"/>
  <c r="AE635" i="3" s="1"/>
  <c r="T640" i="3"/>
  <c r="S645" i="3"/>
  <c r="R650" i="3"/>
  <c r="Q655" i="3"/>
  <c r="P660" i="3"/>
  <c r="Y664" i="3"/>
  <c r="P668" i="3"/>
  <c r="AA670" i="3"/>
  <c r="W673" i="3"/>
  <c r="P676" i="3"/>
  <c r="V678" i="3"/>
  <c r="AB680" i="3"/>
  <c r="U683" i="3"/>
  <c r="AE683" i="3" s="1"/>
  <c r="AA685" i="3"/>
  <c r="Y687" i="3"/>
  <c r="R689" i="3"/>
  <c r="U690" i="3"/>
  <c r="AE690" i="3" s="1"/>
  <c r="X691" i="3"/>
  <c r="AA692" i="3"/>
  <c r="Q694" i="3"/>
  <c r="T695" i="3"/>
  <c r="W696" i="3"/>
  <c r="Z697" i="3"/>
  <c r="P699" i="3"/>
  <c r="S700" i="3"/>
  <c r="V701" i="3"/>
  <c r="Y702" i="3"/>
  <c r="AB703" i="3"/>
  <c r="R705" i="3"/>
  <c r="U706" i="3"/>
  <c r="AE706" i="3" s="1"/>
  <c r="X707" i="3"/>
  <c r="AA708" i="3"/>
  <c r="Q710" i="3"/>
  <c r="T711" i="3"/>
  <c r="W712" i="3"/>
  <c r="Z713" i="3"/>
  <c r="P715" i="3"/>
  <c r="S716" i="3"/>
  <c r="V717" i="3"/>
  <c r="Y718" i="3"/>
  <c r="AB719" i="3"/>
  <c r="R721" i="3"/>
  <c r="U722" i="3"/>
  <c r="AE722" i="3" s="1"/>
  <c r="X723" i="3"/>
  <c r="AA724" i="3"/>
  <c r="Q726" i="3"/>
  <c r="T727" i="3"/>
  <c r="W728" i="3"/>
  <c r="Z729" i="3"/>
  <c r="P731" i="3"/>
  <c r="S732" i="3"/>
  <c r="V733" i="3"/>
  <c r="Y734" i="3"/>
  <c r="AB735" i="3"/>
  <c r="R737" i="3"/>
  <c r="U738" i="3"/>
  <c r="AE738" i="3" s="1"/>
  <c r="X739" i="3"/>
  <c r="AA740" i="3"/>
  <c r="Q742" i="3"/>
  <c r="T743" i="3"/>
  <c r="W744" i="3"/>
  <c r="Z745" i="3"/>
  <c r="P747" i="3"/>
  <c r="S748" i="3"/>
  <c r="V749" i="3"/>
  <c r="Y750" i="3"/>
  <c r="AB751" i="3"/>
  <c r="R753" i="3"/>
  <c r="U754" i="3"/>
  <c r="AE754" i="3" s="1"/>
  <c r="X755" i="3"/>
  <c r="AA756" i="3"/>
  <c r="Q758" i="3"/>
  <c r="T759" i="3"/>
  <c r="W760" i="3"/>
  <c r="P763" i="3"/>
  <c r="S764" i="3"/>
  <c r="V765" i="3"/>
  <c r="Y766" i="3"/>
  <c r="AB767" i="3"/>
  <c r="R769" i="3"/>
  <c r="U770" i="3"/>
  <c r="AE770" i="3" s="1"/>
  <c r="X771" i="3"/>
  <c r="AA772" i="3"/>
  <c r="Q774" i="3"/>
  <c r="T775" i="3"/>
  <c r="W776" i="3"/>
  <c r="Z777" i="3"/>
  <c r="P779" i="3"/>
  <c r="S780" i="3"/>
  <c r="V781" i="3"/>
  <c r="Y782" i="3"/>
  <c r="AB783" i="3"/>
  <c r="R785" i="3"/>
  <c r="U786" i="3"/>
  <c r="AE786" i="3" s="1"/>
  <c r="X787" i="3"/>
  <c r="AA788" i="3"/>
  <c r="Q790" i="3"/>
  <c r="T791" i="3"/>
  <c r="W792" i="3"/>
  <c r="Z793" i="3"/>
  <c r="P795" i="3"/>
  <c r="S796" i="3"/>
  <c r="V797" i="3"/>
  <c r="Y798" i="3"/>
  <c r="AB799" i="3"/>
  <c r="R801" i="3"/>
  <c r="U802" i="3"/>
  <c r="AE802" i="3" s="1"/>
  <c r="X803" i="3"/>
  <c r="AA804" i="3"/>
  <c r="Q806" i="3"/>
  <c r="T807" i="3"/>
  <c r="W808" i="3"/>
  <c r="Z809" i="3"/>
  <c r="P811" i="3"/>
  <c r="S812" i="3"/>
  <c r="V813" i="3"/>
  <c r="Y814" i="3"/>
  <c r="AB815" i="3"/>
  <c r="R817" i="3"/>
  <c r="U818" i="3"/>
  <c r="AE818" i="3" s="1"/>
  <c r="X819" i="3"/>
  <c r="AA820" i="3"/>
  <c r="Q822" i="3"/>
  <c r="T823" i="3"/>
  <c r="W824" i="3"/>
  <c r="Z825" i="3"/>
  <c r="P827" i="3"/>
  <c r="S828" i="3"/>
  <c r="V829" i="3"/>
  <c r="Y830" i="3"/>
  <c r="AB831" i="3"/>
  <c r="R833" i="3"/>
  <c r="U834" i="3"/>
  <c r="AE834" i="3" s="1"/>
  <c r="X835" i="3"/>
  <c r="AA836" i="3"/>
  <c r="Q838" i="3"/>
  <c r="T839" i="3"/>
  <c r="W840" i="3"/>
  <c r="Z841" i="3"/>
  <c r="P843" i="3"/>
  <c r="S844" i="3"/>
  <c r="Y846" i="3"/>
  <c r="AB847" i="3"/>
  <c r="R849" i="3"/>
  <c r="U850" i="3"/>
  <c r="AE850" i="3" s="1"/>
  <c r="X851" i="3"/>
  <c r="AA852" i="3"/>
  <c r="Q854" i="3"/>
  <c r="T855" i="3"/>
  <c r="W856" i="3"/>
  <c r="Z857" i="3"/>
  <c r="P859" i="3"/>
  <c r="S860" i="3"/>
  <c r="V861" i="3"/>
  <c r="Y862" i="3"/>
  <c r="AB863" i="3"/>
  <c r="R865" i="3"/>
  <c r="X867" i="3"/>
  <c r="AA868" i="3"/>
  <c r="AA581" i="3"/>
  <c r="Z586" i="3"/>
  <c r="Y591" i="3"/>
  <c r="X596" i="3"/>
  <c r="W601" i="3"/>
  <c r="V606" i="3"/>
  <c r="U611" i="3"/>
  <c r="AE611" i="3" s="1"/>
  <c r="T616" i="3"/>
  <c r="S621" i="3"/>
  <c r="R626" i="3"/>
  <c r="Q631" i="3"/>
  <c r="P636" i="3"/>
  <c r="AB640" i="3"/>
  <c r="AA645" i="3"/>
  <c r="Z650" i="3"/>
  <c r="Y655" i="3"/>
  <c r="X660" i="3"/>
  <c r="S665" i="3"/>
  <c r="U668" i="3"/>
  <c r="AE668" i="3" s="1"/>
  <c r="R671" i="3"/>
  <c r="AA673" i="3"/>
  <c r="T676" i="3"/>
  <c r="Z678" i="3"/>
  <c r="S681" i="3"/>
  <c r="Y683" i="3"/>
  <c r="R686" i="3"/>
  <c r="P688" i="3"/>
  <c r="S689" i="3"/>
  <c r="V690" i="3"/>
  <c r="Y691" i="3"/>
  <c r="AB692" i="3"/>
  <c r="R694" i="3"/>
  <c r="U695" i="3"/>
  <c r="AE695" i="3" s="1"/>
  <c r="X696" i="3"/>
  <c r="AA697" i="3"/>
  <c r="Q699" i="3"/>
  <c r="T700" i="3"/>
  <c r="W701" i="3"/>
  <c r="Z702" i="3"/>
  <c r="P704" i="3"/>
  <c r="S705" i="3"/>
  <c r="V706" i="3"/>
  <c r="Y707" i="3"/>
  <c r="AB708" i="3"/>
  <c r="R710" i="3"/>
  <c r="U711" i="3"/>
  <c r="AE711" i="3" s="1"/>
  <c r="X712" i="3"/>
  <c r="AA713" i="3"/>
  <c r="Q715" i="3"/>
  <c r="T716" i="3"/>
  <c r="W717" i="3"/>
  <c r="Z718" i="3"/>
  <c r="P720" i="3"/>
  <c r="S721" i="3"/>
  <c r="V722" i="3"/>
  <c r="Y723" i="3"/>
  <c r="AB724" i="3"/>
  <c r="R726" i="3"/>
  <c r="U727" i="3"/>
  <c r="AE727" i="3" s="1"/>
  <c r="X728" i="3"/>
  <c r="AA729" i="3"/>
  <c r="Q731" i="3"/>
  <c r="T732" i="3"/>
  <c r="W733" i="3"/>
  <c r="Z734" i="3"/>
  <c r="P736" i="3"/>
  <c r="S737" i="3"/>
  <c r="V738" i="3"/>
  <c r="Y739" i="3"/>
  <c r="AB740" i="3"/>
  <c r="R742" i="3"/>
  <c r="U743" i="3"/>
  <c r="AE743" i="3" s="1"/>
  <c r="X744" i="3"/>
  <c r="AA745" i="3"/>
  <c r="Q747" i="3"/>
  <c r="T748" i="3"/>
  <c r="W749" i="3"/>
  <c r="Z750" i="3"/>
  <c r="P752" i="3"/>
  <c r="S753" i="3"/>
  <c r="V754" i="3"/>
  <c r="Y755" i="3"/>
  <c r="AB756" i="3"/>
  <c r="R758" i="3"/>
  <c r="U759" i="3"/>
  <c r="AE759" i="3" s="1"/>
  <c r="X760" i="3"/>
  <c r="AA761" i="3"/>
  <c r="Q763" i="3"/>
  <c r="T764" i="3"/>
  <c r="W765" i="3"/>
  <c r="Z766" i="3"/>
  <c r="P768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V786" i="3"/>
  <c r="Y787" i="3"/>
  <c r="AB788" i="3"/>
  <c r="R790" i="3"/>
  <c r="U791" i="3"/>
  <c r="AE791" i="3" s="1"/>
  <c r="X792" i="3"/>
  <c r="AA793" i="3"/>
  <c r="Q795" i="3"/>
  <c r="T796" i="3"/>
  <c r="W797" i="3"/>
  <c r="Z798" i="3"/>
  <c r="P800" i="3"/>
  <c r="S801" i="3"/>
  <c r="V802" i="3"/>
  <c r="Y803" i="3"/>
  <c r="AB804" i="3"/>
  <c r="R806" i="3"/>
  <c r="U807" i="3"/>
  <c r="AE807" i="3" s="1"/>
  <c r="X808" i="3"/>
  <c r="AA809" i="3"/>
  <c r="Q811" i="3"/>
  <c r="T812" i="3"/>
  <c r="W813" i="3"/>
  <c r="Z814" i="3"/>
  <c r="P816" i="3"/>
  <c r="S817" i="3"/>
  <c r="V818" i="3"/>
  <c r="Y819" i="3"/>
  <c r="AB820" i="3"/>
  <c r="R822" i="3"/>
  <c r="U823" i="3"/>
  <c r="AE823" i="3" s="1"/>
  <c r="X824" i="3"/>
  <c r="AA825" i="3"/>
  <c r="Q827" i="3"/>
  <c r="T828" i="3"/>
  <c r="W829" i="3"/>
  <c r="Z830" i="3"/>
  <c r="P832" i="3"/>
  <c r="S833" i="3"/>
  <c r="V834" i="3"/>
  <c r="Y835" i="3"/>
  <c r="AB836" i="3"/>
  <c r="R838" i="3"/>
  <c r="U839" i="3"/>
  <c r="AE839" i="3" s="1"/>
  <c r="X840" i="3"/>
  <c r="AA841" i="3"/>
  <c r="Q843" i="3"/>
  <c r="T844" i="3"/>
  <c r="W845" i="3"/>
  <c r="Z846" i="3"/>
  <c r="P848" i="3"/>
  <c r="S849" i="3"/>
  <c r="V850" i="3"/>
  <c r="Y851" i="3"/>
  <c r="AB852" i="3"/>
  <c r="R854" i="3"/>
  <c r="U855" i="3"/>
  <c r="AE855" i="3" s="1"/>
  <c r="X856" i="3"/>
  <c r="AA857" i="3"/>
  <c r="Q859" i="3"/>
  <c r="T860" i="3"/>
  <c r="W861" i="3"/>
  <c r="Z862" i="3"/>
  <c r="P864" i="3"/>
  <c r="V582" i="3"/>
  <c r="U587" i="3"/>
  <c r="AE587" i="3" s="1"/>
  <c r="T592" i="3"/>
  <c r="S597" i="3"/>
  <c r="R602" i="3"/>
  <c r="Q607" i="3"/>
  <c r="P612" i="3"/>
  <c r="AB616" i="3"/>
  <c r="AA621" i="3"/>
  <c r="Z626" i="3"/>
  <c r="Y631" i="3"/>
  <c r="X636" i="3"/>
  <c r="W641" i="3"/>
  <c r="V646" i="3"/>
  <c r="U651" i="3"/>
  <c r="AE651" i="3" s="1"/>
  <c r="T656" i="3"/>
  <c r="S661" i="3"/>
  <c r="X665" i="3"/>
  <c r="Y668" i="3"/>
  <c r="W671" i="3"/>
  <c r="R674" i="3"/>
  <c r="X676" i="3"/>
  <c r="Q679" i="3"/>
  <c r="W681" i="3"/>
  <c r="P684" i="3"/>
  <c r="V686" i="3"/>
  <c r="S688" i="3"/>
  <c r="V689" i="3"/>
  <c r="Y690" i="3"/>
  <c r="AB691" i="3"/>
  <c r="R693" i="3"/>
  <c r="U694" i="3"/>
  <c r="AE694" i="3" s="1"/>
  <c r="X695" i="3"/>
  <c r="AA696" i="3"/>
  <c r="Q698" i="3"/>
  <c r="T699" i="3"/>
  <c r="W700" i="3"/>
  <c r="Z701" i="3"/>
  <c r="P703" i="3"/>
  <c r="S704" i="3"/>
  <c r="V705" i="3"/>
  <c r="Y706" i="3"/>
  <c r="AB707" i="3"/>
  <c r="R709" i="3"/>
  <c r="U710" i="3"/>
  <c r="AE710" i="3" s="1"/>
  <c r="X711" i="3"/>
  <c r="AA712" i="3"/>
  <c r="Q714" i="3"/>
  <c r="T715" i="3"/>
  <c r="W716" i="3"/>
  <c r="Z717" i="3"/>
  <c r="P719" i="3"/>
  <c r="S720" i="3"/>
  <c r="V721" i="3"/>
  <c r="Y722" i="3"/>
  <c r="AB723" i="3"/>
  <c r="R725" i="3"/>
  <c r="U726" i="3"/>
  <c r="AE726" i="3" s="1"/>
  <c r="X727" i="3"/>
  <c r="AA728" i="3"/>
  <c r="Q730" i="3"/>
  <c r="T731" i="3"/>
  <c r="W732" i="3"/>
  <c r="Z733" i="3"/>
  <c r="P735" i="3"/>
  <c r="S736" i="3"/>
  <c r="V737" i="3"/>
  <c r="Y738" i="3"/>
  <c r="AB739" i="3"/>
  <c r="R741" i="3"/>
  <c r="U742" i="3"/>
  <c r="AE742" i="3" s="1"/>
  <c r="X743" i="3"/>
  <c r="AA744" i="3"/>
  <c r="Q746" i="3"/>
  <c r="T747" i="3"/>
  <c r="W748" i="3"/>
  <c r="Z749" i="3"/>
  <c r="P751" i="3"/>
  <c r="S752" i="3"/>
  <c r="V753" i="3"/>
  <c r="Y754" i="3"/>
  <c r="AB755" i="3"/>
  <c r="R757" i="3"/>
  <c r="U758" i="3"/>
  <c r="AE758" i="3" s="1"/>
  <c r="X759" i="3"/>
  <c r="AA760" i="3"/>
  <c r="Q762" i="3"/>
  <c r="T763" i="3"/>
  <c r="W764" i="3"/>
  <c r="Z765" i="3"/>
  <c r="P767" i="3"/>
  <c r="S768" i="3"/>
  <c r="V769" i="3"/>
  <c r="Y770" i="3"/>
  <c r="AB771" i="3"/>
  <c r="R773" i="3"/>
  <c r="U774" i="3"/>
  <c r="AE774" i="3" s="1"/>
  <c r="X775" i="3"/>
  <c r="AA776" i="3"/>
  <c r="Q778" i="3"/>
  <c r="T779" i="3"/>
  <c r="W780" i="3"/>
  <c r="Z781" i="3"/>
  <c r="P783" i="3"/>
  <c r="S784" i="3"/>
  <c r="V785" i="3"/>
  <c r="Y786" i="3"/>
  <c r="AB787" i="3"/>
  <c r="R789" i="3"/>
  <c r="U790" i="3"/>
  <c r="AE790" i="3" s="1"/>
  <c r="X791" i="3"/>
  <c r="AA792" i="3"/>
  <c r="Q794" i="3"/>
  <c r="T795" i="3"/>
  <c r="W796" i="3"/>
  <c r="Z797" i="3"/>
  <c r="P799" i="3"/>
  <c r="S800" i="3"/>
  <c r="V801" i="3"/>
  <c r="Y802" i="3"/>
  <c r="AB803" i="3"/>
  <c r="R805" i="3"/>
  <c r="U806" i="3"/>
  <c r="AE806" i="3" s="1"/>
  <c r="X807" i="3"/>
  <c r="AA808" i="3"/>
  <c r="Q810" i="3"/>
  <c r="T811" i="3"/>
  <c r="W812" i="3"/>
  <c r="Z813" i="3"/>
  <c r="P815" i="3"/>
  <c r="S816" i="3"/>
  <c r="V817" i="3"/>
  <c r="Y818" i="3"/>
  <c r="AB819" i="3"/>
  <c r="R821" i="3"/>
  <c r="U822" i="3"/>
  <c r="AE822" i="3" s="1"/>
  <c r="X823" i="3"/>
  <c r="AA824" i="3"/>
  <c r="Q826" i="3"/>
  <c r="T827" i="3"/>
  <c r="W828" i="3"/>
  <c r="Z829" i="3"/>
  <c r="P831" i="3"/>
  <c r="S832" i="3"/>
  <c r="V833" i="3"/>
  <c r="Y834" i="3"/>
  <c r="AB835" i="3"/>
  <c r="R837" i="3"/>
  <c r="U838" i="3"/>
  <c r="AE838" i="3" s="1"/>
  <c r="X839" i="3"/>
  <c r="AA840" i="3"/>
  <c r="Q842" i="3"/>
  <c r="T843" i="3"/>
  <c r="W844" i="3"/>
  <c r="Z845" i="3"/>
  <c r="P847" i="3"/>
  <c r="S848" i="3"/>
  <c r="V849" i="3"/>
  <c r="Y850" i="3"/>
  <c r="AB851" i="3"/>
  <c r="R853" i="3"/>
  <c r="U854" i="3"/>
  <c r="AE854" i="3" s="1"/>
  <c r="X855" i="3"/>
  <c r="AA856" i="3"/>
  <c r="Q858" i="3"/>
  <c r="T859" i="3"/>
  <c r="W860" i="3"/>
  <c r="Z861" i="3"/>
  <c r="P863" i="3"/>
  <c r="S864" i="3"/>
  <c r="V865" i="3"/>
  <c r="Y866" i="3"/>
  <c r="AB867" i="3"/>
  <c r="R869" i="3"/>
  <c r="U870" i="3"/>
  <c r="AE870" i="3" s="1"/>
  <c r="X871" i="3"/>
  <c r="AA872" i="3"/>
  <c r="Q874" i="3"/>
  <c r="T875" i="3"/>
  <c r="W876" i="3"/>
  <c r="Z877" i="3"/>
  <c r="P879" i="3"/>
  <c r="S880" i="3"/>
  <c r="V881" i="3"/>
  <c r="Y882" i="3"/>
  <c r="AB883" i="3"/>
  <c r="R885" i="3"/>
  <c r="U886" i="3"/>
  <c r="AE886" i="3" s="1"/>
  <c r="X887" i="3"/>
  <c r="AA888" i="3"/>
  <c r="Q890" i="3"/>
  <c r="T891" i="3"/>
  <c r="W892" i="3"/>
  <c r="Z893" i="3"/>
  <c r="P895" i="3"/>
  <c r="S896" i="3"/>
  <c r="R897" i="3"/>
  <c r="R898" i="3"/>
  <c r="Q899" i="3"/>
  <c r="Q900" i="3"/>
  <c r="P901" i="3"/>
  <c r="Z901" i="3"/>
  <c r="V902" i="3"/>
  <c r="R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Y583" i="3"/>
  <c r="W784" i="3"/>
  <c r="X811" i="3"/>
  <c r="V821" i="3"/>
  <c r="U826" i="3"/>
  <c r="AE826" i="3" s="1"/>
  <c r="AA828" i="3"/>
  <c r="T831" i="3"/>
  <c r="P835" i="3"/>
  <c r="Y838" i="3"/>
  <c r="R841" i="3"/>
  <c r="Q846" i="3"/>
  <c r="W848" i="3"/>
  <c r="S852" i="3"/>
  <c r="AB855" i="3"/>
  <c r="U858" i="3"/>
  <c r="AE858" i="3" s="1"/>
  <c r="X859" i="3"/>
  <c r="W864" i="3"/>
  <c r="S868" i="3"/>
  <c r="Y870" i="3"/>
  <c r="R873" i="3"/>
  <c r="AA876" i="3"/>
  <c r="Q878" i="3"/>
  <c r="W880" i="3"/>
  <c r="P883" i="3"/>
  <c r="Y886" i="3"/>
  <c r="AB887" i="3"/>
  <c r="U890" i="3"/>
  <c r="AE890" i="3" s="1"/>
  <c r="AA892" i="3"/>
  <c r="T895" i="3"/>
  <c r="U898" i="3"/>
  <c r="AE898" i="3" s="1"/>
  <c r="U899" i="3"/>
  <c r="AE899" i="3" s="1"/>
  <c r="S901" i="3"/>
  <c r="X902" i="3"/>
  <c r="S905" i="3"/>
  <c r="Q583" i="3"/>
  <c r="P588" i="3"/>
  <c r="AB592" i="3"/>
  <c r="AA597" i="3"/>
  <c r="Z602" i="3"/>
  <c r="Y607" i="3"/>
  <c r="X612" i="3"/>
  <c r="W617" i="3"/>
  <c r="V622" i="3"/>
  <c r="U627" i="3"/>
  <c r="AE627" i="3" s="1"/>
  <c r="T632" i="3"/>
  <c r="S637" i="3"/>
  <c r="R642" i="3"/>
  <c r="Q647" i="3"/>
  <c r="P652" i="3"/>
  <c r="AB656" i="3"/>
  <c r="AA661" i="3"/>
  <c r="P666" i="3"/>
  <c r="Q669" i="3"/>
  <c r="AA671" i="3"/>
  <c r="V674" i="3"/>
  <c r="AB676" i="3"/>
  <c r="U679" i="3"/>
  <c r="AE679" i="3" s="1"/>
  <c r="AA681" i="3"/>
  <c r="T684" i="3"/>
  <c r="Z686" i="3"/>
  <c r="T688" i="3"/>
  <c r="W689" i="3"/>
  <c r="Z690" i="3"/>
  <c r="P692" i="3"/>
  <c r="S693" i="3"/>
  <c r="V694" i="3"/>
  <c r="Y695" i="3"/>
  <c r="AB696" i="3"/>
  <c r="R698" i="3"/>
  <c r="U699" i="3"/>
  <c r="AE699" i="3" s="1"/>
  <c r="X700" i="3"/>
  <c r="AA701" i="3"/>
  <c r="Q703" i="3"/>
  <c r="T704" i="3"/>
  <c r="W705" i="3"/>
  <c r="Z706" i="3"/>
  <c r="P708" i="3"/>
  <c r="S709" i="3"/>
  <c r="V710" i="3"/>
  <c r="Y711" i="3"/>
  <c r="AB712" i="3"/>
  <c r="R714" i="3"/>
  <c r="U715" i="3"/>
  <c r="AE715" i="3" s="1"/>
  <c r="X716" i="3"/>
  <c r="AA717" i="3"/>
  <c r="Q719" i="3"/>
  <c r="T720" i="3"/>
  <c r="W721" i="3"/>
  <c r="Z722" i="3"/>
  <c r="P724" i="3"/>
  <c r="S725" i="3"/>
  <c r="V726" i="3"/>
  <c r="Y727" i="3"/>
  <c r="AB728" i="3"/>
  <c r="R730" i="3"/>
  <c r="U731" i="3"/>
  <c r="AE731" i="3" s="1"/>
  <c r="X732" i="3"/>
  <c r="AA733" i="3"/>
  <c r="Q735" i="3"/>
  <c r="T736" i="3"/>
  <c r="W737" i="3"/>
  <c r="Z738" i="3"/>
  <c r="P740" i="3"/>
  <c r="S741" i="3"/>
  <c r="V742" i="3"/>
  <c r="Y743" i="3"/>
  <c r="AB744" i="3"/>
  <c r="R746" i="3"/>
  <c r="U747" i="3"/>
  <c r="AE747" i="3" s="1"/>
  <c r="X748" i="3"/>
  <c r="AA749" i="3"/>
  <c r="Q751" i="3"/>
  <c r="T752" i="3"/>
  <c r="W753" i="3"/>
  <c r="Z754" i="3"/>
  <c r="P756" i="3"/>
  <c r="S757" i="3"/>
  <c r="V758" i="3"/>
  <c r="Y759" i="3"/>
  <c r="AB760" i="3"/>
  <c r="R762" i="3"/>
  <c r="U763" i="3"/>
  <c r="AE763" i="3" s="1"/>
  <c r="X764" i="3"/>
  <c r="AA765" i="3"/>
  <c r="Q767" i="3"/>
  <c r="T768" i="3"/>
  <c r="W769" i="3"/>
  <c r="Z770" i="3"/>
  <c r="P772" i="3"/>
  <c r="S773" i="3"/>
  <c r="V774" i="3"/>
  <c r="Y775" i="3"/>
  <c r="AB776" i="3"/>
  <c r="R778" i="3"/>
  <c r="U779" i="3"/>
  <c r="AE779" i="3" s="1"/>
  <c r="X780" i="3"/>
  <c r="AA781" i="3"/>
  <c r="Q783" i="3"/>
  <c r="T784" i="3"/>
  <c r="W785" i="3"/>
  <c r="Z786" i="3"/>
  <c r="P788" i="3"/>
  <c r="S789" i="3"/>
  <c r="V790" i="3"/>
  <c r="Y791" i="3"/>
  <c r="AB792" i="3"/>
  <c r="R794" i="3"/>
  <c r="U795" i="3"/>
  <c r="AE795" i="3" s="1"/>
  <c r="X796" i="3"/>
  <c r="AA797" i="3"/>
  <c r="Q799" i="3"/>
  <c r="T800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V822" i="3"/>
  <c r="Y823" i="3"/>
  <c r="AB824" i="3"/>
  <c r="R826" i="3"/>
  <c r="U827" i="3"/>
  <c r="AE827" i="3" s="1"/>
  <c r="X828" i="3"/>
  <c r="AA829" i="3"/>
  <c r="Q831" i="3"/>
  <c r="T832" i="3"/>
  <c r="W833" i="3"/>
  <c r="Z834" i="3"/>
  <c r="P836" i="3"/>
  <c r="S837" i="3"/>
  <c r="V838" i="3"/>
  <c r="Y839" i="3"/>
  <c r="AB840" i="3"/>
  <c r="R842" i="3"/>
  <c r="U843" i="3"/>
  <c r="AE843" i="3" s="1"/>
  <c r="X844" i="3"/>
  <c r="AA845" i="3"/>
  <c r="Q847" i="3"/>
  <c r="T848" i="3"/>
  <c r="W849" i="3"/>
  <c r="Z850" i="3"/>
  <c r="P852" i="3"/>
  <c r="S853" i="3"/>
  <c r="V854" i="3"/>
  <c r="Y855" i="3"/>
  <c r="AB856" i="3"/>
  <c r="R858" i="3"/>
  <c r="U859" i="3"/>
  <c r="AE859" i="3" s="1"/>
  <c r="X860" i="3"/>
  <c r="AA861" i="3"/>
  <c r="Q863" i="3"/>
  <c r="T864" i="3"/>
  <c r="W865" i="3"/>
  <c r="Z866" i="3"/>
  <c r="P868" i="3"/>
  <c r="S869" i="3"/>
  <c r="V870" i="3"/>
  <c r="Y871" i="3"/>
  <c r="AB872" i="3"/>
  <c r="R874" i="3"/>
  <c r="U875" i="3"/>
  <c r="AE875" i="3" s="1"/>
  <c r="X876" i="3"/>
  <c r="AA877" i="3"/>
  <c r="Q879" i="3"/>
  <c r="T880" i="3"/>
  <c r="W881" i="3"/>
  <c r="Z882" i="3"/>
  <c r="P884" i="3"/>
  <c r="S885" i="3"/>
  <c r="V886" i="3"/>
  <c r="Y887" i="3"/>
  <c r="AB888" i="3"/>
  <c r="R890" i="3"/>
  <c r="U891" i="3"/>
  <c r="AE891" i="3" s="1"/>
  <c r="X892" i="3"/>
  <c r="AA893" i="3"/>
  <c r="Q895" i="3"/>
  <c r="T896" i="3"/>
  <c r="S897" i="3"/>
  <c r="S898" i="3"/>
  <c r="T899" i="3"/>
  <c r="S900" i="3"/>
  <c r="R901" i="3"/>
  <c r="AA901" i="3"/>
  <c r="W902" i="3"/>
  <c r="S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W1000" i="3"/>
  <c r="X588" i="3"/>
  <c r="T783" i="3"/>
  <c r="AA812" i="3"/>
  <c r="Y822" i="3"/>
  <c r="R825" i="3"/>
  <c r="Q830" i="3"/>
  <c r="W832" i="3"/>
  <c r="Z833" i="3"/>
  <c r="V837" i="3"/>
  <c r="AB839" i="3"/>
  <c r="U842" i="3"/>
  <c r="AE842" i="3" s="1"/>
  <c r="AA844" i="3"/>
  <c r="T847" i="3"/>
  <c r="Z849" i="3"/>
  <c r="V853" i="3"/>
  <c r="Y854" i="3"/>
  <c r="R857" i="3"/>
  <c r="AA860" i="3"/>
  <c r="T863" i="3"/>
  <c r="Z865" i="3"/>
  <c r="P867" i="3"/>
  <c r="V869" i="3"/>
  <c r="U874" i="3"/>
  <c r="AE874" i="3" s="1"/>
  <c r="X875" i="3"/>
  <c r="T879" i="3"/>
  <c r="Z881" i="3"/>
  <c r="V885" i="3"/>
  <c r="R889" i="3"/>
  <c r="X891" i="3"/>
  <c r="Q894" i="3"/>
  <c r="V897" i="3"/>
  <c r="T900" i="3"/>
  <c r="AB901" i="3"/>
  <c r="T903" i="3"/>
  <c r="X904" i="3"/>
  <c r="AA905" i="3"/>
  <c r="U866" i="3"/>
  <c r="AE866" i="3" s="1"/>
  <c r="W872" i="3"/>
  <c r="Y875" i="3"/>
  <c r="Z878" i="3"/>
  <c r="U882" i="3"/>
  <c r="AE882" i="3" s="1"/>
  <c r="W885" i="3"/>
  <c r="X888" i="3"/>
  <c r="S892" i="3"/>
  <c r="U895" i="3"/>
  <c r="AE895" i="3" s="1"/>
  <c r="Q898" i="3"/>
  <c r="AA900" i="3"/>
  <c r="Y902" i="3"/>
  <c r="T904" i="3"/>
  <c r="AB905" i="3"/>
  <c r="R907" i="3"/>
  <c r="U908" i="3"/>
  <c r="AE908" i="3" s="1"/>
  <c r="X909" i="3"/>
  <c r="AA910" i="3"/>
  <c r="Q912" i="3"/>
  <c r="T913" i="3"/>
  <c r="W914" i="3"/>
  <c r="Z915" i="3"/>
  <c r="P917" i="3"/>
  <c r="S918" i="3"/>
  <c r="V919" i="3"/>
  <c r="Y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AE940" i="3" s="1"/>
  <c r="X941" i="3"/>
  <c r="AA942" i="3"/>
  <c r="Q944" i="3"/>
  <c r="T945" i="3"/>
  <c r="W946" i="3"/>
  <c r="Z947" i="3"/>
  <c r="P949" i="3"/>
  <c r="S950" i="3"/>
  <c r="V951" i="3"/>
  <c r="Y952" i="3"/>
  <c r="AB953" i="3"/>
  <c r="R955" i="3"/>
  <c r="U956" i="3"/>
  <c r="AE956" i="3" s="1"/>
  <c r="X957" i="3"/>
  <c r="AA958" i="3"/>
  <c r="Q960" i="3"/>
  <c r="T961" i="3"/>
  <c r="W962" i="3"/>
  <c r="Z963" i="3"/>
  <c r="P965" i="3"/>
  <c r="S966" i="3"/>
  <c r="V967" i="3"/>
  <c r="Y968" i="3"/>
  <c r="AB969" i="3"/>
  <c r="R971" i="3"/>
  <c r="U972" i="3"/>
  <c r="AE972" i="3" s="1"/>
  <c r="X973" i="3"/>
  <c r="AA974" i="3"/>
  <c r="Q976" i="3"/>
  <c r="T977" i="3"/>
  <c r="W978" i="3"/>
  <c r="Z979" i="3"/>
  <c r="P981" i="3"/>
  <c r="S982" i="3"/>
  <c r="V983" i="3"/>
  <c r="Y984" i="3"/>
  <c r="AB985" i="3"/>
  <c r="R987" i="3"/>
  <c r="U988" i="3"/>
  <c r="AE988" i="3" s="1"/>
  <c r="X989" i="3"/>
  <c r="AA990" i="3"/>
  <c r="Q992" i="3"/>
  <c r="T993" i="3"/>
  <c r="W994" i="3"/>
  <c r="Z995" i="3"/>
  <c r="P997" i="3"/>
  <c r="S998" i="3"/>
  <c r="V999" i="3"/>
  <c r="Y1000" i="3"/>
  <c r="Y867" i="3"/>
  <c r="AB879" i="3"/>
  <c r="R886" i="3"/>
  <c r="AB892" i="3"/>
  <c r="AA898" i="3"/>
  <c r="Q903" i="3"/>
  <c r="S906" i="3"/>
  <c r="Y908" i="3"/>
  <c r="R911" i="3"/>
  <c r="X913" i="3"/>
  <c r="AA914" i="3"/>
  <c r="T917" i="3"/>
  <c r="Z919" i="3"/>
  <c r="S922" i="3"/>
  <c r="Y924" i="3"/>
  <c r="R927" i="3"/>
  <c r="X929" i="3"/>
  <c r="Q932" i="3"/>
  <c r="W934" i="3"/>
  <c r="Z935" i="3"/>
  <c r="S938" i="3"/>
  <c r="Y940" i="3"/>
  <c r="R943" i="3"/>
  <c r="X945" i="3"/>
  <c r="Q948" i="3"/>
  <c r="W950" i="3"/>
  <c r="P953" i="3"/>
  <c r="V955" i="3"/>
  <c r="AB957" i="3"/>
  <c r="U960" i="3"/>
  <c r="AE960" i="3" s="1"/>
  <c r="AA962" i="3"/>
  <c r="T965" i="3"/>
  <c r="Z967" i="3"/>
  <c r="S970" i="3"/>
  <c r="Y972" i="3"/>
  <c r="R975" i="3"/>
  <c r="X977" i="3"/>
  <c r="Q980" i="3"/>
  <c r="W982" i="3"/>
  <c r="P985" i="3"/>
  <c r="V987" i="3"/>
  <c r="AB989" i="3"/>
  <c r="U992" i="3"/>
  <c r="AE992" i="3" s="1"/>
  <c r="AA994" i="3"/>
  <c r="T997" i="3"/>
  <c r="Z999" i="3"/>
  <c r="Z934" i="3"/>
  <c r="P952" i="3"/>
  <c r="AB956" i="3"/>
  <c r="U959" i="3"/>
  <c r="AE959" i="3" s="1"/>
  <c r="AA961" i="3"/>
  <c r="Q963" i="3"/>
  <c r="W965" i="3"/>
  <c r="P968" i="3"/>
  <c r="Y971" i="3"/>
  <c r="R974" i="3"/>
  <c r="X976" i="3"/>
  <c r="T980" i="3"/>
  <c r="Z982" i="3"/>
  <c r="P984" i="3"/>
  <c r="Y987" i="3"/>
  <c r="R990" i="3"/>
  <c r="X992" i="3"/>
  <c r="Q995" i="3"/>
  <c r="W997" i="3"/>
  <c r="P1000" i="3"/>
  <c r="V866" i="3"/>
  <c r="X872" i="3"/>
  <c r="S876" i="3"/>
  <c r="U879" i="3"/>
  <c r="AE879" i="3" s="1"/>
  <c r="V882" i="3"/>
  <c r="Q886" i="3"/>
  <c r="S889" i="3"/>
  <c r="T892" i="3"/>
  <c r="AB895" i="3"/>
  <c r="V898" i="3"/>
  <c r="AB900" i="3"/>
  <c r="P903" i="3"/>
  <c r="U904" i="3"/>
  <c r="AE904" i="3" s="1"/>
  <c r="R906" i="3"/>
  <c r="U907" i="3"/>
  <c r="AE907" i="3" s="1"/>
  <c r="X908" i="3"/>
  <c r="AA909" i="3"/>
  <c r="Q911" i="3"/>
  <c r="T912" i="3"/>
  <c r="W913" i="3"/>
  <c r="Z914" i="3"/>
  <c r="P916" i="3"/>
  <c r="S917" i="3"/>
  <c r="V918" i="3"/>
  <c r="Y919" i="3"/>
  <c r="AB920" i="3"/>
  <c r="R922" i="3"/>
  <c r="U923" i="3"/>
  <c r="AE923" i="3" s="1"/>
  <c r="X924" i="3"/>
  <c r="AA925" i="3"/>
  <c r="Q927" i="3"/>
  <c r="T928" i="3"/>
  <c r="W929" i="3"/>
  <c r="Z930" i="3"/>
  <c r="P932" i="3"/>
  <c r="S933" i="3"/>
  <c r="V934" i="3"/>
  <c r="Y935" i="3"/>
  <c r="AB936" i="3"/>
  <c r="R938" i="3"/>
  <c r="U939" i="3"/>
  <c r="AE939" i="3" s="1"/>
  <c r="X940" i="3"/>
  <c r="AA941" i="3"/>
  <c r="Q943" i="3"/>
  <c r="T944" i="3"/>
  <c r="W945" i="3"/>
  <c r="Z946" i="3"/>
  <c r="P948" i="3"/>
  <c r="S949" i="3"/>
  <c r="V950" i="3"/>
  <c r="Y951" i="3"/>
  <c r="AB952" i="3"/>
  <c r="R954" i="3"/>
  <c r="U955" i="3"/>
  <c r="AE955" i="3" s="1"/>
  <c r="X956" i="3"/>
  <c r="AA957" i="3"/>
  <c r="Q959" i="3"/>
  <c r="T960" i="3"/>
  <c r="W961" i="3"/>
  <c r="Z962" i="3"/>
  <c r="P964" i="3"/>
  <c r="S965" i="3"/>
  <c r="V966" i="3"/>
  <c r="Y967" i="3"/>
  <c r="AB968" i="3"/>
  <c r="R970" i="3"/>
  <c r="U971" i="3"/>
  <c r="AE971" i="3" s="1"/>
  <c r="X972" i="3"/>
  <c r="AA973" i="3"/>
  <c r="Q975" i="3"/>
  <c r="T976" i="3"/>
  <c r="W977" i="3"/>
  <c r="Z978" i="3"/>
  <c r="P980" i="3"/>
  <c r="S981" i="3"/>
  <c r="V982" i="3"/>
  <c r="Y983" i="3"/>
  <c r="AB984" i="3"/>
  <c r="R986" i="3"/>
  <c r="U987" i="3"/>
  <c r="AE987" i="3" s="1"/>
  <c r="X988" i="3"/>
  <c r="AA989" i="3"/>
  <c r="Q991" i="3"/>
  <c r="T992" i="3"/>
  <c r="W993" i="3"/>
  <c r="Z994" i="3"/>
  <c r="P996" i="3"/>
  <c r="S997" i="3"/>
  <c r="V998" i="3"/>
  <c r="Y999" i="3"/>
  <c r="AB1000" i="3"/>
  <c r="S873" i="3"/>
  <c r="T876" i="3"/>
  <c r="Q883" i="3"/>
  <c r="Z889" i="3"/>
  <c r="P896" i="3"/>
  <c r="T901" i="3"/>
  <c r="Y904" i="3"/>
  <c r="V907" i="3"/>
  <c r="AB909" i="3"/>
  <c r="U912" i="3"/>
  <c r="AE912" i="3" s="1"/>
  <c r="Q916" i="3"/>
  <c r="W918" i="3"/>
  <c r="P921" i="3"/>
  <c r="V923" i="3"/>
  <c r="AB925" i="3"/>
  <c r="U928" i="3"/>
  <c r="AE928" i="3" s="1"/>
  <c r="AA930" i="3"/>
  <c r="T933" i="3"/>
  <c r="P937" i="3"/>
  <c r="V939" i="3"/>
  <c r="AB941" i="3"/>
  <c r="U944" i="3"/>
  <c r="AE944" i="3" s="1"/>
  <c r="AA946" i="3"/>
  <c r="T949" i="3"/>
  <c r="Z951" i="3"/>
  <c r="S954" i="3"/>
  <c r="Y956" i="3"/>
  <c r="R959" i="3"/>
  <c r="X961" i="3"/>
  <c r="Q964" i="3"/>
  <c r="W966" i="3"/>
  <c r="P969" i="3"/>
  <c r="V971" i="3"/>
  <c r="AB973" i="3"/>
  <c r="U976" i="3"/>
  <c r="AE976" i="3" s="1"/>
  <c r="AA978" i="3"/>
  <c r="T981" i="3"/>
  <c r="Z983" i="3"/>
  <c r="S986" i="3"/>
  <c r="Y988" i="3"/>
  <c r="R991" i="3"/>
  <c r="X993" i="3"/>
  <c r="Q996" i="3"/>
  <c r="W998" i="3"/>
  <c r="AB868" i="3"/>
  <c r="Z873" i="3"/>
  <c r="AB876" i="3"/>
  <c r="P880" i="3"/>
  <c r="X883" i="3"/>
  <c r="Z886" i="3"/>
  <c r="AA889" i="3"/>
  <c r="V893" i="3"/>
  <c r="W896" i="3"/>
  <c r="P899" i="3"/>
  <c r="W901" i="3"/>
  <c r="U903" i="3"/>
  <c r="AE903" i="3" s="1"/>
  <c r="AB904" i="3"/>
  <c r="V906" i="3"/>
  <c r="Y907" i="3"/>
  <c r="AB908" i="3"/>
  <c r="R910" i="3"/>
  <c r="U911" i="3"/>
  <c r="AE911" i="3" s="1"/>
  <c r="X912" i="3"/>
  <c r="AA913" i="3"/>
  <c r="Q915" i="3"/>
  <c r="T916" i="3"/>
  <c r="W917" i="3"/>
  <c r="Z918" i="3"/>
  <c r="P920" i="3"/>
  <c r="S921" i="3"/>
  <c r="V922" i="3"/>
  <c r="Y923" i="3"/>
  <c r="AB924" i="3"/>
  <c r="R926" i="3"/>
  <c r="U927" i="3"/>
  <c r="AE927" i="3" s="1"/>
  <c r="X928" i="3"/>
  <c r="AA929" i="3"/>
  <c r="Q931" i="3"/>
  <c r="T932" i="3"/>
  <c r="W933" i="3"/>
  <c r="P936" i="3"/>
  <c r="S937" i="3"/>
  <c r="V938" i="3"/>
  <c r="Y939" i="3"/>
  <c r="AB940" i="3"/>
  <c r="R942" i="3"/>
  <c r="U943" i="3"/>
  <c r="AE943" i="3" s="1"/>
  <c r="X944" i="3"/>
  <c r="AA945" i="3"/>
  <c r="Q947" i="3"/>
  <c r="T948" i="3"/>
  <c r="W949" i="3"/>
  <c r="Z950" i="3"/>
  <c r="S953" i="3"/>
  <c r="V954" i="3"/>
  <c r="Y955" i="3"/>
  <c r="R958" i="3"/>
  <c r="X960" i="3"/>
  <c r="T964" i="3"/>
  <c r="Z966" i="3"/>
  <c r="S969" i="3"/>
  <c r="V970" i="3"/>
  <c r="AB972" i="3"/>
  <c r="U975" i="3"/>
  <c r="AE975" i="3" s="1"/>
  <c r="AA977" i="3"/>
  <c r="Q979" i="3"/>
  <c r="W981" i="3"/>
  <c r="S985" i="3"/>
  <c r="V986" i="3"/>
  <c r="AB988" i="3"/>
  <c r="U991" i="3"/>
  <c r="AE991" i="3" s="1"/>
  <c r="AA993" i="3"/>
  <c r="T996" i="3"/>
  <c r="Z998" i="3"/>
  <c r="Q870" i="3"/>
  <c r="AA873" i="3"/>
  <c r="V877" i="3"/>
  <c r="X880" i="3"/>
  <c r="Y883" i="3"/>
  <c r="T887" i="3"/>
  <c r="V890" i="3"/>
  <c r="W893" i="3"/>
  <c r="AB896" i="3"/>
  <c r="V899" i="3"/>
  <c r="X901" i="3"/>
  <c r="Y903" i="3"/>
  <c r="P905" i="3"/>
  <c r="W906" i="3"/>
  <c r="Z907" i="3"/>
  <c r="P909" i="3"/>
  <c r="S910" i="3"/>
  <c r="V911" i="3"/>
  <c r="Y912" i="3"/>
  <c r="AB913" i="3"/>
  <c r="R915" i="3"/>
  <c r="U916" i="3"/>
  <c r="AE916" i="3" s="1"/>
  <c r="X917" i="3"/>
  <c r="AA918" i="3"/>
  <c r="Q920" i="3"/>
  <c r="T921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Y944" i="3"/>
  <c r="AB945" i="3"/>
  <c r="R947" i="3"/>
  <c r="U948" i="3"/>
  <c r="AE948" i="3" s="1"/>
  <c r="X949" i="3"/>
  <c r="AA950" i="3"/>
  <c r="Q952" i="3"/>
  <c r="T953" i="3"/>
  <c r="W954" i="3"/>
  <c r="Z955" i="3"/>
  <c r="P957" i="3"/>
  <c r="S958" i="3"/>
  <c r="V959" i="3"/>
  <c r="Y960" i="3"/>
  <c r="AB961" i="3"/>
  <c r="R963" i="3"/>
  <c r="U964" i="3"/>
  <c r="AE964" i="3" s="1"/>
  <c r="X965" i="3"/>
  <c r="AA966" i="3"/>
  <c r="Q968" i="3"/>
  <c r="T969" i="3"/>
  <c r="W970" i="3"/>
  <c r="Z971" i="3"/>
  <c r="P973" i="3"/>
  <c r="S974" i="3"/>
  <c r="V975" i="3"/>
  <c r="Y976" i="3"/>
  <c r="AB977" i="3"/>
  <c r="R979" i="3"/>
  <c r="U980" i="3"/>
  <c r="AE980" i="3" s="1"/>
  <c r="X981" i="3"/>
  <c r="AA982" i="3"/>
  <c r="Q984" i="3"/>
  <c r="T985" i="3"/>
  <c r="W986" i="3"/>
  <c r="Z987" i="3"/>
  <c r="P989" i="3"/>
  <c r="S990" i="3"/>
  <c r="V991" i="3"/>
  <c r="Y992" i="3"/>
  <c r="AB993" i="3"/>
  <c r="R995" i="3"/>
  <c r="U996" i="3"/>
  <c r="AE996" i="3" s="1"/>
  <c r="X997" i="3"/>
  <c r="AA998" i="3"/>
  <c r="Q1000" i="3"/>
  <c r="T871" i="3"/>
  <c r="P875" i="3"/>
  <c r="S881" i="3"/>
  <c r="P888" i="3"/>
  <c r="Y894" i="3"/>
  <c r="P900" i="3"/>
  <c r="P904" i="3"/>
  <c r="AA906" i="3"/>
  <c r="T909" i="3"/>
  <c r="Z911" i="3"/>
  <c r="S914" i="3"/>
  <c r="Y916" i="3"/>
  <c r="R919" i="3"/>
  <c r="X921" i="3"/>
  <c r="Q924" i="3"/>
  <c r="W926" i="3"/>
  <c r="P929" i="3"/>
  <c r="V931" i="3"/>
  <c r="AB933" i="3"/>
  <c r="U936" i="3"/>
  <c r="AE936" i="3" s="1"/>
  <c r="AA938" i="3"/>
  <c r="T941" i="3"/>
  <c r="Z943" i="3"/>
  <c r="S946" i="3"/>
  <c r="Y948" i="3"/>
  <c r="R951" i="3"/>
  <c r="X953" i="3"/>
  <c r="Q956" i="3"/>
  <c r="W958" i="3"/>
  <c r="P961" i="3"/>
  <c r="V963" i="3"/>
  <c r="AB965" i="3"/>
  <c r="U968" i="3"/>
  <c r="AE968" i="3" s="1"/>
  <c r="AA970" i="3"/>
  <c r="T973" i="3"/>
  <c r="Z975" i="3"/>
  <c r="S978" i="3"/>
  <c r="Y980" i="3"/>
  <c r="R983" i="3"/>
  <c r="X985" i="3"/>
  <c r="Q988" i="3"/>
  <c r="W990" i="3"/>
  <c r="P993" i="3"/>
  <c r="V995" i="3"/>
  <c r="AB997" i="3"/>
  <c r="U1000" i="3"/>
  <c r="AE1000" i="3" s="1"/>
  <c r="S865" i="3"/>
  <c r="U871" i="3"/>
  <c r="AE871" i="3" s="1"/>
  <c r="Q875" i="3"/>
  <c r="Y878" i="3"/>
  <c r="AA881" i="3"/>
  <c r="AB884" i="3"/>
  <c r="W888" i="3"/>
  <c r="Y891" i="3"/>
  <c r="Z894" i="3"/>
  <c r="AA897" i="3"/>
  <c r="W900" i="3"/>
  <c r="U902" i="3"/>
  <c r="AE902" i="3" s="1"/>
  <c r="Q904" i="3"/>
  <c r="X905" i="3"/>
  <c r="Q907" i="3"/>
  <c r="T908" i="3"/>
  <c r="W909" i="3"/>
  <c r="Z910" i="3"/>
  <c r="P912" i="3"/>
  <c r="S913" i="3"/>
  <c r="V914" i="3"/>
  <c r="Y915" i="3"/>
  <c r="AB916" i="3"/>
  <c r="R918" i="3"/>
  <c r="U919" i="3"/>
  <c r="AE919" i="3" s="1"/>
  <c r="X920" i="3"/>
  <c r="AA921" i="3"/>
  <c r="Q923" i="3"/>
  <c r="T924" i="3"/>
  <c r="W925" i="3"/>
  <c r="Z926" i="3"/>
  <c r="P928" i="3"/>
  <c r="S929" i="3"/>
  <c r="V930" i="3"/>
  <c r="Y931" i="3"/>
  <c r="AB932" i="3"/>
  <c r="R934" i="3"/>
  <c r="U935" i="3"/>
  <c r="AE935" i="3" s="1"/>
  <c r="X936" i="3"/>
  <c r="AA937" i="3"/>
  <c r="T940" i="3"/>
  <c r="W941" i="3"/>
  <c r="Z942" i="3"/>
  <c r="P944" i="3"/>
  <c r="S945" i="3"/>
  <c r="V946" i="3"/>
  <c r="Y947" i="3"/>
  <c r="AB948" i="3"/>
  <c r="R950" i="3"/>
  <c r="U951" i="3"/>
  <c r="AE951" i="3" s="1"/>
  <c r="X952" i="3"/>
  <c r="AA953" i="3"/>
  <c r="T956" i="3"/>
  <c r="W957" i="3"/>
  <c r="Z958" i="3"/>
  <c r="S961" i="3"/>
  <c r="AB964" i="3"/>
  <c r="U967" i="3"/>
  <c r="AE967" i="3" s="1"/>
  <c r="X968" i="3"/>
  <c r="T972" i="3"/>
  <c r="Z974" i="3"/>
  <c r="S977" i="3"/>
  <c r="V978" i="3"/>
  <c r="R982" i="3"/>
  <c r="X984" i="3"/>
  <c r="Q987" i="3"/>
  <c r="Z990" i="3"/>
  <c r="S993" i="3"/>
  <c r="V994" i="3"/>
  <c r="R998" i="3"/>
  <c r="X1000" i="3"/>
  <c r="R870" i="3"/>
  <c r="V874" i="3"/>
  <c r="W877" i="3"/>
  <c r="R881" i="3"/>
  <c r="T884" i="3"/>
  <c r="U887" i="3"/>
  <c r="AE887" i="3" s="1"/>
  <c r="P891" i="3"/>
  <c r="R894" i="3"/>
  <c r="P897" i="3"/>
  <c r="AB899" i="3"/>
  <c r="P902" i="3"/>
  <c r="Z903" i="3"/>
  <c r="T905" i="3"/>
  <c r="Z906" i="3"/>
  <c r="P908" i="3"/>
  <c r="S909" i="3"/>
  <c r="V910" i="3"/>
  <c r="Y911" i="3"/>
  <c r="AB912" i="3"/>
  <c r="R914" i="3"/>
  <c r="U915" i="3"/>
  <c r="AE915" i="3" s="1"/>
  <c r="X916" i="3"/>
  <c r="AA917" i="3"/>
  <c r="Q919" i="3"/>
  <c r="T920" i="3"/>
  <c r="W921" i="3"/>
  <c r="Z922" i="3"/>
  <c r="P924" i="3"/>
  <c r="S925" i="3"/>
  <c r="V926" i="3"/>
  <c r="Y927" i="3"/>
  <c r="AB928" i="3"/>
  <c r="R930" i="3"/>
  <c r="U931" i="3"/>
  <c r="AE931" i="3" s="1"/>
  <c r="X932" i="3"/>
  <c r="AA933" i="3"/>
  <c r="Q935" i="3"/>
  <c r="T936" i="3"/>
  <c r="W937" i="3"/>
  <c r="Z938" i="3"/>
  <c r="P940" i="3"/>
  <c r="S941" i="3"/>
  <c r="V942" i="3"/>
  <c r="Y943" i="3"/>
  <c r="AB944" i="3"/>
  <c r="R946" i="3"/>
  <c r="U947" i="3"/>
  <c r="AE947" i="3" s="1"/>
  <c r="X948" i="3"/>
  <c r="AA949" i="3"/>
  <c r="Q951" i="3"/>
  <c r="T952" i="3"/>
  <c r="W953" i="3"/>
  <c r="Z954" i="3"/>
  <c r="P956" i="3"/>
  <c r="S957" i="3"/>
  <c r="V958" i="3"/>
  <c r="Y959" i="3"/>
  <c r="AB960" i="3"/>
  <c r="R962" i="3"/>
  <c r="U963" i="3"/>
  <c r="AE963" i="3" s="1"/>
  <c r="X964" i="3"/>
  <c r="AA965" i="3"/>
  <c r="Q967" i="3"/>
  <c r="T968" i="3"/>
  <c r="W969" i="3"/>
  <c r="Z970" i="3"/>
  <c r="P972" i="3"/>
  <c r="S973" i="3"/>
  <c r="V974" i="3"/>
  <c r="Y975" i="3"/>
  <c r="AB976" i="3"/>
  <c r="R978" i="3"/>
  <c r="U979" i="3"/>
  <c r="AE979" i="3" s="1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AE995" i="3" s="1"/>
  <c r="X996" i="3"/>
  <c r="AA997" i="3"/>
  <c r="Q999" i="3"/>
  <c r="T1000" i="3"/>
  <c r="V845" i="3"/>
  <c r="R878" i="3"/>
  <c r="AA884" i="3"/>
  <c r="Q891" i="3"/>
  <c r="W897" i="3"/>
  <c r="S902" i="3"/>
  <c r="W905" i="3"/>
  <c r="Q908" i="3"/>
  <c r="W910" i="3"/>
  <c r="P913" i="3"/>
  <c r="V915" i="3"/>
  <c r="AB917" i="3"/>
  <c r="U920" i="3"/>
  <c r="AE920" i="3" s="1"/>
  <c r="AA922" i="3"/>
  <c r="T925" i="3"/>
  <c r="Z927" i="3"/>
  <c r="S930" i="3"/>
  <c r="Y932" i="3"/>
  <c r="R935" i="3"/>
  <c r="X937" i="3"/>
  <c r="Q940" i="3"/>
  <c r="W942" i="3"/>
  <c r="P945" i="3"/>
  <c r="V947" i="3"/>
  <c r="AB949" i="3"/>
  <c r="U952" i="3"/>
  <c r="AE952" i="3" s="1"/>
  <c r="AA954" i="3"/>
  <c r="T957" i="3"/>
  <c r="Z959" i="3"/>
  <c r="S962" i="3"/>
  <c r="Y964" i="3"/>
  <c r="R967" i="3"/>
  <c r="X969" i="3"/>
  <c r="Q972" i="3"/>
  <c r="W974" i="3"/>
  <c r="P977" i="3"/>
  <c r="V979" i="3"/>
  <c r="AB981" i="3"/>
  <c r="U984" i="3"/>
  <c r="AE984" i="3" s="1"/>
  <c r="AA986" i="3"/>
  <c r="T989" i="3"/>
  <c r="Z991" i="3"/>
  <c r="S994" i="3"/>
  <c r="Y996" i="3"/>
  <c r="R999" i="3"/>
  <c r="Q939" i="3"/>
  <c r="Q955" i="3"/>
  <c r="P960" i="3"/>
  <c r="V962" i="3"/>
  <c r="Y963" i="3"/>
  <c r="R966" i="3"/>
  <c r="AA969" i="3"/>
  <c r="Q971" i="3"/>
  <c r="W973" i="3"/>
  <c r="P976" i="3"/>
  <c r="Y979" i="3"/>
  <c r="AB980" i="3"/>
  <c r="U983" i="3"/>
  <c r="AE983" i="3" s="1"/>
  <c r="AA985" i="3"/>
  <c r="T988" i="3"/>
  <c r="W989" i="3"/>
  <c r="P992" i="3"/>
  <c r="Y995" i="3"/>
  <c r="AB996" i="3"/>
  <c r="U999" i="3"/>
  <c r="AE999" i="3" s="1"/>
  <c r="AE16" i="3"/>
  <c r="AE40" i="3"/>
  <c r="AE48" i="3"/>
  <c r="AE26" i="3"/>
  <c r="AE42" i="3"/>
  <c r="AE50" i="3"/>
  <c r="AE39" i="3"/>
  <c r="AE47" i="3"/>
  <c r="AE12" i="3"/>
  <c r="AE20" i="3"/>
  <c r="AE36" i="3"/>
  <c r="AE22" i="3"/>
  <c r="AE30" i="3"/>
  <c r="R17" i="1"/>
  <c r="AE11" i="3"/>
  <c r="AE57" i="3"/>
  <c r="AE58" i="3"/>
  <c r="AE66" i="3"/>
  <c r="AE82" i="3"/>
  <c r="AE90" i="3"/>
  <c r="AE49" i="3"/>
  <c r="AE71" i="3"/>
  <c r="AE95" i="3"/>
  <c r="AE13" i="3"/>
  <c r="AE43" i="3"/>
  <c r="AE62" i="3"/>
  <c r="AE17" i="3"/>
  <c r="AE135" i="3"/>
  <c r="AE33" i="3"/>
  <c r="AE97" i="3"/>
  <c r="AE101" i="3"/>
  <c r="AE115" i="3"/>
  <c r="AE76" i="3"/>
  <c r="AE88" i="3"/>
  <c r="AE126" i="3"/>
  <c r="AE77" i="3"/>
  <c r="AE61" i="3"/>
  <c r="AE120" i="3"/>
  <c r="AE125" i="3"/>
  <c r="AE132" i="3"/>
  <c r="AE136" i="3"/>
  <c r="AE174" i="3"/>
  <c r="AE190" i="3"/>
  <c r="AE109" i="3"/>
  <c r="AE133" i="3"/>
  <c r="AE160" i="3"/>
  <c r="AE184" i="3"/>
  <c r="AE173" i="3"/>
  <c r="AE181" i="3"/>
  <c r="AE189" i="3"/>
  <c r="AE85" i="3"/>
  <c r="AE100" i="3"/>
  <c r="AE134" i="3"/>
  <c r="AE178" i="3"/>
  <c r="AE105" i="3"/>
  <c r="AE127" i="3"/>
  <c r="AE112" i="3"/>
  <c r="AE139" i="3"/>
  <c r="AE156" i="3"/>
  <c r="AE99" i="3"/>
  <c r="AE180" i="3"/>
  <c r="AE201" i="3"/>
  <c r="AE202" i="3"/>
  <c r="AE172" i="3"/>
  <c r="AE240" i="3"/>
  <c r="AE248" i="3"/>
  <c r="AE280" i="3"/>
  <c r="AE140" i="3"/>
  <c r="AE161" i="3"/>
  <c r="AE208" i="3"/>
  <c r="AE237" i="3"/>
  <c r="AE269" i="3"/>
  <c r="AE169" i="3"/>
  <c r="AE148" i="3"/>
  <c r="AE236" i="3"/>
  <c r="AE197" i="3"/>
  <c r="AE199" i="3"/>
  <c r="AE215" i="3"/>
  <c r="AE222" i="3"/>
  <c r="AE300" i="3"/>
  <c r="AE332" i="3"/>
  <c r="AE329" i="3"/>
  <c r="AE233" i="3"/>
  <c r="AE265" i="3"/>
  <c r="AE268" i="3"/>
  <c r="AE318" i="3"/>
  <c r="AE277" i="3"/>
  <c r="AE288" i="3"/>
  <c r="AE304" i="3"/>
  <c r="AE301" i="3"/>
  <c r="AE279" i="3"/>
  <c r="AE328" i="3"/>
  <c r="AE417" i="3"/>
  <c r="AE325" i="3"/>
  <c r="AE343" i="3"/>
  <c r="AE361" i="3"/>
  <c r="AE414" i="3"/>
  <c r="AE344" i="3"/>
  <c r="AE379" i="3"/>
  <c r="AE387" i="3"/>
  <c r="AE400" i="3"/>
  <c r="AE336" i="3"/>
  <c r="AE365" i="3"/>
  <c r="AE303" i="3"/>
  <c r="AE370" i="3"/>
  <c r="AE342" i="3"/>
  <c r="AE364" i="3"/>
  <c r="AE426" i="3"/>
  <c r="AE429" i="3"/>
  <c r="AE436" i="3"/>
  <c r="AE447" i="3"/>
  <c r="AE479" i="3"/>
  <c r="AE413" i="3"/>
  <c r="AE432" i="3"/>
  <c r="AE449" i="3"/>
  <c r="AE405" i="3"/>
  <c r="AE475" i="3"/>
  <c r="AE517" i="3"/>
  <c r="AE545" i="3"/>
  <c r="AE481" i="3"/>
  <c r="AE534" i="3"/>
  <c r="AE630" i="3"/>
  <c r="AE566" i="3"/>
  <c r="AE577" i="3"/>
  <c r="AE613" i="3"/>
  <c r="AE618" i="3"/>
  <c r="AE641" i="3"/>
  <c r="AE18" i="3"/>
  <c r="AE55" i="3"/>
  <c r="AE44" i="3"/>
  <c r="AE51" i="3"/>
  <c r="AE70" i="3"/>
  <c r="AE78" i="3"/>
  <c r="AE114" i="3"/>
  <c r="AE63" i="3"/>
  <c r="AE111" i="3"/>
  <c r="AE121" i="3"/>
  <c r="AE67" i="3"/>
  <c r="AE84" i="3"/>
  <c r="AE96" i="3"/>
  <c r="AE282" i="3"/>
  <c r="AE192" i="3"/>
  <c r="AE200" i="3"/>
  <c r="AE219" i="3"/>
  <c r="AE353" i="3"/>
  <c r="AE312" i="3"/>
  <c r="AE373" i="3"/>
  <c r="AE27" i="3"/>
  <c r="AE9" i="3"/>
  <c r="AE69" i="3"/>
  <c r="AE87" i="3"/>
  <c r="AE64" i="3"/>
  <c r="AE128" i="3"/>
  <c r="AE138" i="3"/>
  <c r="AE168" i="3"/>
  <c r="AE289" i="3"/>
  <c r="AE32" i="3"/>
  <c r="AE79" i="3"/>
  <c r="AE98" i="3"/>
  <c r="AE46" i="3"/>
  <c r="W4" i="3" l="1"/>
  <c r="V4" i="3" s="1"/>
  <c r="D14" i="1" s="1"/>
  <c r="W3" i="3"/>
  <c r="V3" i="3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I8" i="3" s="1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I695" i="3" s="1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I321" i="3" s="1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152" i="3" l="1"/>
  <c r="AI911" i="3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R234" i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56" i="1"/>
  <c r="Z156" i="1" s="1"/>
  <c r="S174" i="1"/>
  <c r="Z174" i="1" s="1"/>
  <c r="S170" i="1"/>
  <c r="Z170" i="1" s="1"/>
  <c r="S35" i="1"/>
  <c r="Z35" i="1" s="1"/>
  <c r="S98" i="1"/>
  <c r="Z98" i="1" s="1"/>
  <c r="S92" i="1"/>
  <c r="Z92" i="1" s="1"/>
  <c r="S155" i="1"/>
  <c r="Z155" i="1" s="1"/>
  <c r="S298" i="1"/>
  <c r="Z298" i="1" s="1"/>
  <c r="S234" i="1"/>
  <c r="Z234" i="1" s="1"/>
  <c r="S227" i="1"/>
  <c r="Z227" i="1" s="1"/>
  <c r="S163" i="1"/>
  <c r="Z163" i="1" s="1"/>
  <c r="S355" i="1"/>
  <c r="Z355" i="1" s="1"/>
  <c r="S49" i="1"/>
  <c r="Z49" i="1" s="1"/>
  <c r="S34" i="1"/>
  <c r="Z34" i="1" s="1"/>
  <c r="S226" i="1"/>
  <c r="Z226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<sst xmlns="http://schemas.openxmlformats.org/spreadsheetml/2006/main" count="446" uniqueCount="260">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</sst>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29.597110408477437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-6.7264015176230121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48.161938984353419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100.9699986892457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3.3043336950949063</c:v>
                </c:pt>
                <c:pt idx="1">
                  <c:v>142.43643074151365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0.5623036837935369</c:v>
                </c:pt>
                <c:pt idx="1">
                  <c:v>24.238632384873512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2.8421709430404007E-14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116.01886383068424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3.8666373788884432</c:v>
                </c:pt>
                <c:pt idx="16">
                  <c:v>4.0102036391253124</c:v>
                </c:pt>
                <c:pt idx="17">
                  <c:v>4.1614205874757308</c:v>
                </c:pt>
                <c:pt idx="18">
                  <c:v>4.3189088820460464</c:v>
                </c:pt>
                <c:pt idx="19">
                  <c:v>4.4800193059091722</c:v>
                </c:pt>
                <c:pt idx="20">
                  <c:v>4.6400686892889738</c:v>
                </c:pt>
                <c:pt idx="21">
                  <c:v>4.8095702535855933</c:v>
                </c:pt>
                <c:pt idx="22">
                  <c:v>4.9843251250126812</c:v>
                </c:pt>
                <c:pt idx="23">
                  <c:v>5.1692261219303113</c:v>
                </c:pt>
                <c:pt idx="24">
                  <c:v>5.3839475791064828</c:v>
                </c:pt>
                <c:pt idx="25">
                  <c:v>5.5966338565090243</c:v>
                </c:pt>
                <c:pt idx="26">
                  <c:v>5.8116171755158437</c:v>
                </c:pt>
                <c:pt idx="27">
                  <c:v>6.0195777369508452</c:v>
                </c:pt>
                <c:pt idx="28">
                  <c:v>6.2448468998532594</c:v>
                </c:pt>
                <c:pt idx="29">
                  <c:v>6.4862294627576258</c:v>
                </c:pt>
                <c:pt idx="30">
                  <c:v>6.7431050225386979</c:v>
                </c:pt>
                <c:pt idx="31">
                  <c:v>6.9924793621885799</c:v>
                </c:pt>
                <c:pt idx="32">
                  <c:v>7.2399707009456264</c:v>
                </c:pt>
                <c:pt idx="33">
                  <c:v>7.4915892161772151</c:v>
                </c:pt>
                <c:pt idx="34">
                  <c:v>7.7709695717637448</c:v>
                </c:pt>
                <c:pt idx="35">
                  <c:v>8.0583986598063468</c:v>
                </c:pt>
                <c:pt idx="36">
                  <c:v>8.3398296703812349</c:v>
                </c:pt>
                <c:pt idx="37">
                  <c:v>8.6630620973283747</c:v>
                </c:pt>
                <c:pt idx="38">
                  <c:v>9.0055056994487561</c:v>
                </c:pt>
                <c:pt idx="39">
                  <c:v>9.3694348006187589</c:v>
                </c:pt>
                <c:pt idx="40">
                  <c:v>9.7394427841398041</c:v>
                </c:pt>
                <c:pt idx="41">
                  <c:v>10.114507787591418</c:v>
                </c:pt>
                <c:pt idx="42">
                  <c:v>10.497121515181139</c:v>
                </c:pt>
                <c:pt idx="43">
                  <c:v>10.88462587337828</c:v>
                </c:pt>
                <c:pt idx="44">
                  <c:v>11.298491625097355</c:v>
                </c:pt>
                <c:pt idx="45">
                  <c:v>11.758949290237279</c:v>
                </c:pt>
                <c:pt idx="46">
                  <c:v>12.245946147141648</c:v>
                </c:pt>
                <c:pt idx="47">
                  <c:v>12.774155332741131</c:v>
                </c:pt>
                <c:pt idx="48">
                  <c:v>13.308244052277978</c:v>
                </c:pt>
                <c:pt idx="49">
                  <c:v>13.859243294715498</c:v>
                </c:pt>
                <c:pt idx="50">
                  <c:v>14.407845859932269</c:v>
                </c:pt>
                <c:pt idx="51">
                  <c:v>14.997772982345406</c:v>
                </c:pt>
                <c:pt idx="52">
                  <c:v>15.61199802220581</c:v>
                </c:pt>
                <c:pt idx="53">
                  <c:v>16.220387766751006</c:v>
                </c:pt>
                <c:pt idx="54">
                  <c:v>16.881853305863032</c:v>
                </c:pt>
                <c:pt idx="55">
                  <c:v>17.616052629470531</c:v>
                </c:pt>
                <c:pt idx="56">
                  <c:v>18.412608631070526</c:v>
                </c:pt>
                <c:pt idx="57">
                  <c:v>19.190351836277564</c:v>
                </c:pt>
                <c:pt idx="58">
                  <c:v>19.959296858414518</c:v>
                </c:pt>
                <c:pt idx="59">
                  <c:v>20.815896924880469</c:v>
                </c:pt>
                <c:pt idx="60">
                  <c:v>21.680047368939114</c:v>
                </c:pt>
                <c:pt idx="61">
                  <c:v>22.557348063941664</c:v>
                </c:pt>
                <c:pt idx="62">
                  <c:v>23.480900190625068</c:v>
                </c:pt>
                <c:pt idx="63">
                  <c:v>24.438963874116244</c:v>
                </c:pt>
                <c:pt idx="64">
                  <c:v>25.408749334702904</c:v>
                </c:pt>
                <c:pt idx="65">
                  <c:v>26.398224722514076</c:v>
                </c:pt>
                <c:pt idx="66">
                  <c:v>27.44320604035417</c:v>
                </c:pt>
                <c:pt idx="67">
                  <c:v>28.507605021384443</c:v>
                </c:pt>
                <c:pt idx="68">
                  <c:v>29.654326792912713</c:v>
                </c:pt>
                <c:pt idx="69">
                  <c:v>30.843139064333116</c:v>
                </c:pt>
                <c:pt idx="70">
                  <c:v>32.018624453040033</c:v>
                </c:pt>
                <c:pt idx="71">
                  <c:v>33.374022367991536</c:v>
                </c:pt>
                <c:pt idx="72">
                  <c:v>34.795822912438886</c:v>
                </c:pt>
                <c:pt idx="73">
                  <c:v>36.148182522117779</c:v>
                </c:pt>
                <c:pt idx="74">
                  <c:v>37.590047719093619</c:v>
                </c:pt>
                <c:pt idx="75">
                  <c:v>39.029823160863188</c:v>
                </c:pt>
                <c:pt idx="76">
                  <c:v>40.544455451434345</c:v>
                </c:pt>
                <c:pt idx="77">
                  <c:v>42.199035710036462</c:v>
                </c:pt>
                <c:pt idx="78">
                  <c:v>43.868205823586585</c:v>
                </c:pt>
                <c:pt idx="79">
                  <c:v>45.47755749771953</c:v>
                </c:pt>
                <c:pt idx="80">
                  <c:v>47.157887605562522</c:v>
                </c:pt>
                <c:pt idx="81">
                  <c:v>48.897816146579977</c:v>
                </c:pt>
                <c:pt idx="82">
                  <c:v>50.815469775055618</c:v>
                </c:pt>
                <c:pt idx="83">
                  <c:v>52.74960780329684</c:v>
                </c:pt>
                <c:pt idx="84">
                  <c:v>54.627352592927508</c:v>
                </c:pt>
                <c:pt idx="85">
                  <c:v>56.509290819003013</c:v>
                </c:pt>
                <c:pt idx="86">
                  <c:v>58.474661994159504</c:v>
                </c:pt>
                <c:pt idx="87">
                  <c:v>60.532250496719413</c:v>
                </c:pt>
                <c:pt idx="88">
                  <c:v>62.653127647335126</c:v>
                </c:pt>
                <c:pt idx="89">
                  <c:v>64.815974218021509</c:v>
                </c:pt>
                <c:pt idx="90">
                  <c:v>67.084805796525757</c:v>
                </c:pt>
                <c:pt idx="91">
                  <c:v>69.326109979413644</c:v>
                </c:pt>
                <c:pt idx="92">
                  <c:v>71.589496782741918</c:v>
                </c:pt>
                <c:pt idx="93">
                  <c:v>73.967283845095949</c:v>
                </c:pt>
                <c:pt idx="94">
                  <c:v>76.344575732205357</c:v>
                </c:pt>
                <c:pt idx="95">
                  <c:v>78.59445409121291</c:v>
                </c:pt>
                <c:pt idx="96">
                  <c:v>81.090412553219991</c:v>
                </c:pt>
                <c:pt idx="97">
                  <c:v>83.726695488602218</c:v>
                </c:pt>
                <c:pt idx="98">
                  <c:v>86.232280478021892</c:v>
                </c:pt>
                <c:pt idx="99">
                  <c:v>88.708434072348354</c:v>
                </c:pt>
                <c:pt idx="100">
                  <c:v>91.18096405773953</c:v>
                </c:pt>
                <c:pt idx="101">
                  <c:v>93.628911491640707</c:v>
                </c:pt>
                <c:pt idx="102">
                  <c:v>96.072783243394966</c:v>
                </c:pt>
                <c:pt idx="103">
                  <c:v>98.631957796168848</c:v>
                </c:pt>
                <c:pt idx="104">
                  <c:v>101.26282236902043</c:v>
                </c:pt>
                <c:pt idx="105">
                  <c:v>103.97627323860172</c:v>
                </c:pt>
                <c:pt idx="106">
                  <c:v>106.70646958328865</c:v>
                </c:pt>
                <c:pt idx="107">
                  <c:v>109.34752621129508</c:v>
                </c:pt>
                <c:pt idx="108">
                  <c:v>111.82636137736741</c:v>
                </c:pt>
                <c:pt idx="109">
                  <c:v>114.26704430321675</c:v>
                </c:pt>
                <c:pt idx="110">
                  <c:v>116.92981662865857</c:v>
                </c:pt>
                <c:pt idx="111">
                  <c:v>119.3043813696395</c:v>
                </c:pt>
                <c:pt idx="112">
                  <c:v>121.72849239463989</c:v>
                </c:pt>
                <c:pt idx="113">
                  <c:v>124.13033608431329</c:v>
                </c:pt>
                <c:pt idx="114">
                  <c:v>126.5561069102355</c:v>
                </c:pt>
                <c:pt idx="115">
                  <c:v>128.9697603259994</c:v>
                </c:pt>
                <c:pt idx="116">
                  <c:v>131.34142454752623</c:v>
                </c:pt>
                <c:pt idx="117">
                  <c:v>133.76715156977994</c:v>
                </c:pt>
                <c:pt idx="118">
                  <c:v>136.22410702175316</c:v>
                </c:pt>
                <c:pt idx="119">
                  <c:v>138.43002613974807</c:v>
                </c:pt>
                <c:pt idx="120">
                  <c:v>140.53301500586326</c:v>
                </c:pt>
                <c:pt idx="121">
                  <c:v>142.54765713283558</c:v>
                </c:pt>
                <c:pt idx="122">
                  <c:v>144.59989735900632</c:v>
                </c:pt>
                <c:pt idx="123">
                  <c:v>146.75367351091421</c:v>
                </c:pt>
                <c:pt idx="124">
                  <c:v>148.91344444751761</c:v>
                </c:pt>
                <c:pt idx="125">
                  <c:v>150.95612648383133</c:v>
                </c:pt>
                <c:pt idx="126">
                  <c:v>152.91393220342098</c:v>
                </c:pt>
                <c:pt idx="127">
                  <c:v>154.8313298767626</c:v>
                </c:pt>
                <c:pt idx="128">
                  <c:v>156.66956213471141</c:v>
                </c:pt>
                <c:pt idx="129">
                  <c:v>158.43011133873944</c:v>
                </c:pt>
                <c:pt idx="130">
                  <c:v>160.22044453203327</c:v>
                </c:pt>
                <c:pt idx="131">
                  <c:v>161.90262813468598</c:v>
                </c:pt>
                <c:pt idx="132">
                  <c:v>163.54100145944696</c:v>
                </c:pt>
                <c:pt idx="133">
                  <c:v>165.13650080178166</c:v>
                </c:pt>
                <c:pt idx="134">
                  <c:v>166.67506312638716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33.659122933024122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33.186372526293809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34.124503229927761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50.209393348025401</c:v>
                </c:pt>
                <c:pt idx="2">
                  <c:v>50.412977147597637</c:v>
                </c:pt>
                <c:pt idx="3">
                  <c:v>50.597508444811375</c:v>
                </c:pt>
                <c:pt idx="4">
                  <c:v>50.791495597367991</c:v>
                </c:pt>
                <c:pt idx="5">
                  <c:v>50.953087377871732</c:v>
                </c:pt>
                <c:pt idx="6">
                  <c:v>51.112734459363949</c:v>
                </c:pt>
                <c:pt idx="7">
                  <c:v>51.266160129579937</c:v>
                </c:pt>
                <c:pt idx="8">
                  <c:v>51.410111506457923</c:v>
                </c:pt>
                <c:pt idx="9">
                  <c:v>51.569462261553589</c:v>
                </c:pt>
                <c:pt idx="10">
                  <c:v>51.723866530424594</c:v>
                </c:pt>
                <c:pt idx="11">
                  <c:v>51.894546931319546</c:v>
                </c:pt>
                <c:pt idx="12">
                  <c:v>52.06793488134668</c:v>
                </c:pt>
                <c:pt idx="13">
                  <c:v>52.236980505909976</c:v>
                </c:pt>
                <c:pt idx="14">
                  <c:v>52.405194433535833</c:v>
                </c:pt>
                <c:pt idx="15">
                  <c:v>52.591340377871816</c:v>
                </c:pt>
                <c:pt idx="16">
                  <c:v>52.627102403143333</c:v>
                </c:pt>
                <c:pt idx="17">
                  <c:v>52.663443281678802</c:v>
                </c:pt>
                <c:pt idx="18">
                  <c:v>52.698560012867766</c:v>
                </c:pt>
                <c:pt idx="19">
                  <c:v>52.731224746798922</c:v>
                </c:pt>
                <c:pt idx="20">
                  <c:v>52.758240723250765</c:v>
                </c:pt>
                <c:pt idx="21">
                  <c:v>52.786497981367049</c:v>
                </c:pt>
                <c:pt idx="22">
                  <c:v>52.810943865943152</c:v>
                </c:pt>
                <c:pt idx="23">
                  <c:v>52.832954038309794</c:v>
                </c:pt>
                <c:pt idx="24">
                  <c:v>52.857749581786564</c:v>
                </c:pt>
                <c:pt idx="25">
                  <c:v>52.871410517486595</c:v>
                </c:pt>
                <c:pt idx="26">
                  <c:v>52.879003884726622</c:v>
                </c:pt>
                <c:pt idx="27">
                  <c:v>52.876823087092149</c:v>
                </c:pt>
                <c:pt idx="28">
                  <c:v>52.868428438924852</c:v>
                </c:pt>
                <c:pt idx="29">
                  <c:v>52.852311841400009</c:v>
                </c:pt>
                <c:pt idx="30">
                  <c:v>52.829102970781548</c:v>
                </c:pt>
                <c:pt idx="31">
                  <c:v>52.795840434845907</c:v>
                </c:pt>
                <c:pt idx="32">
                  <c:v>52.755910850019752</c:v>
                </c:pt>
                <c:pt idx="33">
                  <c:v>52.710244625904203</c:v>
                </c:pt>
                <c:pt idx="34">
                  <c:v>52.655280463785012</c:v>
                </c:pt>
                <c:pt idx="35">
                  <c:v>52.593719992030906</c:v>
                </c:pt>
                <c:pt idx="36">
                  <c:v>52.524098212183944</c:v>
                </c:pt>
                <c:pt idx="37">
                  <c:v>52.440136476413372</c:v>
                </c:pt>
                <c:pt idx="38">
                  <c:v>52.343260612017062</c:v>
                </c:pt>
                <c:pt idx="39">
                  <c:v>52.236903449673761</c:v>
                </c:pt>
                <c:pt idx="40">
                  <c:v>52.119865346872999</c:v>
                </c:pt>
                <c:pt idx="41">
                  <c:v>51.990169678776638</c:v>
                </c:pt>
                <c:pt idx="42">
                  <c:v>51.852985778061722</c:v>
                </c:pt>
                <c:pt idx="43">
                  <c:v>51.704381494693372</c:v>
                </c:pt>
                <c:pt idx="44">
                  <c:v>51.540215120856274</c:v>
                </c:pt>
                <c:pt idx="45">
                  <c:v>51.352306648650028</c:v>
                </c:pt>
                <c:pt idx="46">
                  <c:v>51.142954425161314</c:v>
                </c:pt>
                <c:pt idx="47">
                  <c:v>50.907659501350693</c:v>
                </c:pt>
                <c:pt idx="48">
                  <c:v>50.656344711400507</c:v>
                </c:pt>
                <c:pt idx="49">
                  <c:v>50.387829677454114</c:v>
                </c:pt>
                <c:pt idx="50">
                  <c:v>50.110436031228204</c:v>
                </c:pt>
                <c:pt idx="51">
                  <c:v>49.804531071744499</c:v>
                </c:pt>
                <c:pt idx="52">
                  <c:v>49.482680741434166</c:v>
                </c:pt>
                <c:pt idx="53">
                  <c:v>49.147891010522642</c:v>
                </c:pt>
                <c:pt idx="54">
                  <c:v>48.775238573550254</c:v>
                </c:pt>
                <c:pt idx="55">
                  <c:v>48.352235789143975</c:v>
                </c:pt>
                <c:pt idx="56">
                  <c:v>47.885707964809811</c:v>
                </c:pt>
                <c:pt idx="57">
                  <c:v>47.419147044494579</c:v>
                </c:pt>
                <c:pt idx="58">
                  <c:v>46.942931764579562</c:v>
                </c:pt>
                <c:pt idx="59">
                  <c:v>46.406970786539425</c:v>
                </c:pt>
                <c:pt idx="60">
                  <c:v>45.856127158759826</c:v>
                </c:pt>
                <c:pt idx="61">
                  <c:v>45.290323263618831</c:v>
                </c:pt>
                <c:pt idx="62">
                  <c:v>44.688615360943565</c:v>
                </c:pt>
                <c:pt idx="63">
                  <c:v>44.055935378444381</c:v>
                </c:pt>
                <c:pt idx="64">
                  <c:v>43.41951497993702</c:v>
                </c:pt>
                <c:pt idx="65">
                  <c:v>42.76477770760772</c:v>
                </c:pt>
                <c:pt idx="66">
                  <c:v>42.067362491206666</c:v>
                </c:pt>
                <c:pt idx="67">
                  <c:v>41.345048521776356</c:v>
                </c:pt>
                <c:pt idx="68">
                  <c:v>40.550595264706757</c:v>
                </c:pt>
                <c:pt idx="69">
                  <c:v>39.710978371804288</c:v>
                </c:pt>
                <c:pt idx="70">
                  <c:v>38.861192499154676</c:v>
                </c:pt>
                <c:pt idx="71">
                  <c:v>37.879452369761012</c:v>
                </c:pt>
                <c:pt idx="72">
                  <c:v>36.850456143767026</c:v>
                </c:pt>
                <c:pt idx="73">
                  <c:v>35.847696909882096</c:v>
                </c:pt>
                <c:pt idx="74">
                  <c:v>34.779186296690519</c:v>
                </c:pt>
                <c:pt idx="75">
                  <c:v>33.694184384559286</c:v>
                </c:pt>
                <c:pt idx="76">
                  <c:v>32.538785865475496</c:v>
                </c:pt>
                <c:pt idx="77">
                  <c:v>31.273650631854224</c:v>
                </c:pt>
                <c:pt idx="78">
                  <c:v>63.64980715744889</c:v>
                </c:pt>
                <c:pt idx="79">
                  <c:v>62.399356944806179</c:v>
                </c:pt>
                <c:pt idx="80">
                  <c:v>61.086168986146802</c:v>
                </c:pt>
                <c:pt idx="81">
                  <c:v>59.709761460245382</c:v>
                </c:pt>
                <c:pt idx="82">
                  <c:v>58.187650005066118</c:v>
                </c:pt>
                <c:pt idx="83">
                  <c:v>56.647648363919544</c:v>
                </c:pt>
                <c:pt idx="84">
                  <c:v>55.133439629481636</c:v>
                </c:pt>
                <c:pt idx="85">
                  <c:v>53.615394384766667</c:v>
                </c:pt>
                <c:pt idx="86">
                  <c:v>52.031105715473394</c:v>
                </c:pt>
                <c:pt idx="87">
                  <c:v>50.377184877327416</c:v>
                </c:pt>
                <c:pt idx="88">
                  <c:v>48.661899893396615</c:v>
                </c:pt>
                <c:pt idx="89">
                  <c:v>46.89870136343152</c:v>
                </c:pt>
                <c:pt idx="90">
                  <c:v>45.0411136244876</c:v>
                </c:pt>
                <c:pt idx="91">
                  <c:v>43.189074017788691</c:v>
                </c:pt>
                <c:pt idx="92">
                  <c:v>41.304842745113966</c:v>
                </c:pt>
                <c:pt idx="93">
                  <c:v>39.341650555412983</c:v>
                </c:pt>
                <c:pt idx="94">
                  <c:v>37.366193601754077</c:v>
                </c:pt>
                <c:pt idx="95">
                  <c:v>35.474804670979346</c:v>
                </c:pt>
                <c:pt idx="96">
                  <c:v>33.375003311066997</c:v>
                </c:pt>
                <c:pt idx="97">
                  <c:v>31.164564694263156</c:v>
                </c:pt>
                <c:pt idx="98">
                  <c:v>62.233122080956171</c:v>
                </c:pt>
                <c:pt idx="99">
                  <c:v>60.135606320963824</c:v>
                </c:pt>
                <c:pt idx="100">
                  <c:v>58.037293778993636</c:v>
                </c:pt>
                <c:pt idx="101">
                  <c:v>55.953252857985113</c:v>
                </c:pt>
                <c:pt idx="102">
                  <c:v>53.87851901732386</c:v>
                </c:pt>
                <c:pt idx="103">
                  <c:v>51.707100925126959</c:v>
                </c:pt>
                <c:pt idx="104">
                  <c:v>49.467271444264732</c:v>
                </c:pt>
                <c:pt idx="105">
                  <c:v>47.15626607942329</c:v>
                </c:pt>
                <c:pt idx="106">
                  <c:v>44.831085315436098</c:v>
                </c:pt>
                <c:pt idx="107">
                  <c:v>42.571880185526979</c:v>
                </c:pt>
                <c:pt idx="108">
                  <c:v>40.446764685504583</c:v>
                </c:pt>
                <c:pt idx="109">
                  <c:v>38.35232781880395</c:v>
                </c:pt>
                <c:pt idx="110">
                  <c:v>36.086321071639226</c:v>
                </c:pt>
                <c:pt idx="111">
                  <c:v>34.063471421561971</c:v>
                </c:pt>
                <c:pt idx="112">
                  <c:v>31.998954098150833</c:v>
                </c:pt>
                <c:pt idx="113">
                  <c:v>64.08703404504854</c:v>
                </c:pt>
                <c:pt idx="114">
                  <c:v>62.033095359438136</c:v>
                </c:pt>
                <c:pt idx="115">
                  <c:v>59.993989581504287</c:v>
                </c:pt>
                <c:pt idx="116">
                  <c:v>57.991399665816111</c:v>
                </c:pt>
                <c:pt idx="117">
                  <c:v>55.952273924038792</c:v>
                </c:pt>
                <c:pt idx="118">
                  <c:v>53.905306943009833</c:v>
                </c:pt>
                <c:pt idx="119">
                  <c:v>52.066587710481087</c:v>
                </c:pt>
                <c:pt idx="120">
                  <c:v>50.325727523066298</c:v>
                </c:pt>
                <c:pt idx="121">
                  <c:v>48.667754041860334</c:v>
                </c:pt>
                <c:pt idx="122">
                  <c:v>46.987763555615366</c:v>
                </c:pt>
                <c:pt idx="123">
                  <c:v>45.2397124786986</c:v>
                </c:pt>
                <c:pt idx="124">
                  <c:v>43.505204389623408</c:v>
                </c:pt>
                <c:pt idx="125">
                  <c:v>41.861493032888667</c:v>
                </c:pt>
                <c:pt idx="126">
                  <c:v>40.302114698795506</c:v>
                </c:pt>
                <c:pt idx="127">
                  <c:v>38.777595554191059</c:v>
                </c:pt>
                <c:pt idx="128">
                  <c:v>37.323521794547538</c:v>
                </c:pt>
                <c:pt idx="129">
                  <c:v>35.940477937434245</c:v>
                </c:pt>
                <c:pt idx="130">
                  <c:v>34.550438669767047</c:v>
                </c:pt>
                <c:pt idx="131">
                  <c:v>33.242655293168085</c:v>
                </c:pt>
                <c:pt idx="132">
                  <c:v>31.982945918159636</c:v>
                </c:pt>
                <c:pt idx="133">
                  <c:v>30.764003015817558</c:v>
                </c:pt>
                <c:pt idx="134">
                  <c:v>29.597110408477437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0.58645072781919305</c:v>
                </c:pt>
                <c:pt idx="1">
                  <c:v>1.1044880416257865</c:v>
                </c:pt>
                <c:pt idx="2">
                  <c:v>1.6045618984672663</c:v>
                </c:pt>
                <c:pt idx="3">
                  <c:v>2.0756482856336405</c:v>
                </c:pt>
                <c:pt idx="4">
                  <c:v>2.5662898239266134</c:v>
                </c:pt>
                <c:pt idx="5">
                  <c:v>2.9923524953868088</c:v>
                </c:pt>
                <c:pt idx="6">
                  <c:v>3.4052512959740331</c:v>
                </c:pt>
                <c:pt idx="7">
                  <c:v>3.8034390871986998</c:v>
                </c:pt>
                <c:pt idx="8">
                  <c:v>4.186150467525299</c:v>
                </c:pt>
                <c:pt idx="9">
                  <c:v>4.5918334539841377</c:v>
                </c:pt>
                <c:pt idx="10">
                  <c:v>4.9744841959695876</c:v>
                </c:pt>
                <c:pt idx="11">
                  <c:v>5.3735262509012705</c:v>
                </c:pt>
                <c:pt idx="12">
                  <c:v>5.768057879931221</c:v>
                </c:pt>
                <c:pt idx="13">
                  <c:v>6.1435825629322576</c:v>
                </c:pt>
                <c:pt idx="14">
                  <c:v>6.5004439445518312</c:v>
                </c:pt>
                <c:pt idx="15">
                  <c:v>6.8651922416910391</c:v>
                </c:pt>
                <c:pt idx="16">
                  <c:v>7.2049927889691725</c:v>
                </c:pt>
                <c:pt idx="17">
                  <c:v>7.540735906846515</c:v>
                </c:pt>
                <c:pt idx="18">
                  <c:v>7.869966195313876</c:v>
                </c:pt>
                <c:pt idx="19">
                  <c:v>8.192459168687666</c:v>
                </c:pt>
                <c:pt idx="20">
                  <c:v>8.4962650741995613</c:v>
                </c:pt>
                <c:pt idx="21">
                  <c:v>8.8119092484695454</c:v>
                </c:pt>
                <c:pt idx="22">
                  <c:v>9.1200675104233238</c:v>
                </c:pt>
                <c:pt idx="23">
                  <c:v>9.4300126082716567</c:v>
                </c:pt>
                <c:pt idx="24">
                  <c:v>9.7710837543430635</c:v>
                </c:pt>
                <c:pt idx="25">
                  <c:v>10.085871156204657</c:v>
                </c:pt>
                <c:pt idx="26">
                  <c:v>10.394346065835935</c:v>
                </c:pt>
                <c:pt idx="27">
                  <c:v>10.675709586008306</c:v>
                </c:pt>
                <c:pt idx="28">
                  <c:v>10.961639809964856</c:v>
                </c:pt>
                <c:pt idx="29">
                  <c:v>11.248705998344123</c:v>
                </c:pt>
                <c:pt idx="30">
                  <c:v>11.542814231040776</c:v>
                </c:pt>
                <c:pt idx="31">
                  <c:v>11.811957337986135</c:v>
                </c:pt>
                <c:pt idx="32">
                  <c:v>12.071832704150216</c:v>
                </c:pt>
                <c:pt idx="33">
                  <c:v>12.330994507796309</c:v>
                </c:pt>
                <c:pt idx="34">
                  <c:v>12.608149387346259</c:v>
                </c:pt>
                <c:pt idx="35">
                  <c:v>12.888602334884357</c:v>
                </c:pt>
                <c:pt idx="36">
                  <c:v>13.149114799128993</c:v>
                </c:pt>
                <c:pt idx="37">
                  <c:v>13.436777925372336</c:v>
                </c:pt>
                <c:pt idx="38">
                  <c:v>13.72819897566866</c:v>
                </c:pt>
                <c:pt idx="39">
                  <c:v>14.036692811264853</c:v>
                </c:pt>
                <c:pt idx="40">
                  <c:v>14.338782204731796</c:v>
                </c:pt>
                <c:pt idx="41">
                  <c:v>14.628357851732579</c:v>
                </c:pt>
                <c:pt idx="42">
                  <c:v>14.920164809459409</c:v>
                </c:pt>
                <c:pt idx="43">
                  <c:v>15.201692673120615</c:v>
                </c:pt>
                <c:pt idx="44">
                  <c:v>15.494358788735292</c:v>
                </c:pt>
                <c:pt idx="45">
                  <c:v>15.810327919489991</c:v>
                </c:pt>
                <c:pt idx="46">
                  <c:v>16.128445852288525</c:v>
                </c:pt>
                <c:pt idx="47">
                  <c:v>16.461041055576178</c:v>
                </c:pt>
                <c:pt idx="48">
                  <c:v>16.780220765119392</c:v>
                </c:pt>
                <c:pt idx="49">
                  <c:v>17.098669634389299</c:v>
                </c:pt>
                <c:pt idx="50">
                  <c:v>17.404805841714914</c:v>
                </c:pt>
                <c:pt idx="51">
                  <c:v>17.723315971527679</c:v>
                </c:pt>
                <c:pt idx="52">
                  <c:v>18.053004174162741</c:v>
                </c:pt>
                <c:pt idx="53">
                  <c:v>18.358735014787875</c:v>
                </c:pt>
                <c:pt idx="54">
                  <c:v>18.678534067526996</c:v>
                </c:pt>
                <c:pt idx="55">
                  <c:v>19.019250719312485</c:v>
                </c:pt>
                <c:pt idx="56">
                  <c:v>19.379295792705697</c:v>
                </c:pt>
                <c:pt idx="57">
                  <c:v>19.720705342176515</c:v>
                </c:pt>
                <c:pt idx="58">
                  <c:v>20.040595575222579</c:v>
                </c:pt>
                <c:pt idx="59">
                  <c:v>20.388968544346131</c:v>
                </c:pt>
                <c:pt idx="60">
                  <c:v>20.72951456071959</c:v>
                </c:pt>
                <c:pt idx="61">
                  <c:v>21.068676294256132</c:v>
                </c:pt>
                <c:pt idx="62">
                  <c:v>21.41842264229367</c:v>
                </c:pt>
                <c:pt idx="63">
                  <c:v>21.771056728949898</c:v>
                </c:pt>
                <c:pt idx="64">
                  <c:v>22.134169604313836</c:v>
                </c:pt>
                <c:pt idx="65">
                  <c:v>22.49796202179428</c:v>
                </c:pt>
                <c:pt idx="66">
                  <c:v>22.873981271368454</c:v>
                </c:pt>
                <c:pt idx="67">
                  <c:v>23.242287975131667</c:v>
                </c:pt>
                <c:pt idx="68">
                  <c:v>23.618424605153638</c:v>
                </c:pt>
                <c:pt idx="69">
                  <c:v>23.989081636986441</c:v>
                </c:pt>
                <c:pt idx="70">
                  <c:v>24.33302868876849</c:v>
                </c:pt>
                <c:pt idx="71">
                  <c:v>24.725621729408591</c:v>
                </c:pt>
                <c:pt idx="72">
                  <c:v>25.138215671726996</c:v>
                </c:pt>
                <c:pt idx="73">
                  <c:v>25.504030517128044</c:v>
                </c:pt>
                <c:pt idx="74">
                  <c:v>25.894090425305706</c:v>
                </c:pt>
                <c:pt idx="75">
                  <c:v>26.263295098815952</c:v>
                </c:pt>
                <c:pt idx="76">
                  <c:v>26.635538133298986</c:v>
                </c:pt>
                <c:pt idx="77">
                  <c:v>27.037966777334578</c:v>
                </c:pt>
                <c:pt idx="78">
                  <c:v>27.43649617089951</c:v>
                </c:pt>
                <c:pt idx="79">
                  <c:v>27.806181948555935</c:v>
                </c:pt>
                <c:pt idx="80">
                  <c:v>28.183357199660364</c:v>
                </c:pt>
                <c:pt idx="81">
                  <c:v>28.555480788588397</c:v>
                </c:pt>
                <c:pt idx="82">
                  <c:v>28.959214934553557</c:v>
                </c:pt>
                <c:pt idx="83">
                  <c:v>29.361022470190296</c:v>
                </c:pt>
                <c:pt idx="84">
                  <c:v>29.730775821330564</c:v>
                </c:pt>
                <c:pt idx="85">
                  <c:v>30.10055211047807</c:v>
                </c:pt>
                <c:pt idx="86">
                  <c:v>30.487175059499052</c:v>
                </c:pt>
                <c:pt idx="87">
                  <c:v>30.896024031543408</c:v>
                </c:pt>
                <c:pt idx="88">
                  <c:v>31.305848299791371</c:v>
                </c:pt>
                <c:pt idx="89">
                  <c:v>31.708765002537735</c:v>
                </c:pt>
                <c:pt idx="90">
                  <c:v>32.122553611356274</c:v>
                </c:pt>
                <c:pt idx="91">
                  <c:v>32.513536924354675</c:v>
                </c:pt>
                <c:pt idx="92">
                  <c:v>32.893785056299805</c:v>
                </c:pt>
                <c:pt idx="93">
                  <c:v>33.309066027139309</c:v>
                </c:pt>
                <c:pt idx="94">
                  <c:v>33.710955925314551</c:v>
                </c:pt>
                <c:pt idx="95">
                  <c:v>34.069056668066942</c:v>
                </c:pt>
                <c:pt idx="96">
                  <c:v>34.464410732243692</c:v>
                </c:pt>
                <c:pt idx="97">
                  <c:v>34.888908758151068</c:v>
                </c:pt>
                <c:pt idx="98">
                  <c:v>35.275098443132805</c:v>
                </c:pt>
                <c:pt idx="99">
                  <c:v>35.651839211568863</c:v>
                </c:pt>
                <c:pt idx="100">
                  <c:v>36.023866823519981</c:v>
                </c:pt>
                <c:pt idx="101">
                  <c:v>36.385401851945289</c:v>
                </c:pt>
                <c:pt idx="102">
                  <c:v>36.751687963184551</c:v>
                </c:pt>
                <c:pt idx="103">
                  <c:v>37.136212132841173</c:v>
                </c:pt>
                <c:pt idx="104">
                  <c:v>37.523956037766517</c:v>
                </c:pt>
                <c:pt idx="105">
                  <c:v>37.922905537504086</c:v>
                </c:pt>
                <c:pt idx="106">
                  <c:v>38.324201922347839</c:v>
                </c:pt>
                <c:pt idx="107">
                  <c:v>38.702555690707925</c:v>
                </c:pt>
                <c:pt idx="108">
                  <c:v>39.052806231683547</c:v>
                </c:pt>
                <c:pt idx="109">
                  <c:v>39.395596694848088</c:v>
                </c:pt>
                <c:pt idx="110">
                  <c:v>39.788063950524553</c:v>
                </c:pt>
                <c:pt idx="111">
                  <c:v>40.135441804818157</c:v>
                </c:pt>
                <c:pt idx="112">
                  <c:v>40.490662935828716</c:v>
                </c:pt>
                <c:pt idx="113">
                  <c:v>40.851223945374599</c:v>
                </c:pt>
                <c:pt idx="114">
                  <c:v>41.218091364678934</c:v>
                </c:pt>
                <c:pt idx="115">
                  <c:v>41.587497298068961</c:v>
                </c:pt>
                <c:pt idx="116">
                  <c:v>41.951488236532846</c:v>
                </c:pt>
                <c:pt idx="117">
                  <c:v>42.332675371032117</c:v>
                </c:pt>
                <c:pt idx="118">
                  <c:v>42.736369674473899</c:v>
                </c:pt>
                <c:pt idx="119">
                  <c:v>43.097515952104906</c:v>
                </c:pt>
                <c:pt idx="120">
                  <c:v>43.453061404089787</c:v>
                </c:pt>
                <c:pt idx="121">
                  <c:v>43.80278511295127</c:v>
                </c:pt>
                <c:pt idx="122">
                  <c:v>44.167709931865687</c:v>
                </c:pt>
                <c:pt idx="123">
                  <c:v>44.56538733616253</c:v>
                </c:pt>
                <c:pt idx="124">
                  <c:v>44.98178120293813</c:v>
                </c:pt>
                <c:pt idx="125">
                  <c:v>45.372553806162664</c:v>
                </c:pt>
                <c:pt idx="126">
                  <c:v>45.762183408844685</c:v>
                </c:pt>
                <c:pt idx="127">
                  <c:v>46.146534372691974</c:v>
                </c:pt>
                <c:pt idx="128">
                  <c:v>46.522177001323527</c:v>
                </c:pt>
                <c:pt idx="129">
                  <c:v>46.891046350530935</c:v>
                </c:pt>
                <c:pt idx="130">
                  <c:v>47.282044756844272</c:v>
                </c:pt>
                <c:pt idx="131">
                  <c:v>47.647954624735092</c:v>
                </c:pt>
                <c:pt idx="132">
                  <c:v>48.017725884668359</c:v>
                </c:pt>
                <c:pt idx="133">
                  <c:v>48.385470645184355</c:v>
                </c:pt>
                <c:pt idx="134">
                  <c:v>48.748389712172617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-0.30864396578119224</c:v>
                </c:pt>
                <c:pt idx="2">
                  <c:v>-0.60513402305043829</c:v>
                </c:pt>
                <c:pt idx="3">
                  <c:v>-0.89168911300307507</c:v>
                </c:pt>
                <c:pt idx="4">
                  <c:v>-1.1883434987394372</c:v>
                </c:pt>
                <c:pt idx="5">
                  <c:v>-1.4528143896958936</c:v>
                </c:pt>
                <c:pt idx="6">
                  <c:v>-1.7060661087908964</c:v>
                </c:pt>
                <c:pt idx="7">
                  <c:v>-1.9508282297995727</c:v>
                </c:pt>
                <c:pt idx="8">
                  <c:v>-2.1895882332481853</c:v>
                </c:pt>
                <c:pt idx="9">
                  <c:v>-2.4359204646113528</c:v>
                </c:pt>
                <c:pt idx="10">
                  <c:v>-2.664166937725795</c:v>
                </c:pt>
                <c:pt idx="11">
                  <c:v>-2.8925285917625247</c:v>
                </c:pt>
                <c:pt idx="12">
                  <c:v>-3.1136722707653419</c:v>
                </c:pt>
                <c:pt idx="13">
                  <c:v>-3.320151329203088</c:v>
                </c:pt>
                <c:pt idx="14">
                  <c:v>-3.5087987831968035</c:v>
                </c:pt>
                <c:pt idx="15">
                  <c:v>-3.6874011360000254</c:v>
                </c:pt>
                <c:pt idx="16">
                  <c:v>-3.8478733977697752</c:v>
                </c:pt>
                <c:pt idx="17">
                  <c:v>-3.9960586887612299</c:v>
                </c:pt>
                <c:pt idx="18">
                  <c:v>-4.1326839514693114</c:v>
                </c:pt>
                <c:pt idx="19">
                  <c:v>-4.2614017670488149</c:v>
                </c:pt>
                <c:pt idx="20">
                  <c:v>-4.3781423127290626</c:v>
                </c:pt>
                <c:pt idx="21">
                  <c:v>-4.4960276645861441</c:v>
                </c:pt>
                <c:pt idx="22">
                  <c:v>-4.6049851705367306</c:v>
                </c:pt>
                <c:pt idx="23">
                  <c:v>-4.7080190991008006</c:v>
                </c:pt>
                <c:pt idx="24">
                  <c:v>-4.8095732445192692</c:v>
                </c:pt>
                <c:pt idx="25">
                  <c:v>-4.8980134332782894</c:v>
                </c:pt>
                <c:pt idx="26">
                  <c:v>-4.9839116566627233</c:v>
                </c:pt>
                <c:pt idx="27">
                  <c:v>-5.0594954130345666</c:v>
                </c:pt>
                <c:pt idx="28">
                  <c:v>-5.1285511222560007</c:v>
                </c:pt>
                <c:pt idx="29">
                  <c:v>-5.1903513452557508</c:v>
                </c:pt>
                <c:pt idx="30">
                  <c:v>-5.2507928887897881</c:v>
                </c:pt>
                <c:pt idx="31">
                  <c:v>-5.3038241920209055</c:v>
                </c:pt>
                <c:pt idx="32">
                  <c:v>-5.3561378042540984</c:v>
                </c:pt>
                <c:pt idx="33">
                  <c:v>-5.4093473167841548</c:v>
                </c:pt>
                <c:pt idx="34">
                  <c:v>-5.4620860028667675</c:v>
                </c:pt>
                <c:pt idx="35">
                  <c:v>-5.5166703341163785</c:v>
                </c:pt>
                <c:pt idx="36">
                  <c:v>-5.5653735676330864</c:v>
                </c:pt>
                <c:pt idx="37">
                  <c:v>-5.6137660026998581</c:v>
                </c:pt>
                <c:pt idx="38">
                  <c:v>-5.6596193152721073</c:v>
                </c:pt>
                <c:pt idx="39">
                  <c:v>-5.7105412120416004</c:v>
                </c:pt>
                <c:pt idx="40">
                  <c:v>-5.759660724788259</c:v>
                </c:pt>
                <c:pt idx="41">
                  <c:v>-5.8038670364337932</c:v>
                </c:pt>
                <c:pt idx="42">
                  <c:v>-5.8502441672858216</c:v>
                </c:pt>
                <c:pt idx="43">
                  <c:v>-5.8928719561182357</c:v>
                </c:pt>
                <c:pt idx="44">
                  <c:v>-5.9358386938509362</c:v>
                </c:pt>
                <c:pt idx="45">
                  <c:v>-5.9792586316719536</c:v>
                </c:pt>
                <c:pt idx="46">
                  <c:v>-6.0197319310548316</c:v>
                </c:pt>
                <c:pt idx="47">
                  <c:v>-6.059412872553624</c:v>
                </c:pt>
                <c:pt idx="48">
                  <c:v>-6.095818652510177</c:v>
                </c:pt>
                <c:pt idx="49">
                  <c:v>-6.1317833132889579</c:v>
                </c:pt>
                <c:pt idx="50">
                  <c:v>-6.1667106016237163</c:v>
                </c:pt>
                <c:pt idx="51">
                  <c:v>-6.2011985685070528</c:v>
                </c:pt>
                <c:pt idx="52">
                  <c:v>-6.2385120615920471</c:v>
                </c:pt>
                <c:pt idx="53">
                  <c:v>-6.2706428885835024</c:v>
                </c:pt>
                <c:pt idx="54">
                  <c:v>-6.3016288391829836</c:v>
                </c:pt>
                <c:pt idx="55">
                  <c:v>-6.3311489517672541</c:v>
                </c:pt>
                <c:pt idx="56">
                  <c:v>-6.3611658478946342</c:v>
                </c:pt>
                <c:pt idx="57">
                  <c:v>-6.3913931124736454</c:v>
                </c:pt>
                <c:pt idx="58">
                  <c:v>-6.4185536032977737</c:v>
                </c:pt>
                <c:pt idx="59">
                  <c:v>-6.4462874839955138</c:v>
                </c:pt>
                <c:pt idx="60">
                  <c:v>-6.4735266840899284</c:v>
                </c:pt>
                <c:pt idx="61">
                  <c:v>-6.5011916177649116</c:v>
                </c:pt>
                <c:pt idx="62">
                  <c:v>-6.5290937417943091</c:v>
                </c:pt>
                <c:pt idx="63">
                  <c:v>-6.5563441274585461</c:v>
                </c:pt>
                <c:pt idx="64">
                  <c:v>-6.5860919407431817</c:v>
                </c:pt>
                <c:pt idx="65">
                  <c:v>-6.6151462427417558</c:v>
                </c:pt>
                <c:pt idx="66">
                  <c:v>-6.6435993908768864</c:v>
                </c:pt>
                <c:pt idx="67">
                  <c:v>-6.6698210830401301</c:v>
                </c:pt>
                <c:pt idx="68">
                  <c:v>-6.6936891986034261</c:v>
                </c:pt>
                <c:pt idx="69">
                  <c:v>-6.7151508519183025</c:v>
                </c:pt>
                <c:pt idx="70">
                  <c:v>-6.7333983876430494</c:v>
                </c:pt>
                <c:pt idx="71">
                  <c:v>-6.752333642725314</c:v>
                </c:pt>
                <c:pt idx="72">
                  <c:v>-6.7721232665903504</c:v>
                </c:pt>
                <c:pt idx="73">
                  <c:v>-6.7883377361974393</c:v>
                </c:pt>
                <c:pt idx="74">
                  <c:v>-6.8050430605908385</c:v>
                </c:pt>
                <c:pt idx="75">
                  <c:v>-6.8194742044627477</c:v>
                </c:pt>
                <c:pt idx="76">
                  <c:v>-6.8324834674584114</c:v>
                </c:pt>
                <c:pt idx="77">
                  <c:v>-6.8454670865131604</c:v>
                </c:pt>
                <c:pt idx="78">
                  <c:v>-6.8577927739574278</c:v>
                </c:pt>
                <c:pt idx="79">
                  <c:v>-6.8685770901236136</c:v>
                </c:pt>
                <c:pt idx="80">
                  <c:v>-6.8786101920444356</c:v>
                </c:pt>
                <c:pt idx="81">
                  <c:v>-6.887212765856435</c:v>
                </c:pt>
                <c:pt idx="82">
                  <c:v>-6.8954047385252188</c:v>
                </c:pt>
                <c:pt idx="83">
                  <c:v>-6.9030758870673097</c:v>
                </c:pt>
                <c:pt idx="84">
                  <c:v>-6.9092931830148201</c:v>
                </c:pt>
                <c:pt idx="85">
                  <c:v>-6.9151764908017839</c:v>
                </c:pt>
                <c:pt idx="86">
                  <c:v>-6.9207169339595449</c:v>
                </c:pt>
                <c:pt idx="87">
                  <c:v>-6.9258982415899677</c:v>
                </c:pt>
                <c:pt idx="88">
                  <c:v>-6.9301303431530226</c:v>
                </c:pt>
                <c:pt idx="89">
                  <c:v>-6.9333990051780994</c:v>
                </c:pt>
                <c:pt idx="90">
                  <c:v>-6.9359437744363159</c:v>
                </c:pt>
                <c:pt idx="91">
                  <c:v>-6.937662511245736</c:v>
                </c:pt>
                <c:pt idx="92">
                  <c:v>-6.9387551125373204</c:v>
                </c:pt>
                <c:pt idx="93">
                  <c:v>-6.9394412107237757</c:v>
                </c:pt>
                <c:pt idx="94">
                  <c:v>-6.9394961754485163</c:v>
                </c:pt>
                <c:pt idx="95">
                  <c:v>-6.9391074899680865</c:v>
                </c:pt>
                <c:pt idx="96">
                  <c:v>-6.9383044520501063</c:v>
                </c:pt>
                <c:pt idx="97">
                  <c:v>-6.9369581593790937</c:v>
                </c:pt>
                <c:pt idx="98">
                  <c:v>-6.93537799454195</c:v>
                </c:pt>
                <c:pt idx="99">
                  <c:v>-6.9334809286438954</c:v>
                </c:pt>
                <c:pt idx="100">
                  <c:v>-6.9312910971740269</c:v>
                </c:pt>
                <c:pt idx="101">
                  <c:v>-6.9289196127066788</c:v>
                </c:pt>
                <c:pt idx="102">
                  <c:v>-6.9260678128529332</c:v>
                </c:pt>
                <c:pt idx="103">
                  <c:v>-6.9228355219325737</c:v>
                </c:pt>
                <c:pt idx="104">
                  <c:v>-6.9195443348685659</c:v>
                </c:pt>
                <c:pt idx="105">
                  <c:v>-6.9160483298662809</c:v>
                </c:pt>
                <c:pt idx="106">
                  <c:v>-6.9123291340102959</c:v>
                </c:pt>
                <c:pt idx="107">
                  <c:v>-6.908831404273073</c:v>
                </c:pt>
                <c:pt idx="108">
                  <c:v>-6.905362279198763</c:v>
                </c:pt>
                <c:pt idx="109">
                  <c:v>-6.901906683214591</c:v>
                </c:pt>
                <c:pt idx="110">
                  <c:v>-6.8976083606139582</c:v>
                </c:pt>
                <c:pt idx="111">
                  <c:v>-6.8932711240038893</c:v>
                </c:pt>
                <c:pt idx="112">
                  <c:v>-6.8888985534251992</c:v>
                </c:pt>
                <c:pt idx="113">
                  <c:v>-6.8840391563277468</c:v>
                </c:pt>
                <c:pt idx="114">
                  <c:v>-6.8790744353202857</c:v>
                </c:pt>
                <c:pt idx="115">
                  <c:v>-6.8739327308802602</c:v>
                </c:pt>
                <c:pt idx="116">
                  <c:v>-6.8688493635054915</c:v>
                </c:pt>
                <c:pt idx="117">
                  <c:v>-6.8634352175283677</c:v>
                </c:pt>
                <c:pt idx="118">
                  <c:v>-6.8571410500258967</c:v>
                </c:pt>
                <c:pt idx="119">
                  <c:v>-6.8510874421907388</c:v>
                </c:pt>
                <c:pt idx="120">
                  <c:v>-6.8445042154752107</c:v>
                </c:pt>
                <c:pt idx="121">
                  <c:v>-6.8375592785703407</c:v>
                </c:pt>
                <c:pt idx="122">
                  <c:v>-6.8302343575589894</c:v>
                </c:pt>
                <c:pt idx="123">
                  <c:v>-6.8221866868647059</c:v>
                </c:pt>
                <c:pt idx="124">
                  <c:v>-6.8133177061121053</c:v>
                </c:pt>
                <c:pt idx="125">
                  <c:v>-6.8051196297576615</c:v>
                </c:pt>
                <c:pt idx="126">
                  <c:v>-6.7963218469431865</c:v>
                </c:pt>
                <c:pt idx="127">
                  <c:v>-6.7877942820533157</c:v>
                </c:pt>
                <c:pt idx="128">
                  <c:v>-6.7792784123795728</c:v>
                </c:pt>
                <c:pt idx="129">
                  <c:v>-6.770642414672249</c:v>
                </c:pt>
                <c:pt idx="130">
                  <c:v>-6.7613468953589484</c:v>
                </c:pt>
                <c:pt idx="131">
                  <c:v>-6.7528565371960161</c:v>
                </c:pt>
                <c:pt idx="132">
                  <c:v>-6.7439638473767545</c:v>
                </c:pt>
                <c:pt idx="133">
                  <c:v>-6.7351521679001287</c:v>
                </c:pt>
                <c:pt idx="134">
                  <c:v>-6.7264015176230121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45351</c:v>
                </c:pt>
                <c:pt idx="1">
                  <c:v>45352</c:v>
                </c:pt>
                <c:pt idx="2">
                  <c:v>45353</c:v>
                </c:pt>
                <c:pt idx="3">
                  <c:v>45354</c:v>
                </c:pt>
                <c:pt idx="4">
                  <c:v>45355</c:v>
                </c:pt>
                <c:pt idx="5">
                  <c:v>45356</c:v>
                </c:pt>
                <c:pt idx="6">
                  <c:v>45357</c:v>
                </c:pt>
                <c:pt idx="7">
                  <c:v>45358</c:v>
                </c:pt>
                <c:pt idx="8">
                  <c:v>45359</c:v>
                </c:pt>
                <c:pt idx="9">
                  <c:v>45360</c:v>
                </c:pt>
                <c:pt idx="10">
                  <c:v>45361</c:v>
                </c:pt>
                <c:pt idx="11">
                  <c:v>45362</c:v>
                </c:pt>
                <c:pt idx="12">
                  <c:v>45363</c:v>
                </c:pt>
                <c:pt idx="13">
                  <c:v>45364</c:v>
                </c:pt>
                <c:pt idx="14">
                  <c:v>45365</c:v>
                </c:pt>
                <c:pt idx="15">
                  <c:v>45366</c:v>
                </c:pt>
                <c:pt idx="16">
                  <c:v>45367</c:v>
                </c:pt>
                <c:pt idx="17">
                  <c:v>45368</c:v>
                </c:pt>
                <c:pt idx="18">
                  <c:v>45369</c:v>
                </c:pt>
                <c:pt idx="19">
                  <c:v>45370</c:v>
                </c:pt>
                <c:pt idx="20">
                  <c:v>45371</c:v>
                </c:pt>
                <c:pt idx="21">
                  <c:v>45372</c:v>
                </c:pt>
                <c:pt idx="22">
                  <c:v>45373</c:v>
                </c:pt>
                <c:pt idx="23">
                  <c:v>45374</c:v>
                </c:pt>
                <c:pt idx="24">
                  <c:v>45375</c:v>
                </c:pt>
                <c:pt idx="25">
                  <c:v>45376</c:v>
                </c:pt>
                <c:pt idx="26">
                  <c:v>45377</c:v>
                </c:pt>
                <c:pt idx="27">
                  <c:v>45378</c:v>
                </c:pt>
                <c:pt idx="28">
                  <c:v>45379</c:v>
                </c:pt>
                <c:pt idx="29">
                  <c:v>45380</c:v>
                </c:pt>
                <c:pt idx="30">
                  <c:v>45381</c:v>
                </c:pt>
                <c:pt idx="31">
                  <c:v>45382</c:v>
                </c:pt>
                <c:pt idx="32">
                  <c:v>45383</c:v>
                </c:pt>
                <c:pt idx="33">
                  <c:v>45384</c:v>
                </c:pt>
                <c:pt idx="34">
                  <c:v>45385</c:v>
                </c:pt>
                <c:pt idx="35">
                  <c:v>45386</c:v>
                </c:pt>
                <c:pt idx="36">
                  <c:v>45387</c:v>
                </c:pt>
                <c:pt idx="37">
                  <c:v>45388</c:v>
                </c:pt>
                <c:pt idx="38">
                  <c:v>45389</c:v>
                </c:pt>
                <c:pt idx="39">
                  <c:v>45390</c:v>
                </c:pt>
                <c:pt idx="40">
                  <c:v>45391</c:v>
                </c:pt>
                <c:pt idx="41">
                  <c:v>45392</c:v>
                </c:pt>
                <c:pt idx="42">
                  <c:v>45393</c:v>
                </c:pt>
                <c:pt idx="43">
                  <c:v>45394</c:v>
                </c:pt>
                <c:pt idx="44">
                  <c:v>45395</c:v>
                </c:pt>
                <c:pt idx="45">
                  <c:v>45396</c:v>
                </c:pt>
                <c:pt idx="46">
                  <c:v>45397</c:v>
                </c:pt>
                <c:pt idx="47">
                  <c:v>45398</c:v>
                </c:pt>
                <c:pt idx="48">
                  <c:v>45399</c:v>
                </c:pt>
                <c:pt idx="49">
                  <c:v>45400</c:v>
                </c:pt>
                <c:pt idx="50">
                  <c:v>45401</c:v>
                </c:pt>
                <c:pt idx="51">
                  <c:v>45402</c:v>
                </c:pt>
                <c:pt idx="52">
                  <c:v>45403</c:v>
                </c:pt>
                <c:pt idx="53">
                  <c:v>45404</c:v>
                </c:pt>
                <c:pt idx="54">
                  <c:v>45405</c:v>
                </c:pt>
                <c:pt idx="55">
                  <c:v>45406</c:v>
                </c:pt>
                <c:pt idx="56">
                  <c:v>45407</c:v>
                </c:pt>
                <c:pt idx="57">
                  <c:v>45408</c:v>
                </c:pt>
                <c:pt idx="58">
                  <c:v>45409</c:v>
                </c:pt>
                <c:pt idx="59">
                  <c:v>45410</c:v>
                </c:pt>
                <c:pt idx="60">
                  <c:v>45411</c:v>
                </c:pt>
                <c:pt idx="61">
                  <c:v>45412</c:v>
                </c:pt>
                <c:pt idx="62">
                  <c:v>45413</c:v>
                </c:pt>
                <c:pt idx="63">
                  <c:v>45414</c:v>
                </c:pt>
                <c:pt idx="64">
                  <c:v>45415</c:v>
                </c:pt>
                <c:pt idx="65">
                  <c:v>45416</c:v>
                </c:pt>
                <c:pt idx="66">
                  <c:v>45417</c:v>
                </c:pt>
                <c:pt idx="67">
                  <c:v>45418</c:v>
                </c:pt>
                <c:pt idx="68">
                  <c:v>45419</c:v>
                </c:pt>
                <c:pt idx="69">
                  <c:v>45420</c:v>
                </c:pt>
                <c:pt idx="70">
                  <c:v>45421</c:v>
                </c:pt>
                <c:pt idx="71">
                  <c:v>45422</c:v>
                </c:pt>
                <c:pt idx="72">
                  <c:v>45423</c:v>
                </c:pt>
                <c:pt idx="73">
                  <c:v>45424</c:v>
                </c:pt>
                <c:pt idx="74">
                  <c:v>45425</c:v>
                </c:pt>
                <c:pt idx="75">
                  <c:v>45426</c:v>
                </c:pt>
                <c:pt idx="76">
                  <c:v>45427</c:v>
                </c:pt>
                <c:pt idx="77">
                  <c:v>45428</c:v>
                </c:pt>
                <c:pt idx="78">
                  <c:v>45429</c:v>
                </c:pt>
                <c:pt idx="79">
                  <c:v>45430</c:v>
                </c:pt>
                <c:pt idx="80">
                  <c:v>45431</c:v>
                </c:pt>
                <c:pt idx="81">
                  <c:v>45432</c:v>
                </c:pt>
                <c:pt idx="82">
                  <c:v>45433</c:v>
                </c:pt>
                <c:pt idx="83">
                  <c:v>45434</c:v>
                </c:pt>
                <c:pt idx="84">
                  <c:v>45435</c:v>
                </c:pt>
                <c:pt idx="85">
                  <c:v>45436</c:v>
                </c:pt>
                <c:pt idx="86">
                  <c:v>45437</c:v>
                </c:pt>
                <c:pt idx="87">
                  <c:v>45438</c:v>
                </c:pt>
                <c:pt idx="88">
                  <c:v>45439</c:v>
                </c:pt>
                <c:pt idx="89">
                  <c:v>45440</c:v>
                </c:pt>
                <c:pt idx="90">
                  <c:v>45441</c:v>
                </c:pt>
                <c:pt idx="91">
                  <c:v>45442</c:v>
                </c:pt>
                <c:pt idx="92">
                  <c:v>45443</c:v>
                </c:pt>
                <c:pt idx="93">
                  <c:v>45444</c:v>
                </c:pt>
                <c:pt idx="94">
                  <c:v>45445</c:v>
                </c:pt>
                <c:pt idx="95">
                  <c:v>45446</c:v>
                </c:pt>
                <c:pt idx="96">
                  <c:v>45447</c:v>
                </c:pt>
                <c:pt idx="97">
                  <c:v>45448</c:v>
                </c:pt>
                <c:pt idx="98">
                  <c:v>45449</c:v>
                </c:pt>
                <c:pt idx="99">
                  <c:v>45450</c:v>
                </c:pt>
                <c:pt idx="100">
                  <c:v>45451</c:v>
                </c:pt>
                <c:pt idx="101">
                  <c:v>45452</c:v>
                </c:pt>
                <c:pt idx="102">
                  <c:v>45453</c:v>
                </c:pt>
                <c:pt idx="103">
                  <c:v>45454</c:v>
                </c:pt>
                <c:pt idx="104">
                  <c:v>45455</c:v>
                </c:pt>
                <c:pt idx="105">
                  <c:v>45456</c:v>
                </c:pt>
                <c:pt idx="106">
                  <c:v>45457</c:v>
                </c:pt>
                <c:pt idx="107">
                  <c:v>45458</c:v>
                </c:pt>
                <c:pt idx="108">
                  <c:v>45459</c:v>
                </c:pt>
                <c:pt idx="109">
                  <c:v>45460</c:v>
                </c:pt>
                <c:pt idx="110">
                  <c:v>45461</c:v>
                </c:pt>
                <c:pt idx="111">
                  <c:v>45462</c:v>
                </c:pt>
                <c:pt idx="112">
                  <c:v>45463</c:v>
                </c:pt>
                <c:pt idx="113">
                  <c:v>45464</c:v>
                </c:pt>
                <c:pt idx="114">
                  <c:v>45465</c:v>
                </c:pt>
                <c:pt idx="115">
                  <c:v>45466</c:v>
                </c:pt>
                <c:pt idx="116">
                  <c:v>45467</c:v>
                </c:pt>
                <c:pt idx="117">
                  <c:v>45468</c:v>
                </c:pt>
                <c:pt idx="118">
                  <c:v>45469</c:v>
                </c:pt>
                <c:pt idx="119">
                  <c:v>45470</c:v>
                </c:pt>
                <c:pt idx="120">
                  <c:v>45471</c:v>
                </c:pt>
                <c:pt idx="121">
                  <c:v>45472</c:v>
                </c:pt>
                <c:pt idx="122">
                  <c:v>45473</c:v>
                </c:pt>
                <c:pt idx="123">
                  <c:v>45474</c:v>
                </c:pt>
                <c:pt idx="124">
                  <c:v>45475</c:v>
                </c:pt>
                <c:pt idx="125">
                  <c:v>45476</c:v>
                </c:pt>
                <c:pt idx="126">
                  <c:v>45477</c:v>
                </c:pt>
                <c:pt idx="127">
                  <c:v>45478</c:v>
                </c:pt>
                <c:pt idx="128">
                  <c:v>45479</c:v>
                </c:pt>
                <c:pt idx="129">
                  <c:v>45480</c:v>
                </c:pt>
                <c:pt idx="130">
                  <c:v>45481</c:v>
                </c:pt>
                <c:pt idx="131">
                  <c:v>45482</c:v>
                </c:pt>
                <c:pt idx="132">
                  <c:v>45483</c:v>
                </c:pt>
                <c:pt idx="133">
                  <c:v>45484</c:v>
                </c:pt>
                <c:pt idx="134">
                  <c:v>45485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3.462078471187036</c:v>
                </c:pt>
                <c:pt idx="15">
                  <c:v>3.7022294671857847</c:v>
                </c:pt>
                <c:pt idx="16">
                  <c:v>3.9554718578016859</c:v>
                </c:pt>
                <c:pt idx="17">
                  <c:v>4.205405368030199</c:v>
                </c:pt>
                <c:pt idx="18">
                  <c:v>4.4876370492987121</c:v>
                </c:pt>
                <c:pt idx="19">
                  <c:v>4.8046428589124348</c:v>
                </c:pt>
                <c:pt idx="20">
                  <c:v>5.1341760140313877</c:v>
                </c:pt>
                <c:pt idx="21">
                  <c:v>5.4756216664286628</c:v>
                </c:pt>
                <c:pt idx="22">
                  <c:v>5.824555996812542</c:v>
                </c:pt>
                <c:pt idx="23">
                  <c:v>6.1983000902561169</c:v>
                </c:pt>
                <c:pt idx="24">
                  <c:v>6.6036143506763807</c:v>
                </c:pt>
                <c:pt idx="25">
                  <c:v>7.0102301294977467</c:v>
                </c:pt>
                <c:pt idx="26">
                  <c:v>7.4686615000169825</c:v>
                </c:pt>
                <c:pt idx="27">
                  <c:v>7.9716241491609106</c:v>
                </c:pt>
                <c:pt idx="28">
                  <c:v>8.5046675846326085</c:v>
                </c:pt>
                <c:pt idx="29">
                  <c:v>9.074191293866452</c:v>
                </c:pt>
                <c:pt idx="30">
                  <c:v>9.6418595647882626</c:v>
                </c:pt>
                <c:pt idx="31">
                  <c:v>10.217990836315691</c:v>
                </c:pt>
                <c:pt idx="32">
                  <c:v>10.852054582736445</c:v>
                </c:pt>
                <c:pt idx="33">
                  <c:v>11.502709343438561</c:v>
                </c:pt>
                <c:pt idx="34">
                  <c:v>12.162437881553132</c:v>
                </c:pt>
                <c:pt idx="35">
                  <c:v>12.844308578943892</c:v>
                </c:pt>
                <c:pt idx="36">
                  <c:v>13.56956491856424</c:v>
                </c:pt>
                <c:pt idx="37">
                  <c:v>14.326068415072488</c:v>
                </c:pt>
                <c:pt idx="38">
                  <c:v>15.1230524641113</c:v>
                </c:pt>
                <c:pt idx="39">
                  <c:v>15.92286819428759</c:v>
                </c:pt>
                <c:pt idx="40">
                  <c:v>16.691066347275715</c:v>
                </c:pt>
                <c:pt idx="41">
                  <c:v>17.510181820061323</c:v>
                </c:pt>
                <c:pt idx="42">
                  <c:v>18.353020033619448</c:v>
                </c:pt>
                <c:pt idx="43">
                  <c:v>19.267041365253164</c:v>
                </c:pt>
                <c:pt idx="44">
                  <c:v>20.188520002545378</c:v>
                </c:pt>
                <c:pt idx="45">
                  <c:v>21.230167634354054</c:v>
                </c:pt>
                <c:pt idx="46">
                  <c:v>22.284368757153068</c:v>
                </c:pt>
                <c:pt idx="47">
                  <c:v>23.403961768272481</c:v>
                </c:pt>
                <c:pt idx="48">
                  <c:v>24.502374144076427</c:v>
                </c:pt>
                <c:pt idx="49">
                  <c:v>25.655257551141766</c:v>
                </c:pt>
                <c:pt idx="50">
                  <c:v>26.89258644093244</c:v>
                </c:pt>
                <c:pt idx="51">
                  <c:v>28.081093924888435</c:v>
                </c:pt>
                <c:pt idx="52">
                  <c:v>29.291499473595938</c:v>
                </c:pt>
                <c:pt idx="53">
                  <c:v>30.611020998208815</c:v>
                </c:pt>
                <c:pt idx="54">
                  <c:v>31.906868154679856</c:v>
                </c:pt>
                <c:pt idx="55">
                  <c:v>33.313242432007854</c:v>
                </c:pt>
                <c:pt idx="56">
                  <c:v>34.786064059766943</c:v>
                </c:pt>
                <c:pt idx="57">
                  <c:v>36.326164716469215</c:v>
                </c:pt>
                <c:pt idx="58">
                  <c:v>37.95681961818164</c:v>
                </c:pt>
                <c:pt idx="59">
                  <c:v>39.457056611958848</c:v>
                </c:pt>
                <c:pt idx="60">
                  <c:v>40.960406579788057</c:v>
                </c:pt>
                <c:pt idx="61">
                  <c:v>42.451461120300564</c:v>
                </c:pt>
                <c:pt idx="62">
                  <c:v>43.997463545220683</c:v>
                </c:pt>
                <c:pt idx="63">
                  <c:v>45.573119028328819</c:v>
                </c:pt>
                <c:pt idx="64">
                  <c:v>47.27139435257395</c:v>
                </c:pt>
                <c:pt idx="65">
                  <c:v>49.004495696498488</c:v>
                </c:pt>
                <c:pt idx="66">
                  <c:v>50.911564591282612</c:v>
                </c:pt>
                <c:pt idx="67">
                  <c:v>52.787034883991609</c:v>
                </c:pt>
                <c:pt idx="68">
                  <c:v>54.518567154097873</c:v>
                </c:pt>
                <c:pt idx="69">
                  <c:v>56.307982918984102</c:v>
                </c:pt>
                <c:pt idx="70">
                  <c:v>58.10674735430527</c:v>
                </c:pt>
                <c:pt idx="71">
                  <c:v>59.997099955935951</c:v>
                </c:pt>
                <c:pt idx="72">
                  <c:v>61.983944311106427</c:v>
                </c:pt>
                <c:pt idx="73">
                  <c:v>63.878970668963021</c:v>
                </c:pt>
                <c:pt idx="74">
                  <c:v>65.776668029248512</c:v>
                </c:pt>
                <c:pt idx="75">
                  <c:v>67.61968855225436</c:v>
                </c:pt>
                <c:pt idx="76">
                  <c:v>69.590863339607296</c:v>
                </c:pt>
                <c:pt idx="77">
                  <c:v>71.40595576013034</c:v>
                </c:pt>
                <c:pt idx="78">
                  <c:v>73.191531141819667</c:v>
                </c:pt>
                <c:pt idx="79">
                  <c:v>75.054030755840543</c:v>
                </c:pt>
                <c:pt idx="80">
                  <c:v>76.943973871729227</c:v>
                </c:pt>
                <c:pt idx="81">
                  <c:v>78.79225221636284</c:v>
                </c:pt>
                <c:pt idx="82">
                  <c:v>80.484178865750991</c:v>
                </c:pt>
                <c:pt idx="83">
                  <c:v>82.317476409137342</c:v>
                </c:pt>
                <c:pt idx="84">
                  <c:v>84.111827769406332</c:v>
                </c:pt>
                <c:pt idx="85">
                  <c:v>85.825036669558486</c:v>
                </c:pt>
                <c:pt idx="86">
                  <c:v>87.580499382862243</c:v>
                </c:pt>
                <c:pt idx="87">
                  <c:v>89.316071837283573</c:v>
                </c:pt>
                <c:pt idx="88">
                  <c:v>90.997217143525717</c:v>
                </c:pt>
                <c:pt idx="89">
                  <c:v>92.715971764320415</c:v>
                </c:pt>
                <c:pt idx="90">
                  <c:v>94.339985996039118</c:v>
                </c:pt>
                <c:pt idx="91">
                  <c:v>95.971537025484395</c:v>
                </c:pt>
                <c:pt idx="92">
                  <c:v>97.618610311616308</c:v>
                </c:pt>
                <c:pt idx="93">
                  <c:v>99.195621441865882</c:v>
                </c:pt>
                <c:pt idx="94">
                  <c:v>100.70593206699205</c:v>
                </c:pt>
                <c:pt idx="95">
                  <c:v>102.1750386575571</c:v>
                </c:pt>
                <c:pt idx="96">
                  <c:v>103.62206684088139</c:v>
                </c:pt>
                <c:pt idx="97">
                  <c:v>104.99540357902005</c:v>
                </c:pt>
                <c:pt idx="98">
                  <c:v>106.40399757685623</c:v>
                </c:pt>
                <c:pt idx="99">
                  <c:v>107.91039756978898</c:v>
                </c:pt>
                <c:pt idx="100">
                  <c:v>109.44793614585478</c:v>
                </c:pt>
                <c:pt idx="101">
                  <c:v>110.97365825410114</c:v>
                </c:pt>
                <c:pt idx="102">
                  <c:v>112.44444891341256</c:v>
                </c:pt>
                <c:pt idx="103">
                  <c:v>113.92077836962603</c:v>
                </c:pt>
                <c:pt idx="104">
                  <c:v>115.22555331213891</c:v>
                </c:pt>
                <c:pt idx="105">
                  <c:v>116.58707142886063</c:v>
                </c:pt>
                <c:pt idx="106">
                  <c:v>117.95527888422583</c:v>
                </c:pt>
                <c:pt idx="107">
                  <c:v>119.18511396197108</c:v>
                </c:pt>
                <c:pt idx="108">
                  <c:v>120.28519154714333</c:v>
                </c:pt>
                <c:pt idx="109">
                  <c:v>121.45837809023519</c:v>
                </c:pt>
                <c:pt idx="110">
                  <c:v>122.60221824923435</c:v>
                </c:pt>
                <c:pt idx="111">
                  <c:v>123.74528991296395</c:v>
                </c:pt>
                <c:pt idx="112">
                  <c:v>124.89618370796464</c:v>
                </c:pt>
                <c:pt idx="113">
                  <c:v>125.96168856542829</c:v>
                </c:pt>
                <c:pt idx="114">
                  <c:v>127.02644229863927</c:v>
                </c:pt>
                <c:pt idx="115">
                  <c:v>128.12992016523501</c:v>
                </c:pt>
                <c:pt idx="116">
                  <c:v>129.20851346790653</c:v>
                </c:pt>
                <c:pt idx="117">
                  <c:v>130.31391906960533</c:v>
                </c:pt>
                <c:pt idx="118">
                  <c:v>131.32237326170329</c:v>
                </c:pt>
                <c:pt idx="119">
                  <c:v>132.27616691865745</c:v>
                </c:pt>
                <c:pt idx="120">
                  <c:v>133.25357813313008</c:v>
                </c:pt>
                <c:pt idx="121">
                  <c:v>134.2709692739808</c:v>
                </c:pt>
                <c:pt idx="122">
                  <c:v>135.16785786311343</c:v>
                </c:pt>
                <c:pt idx="123">
                  <c:v>136.00261268294454</c:v>
                </c:pt>
                <c:pt idx="124">
                  <c:v>136.90794331644585</c:v>
                </c:pt>
                <c:pt idx="125">
                  <c:v>137.83882006181369</c:v>
                </c:pt>
                <c:pt idx="126">
                  <c:v>138.79430986180762</c:v>
                </c:pt>
                <c:pt idx="127">
                  <c:v>139.70421578412297</c:v>
                </c:pt>
                <c:pt idx="128">
                  <c:v>140.49390964725652</c:v>
                </c:pt>
                <c:pt idx="129">
                  <c:v>141.22388645422882</c:v>
                </c:pt>
                <c:pt idx="130">
                  <c:v>141.97614890819494</c:v>
                </c:pt>
                <c:pt idx="131">
                  <c:v>142.74626625084289</c:v>
                </c:pt>
                <c:pt idx="132">
                  <c:v>143.4927275612053</c:v>
                </c:pt>
                <c:pt idx="133">
                  <c:v>144.25907377971114</c:v>
                </c:pt>
                <c:pt idx="134">
                  <c:v>145.02357978835528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45351</c:v>
                </c:pt>
                <c:pt idx="1">
                  <c:v>45352</c:v>
                </c:pt>
                <c:pt idx="2">
                  <c:v>45353</c:v>
                </c:pt>
                <c:pt idx="3">
                  <c:v>45354</c:v>
                </c:pt>
                <c:pt idx="4">
                  <c:v>45355</c:v>
                </c:pt>
                <c:pt idx="5">
                  <c:v>45356</c:v>
                </c:pt>
                <c:pt idx="6">
                  <c:v>45357</c:v>
                </c:pt>
                <c:pt idx="7">
                  <c:v>45358</c:v>
                </c:pt>
                <c:pt idx="8">
                  <c:v>45359</c:v>
                </c:pt>
                <c:pt idx="9">
                  <c:v>45360</c:v>
                </c:pt>
                <c:pt idx="10">
                  <c:v>45361</c:v>
                </c:pt>
                <c:pt idx="11">
                  <c:v>45362</c:v>
                </c:pt>
                <c:pt idx="12">
                  <c:v>45363</c:v>
                </c:pt>
                <c:pt idx="13">
                  <c:v>45364</c:v>
                </c:pt>
                <c:pt idx="14">
                  <c:v>45365</c:v>
                </c:pt>
                <c:pt idx="15">
                  <c:v>45366</c:v>
                </c:pt>
                <c:pt idx="16">
                  <c:v>45367</c:v>
                </c:pt>
                <c:pt idx="17">
                  <c:v>45368</c:v>
                </c:pt>
                <c:pt idx="18">
                  <c:v>45369</c:v>
                </c:pt>
                <c:pt idx="19">
                  <c:v>45370</c:v>
                </c:pt>
                <c:pt idx="20">
                  <c:v>45371</c:v>
                </c:pt>
                <c:pt idx="21">
                  <c:v>45372</c:v>
                </c:pt>
                <c:pt idx="22">
                  <c:v>45373</c:v>
                </c:pt>
                <c:pt idx="23">
                  <c:v>45374</c:v>
                </c:pt>
                <c:pt idx="24">
                  <c:v>45375</c:v>
                </c:pt>
                <c:pt idx="25">
                  <c:v>45376</c:v>
                </c:pt>
                <c:pt idx="26">
                  <c:v>45377</c:v>
                </c:pt>
                <c:pt idx="27">
                  <c:v>45378</c:v>
                </c:pt>
                <c:pt idx="28">
                  <c:v>45379</c:v>
                </c:pt>
                <c:pt idx="29">
                  <c:v>45380</c:v>
                </c:pt>
                <c:pt idx="30">
                  <c:v>45381</c:v>
                </c:pt>
                <c:pt idx="31">
                  <c:v>45382</c:v>
                </c:pt>
                <c:pt idx="32">
                  <c:v>45383</c:v>
                </c:pt>
                <c:pt idx="33">
                  <c:v>45384</c:v>
                </c:pt>
                <c:pt idx="34">
                  <c:v>45385</c:v>
                </c:pt>
                <c:pt idx="35">
                  <c:v>45386</c:v>
                </c:pt>
                <c:pt idx="36">
                  <c:v>45387</c:v>
                </c:pt>
                <c:pt idx="37">
                  <c:v>45388</c:v>
                </c:pt>
                <c:pt idx="38">
                  <c:v>45389</c:v>
                </c:pt>
                <c:pt idx="39">
                  <c:v>45390</c:v>
                </c:pt>
                <c:pt idx="40">
                  <c:v>45391</c:v>
                </c:pt>
                <c:pt idx="41">
                  <c:v>45392</c:v>
                </c:pt>
                <c:pt idx="42">
                  <c:v>45393</c:v>
                </c:pt>
                <c:pt idx="43">
                  <c:v>45394</c:v>
                </c:pt>
                <c:pt idx="44">
                  <c:v>45395</c:v>
                </c:pt>
                <c:pt idx="45">
                  <c:v>45396</c:v>
                </c:pt>
                <c:pt idx="46">
                  <c:v>45397</c:v>
                </c:pt>
                <c:pt idx="47">
                  <c:v>45398</c:v>
                </c:pt>
                <c:pt idx="48">
                  <c:v>45399</c:v>
                </c:pt>
                <c:pt idx="49">
                  <c:v>45400</c:v>
                </c:pt>
                <c:pt idx="50">
                  <c:v>45401</c:v>
                </c:pt>
                <c:pt idx="51">
                  <c:v>45402</c:v>
                </c:pt>
                <c:pt idx="52">
                  <c:v>45403</c:v>
                </c:pt>
                <c:pt idx="53">
                  <c:v>45404</c:v>
                </c:pt>
                <c:pt idx="54">
                  <c:v>45405</c:v>
                </c:pt>
                <c:pt idx="55">
                  <c:v>45406</c:v>
                </c:pt>
                <c:pt idx="56">
                  <c:v>45407</c:v>
                </c:pt>
                <c:pt idx="57">
                  <c:v>45408</c:v>
                </c:pt>
                <c:pt idx="58">
                  <c:v>45409</c:v>
                </c:pt>
                <c:pt idx="59">
                  <c:v>45410</c:v>
                </c:pt>
                <c:pt idx="60">
                  <c:v>45411</c:v>
                </c:pt>
                <c:pt idx="61">
                  <c:v>45412</c:v>
                </c:pt>
                <c:pt idx="62">
                  <c:v>45413</c:v>
                </c:pt>
                <c:pt idx="63">
                  <c:v>45414</c:v>
                </c:pt>
                <c:pt idx="64">
                  <c:v>45415</c:v>
                </c:pt>
                <c:pt idx="65">
                  <c:v>45416</c:v>
                </c:pt>
                <c:pt idx="66">
                  <c:v>45417</c:v>
                </c:pt>
                <c:pt idx="67">
                  <c:v>45418</c:v>
                </c:pt>
                <c:pt idx="68">
                  <c:v>45419</c:v>
                </c:pt>
                <c:pt idx="69">
                  <c:v>45420</c:v>
                </c:pt>
                <c:pt idx="70">
                  <c:v>45421</c:v>
                </c:pt>
                <c:pt idx="71">
                  <c:v>45422</c:v>
                </c:pt>
                <c:pt idx="72">
                  <c:v>45423</c:v>
                </c:pt>
                <c:pt idx="73">
                  <c:v>45424</c:v>
                </c:pt>
                <c:pt idx="74">
                  <c:v>45425</c:v>
                </c:pt>
                <c:pt idx="75">
                  <c:v>45426</c:v>
                </c:pt>
                <c:pt idx="76">
                  <c:v>45427</c:v>
                </c:pt>
                <c:pt idx="77">
                  <c:v>45428</c:v>
                </c:pt>
                <c:pt idx="78">
                  <c:v>45429</c:v>
                </c:pt>
                <c:pt idx="79">
                  <c:v>45430</c:v>
                </c:pt>
                <c:pt idx="80">
                  <c:v>45431</c:v>
                </c:pt>
                <c:pt idx="81">
                  <c:v>45432</c:v>
                </c:pt>
                <c:pt idx="82">
                  <c:v>45433</c:v>
                </c:pt>
                <c:pt idx="83">
                  <c:v>45434</c:v>
                </c:pt>
                <c:pt idx="84">
                  <c:v>45435</c:v>
                </c:pt>
                <c:pt idx="85">
                  <c:v>45436</c:v>
                </c:pt>
                <c:pt idx="86">
                  <c:v>45437</c:v>
                </c:pt>
                <c:pt idx="87">
                  <c:v>45438</c:v>
                </c:pt>
                <c:pt idx="88">
                  <c:v>45439</c:v>
                </c:pt>
                <c:pt idx="89">
                  <c:v>45440</c:v>
                </c:pt>
                <c:pt idx="90">
                  <c:v>45441</c:v>
                </c:pt>
                <c:pt idx="91">
                  <c:v>45442</c:v>
                </c:pt>
                <c:pt idx="92">
                  <c:v>45443</c:v>
                </c:pt>
                <c:pt idx="93">
                  <c:v>45444</c:v>
                </c:pt>
                <c:pt idx="94">
                  <c:v>45445</c:v>
                </c:pt>
                <c:pt idx="95">
                  <c:v>45446</c:v>
                </c:pt>
                <c:pt idx="96">
                  <c:v>45447</c:v>
                </c:pt>
                <c:pt idx="97">
                  <c:v>45448</c:v>
                </c:pt>
                <c:pt idx="98">
                  <c:v>45449</c:v>
                </c:pt>
                <c:pt idx="99">
                  <c:v>45450</c:v>
                </c:pt>
                <c:pt idx="100">
                  <c:v>45451</c:v>
                </c:pt>
                <c:pt idx="101">
                  <c:v>45452</c:v>
                </c:pt>
                <c:pt idx="102">
                  <c:v>45453</c:v>
                </c:pt>
                <c:pt idx="103">
                  <c:v>45454</c:v>
                </c:pt>
                <c:pt idx="104">
                  <c:v>45455</c:v>
                </c:pt>
                <c:pt idx="105">
                  <c:v>45456</c:v>
                </c:pt>
                <c:pt idx="106">
                  <c:v>45457</c:v>
                </c:pt>
                <c:pt idx="107">
                  <c:v>45458</c:v>
                </c:pt>
                <c:pt idx="108">
                  <c:v>45459</c:v>
                </c:pt>
                <c:pt idx="109">
                  <c:v>45460</c:v>
                </c:pt>
                <c:pt idx="110">
                  <c:v>45461</c:v>
                </c:pt>
                <c:pt idx="111">
                  <c:v>45462</c:v>
                </c:pt>
                <c:pt idx="112">
                  <c:v>45463</c:v>
                </c:pt>
                <c:pt idx="113">
                  <c:v>45464</c:v>
                </c:pt>
                <c:pt idx="114">
                  <c:v>45465</c:v>
                </c:pt>
                <c:pt idx="115">
                  <c:v>45466</c:v>
                </c:pt>
                <c:pt idx="116">
                  <c:v>45467</c:v>
                </c:pt>
                <c:pt idx="117">
                  <c:v>45468</c:v>
                </c:pt>
                <c:pt idx="118">
                  <c:v>45469</c:v>
                </c:pt>
                <c:pt idx="119">
                  <c:v>45470</c:v>
                </c:pt>
                <c:pt idx="120">
                  <c:v>45471</c:v>
                </c:pt>
                <c:pt idx="121">
                  <c:v>45472</c:v>
                </c:pt>
                <c:pt idx="122">
                  <c:v>45473</c:v>
                </c:pt>
                <c:pt idx="123">
                  <c:v>45474</c:v>
                </c:pt>
                <c:pt idx="124">
                  <c:v>45475</c:v>
                </c:pt>
                <c:pt idx="125">
                  <c:v>45476</c:v>
                </c:pt>
                <c:pt idx="126">
                  <c:v>45477</c:v>
                </c:pt>
                <c:pt idx="127">
                  <c:v>45478</c:v>
                </c:pt>
                <c:pt idx="128">
                  <c:v>45479</c:v>
                </c:pt>
                <c:pt idx="129">
                  <c:v>45480</c:v>
                </c:pt>
                <c:pt idx="130">
                  <c:v>45481</c:v>
                </c:pt>
                <c:pt idx="131">
                  <c:v>45482</c:v>
                </c:pt>
                <c:pt idx="132">
                  <c:v>45483</c:v>
                </c:pt>
                <c:pt idx="133">
                  <c:v>45484</c:v>
                </c:pt>
                <c:pt idx="134">
                  <c:v>45485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29.557779306171948</c:v>
                </c:pt>
                <c:pt idx="1">
                  <c:v>29.518478935316686</c:v>
                </c:pt>
                <c:pt idx="2">
                  <c:v>29.444078759133063</c:v>
                </c:pt>
                <c:pt idx="3">
                  <c:v>29.369091092309425</c:v>
                </c:pt>
                <c:pt idx="4">
                  <c:v>29.290724813284484</c:v>
                </c:pt>
                <c:pt idx="5">
                  <c:v>29.245005439785245</c:v>
                </c:pt>
                <c:pt idx="6">
                  <c:v>29.218737936244754</c:v>
                </c:pt>
                <c:pt idx="7">
                  <c:v>29.210259141123039</c:v>
                </c:pt>
                <c:pt idx="8">
                  <c:v>29.215297497339961</c:v>
                </c:pt>
                <c:pt idx="9">
                  <c:v>29.235558490836009</c:v>
                </c:pt>
                <c:pt idx="10">
                  <c:v>29.254722615882734</c:v>
                </c:pt>
                <c:pt idx="11">
                  <c:v>29.266213735643436</c:v>
                </c:pt>
                <c:pt idx="12">
                  <c:v>29.282146918182107</c:v>
                </c:pt>
                <c:pt idx="13">
                  <c:v>29.307553212069372</c:v>
                </c:pt>
                <c:pt idx="14">
                  <c:v>29.35989908091258</c:v>
                </c:pt>
                <c:pt idx="15">
                  <c:v>29.188384791296286</c:v>
                </c:pt>
                <c:pt idx="16">
                  <c:v>29.016790822035553</c:v>
                </c:pt>
                <c:pt idx="17">
                  <c:v>28.847449324681957</c:v>
                </c:pt>
                <c:pt idx="18">
                  <c:v>28.670433009518476</c:v>
                </c:pt>
                <c:pt idx="19">
                  <c:v>28.485291865178812</c:v>
                </c:pt>
                <c:pt idx="20">
                  <c:v>28.29525638104403</c:v>
                </c:pt>
                <c:pt idx="21">
                  <c:v>28.098542356066233</c:v>
                </c:pt>
                <c:pt idx="22">
                  <c:v>27.89379128936179</c:v>
                </c:pt>
                <c:pt idx="23">
                  <c:v>27.676591385743819</c:v>
                </c:pt>
                <c:pt idx="24">
                  <c:v>27.442175223635431</c:v>
                </c:pt>
                <c:pt idx="25">
                  <c:v>27.202481648567375</c:v>
                </c:pt>
                <c:pt idx="26">
                  <c:v>26.934983020968865</c:v>
                </c:pt>
                <c:pt idx="27">
                  <c:v>26.640364003163533</c:v>
                </c:pt>
                <c:pt idx="28">
                  <c:v>26.322588617181658</c:v>
                </c:pt>
                <c:pt idx="29">
                  <c:v>25.9792414293062</c:v>
                </c:pt>
                <c:pt idx="30">
                  <c:v>25.627515126603694</c:v>
                </c:pt>
                <c:pt idx="31">
                  <c:v>25.261811953747397</c:v>
                </c:pt>
                <c:pt idx="32">
                  <c:v>24.854672283137383</c:v>
                </c:pt>
                <c:pt idx="33">
                  <c:v>24.427733951436885</c:v>
                </c:pt>
                <c:pt idx="34">
                  <c:v>23.986236497412008</c:v>
                </c:pt>
                <c:pt idx="35">
                  <c:v>23.521969693514674</c:v>
                </c:pt>
                <c:pt idx="36">
                  <c:v>23.024022010968348</c:v>
                </c:pt>
                <c:pt idx="37">
                  <c:v>22.503461104687759</c:v>
                </c:pt>
                <c:pt idx="38">
                  <c:v>21.949451071522905</c:v>
                </c:pt>
                <c:pt idx="39">
                  <c:v>21.389459162753788</c:v>
                </c:pt>
                <c:pt idx="40">
                  <c:v>20.843707897666341</c:v>
                </c:pt>
                <c:pt idx="41">
                  <c:v>20.255435040908001</c:v>
                </c:pt>
                <c:pt idx="42">
                  <c:v>19.644488713953379</c:v>
                </c:pt>
                <c:pt idx="43">
                  <c:v>18.975057519063288</c:v>
                </c:pt>
                <c:pt idx="44">
                  <c:v>18.290171645683238</c:v>
                </c:pt>
                <c:pt idx="45">
                  <c:v>17.503283905737007</c:v>
                </c:pt>
                <c:pt idx="46">
                  <c:v>16.694673755523365</c:v>
                </c:pt>
                <c:pt idx="47">
                  <c:v>15.828090670604755</c:v>
                </c:pt>
                <c:pt idx="48">
                  <c:v>14.966675151853607</c:v>
                </c:pt>
                <c:pt idx="49">
                  <c:v>14.051603850543405</c:v>
                </c:pt>
                <c:pt idx="50">
                  <c:v>13.061722102612386</c:v>
                </c:pt>
                <c:pt idx="51">
                  <c:v>12.101588080696471</c:v>
                </c:pt>
                <c:pt idx="52">
                  <c:v>11.113160772709101</c:v>
                </c:pt>
                <c:pt idx="53">
                  <c:v>10.026070395387546</c:v>
                </c:pt>
                <c:pt idx="54">
                  <c:v>8.9517769057226229</c:v>
                </c:pt>
                <c:pt idx="55">
                  <c:v>7.7806762908632408</c:v>
                </c:pt>
                <c:pt idx="56">
                  <c:v>6.5426484319806661</c:v>
                </c:pt>
                <c:pt idx="57">
                  <c:v>5.2429073929195349</c:v>
                </c:pt>
                <c:pt idx="58">
                  <c:v>3.8634902339316879</c:v>
                </c:pt>
                <c:pt idx="59">
                  <c:v>2.6044534371679413</c:v>
                </c:pt>
                <c:pt idx="60">
                  <c:v>1.3426162353556039</c:v>
                </c:pt>
                <c:pt idx="61">
                  <c:v>8.3654931058716908E-2</c:v>
                </c:pt>
                <c:pt idx="62">
                  <c:v>-1.2290440717817441</c:v>
                </c:pt>
                <c:pt idx="63">
                  <c:v>-2.5752980407724624</c:v>
                </c:pt>
                <c:pt idx="64">
                  <c:v>-4.0308516247646935</c:v>
                </c:pt>
                <c:pt idx="65">
                  <c:v>-5.5232130094384946</c:v>
                </c:pt>
                <c:pt idx="66">
                  <c:v>-7.1605162630378079</c:v>
                </c:pt>
                <c:pt idx="67">
                  <c:v>-8.7791453836305831</c:v>
                </c:pt>
                <c:pt idx="68">
                  <c:v>-10.270314403940576</c:v>
                </c:pt>
                <c:pt idx="69">
                  <c:v>-11.819126923209707</c:v>
                </c:pt>
                <c:pt idx="70">
                  <c:v>-13.375826656833532</c:v>
                </c:pt>
                <c:pt idx="71">
                  <c:v>-15.019022664680673</c:v>
                </c:pt>
                <c:pt idx="72">
                  <c:v>-16.747950273119464</c:v>
                </c:pt>
                <c:pt idx="73">
                  <c:v>-18.401886879613226</c:v>
                </c:pt>
                <c:pt idx="74">
                  <c:v>-20.059888650512896</c:v>
                </c:pt>
                <c:pt idx="75">
                  <c:v>-21.672141182719084</c:v>
                </c:pt>
                <c:pt idx="76">
                  <c:v>-23.397301423336859</c:v>
                </c:pt>
                <c:pt idx="77">
                  <c:v>-24.979805262740314</c:v>
                </c:pt>
                <c:pt idx="78">
                  <c:v>-26.53683250274123</c:v>
                </c:pt>
                <c:pt idx="79">
                  <c:v>-28.161773104634939</c:v>
                </c:pt>
                <c:pt idx="80">
                  <c:v>-29.80855853069011</c:v>
                </c:pt>
                <c:pt idx="81">
                  <c:v>-31.41278421394318</c:v>
                </c:pt>
                <c:pt idx="82">
                  <c:v>-32.876833893058624</c:v>
                </c:pt>
                <c:pt idx="83">
                  <c:v>-34.464209778450225</c:v>
                </c:pt>
                <c:pt idx="84">
                  <c:v>-36.004212682640102</c:v>
                </c:pt>
                <c:pt idx="85">
                  <c:v>-37.468875014944892</c:v>
                </c:pt>
                <c:pt idx="86">
                  <c:v>-38.950854796285036</c:v>
                </c:pt>
                <c:pt idx="87">
                  <c:v>-40.417708268628054</c:v>
                </c:pt>
                <c:pt idx="88">
                  <c:v>-41.831885586654415</c:v>
                </c:pt>
                <c:pt idx="89">
                  <c:v>-43.269222612559879</c:v>
                </c:pt>
                <c:pt idx="90">
                  <c:v>-44.621872128403879</c:v>
                </c:pt>
                <c:pt idx="91">
                  <c:v>-45.9845240925277</c:v>
                </c:pt>
                <c:pt idx="92">
                  <c:v>-47.35122092512637</c:v>
                </c:pt>
                <c:pt idx="93">
                  <c:v>-48.652819939651678</c:v>
                </c:pt>
                <c:pt idx="94">
                  <c:v>-49.891602257415258</c:v>
                </c:pt>
                <c:pt idx="95">
                  <c:v>-51.088547572447212</c:v>
                </c:pt>
                <c:pt idx="96">
                  <c:v>-52.26474720094587</c:v>
                </c:pt>
                <c:pt idx="97">
                  <c:v>-53.374804699981532</c:v>
                </c:pt>
                <c:pt idx="98">
                  <c:v>-54.507960279918578</c:v>
                </c:pt>
                <c:pt idx="99">
                  <c:v>-55.7170948266251</c:v>
                </c:pt>
                <c:pt idx="100">
                  <c:v>-56.948629227176305</c:v>
                </c:pt>
                <c:pt idx="101">
                  <c:v>-58.162380174238521</c:v>
                </c:pt>
                <c:pt idx="102">
                  <c:v>-59.327589462505827</c:v>
                </c:pt>
                <c:pt idx="103">
                  <c:v>-60.476364276909713</c:v>
                </c:pt>
                <c:pt idx="104">
                  <c:v>-61.474766919394035</c:v>
                </c:pt>
                <c:pt idx="105">
                  <c:v>-62.515406334258181</c:v>
                </c:pt>
                <c:pt idx="106">
                  <c:v>-63.542128168632345</c:v>
                </c:pt>
                <c:pt idx="107">
                  <c:v>-64.443050119434545</c:v>
                </c:pt>
                <c:pt idx="108">
                  <c:v>-65.223033193314862</c:v>
                </c:pt>
                <c:pt idx="109">
                  <c:v>-66.050774639240842</c:v>
                </c:pt>
                <c:pt idx="110">
                  <c:v>-66.84433482861661</c:v>
                </c:pt>
                <c:pt idx="111">
                  <c:v>-67.62664063756614</c:v>
                </c:pt>
                <c:pt idx="112">
                  <c:v>-68.404223545131487</c:v>
                </c:pt>
                <c:pt idx="113">
                  <c:v>-69.104554532338184</c:v>
                </c:pt>
                <c:pt idx="114">
                  <c:v>-69.799390836721088</c:v>
                </c:pt>
                <c:pt idx="115">
                  <c:v>-70.516114046932486</c:v>
                </c:pt>
                <c:pt idx="116">
                  <c:v>-71.210572144579899</c:v>
                </c:pt>
                <c:pt idx="117">
                  <c:v>-71.921259433363616</c:v>
                </c:pt>
                <c:pt idx="118">
                  <c:v>-72.555998073081426</c:v>
                </c:pt>
                <c:pt idx="119">
                  <c:v>-73.146533137394727</c:v>
                </c:pt>
                <c:pt idx="120">
                  <c:v>-73.751400733071009</c:v>
                </c:pt>
                <c:pt idx="121">
                  <c:v>-74.381995771346851</c:v>
                </c:pt>
                <c:pt idx="122">
                  <c:v>-74.920206175124932</c:v>
                </c:pt>
                <c:pt idx="123">
                  <c:v>-75.409264744135626</c:v>
                </c:pt>
                <c:pt idx="124">
                  <c:v>-75.94727289250531</c:v>
                </c:pt>
                <c:pt idx="125">
                  <c:v>-76.50007811151724</c:v>
                </c:pt>
                <c:pt idx="126">
                  <c:v>-77.066287536102479</c:v>
                </c:pt>
                <c:pt idx="127">
                  <c:v>-77.595725355839107</c:v>
                </c:pt>
                <c:pt idx="128">
                  <c:v>-78.035301565719578</c:v>
                </c:pt>
                <c:pt idx="129">
                  <c:v>-78.428661340990701</c:v>
                </c:pt>
                <c:pt idx="130">
                  <c:v>-78.835225714369358</c:v>
                </c:pt>
                <c:pt idx="131">
                  <c:v>-79.251296563574741</c:v>
                </c:pt>
                <c:pt idx="132">
                  <c:v>-79.64726858952416</c:v>
                </c:pt>
                <c:pt idx="133">
                  <c:v>-80.053681947106114</c:v>
                </c:pt>
                <c:pt idx="134">
                  <c:v>-80.455021864748289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0.36311724657484895</c:v>
                </c:pt>
                <c:pt idx="1">
                  <c:v>0.7218442941448755</c:v>
                </c:pt>
                <c:pt idx="2">
                  <c:v>1.0775543341544718</c:v>
                </c:pt>
                <c:pt idx="3">
                  <c:v>1.4226294539541029</c:v>
                </c:pt>
                <c:pt idx="4">
                  <c:v>1.8125624811441794</c:v>
                </c:pt>
                <c:pt idx="5">
                  <c:v>2.2015726432084346</c:v>
                </c:pt>
                <c:pt idx="6">
                  <c:v>2.5575105713523243</c:v>
                </c:pt>
                <c:pt idx="7">
                  <c:v>2.9209164773922063</c:v>
                </c:pt>
                <c:pt idx="8">
                  <c:v>3.2615515289368742</c:v>
                </c:pt>
                <c:pt idx="9">
                  <c:v>3.6389569727891469</c:v>
                </c:pt>
                <c:pt idx="10">
                  <c:v>4.0013703509744101</c:v>
                </c:pt>
                <c:pt idx="11">
                  <c:v>4.3789880428348935</c:v>
                </c:pt>
                <c:pt idx="12">
                  <c:v>4.7794928792025662</c:v>
                </c:pt>
                <c:pt idx="13">
                  <c:v>5.1783203410469518</c:v>
                </c:pt>
                <c:pt idx="14">
                  <c:v>5.5676238992019549</c:v>
                </c:pt>
                <c:pt idx="15">
                  <c:v>5.9570275549001268</c:v>
                </c:pt>
                <c:pt idx="16">
                  <c:v>6.340650629233191</c:v>
                </c:pt>
                <c:pt idx="17">
                  <c:v>6.6950786264080229</c:v>
                </c:pt>
                <c:pt idx="18">
                  <c:v>7.0731150000503238</c:v>
                </c:pt>
                <c:pt idx="19">
                  <c:v>7.4679091845903658</c:v>
                </c:pt>
                <c:pt idx="20">
                  <c:v>7.8464952729917972</c:v>
                </c:pt>
                <c:pt idx="21">
                  <c:v>8.210532057201485</c:v>
                </c:pt>
                <c:pt idx="22">
                  <c:v>8.5656859167016304</c:v>
                </c:pt>
                <c:pt idx="23">
                  <c:v>8.9218908118434879</c:v>
                </c:pt>
                <c:pt idx="24">
                  <c:v>9.2933746537073141</c:v>
                </c:pt>
                <c:pt idx="25">
                  <c:v>9.6330205569832223</c:v>
                </c:pt>
                <c:pt idx="26">
                  <c:v>9.997027475555333</c:v>
                </c:pt>
                <c:pt idx="27">
                  <c:v>10.370966572328911</c:v>
                </c:pt>
                <c:pt idx="28">
                  <c:v>10.739559003613339</c:v>
                </c:pt>
                <c:pt idx="29">
                  <c:v>11.120628550234903</c:v>
                </c:pt>
                <c:pt idx="30">
                  <c:v>11.476496952001177</c:v>
                </c:pt>
                <c:pt idx="31">
                  <c:v>11.811499786443461</c:v>
                </c:pt>
                <c:pt idx="32">
                  <c:v>12.156521229271286</c:v>
                </c:pt>
                <c:pt idx="33">
                  <c:v>12.488025554417973</c:v>
                </c:pt>
                <c:pt idx="34">
                  <c:v>12.805605538869562</c:v>
                </c:pt>
                <c:pt idx="35">
                  <c:v>13.11497024900604</c:v>
                </c:pt>
                <c:pt idx="36">
                  <c:v>13.433268166280408</c:v>
                </c:pt>
                <c:pt idx="37">
                  <c:v>13.762004383246918</c:v>
                </c:pt>
                <c:pt idx="38">
                  <c:v>14.09320658869658</c:v>
                </c:pt>
                <c:pt idx="39">
                  <c:v>14.416703121557092</c:v>
                </c:pt>
                <c:pt idx="40">
                  <c:v>14.712978238247358</c:v>
                </c:pt>
                <c:pt idx="41">
                  <c:v>15.012950256704496</c:v>
                </c:pt>
                <c:pt idx="42">
                  <c:v>15.309130029164971</c:v>
                </c:pt>
                <c:pt idx="43">
                  <c:v>15.614411054267659</c:v>
                </c:pt>
                <c:pt idx="44">
                  <c:v>15.904755186654194</c:v>
                </c:pt>
                <c:pt idx="45">
                  <c:v>16.208806860732796</c:v>
                </c:pt>
                <c:pt idx="46">
                  <c:v>16.497604565397172</c:v>
                </c:pt>
                <c:pt idx="47">
                  <c:v>16.791241610996746</c:v>
                </c:pt>
                <c:pt idx="48">
                  <c:v>17.063474881038328</c:v>
                </c:pt>
                <c:pt idx="49">
                  <c:v>17.332824779468172</c:v>
                </c:pt>
                <c:pt idx="50">
                  <c:v>17.610011204113327</c:v>
                </c:pt>
                <c:pt idx="51">
                  <c:v>17.864242648079504</c:v>
                </c:pt>
                <c:pt idx="52">
                  <c:v>18.108719498319942</c:v>
                </c:pt>
                <c:pt idx="53">
                  <c:v>18.361795297227225</c:v>
                </c:pt>
                <c:pt idx="54">
                  <c:v>18.602007396546814</c:v>
                </c:pt>
                <c:pt idx="55">
                  <c:v>18.855386992392731</c:v>
                </c:pt>
                <c:pt idx="56">
                  <c:v>19.105845358075101</c:v>
                </c:pt>
                <c:pt idx="57">
                  <c:v>19.361120232116512</c:v>
                </c:pt>
                <c:pt idx="58">
                  <c:v>19.626891451975457</c:v>
                </c:pt>
                <c:pt idx="59">
                  <c:v>19.88300453435912</c:v>
                </c:pt>
                <c:pt idx="60">
                  <c:v>20.138118997751704</c:v>
                </c:pt>
                <c:pt idx="61">
                  <c:v>20.381524649882223</c:v>
                </c:pt>
                <c:pt idx="62">
                  <c:v>20.624428615691862</c:v>
                </c:pt>
                <c:pt idx="63">
                  <c:v>20.861676977308683</c:v>
                </c:pt>
                <c:pt idx="64">
                  <c:v>21.111203320580913</c:v>
                </c:pt>
                <c:pt idx="65">
                  <c:v>21.357315978551146</c:v>
                </c:pt>
                <c:pt idx="66">
                  <c:v>21.631769590986146</c:v>
                </c:pt>
                <c:pt idx="67">
                  <c:v>21.891647385571741</c:v>
                </c:pt>
                <c:pt idx="68">
                  <c:v>22.13374988058403</c:v>
                </c:pt>
                <c:pt idx="69">
                  <c:v>22.374849475025805</c:v>
                </c:pt>
                <c:pt idx="70">
                  <c:v>22.616248171119839</c:v>
                </c:pt>
                <c:pt idx="71">
                  <c:v>22.861621835709357</c:v>
                </c:pt>
                <c:pt idx="72">
                  <c:v>23.116554419100776</c:v>
                </c:pt>
                <c:pt idx="73">
                  <c:v>23.353828869545829</c:v>
                </c:pt>
                <c:pt idx="74">
                  <c:v>23.588772221658786</c:v>
                </c:pt>
                <c:pt idx="75">
                  <c:v>23.814060699788701</c:v>
                </c:pt>
                <c:pt idx="76">
                  <c:v>24.053397773064805</c:v>
                </c:pt>
                <c:pt idx="77">
                  <c:v>24.278418434177937</c:v>
                </c:pt>
                <c:pt idx="78">
                  <c:v>24.498635581130269</c:v>
                </c:pt>
                <c:pt idx="79">
                  <c:v>24.726759007127281</c:v>
                </c:pt>
                <c:pt idx="80">
                  <c:v>24.959310602425955</c:v>
                </c:pt>
                <c:pt idx="81">
                  <c:v>25.191512530609327</c:v>
                </c:pt>
                <c:pt idx="82">
                  <c:v>25.40713504455983</c:v>
                </c:pt>
                <c:pt idx="83">
                  <c:v>25.639226695139651</c:v>
                </c:pt>
                <c:pt idx="84">
                  <c:v>25.877753776666722</c:v>
                </c:pt>
                <c:pt idx="85">
                  <c:v>26.109599924346764</c:v>
                </c:pt>
                <c:pt idx="86">
                  <c:v>26.364314927131225</c:v>
                </c:pt>
                <c:pt idx="87">
                  <c:v>26.61342303989629</c:v>
                </c:pt>
                <c:pt idx="88">
                  <c:v>26.86023012202941</c:v>
                </c:pt>
                <c:pt idx="89">
                  <c:v>27.120342729392608</c:v>
                </c:pt>
                <c:pt idx="90">
                  <c:v>27.370249880780037</c:v>
                </c:pt>
                <c:pt idx="91">
                  <c:v>27.616847027649538</c:v>
                </c:pt>
                <c:pt idx="92">
                  <c:v>27.874028604716273</c:v>
                </c:pt>
                <c:pt idx="93">
                  <c:v>28.126062097400673</c:v>
                </c:pt>
                <c:pt idx="94">
                  <c:v>28.374060396103793</c:v>
                </c:pt>
                <c:pt idx="95">
                  <c:v>28.6223834583522</c:v>
                </c:pt>
                <c:pt idx="96">
                  <c:v>28.868943627864777</c:v>
                </c:pt>
                <c:pt idx="97">
                  <c:v>29.107994669857167</c:v>
                </c:pt>
                <c:pt idx="98">
                  <c:v>29.358346360581596</c:v>
                </c:pt>
                <c:pt idx="99">
                  <c:v>29.629065994919181</c:v>
                </c:pt>
                <c:pt idx="100">
                  <c:v>29.907628447954252</c:v>
                </c:pt>
                <c:pt idx="101">
                  <c:v>30.191675695244591</c:v>
                </c:pt>
                <c:pt idx="102">
                  <c:v>30.469306825170086</c:v>
                </c:pt>
                <c:pt idx="103">
                  <c:v>30.768298603523462</c:v>
                </c:pt>
                <c:pt idx="104">
                  <c:v>31.047340429634016</c:v>
                </c:pt>
                <c:pt idx="105">
                  <c:v>31.339833184952326</c:v>
                </c:pt>
                <c:pt idx="106">
                  <c:v>31.652373286830841</c:v>
                </c:pt>
                <c:pt idx="107">
                  <c:v>31.953358400655567</c:v>
                </c:pt>
                <c:pt idx="108">
                  <c:v>32.246482223375189</c:v>
                </c:pt>
                <c:pt idx="109">
                  <c:v>32.563819724979602</c:v>
                </c:pt>
                <c:pt idx="110">
                  <c:v>32.885932784635905</c:v>
                </c:pt>
                <c:pt idx="111">
                  <c:v>33.218172419320879</c:v>
                </c:pt>
                <c:pt idx="112">
                  <c:v>33.562500737039763</c:v>
                </c:pt>
                <c:pt idx="113">
                  <c:v>33.899316515968579</c:v>
                </c:pt>
                <c:pt idx="114">
                  <c:v>34.240557525757652</c:v>
                </c:pt>
                <c:pt idx="115">
                  <c:v>34.597842597812502</c:v>
                </c:pt>
                <c:pt idx="116">
                  <c:v>34.952470800894133</c:v>
                </c:pt>
                <c:pt idx="117">
                  <c:v>35.317007156675146</c:v>
                </c:pt>
                <c:pt idx="118">
                  <c:v>35.661433709533782</c:v>
                </c:pt>
                <c:pt idx="119">
                  <c:v>35.995796757934144</c:v>
                </c:pt>
                <c:pt idx="120">
                  <c:v>36.338866149606055</c:v>
                </c:pt>
                <c:pt idx="121">
                  <c:v>36.695364875793445</c:v>
                </c:pt>
                <c:pt idx="122">
                  <c:v>37.025057028061212</c:v>
                </c:pt>
                <c:pt idx="123">
                  <c:v>37.342338021345491</c:v>
                </c:pt>
                <c:pt idx="124">
                  <c:v>37.680072493876594</c:v>
                </c:pt>
                <c:pt idx="125">
                  <c:v>38.027937212737051</c:v>
                </c:pt>
                <c:pt idx="126">
                  <c:v>38.386373615820666</c:v>
                </c:pt>
                <c:pt idx="127">
                  <c:v>38.736383738339285</c:v>
                </c:pt>
                <c:pt idx="128">
                  <c:v>39.057540936574235</c:v>
                </c:pt>
                <c:pt idx="129">
                  <c:v>39.365849591980194</c:v>
                </c:pt>
                <c:pt idx="130">
                  <c:v>39.682739097214821</c:v>
                </c:pt>
                <c:pt idx="131">
                  <c:v>40.007519675102465</c:v>
                </c:pt>
                <c:pt idx="132">
                  <c:v>40.328902542589439</c:v>
                </c:pt>
                <c:pt idx="133">
                  <c:v>40.659226455965438</c:v>
                </c:pt>
                <c:pt idx="134">
                  <c:v>40.992605575553902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-0.40244834888033587</c:v>
                </c:pt>
                <c:pt idx="2">
                  <c:v>-0.80047576730562753</c:v>
                </c:pt>
                <c:pt idx="3">
                  <c:v>-1.2305859834988464</c:v>
                </c:pt>
                <c:pt idx="4">
                  <c:v>-1.6506487701221175</c:v>
                </c:pt>
                <c:pt idx="5">
                  <c:v>-2.1189480763371336</c:v>
                </c:pt>
                <c:pt idx="6">
                  <c:v>-2.5536776119006284</c:v>
                </c:pt>
                <c:pt idx="7">
                  <c:v>-2.9358830435850098</c:v>
                </c:pt>
                <c:pt idx="8">
                  <c:v>-3.3077677447466076</c:v>
                </c:pt>
                <c:pt idx="9">
                  <c:v>-3.6433644400743539</c:v>
                </c:pt>
                <c:pt idx="10">
                  <c:v>-4.0005088904305754</c:v>
                </c:pt>
                <c:pt idx="11">
                  <c:v>-4.3437581435691133</c:v>
                </c:pt>
                <c:pt idx="12">
                  <c:v>-4.7098847156688937</c:v>
                </c:pt>
                <c:pt idx="13">
                  <c:v>-5.0944563694978964</c:v>
                </c:pt>
                <c:pt idx="14">
                  <c:v>-5.4678775374550153</c:v>
                </c:pt>
                <c:pt idx="15">
                  <c:v>-5.8048352267668122</c:v>
                </c:pt>
                <c:pt idx="16">
                  <c:v>-6.1256021760825252</c:v>
                </c:pt>
                <c:pt idx="17">
                  <c:v>-6.4275768290604187</c:v>
                </c:pt>
                <c:pt idx="18">
                  <c:v>-6.701412813360335</c:v>
                </c:pt>
                <c:pt idx="19">
                  <c:v>-6.9742338208976076</c:v>
                </c:pt>
                <c:pt idx="20">
                  <c:v>-7.2371633401635922</c:v>
                </c:pt>
                <c:pt idx="21">
                  <c:v>-7.4762517575808509</c:v>
                </c:pt>
                <c:pt idx="22">
                  <c:v>-7.6955569143710623</c:v>
                </c:pt>
                <c:pt idx="23">
                  <c:v>-7.9065275101917702</c:v>
                </c:pt>
                <c:pt idx="24">
                  <c:v>-8.1061882155080216</c:v>
                </c:pt>
                <c:pt idx="25">
                  <c:v>-8.3067739590599725</c:v>
                </c:pt>
                <c:pt idx="26">
                  <c:v>-8.4794976585825719</c:v>
                </c:pt>
                <c:pt idx="27">
                  <c:v>-8.6525718342339548</c:v>
                </c:pt>
                <c:pt idx="28">
                  <c:v>-8.8181672996689375</c:v>
                </c:pt>
                <c:pt idx="29">
                  <c:v>-8.9714916814635455</c:v>
                </c:pt>
                <c:pt idx="30">
                  <c:v>-9.1263847067267267</c:v>
                </c:pt>
                <c:pt idx="31">
                  <c:v>-9.2663111402736984</c:v>
                </c:pt>
                <c:pt idx="32">
                  <c:v>-9.3908858760448464</c:v>
                </c:pt>
                <c:pt idx="33">
                  <c:v>-9.5089832430619321</c:v>
                </c:pt>
                <c:pt idx="34">
                  <c:v>-9.6167711392070014</c:v>
                </c:pt>
                <c:pt idx="35">
                  <c:v>-9.7161200395688976</c:v>
                </c:pt>
                <c:pt idx="36">
                  <c:v>-9.8078808562119502</c:v>
                </c:pt>
                <c:pt idx="37">
                  <c:v>-9.8988701164122954</c:v>
                </c:pt>
                <c:pt idx="38">
                  <c:v>-9.991663743151145</c:v>
                </c:pt>
                <c:pt idx="39">
                  <c:v>-10.07989193272685</c:v>
                </c:pt>
                <c:pt idx="40">
                  <c:v>-10.163564644180189</c:v>
                </c:pt>
                <c:pt idx="41">
                  <c:v>-10.237392872969773</c:v>
                </c:pt>
                <c:pt idx="42">
                  <c:v>-10.306522275399642</c:v>
                </c:pt>
                <c:pt idx="43">
                  <c:v>-10.370810161256616</c:v>
                </c:pt>
                <c:pt idx="44">
                  <c:v>-10.431501049615681</c:v>
                </c:pt>
                <c:pt idx="45">
                  <c:v>-10.485252418090054</c:v>
                </c:pt>
                <c:pt idx="46">
                  <c:v>-10.534544200306209</c:v>
                </c:pt>
                <c:pt idx="47">
                  <c:v>-10.577750932385213</c:v>
                </c:pt>
                <c:pt idx="48">
                  <c:v>-10.618378051783983</c:v>
                </c:pt>
                <c:pt idx="49">
                  <c:v>-10.653614464772767</c:v>
                </c:pt>
                <c:pt idx="50">
                  <c:v>-10.685152257447475</c:v>
                </c:pt>
                <c:pt idx="51">
                  <c:v>-10.714891540232975</c:v>
                </c:pt>
                <c:pt idx="52">
                  <c:v>-10.740749522159069</c:v>
                </c:pt>
                <c:pt idx="53">
                  <c:v>-10.763248131679374</c:v>
                </c:pt>
                <c:pt idx="54">
                  <c:v>-10.783892783295334</c:v>
                </c:pt>
                <c:pt idx="55">
                  <c:v>-10.802551215808803</c:v>
                </c:pt>
                <c:pt idx="56">
                  <c:v>-10.820657149186102</c:v>
                </c:pt>
                <c:pt idx="57">
                  <c:v>-10.836321745991958</c:v>
                </c:pt>
                <c:pt idx="58">
                  <c:v>-10.85123700239223</c:v>
                </c:pt>
                <c:pt idx="59">
                  <c:v>-10.865770479526597</c:v>
                </c:pt>
                <c:pt idx="60">
                  <c:v>-10.880683364896802</c:v>
                </c:pt>
                <c:pt idx="61">
                  <c:v>-10.894285062272514</c:v>
                </c:pt>
                <c:pt idx="62">
                  <c:v>-10.905597478187412</c:v>
                </c:pt>
                <c:pt idx="63">
                  <c:v>-10.915198021917393</c:v>
                </c:pt>
                <c:pt idx="64">
                  <c:v>-10.923044869416797</c:v>
                </c:pt>
                <c:pt idx="65">
                  <c:v>-10.929849472436127</c:v>
                </c:pt>
                <c:pt idx="66">
                  <c:v>-10.935222171155624</c:v>
                </c:pt>
                <c:pt idx="67">
                  <c:v>-10.939910142405813</c:v>
                </c:pt>
                <c:pt idx="68">
                  <c:v>-10.942946764875186</c:v>
                </c:pt>
                <c:pt idx="69">
                  <c:v>-10.944686010091205</c:v>
                </c:pt>
                <c:pt idx="70">
                  <c:v>-10.945182358915881</c:v>
                </c:pt>
                <c:pt idx="71">
                  <c:v>-10.94451635331257</c:v>
                </c:pt>
                <c:pt idx="72">
                  <c:v>-10.942733424118549</c:v>
                </c:pt>
                <c:pt idx="73">
                  <c:v>-10.939749260778283</c:v>
                </c:pt>
                <c:pt idx="74">
                  <c:v>-10.935933959860504</c:v>
                </c:pt>
                <c:pt idx="75">
                  <c:v>-10.931181722587644</c:v>
                </c:pt>
                <c:pt idx="76">
                  <c:v>-10.925702209917899</c:v>
                </c:pt>
                <c:pt idx="77">
                  <c:v>-10.919024736458843</c:v>
                </c:pt>
                <c:pt idx="78">
                  <c:v>-10.911456816452384</c:v>
                </c:pt>
                <c:pt idx="79">
                  <c:v>-10.903125821716307</c:v>
                </c:pt>
                <c:pt idx="80">
                  <c:v>-10.893690235586151</c:v>
                </c:pt>
                <c:pt idx="81">
                  <c:v>-10.883084141051311</c:v>
                </c:pt>
                <c:pt idx="82">
                  <c:v>-10.87123340785414</c:v>
                </c:pt>
                <c:pt idx="83">
                  <c:v>-10.858978951531936</c:v>
                </c:pt>
                <c:pt idx="84">
                  <c:v>-10.845148944117001</c:v>
                </c:pt>
                <c:pt idx="85">
                  <c:v>-10.829327569564958</c:v>
                </c:pt>
                <c:pt idx="86">
                  <c:v>-10.812627149397633</c:v>
                </c:pt>
                <c:pt idx="87">
                  <c:v>-10.793859220218485</c:v>
                </c:pt>
                <c:pt idx="88">
                  <c:v>-10.774248350905237</c:v>
                </c:pt>
                <c:pt idx="89">
                  <c:v>-10.754087444822572</c:v>
                </c:pt>
                <c:pt idx="90">
                  <c:v>-10.732782457296535</c:v>
                </c:pt>
                <c:pt idx="91">
                  <c:v>-10.711324892809268</c:v>
                </c:pt>
                <c:pt idx="92">
                  <c:v>-10.689022974357313</c:v>
                </c:pt>
                <c:pt idx="93">
                  <c:v>-10.665828097890801</c:v>
                </c:pt>
                <c:pt idx="94">
                  <c:v>-10.642449474850933</c:v>
                </c:pt>
                <c:pt idx="95">
                  <c:v>-10.618919466191466</c:v>
                </c:pt>
                <c:pt idx="96">
                  <c:v>-10.595081252906779</c:v>
                </c:pt>
                <c:pt idx="97">
                  <c:v>-10.570812867593721</c:v>
                </c:pt>
                <c:pt idx="98">
                  <c:v>-10.546584670483108</c:v>
                </c:pt>
                <c:pt idx="99">
                  <c:v>-10.521497943308402</c:v>
                </c:pt>
                <c:pt idx="100">
                  <c:v>-10.494952131419753</c:v>
                </c:pt>
                <c:pt idx="101">
                  <c:v>-10.467510408940234</c:v>
                </c:pt>
                <c:pt idx="102">
                  <c:v>-10.439586495046433</c:v>
                </c:pt>
                <c:pt idx="103">
                  <c:v>-10.411636253927815</c:v>
                </c:pt>
                <c:pt idx="104">
                  <c:v>-10.383073390471599</c:v>
                </c:pt>
                <c:pt idx="105">
                  <c:v>-10.355742916553593</c:v>
                </c:pt>
                <c:pt idx="106">
                  <c:v>-10.327356970014334</c:v>
                </c:pt>
                <c:pt idx="107">
                  <c:v>-10.298411450901801</c:v>
                </c:pt>
                <c:pt idx="108">
                  <c:v>-10.270483437783481</c:v>
                </c:pt>
                <c:pt idx="109">
                  <c:v>-10.243512749211179</c:v>
                </c:pt>
                <c:pt idx="110">
                  <c:v>-10.21540515364971</c:v>
                </c:pt>
                <c:pt idx="111">
                  <c:v>-10.187238243682613</c:v>
                </c:pt>
                <c:pt idx="112">
                  <c:v>-10.158712023587521</c:v>
                </c:pt>
                <c:pt idx="113">
                  <c:v>-10.12972945387107</c:v>
                </c:pt>
                <c:pt idx="114">
                  <c:v>-10.101371362542944</c:v>
                </c:pt>
                <c:pt idx="115">
                  <c:v>-10.072694943503938</c:v>
                </c:pt>
                <c:pt idx="116">
                  <c:v>-10.043225359174448</c:v>
                </c:pt>
                <c:pt idx="117">
                  <c:v>-10.013718357231967</c:v>
                </c:pt>
                <c:pt idx="118">
                  <c:v>-9.9835364000978917</c:v>
                </c:pt>
                <c:pt idx="119">
                  <c:v>-9.9542474005763832</c:v>
                </c:pt>
                <c:pt idx="120">
                  <c:v>-9.9253518563358849</c:v>
                </c:pt>
                <c:pt idx="121">
                  <c:v>-9.895877629211439</c:v>
                </c:pt>
                <c:pt idx="122">
                  <c:v>-9.8655802528239516</c:v>
                </c:pt>
                <c:pt idx="123">
                  <c:v>-9.8365942197371705</c:v>
                </c:pt>
                <c:pt idx="124">
                  <c:v>-9.8081789622010245</c:v>
                </c:pt>
                <c:pt idx="125">
                  <c:v>-9.7785909496005079</c:v>
                </c:pt>
                <c:pt idx="126">
                  <c:v>-9.7483841421050403</c:v>
                </c:pt>
                <c:pt idx="127">
                  <c:v>-9.717540169779971</c:v>
                </c:pt>
                <c:pt idx="128">
                  <c:v>-9.6870821897198649</c:v>
                </c:pt>
                <c:pt idx="129">
                  <c:v>-9.6581217347017283</c:v>
                </c:pt>
                <c:pt idx="130">
                  <c:v>-9.6298133584065031</c:v>
                </c:pt>
                <c:pt idx="131">
                  <c:v>-9.6010047830536625</c:v>
                </c:pt>
                <c:pt idx="132">
                  <c:v>-9.57173886749875</c:v>
                </c:pt>
                <c:pt idx="133">
                  <c:v>-9.5426324505727376</c:v>
                </c:pt>
                <c:pt idx="134">
                  <c:v>-9.5130235030248524</c:v>
                </c:pt>
                <c:pt idx="135">
                  <c:v>-9.4832365316113734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101.67683611994219</c:v>
                </c:pt>
                <c:pt idx="2">
                  <c:v>98.648847219126282</c:v>
                </c:pt>
                <c:pt idx="3">
                  <c:v>92.622492627273118</c:v>
                </c:pt>
                <c:pt idx="4">
                  <c:v>87.358078133683733</c:v>
                </c:pt>
                <c:pt idx="5">
                  <c:v>83.456790081048553</c:v>
                </c:pt>
                <c:pt idx="6">
                  <c:v>81.156957181822492</c:v>
                </c:pt>
                <c:pt idx="7">
                  <c:v>77.278523649800348</c:v>
                </c:pt>
                <c:pt idx="8">
                  <c:v>71.921420448194183</c:v>
                </c:pt>
                <c:pt idx="9">
                  <c:v>68.582236776579649</c:v>
                </c:pt>
                <c:pt idx="10">
                  <c:v>67.211196753503543</c:v>
                </c:pt>
                <c:pt idx="11">
                  <c:v>65.892241775395874</c:v>
                </c:pt>
                <c:pt idx="12">
                  <c:v>63.39966138445088</c:v>
                </c:pt>
                <c:pt idx="13">
                  <c:v>61.667344373400688</c:v>
                </c:pt>
                <c:pt idx="14">
                  <c:v>57.503831002766901</c:v>
                </c:pt>
                <c:pt idx="15">
                  <c:v>54.378389227066279</c:v>
                </c:pt>
                <c:pt idx="16">
                  <c:v>53.377093982604805</c:v>
                </c:pt>
                <c:pt idx="17">
                  <c:v>50.549585721287016</c:v>
                </c:pt>
                <c:pt idx="18">
                  <c:v>48.225615845308454</c:v>
                </c:pt>
                <c:pt idx="19">
                  <c:v>47.71675150670216</c:v>
                </c:pt>
                <c:pt idx="20">
                  <c:v>46.511569313862609</c:v>
                </c:pt>
                <c:pt idx="21">
                  <c:v>47.727866333344501</c:v>
                </c:pt>
                <c:pt idx="22">
                  <c:v>45.904054514797714</c:v>
                </c:pt>
                <c:pt idx="23">
                  <c:v>44.123986593702753</c:v>
                </c:pt>
                <c:pt idx="24">
                  <c:v>40.552123862191578</c:v>
                </c:pt>
                <c:pt idx="25">
                  <c:v>38.289344032015144</c:v>
                </c:pt>
                <c:pt idx="26">
                  <c:v>39.381207683790777</c:v>
                </c:pt>
                <c:pt idx="27">
                  <c:v>38.010039116641657</c:v>
                </c:pt>
                <c:pt idx="28">
                  <c:v>34.362396427442185</c:v>
                </c:pt>
                <c:pt idx="29">
                  <c:v>30.663969903045924</c:v>
                </c:pt>
                <c:pt idx="30">
                  <c:v>30.070921880121844</c:v>
                </c:pt>
                <c:pt idx="31">
                  <c:v>28.757066823859319</c:v>
                </c:pt>
                <c:pt idx="32">
                  <c:v>30.145574675359764</c:v>
                </c:pt>
                <c:pt idx="33">
                  <c:v>31.883961892374735</c:v>
                </c:pt>
                <c:pt idx="34">
                  <c:v>30.488790592857406</c:v>
                </c:pt>
                <c:pt idx="35">
                  <c:v>32.613817495375372</c:v>
                </c:pt>
                <c:pt idx="36">
                  <c:v>31.363004728333589</c:v>
                </c:pt>
                <c:pt idx="37">
                  <c:v>29.144622714183686</c:v>
                </c:pt>
                <c:pt idx="38">
                  <c:v>27.784414125560197</c:v>
                </c:pt>
                <c:pt idx="39">
                  <c:v>31.007956792621066</c:v>
                </c:pt>
                <c:pt idx="40">
                  <c:v>31.443697175615466</c:v>
                </c:pt>
                <c:pt idx="41">
                  <c:v>29.765321777098144</c:v>
                </c:pt>
                <c:pt idx="42">
                  <c:v>32.618440337324046</c:v>
                </c:pt>
                <c:pt idx="43">
                  <c:v>31.511285536526145</c:v>
                </c:pt>
                <c:pt idx="44">
                  <c:v>31.786515388473422</c:v>
                </c:pt>
                <c:pt idx="45">
                  <c:v>30.943068602048598</c:v>
                </c:pt>
                <c:pt idx="46">
                  <c:v>29.212715174479424</c:v>
                </c:pt>
                <c:pt idx="47">
                  <c:v>28.26011428571444</c:v>
                </c:pt>
                <c:pt idx="48">
                  <c:v>27.529392786960088</c:v>
                </c:pt>
                <c:pt idx="49">
                  <c:v>28.231210654025912</c:v>
                </c:pt>
                <c:pt idx="50">
                  <c:v>29.481356329291501</c:v>
                </c:pt>
                <c:pt idx="51">
                  <c:v>28.96741954492909</c:v>
                </c:pt>
                <c:pt idx="52">
                  <c:v>32.313685352870195</c:v>
                </c:pt>
                <c:pt idx="53">
                  <c:v>30.151201879630115</c:v>
                </c:pt>
                <c:pt idx="54">
                  <c:v>28.625861798918596</c:v>
                </c:pt>
                <c:pt idx="55">
                  <c:v>26.238915224624517</c:v>
                </c:pt>
                <c:pt idx="56">
                  <c:v>26.311332517111193</c:v>
                </c:pt>
                <c:pt idx="57">
                  <c:v>29.443448859965066</c:v>
                </c:pt>
                <c:pt idx="58">
                  <c:v>28.82904824670225</c:v>
                </c:pt>
                <c:pt idx="59">
                  <c:v>28.257359764828649</c:v>
                </c:pt>
                <c:pt idx="60">
                  <c:v>29.711169701251634</c:v>
                </c:pt>
                <c:pt idx="61">
                  <c:v>32.084134967304919</c:v>
                </c:pt>
                <c:pt idx="62">
                  <c:v>33.17641446895086</c:v>
                </c:pt>
                <c:pt idx="63">
                  <c:v>33.816563203202783</c:v>
                </c:pt>
                <c:pt idx="64">
                  <c:v>39.699506627050248</c:v>
                </c:pt>
                <c:pt idx="65">
                  <c:v>41.512741531055411</c:v>
                </c:pt>
                <c:pt idx="66">
                  <c:v>42.101163293398628</c:v>
                </c:pt>
                <c:pt idx="67">
                  <c:v>41.802754714543511</c:v>
                </c:pt>
                <c:pt idx="68">
                  <c:v>38.611784851429377</c:v>
                </c:pt>
                <c:pt idx="69">
                  <c:v>36.682834070510488</c:v>
                </c:pt>
                <c:pt idx="70">
                  <c:v>34.529423083036363</c:v>
                </c:pt>
                <c:pt idx="71">
                  <c:v>33.561104617189685</c:v>
                </c:pt>
                <c:pt idx="72">
                  <c:v>36.797425256188696</c:v>
                </c:pt>
                <c:pt idx="73">
                  <c:v>35.366728889818326</c:v>
                </c:pt>
                <c:pt idx="74">
                  <c:v>37.531366062489347</c:v>
                </c:pt>
                <c:pt idx="75">
                  <c:v>36.014270383427252</c:v>
                </c:pt>
                <c:pt idx="76">
                  <c:v>33.955274158072832</c:v>
                </c:pt>
                <c:pt idx="77">
                  <c:v>34.056443580771138</c:v>
                </c:pt>
                <c:pt idx="78">
                  <c:v>35.87953123651063</c:v>
                </c:pt>
                <c:pt idx="79">
                  <c:v>36.657572418093622</c:v>
                </c:pt>
                <c:pt idx="80">
                  <c:v>36.455852716000265</c:v>
                </c:pt>
                <c:pt idx="81">
                  <c:v>33.784112763570221</c:v>
                </c:pt>
                <c:pt idx="82">
                  <c:v>32.464517206726619</c:v>
                </c:pt>
                <c:pt idx="83">
                  <c:v>34.368386662198944</c:v>
                </c:pt>
                <c:pt idx="84">
                  <c:v>32.951151751902792</c:v>
                </c:pt>
                <c:pt idx="85">
                  <c:v>35.656033873545034</c:v>
                </c:pt>
                <c:pt idx="86">
                  <c:v>37.319186522595459</c:v>
                </c:pt>
                <c:pt idx="87">
                  <c:v>39.691841306010069</c:v>
                </c:pt>
                <c:pt idx="88">
                  <c:v>38.598472737429674</c:v>
                </c:pt>
                <c:pt idx="89">
                  <c:v>36.823591713512492</c:v>
                </c:pt>
                <c:pt idx="90">
                  <c:v>35.566068336150963</c:v>
                </c:pt>
                <c:pt idx="91">
                  <c:v>33.734951142463821</c:v>
                </c:pt>
                <c:pt idx="92">
                  <c:v>31.629429518190094</c:v>
                </c:pt>
                <c:pt idx="93">
                  <c:v>36.211584369428948</c:v>
                </c:pt>
                <c:pt idx="94">
                  <c:v>34.793040099541265</c:v>
                </c:pt>
                <c:pt idx="95">
                  <c:v>31.882363388610216</c:v>
                </c:pt>
                <c:pt idx="96">
                  <c:v>29.491512568646066</c:v>
                </c:pt>
                <c:pt idx="97">
                  <c:v>30.869158628184465</c:v>
                </c:pt>
                <c:pt idx="98">
                  <c:v>29.435837486581867</c:v>
                </c:pt>
                <c:pt idx="99">
                  <c:v>29.629508608101609</c:v>
                </c:pt>
                <c:pt idx="100">
                  <c:v>29.457407398795354</c:v>
                </c:pt>
                <c:pt idx="101">
                  <c:v>28.544346380004047</c:v>
                </c:pt>
                <c:pt idx="102">
                  <c:v>30.899062055719206</c:v>
                </c:pt>
                <c:pt idx="103">
                  <c:v>30.096737538957875</c:v>
                </c:pt>
                <c:pt idx="104">
                  <c:v>27.230854626973144</c:v>
                </c:pt>
                <c:pt idx="105">
                  <c:v>25.867246283299199</c:v>
                </c:pt>
                <c:pt idx="106">
                  <c:v>25.528887664298214</c:v>
                </c:pt>
                <c:pt idx="107">
                  <c:v>23.570770137041968</c:v>
                </c:pt>
                <c:pt idx="108">
                  <c:v>23.92611142239981</c:v>
                </c:pt>
                <c:pt idx="109">
                  <c:v>23.141343416284936</c:v>
                </c:pt>
                <c:pt idx="110">
                  <c:v>24.722633910353505</c:v>
                </c:pt>
                <c:pt idx="111">
                  <c:v>27.15886725076049</c:v>
                </c:pt>
                <c:pt idx="112">
                  <c:v>25.534483793107597</c:v>
                </c:pt>
                <c:pt idx="113">
                  <c:v>27.386264171604086</c:v>
                </c:pt>
                <c:pt idx="114">
                  <c:v>26.412343636490483</c:v>
                </c:pt>
                <c:pt idx="115">
                  <c:v>26.293985089635669</c:v>
                </c:pt>
                <c:pt idx="116">
                  <c:v>25.390076776611259</c:v>
                </c:pt>
                <c:pt idx="117">
                  <c:v>25.19093837989665</c:v>
                </c:pt>
                <c:pt idx="118">
                  <c:v>27.501909901314917</c:v>
                </c:pt>
                <c:pt idx="119">
                  <c:v>28.712503224857699</c:v>
                </c:pt>
                <c:pt idx="120">
                  <c:v>31.540599307563799</c:v>
                </c:pt>
                <c:pt idx="121">
                  <c:v>33.399611272198818</c:v>
                </c:pt>
                <c:pt idx="122">
                  <c:v>33.066186092663564</c:v>
                </c:pt>
                <c:pt idx="123">
                  <c:v>32.824926960500029</c:v>
                </c:pt>
                <c:pt idx="124">
                  <c:v>34.320212042210954</c:v>
                </c:pt>
                <c:pt idx="125">
                  <c:v>32.31302743928552</c:v>
                </c:pt>
                <c:pt idx="126">
                  <c:v>34.794142996001995</c:v>
                </c:pt>
                <c:pt idx="127">
                  <c:v>33.014075101624044</c:v>
                </c:pt>
                <c:pt idx="128">
                  <c:v>33.104824454202202</c:v>
                </c:pt>
                <c:pt idx="129">
                  <c:v>33.761662270216874</c:v>
                </c:pt>
                <c:pt idx="130">
                  <c:v>34.117522186983237</c:v>
                </c:pt>
                <c:pt idx="131">
                  <c:v>32.026031406191471</c:v>
                </c:pt>
                <c:pt idx="132">
                  <c:v>33.119724561867272</c:v>
                </c:pt>
                <c:pt idx="133">
                  <c:v>32.402523347509629</c:v>
                </c:pt>
                <c:pt idx="134">
                  <c:v>32.12959127419586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0.99999350482483917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8.532228988160839E-3</c:v>
                </c:pt>
                <c:pt idx="16">
                  <c:v>1.0739179617917071E-2</c:v>
                </c:pt>
                <c:pt idx="17">
                  <c:v>1.355892965855667E-2</c:v>
                </c:pt>
                <c:pt idx="18">
                  <c:v>1.7123421484225628E-2</c:v>
                </c:pt>
                <c:pt idx="19">
                  <c:v>2.1538072948406262E-2</c:v>
                </c:pt>
                <c:pt idx="20">
                  <c:v>2.6809358252199624E-2</c:v>
                </c:pt>
                <c:pt idx="21">
                  <c:v>3.3493154182760401E-2</c:v>
                </c:pt>
                <c:pt idx="22">
                  <c:v>4.1731353626365791E-2</c:v>
                </c:pt>
                <c:pt idx="23">
                  <c:v>5.2129217261005556E-2</c:v>
                </c:pt>
                <c:pt idx="24">
                  <c:v>6.6641130841995966E-2</c:v>
                </c:pt>
                <c:pt idx="25">
                  <c:v>8.3883058908410163E-2</c:v>
                </c:pt>
                <c:pt idx="26">
                  <c:v>0.10447555079288791</c:v>
                </c:pt>
                <c:pt idx="27">
                  <c:v>0.12761090993348417</c:v>
                </c:pt>
                <c:pt idx="28">
                  <c:v>0.15635350975558476</c:v>
                </c:pt>
                <c:pt idx="29">
                  <c:v>0.19138122635798832</c:v>
                </c:pt>
                <c:pt idx="30">
                  <c:v>0.23320551830291436</c:v>
                </c:pt>
                <c:pt idx="31">
                  <c:v>0.27777221944301222</c:v>
                </c:pt>
                <c:pt idx="32">
                  <c:v>0.32510512173903316</c:v>
                </c:pt>
                <c:pt idx="33">
                  <c:v>0.37542747128096576</c:v>
                </c:pt>
                <c:pt idx="34">
                  <c:v>0.43256321061131386</c:v>
                </c:pt>
                <c:pt idx="35">
                  <c:v>0.49115786539008255</c:v>
                </c:pt>
                <c:pt idx="36">
                  <c:v>0.54686968125730695</c:v>
                </c:pt>
                <c:pt idx="37">
                  <c:v>0.60727540167755234</c:v>
                </c:pt>
                <c:pt idx="38">
                  <c:v>0.66574007341216435</c:v>
                </c:pt>
                <c:pt idx="39">
                  <c:v>0.72073096329096065</c:v>
                </c:pt>
                <c:pt idx="40">
                  <c:v>0.76885901361132569</c:v>
                </c:pt>
                <c:pt idx="41">
                  <c:v>0.80999080120915179</c:v>
                </c:pt>
                <c:pt idx="42">
                  <c:v>0.84477308866868184</c:v>
                </c:pt>
                <c:pt idx="43">
                  <c:v>0.87359095949843868</c:v>
                </c:pt>
                <c:pt idx="44">
                  <c:v>0.89839692229687684</c:v>
                </c:pt>
                <c:pt idx="45">
                  <c:v>0.92011634652751262</c:v>
                </c:pt>
                <c:pt idx="46">
                  <c:v>0.93779963058254268</c:v>
                </c:pt>
                <c:pt idx="47">
                  <c:v>0.95230651966030999</c:v>
                </c:pt>
                <c:pt idx="48">
                  <c:v>0.96329022374082862</c:v>
                </c:pt>
                <c:pt idx="49">
                  <c:v>0.97176859040683961</c:v>
                </c:pt>
                <c:pt idx="50">
                  <c:v>0.97809946627663591</c:v>
                </c:pt>
                <c:pt idx="51">
                  <c:v>0.98319435164560343</c:v>
                </c:pt>
                <c:pt idx="52">
                  <c:v>0.98713115498645232</c:v>
                </c:pt>
                <c:pt idx="53">
                  <c:v>0.99003675125679835</c:v>
                </c:pt>
                <c:pt idx="54">
                  <c:v>0.99238790242371544</c:v>
                </c:pt>
                <c:pt idx="55">
                  <c:v>0.99429473945261726</c:v>
                </c:pt>
                <c:pt idx="56">
                  <c:v>0.99577883000111111</c:v>
                </c:pt>
                <c:pt idx="57">
                  <c:v>0.99682045823222099</c:v>
                </c:pt>
                <c:pt idx="58">
                  <c:v>0.99757389451414413</c:v>
                </c:pt>
                <c:pt idx="59">
                  <c:v>0.99818596266836401</c:v>
                </c:pt>
                <c:pt idx="60">
                  <c:v>0.99863290859333043</c:v>
                </c:pt>
                <c:pt idx="61">
                  <c:v>0.99896395483546307</c:v>
                </c:pt>
                <c:pt idx="62">
                  <c:v>0.99921848465644303</c:v>
                </c:pt>
                <c:pt idx="63">
                  <c:v>0.99941081240195517</c:v>
                </c:pt>
                <c:pt idx="64">
                  <c:v>0.99955309017021066</c:v>
                </c:pt>
                <c:pt idx="65">
                  <c:v>0.99965980433069501</c:v>
                </c:pt>
                <c:pt idx="66">
                  <c:v>0.99974258917943037</c:v>
                </c:pt>
                <c:pt idx="67">
                  <c:v>0.999804468299894</c:v>
                </c:pt>
                <c:pt idx="68">
                  <c:v>0.99985321369559355</c:v>
                </c:pt>
                <c:pt idx="69">
                  <c:v>0.99988991167215124</c:v>
                </c:pt>
                <c:pt idx="70">
                  <c:v>0.99991643186586898</c:v>
                </c:pt>
                <c:pt idx="71">
                  <c:v>0.99993856848974272</c:v>
                </c:pt>
                <c:pt idx="72">
                  <c:v>0.99995504043508399</c:v>
                </c:pt>
                <c:pt idx="73">
                  <c:v>0.99996627789259829</c:v>
                </c:pt>
                <c:pt idx="74">
                  <c:v>0.9999749543676647</c:v>
                </c:pt>
                <c:pt idx="75">
                  <c:v>0.999981227287842</c:v>
                </c:pt>
                <c:pt idx="76">
                  <c:v>0.99998601764093376</c:v>
                </c:pt>
                <c:pt idx="77">
                  <c:v>0.99998976997962641</c:v>
                </c:pt>
                <c:pt idx="78">
                  <c:v>0.9999924676880263</c:v>
                </c:pt>
                <c:pt idx="79">
                  <c:v>0.99999434800382969</c:v>
                </c:pt>
                <c:pt idx="80">
                  <c:v>0.99999578000319955</c:v>
                </c:pt>
                <c:pt idx="81">
                  <c:v>0.9999968577841617</c:v>
                </c:pt>
                <c:pt idx="82">
                  <c:v>0.99999771087204381</c:v>
                </c:pt>
                <c:pt idx="83">
                  <c:v>0.9999983234219344</c:v>
                </c:pt>
                <c:pt idx="84">
                  <c:v>0.99999875201939825</c:v>
                </c:pt>
                <c:pt idx="85">
                  <c:v>0.99999906564738172</c:v>
                </c:pt>
                <c:pt idx="86">
                  <c:v>0.99999930497666167</c:v>
                </c:pt>
                <c:pt idx="87">
                  <c:v>0.9999994868649722</c:v>
                </c:pt>
                <c:pt idx="88">
                  <c:v>0.99999962231375805</c:v>
                </c:pt>
                <c:pt idx="89">
                  <c:v>0.99999972203138432</c:v>
                </c:pt>
                <c:pt idx="90">
                  <c:v>0.99999979727547328</c:v>
                </c:pt>
                <c:pt idx="91">
                  <c:v>0.99999985077931763</c:v>
                </c:pt>
                <c:pt idx="92">
                  <c:v>0.9999998899502468</c:v>
                </c:pt>
                <c:pt idx="93">
                  <c:v>0.99999991969047364</c:v>
                </c:pt>
                <c:pt idx="94">
                  <c:v>0.99999994112777479</c:v>
                </c:pt>
                <c:pt idx="95">
                  <c:v>0.99999995595661517</c:v>
                </c:pt>
                <c:pt idx="96">
                  <c:v>0.99999996796045199</c:v>
                </c:pt>
                <c:pt idx="97">
                  <c:v>0.99999997701991383</c:v>
                </c:pt>
                <c:pt idx="98">
                  <c:v>0.9999999831919183</c:v>
                </c:pt>
                <c:pt idx="99">
                  <c:v>0.99999998762962938</c:v>
                </c:pt>
                <c:pt idx="100">
                  <c:v>0.99999999087225067</c:v>
                </c:pt>
                <c:pt idx="101">
                  <c:v>0.99999999323289157</c:v>
                </c:pt>
                <c:pt idx="102">
                  <c:v>0.99999999497373926</c:v>
                </c:pt>
                <c:pt idx="103">
                  <c:v>0.9999999963148245</c:v>
                </c:pt>
                <c:pt idx="104">
                  <c:v>0.99999999731949063</c:v>
                </c:pt>
                <c:pt idx="105">
                  <c:v>0.99999999806896622</c:v>
                </c:pt>
                <c:pt idx="106">
                  <c:v>0.99999999861182687</c:v>
                </c:pt>
                <c:pt idx="107">
                  <c:v>0.99999999899178871</c:v>
                </c:pt>
                <c:pt idx="108">
                  <c:v>0.99999999925385463</c:v>
                </c:pt>
                <c:pt idx="109">
                  <c:v>0.9999999994458757</c:v>
                </c:pt>
                <c:pt idx="110">
                  <c:v>0.9999999996001574</c:v>
                </c:pt>
                <c:pt idx="111">
                  <c:v>0.99999999970167042</c:v>
                </c:pt>
                <c:pt idx="112">
                  <c:v>0.99999999977925125</c:v>
                </c:pt>
                <c:pt idx="113">
                  <c:v>0.99999999983662202</c:v>
                </c:pt>
                <c:pt idx="114">
                  <c:v>0.99999999987980259</c:v>
                </c:pt>
                <c:pt idx="115">
                  <c:v>0.99999999991173372</c:v>
                </c:pt>
                <c:pt idx="116">
                  <c:v>0.9999999999350746</c:v>
                </c:pt>
                <c:pt idx="117">
                  <c:v>0.99999999995277866</c:v>
                </c:pt>
                <c:pt idx="118">
                  <c:v>0.99999999996596345</c:v>
                </c:pt>
                <c:pt idx="119">
                  <c:v>0.99999999997475131</c:v>
                </c:pt>
                <c:pt idx="120">
                  <c:v>0.99999999998109379</c:v>
                </c:pt>
                <c:pt idx="121">
                  <c:v>0.99999999998573541</c:v>
                </c:pt>
                <c:pt idx="122">
                  <c:v>0.99999999998934741</c:v>
                </c:pt>
                <c:pt idx="123">
                  <c:v>0.99999999999220557</c:v>
                </c:pt>
                <c:pt idx="124">
                  <c:v>0.99999999999433986</c:v>
                </c:pt>
                <c:pt idx="125">
                  <c:v>0.99999999999584621</c:v>
                </c:pt>
                <c:pt idx="126">
                  <c:v>0.9999999999969329</c:v>
                </c:pt>
                <c:pt idx="127">
                  <c:v>0.99999999999773692</c:v>
                </c:pt>
                <c:pt idx="128">
                  <c:v>0.9999999999983209</c:v>
                </c:pt>
                <c:pt idx="129">
                  <c:v>0.99999999999874745</c:v>
                </c:pt>
                <c:pt idx="130">
                  <c:v>0.99999999999907718</c:v>
                </c:pt>
                <c:pt idx="131">
                  <c:v>0.99999999999931277</c:v>
                </c:pt>
                <c:pt idx="132">
                  <c:v>0.99999999999948819</c:v>
                </c:pt>
                <c:pt idx="133">
                  <c:v>0.99999999999961897</c:v>
                </c:pt>
                <c:pt idx="134">
                  <c:v>0.99999999999971578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E1" zoomScale="110" zoomScaleNormal="110" workbookViewId="0">
      <selection activeCell="E13" sqref="E13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8" t="s">
        <v>153</v>
      </c>
      <c r="E1" s="139"/>
      <c r="F1" s="139"/>
      <c r="G1" s="139"/>
      <c r="H1" s="140"/>
      <c r="Z1"/>
      <c r="AA1"/>
      <c r="AB1"/>
      <c r="AC1"/>
    </row>
    <row r="2" spans="2:34" s="55" customFormat="1" ht="47.25" customHeight="1">
      <c r="C2" s="106"/>
      <c r="D2" s="141" t="s">
        <v>154</v>
      </c>
      <c r="E2" s="142"/>
      <c r="F2" s="142"/>
      <c r="G2" s="142"/>
      <c r="H2" s="143"/>
      <c r="Z2"/>
      <c r="AA2"/>
      <c r="AB2"/>
      <c r="AC2"/>
    </row>
    <row r="3" spans="2:34" s="54" customFormat="1" ht="15" thickBot="1">
      <c r="B3" s="55"/>
      <c r="C3" s="128" t="s">
        <v>185</v>
      </c>
      <c r="D3" s="128"/>
      <c r="E3" s="128"/>
      <c r="F3" s="128"/>
      <c r="G3" s="129"/>
      <c r="H3" s="129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8" t="s">
        <v>173</v>
      </c>
      <c r="D4" s="109" t="s">
        <v>99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6">
      <c r="C5" s="108" t="s">
        <v>27</v>
      </c>
      <c r="D5" s="110" t="s">
        <v>33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6">
      <c r="C6" s="108" t="s">
        <v>96</v>
      </c>
      <c r="D6" s="110" t="s">
        <v>37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Rape Fodder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45231</v>
      </c>
      <c r="E9" s="67">
        <v>45231</v>
      </c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45350</v>
      </c>
      <c r="E10" s="67">
        <v>45350</v>
      </c>
      <c r="F10" s="57" t="s">
        <v>148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7</v>
      </c>
      <c r="E12" s="69">
        <v>7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0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7</v>
      </c>
      <c r="C14" s="64" t="str">
        <f>"Yield "&amp;CurrentYield_tperHa&amp;" (t/ha)"</f>
        <v>Yield 7 (t/ha)</v>
      </c>
      <c r="D14" s="90" t="str">
        <f ca="1">"requires "&amp;ROUND(SUM('Model Interface'!V4:W4),0)&amp;" kg N/ha from all sources"</f>
        <v>requires 167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 ca="1">PriorHarvestDate</f>
        <v>45216</v>
      </c>
      <c r="Z14"/>
      <c r="AA14"/>
      <c r="AB14"/>
      <c r="AC14"/>
    </row>
    <row r="15" spans="2:34" s="55" customFormat="1" ht="16.2" thickBot="1">
      <c r="B15" s="55">
        <f ca="1">SUMIF(B29:B43,1,G29:G43)</f>
        <v>100.9699986892457</v>
      </c>
      <c r="C15" s="111" t="s">
        <v>225</v>
      </c>
      <c r="D15" s="112" t="str">
        <f ca="1">SUMIF(B29:B43,1,G29:G43)&amp;" Kg/ha"</f>
        <v>100.969998689246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7" t="s">
        <v>228</v>
      </c>
      <c r="S15" s="137"/>
      <c r="T15" s="137"/>
      <c r="U15" s="137"/>
      <c r="V15" s="137"/>
      <c r="W15" s="124"/>
      <c r="X15" s="124"/>
      <c r="Y15" s="124"/>
      <c r="Z15" s="135" t="s">
        <v>227</v>
      </c>
      <c r="AA15" s="135"/>
      <c r="AB15" s="135"/>
      <c r="AC15" s="135"/>
      <c r="AD15" s="136" t="s">
        <v>229</v>
      </c>
      <c r="AE15" s="136"/>
      <c r="AF15" s="136"/>
      <c r="AG15" s="136"/>
      <c r="AH15" s="136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8" t="s">
        <v>186</v>
      </c>
      <c r="D17" s="128"/>
      <c r="E17" s="128"/>
      <c r="F17" s="128"/>
      <c r="G17" s="128"/>
      <c r="H17" s="128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45216</v>
      </c>
      <c r="S18" s="55">
        <f ca="1">IF(R18&gt;1,R18,"")</f>
        <v>45216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116.01886383068424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0.58645072781919305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0.99999350482483917</v>
      </c>
      <c r="AD18" s="83">
        <f t="array" aca="1" ref="AD18:AD662" ca="1">_xlfn._xlws.FILTER('Model Interface'!AD7:AD1000,('Model Interface'!AD7:AD1000&gt;=CurrentHarvestDate+1)*('Model Interface'!AD7:AD1000&lt;=FollowingHarvestDate),"")</f>
        <v>45351</v>
      </c>
      <c r="AE18" s="55">
        <f ca="1">IF(AD18&gt;1,AD18,"")</f>
        <v>45351</v>
      </c>
      <c r="AF18" s="55">
        <f t="shared" ref="AF18:AF20" ca="1" si="6">VLOOKUP(AE18,ModelOutputs,2,FALSE)</f>
        <v>29.557779306171948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0.36311724657484895</v>
      </c>
      <c r="AK18" s="55">
        <f t="shared" ref="AK18" ca="1" si="10">VLOOKUP(AE18,ModelOutputs,4,FALSE)</f>
        <v>-0.40244834888033587</v>
      </c>
    </row>
    <row r="19" spans="1:37" s="55" customFormat="1">
      <c r="C19" s="57" t="s">
        <v>222</v>
      </c>
      <c r="D19" s="85">
        <f>IF(E19="",60,E19)</f>
        <v>60</v>
      </c>
      <c r="E19" s="16">
        <v>60</v>
      </c>
      <c r="F19" s="100" t="str">
        <f ca="1">ROUND('Model Interface'!T3,0)&amp;" kg N/ha available from SOM mineralisation"</f>
        <v>48 kg N/ha available from SOM mineralisation</v>
      </c>
      <c r="R19" s="83">
        <f ca="1"/>
        <v>45217</v>
      </c>
      <c r="S19" s="55">
        <f t="shared" ref="S19:S82" ca="1" si="11">IF(R19&gt;1,R19,"")</f>
        <v>45217</v>
      </c>
      <c r="T19" s="55">
        <f t="shared" ca="1" si="0"/>
        <v>50.209393348025401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1.1044880416257865</v>
      </c>
      <c r="Y19" s="55">
        <f t="shared" ref="Y19:Y82" ca="1" si="14">VLOOKUP(S19,ModelOutputs,4,FALSE)+Y18</f>
        <v>-0.30864396578119224</v>
      </c>
      <c r="Z19">
        <f t="shared" ca="1" si="3"/>
        <v>101.67683611994219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45352</v>
      </c>
      <c r="AE19" s="55">
        <f t="shared" ref="AE19:AE20" ca="1" si="16">IF(AD19&gt;1,AD19,"")</f>
        <v>45352</v>
      </c>
      <c r="AF19" s="55">
        <f t="shared" ca="1" si="6"/>
        <v>29.518478935316686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0.7218442941448755</v>
      </c>
      <c r="AK19" s="55">
        <f t="shared" ref="AK19:AK82" ca="1" si="19">VLOOKUP(AE19,ModelOutputs,4,FALSE)+AK18</f>
        <v>-0.80047576730562753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45218</v>
      </c>
      <c r="S20" s="55">
        <f t="shared" ca="1" si="11"/>
        <v>45218</v>
      </c>
      <c r="T20" s="55">
        <f t="shared" ca="1" si="0"/>
        <v>50.412977147597637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1.6045618984672663</v>
      </c>
      <c r="Y20" s="55">
        <f t="shared" ca="1" si="14"/>
        <v>-0.60513402305043829</v>
      </c>
      <c r="Z20">
        <f t="shared" ca="1" si="3"/>
        <v>98.648847219126282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45353</v>
      </c>
      <c r="AE20" s="55">
        <f t="shared" ca="1" si="16"/>
        <v>45353</v>
      </c>
      <c r="AF20" s="55">
        <f t="shared" ca="1" si="6"/>
        <v>29.444078759133063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1.0775543341544718</v>
      </c>
      <c r="AK20" s="55">
        <f t="shared" ca="1" si="19"/>
        <v>-1.2305859834988464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45219</v>
      </c>
      <c r="S21" s="55">
        <f t="shared" ca="1" si="11"/>
        <v>45219</v>
      </c>
      <c r="T21" s="55">
        <f t="shared" ca="1" si="0"/>
        <v>50.597508444811375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2.0756482856336405</v>
      </c>
      <c r="Y21" s="55">
        <f t="shared" ca="1" si="14"/>
        <v>-0.89168911300307507</v>
      </c>
      <c r="Z21">
        <f t="shared" ca="1" si="3"/>
        <v>92.622492627273118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45354</v>
      </c>
      <c r="AE21" s="55">
        <f t="shared" ref="AE21:AE84" ca="1" si="20">IF(AD21&gt;1,AD21,"")</f>
        <v>45354</v>
      </c>
      <c r="AF21" s="55">
        <f t="shared" ref="AF21:AF84" ca="1" si="21">VLOOKUP(AE21,ModelOutputs,2,FALSE)</f>
        <v>29.369091092309425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1.4226294539541029</v>
      </c>
      <c r="AK21" s="55">
        <f t="shared" ca="1" si="19"/>
        <v>-1.6506487701221175</v>
      </c>
    </row>
    <row r="22" spans="1:37" s="55" customFormat="1" ht="15" customHeight="1">
      <c r="C22" s="57" t="s">
        <v>212</v>
      </c>
      <c r="D22" s="85" t="str">
        <f>IF(E22="","loam",E22)</f>
        <v>Clay</v>
      </c>
      <c r="E22" s="16" t="s">
        <v>254</v>
      </c>
      <c r="F22" s="100"/>
      <c r="R22" s="83">
        <f ca="1"/>
        <v>45220</v>
      </c>
      <c r="S22" s="55">
        <f t="shared" ca="1" si="11"/>
        <v>45220</v>
      </c>
      <c r="T22" s="55">
        <f t="shared" ca="1" si="0"/>
        <v>50.791495597367991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2.5662898239266134</v>
      </c>
      <c r="Y22" s="55">
        <f t="shared" ca="1" si="14"/>
        <v>-1.1883434987394372</v>
      </c>
      <c r="Z22">
        <f t="shared" ca="1" si="3"/>
        <v>87.358078133683733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45355</v>
      </c>
      <c r="AE22" s="55">
        <f t="shared" ca="1" si="20"/>
        <v>45355</v>
      </c>
      <c r="AF22" s="55">
        <f t="shared" ca="1" si="21"/>
        <v>29.290724813284484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1.8125624811441794</v>
      </c>
      <c r="AK22" s="55">
        <f t="shared" ca="1" si="19"/>
        <v>-2.1189480763371336</v>
      </c>
    </row>
    <row r="23" spans="1:37" s="55" customFormat="1">
      <c r="C23" s="57"/>
      <c r="D23" s="85"/>
      <c r="E23" s="122"/>
      <c r="F23" s="100"/>
      <c r="R23" s="83">
        <f ca="1"/>
        <v>45221</v>
      </c>
      <c r="S23" s="55">
        <f t="shared" ca="1" si="11"/>
        <v>45221</v>
      </c>
      <c r="T23" s="55">
        <f t="shared" ca="1" si="0"/>
        <v>50.953087377871732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2.9923524953868088</v>
      </c>
      <c r="Y23" s="55">
        <f t="shared" ca="1" si="14"/>
        <v>-1.4528143896958936</v>
      </c>
      <c r="Z23">
        <f t="shared" ca="1" si="3"/>
        <v>83.456790081048553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45356</v>
      </c>
      <c r="AE23" s="55">
        <f t="shared" ca="1" si="20"/>
        <v>45356</v>
      </c>
      <c r="AF23" s="55">
        <f t="shared" ca="1" si="21"/>
        <v>29.245005439785245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2.2015726432084346</v>
      </c>
      <c r="AK23" s="55">
        <f t="shared" ca="1" si="19"/>
        <v>-2.5536776119006284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45222</v>
      </c>
      <c r="S24" s="55">
        <f t="shared" ca="1" si="11"/>
        <v>45222</v>
      </c>
      <c r="T24" s="55">
        <f t="shared" ca="1" si="0"/>
        <v>51.112734459363949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3.4052512959740331</v>
      </c>
      <c r="Y24" s="55">
        <f t="shared" ca="1" si="14"/>
        <v>-1.7060661087908964</v>
      </c>
      <c r="Z24">
        <f t="shared" ca="1" si="3"/>
        <v>81.156957181822492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45357</v>
      </c>
      <c r="AE24" s="55">
        <f t="shared" ca="1" si="20"/>
        <v>45357</v>
      </c>
      <c r="AF24" s="55">
        <f t="shared" ca="1" si="21"/>
        <v>29.218737936244754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2.5575105713523243</v>
      </c>
      <c r="AK24" s="55">
        <f t="shared" ca="1" si="19"/>
        <v>-2.9358830435850098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45223</v>
      </c>
      <c r="S25" s="55">
        <f t="shared" ca="1" si="11"/>
        <v>45223</v>
      </c>
      <c r="T25" s="55">
        <f t="shared" ca="1" si="0"/>
        <v>51.266160129579937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3.8034390871986998</v>
      </c>
      <c r="Y25" s="55">
        <f t="shared" ca="1" si="14"/>
        <v>-1.9508282297995727</v>
      </c>
      <c r="Z25">
        <f t="shared" ca="1" si="3"/>
        <v>77.278523649800348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45358</v>
      </c>
      <c r="AE25" s="55">
        <f t="shared" ca="1" si="20"/>
        <v>45358</v>
      </c>
      <c r="AF25" s="55">
        <f t="shared" ca="1" si="21"/>
        <v>29.210259141123039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2.9209164773922063</v>
      </c>
      <c r="AK25" s="55">
        <f t="shared" ca="1" si="19"/>
        <v>-3.3077677447466076</v>
      </c>
    </row>
    <row r="26" spans="1:37" s="55" customFormat="1" ht="15" thickBot="1">
      <c r="C26" s="56"/>
      <c r="D26" s="56"/>
      <c r="E26" s="56"/>
      <c r="F26" s="56"/>
      <c r="R26" s="83">
        <f ca="1"/>
        <v>45224</v>
      </c>
      <c r="S26" s="55">
        <f t="shared" ca="1" si="11"/>
        <v>45224</v>
      </c>
      <c r="T26" s="55">
        <f t="shared" ca="1" si="0"/>
        <v>51.410111506457923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4.186150467525299</v>
      </c>
      <c r="Y26" s="55">
        <f t="shared" ca="1" si="14"/>
        <v>-2.1895882332481853</v>
      </c>
      <c r="Z26">
        <f t="shared" ca="1" si="3"/>
        <v>71.921420448194183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45359</v>
      </c>
      <c r="AE26" s="55">
        <f t="shared" ca="1" si="20"/>
        <v>45359</v>
      </c>
      <c r="AF26" s="55">
        <f t="shared" ca="1" si="21"/>
        <v>29.215297497339961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3.2615515289368742</v>
      </c>
      <c r="AK26" s="55">
        <f t="shared" ca="1" si="19"/>
        <v>-3.6433644400743539</v>
      </c>
    </row>
    <row r="27" spans="1:37" s="55" customFormat="1" ht="15" thickBot="1">
      <c r="C27" s="131" t="s">
        <v>139</v>
      </c>
      <c r="D27" s="132"/>
      <c r="E27" s="60"/>
      <c r="F27" s="133" t="s">
        <v>146</v>
      </c>
      <c r="G27" s="134"/>
      <c r="R27" s="83">
        <f ca="1"/>
        <v>45225</v>
      </c>
      <c r="S27" s="55">
        <f t="shared" ca="1" si="11"/>
        <v>45225</v>
      </c>
      <c r="T27" s="55">
        <f t="shared" ca="1" si="0"/>
        <v>51.569462261553589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4.5918334539841377</v>
      </c>
      <c r="Y27" s="55">
        <f t="shared" ca="1" si="14"/>
        <v>-2.4359204646113528</v>
      </c>
      <c r="Z27">
        <f t="shared" ca="1" si="3"/>
        <v>68.582236776579649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45360</v>
      </c>
      <c r="AE27" s="55">
        <f t="shared" ca="1" si="20"/>
        <v>45360</v>
      </c>
      <c r="AF27" s="55">
        <f t="shared" ca="1" si="21"/>
        <v>29.235558490836009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3.6389569727891469</v>
      </c>
      <c r="AK27" s="55">
        <f t="shared" ca="1" si="19"/>
        <v>-4.0005088904305754</v>
      </c>
    </row>
    <row r="28" spans="1:37" s="55" customFormat="1" ht="1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45226</v>
      </c>
      <c r="S28" s="55">
        <f t="shared" ca="1" si="11"/>
        <v>45226</v>
      </c>
      <c r="T28" s="55">
        <f t="shared" ca="1" si="0"/>
        <v>51.723866530424594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4.9744841959695876</v>
      </c>
      <c r="Y28" s="55">
        <f t="shared" ca="1" si="14"/>
        <v>-2.664166937725795</v>
      </c>
      <c r="Z28">
        <f t="shared" ca="1" si="3"/>
        <v>67.211196753503543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45361</v>
      </c>
      <c r="AE28" s="55">
        <f t="shared" ca="1" si="20"/>
        <v>45361</v>
      </c>
      <c r="AF28" s="55">
        <f t="shared" ca="1" si="21"/>
        <v>29.254722615882734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4.0013703509744101</v>
      </c>
      <c r="AK28" s="55">
        <f t="shared" ca="1" si="19"/>
        <v>-4.3437581435691133</v>
      </c>
    </row>
    <row r="29" spans="1:37" s="55" customFormat="1">
      <c r="A29" s="83">
        <f t="array" aca="1" ref="A29:A43" ca="1">_xlfn._xlws.FILTER('Model Interface'!AD7:AD496,'Model Interface'!AE7:AE496&gt;0,"")</f>
        <v>45294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45294</v>
      </c>
      <c r="G29" s="76">
        <f ca="1">IFERROR(VLOOKUP(F29,'Model Interface'!$P$7:$U$496,6,FALSE),"")</f>
        <v>33.659122933024122</v>
      </c>
      <c r="H29" s="55" t="str">
        <f ca="1">IF(B29=1,"Suggested","Applied or Planned")</f>
        <v>Suggested</v>
      </c>
      <c r="R29" s="83">
        <f ca="1"/>
        <v>45227</v>
      </c>
      <c r="S29" s="55">
        <f t="shared" ca="1" si="11"/>
        <v>45227</v>
      </c>
      <c r="T29" s="55">
        <f t="shared" ca="1" si="0"/>
        <v>51.894546931319546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5.3735262509012705</v>
      </c>
      <c r="Y29" s="55">
        <f t="shared" ca="1" si="14"/>
        <v>-2.8925285917625247</v>
      </c>
      <c r="Z29">
        <f t="shared" ca="1" si="3"/>
        <v>65.892241775395874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45362</v>
      </c>
      <c r="AE29" s="55">
        <f t="shared" ca="1" si="20"/>
        <v>45362</v>
      </c>
      <c r="AF29" s="55">
        <f t="shared" ca="1" si="21"/>
        <v>29.266213735643436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4.3789880428348935</v>
      </c>
      <c r="AK29" s="55">
        <f t="shared" ca="1" si="19"/>
        <v>-4.7098847156688937</v>
      </c>
    </row>
    <row r="30" spans="1:37" s="55" customFormat="1">
      <c r="A30" s="83">
        <f ca="1"/>
        <v>45314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45314</v>
      </c>
      <c r="G30" s="76">
        <f ca="1">IFERROR(VLOOKUP(F30,'Model Interface'!$P$7:$U$496,6,FALSE),"")</f>
        <v>33.186372526293809</v>
      </c>
      <c r="H30" s="55" t="str">
        <f t="shared" ref="H30:H43" ca="1" si="26">IF(F30="","",IF(F30&lt;=StartSchedullingDate,"Applied or Planned","Suggested"))</f>
        <v>Suggested</v>
      </c>
      <c r="R30" s="83">
        <f ca="1"/>
        <v>45228</v>
      </c>
      <c r="S30" s="55">
        <f t="shared" ca="1" si="11"/>
        <v>45228</v>
      </c>
      <c r="T30" s="55">
        <f t="shared" ca="1" si="0"/>
        <v>52.06793488134668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5.768057879931221</v>
      </c>
      <c r="Y30" s="55">
        <f t="shared" ca="1" si="14"/>
        <v>-3.1136722707653419</v>
      </c>
      <c r="Z30">
        <f t="shared" ca="1" si="3"/>
        <v>63.39966138445088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45363</v>
      </c>
      <c r="AE30" s="55">
        <f t="shared" ca="1" si="20"/>
        <v>45363</v>
      </c>
      <c r="AF30" s="55">
        <f t="shared" ca="1" si="21"/>
        <v>29.282146918182107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4.7794928792025662</v>
      </c>
      <c r="AK30" s="55">
        <f t="shared" ca="1" si="19"/>
        <v>-5.0944563694978964</v>
      </c>
    </row>
    <row r="31" spans="1:37" s="55" customFormat="1">
      <c r="A31" s="83">
        <f ca="1"/>
        <v>45329</v>
      </c>
      <c r="B31" s="55">
        <f t="shared" ca="1" si="24"/>
        <v>1</v>
      </c>
      <c r="C31" s="78"/>
      <c r="D31" s="81"/>
      <c r="F31" s="74">
        <f t="shared" ca="1" si="25"/>
        <v>45329</v>
      </c>
      <c r="G31" s="76">
        <f ca="1">IFERROR(VLOOKUP(F31,'Model Interface'!$P$7:$U$496,6,FALSE),"")</f>
        <v>34.124503229927761</v>
      </c>
      <c r="H31" s="55" t="str">
        <f t="shared" ca="1" si="26"/>
        <v>Suggested</v>
      </c>
      <c r="R31" s="83">
        <f ca="1"/>
        <v>45229</v>
      </c>
      <c r="S31" s="55">
        <f t="shared" ca="1" si="11"/>
        <v>45229</v>
      </c>
      <c r="T31" s="55">
        <f t="shared" ca="1" si="0"/>
        <v>52.236980505909976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6.1435825629322576</v>
      </c>
      <c r="Y31" s="55">
        <f t="shared" ca="1" si="14"/>
        <v>-3.320151329203088</v>
      </c>
      <c r="Z31">
        <f t="shared" ca="1" si="3"/>
        <v>61.667344373400688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45364</v>
      </c>
      <c r="AE31" s="55">
        <f t="shared" ca="1" si="20"/>
        <v>45364</v>
      </c>
      <c r="AF31" s="55">
        <f t="shared" ca="1" si="21"/>
        <v>29.307553212069372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5.1783203410469518</v>
      </c>
      <c r="AK31" s="55">
        <f t="shared" ca="1" si="19"/>
        <v>-5.4678775374550153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45230</v>
      </c>
      <c r="S32" s="55">
        <f t="shared" ca="1" si="11"/>
        <v>45230</v>
      </c>
      <c r="T32" s="55">
        <f t="shared" ca="1" si="0"/>
        <v>52.405194433535833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6.5004439445518312</v>
      </c>
      <c r="Y32" s="55">
        <f t="shared" ca="1" si="14"/>
        <v>-3.5087987831968035</v>
      </c>
      <c r="Z32">
        <f t="shared" ca="1" si="3"/>
        <v>57.503831002766901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45365</v>
      </c>
      <c r="AE32" s="55">
        <f t="shared" ca="1" si="20"/>
        <v>45365</v>
      </c>
      <c r="AF32" s="55">
        <f t="shared" ca="1" si="21"/>
        <v>29.35989908091258</v>
      </c>
      <c r="AG32" s="55">
        <f t="shared" ca="1" si="22"/>
        <v>3.462078471187036</v>
      </c>
      <c r="AH32" s="55">
        <f t="shared" ca="1" si="23"/>
        <v>0</v>
      </c>
      <c r="AI32" s="55">
        <f t="shared" ca="1" si="17"/>
        <v>0</v>
      </c>
      <c r="AJ32" s="55">
        <f t="shared" ca="1" si="18"/>
        <v>5.5676238992019549</v>
      </c>
      <c r="AK32" s="55">
        <f t="shared" ca="1" si="19"/>
        <v>-5.8048352267668122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45231</v>
      </c>
      <c r="S33" s="55">
        <f t="shared" ca="1" si="11"/>
        <v>45231</v>
      </c>
      <c r="T33" s="55">
        <f t="shared" ca="1" si="0"/>
        <v>52.591340377871816</v>
      </c>
      <c r="U33" s="55">
        <f t="shared" ca="1" si="1"/>
        <v>3.8666373788884432</v>
      </c>
      <c r="V33" s="55">
        <f t="shared" ca="1" si="2"/>
        <v>0</v>
      </c>
      <c r="W33" s="55">
        <f t="shared" ca="1" si="12"/>
        <v>0</v>
      </c>
      <c r="X33" s="55">
        <f t="shared" ca="1" si="13"/>
        <v>6.8651922416910391</v>
      </c>
      <c r="Y33" s="55">
        <f t="shared" ca="1" si="14"/>
        <v>-3.6874011360000254</v>
      </c>
      <c r="Z33">
        <f t="shared" ca="1" si="3"/>
        <v>54.378389227066279</v>
      </c>
      <c r="AA33">
        <f t="shared" ca="1" si="15"/>
        <v>0</v>
      </c>
      <c r="AB33">
        <f t="shared" ca="1" si="4"/>
        <v>0</v>
      </c>
      <c r="AC33">
        <f t="shared" ca="1" si="5"/>
        <v>8.532228988160839E-3</v>
      </c>
      <c r="AD33" s="83">
        <f ca="1"/>
        <v>45366</v>
      </c>
      <c r="AE33" s="55">
        <f t="shared" ca="1" si="20"/>
        <v>45366</v>
      </c>
      <c r="AF33" s="55">
        <f t="shared" ca="1" si="21"/>
        <v>29.188384791296286</v>
      </c>
      <c r="AG33" s="55">
        <f t="shared" ca="1" si="22"/>
        <v>3.7022294671857847</v>
      </c>
      <c r="AH33" s="55">
        <f t="shared" ca="1" si="23"/>
        <v>0</v>
      </c>
      <c r="AI33" s="55">
        <f t="shared" ca="1" si="17"/>
        <v>0</v>
      </c>
      <c r="AJ33" s="55">
        <f t="shared" ca="1" si="18"/>
        <v>5.9570275549001268</v>
      </c>
      <c r="AK33" s="55">
        <f t="shared" ca="1" si="19"/>
        <v>-6.1256021760825252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45232</v>
      </c>
      <c r="S34" s="55">
        <f t="shared" ca="1" si="11"/>
        <v>45232</v>
      </c>
      <c r="T34" s="55">
        <f t="shared" ca="1" si="0"/>
        <v>52.627102403143333</v>
      </c>
      <c r="U34" s="55">
        <f t="shared" ca="1" si="1"/>
        <v>4.0102036391253124</v>
      </c>
      <c r="V34" s="55">
        <f t="shared" ca="1" si="2"/>
        <v>0</v>
      </c>
      <c r="W34" s="55">
        <f t="shared" ca="1" si="12"/>
        <v>0</v>
      </c>
      <c r="X34" s="55">
        <f t="shared" ca="1" si="13"/>
        <v>7.2049927889691725</v>
      </c>
      <c r="Y34" s="55">
        <f t="shared" ca="1" si="14"/>
        <v>-3.8478733977697752</v>
      </c>
      <c r="Z34">
        <f t="shared" ca="1" si="3"/>
        <v>53.377093982604805</v>
      </c>
      <c r="AA34">
        <f t="shared" ca="1" si="15"/>
        <v>0</v>
      </c>
      <c r="AB34">
        <f t="shared" ca="1" si="4"/>
        <v>0</v>
      </c>
      <c r="AC34">
        <f t="shared" ca="1" si="5"/>
        <v>1.0739179617917071E-2</v>
      </c>
      <c r="AD34" s="83">
        <f ca="1"/>
        <v>45367</v>
      </c>
      <c r="AE34" s="55">
        <f t="shared" ca="1" si="20"/>
        <v>45367</v>
      </c>
      <c r="AF34" s="55">
        <f t="shared" ca="1" si="21"/>
        <v>29.016790822035553</v>
      </c>
      <c r="AG34" s="55">
        <f t="shared" ca="1" si="22"/>
        <v>3.9554718578016859</v>
      </c>
      <c r="AH34" s="55">
        <f t="shared" ca="1" si="23"/>
        <v>0</v>
      </c>
      <c r="AI34" s="55">
        <f t="shared" ca="1" si="17"/>
        <v>0</v>
      </c>
      <c r="AJ34" s="55">
        <f t="shared" ca="1" si="18"/>
        <v>6.340650629233191</v>
      </c>
      <c r="AK34" s="55">
        <f t="shared" ca="1" si="19"/>
        <v>-6.4275768290604187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45233</v>
      </c>
      <c r="S35" s="55">
        <f t="shared" ca="1" si="11"/>
        <v>45233</v>
      </c>
      <c r="T35" s="55">
        <f t="shared" ca="1" si="0"/>
        <v>52.663443281678802</v>
      </c>
      <c r="U35" s="55">
        <f t="shared" ca="1" si="1"/>
        <v>4.1614205874757308</v>
      </c>
      <c r="V35" s="55">
        <f t="shared" ca="1" si="2"/>
        <v>0</v>
      </c>
      <c r="W35" s="55">
        <f t="shared" ca="1" si="12"/>
        <v>0</v>
      </c>
      <c r="X35" s="55">
        <f t="shared" ca="1" si="13"/>
        <v>7.540735906846515</v>
      </c>
      <c r="Y35" s="55">
        <f t="shared" ca="1" si="14"/>
        <v>-3.9960586887612299</v>
      </c>
      <c r="Z35">
        <f t="shared" ca="1" si="3"/>
        <v>50.549585721287016</v>
      </c>
      <c r="AA35">
        <f t="shared" ca="1" si="15"/>
        <v>0</v>
      </c>
      <c r="AB35">
        <f t="shared" ca="1" si="4"/>
        <v>0</v>
      </c>
      <c r="AC35">
        <f t="shared" ca="1" si="5"/>
        <v>1.355892965855667E-2</v>
      </c>
      <c r="AD35" s="83">
        <f ca="1"/>
        <v>45368</v>
      </c>
      <c r="AE35" s="55">
        <f t="shared" ca="1" si="20"/>
        <v>45368</v>
      </c>
      <c r="AF35" s="55">
        <f t="shared" ca="1" si="21"/>
        <v>28.847449324681957</v>
      </c>
      <c r="AG35" s="55">
        <f t="shared" ca="1" si="22"/>
        <v>4.205405368030199</v>
      </c>
      <c r="AH35" s="55">
        <f t="shared" ca="1" si="23"/>
        <v>0</v>
      </c>
      <c r="AI35" s="55">
        <f t="shared" ca="1" si="17"/>
        <v>0</v>
      </c>
      <c r="AJ35" s="55">
        <f t="shared" ca="1" si="18"/>
        <v>6.6950786264080229</v>
      </c>
      <c r="AK35" s="55">
        <f t="shared" ca="1" si="19"/>
        <v>-6.701412813360335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1" t="s">
        <v>140</v>
      </c>
      <c r="D36" s="132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45234</v>
      </c>
      <c r="S36" s="55">
        <f t="shared" ca="1" si="11"/>
        <v>45234</v>
      </c>
      <c r="T36" s="55">
        <f t="shared" ca="1" si="0"/>
        <v>52.698560012867766</v>
      </c>
      <c r="U36" s="55">
        <f t="shared" ca="1" si="1"/>
        <v>4.3189088820460464</v>
      </c>
      <c r="V36" s="55">
        <f t="shared" ca="1" si="2"/>
        <v>0</v>
      </c>
      <c r="W36" s="55">
        <f t="shared" ca="1" si="12"/>
        <v>0</v>
      </c>
      <c r="X36" s="55">
        <f t="shared" ca="1" si="13"/>
        <v>7.869966195313876</v>
      </c>
      <c r="Y36" s="55">
        <f t="shared" ca="1" si="14"/>
        <v>-4.1326839514693114</v>
      </c>
      <c r="Z36">
        <f t="shared" ca="1" si="3"/>
        <v>48.225615845308454</v>
      </c>
      <c r="AA36">
        <f t="shared" ca="1" si="15"/>
        <v>0</v>
      </c>
      <c r="AB36">
        <f t="shared" ca="1" si="4"/>
        <v>0</v>
      </c>
      <c r="AC36">
        <f t="shared" ca="1" si="5"/>
        <v>1.7123421484225628E-2</v>
      </c>
      <c r="AD36" s="83">
        <f ca="1"/>
        <v>45369</v>
      </c>
      <c r="AE36" s="55">
        <f t="shared" ca="1" si="20"/>
        <v>45369</v>
      </c>
      <c r="AF36" s="55">
        <f t="shared" ca="1" si="21"/>
        <v>28.670433009518476</v>
      </c>
      <c r="AG36" s="55">
        <f t="shared" ca="1" si="22"/>
        <v>4.4876370492987121</v>
      </c>
      <c r="AH36" s="55">
        <f t="shared" ca="1" si="23"/>
        <v>0</v>
      </c>
      <c r="AI36" s="55">
        <f t="shared" ca="1" si="17"/>
        <v>0</v>
      </c>
      <c r="AJ36" s="55">
        <f t="shared" ca="1" si="18"/>
        <v>7.0731150000503238</v>
      </c>
      <c r="AK36" s="55">
        <f t="shared" ca="1" si="19"/>
        <v>-6.9742338208976076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45235</v>
      </c>
      <c r="S37" s="55">
        <f t="shared" ca="1" si="11"/>
        <v>45235</v>
      </c>
      <c r="T37" s="55">
        <f t="shared" ca="1" si="0"/>
        <v>52.731224746798922</v>
      </c>
      <c r="U37" s="55">
        <f t="shared" ca="1" si="1"/>
        <v>4.4800193059091722</v>
      </c>
      <c r="V37" s="55">
        <f t="shared" ca="1" si="2"/>
        <v>0</v>
      </c>
      <c r="W37" s="55">
        <f t="shared" ca="1" si="12"/>
        <v>0</v>
      </c>
      <c r="X37" s="55">
        <f t="shared" ca="1" si="13"/>
        <v>8.192459168687666</v>
      </c>
      <c r="Y37" s="55">
        <f t="shared" ca="1" si="14"/>
        <v>-4.2614017670488149</v>
      </c>
      <c r="Z37">
        <f t="shared" ca="1" si="3"/>
        <v>47.71675150670216</v>
      </c>
      <c r="AA37">
        <f t="shared" ca="1" si="15"/>
        <v>0</v>
      </c>
      <c r="AB37">
        <f t="shared" ca="1" si="4"/>
        <v>0</v>
      </c>
      <c r="AC37">
        <f t="shared" ca="1" si="5"/>
        <v>2.1538072948406262E-2</v>
      </c>
      <c r="AD37" s="83">
        <f ca="1"/>
        <v>45370</v>
      </c>
      <c r="AE37" s="55">
        <f t="shared" ca="1" si="20"/>
        <v>45370</v>
      </c>
      <c r="AF37" s="55">
        <f t="shared" ca="1" si="21"/>
        <v>28.485291865178812</v>
      </c>
      <c r="AG37" s="55">
        <f t="shared" ca="1" si="22"/>
        <v>4.8046428589124348</v>
      </c>
      <c r="AH37" s="55">
        <f t="shared" ca="1" si="23"/>
        <v>0</v>
      </c>
      <c r="AI37" s="55">
        <f t="shared" ca="1" si="17"/>
        <v>0</v>
      </c>
      <c r="AJ37" s="55">
        <f t="shared" ca="1" si="18"/>
        <v>7.4679091845903658</v>
      </c>
      <c r="AK37" s="55">
        <f t="shared" ca="1" si="19"/>
        <v>-7.2371633401635922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45236</v>
      </c>
      <c r="S38" s="55">
        <f t="shared" ca="1" si="11"/>
        <v>45236</v>
      </c>
      <c r="T38" s="55">
        <f t="shared" ca="1" si="0"/>
        <v>52.758240723250765</v>
      </c>
      <c r="U38" s="55">
        <f t="shared" ca="1" si="1"/>
        <v>4.6400686892889738</v>
      </c>
      <c r="V38" s="55">
        <f t="shared" ca="1" si="2"/>
        <v>0</v>
      </c>
      <c r="W38" s="55">
        <f t="shared" ca="1" si="12"/>
        <v>0</v>
      </c>
      <c r="X38" s="55">
        <f t="shared" ca="1" si="13"/>
        <v>8.4962650741995613</v>
      </c>
      <c r="Y38" s="55">
        <f t="shared" ca="1" si="14"/>
        <v>-4.3781423127290626</v>
      </c>
      <c r="Z38">
        <f t="shared" ca="1" si="3"/>
        <v>46.511569313862609</v>
      </c>
      <c r="AA38">
        <f t="shared" ca="1" si="15"/>
        <v>0</v>
      </c>
      <c r="AB38">
        <f t="shared" ca="1" si="4"/>
        <v>0</v>
      </c>
      <c r="AC38">
        <f t="shared" ca="1" si="5"/>
        <v>2.6809358252199624E-2</v>
      </c>
      <c r="AD38" s="83">
        <f ca="1"/>
        <v>45371</v>
      </c>
      <c r="AE38" s="55">
        <f t="shared" ca="1" si="20"/>
        <v>45371</v>
      </c>
      <c r="AF38" s="55">
        <f t="shared" ca="1" si="21"/>
        <v>28.29525638104403</v>
      </c>
      <c r="AG38" s="55">
        <f t="shared" ca="1" si="22"/>
        <v>5.1341760140313877</v>
      </c>
      <c r="AH38" s="55">
        <f t="shared" ca="1" si="23"/>
        <v>0</v>
      </c>
      <c r="AI38" s="55">
        <f t="shared" ca="1" si="17"/>
        <v>0</v>
      </c>
      <c r="AJ38" s="55">
        <f t="shared" ca="1" si="18"/>
        <v>7.8464952729917972</v>
      </c>
      <c r="AK38" s="55">
        <f t="shared" ca="1" si="19"/>
        <v>-7.4762517575808509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45237</v>
      </c>
      <c r="S39" s="55">
        <f t="shared" ca="1" si="11"/>
        <v>45237</v>
      </c>
      <c r="T39" s="55">
        <f t="shared" ca="1" si="0"/>
        <v>52.786497981367049</v>
      </c>
      <c r="U39" s="55">
        <f t="shared" ca="1" si="1"/>
        <v>4.8095702535855933</v>
      </c>
      <c r="V39" s="55">
        <f t="shared" ca="1" si="2"/>
        <v>0</v>
      </c>
      <c r="W39" s="55">
        <f t="shared" ca="1" si="12"/>
        <v>0</v>
      </c>
      <c r="X39" s="55">
        <f t="shared" ca="1" si="13"/>
        <v>8.8119092484695454</v>
      </c>
      <c r="Y39" s="55">
        <f t="shared" ca="1" si="14"/>
        <v>-4.4960276645861441</v>
      </c>
      <c r="Z39">
        <f t="shared" ca="1" si="3"/>
        <v>47.727866333344501</v>
      </c>
      <c r="AA39">
        <f t="shared" ca="1" si="15"/>
        <v>0</v>
      </c>
      <c r="AB39">
        <f t="shared" ca="1" si="4"/>
        <v>0</v>
      </c>
      <c r="AC39">
        <f t="shared" ca="1" si="5"/>
        <v>3.3493154182760401E-2</v>
      </c>
      <c r="AD39" s="83">
        <f ca="1"/>
        <v>45372</v>
      </c>
      <c r="AE39" s="55">
        <f t="shared" ca="1" si="20"/>
        <v>45372</v>
      </c>
      <c r="AF39" s="55">
        <f t="shared" ca="1" si="21"/>
        <v>28.098542356066233</v>
      </c>
      <c r="AG39" s="55">
        <f t="shared" ca="1" si="22"/>
        <v>5.4756216664286628</v>
      </c>
      <c r="AH39" s="55">
        <f t="shared" ca="1" si="23"/>
        <v>0</v>
      </c>
      <c r="AI39" s="55">
        <f t="shared" ca="1" si="17"/>
        <v>0</v>
      </c>
      <c r="AJ39" s="55">
        <f t="shared" ca="1" si="18"/>
        <v>8.210532057201485</v>
      </c>
      <c r="AK39" s="55">
        <f t="shared" ca="1" si="19"/>
        <v>-7.6955569143710623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45238</v>
      </c>
      <c r="S40" s="55">
        <f t="shared" ca="1" si="11"/>
        <v>45238</v>
      </c>
      <c r="T40" s="55">
        <f t="shared" ca="1" si="0"/>
        <v>52.810943865943152</v>
      </c>
      <c r="U40" s="55">
        <f t="shared" ca="1" si="1"/>
        <v>4.9843251250126812</v>
      </c>
      <c r="V40" s="55">
        <f t="shared" ca="1" si="2"/>
        <v>0</v>
      </c>
      <c r="W40" s="55">
        <f t="shared" ca="1" si="12"/>
        <v>0</v>
      </c>
      <c r="X40" s="55">
        <f t="shared" ca="1" si="13"/>
        <v>9.1200675104233238</v>
      </c>
      <c r="Y40" s="55">
        <f t="shared" ca="1" si="14"/>
        <v>-4.6049851705367306</v>
      </c>
      <c r="Z40">
        <f t="shared" ca="1" si="3"/>
        <v>45.904054514797714</v>
      </c>
      <c r="AA40">
        <f t="shared" ca="1" si="15"/>
        <v>0</v>
      </c>
      <c r="AB40">
        <f t="shared" ca="1" si="4"/>
        <v>0</v>
      </c>
      <c r="AC40">
        <f t="shared" ca="1" si="5"/>
        <v>4.1731353626365791E-2</v>
      </c>
      <c r="AD40" s="83">
        <f ca="1"/>
        <v>45373</v>
      </c>
      <c r="AE40" s="55">
        <f t="shared" ca="1" si="20"/>
        <v>45373</v>
      </c>
      <c r="AF40" s="55">
        <f t="shared" ca="1" si="21"/>
        <v>27.89379128936179</v>
      </c>
      <c r="AG40" s="55">
        <f t="shared" ca="1" si="22"/>
        <v>5.824555996812542</v>
      </c>
      <c r="AH40" s="55">
        <f t="shared" ca="1" si="23"/>
        <v>0</v>
      </c>
      <c r="AI40" s="55">
        <f t="shared" ca="1" si="17"/>
        <v>0</v>
      </c>
      <c r="AJ40" s="55">
        <f t="shared" ca="1" si="18"/>
        <v>8.5656859167016304</v>
      </c>
      <c r="AK40" s="55">
        <f t="shared" ca="1" si="19"/>
        <v>-7.9065275101917702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45239</v>
      </c>
      <c r="S41" s="55">
        <f t="shared" ca="1" si="11"/>
        <v>45239</v>
      </c>
      <c r="T41" s="55">
        <f t="shared" ca="1" si="0"/>
        <v>52.832954038309794</v>
      </c>
      <c r="U41" s="55">
        <f t="shared" ca="1" si="1"/>
        <v>5.1692261219303113</v>
      </c>
      <c r="V41" s="55">
        <f t="shared" ca="1" si="2"/>
        <v>0</v>
      </c>
      <c r="W41" s="55">
        <f t="shared" ca="1" si="12"/>
        <v>0</v>
      </c>
      <c r="X41" s="55">
        <f t="shared" ca="1" si="13"/>
        <v>9.4300126082716567</v>
      </c>
      <c r="Y41" s="55">
        <f t="shared" ca="1" si="14"/>
        <v>-4.7080190991008006</v>
      </c>
      <c r="Z41">
        <f t="shared" ca="1" si="3"/>
        <v>44.123986593702753</v>
      </c>
      <c r="AA41">
        <f t="shared" ca="1" si="15"/>
        <v>0</v>
      </c>
      <c r="AB41">
        <f t="shared" ca="1" si="4"/>
        <v>0</v>
      </c>
      <c r="AC41">
        <f t="shared" ca="1" si="5"/>
        <v>5.2129217261005556E-2</v>
      </c>
      <c r="AD41" s="83">
        <f ca="1"/>
        <v>45374</v>
      </c>
      <c r="AE41" s="55">
        <f t="shared" ca="1" si="20"/>
        <v>45374</v>
      </c>
      <c r="AF41" s="55">
        <f t="shared" ca="1" si="21"/>
        <v>27.676591385743819</v>
      </c>
      <c r="AG41" s="55">
        <f t="shared" ca="1" si="22"/>
        <v>6.1983000902561169</v>
      </c>
      <c r="AH41" s="55">
        <f t="shared" ca="1" si="23"/>
        <v>0</v>
      </c>
      <c r="AI41" s="55">
        <f t="shared" ca="1" si="17"/>
        <v>0</v>
      </c>
      <c r="AJ41" s="55">
        <f t="shared" ca="1" si="18"/>
        <v>8.9218908118434879</v>
      </c>
      <c r="AK41" s="55">
        <f t="shared" ca="1" si="19"/>
        <v>-8.1061882155080216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45240</v>
      </c>
      <c r="S42" s="55">
        <f t="shared" ca="1" si="11"/>
        <v>45240</v>
      </c>
      <c r="T42" s="55">
        <f t="shared" ca="1" si="0"/>
        <v>52.857749581786564</v>
      </c>
      <c r="U42" s="55">
        <f t="shared" ca="1" si="1"/>
        <v>5.3839475791064828</v>
      </c>
      <c r="V42" s="55">
        <f t="shared" ca="1" si="2"/>
        <v>0</v>
      </c>
      <c r="W42" s="55">
        <f t="shared" ca="1" si="12"/>
        <v>0</v>
      </c>
      <c r="X42" s="55">
        <f t="shared" ca="1" si="13"/>
        <v>9.7710837543430635</v>
      </c>
      <c r="Y42" s="55">
        <f t="shared" ca="1" si="14"/>
        <v>-4.8095732445192692</v>
      </c>
      <c r="Z42">
        <f t="shared" ca="1" si="3"/>
        <v>40.552123862191578</v>
      </c>
      <c r="AA42">
        <f t="shared" ca="1" si="15"/>
        <v>0</v>
      </c>
      <c r="AB42">
        <f t="shared" ca="1" si="4"/>
        <v>0</v>
      </c>
      <c r="AC42">
        <f t="shared" ca="1" si="5"/>
        <v>6.6641130841995966E-2</v>
      </c>
      <c r="AD42" s="83">
        <f ca="1"/>
        <v>45375</v>
      </c>
      <c r="AE42" s="55">
        <f t="shared" ca="1" si="20"/>
        <v>45375</v>
      </c>
      <c r="AF42" s="55">
        <f t="shared" ca="1" si="21"/>
        <v>27.442175223635431</v>
      </c>
      <c r="AG42" s="55">
        <f t="shared" ca="1" si="22"/>
        <v>6.6036143506763807</v>
      </c>
      <c r="AH42" s="55">
        <f t="shared" ca="1" si="23"/>
        <v>0</v>
      </c>
      <c r="AI42" s="55">
        <f t="shared" ca="1" si="17"/>
        <v>0</v>
      </c>
      <c r="AJ42" s="55">
        <f t="shared" ca="1" si="18"/>
        <v>9.2933746537073141</v>
      </c>
      <c r="AK42" s="55">
        <f t="shared" ca="1" si="19"/>
        <v>-8.3067739590599725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45241</v>
      </c>
      <c r="S43" s="55">
        <f t="shared" ca="1" si="11"/>
        <v>45241</v>
      </c>
      <c r="T43" s="55">
        <f t="shared" ca="1" si="0"/>
        <v>52.871410517486595</v>
      </c>
      <c r="U43" s="55">
        <f t="shared" ca="1" si="1"/>
        <v>5.5966338565090243</v>
      </c>
      <c r="V43" s="55">
        <f t="shared" ca="1" si="2"/>
        <v>0</v>
      </c>
      <c r="W43" s="55">
        <f t="shared" ca="1" si="12"/>
        <v>0</v>
      </c>
      <c r="X43" s="55">
        <f t="shared" ca="1" si="13"/>
        <v>10.085871156204657</v>
      </c>
      <c r="Y43" s="55">
        <f t="shared" ca="1" si="14"/>
        <v>-4.8980134332782894</v>
      </c>
      <c r="Z43">
        <f t="shared" ca="1" si="3"/>
        <v>38.289344032015144</v>
      </c>
      <c r="AA43">
        <f t="shared" ca="1" si="15"/>
        <v>0</v>
      </c>
      <c r="AB43">
        <f t="shared" ca="1" si="4"/>
        <v>0</v>
      </c>
      <c r="AC43">
        <f t="shared" ca="1" si="5"/>
        <v>8.3883058908410163E-2</v>
      </c>
      <c r="AD43" s="83">
        <f ca="1"/>
        <v>45376</v>
      </c>
      <c r="AE43" s="55">
        <f t="shared" ca="1" si="20"/>
        <v>45376</v>
      </c>
      <c r="AF43" s="55">
        <f t="shared" ca="1" si="21"/>
        <v>27.202481648567375</v>
      </c>
      <c r="AG43" s="55">
        <f t="shared" ca="1" si="22"/>
        <v>7.0102301294977467</v>
      </c>
      <c r="AH43" s="55">
        <f t="shared" ca="1" si="23"/>
        <v>0</v>
      </c>
      <c r="AI43" s="55">
        <f t="shared" ca="1" si="17"/>
        <v>0</v>
      </c>
      <c r="AJ43" s="55">
        <f t="shared" ca="1" si="18"/>
        <v>9.6330205569832223</v>
      </c>
      <c r="AK43" s="55">
        <f t="shared" ca="1" si="19"/>
        <v>-8.4794976585825719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45231</v>
      </c>
      <c r="C44" s="100" t="s">
        <v>151</v>
      </c>
      <c r="D44" s="102">
        <f ca="1">MAX(CurrentEstablishDate,C38:C43,MAX(C29:C34)+1)</f>
        <v>45231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45242</v>
      </c>
      <c r="S44" s="55">
        <f t="shared" ca="1" si="11"/>
        <v>45242</v>
      </c>
      <c r="T44" s="55">
        <f t="shared" ca="1" si="0"/>
        <v>52.879003884726622</v>
      </c>
      <c r="U44" s="55">
        <f t="shared" ca="1" si="1"/>
        <v>5.8116171755158437</v>
      </c>
      <c r="V44" s="55">
        <f t="shared" ca="1" si="2"/>
        <v>0</v>
      </c>
      <c r="W44" s="55">
        <f t="shared" ca="1" si="12"/>
        <v>0</v>
      </c>
      <c r="X44" s="55">
        <f t="shared" ca="1" si="13"/>
        <v>10.394346065835935</v>
      </c>
      <c r="Y44" s="55">
        <f t="shared" ca="1" si="14"/>
        <v>-4.9839116566627233</v>
      </c>
      <c r="Z44">
        <f t="shared" ca="1" si="3"/>
        <v>39.381207683790777</v>
      </c>
      <c r="AA44">
        <f t="shared" ca="1" si="15"/>
        <v>0</v>
      </c>
      <c r="AB44">
        <f t="shared" ca="1" si="4"/>
        <v>0</v>
      </c>
      <c r="AC44">
        <f t="shared" ca="1" si="5"/>
        <v>0.10447555079288791</v>
      </c>
      <c r="AD44" s="83">
        <f ca="1"/>
        <v>45377</v>
      </c>
      <c r="AE44" s="55">
        <f t="shared" ca="1" si="20"/>
        <v>45377</v>
      </c>
      <c r="AF44" s="55">
        <f t="shared" ca="1" si="21"/>
        <v>26.934983020968865</v>
      </c>
      <c r="AG44" s="55">
        <f t="shared" ca="1" si="22"/>
        <v>7.4686615000169825</v>
      </c>
      <c r="AH44" s="55">
        <f t="shared" ca="1" si="23"/>
        <v>0</v>
      </c>
      <c r="AI44" s="55">
        <f t="shared" ca="1" si="17"/>
        <v>0</v>
      </c>
      <c r="AJ44" s="55">
        <f t="shared" ca="1" si="18"/>
        <v>9.997027475555333</v>
      </c>
      <c r="AK44" s="55">
        <f t="shared" ca="1" si="19"/>
        <v>-8.6525718342339548</v>
      </c>
    </row>
    <row r="45" spans="1:37" s="55" customFormat="1">
      <c r="R45" s="83">
        <f ca="1"/>
        <v>45243</v>
      </c>
      <c r="S45" s="55">
        <f t="shared" ca="1" si="11"/>
        <v>45243</v>
      </c>
      <c r="T45" s="55">
        <f t="shared" ca="1" si="0"/>
        <v>52.876823087092149</v>
      </c>
      <c r="U45" s="55">
        <f t="shared" ca="1" si="1"/>
        <v>6.0195777369508452</v>
      </c>
      <c r="V45" s="55">
        <f t="shared" ca="1" si="2"/>
        <v>0</v>
      </c>
      <c r="W45" s="55">
        <f t="shared" ca="1" si="12"/>
        <v>0</v>
      </c>
      <c r="X45" s="55">
        <f t="shared" ca="1" si="13"/>
        <v>10.675709586008306</v>
      </c>
      <c r="Y45" s="55">
        <f t="shared" ca="1" si="14"/>
        <v>-5.0594954130345666</v>
      </c>
      <c r="Z45">
        <f t="shared" ca="1" si="3"/>
        <v>38.010039116641657</v>
      </c>
      <c r="AA45">
        <f t="shared" ca="1" si="15"/>
        <v>0</v>
      </c>
      <c r="AB45">
        <f t="shared" ca="1" si="4"/>
        <v>0</v>
      </c>
      <c r="AC45">
        <f t="shared" ca="1" si="5"/>
        <v>0.12761090993348417</v>
      </c>
      <c r="AD45" s="83">
        <f ca="1"/>
        <v>45378</v>
      </c>
      <c r="AE45" s="55">
        <f t="shared" ca="1" si="20"/>
        <v>45378</v>
      </c>
      <c r="AF45" s="55">
        <f t="shared" ca="1" si="21"/>
        <v>26.640364003163533</v>
      </c>
      <c r="AG45" s="55">
        <f t="shared" ca="1" si="22"/>
        <v>7.9716241491609106</v>
      </c>
      <c r="AH45" s="55">
        <f t="shared" ca="1" si="23"/>
        <v>0</v>
      </c>
      <c r="AI45" s="55">
        <f t="shared" ca="1" si="17"/>
        <v>0</v>
      </c>
      <c r="AJ45" s="55">
        <f t="shared" ca="1" si="18"/>
        <v>10.370966572328911</v>
      </c>
      <c r="AK45" s="55">
        <f t="shared" ca="1" si="19"/>
        <v>-8.8181672996689375</v>
      </c>
    </row>
    <row r="46" spans="1:37" s="55" customFormat="1" ht="15" thickBot="1">
      <c r="C46" s="128" t="s">
        <v>155</v>
      </c>
      <c r="D46" s="128"/>
      <c r="E46" s="128"/>
      <c r="F46" s="128"/>
      <c r="G46" s="128"/>
      <c r="H46" s="128"/>
      <c r="R46" s="83">
        <f ca="1"/>
        <v>45244</v>
      </c>
      <c r="S46" s="55">
        <f t="shared" ca="1" si="11"/>
        <v>45244</v>
      </c>
      <c r="T46" s="55">
        <f t="shared" ca="1" si="0"/>
        <v>52.868428438924852</v>
      </c>
      <c r="U46" s="55">
        <f t="shared" ca="1" si="1"/>
        <v>6.2448468998532594</v>
      </c>
      <c r="V46" s="55">
        <f t="shared" ca="1" si="2"/>
        <v>0</v>
      </c>
      <c r="W46" s="55">
        <f t="shared" ca="1" si="12"/>
        <v>0</v>
      </c>
      <c r="X46" s="55">
        <f t="shared" ca="1" si="13"/>
        <v>10.961639809964856</v>
      </c>
      <c r="Y46" s="55">
        <f t="shared" ca="1" si="14"/>
        <v>-5.1285511222560007</v>
      </c>
      <c r="Z46">
        <f t="shared" ca="1" si="3"/>
        <v>34.362396427442185</v>
      </c>
      <c r="AA46">
        <f t="shared" ca="1" si="15"/>
        <v>0</v>
      </c>
      <c r="AB46">
        <f t="shared" ca="1" si="4"/>
        <v>0</v>
      </c>
      <c r="AC46">
        <f t="shared" ca="1" si="5"/>
        <v>0.15635350975558476</v>
      </c>
      <c r="AD46" s="83">
        <f ca="1"/>
        <v>45379</v>
      </c>
      <c r="AE46" s="55">
        <f t="shared" ca="1" si="20"/>
        <v>45379</v>
      </c>
      <c r="AF46" s="55">
        <f t="shared" ca="1" si="21"/>
        <v>26.322588617181658</v>
      </c>
      <c r="AG46" s="55">
        <f t="shared" ca="1" si="22"/>
        <v>8.5046675846326085</v>
      </c>
      <c r="AH46" s="55">
        <f t="shared" ca="1" si="23"/>
        <v>0</v>
      </c>
      <c r="AI46" s="55">
        <f t="shared" ca="1" si="17"/>
        <v>0</v>
      </c>
      <c r="AJ46" s="55">
        <f t="shared" ca="1" si="18"/>
        <v>10.739559003613339</v>
      </c>
      <c r="AK46" s="55">
        <f t="shared" ca="1" si="19"/>
        <v>-8.9714916814635455</v>
      </c>
    </row>
    <row r="47" spans="1:37" s="55" customFormat="1">
      <c r="C47" s="61" t="s">
        <v>27</v>
      </c>
      <c r="D47" s="88" t="str">
        <f>IF(E47="","Fodder",E47)</f>
        <v>Fodder</v>
      </c>
      <c r="E47" s="87"/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45245</v>
      </c>
      <c r="S47" s="55">
        <f t="shared" ca="1" si="11"/>
        <v>45245</v>
      </c>
      <c r="T47" s="55">
        <f t="shared" ca="1" si="0"/>
        <v>52.852311841400009</v>
      </c>
      <c r="U47" s="55">
        <f t="shared" ca="1" si="1"/>
        <v>6.4862294627576258</v>
      </c>
      <c r="V47" s="55">
        <f t="shared" ca="1" si="2"/>
        <v>0</v>
      </c>
      <c r="W47" s="55">
        <f t="shared" ca="1" si="12"/>
        <v>0</v>
      </c>
      <c r="X47" s="55">
        <f t="shared" ca="1" si="13"/>
        <v>11.248705998344123</v>
      </c>
      <c r="Y47" s="55">
        <f t="shared" ca="1" si="14"/>
        <v>-5.1903513452557508</v>
      </c>
      <c r="Z47">
        <f t="shared" ca="1" si="3"/>
        <v>30.663969903045924</v>
      </c>
      <c r="AA47">
        <f t="shared" ca="1" si="15"/>
        <v>0</v>
      </c>
      <c r="AB47">
        <f t="shared" ca="1" si="4"/>
        <v>0</v>
      </c>
      <c r="AC47">
        <f t="shared" ca="1" si="5"/>
        <v>0.19138122635798832</v>
      </c>
      <c r="AD47" s="83">
        <f ca="1"/>
        <v>45380</v>
      </c>
      <c r="AE47" s="55">
        <f t="shared" ca="1" si="20"/>
        <v>45380</v>
      </c>
      <c r="AF47" s="55">
        <f t="shared" ca="1" si="21"/>
        <v>25.9792414293062</v>
      </c>
      <c r="AG47" s="55">
        <f t="shared" ca="1" si="22"/>
        <v>9.074191293866452</v>
      </c>
      <c r="AH47" s="55">
        <f t="shared" ca="1" si="23"/>
        <v>0</v>
      </c>
      <c r="AI47" s="55">
        <f t="shared" ca="1" si="17"/>
        <v>0</v>
      </c>
      <c r="AJ47" s="55">
        <f t="shared" ca="1" si="18"/>
        <v>11.120628550234903</v>
      </c>
      <c r="AK47" s="55">
        <f t="shared" ca="1" si="19"/>
        <v>-9.1263847067267267</v>
      </c>
    </row>
    <row r="48" spans="1:37" s="55" customFormat="1">
      <c r="C48" s="61" t="s">
        <v>96</v>
      </c>
      <c r="D48" s="84" t="str">
        <f>IF(E48="","Barley",E48)</f>
        <v>Barley</v>
      </c>
      <c r="E48" s="66"/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45246</v>
      </c>
      <c r="S48" s="55">
        <f t="shared" ca="1" si="11"/>
        <v>45246</v>
      </c>
      <c r="T48" s="55">
        <f t="shared" ca="1" si="0"/>
        <v>52.829102970781548</v>
      </c>
      <c r="U48" s="55">
        <f t="shared" ca="1" si="1"/>
        <v>6.7431050225386979</v>
      </c>
      <c r="V48" s="55">
        <f t="shared" ca="1" si="2"/>
        <v>0</v>
      </c>
      <c r="W48" s="55">
        <f t="shared" ca="1" si="12"/>
        <v>0</v>
      </c>
      <c r="X48" s="55">
        <f t="shared" ca="1" si="13"/>
        <v>11.542814231040776</v>
      </c>
      <c r="Y48" s="55">
        <f t="shared" ca="1" si="14"/>
        <v>-5.2507928887897881</v>
      </c>
      <c r="Z48">
        <f t="shared" ca="1" si="3"/>
        <v>30.070921880121844</v>
      </c>
      <c r="AA48">
        <f t="shared" ca="1" si="15"/>
        <v>0</v>
      </c>
      <c r="AB48">
        <f t="shared" ca="1" si="4"/>
        <v>0</v>
      </c>
      <c r="AC48">
        <f t="shared" ca="1" si="5"/>
        <v>0.23320551830291436</v>
      </c>
      <c r="AD48" s="83">
        <f ca="1"/>
        <v>45381</v>
      </c>
      <c r="AE48" s="55">
        <f t="shared" ca="1" si="20"/>
        <v>45381</v>
      </c>
      <c r="AF48" s="55">
        <f t="shared" ca="1" si="21"/>
        <v>25.627515126603694</v>
      </c>
      <c r="AG48" s="55">
        <f t="shared" ca="1" si="22"/>
        <v>9.6418595647882626</v>
      </c>
      <c r="AH48" s="55">
        <f t="shared" ca="1" si="23"/>
        <v>0</v>
      </c>
      <c r="AI48" s="55">
        <f t="shared" ca="1" si="17"/>
        <v>0</v>
      </c>
      <c r="AJ48" s="55">
        <f t="shared" ca="1" si="18"/>
        <v>11.476496952001177</v>
      </c>
      <c r="AK48" s="55">
        <f t="shared" ca="1" si="19"/>
        <v>-9.2663111402736984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0</v>
      </c>
      <c r="H49" s="72"/>
      <c r="R49" s="83">
        <f ca="1"/>
        <v>45247</v>
      </c>
      <c r="S49" s="55">
        <f t="shared" ca="1" si="11"/>
        <v>45247</v>
      </c>
      <c r="T49" s="55">
        <f t="shared" ca="1" si="0"/>
        <v>52.795840434845907</v>
      </c>
      <c r="U49" s="55">
        <f t="shared" ca="1" si="1"/>
        <v>6.9924793621885799</v>
      </c>
      <c r="V49" s="55">
        <f t="shared" ca="1" si="2"/>
        <v>0</v>
      </c>
      <c r="W49" s="55">
        <f t="shared" ca="1" si="12"/>
        <v>0</v>
      </c>
      <c r="X49" s="55">
        <f t="shared" ca="1" si="13"/>
        <v>11.811957337986135</v>
      </c>
      <c r="Y49" s="55">
        <f t="shared" ca="1" si="14"/>
        <v>-5.3038241920209055</v>
      </c>
      <c r="Z49">
        <f t="shared" ca="1" si="3"/>
        <v>28.757066823859319</v>
      </c>
      <c r="AA49">
        <f t="shared" ca="1" si="15"/>
        <v>0</v>
      </c>
      <c r="AB49">
        <f t="shared" ca="1" si="4"/>
        <v>0</v>
      </c>
      <c r="AC49">
        <f t="shared" ca="1" si="5"/>
        <v>0.27777221944301222</v>
      </c>
      <c r="AD49" s="83">
        <f ca="1"/>
        <v>45382</v>
      </c>
      <c r="AE49" s="55">
        <f t="shared" ca="1" si="20"/>
        <v>45382</v>
      </c>
      <c r="AF49" s="55">
        <f t="shared" ca="1" si="21"/>
        <v>25.261811953747397</v>
      </c>
      <c r="AG49" s="55">
        <f t="shared" ca="1" si="22"/>
        <v>10.217990836315691</v>
      </c>
      <c r="AH49" s="55">
        <f t="shared" ca="1" si="23"/>
        <v>0</v>
      </c>
      <c r="AI49" s="55">
        <f t="shared" ca="1" si="17"/>
        <v>0</v>
      </c>
      <c r="AJ49" s="55">
        <f t="shared" ca="1" si="18"/>
        <v>11.811499786443461</v>
      </c>
      <c r="AK49" s="55">
        <f t="shared" ca="1" si="19"/>
        <v>-9.3908858760448464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152</v>
      </c>
      <c r="D50" s="65" t="str">
        <f>PriorCropName&amp;" "&amp;PriorCropType&amp;" "&amp;PriorCropVariety</f>
        <v>Barley Fodder General</v>
      </c>
      <c r="F50" s="56"/>
      <c r="R50" s="83">
        <f ca="1"/>
        <v>45248</v>
      </c>
      <c r="S50" s="55">
        <f t="shared" ca="1" si="11"/>
        <v>45248</v>
      </c>
      <c r="T50" s="55">
        <f t="shared" ca="1" si="0"/>
        <v>52.755910850019752</v>
      </c>
      <c r="U50" s="55">
        <f t="shared" ca="1" si="1"/>
        <v>7.2399707009456264</v>
      </c>
      <c r="V50" s="55">
        <f t="shared" ca="1" si="2"/>
        <v>0</v>
      </c>
      <c r="W50" s="55">
        <f t="shared" ca="1" si="12"/>
        <v>0</v>
      </c>
      <c r="X50" s="55">
        <f t="shared" ca="1" si="13"/>
        <v>12.071832704150216</v>
      </c>
      <c r="Y50" s="55">
        <f t="shared" ca="1" si="14"/>
        <v>-5.3561378042540984</v>
      </c>
      <c r="Z50">
        <f t="shared" ca="1" si="3"/>
        <v>30.145574675359764</v>
      </c>
      <c r="AA50">
        <f t="shared" ca="1" si="15"/>
        <v>0</v>
      </c>
      <c r="AB50">
        <f t="shared" ca="1" si="4"/>
        <v>0</v>
      </c>
      <c r="AC50">
        <f t="shared" ca="1" si="5"/>
        <v>0.32510512173903316</v>
      </c>
      <c r="AD50" s="83">
        <f ca="1"/>
        <v>45383</v>
      </c>
      <c r="AE50" s="55">
        <f t="shared" ca="1" si="20"/>
        <v>45383</v>
      </c>
      <c r="AF50" s="55">
        <f t="shared" ca="1" si="21"/>
        <v>24.854672283137383</v>
      </c>
      <c r="AG50" s="55">
        <f t="shared" ca="1" si="22"/>
        <v>10.852054582736445</v>
      </c>
      <c r="AH50" s="55">
        <f t="shared" ca="1" si="23"/>
        <v>0</v>
      </c>
      <c r="AI50" s="55">
        <f t="shared" ca="1" si="17"/>
        <v>0</v>
      </c>
      <c r="AJ50" s="55">
        <f t="shared" ca="1" si="18"/>
        <v>12.156521229271286</v>
      </c>
      <c r="AK50" s="55">
        <f t="shared" ca="1" si="19"/>
        <v>-9.5089832430619321</v>
      </c>
    </row>
    <row r="51" spans="2:37" s="55" customFormat="1">
      <c r="C51" s="61" t="s">
        <v>4</v>
      </c>
      <c r="D51" s="68">
        <f ca="1">IF(E51="",CurrentEstablishDate-60,E51)</f>
        <v>45171</v>
      </c>
      <c r="E51" s="67"/>
      <c r="F51" s="61" t="s">
        <v>147</v>
      </c>
      <c r="G51" s="84" t="str">
        <f>IF(H51="",VLOOKUP(PriorCropNameFull,CropCoefficients,13,FALSE),H51)</f>
        <v>Seed</v>
      </c>
      <c r="H51" s="72"/>
      <c r="R51" s="83">
        <f ca="1"/>
        <v>45249</v>
      </c>
      <c r="S51" s="55">
        <f t="shared" ca="1" si="11"/>
        <v>45249</v>
      </c>
      <c r="T51" s="55">
        <f t="shared" ca="1" si="0"/>
        <v>52.710244625904203</v>
      </c>
      <c r="U51" s="55">
        <f t="shared" ca="1" si="1"/>
        <v>7.4915892161772151</v>
      </c>
      <c r="V51" s="55">
        <f t="shared" ca="1" si="2"/>
        <v>0</v>
      </c>
      <c r="W51" s="55">
        <f t="shared" ca="1" si="12"/>
        <v>0</v>
      </c>
      <c r="X51" s="55">
        <f t="shared" ca="1" si="13"/>
        <v>12.330994507796309</v>
      </c>
      <c r="Y51" s="55">
        <f t="shared" ca="1" si="14"/>
        <v>-5.4093473167841548</v>
      </c>
      <c r="Z51">
        <f t="shared" ca="1" si="3"/>
        <v>31.883961892374735</v>
      </c>
      <c r="AA51">
        <f t="shared" ca="1" si="15"/>
        <v>0</v>
      </c>
      <c r="AB51">
        <f t="shared" ca="1" si="4"/>
        <v>0</v>
      </c>
      <c r="AC51">
        <f t="shared" ca="1" si="5"/>
        <v>0.37542747128096576</v>
      </c>
      <c r="AD51" s="83">
        <f ca="1"/>
        <v>45384</v>
      </c>
      <c r="AE51" s="55">
        <f t="shared" ca="1" si="20"/>
        <v>45384</v>
      </c>
      <c r="AF51" s="55">
        <f t="shared" ca="1" si="21"/>
        <v>24.427733951436885</v>
      </c>
      <c r="AG51" s="55">
        <f t="shared" ca="1" si="22"/>
        <v>11.502709343438561</v>
      </c>
      <c r="AH51" s="55">
        <f t="shared" ca="1" si="23"/>
        <v>0</v>
      </c>
      <c r="AI51" s="55">
        <f t="shared" ca="1" si="17"/>
        <v>0</v>
      </c>
      <c r="AJ51" s="55">
        <f t="shared" ca="1" si="18"/>
        <v>12.488025554417973</v>
      </c>
      <c r="AK51" s="55">
        <f t="shared" ca="1" si="19"/>
        <v>-9.6167711392070014</v>
      </c>
    </row>
    <row r="52" spans="2:37" s="55" customFormat="1">
      <c r="C52" s="61" t="s">
        <v>5</v>
      </c>
      <c r="D52" s="68">
        <f ca="1">IF(E52="",CurrentEstablishDate-15,E52)</f>
        <v>45216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45250</v>
      </c>
      <c r="S52" s="55">
        <f t="shared" ca="1" si="11"/>
        <v>45250</v>
      </c>
      <c r="T52" s="55">
        <f t="shared" ca="1" si="0"/>
        <v>52.655280463785012</v>
      </c>
      <c r="U52" s="55">
        <f t="shared" ca="1" si="1"/>
        <v>7.7709695717637448</v>
      </c>
      <c r="V52" s="55">
        <f t="shared" ca="1" si="2"/>
        <v>0</v>
      </c>
      <c r="W52" s="55">
        <f t="shared" ca="1" si="12"/>
        <v>0</v>
      </c>
      <c r="X52" s="55">
        <f t="shared" ca="1" si="13"/>
        <v>12.608149387346259</v>
      </c>
      <c r="Y52" s="55">
        <f t="shared" ca="1" si="14"/>
        <v>-5.4620860028667675</v>
      </c>
      <c r="Z52">
        <f t="shared" ca="1" si="3"/>
        <v>30.488790592857406</v>
      </c>
      <c r="AA52">
        <f t="shared" ca="1" si="15"/>
        <v>0</v>
      </c>
      <c r="AB52">
        <f t="shared" ca="1" si="4"/>
        <v>0</v>
      </c>
      <c r="AC52">
        <f t="shared" ca="1" si="5"/>
        <v>0.43256321061131386</v>
      </c>
      <c r="AD52" s="83">
        <f ca="1"/>
        <v>45385</v>
      </c>
      <c r="AE52" s="55">
        <f t="shared" ca="1" si="20"/>
        <v>45385</v>
      </c>
      <c r="AF52" s="55">
        <f t="shared" ca="1" si="21"/>
        <v>23.986236497412008</v>
      </c>
      <c r="AG52" s="55">
        <f t="shared" ca="1" si="22"/>
        <v>12.162437881553132</v>
      </c>
      <c r="AH52" s="55">
        <f t="shared" ca="1" si="23"/>
        <v>0</v>
      </c>
      <c r="AI52" s="55">
        <f t="shared" ca="1" si="17"/>
        <v>0</v>
      </c>
      <c r="AJ52" s="55">
        <f t="shared" ca="1" si="18"/>
        <v>12.805605538869562</v>
      </c>
      <c r="AK52" s="55">
        <f t="shared" ca="1" si="19"/>
        <v>-9.7161200395688976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45251</v>
      </c>
      <c r="S53" s="55">
        <f t="shared" ca="1" si="11"/>
        <v>45251</v>
      </c>
      <c r="T53" s="55">
        <f t="shared" ca="1" si="0"/>
        <v>52.593719992030906</v>
      </c>
      <c r="U53" s="55">
        <f t="shared" ca="1" si="1"/>
        <v>8.0583986598063468</v>
      </c>
      <c r="V53" s="55">
        <f t="shared" ca="1" si="2"/>
        <v>0</v>
      </c>
      <c r="W53" s="55">
        <f t="shared" ca="1" si="12"/>
        <v>0</v>
      </c>
      <c r="X53" s="55">
        <f t="shared" ca="1" si="13"/>
        <v>12.888602334884357</v>
      </c>
      <c r="Y53" s="55">
        <f t="shared" ca="1" si="14"/>
        <v>-5.5166703341163785</v>
      </c>
      <c r="Z53">
        <f t="shared" ca="1" si="3"/>
        <v>32.613817495375372</v>
      </c>
      <c r="AA53">
        <f t="shared" ca="1" si="15"/>
        <v>0</v>
      </c>
      <c r="AB53">
        <f t="shared" ca="1" si="4"/>
        <v>0</v>
      </c>
      <c r="AC53">
        <f t="shared" ca="1" si="5"/>
        <v>0.49115786539008255</v>
      </c>
      <c r="AD53" s="83">
        <f ca="1"/>
        <v>45386</v>
      </c>
      <c r="AE53" s="55">
        <f t="shared" ca="1" si="20"/>
        <v>45386</v>
      </c>
      <c r="AF53" s="55">
        <f t="shared" ca="1" si="21"/>
        <v>23.521969693514674</v>
      </c>
      <c r="AG53" s="55">
        <f t="shared" ca="1" si="22"/>
        <v>12.844308578943892</v>
      </c>
      <c r="AH53" s="55">
        <f t="shared" ca="1" si="23"/>
        <v>0</v>
      </c>
      <c r="AI53" s="55">
        <f t="shared" ca="1" si="17"/>
        <v>0</v>
      </c>
      <c r="AJ53" s="55">
        <f t="shared" ca="1" si="18"/>
        <v>13.11497024900604</v>
      </c>
      <c r="AK53" s="55">
        <f t="shared" ca="1" si="19"/>
        <v>-9.8078808562119502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8</v>
      </c>
      <c r="E54" s="69"/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45252</v>
      </c>
      <c r="S54" s="55">
        <f t="shared" ca="1" si="11"/>
        <v>45252</v>
      </c>
      <c r="T54" s="55">
        <f t="shared" ca="1" si="0"/>
        <v>52.524098212183944</v>
      </c>
      <c r="U54" s="55">
        <f t="shared" ca="1" si="1"/>
        <v>8.3398296703812349</v>
      </c>
      <c r="V54" s="55">
        <f t="shared" ca="1" si="2"/>
        <v>0</v>
      </c>
      <c r="W54" s="55">
        <f t="shared" ca="1" si="12"/>
        <v>0</v>
      </c>
      <c r="X54" s="55">
        <f t="shared" ca="1" si="13"/>
        <v>13.149114799128993</v>
      </c>
      <c r="Y54" s="55">
        <f t="shared" ca="1" si="14"/>
        <v>-5.5653735676330864</v>
      </c>
      <c r="Z54">
        <f t="shared" ca="1" si="3"/>
        <v>31.363004728333589</v>
      </c>
      <c r="AA54">
        <f t="shared" ca="1" si="15"/>
        <v>0</v>
      </c>
      <c r="AB54">
        <f t="shared" ca="1" si="4"/>
        <v>0</v>
      </c>
      <c r="AC54">
        <f t="shared" ca="1" si="5"/>
        <v>0.54686968125730695</v>
      </c>
      <c r="AD54" s="83">
        <f ca="1"/>
        <v>45387</v>
      </c>
      <c r="AE54" s="55">
        <f t="shared" ca="1" si="20"/>
        <v>45387</v>
      </c>
      <c r="AF54" s="55">
        <f t="shared" ca="1" si="21"/>
        <v>23.024022010968348</v>
      </c>
      <c r="AG54" s="55">
        <f t="shared" ca="1" si="22"/>
        <v>13.56956491856424</v>
      </c>
      <c r="AH54" s="55">
        <f t="shared" ca="1" si="23"/>
        <v>0</v>
      </c>
      <c r="AI54" s="55">
        <f t="shared" ca="1" si="17"/>
        <v>0</v>
      </c>
      <c r="AJ54" s="55">
        <f t="shared" ca="1" si="18"/>
        <v>13.433268166280408</v>
      </c>
      <c r="AK54" s="55">
        <f t="shared" ca="1" si="19"/>
        <v>-9.8988701164122954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160</v>
      </c>
      <c r="G55" s="85" t="str">
        <f>IF(H55="","Full (Plough)",H55)</f>
        <v>Full (Plough)</v>
      </c>
      <c r="H55" s="72"/>
      <c r="R55" s="83">
        <f ca="1"/>
        <v>45253</v>
      </c>
      <c r="S55" s="55">
        <f t="shared" ca="1" si="11"/>
        <v>45253</v>
      </c>
      <c r="T55" s="55">
        <f t="shared" ca="1" si="0"/>
        <v>52.440136476413372</v>
      </c>
      <c r="U55" s="55">
        <f t="shared" ca="1" si="1"/>
        <v>8.6630620973283747</v>
      </c>
      <c r="V55" s="55">
        <f t="shared" ca="1" si="2"/>
        <v>0</v>
      </c>
      <c r="W55" s="55">
        <f t="shared" ca="1" si="12"/>
        <v>0</v>
      </c>
      <c r="X55" s="55">
        <f t="shared" ca="1" si="13"/>
        <v>13.436777925372336</v>
      </c>
      <c r="Y55" s="55">
        <f t="shared" ca="1" si="14"/>
        <v>-5.6137660026998581</v>
      </c>
      <c r="Z55">
        <f t="shared" ca="1" si="3"/>
        <v>29.144622714183686</v>
      </c>
      <c r="AA55">
        <f t="shared" ca="1" si="15"/>
        <v>0</v>
      </c>
      <c r="AB55">
        <f t="shared" ca="1" si="4"/>
        <v>0</v>
      </c>
      <c r="AC55">
        <f t="shared" ca="1" si="5"/>
        <v>0.60727540167755234</v>
      </c>
      <c r="AD55" s="83">
        <f ca="1"/>
        <v>45388</v>
      </c>
      <c r="AE55" s="55">
        <f t="shared" ca="1" si="20"/>
        <v>45388</v>
      </c>
      <c r="AF55" s="55">
        <f t="shared" ca="1" si="21"/>
        <v>22.503461104687759</v>
      </c>
      <c r="AG55" s="55">
        <f t="shared" ca="1" si="22"/>
        <v>14.326068415072488</v>
      </c>
      <c r="AH55" s="55">
        <f t="shared" ca="1" si="23"/>
        <v>0</v>
      </c>
      <c r="AI55" s="55">
        <f t="shared" ca="1" si="17"/>
        <v>0</v>
      </c>
      <c r="AJ55" s="55">
        <f t="shared" ca="1" si="18"/>
        <v>13.762004383246918</v>
      </c>
      <c r="AK55" s="55">
        <f t="shared" ca="1" si="19"/>
        <v>-9.991663743151145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Interface'!S5,0)&amp;" kg N/ha to the current crop"</f>
        <v>Previous crop residues are providing -7 kg N/ha to the current crop</v>
      </c>
      <c r="R56" s="83">
        <f ca="1"/>
        <v>45254</v>
      </c>
      <c r="S56" s="55">
        <f t="shared" ca="1" si="11"/>
        <v>45254</v>
      </c>
      <c r="T56" s="55">
        <f t="shared" ca="1" si="0"/>
        <v>52.343260612017062</v>
      </c>
      <c r="U56" s="55">
        <f t="shared" ca="1" si="1"/>
        <v>9.0055056994487561</v>
      </c>
      <c r="V56" s="55">
        <f t="shared" ca="1" si="2"/>
        <v>0</v>
      </c>
      <c r="W56" s="55">
        <f t="shared" ca="1" si="12"/>
        <v>0</v>
      </c>
      <c r="X56" s="55">
        <f t="shared" ca="1" si="13"/>
        <v>13.72819897566866</v>
      </c>
      <c r="Y56" s="55">
        <f t="shared" ca="1" si="14"/>
        <v>-5.6596193152721073</v>
      </c>
      <c r="Z56">
        <f t="shared" ca="1" si="3"/>
        <v>27.784414125560197</v>
      </c>
      <c r="AA56">
        <f t="shared" ca="1" si="15"/>
        <v>0</v>
      </c>
      <c r="AB56">
        <f t="shared" ca="1" si="4"/>
        <v>0</v>
      </c>
      <c r="AC56">
        <f t="shared" ca="1" si="5"/>
        <v>0.66574007341216435</v>
      </c>
      <c r="AD56" s="83">
        <f ca="1"/>
        <v>45389</v>
      </c>
      <c r="AE56" s="55">
        <f t="shared" ca="1" si="20"/>
        <v>45389</v>
      </c>
      <c r="AF56" s="55">
        <f t="shared" ca="1" si="21"/>
        <v>21.949451071522905</v>
      </c>
      <c r="AG56" s="55">
        <f t="shared" ca="1" si="22"/>
        <v>15.1230524641113</v>
      </c>
      <c r="AH56" s="55">
        <f t="shared" ca="1" si="23"/>
        <v>0</v>
      </c>
      <c r="AI56" s="55">
        <f t="shared" ca="1" si="17"/>
        <v>0</v>
      </c>
      <c r="AJ56" s="55">
        <f t="shared" ca="1" si="18"/>
        <v>14.09320658869658</v>
      </c>
      <c r="AK56" s="55">
        <f t="shared" ca="1" si="19"/>
        <v>-10.07989193272685</v>
      </c>
    </row>
    <row r="57" spans="2:37" s="55" customFormat="1" ht="15" thickBot="1">
      <c r="C57" s="128" t="s">
        <v>156</v>
      </c>
      <c r="D57" s="128"/>
      <c r="E57" s="128"/>
      <c r="F57" s="128"/>
      <c r="G57" s="128"/>
      <c r="H57" s="128"/>
      <c r="R57" s="83">
        <f ca="1"/>
        <v>45255</v>
      </c>
      <c r="S57" s="55">
        <f t="shared" ca="1" si="11"/>
        <v>45255</v>
      </c>
      <c r="T57" s="55">
        <f t="shared" ca="1" si="0"/>
        <v>52.236903449673761</v>
      </c>
      <c r="U57" s="55">
        <f t="shared" ca="1" si="1"/>
        <v>9.3694348006187589</v>
      </c>
      <c r="V57" s="55">
        <f t="shared" ca="1" si="2"/>
        <v>0</v>
      </c>
      <c r="W57" s="55">
        <f t="shared" ca="1" si="12"/>
        <v>0</v>
      </c>
      <c r="X57" s="55">
        <f t="shared" ca="1" si="13"/>
        <v>14.036692811264853</v>
      </c>
      <c r="Y57" s="55">
        <f t="shared" ca="1" si="14"/>
        <v>-5.7105412120416004</v>
      </c>
      <c r="Z57">
        <f t="shared" ca="1" si="3"/>
        <v>31.007956792621066</v>
      </c>
      <c r="AA57">
        <f t="shared" ca="1" si="15"/>
        <v>0</v>
      </c>
      <c r="AB57">
        <f t="shared" ca="1" si="4"/>
        <v>0</v>
      </c>
      <c r="AC57">
        <f t="shared" ca="1" si="5"/>
        <v>0.72073096329096065</v>
      </c>
      <c r="AD57" s="83">
        <f ca="1"/>
        <v>45390</v>
      </c>
      <c r="AE57" s="55">
        <f t="shared" ca="1" si="20"/>
        <v>45390</v>
      </c>
      <c r="AF57" s="55">
        <f t="shared" ca="1" si="21"/>
        <v>21.389459162753788</v>
      </c>
      <c r="AG57" s="55">
        <f t="shared" ca="1" si="22"/>
        <v>15.92286819428759</v>
      </c>
      <c r="AH57" s="55">
        <f t="shared" ca="1" si="23"/>
        <v>0</v>
      </c>
      <c r="AI57" s="55">
        <f t="shared" ca="1" si="17"/>
        <v>0</v>
      </c>
      <c r="AJ57" s="55">
        <f t="shared" ca="1" si="18"/>
        <v>14.416703121557092</v>
      </c>
      <c r="AK57" s="55">
        <f t="shared" ca="1" si="19"/>
        <v>-10.163564644180189</v>
      </c>
    </row>
    <row r="58" spans="2:37" s="55" customFormat="1">
      <c r="C58" s="61" t="s">
        <v>27</v>
      </c>
      <c r="D58" s="88" t="str">
        <f>IF(E58="","Fodder",E58)</f>
        <v>Fodder</v>
      </c>
      <c r="E58" s="87"/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45256</v>
      </c>
      <c r="S58" s="55">
        <f t="shared" ca="1" si="11"/>
        <v>45256</v>
      </c>
      <c r="T58" s="55">
        <f t="shared" ca="1" si="0"/>
        <v>52.119865346872999</v>
      </c>
      <c r="U58" s="55">
        <f t="shared" ca="1" si="1"/>
        <v>9.7394427841398041</v>
      </c>
      <c r="V58" s="55">
        <f t="shared" ca="1" si="2"/>
        <v>0</v>
      </c>
      <c r="W58" s="55">
        <f t="shared" ca="1" si="12"/>
        <v>0</v>
      </c>
      <c r="X58" s="55">
        <f t="shared" ca="1" si="13"/>
        <v>14.338782204731796</v>
      </c>
      <c r="Y58" s="55">
        <f t="shared" ca="1" si="14"/>
        <v>-5.759660724788259</v>
      </c>
      <c r="Z58">
        <f t="shared" ca="1" si="3"/>
        <v>31.443697175615466</v>
      </c>
      <c r="AA58">
        <f t="shared" ca="1" si="15"/>
        <v>0</v>
      </c>
      <c r="AB58">
        <f t="shared" ca="1" si="4"/>
        <v>0</v>
      </c>
      <c r="AC58">
        <f t="shared" ca="1" si="5"/>
        <v>0.76885901361132569</v>
      </c>
      <c r="AD58" s="83">
        <f ca="1"/>
        <v>45391</v>
      </c>
      <c r="AE58" s="55">
        <f t="shared" ca="1" si="20"/>
        <v>45391</v>
      </c>
      <c r="AF58" s="55">
        <f t="shared" ca="1" si="21"/>
        <v>20.843707897666341</v>
      </c>
      <c r="AG58" s="55">
        <f t="shared" ca="1" si="22"/>
        <v>16.691066347275715</v>
      </c>
      <c r="AH58" s="55">
        <f t="shared" ca="1" si="23"/>
        <v>0</v>
      </c>
      <c r="AI58" s="55">
        <f t="shared" ca="1" si="17"/>
        <v>0</v>
      </c>
      <c r="AJ58" s="55">
        <f t="shared" ca="1" si="18"/>
        <v>14.712978238247358</v>
      </c>
      <c r="AK58" s="55">
        <f t="shared" ca="1" si="19"/>
        <v>-10.237392872969773</v>
      </c>
    </row>
    <row r="59" spans="2:37" s="55" customFormat="1">
      <c r="C59" s="61" t="s">
        <v>96</v>
      </c>
      <c r="D59" s="84" t="str">
        <f>IF(E59="","Oat",E59)</f>
        <v>Oat</v>
      </c>
      <c r="E59" s="66"/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45257</v>
      </c>
      <c r="S59" s="55">
        <f t="shared" ca="1" si="11"/>
        <v>45257</v>
      </c>
      <c r="T59" s="55">
        <f t="shared" ca="1" si="0"/>
        <v>51.990169678776638</v>
      </c>
      <c r="U59" s="55">
        <f t="shared" ca="1" si="1"/>
        <v>10.114507787591418</v>
      </c>
      <c r="V59" s="55">
        <f t="shared" ca="1" si="2"/>
        <v>0</v>
      </c>
      <c r="W59" s="55">
        <f t="shared" ca="1" si="12"/>
        <v>0</v>
      </c>
      <c r="X59" s="55">
        <f t="shared" ca="1" si="13"/>
        <v>14.628357851732579</v>
      </c>
      <c r="Y59" s="55">
        <f t="shared" ca="1" si="14"/>
        <v>-5.8038670364337932</v>
      </c>
      <c r="Z59">
        <f t="shared" ca="1" si="3"/>
        <v>29.765321777098144</v>
      </c>
      <c r="AA59">
        <f t="shared" ca="1" si="15"/>
        <v>0</v>
      </c>
      <c r="AB59">
        <f t="shared" ca="1" si="4"/>
        <v>0</v>
      </c>
      <c r="AC59">
        <f t="shared" ca="1" si="5"/>
        <v>0.80999080120915179</v>
      </c>
      <c r="AD59" s="83">
        <f ca="1"/>
        <v>45392</v>
      </c>
      <c r="AE59" s="55">
        <f t="shared" ca="1" si="20"/>
        <v>45392</v>
      </c>
      <c r="AF59" s="55">
        <f t="shared" ca="1" si="21"/>
        <v>20.255435040908001</v>
      </c>
      <c r="AG59" s="55">
        <f t="shared" ca="1" si="22"/>
        <v>17.510181820061323</v>
      </c>
      <c r="AH59" s="55">
        <f t="shared" ca="1" si="23"/>
        <v>0</v>
      </c>
      <c r="AI59" s="55">
        <f t="shared" ca="1" si="17"/>
        <v>0</v>
      </c>
      <c r="AJ59" s="55">
        <f t="shared" ca="1" si="18"/>
        <v>15.012950256704496</v>
      </c>
      <c r="AK59" s="55">
        <f t="shared" ca="1" si="19"/>
        <v>-10.306522275399642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0</v>
      </c>
      <c r="H60" s="72"/>
      <c r="R60" s="83">
        <f ca="1"/>
        <v>45258</v>
      </c>
      <c r="S60" s="55">
        <f t="shared" ca="1" si="11"/>
        <v>45258</v>
      </c>
      <c r="T60" s="55">
        <f t="shared" ca="1" si="0"/>
        <v>51.852985778061722</v>
      </c>
      <c r="U60" s="55">
        <f t="shared" ca="1" si="1"/>
        <v>10.497121515181139</v>
      </c>
      <c r="V60" s="55">
        <f t="shared" ca="1" si="2"/>
        <v>0</v>
      </c>
      <c r="W60" s="55">
        <f t="shared" ca="1" si="12"/>
        <v>0</v>
      </c>
      <c r="X60" s="55">
        <f t="shared" ca="1" si="13"/>
        <v>14.920164809459409</v>
      </c>
      <c r="Y60" s="55">
        <f t="shared" ca="1" si="14"/>
        <v>-5.8502441672858216</v>
      </c>
      <c r="Z60">
        <f t="shared" ca="1" si="3"/>
        <v>32.618440337324046</v>
      </c>
      <c r="AA60">
        <f t="shared" ca="1" si="15"/>
        <v>0</v>
      </c>
      <c r="AB60">
        <f t="shared" ca="1" si="4"/>
        <v>0</v>
      </c>
      <c r="AC60">
        <f t="shared" ca="1" si="5"/>
        <v>0.84477308866868184</v>
      </c>
      <c r="AD60" s="83">
        <f ca="1"/>
        <v>45393</v>
      </c>
      <c r="AE60" s="55">
        <f t="shared" ca="1" si="20"/>
        <v>45393</v>
      </c>
      <c r="AF60" s="55">
        <f t="shared" ca="1" si="21"/>
        <v>19.644488713953379</v>
      </c>
      <c r="AG60" s="55">
        <f t="shared" ca="1" si="22"/>
        <v>18.353020033619448</v>
      </c>
      <c r="AH60" s="55">
        <f t="shared" ca="1" si="23"/>
        <v>0</v>
      </c>
      <c r="AI60" s="55">
        <f t="shared" ca="1" si="17"/>
        <v>0</v>
      </c>
      <c r="AJ60" s="55">
        <f t="shared" ca="1" si="18"/>
        <v>15.309130029164971</v>
      </c>
      <c r="AK60" s="55">
        <f t="shared" ca="1" si="19"/>
        <v>-10.370810161256616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152</v>
      </c>
      <c r="D61" s="65" t="str">
        <f>FollowingCropName&amp;" "&amp;FollowingCropType&amp;" "&amp;FollowingCropVariety</f>
        <v>Oat Fodder General</v>
      </c>
      <c r="F61" s="56"/>
      <c r="R61" s="83">
        <f ca="1"/>
        <v>45259</v>
      </c>
      <c r="S61" s="55">
        <f t="shared" ca="1" si="11"/>
        <v>45259</v>
      </c>
      <c r="T61" s="55">
        <f t="shared" ca="1" si="0"/>
        <v>51.704381494693372</v>
      </c>
      <c r="U61" s="55">
        <f t="shared" ca="1" si="1"/>
        <v>10.88462587337828</v>
      </c>
      <c r="V61" s="55">
        <f t="shared" ca="1" si="2"/>
        <v>0</v>
      </c>
      <c r="W61" s="55">
        <f t="shared" ca="1" si="12"/>
        <v>0</v>
      </c>
      <c r="X61" s="55">
        <f t="shared" ca="1" si="13"/>
        <v>15.201692673120615</v>
      </c>
      <c r="Y61" s="55">
        <f t="shared" ca="1" si="14"/>
        <v>-5.8928719561182357</v>
      </c>
      <c r="Z61">
        <f t="shared" ca="1" si="3"/>
        <v>31.511285536526145</v>
      </c>
      <c r="AA61">
        <f t="shared" ca="1" si="15"/>
        <v>0</v>
      </c>
      <c r="AB61">
        <f t="shared" ca="1" si="4"/>
        <v>0</v>
      </c>
      <c r="AC61">
        <f t="shared" ca="1" si="5"/>
        <v>0.87359095949843868</v>
      </c>
      <c r="AD61" s="83">
        <f ca="1"/>
        <v>45394</v>
      </c>
      <c r="AE61" s="55">
        <f t="shared" ca="1" si="20"/>
        <v>45394</v>
      </c>
      <c r="AF61" s="55">
        <f t="shared" ca="1" si="21"/>
        <v>18.975057519063288</v>
      </c>
      <c r="AG61" s="55">
        <f t="shared" ca="1" si="22"/>
        <v>19.267041365253164</v>
      </c>
      <c r="AH61" s="55">
        <f t="shared" ca="1" si="23"/>
        <v>0</v>
      </c>
      <c r="AI61" s="55">
        <f t="shared" ca="1" si="17"/>
        <v>0</v>
      </c>
      <c r="AJ61" s="55">
        <f t="shared" ca="1" si="18"/>
        <v>15.614411054267659</v>
      </c>
      <c r="AK61" s="55">
        <f t="shared" ca="1" si="19"/>
        <v>-10.431501049615681</v>
      </c>
    </row>
    <row r="62" spans="2:37" s="55" customFormat="1">
      <c r="C62" s="61" t="s">
        <v>4</v>
      </c>
      <c r="D62" s="68">
        <f>IF(E62="",CurrentHarvestDate+15,E62)</f>
        <v>45365</v>
      </c>
      <c r="E62" s="67"/>
      <c r="F62" s="61" t="s">
        <v>147</v>
      </c>
      <c r="G62" s="84" t="str">
        <f>IF(H62="",VLOOKUP(FollowingCropFullName,CropCoefficients,13,FALSE),H62)</f>
        <v>Seed</v>
      </c>
      <c r="H62" s="72"/>
      <c r="R62" s="83">
        <f ca="1"/>
        <v>45260</v>
      </c>
      <c r="S62" s="55">
        <f t="shared" ca="1" si="11"/>
        <v>45260</v>
      </c>
      <c r="T62" s="55">
        <f t="shared" ca="1" si="0"/>
        <v>51.540215120856274</v>
      </c>
      <c r="U62" s="55">
        <f t="shared" ca="1" si="1"/>
        <v>11.298491625097355</v>
      </c>
      <c r="V62" s="55">
        <f t="shared" ca="1" si="2"/>
        <v>0</v>
      </c>
      <c r="W62" s="55">
        <f t="shared" ca="1" si="12"/>
        <v>0</v>
      </c>
      <c r="X62" s="55">
        <f t="shared" ca="1" si="13"/>
        <v>15.494358788735292</v>
      </c>
      <c r="Y62" s="55">
        <f t="shared" ca="1" si="14"/>
        <v>-5.9358386938509362</v>
      </c>
      <c r="Z62">
        <f t="shared" ca="1" si="3"/>
        <v>31.786515388473422</v>
      </c>
      <c r="AA62">
        <f t="shared" ca="1" si="15"/>
        <v>0</v>
      </c>
      <c r="AB62">
        <f t="shared" ca="1" si="4"/>
        <v>0</v>
      </c>
      <c r="AC62">
        <f t="shared" ca="1" si="5"/>
        <v>0.89839692229687684</v>
      </c>
      <c r="AD62" s="83">
        <f ca="1"/>
        <v>45395</v>
      </c>
      <c r="AE62" s="55">
        <f t="shared" ca="1" si="20"/>
        <v>45395</v>
      </c>
      <c r="AF62" s="55">
        <f t="shared" ca="1" si="21"/>
        <v>18.290171645683238</v>
      </c>
      <c r="AG62" s="55">
        <f t="shared" ca="1" si="22"/>
        <v>20.188520002545378</v>
      </c>
      <c r="AH62" s="55">
        <f t="shared" ca="1" si="23"/>
        <v>0</v>
      </c>
      <c r="AI62" s="55">
        <f t="shared" ca="1" si="17"/>
        <v>0</v>
      </c>
      <c r="AJ62" s="55">
        <f t="shared" ca="1" si="18"/>
        <v>15.904755186654194</v>
      </c>
      <c r="AK62" s="55">
        <f t="shared" ca="1" si="19"/>
        <v>-10.485252418090054</v>
      </c>
    </row>
    <row r="63" spans="2:37" s="55" customFormat="1">
      <c r="C63" s="61" t="s">
        <v>5</v>
      </c>
      <c r="D63" s="68">
        <f>IF(E63="",FollowingEstablishDate+120,E63)</f>
        <v>45485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45261</v>
      </c>
      <c r="S63" s="55">
        <f t="shared" ca="1" si="11"/>
        <v>45261</v>
      </c>
      <c r="T63" s="55">
        <f t="shared" ca="1" si="0"/>
        <v>51.352306648650028</v>
      </c>
      <c r="U63" s="55">
        <f t="shared" ca="1" si="1"/>
        <v>11.758949290237279</v>
      </c>
      <c r="V63" s="55">
        <f t="shared" ca="1" si="2"/>
        <v>0</v>
      </c>
      <c r="W63" s="55">
        <f t="shared" ca="1" si="12"/>
        <v>0</v>
      </c>
      <c r="X63" s="55">
        <f t="shared" ca="1" si="13"/>
        <v>15.810327919489991</v>
      </c>
      <c r="Y63" s="55">
        <f t="shared" ca="1" si="14"/>
        <v>-5.9792586316719536</v>
      </c>
      <c r="Z63">
        <f t="shared" ca="1" si="3"/>
        <v>30.943068602048598</v>
      </c>
      <c r="AA63">
        <f t="shared" ca="1" si="15"/>
        <v>0</v>
      </c>
      <c r="AB63">
        <f t="shared" ca="1" si="4"/>
        <v>0</v>
      </c>
      <c r="AC63">
        <f t="shared" ca="1" si="5"/>
        <v>0.92011634652751262</v>
      </c>
      <c r="AD63" s="83">
        <f ca="1"/>
        <v>45396</v>
      </c>
      <c r="AE63" s="55">
        <f t="shared" ca="1" si="20"/>
        <v>45396</v>
      </c>
      <c r="AF63" s="55">
        <f t="shared" ca="1" si="21"/>
        <v>17.503283905737007</v>
      </c>
      <c r="AG63" s="55">
        <f t="shared" ca="1" si="22"/>
        <v>21.230167634354054</v>
      </c>
      <c r="AH63" s="55">
        <f t="shared" ca="1" si="23"/>
        <v>0</v>
      </c>
      <c r="AI63" s="55">
        <f t="shared" ca="1" si="17"/>
        <v>0</v>
      </c>
      <c r="AJ63" s="55">
        <f t="shared" ca="1" si="18"/>
        <v>16.208806860732796</v>
      </c>
      <c r="AK63" s="55">
        <f t="shared" ca="1" si="19"/>
        <v>-10.534544200306209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45262</v>
      </c>
      <c r="S64" s="55">
        <f t="shared" ca="1" si="11"/>
        <v>45262</v>
      </c>
      <c r="T64" s="55">
        <f t="shared" ca="1" si="0"/>
        <v>51.142954425161314</v>
      </c>
      <c r="U64" s="55">
        <f t="shared" ca="1" si="1"/>
        <v>12.245946147141648</v>
      </c>
      <c r="V64" s="55">
        <f t="shared" ca="1" si="2"/>
        <v>0</v>
      </c>
      <c r="W64" s="55">
        <f t="shared" ca="1" si="12"/>
        <v>0</v>
      </c>
      <c r="X64" s="55">
        <f t="shared" ca="1" si="13"/>
        <v>16.128445852288525</v>
      </c>
      <c r="Y64" s="55">
        <f t="shared" ca="1" si="14"/>
        <v>-6.0197319310548316</v>
      </c>
      <c r="Z64">
        <f t="shared" ca="1" si="3"/>
        <v>29.212715174479424</v>
      </c>
      <c r="AA64">
        <f t="shared" ca="1" si="15"/>
        <v>0</v>
      </c>
      <c r="AB64">
        <f t="shared" ca="1" si="4"/>
        <v>0</v>
      </c>
      <c r="AC64">
        <f t="shared" ca="1" si="5"/>
        <v>0.93779963058254268</v>
      </c>
      <c r="AD64" s="83">
        <f ca="1"/>
        <v>45397</v>
      </c>
      <c r="AE64" s="55">
        <f t="shared" ca="1" si="20"/>
        <v>45397</v>
      </c>
      <c r="AF64" s="55">
        <f t="shared" ca="1" si="21"/>
        <v>16.694673755523365</v>
      </c>
      <c r="AG64" s="55">
        <f t="shared" ca="1" si="22"/>
        <v>22.284368757153068</v>
      </c>
      <c r="AH64" s="55">
        <f t="shared" ca="1" si="23"/>
        <v>0</v>
      </c>
      <c r="AI64" s="55">
        <f t="shared" ca="1" si="17"/>
        <v>0</v>
      </c>
      <c r="AJ64" s="55">
        <f t="shared" ca="1" si="18"/>
        <v>16.497604565397172</v>
      </c>
      <c r="AK64" s="55">
        <f t="shared" ca="1" si="19"/>
        <v>-10.577750932385213</v>
      </c>
    </row>
    <row r="65" spans="2:37" s="55" customFormat="1">
      <c r="C65" s="61" t="s">
        <v>102</v>
      </c>
      <c r="D65" s="70">
        <f>IF(E65="",VLOOKUP(FollowingCropFullName,CropCoefficients,17,FALSE),E65)</f>
        <v>10</v>
      </c>
      <c r="E65" s="69"/>
      <c r="F65" s="61" t="s">
        <v>150</v>
      </c>
      <c r="G65" s="85" t="str">
        <f>IF(H65="","None removed",H65)</f>
        <v>None removed</v>
      </c>
      <c r="H65" s="72"/>
      <c r="R65" s="83">
        <f ca="1"/>
        <v>45263</v>
      </c>
      <c r="S65" s="55">
        <f t="shared" ca="1" si="11"/>
        <v>45263</v>
      </c>
      <c r="T65" s="55">
        <f t="shared" ca="1" si="0"/>
        <v>50.907659501350693</v>
      </c>
      <c r="U65" s="55">
        <f t="shared" ca="1" si="1"/>
        <v>12.774155332741131</v>
      </c>
      <c r="V65" s="55">
        <f t="shared" ca="1" si="2"/>
        <v>0</v>
      </c>
      <c r="W65" s="55">
        <f t="shared" ca="1" si="12"/>
        <v>0</v>
      </c>
      <c r="X65" s="55">
        <f t="shared" ca="1" si="13"/>
        <v>16.461041055576178</v>
      </c>
      <c r="Y65" s="55">
        <f t="shared" ca="1" si="14"/>
        <v>-6.059412872553624</v>
      </c>
      <c r="Z65">
        <f t="shared" ca="1" si="3"/>
        <v>28.26011428571444</v>
      </c>
      <c r="AA65">
        <f t="shared" ca="1" si="15"/>
        <v>0</v>
      </c>
      <c r="AB65">
        <f t="shared" ca="1" si="4"/>
        <v>0</v>
      </c>
      <c r="AC65">
        <f t="shared" ca="1" si="5"/>
        <v>0.95230651966030999</v>
      </c>
      <c r="AD65" s="83">
        <f ca="1"/>
        <v>45398</v>
      </c>
      <c r="AE65" s="55">
        <f t="shared" ca="1" si="20"/>
        <v>45398</v>
      </c>
      <c r="AF65" s="55">
        <f t="shared" ca="1" si="21"/>
        <v>15.828090670604755</v>
      </c>
      <c r="AG65" s="55">
        <f t="shared" ca="1" si="22"/>
        <v>23.403961768272481</v>
      </c>
      <c r="AH65" s="55">
        <f t="shared" ca="1" si="23"/>
        <v>0</v>
      </c>
      <c r="AI65" s="55">
        <f t="shared" ca="1" si="17"/>
        <v>0</v>
      </c>
      <c r="AJ65" s="55">
        <f t="shared" ca="1" si="18"/>
        <v>16.791241610996746</v>
      </c>
      <c r="AK65" s="55">
        <f t="shared" ca="1" si="19"/>
        <v>-10.618378051783983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160</v>
      </c>
      <c r="G66" s="85" t="str">
        <f>IF(H66="","Full (Plough)",H66)</f>
        <v>Full (Plough)</v>
      </c>
      <c r="H66" s="72"/>
      <c r="R66" s="83">
        <f ca="1"/>
        <v>45264</v>
      </c>
      <c r="S66" s="55">
        <f t="shared" ca="1" si="11"/>
        <v>45264</v>
      </c>
      <c r="T66" s="55">
        <f t="shared" ca="1" si="0"/>
        <v>50.656344711400507</v>
      </c>
      <c r="U66" s="55">
        <f t="shared" ca="1" si="1"/>
        <v>13.308244052277978</v>
      </c>
      <c r="V66" s="55">
        <f t="shared" ca="1" si="2"/>
        <v>0</v>
      </c>
      <c r="W66" s="55">
        <f t="shared" ca="1" si="12"/>
        <v>0</v>
      </c>
      <c r="X66" s="55">
        <f t="shared" ca="1" si="13"/>
        <v>16.780220765119392</v>
      </c>
      <c r="Y66" s="55">
        <f t="shared" ca="1" si="14"/>
        <v>-6.095818652510177</v>
      </c>
      <c r="Z66">
        <f t="shared" ca="1" si="3"/>
        <v>27.529392786960088</v>
      </c>
      <c r="AA66">
        <f t="shared" ca="1" si="15"/>
        <v>0</v>
      </c>
      <c r="AB66">
        <f t="shared" ca="1" si="4"/>
        <v>0</v>
      </c>
      <c r="AC66">
        <f t="shared" ca="1" si="5"/>
        <v>0.96329022374082862</v>
      </c>
      <c r="AD66" s="83">
        <f ca="1"/>
        <v>45399</v>
      </c>
      <c r="AE66" s="55">
        <f t="shared" ca="1" si="20"/>
        <v>45399</v>
      </c>
      <c r="AF66" s="55">
        <f t="shared" ca="1" si="21"/>
        <v>14.966675151853607</v>
      </c>
      <c r="AG66" s="55">
        <f t="shared" ca="1" si="22"/>
        <v>24.502374144076427</v>
      </c>
      <c r="AH66" s="55">
        <f t="shared" ca="1" si="23"/>
        <v>0</v>
      </c>
      <c r="AI66" s="55">
        <f t="shared" ca="1" si="17"/>
        <v>0</v>
      </c>
      <c r="AJ66" s="55">
        <f t="shared" ca="1" si="18"/>
        <v>17.063474881038328</v>
      </c>
      <c r="AK66" s="55">
        <f t="shared" ca="1" si="19"/>
        <v>-10.653614464772767</v>
      </c>
    </row>
    <row r="67" spans="2:37">
      <c r="B67" s="55"/>
      <c r="C67" s="64" t="str">
        <f>"Yield "&amp;ROUND(FollowingYield_tperHa,0)&amp;" (t/ha)"</f>
        <v>Yield 10 (t/ha)</v>
      </c>
      <c r="D67" s="107" t="str">
        <f ca="1">"Following crop will take up "&amp;ROUND('Model Interface'!R5,0)&amp;" kg N/ha"</f>
        <v>Following crop will take up 143 kg N/ha</v>
      </c>
      <c r="R67" s="83">
        <f ca="1"/>
        <v>45265</v>
      </c>
      <c r="S67" s="55">
        <f t="shared" ca="1" si="11"/>
        <v>45265</v>
      </c>
      <c r="T67" s="55">
        <f t="shared" ca="1" si="0"/>
        <v>50.387829677454114</v>
      </c>
      <c r="U67" s="55">
        <f t="shared" ca="1" si="1"/>
        <v>13.859243294715498</v>
      </c>
      <c r="V67" s="55">
        <f t="shared" ca="1" si="2"/>
        <v>0</v>
      </c>
      <c r="W67" s="55">
        <f t="shared" ca="1" si="12"/>
        <v>0</v>
      </c>
      <c r="X67" s="55">
        <f t="shared" ca="1" si="13"/>
        <v>17.098669634389299</v>
      </c>
      <c r="Y67" s="55">
        <f t="shared" ca="1" si="14"/>
        <v>-6.1317833132889579</v>
      </c>
      <c r="Z67">
        <f t="shared" ca="1" si="3"/>
        <v>28.231210654025912</v>
      </c>
      <c r="AA67">
        <f t="shared" ca="1" si="15"/>
        <v>0</v>
      </c>
      <c r="AB67">
        <f t="shared" ca="1" si="4"/>
        <v>0</v>
      </c>
      <c r="AC67">
        <f t="shared" ca="1" si="5"/>
        <v>0.97176859040683961</v>
      </c>
      <c r="AD67" s="83">
        <f ca="1"/>
        <v>45400</v>
      </c>
      <c r="AE67" s="55">
        <f t="shared" ca="1" si="20"/>
        <v>45400</v>
      </c>
      <c r="AF67" s="55">
        <f t="shared" ca="1" si="21"/>
        <v>14.051603850543405</v>
      </c>
      <c r="AG67" s="55">
        <f t="shared" ca="1" si="22"/>
        <v>25.655257551141766</v>
      </c>
      <c r="AH67" s="55">
        <f t="shared" ca="1" si="23"/>
        <v>0</v>
      </c>
      <c r="AI67" s="55">
        <f t="shared" ca="1" si="17"/>
        <v>0</v>
      </c>
      <c r="AJ67" s="55">
        <f t="shared" ca="1" si="18"/>
        <v>17.332824779468172</v>
      </c>
      <c r="AK67" s="55">
        <f t="shared" ca="1" si="19"/>
        <v>-10.685152257447475</v>
      </c>
    </row>
    <row r="68" spans="2:37" ht="15" thickBot="1">
      <c r="C68" s="130" t="s">
        <v>187</v>
      </c>
      <c r="D68" s="130"/>
      <c r="E68" s="130"/>
      <c r="F68" s="130"/>
      <c r="G68" s="130"/>
      <c r="H68" s="130"/>
      <c r="R68" s="83">
        <f ca="1"/>
        <v>45266</v>
      </c>
      <c r="S68" s="55">
        <f t="shared" ca="1" si="11"/>
        <v>45266</v>
      </c>
      <c r="T68" s="55">
        <f t="shared" ca="1" si="0"/>
        <v>50.110436031228204</v>
      </c>
      <c r="U68" s="55">
        <f t="shared" ca="1" si="1"/>
        <v>14.407845859932269</v>
      </c>
      <c r="V68" s="55">
        <f t="shared" ca="1" si="2"/>
        <v>0</v>
      </c>
      <c r="W68" s="55">
        <f t="shared" ca="1" si="12"/>
        <v>0</v>
      </c>
      <c r="X68" s="55">
        <f t="shared" ca="1" si="13"/>
        <v>17.404805841714914</v>
      </c>
      <c r="Y68" s="55">
        <f t="shared" ca="1" si="14"/>
        <v>-6.1667106016237163</v>
      </c>
      <c r="Z68">
        <f t="shared" ca="1" si="3"/>
        <v>29.481356329291501</v>
      </c>
      <c r="AA68">
        <f t="shared" ca="1" si="15"/>
        <v>0</v>
      </c>
      <c r="AB68">
        <f t="shared" ca="1" si="4"/>
        <v>0</v>
      </c>
      <c r="AC68">
        <f t="shared" ca="1" si="5"/>
        <v>0.97809946627663591</v>
      </c>
      <c r="AD68" s="83">
        <f ca="1"/>
        <v>45401</v>
      </c>
      <c r="AE68" s="55">
        <f t="shared" ca="1" si="20"/>
        <v>45401</v>
      </c>
      <c r="AF68" s="55">
        <f t="shared" ca="1" si="21"/>
        <v>13.061722102612386</v>
      </c>
      <c r="AG68" s="55">
        <f t="shared" ca="1" si="22"/>
        <v>26.89258644093244</v>
      </c>
      <c r="AH68" s="55">
        <f t="shared" ca="1" si="23"/>
        <v>0</v>
      </c>
      <c r="AI68" s="55">
        <f t="shared" ca="1" si="17"/>
        <v>0</v>
      </c>
      <c r="AJ68" s="55">
        <f t="shared" ca="1" si="18"/>
        <v>17.610011204113327</v>
      </c>
      <c r="AK68" s="55">
        <f t="shared" ca="1" si="19"/>
        <v>-10.714891540232975</v>
      </c>
    </row>
    <row r="69" spans="2:37">
      <c r="C69" s="61"/>
      <c r="D69" s="88"/>
      <c r="E69" s="105"/>
      <c r="R69" s="83">
        <f ca="1"/>
        <v>45267</v>
      </c>
      <c r="S69" s="55">
        <f t="shared" ca="1" si="11"/>
        <v>45267</v>
      </c>
      <c r="T69" s="55">
        <f t="shared" ca="1" si="0"/>
        <v>49.804531071744499</v>
      </c>
      <c r="U69" s="55">
        <f t="shared" ca="1" si="1"/>
        <v>14.997772982345406</v>
      </c>
      <c r="V69" s="55">
        <f t="shared" ca="1" si="2"/>
        <v>0</v>
      </c>
      <c r="W69" s="55">
        <f t="shared" ca="1" si="12"/>
        <v>0</v>
      </c>
      <c r="X69" s="55">
        <f t="shared" ca="1" si="13"/>
        <v>17.723315971527679</v>
      </c>
      <c r="Y69" s="55">
        <f t="shared" ca="1" si="14"/>
        <v>-6.2011985685070528</v>
      </c>
      <c r="Z69">
        <f t="shared" ca="1" si="3"/>
        <v>28.96741954492909</v>
      </c>
      <c r="AA69">
        <f t="shared" ca="1" si="15"/>
        <v>0</v>
      </c>
      <c r="AB69">
        <f t="shared" ca="1" si="4"/>
        <v>0</v>
      </c>
      <c r="AC69">
        <f t="shared" ca="1" si="5"/>
        <v>0.98319435164560343</v>
      </c>
      <c r="AD69" s="83">
        <f ca="1"/>
        <v>45402</v>
      </c>
      <c r="AE69" s="55">
        <f t="shared" ca="1" si="20"/>
        <v>45402</v>
      </c>
      <c r="AF69" s="55">
        <f t="shared" ca="1" si="21"/>
        <v>12.101588080696471</v>
      </c>
      <c r="AG69" s="55">
        <f t="shared" ca="1" si="22"/>
        <v>28.081093924888435</v>
      </c>
      <c r="AH69" s="55">
        <f t="shared" ca="1" si="23"/>
        <v>0</v>
      </c>
      <c r="AI69" s="55">
        <f t="shared" ca="1" si="17"/>
        <v>0</v>
      </c>
      <c r="AJ69" s="55">
        <f t="shared" ca="1" si="18"/>
        <v>17.864242648079504</v>
      </c>
      <c r="AK69" s="55">
        <f t="shared" ca="1" si="19"/>
        <v>-10.740749522159069</v>
      </c>
    </row>
    <row r="70" spans="2:37">
      <c r="C70" s="61"/>
      <c r="D70" s="84"/>
      <c r="E70" s="69"/>
      <c r="R70" s="83">
        <f ca="1"/>
        <v>45268</v>
      </c>
      <c r="S70" s="55">
        <f t="shared" ca="1" si="11"/>
        <v>45268</v>
      </c>
      <c r="T70" s="55">
        <f t="shared" ca="1" si="0"/>
        <v>49.482680741434166</v>
      </c>
      <c r="U70" s="55">
        <f t="shared" ca="1" si="1"/>
        <v>15.61199802220581</v>
      </c>
      <c r="V70" s="55">
        <f t="shared" ca="1" si="2"/>
        <v>0</v>
      </c>
      <c r="W70" s="55">
        <f t="shared" ca="1" si="12"/>
        <v>0</v>
      </c>
      <c r="X70" s="55">
        <f t="shared" ca="1" si="13"/>
        <v>18.053004174162741</v>
      </c>
      <c r="Y70" s="55">
        <f t="shared" ca="1" si="14"/>
        <v>-6.2385120615920471</v>
      </c>
      <c r="Z70">
        <f t="shared" ca="1" si="3"/>
        <v>32.313685352870195</v>
      </c>
      <c r="AA70">
        <f t="shared" ca="1" si="15"/>
        <v>0</v>
      </c>
      <c r="AB70">
        <f t="shared" ca="1" si="4"/>
        <v>0</v>
      </c>
      <c r="AC70">
        <f t="shared" ca="1" si="5"/>
        <v>0.98713115498645232</v>
      </c>
      <c r="AD70" s="83">
        <f ca="1"/>
        <v>45403</v>
      </c>
      <c r="AE70" s="55">
        <f t="shared" ca="1" si="20"/>
        <v>45403</v>
      </c>
      <c r="AF70" s="55">
        <f t="shared" ca="1" si="21"/>
        <v>11.113160772709101</v>
      </c>
      <c r="AG70" s="55">
        <f t="shared" ca="1" si="22"/>
        <v>29.291499473595938</v>
      </c>
      <c r="AH70" s="55">
        <f t="shared" ca="1" si="23"/>
        <v>0</v>
      </c>
      <c r="AI70" s="55">
        <f t="shared" ca="1" si="17"/>
        <v>0</v>
      </c>
      <c r="AJ70" s="55">
        <f t="shared" ca="1" si="18"/>
        <v>18.108719498319942</v>
      </c>
      <c r="AK70" s="55">
        <f t="shared" ca="1" si="19"/>
        <v>-10.763248131679374</v>
      </c>
    </row>
    <row r="71" spans="2:37">
      <c r="C71" s="61"/>
      <c r="D71" s="84"/>
      <c r="E71" s="69"/>
      <c r="R71" s="83">
        <f ca="1"/>
        <v>45269</v>
      </c>
      <c r="S71" s="55">
        <f t="shared" ca="1" si="11"/>
        <v>45269</v>
      </c>
      <c r="T71" s="55">
        <f t="shared" ca="1" si="0"/>
        <v>49.147891010522642</v>
      </c>
      <c r="U71" s="55">
        <f t="shared" ca="1" si="1"/>
        <v>16.220387766751006</v>
      </c>
      <c r="V71" s="55">
        <f t="shared" ca="1" si="2"/>
        <v>0</v>
      </c>
      <c r="W71" s="55">
        <f t="shared" ca="1" si="12"/>
        <v>0</v>
      </c>
      <c r="X71" s="55">
        <f t="shared" ca="1" si="13"/>
        <v>18.358735014787875</v>
      </c>
      <c r="Y71" s="55">
        <f t="shared" ca="1" si="14"/>
        <v>-6.2706428885835024</v>
      </c>
      <c r="Z71">
        <f t="shared" ca="1" si="3"/>
        <v>30.151201879630115</v>
      </c>
      <c r="AA71">
        <f t="shared" ca="1" si="15"/>
        <v>0</v>
      </c>
      <c r="AB71">
        <f t="shared" ca="1" si="4"/>
        <v>0</v>
      </c>
      <c r="AC71">
        <f t="shared" ca="1" si="5"/>
        <v>0.99003675125679835</v>
      </c>
      <c r="AD71" s="83">
        <f ca="1"/>
        <v>45404</v>
      </c>
      <c r="AE71" s="55">
        <f t="shared" ca="1" si="20"/>
        <v>45404</v>
      </c>
      <c r="AF71" s="55">
        <f t="shared" ca="1" si="21"/>
        <v>10.026070395387546</v>
      </c>
      <c r="AG71" s="55">
        <f t="shared" ca="1" si="22"/>
        <v>30.611020998208815</v>
      </c>
      <c r="AH71" s="55">
        <f t="shared" ca="1" si="23"/>
        <v>0</v>
      </c>
      <c r="AI71" s="55">
        <f t="shared" ca="1" si="17"/>
        <v>0</v>
      </c>
      <c r="AJ71" s="55">
        <f t="shared" ca="1" si="18"/>
        <v>18.361795297227225</v>
      </c>
      <c r="AK71" s="55">
        <f t="shared" ca="1" si="19"/>
        <v>-10.783892783295334</v>
      </c>
    </row>
    <row r="72" spans="2:37">
      <c r="C72" s="61"/>
      <c r="D72" s="84">
        <v>120</v>
      </c>
      <c r="E72" s="69">
        <v>120</v>
      </c>
      <c r="R72" s="83">
        <f ca="1"/>
        <v>45270</v>
      </c>
      <c r="S72" s="55">
        <f t="shared" ca="1" si="11"/>
        <v>45270</v>
      </c>
      <c r="T72" s="55">
        <f t="shared" ca="1" si="0"/>
        <v>48.775238573550254</v>
      </c>
      <c r="U72" s="55">
        <f t="shared" ca="1" si="1"/>
        <v>16.881853305863032</v>
      </c>
      <c r="V72" s="55">
        <f t="shared" ca="1" si="2"/>
        <v>0</v>
      </c>
      <c r="W72" s="55">
        <f t="shared" ca="1" si="12"/>
        <v>0</v>
      </c>
      <c r="X72" s="55">
        <f t="shared" ca="1" si="13"/>
        <v>18.678534067526996</v>
      </c>
      <c r="Y72" s="55">
        <f t="shared" ca="1" si="14"/>
        <v>-6.3016288391829836</v>
      </c>
      <c r="Z72">
        <f t="shared" ca="1" si="3"/>
        <v>28.625861798918596</v>
      </c>
      <c r="AA72">
        <f t="shared" ca="1" si="15"/>
        <v>0</v>
      </c>
      <c r="AB72">
        <f t="shared" ca="1" si="4"/>
        <v>0</v>
      </c>
      <c r="AC72">
        <f t="shared" ca="1" si="5"/>
        <v>0.99238790242371544</v>
      </c>
      <c r="AD72" s="83">
        <f ca="1"/>
        <v>45405</v>
      </c>
      <c r="AE72" s="55">
        <f t="shared" ca="1" si="20"/>
        <v>45405</v>
      </c>
      <c r="AF72" s="55">
        <f t="shared" ca="1" si="21"/>
        <v>8.9517769057226229</v>
      </c>
      <c r="AG72" s="55">
        <f t="shared" ca="1" si="22"/>
        <v>31.906868154679856</v>
      </c>
      <c r="AH72" s="55">
        <f t="shared" ca="1" si="23"/>
        <v>0</v>
      </c>
      <c r="AI72" s="55">
        <f t="shared" ca="1" si="17"/>
        <v>0</v>
      </c>
      <c r="AJ72" s="55">
        <f t="shared" ca="1" si="18"/>
        <v>18.602007396546814</v>
      </c>
      <c r="AK72" s="55">
        <f t="shared" ca="1" si="19"/>
        <v>-10.802551215808803</v>
      </c>
    </row>
    <row r="73" spans="2:37">
      <c r="R73" s="83">
        <f ca="1"/>
        <v>45271</v>
      </c>
      <c r="S73" s="55">
        <f t="shared" ca="1" si="11"/>
        <v>45271</v>
      </c>
      <c r="T73" s="55">
        <f t="shared" ca="1" si="0"/>
        <v>48.352235789143975</v>
      </c>
      <c r="U73" s="55">
        <f t="shared" ca="1" si="1"/>
        <v>17.616052629470531</v>
      </c>
      <c r="V73" s="55">
        <f t="shared" ca="1" si="2"/>
        <v>0</v>
      </c>
      <c r="W73" s="55">
        <f t="shared" ca="1" si="12"/>
        <v>0</v>
      </c>
      <c r="X73" s="55">
        <f t="shared" ca="1" si="13"/>
        <v>19.019250719312485</v>
      </c>
      <c r="Y73" s="55">
        <f t="shared" ca="1" si="14"/>
        <v>-6.3311489517672541</v>
      </c>
      <c r="Z73">
        <f t="shared" ca="1" si="3"/>
        <v>26.238915224624517</v>
      </c>
      <c r="AA73">
        <f t="shared" ca="1" si="15"/>
        <v>0</v>
      </c>
      <c r="AB73">
        <f t="shared" ca="1" si="4"/>
        <v>0</v>
      </c>
      <c r="AC73">
        <f t="shared" ca="1" si="5"/>
        <v>0.99429473945261726</v>
      </c>
      <c r="AD73" s="83">
        <f ca="1"/>
        <v>45406</v>
      </c>
      <c r="AE73" s="55">
        <f t="shared" ca="1" si="20"/>
        <v>45406</v>
      </c>
      <c r="AF73" s="55">
        <f t="shared" ca="1" si="21"/>
        <v>7.7806762908632408</v>
      </c>
      <c r="AG73" s="55">
        <f t="shared" ca="1" si="22"/>
        <v>33.313242432007854</v>
      </c>
      <c r="AH73" s="55">
        <f t="shared" ca="1" si="23"/>
        <v>0</v>
      </c>
      <c r="AI73" s="55">
        <f t="shared" ca="1" si="17"/>
        <v>0</v>
      </c>
      <c r="AJ73" s="55">
        <f t="shared" ca="1" si="18"/>
        <v>18.855386992392731</v>
      </c>
      <c r="AK73" s="55">
        <f t="shared" ca="1" si="19"/>
        <v>-10.820657149186102</v>
      </c>
    </row>
    <row r="74" spans="2:37">
      <c r="R74" s="83">
        <f ca="1"/>
        <v>45272</v>
      </c>
      <c r="S74" s="55">
        <f t="shared" ca="1" si="11"/>
        <v>45272</v>
      </c>
      <c r="T74" s="55">
        <f t="shared" ca="1" si="0"/>
        <v>47.885707964809811</v>
      </c>
      <c r="U74" s="55">
        <f t="shared" ca="1" si="1"/>
        <v>18.412608631070526</v>
      </c>
      <c r="V74" s="55">
        <f t="shared" ca="1" si="2"/>
        <v>0</v>
      </c>
      <c r="W74" s="55">
        <f t="shared" ca="1" si="12"/>
        <v>0</v>
      </c>
      <c r="X74" s="55">
        <f t="shared" ca="1" si="13"/>
        <v>19.379295792705697</v>
      </c>
      <c r="Y74" s="55">
        <f t="shared" ca="1" si="14"/>
        <v>-6.3611658478946342</v>
      </c>
      <c r="Z74">
        <f t="shared" ca="1" si="3"/>
        <v>26.311332517111193</v>
      </c>
      <c r="AA74">
        <f t="shared" ca="1" si="15"/>
        <v>0</v>
      </c>
      <c r="AB74">
        <f t="shared" ca="1" si="4"/>
        <v>0</v>
      </c>
      <c r="AC74">
        <f t="shared" ca="1" si="5"/>
        <v>0.99577883000111111</v>
      </c>
      <c r="AD74" s="83">
        <f ca="1"/>
        <v>45407</v>
      </c>
      <c r="AE74" s="55">
        <f t="shared" ca="1" si="20"/>
        <v>45407</v>
      </c>
      <c r="AF74" s="55">
        <f t="shared" ca="1" si="21"/>
        <v>6.5426484319806661</v>
      </c>
      <c r="AG74" s="55">
        <f t="shared" ca="1" si="22"/>
        <v>34.786064059766943</v>
      </c>
      <c r="AH74" s="55">
        <f t="shared" ca="1" si="23"/>
        <v>0</v>
      </c>
      <c r="AI74" s="55">
        <f t="shared" ca="1" si="17"/>
        <v>0</v>
      </c>
      <c r="AJ74" s="55">
        <f t="shared" ca="1" si="18"/>
        <v>19.105845358075101</v>
      </c>
      <c r="AK74" s="55">
        <f t="shared" ca="1" si="19"/>
        <v>-10.836321745991958</v>
      </c>
    </row>
    <row r="75" spans="2:37">
      <c r="R75" s="83">
        <f ca="1"/>
        <v>45273</v>
      </c>
      <c r="S75" s="55">
        <f t="shared" ca="1" si="11"/>
        <v>45273</v>
      </c>
      <c r="T75" s="55">
        <f t="shared" ca="1" si="0"/>
        <v>47.419147044494579</v>
      </c>
      <c r="U75" s="55">
        <f t="shared" ca="1" si="1"/>
        <v>19.190351836277564</v>
      </c>
      <c r="V75" s="55">
        <f t="shared" ca="1" si="2"/>
        <v>0</v>
      </c>
      <c r="W75" s="55">
        <f t="shared" ca="1" si="12"/>
        <v>0</v>
      </c>
      <c r="X75" s="55">
        <f t="shared" ca="1" si="13"/>
        <v>19.720705342176515</v>
      </c>
      <c r="Y75" s="55">
        <f t="shared" ca="1" si="14"/>
        <v>-6.3913931124736454</v>
      </c>
      <c r="Z75">
        <f t="shared" ca="1" si="3"/>
        <v>29.443448859965066</v>
      </c>
      <c r="AA75">
        <f t="shared" ca="1" si="15"/>
        <v>0</v>
      </c>
      <c r="AB75">
        <f t="shared" ca="1" si="4"/>
        <v>0</v>
      </c>
      <c r="AC75">
        <f t="shared" ca="1" si="5"/>
        <v>0.99682045823222099</v>
      </c>
      <c r="AD75" s="83">
        <f ca="1"/>
        <v>45408</v>
      </c>
      <c r="AE75" s="55">
        <f t="shared" ca="1" si="20"/>
        <v>45408</v>
      </c>
      <c r="AF75" s="55">
        <f t="shared" ca="1" si="21"/>
        <v>5.2429073929195349</v>
      </c>
      <c r="AG75" s="55">
        <f t="shared" ca="1" si="22"/>
        <v>36.326164716469215</v>
      </c>
      <c r="AH75" s="55">
        <f t="shared" ca="1" si="23"/>
        <v>0</v>
      </c>
      <c r="AI75" s="55">
        <f t="shared" ca="1" si="17"/>
        <v>0</v>
      </c>
      <c r="AJ75" s="55">
        <f t="shared" ca="1" si="18"/>
        <v>19.361120232116512</v>
      </c>
      <c r="AK75" s="55">
        <f t="shared" ca="1" si="19"/>
        <v>-10.85123700239223</v>
      </c>
    </row>
    <row r="76" spans="2:37">
      <c r="R76" s="83">
        <f ca="1"/>
        <v>45274</v>
      </c>
      <c r="S76" s="55">
        <f t="shared" ca="1" si="11"/>
        <v>45274</v>
      </c>
      <c r="T76" s="55">
        <f t="shared" ca="1" si="0"/>
        <v>46.942931764579562</v>
      </c>
      <c r="U76" s="55">
        <f t="shared" ca="1" si="1"/>
        <v>19.959296858414518</v>
      </c>
      <c r="V76" s="55">
        <f t="shared" ca="1" si="2"/>
        <v>0</v>
      </c>
      <c r="W76" s="55">
        <f t="shared" ca="1" si="12"/>
        <v>0</v>
      </c>
      <c r="X76" s="55">
        <f t="shared" ca="1" si="13"/>
        <v>20.040595575222579</v>
      </c>
      <c r="Y76" s="55">
        <f t="shared" ca="1" si="14"/>
        <v>-6.4185536032977737</v>
      </c>
      <c r="Z76">
        <f t="shared" ca="1" si="3"/>
        <v>28.82904824670225</v>
      </c>
      <c r="AA76">
        <f t="shared" ca="1" si="15"/>
        <v>0</v>
      </c>
      <c r="AB76">
        <f t="shared" ca="1" si="4"/>
        <v>0</v>
      </c>
      <c r="AC76">
        <f t="shared" ca="1" si="5"/>
        <v>0.99757389451414413</v>
      </c>
      <c r="AD76" s="83">
        <f ca="1"/>
        <v>45409</v>
      </c>
      <c r="AE76" s="55">
        <f t="shared" ca="1" si="20"/>
        <v>45409</v>
      </c>
      <c r="AF76" s="55">
        <f t="shared" ca="1" si="21"/>
        <v>3.8634902339316879</v>
      </c>
      <c r="AG76" s="55">
        <f t="shared" ca="1" si="22"/>
        <v>37.95681961818164</v>
      </c>
      <c r="AH76" s="55">
        <f t="shared" ca="1" si="23"/>
        <v>0</v>
      </c>
      <c r="AI76" s="55">
        <f t="shared" ca="1" si="17"/>
        <v>0</v>
      </c>
      <c r="AJ76" s="55">
        <f t="shared" ca="1" si="18"/>
        <v>19.626891451975457</v>
      </c>
      <c r="AK76" s="55">
        <f t="shared" ca="1" si="19"/>
        <v>-10.865770479526597</v>
      </c>
    </row>
    <row r="77" spans="2:37">
      <c r="R77" s="83">
        <f ca="1"/>
        <v>45275</v>
      </c>
      <c r="S77" s="55">
        <f t="shared" ca="1" si="11"/>
        <v>45275</v>
      </c>
      <c r="T77" s="55">
        <f t="shared" ca="1" si="0"/>
        <v>46.406970786539425</v>
      </c>
      <c r="U77" s="55">
        <f t="shared" ca="1" si="1"/>
        <v>20.815896924880469</v>
      </c>
      <c r="V77" s="55">
        <f t="shared" ca="1" si="2"/>
        <v>0</v>
      </c>
      <c r="W77" s="55">
        <f t="shared" ca="1" si="12"/>
        <v>0</v>
      </c>
      <c r="X77" s="55">
        <f t="shared" ca="1" si="13"/>
        <v>20.388968544346131</v>
      </c>
      <c r="Y77" s="55">
        <f t="shared" ca="1" si="14"/>
        <v>-6.4462874839955138</v>
      </c>
      <c r="Z77">
        <f t="shared" ca="1" si="3"/>
        <v>28.257359764828649</v>
      </c>
      <c r="AA77">
        <f t="shared" ca="1" si="15"/>
        <v>0</v>
      </c>
      <c r="AB77">
        <f t="shared" ca="1" si="4"/>
        <v>0</v>
      </c>
      <c r="AC77">
        <f t="shared" ca="1" si="5"/>
        <v>0.99818596266836401</v>
      </c>
      <c r="AD77" s="83">
        <f ca="1"/>
        <v>45410</v>
      </c>
      <c r="AE77" s="55">
        <f t="shared" ca="1" si="20"/>
        <v>45410</v>
      </c>
      <c r="AF77" s="55">
        <f t="shared" ca="1" si="21"/>
        <v>2.6044534371679413</v>
      </c>
      <c r="AG77" s="55">
        <f t="shared" ca="1" si="22"/>
        <v>39.457056611958848</v>
      </c>
      <c r="AH77" s="55">
        <f t="shared" ca="1" si="23"/>
        <v>0</v>
      </c>
      <c r="AI77" s="55">
        <f t="shared" ca="1" si="17"/>
        <v>0</v>
      </c>
      <c r="AJ77" s="55">
        <f t="shared" ca="1" si="18"/>
        <v>19.88300453435912</v>
      </c>
      <c r="AK77" s="55">
        <f t="shared" ca="1" si="19"/>
        <v>-10.880683364896802</v>
      </c>
    </row>
    <row r="78" spans="2:37">
      <c r="R78" s="83">
        <f ca="1"/>
        <v>45276</v>
      </c>
      <c r="S78" s="55">
        <f t="shared" ca="1" si="11"/>
        <v>45276</v>
      </c>
      <c r="T78" s="55">
        <f t="shared" ca="1" si="0"/>
        <v>45.856127158759826</v>
      </c>
      <c r="U78" s="55">
        <f t="shared" ca="1" si="1"/>
        <v>21.680047368939114</v>
      </c>
      <c r="V78" s="55">
        <f t="shared" ca="1" si="2"/>
        <v>0</v>
      </c>
      <c r="W78" s="55">
        <f t="shared" ca="1" si="12"/>
        <v>0</v>
      </c>
      <c r="X78" s="55">
        <f t="shared" ca="1" si="13"/>
        <v>20.72951456071959</v>
      </c>
      <c r="Y78" s="55">
        <f t="shared" ca="1" si="14"/>
        <v>-6.4735266840899284</v>
      </c>
      <c r="Z78">
        <f t="shared" ca="1" si="3"/>
        <v>29.711169701251634</v>
      </c>
      <c r="AA78">
        <f t="shared" ca="1" si="15"/>
        <v>0</v>
      </c>
      <c r="AB78">
        <f t="shared" ca="1" si="4"/>
        <v>0</v>
      </c>
      <c r="AC78">
        <f t="shared" ca="1" si="5"/>
        <v>0.99863290859333043</v>
      </c>
      <c r="AD78" s="83">
        <f ca="1"/>
        <v>45411</v>
      </c>
      <c r="AE78" s="55">
        <f t="shared" ca="1" si="20"/>
        <v>45411</v>
      </c>
      <c r="AF78" s="55">
        <f t="shared" ca="1" si="21"/>
        <v>1.3426162353556039</v>
      </c>
      <c r="AG78" s="55">
        <f t="shared" ca="1" si="22"/>
        <v>40.960406579788057</v>
      </c>
      <c r="AH78" s="55">
        <f t="shared" ca="1" si="23"/>
        <v>0</v>
      </c>
      <c r="AI78" s="55">
        <f t="shared" ca="1" si="17"/>
        <v>0</v>
      </c>
      <c r="AJ78" s="55">
        <f t="shared" ca="1" si="18"/>
        <v>20.138118997751704</v>
      </c>
      <c r="AK78" s="55">
        <f t="shared" ca="1" si="19"/>
        <v>-10.894285062272514</v>
      </c>
    </row>
    <row r="79" spans="2:37">
      <c r="R79" s="83">
        <f ca="1"/>
        <v>45277</v>
      </c>
      <c r="S79" s="55">
        <f t="shared" ca="1" si="11"/>
        <v>45277</v>
      </c>
      <c r="T79" s="55">
        <f t="shared" ca="1" si="0"/>
        <v>45.290323263618831</v>
      </c>
      <c r="U79" s="55">
        <f t="shared" ca="1" si="1"/>
        <v>22.557348063941664</v>
      </c>
      <c r="V79" s="55">
        <f t="shared" ca="1" si="2"/>
        <v>0</v>
      </c>
      <c r="W79" s="55">
        <f t="shared" ca="1" si="12"/>
        <v>0</v>
      </c>
      <c r="X79" s="55">
        <f t="shared" ca="1" si="13"/>
        <v>21.068676294256132</v>
      </c>
      <c r="Y79" s="55">
        <f t="shared" ca="1" si="14"/>
        <v>-6.5011916177649116</v>
      </c>
      <c r="Z79">
        <f t="shared" ca="1" si="3"/>
        <v>32.084134967304919</v>
      </c>
      <c r="AA79">
        <f t="shared" ca="1" si="15"/>
        <v>0</v>
      </c>
      <c r="AB79">
        <f t="shared" ca="1" si="4"/>
        <v>0</v>
      </c>
      <c r="AC79">
        <f t="shared" ca="1" si="5"/>
        <v>0.99896395483546307</v>
      </c>
      <c r="AD79" s="83">
        <f ca="1"/>
        <v>45412</v>
      </c>
      <c r="AE79" s="55">
        <f t="shared" ca="1" si="20"/>
        <v>45412</v>
      </c>
      <c r="AF79" s="55">
        <f t="shared" ca="1" si="21"/>
        <v>8.3654931058716908E-2</v>
      </c>
      <c r="AG79" s="55">
        <f t="shared" ca="1" si="22"/>
        <v>42.451461120300564</v>
      </c>
      <c r="AH79" s="55">
        <f t="shared" ca="1" si="23"/>
        <v>0</v>
      </c>
      <c r="AI79" s="55">
        <f t="shared" ca="1" si="17"/>
        <v>0</v>
      </c>
      <c r="AJ79" s="55">
        <f t="shared" ca="1" si="18"/>
        <v>20.381524649882223</v>
      </c>
      <c r="AK79" s="55">
        <f t="shared" ca="1" si="19"/>
        <v>-10.905597478187412</v>
      </c>
    </row>
    <row r="80" spans="2:37">
      <c r="R80" s="83">
        <f ca="1"/>
        <v>45278</v>
      </c>
      <c r="S80" s="55">
        <f t="shared" ca="1" si="11"/>
        <v>45278</v>
      </c>
      <c r="T80" s="55">
        <f t="shared" ca="1" si="0"/>
        <v>44.688615360943565</v>
      </c>
      <c r="U80" s="55">
        <f t="shared" ca="1" si="1"/>
        <v>23.480900190625068</v>
      </c>
      <c r="V80" s="55">
        <f t="shared" ca="1" si="2"/>
        <v>0</v>
      </c>
      <c r="W80" s="55">
        <f t="shared" ca="1" si="12"/>
        <v>0</v>
      </c>
      <c r="X80" s="55">
        <f t="shared" ca="1" si="13"/>
        <v>21.41842264229367</v>
      </c>
      <c r="Y80" s="55">
        <f t="shared" ca="1" si="14"/>
        <v>-6.5290937417943091</v>
      </c>
      <c r="Z80">
        <f t="shared" ca="1" si="3"/>
        <v>33.17641446895086</v>
      </c>
      <c r="AA80">
        <f t="shared" ca="1" si="15"/>
        <v>0</v>
      </c>
      <c r="AB80">
        <f t="shared" ca="1" si="4"/>
        <v>0</v>
      </c>
      <c r="AC80">
        <f t="shared" ca="1" si="5"/>
        <v>0.99921848465644303</v>
      </c>
      <c r="AD80" s="83">
        <f ca="1"/>
        <v>45413</v>
      </c>
      <c r="AE80" s="55">
        <f t="shared" ca="1" si="20"/>
        <v>45413</v>
      </c>
      <c r="AF80" s="55">
        <f t="shared" ca="1" si="21"/>
        <v>-1.2290440717817441</v>
      </c>
      <c r="AG80" s="55">
        <f t="shared" ca="1" si="22"/>
        <v>43.997463545220683</v>
      </c>
      <c r="AH80" s="55">
        <f t="shared" ca="1" si="23"/>
        <v>0</v>
      </c>
      <c r="AI80" s="55">
        <f t="shared" ca="1" si="17"/>
        <v>0</v>
      </c>
      <c r="AJ80" s="55">
        <f t="shared" ca="1" si="18"/>
        <v>20.624428615691862</v>
      </c>
      <c r="AK80" s="55">
        <f t="shared" ca="1" si="19"/>
        <v>-10.915198021917393</v>
      </c>
    </row>
    <row r="81" spans="18:37">
      <c r="R81" s="83">
        <f ca="1"/>
        <v>45279</v>
      </c>
      <c r="S81" s="55">
        <f t="shared" ca="1" si="11"/>
        <v>45279</v>
      </c>
      <c r="T81" s="55">
        <f t="shared" ca="1" si="0"/>
        <v>44.055935378444381</v>
      </c>
      <c r="U81" s="55">
        <f t="shared" ca="1" si="1"/>
        <v>24.438963874116244</v>
      </c>
      <c r="V81" s="55">
        <f t="shared" ca="1" si="2"/>
        <v>0</v>
      </c>
      <c r="W81" s="55">
        <f t="shared" ca="1" si="12"/>
        <v>0</v>
      </c>
      <c r="X81" s="55">
        <f t="shared" ca="1" si="13"/>
        <v>21.771056728949898</v>
      </c>
      <c r="Y81" s="55">
        <f t="shared" ca="1" si="14"/>
        <v>-6.5563441274585461</v>
      </c>
      <c r="Z81">
        <f t="shared" ca="1" si="3"/>
        <v>33.816563203202783</v>
      </c>
      <c r="AA81">
        <f t="shared" ca="1" si="15"/>
        <v>0</v>
      </c>
      <c r="AB81">
        <f t="shared" ca="1" si="4"/>
        <v>0</v>
      </c>
      <c r="AC81">
        <f t="shared" ca="1" si="5"/>
        <v>0.99941081240195517</v>
      </c>
      <c r="AD81" s="83">
        <f ca="1"/>
        <v>45414</v>
      </c>
      <c r="AE81" s="55">
        <f t="shared" ca="1" si="20"/>
        <v>45414</v>
      </c>
      <c r="AF81" s="55">
        <f t="shared" ca="1" si="21"/>
        <v>-2.5752980407724624</v>
      </c>
      <c r="AG81" s="55">
        <f t="shared" ca="1" si="22"/>
        <v>45.573119028328819</v>
      </c>
      <c r="AH81" s="55">
        <f t="shared" ca="1" si="23"/>
        <v>0</v>
      </c>
      <c r="AI81" s="55">
        <f t="shared" ca="1" si="17"/>
        <v>0</v>
      </c>
      <c r="AJ81" s="55">
        <f t="shared" ca="1" si="18"/>
        <v>20.861676977308683</v>
      </c>
      <c r="AK81" s="55">
        <f t="shared" ca="1" si="19"/>
        <v>-10.923044869416797</v>
      </c>
    </row>
    <row r="82" spans="18:37">
      <c r="R82" s="83">
        <f ca="1"/>
        <v>45280</v>
      </c>
      <c r="S82" s="55">
        <f t="shared" ca="1" si="11"/>
        <v>45280</v>
      </c>
      <c r="T82" s="55">
        <f t="shared" ref="T82:T145" ca="1" si="27">VLOOKUP(S82,ModelOutputs,2,FALSE)</f>
        <v>43.41951497993702</v>
      </c>
      <c r="U82" s="55">
        <f t="shared" ref="U82:U145" ca="1" si="28">VLOOKUP(S82,ModelOutputs,7,FALSE)</f>
        <v>25.408749334702904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22.134169604313836</v>
      </c>
      <c r="Y82" s="55">
        <f t="shared" ca="1" si="14"/>
        <v>-6.5860919407431817</v>
      </c>
      <c r="Z82">
        <f t="shared" ref="Z82:Z145" ca="1" si="30">VLOOKUP(S82,ModelOutputs,10,FALSE)*AWC</f>
        <v>39.699506627050248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0.99955309017021066</v>
      </c>
      <c r="AD82" s="83">
        <f ca="1"/>
        <v>45415</v>
      </c>
      <c r="AE82" s="55">
        <f t="shared" ca="1" si="20"/>
        <v>45415</v>
      </c>
      <c r="AF82" s="55">
        <f t="shared" ca="1" si="21"/>
        <v>-4.0308516247646935</v>
      </c>
      <c r="AG82" s="55">
        <f t="shared" ca="1" si="22"/>
        <v>47.27139435257395</v>
      </c>
      <c r="AH82" s="55">
        <f t="shared" ca="1" si="23"/>
        <v>0</v>
      </c>
      <c r="AI82" s="55">
        <f t="shared" ca="1" si="17"/>
        <v>0</v>
      </c>
      <c r="AJ82" s="55">
        <f t="shared" ca="1" si="18"/>
        <v>21.111203320580913</v>
      </c>
      <c r="AK82" s="55">
        <f t="shared" ca="1" si="19"/>
        <v>-10.929849472436127</v>
      </c>
    </row>
    <row r="83" spans="18:37">
      <c r="R83" s="83">
        <f ca="1"/>
        <v>45281</v>
      </c>
      <c r="S83" s="55">
        <f t="shared" ref="S83:S146" ca="1" si="33">IF(R83&gt;1,R83,"")</f>
        <v>45281</v>
      </c>
      <c r="T83" s="55">
        <f t="shared" ca="1" si="27"/>
        <v>42.76477770760772</v>
      </c>
      <c r="U83" s="55">
        <f t="shared" ca="1" si="28"/>
        <v>26.398224722514076</v>
      </c>
      <c r="V83" s="55">
        <f t="shared" ca="1" si="29"/>
        <v>0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22.49796202179428</v>
      </c>
      <c r="Y83" s="55">
        <f t="shared" ref="Y83:Y146" ca="1" si="36">VLOOKUP(S83,ModelOutputs,4,FALSE)+Y82</f>
        <v>-6.6151462427417558</v>
      </c>
      <c r="Z83">
        <f t="shared" ca="1" si="30"/>
        <v>41.512741531055411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0.99965980433069501</v>
      </c>
      <c r="AD83" s="83">
        <f ca="1"/>
        <v>45416</v>
      </c>
      <c r="AE83" s="55">
        <f t="shared" ca="1" si="20"/>
        <v>45416</v>
      </c>
      <c r="AF83" s="55">
        <f t="shared" ca="1" si="21"/>
        <v>-5.5232130094384946</v>
      </c>
      <c r="AG83" s="55">
        <f t="shared" ca="1" si="22"/>
        <v>49.004495696498488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21.357315978551146</v>
      </c>
      <c r="AK83" s="55">
        <f t="shared" ref="AK83:AK146" ca="1" si="40">VLOOKUP(AE83,ModelOutputs,4,FALSE)+AK82</f>
        <v>-10.935222171155624</v>
      </c>
    </row>
    <row r="84" spans="18:37">
      <c r="R84" s="83">
        <f ca="1"/>
        <v>45282</v>
      </c>
      <c r="S84" s="55">
        <f t="shared" ca="1" si="33"/>
        <v>45282</v>
      </c>
      <c r="T84" s="55">
        <f t="shared" ca="1" si="27"/>
        <v>42.067362491206666</v>
      </c>
      <c r="U84" s="55">
        <f t="shared" ca="1" si="28"/>
        <v>27.44320604035417</v>
      </c>
      <c r="V84" s="55">
        <f t="shared" ca="1" si="29"/>
        <v>0</v>
      </c>
      <c r="W84" s="55">
        <f t="shared" ca="1" si="34"/>
        <v>0</v>
      </c>
      <c r="X84" s="55">
        <f t="shared" ca="1" si="35"/>
        <v>22.873981271368454</v>
      </c>
      <c r="Y84" s="55">
        <f t="shared" ca="1" si="36"/>
        <v>-6.6435993908768864</v>
      </c>
      <c r="Z84">
        <f t="shared" ca="1" si="30"/>
        <v>42.101163293398628</v>
      </c>
      <c r="AA84">
        <f t="shared" ca="1" si="37"/>
        <v>0</v>
      </c>
      <c r="AB84">
        <f t="shared" ca="1" si="31"/>
        <v>0</v>
      </c>
      <c r="AC84">
        <f t="shared" ca="1" si="32"/>
        <v>0.99974258917943037</v>
      </c>
      <c r="AD84" s="83">
        <f ca="1"/>
        <v>45417</v>
      </c>
      <c r="AE84" s="55">
        <f t="shared" ca="1" si="20"/>
        <v>45417</v>
      </c>
      <c r="AF84" s="55">
        <f t="shared" ca="1" si="21"/>
        <v>-7.1605162630378079</v>
      </c>
      <c r="AG84" s="55">
        <f t="shared" ca="1" si="22"/>
        <v>50.911564591282612</v>
      </c>
      <c r="AH84" s="55">
        <f t="shared" ca="1" si="23"/>
        <v>0</v>
      </c>
      <c r="AI84" s="55">
        <f t="shared" ca="1" si="38"/>
        <v>0</v>
      </c>
      <c r="AJ84" s="55">
        <f t="shared" ca="1" si="39"/>
        <v>21.631769590986146</v>
      </c>
      <c r="AK84" s="55">
        <f t="shared" ca="1" si="40"/>
        <v>-10.939910142405813</v>
      </c>
    </row>
    <row r="85" spans="18:37">
      <c r="R85" s="83">
        <f ca="1"/>
        <v>45283</v>
      </c>
      <c r="S85" s="55">
        <f t="shared" ca="1" si="33"/>
        <v>45283</v>
      </c>
      <c r="T85" s="55">
        <f t="shared" ca="1" si="27"/>
        <v>41.345048521776356</v>
      </c>
      <c r="U85" s="55">
        <f t="shared" ca="1" si="28"/>
        <v>28.507605021384443</v>
      </c>
      <c r="V85" s="55">
        <f t="shared" ca="1" si="29"/>
        <v>0</v>
      </c>
      <c r="W85" s="55">
        <f t="shared" ca="1" si="34"/>
        <v>0</v>
      </c>
      <c r="X85" s="55">
        <f t="shared" ca="1" si="35"/>
        <v>23.242287975131667</v>
      </c>
      <c r="Y85" s="55">
        <f t="shared" ca="1" si="36"/>
        <v>-6.6698210830401301</v>
      </c>
      <c r="Z85">
        <f t="shared" ca="1" si="30"/>
        <v>41.802754714543511</v>
      </c>
      <c r="AA85">
        <f t="shared" ca="1" si="37"/>
        <v>0</v>
      </c>
      <c r="AB85">
        <f t="shared" ca="1" si="31"/>
        <v>0</v>
      </c>
      <c r="AC85">
        <f t="shared" ca="1" si="32"/>
        <v>0.999804468299894</v>
      </c>
      <c r="AD85" s="83">
        <f ca="1"/>
        <v>45418</v>
      </c>
      <c r="AE85" s="55">
        <f t="shared" ref="AE85:AE148" ca="1" si="41">IF(AD85&gt;1,AD85,"")</f>
        <v>45418</v>
      </c>
      <c r="AF85" s="55">
        <f t="shared" ref="AF85:AF148" ca="1" si="42">VLOOKUP(AE85,ModelOutputs,2,FALSE)</f>
        <v>-8.7791453836305831</v>
      </c>
      <c r="AG85" s="55">
        <f t="shared" ref="AG85:AG148" ca="1" si="43">VLOOKUP(AE85,ModelOutputs,7,FALSE)</f>
        <v>52.787034883991609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21.891647385571741</v>
      </c>
      <c r="AK85" s="55">
        <f t="shared" ca="1" si="40"/>
        <v>-10.942946764875186</v>
      </c>
    </row>
    <row r="86" spans="18:37">
      <c r="R86" s="83">
        <f ca="1"/>
        <v>45284</v>
      </c>
      <c r="S86" s="55">
        <f t="shared" ca="1" si="33"/>
        <v>45284</v>
      </c>
      <c r="T86" s="55">
        <f t="shared" ca="1" si="27"/>
        <v>40.550595264706757</v>
      </c>
      <c r="U86" s="55">
        <f t="shared" ca="1" si="28"/>
        <v>29.654326792912713</v>
      </c>
      <c r="V86" s="55">
        <f t="shared" ca="1" si="29"/>
        <v>0</v>
      </c>
      <c r="W86" s="55">
        <f t="shared" ca="1" si="34"/>
        <v>0</v>
      </c>
      <c r="X86" s="55">
        <f t="shared" ca="1" si="35"/>
        <v>23.618424605153638</v>
      </c>
      <c r="Y86" s="55">
        <f t="shared" ca="1" si="36"/>
        <v>-6.6936891986034261</v>
      </c>
      <c r="Z86">
        <f t="shared" ca="1" si="30"/>
        <v>38.611784851429377</v>
      </c>
      <c r="AA86">
        <f t="shared" ca="1" si="37"/>
        <v>0</v>
      </c>
      <c r="AB86">
        <f t="shared" ca="1" si="31"/>
        <v>0</v>
      </c>
      <c r="AC86">
        <f t="shared" ca="1" si="32"/>
        <v>0.99985321369559355</v>
      </c>
      <c r="AD86" s="83">
        <f ca="1"/>
        <v>45419</v>
      </c>
      <c r="AE86" s="55">
        <f t="shared" ca="1" si="41"/>
        <v>45419</v>
      </c>
      <c r="AF86" s="55">
        <f t="shared" ca="1" si="42"/>
        <v>-10.270314403940576</v>
      </c>
      <c r="AG86" s="55">
        <f t="shared" ca="1" si="43"/>
        <v>54.518567154097873</v>
      </c>
      <c r="AH86" s="55">
        <f t="shared" ca="1" si="44"/>
        <v>0</v>
      </c>
      <c r="AI86" s="55">
        <f t="shared" ca="1" si="38"/>
        <v>0</v>
      </c>
      <c r="AJ86" s="55">
        <f t="shared" ca="1" si="39"/>
        <v>22.13374988058403</v>
      </c>
      <c r="AK86" s="55">
        <f t="shared" ca="1" si="40"/>
        <v>-10.944686010091205</v>
      </c>
    </row>
    <row r="87" spans="18:37">
      <c r="R87" s="83">
        <f ca="1"/>
        <v>45285</v>
      </c>
      <c r="S87" s="55">
        <f t="shared" ca="1" si="33"/>
        <v>45285</v>
      </c>
      <c r="T87" s="55">
        <f t="shared" ca="1" si="27"/>
        <v>39.710978371804288</v>
      </c>
      <c r="U87" s="55">
        <f t="shared" ca="1" si="28"/>
        <v>30.843139064333116</v>
      </c>
      <c r="V87" s="55">
        <f t="shared" ca="1" si="29"/>
        <v>0</v>
      </c>
      <c r="W87" s="55">
        <f t="shared" ca="1" si="34"/>
        <v>0</v>
      </c>
      <c r="X87" s="55">
        <f t="shared" ca="1" si="35"/>
        <v>23.989081636986441</v>
      </c>
      <c r="Y87" s="55">
        <f t="shared" ca="1" si="36"/>
        <v>-6.7151508519183025</v>
      </c>
      <c r="Z87">
        <f t="shared" ca="1" si="30"/>
        <v>36.682834070510488</v>
      </c>
      <c r="AA87">
        <f t="shared" ca="1" si="37"/>
        <v>0</v>
      </c>
      <c r="AB87">
        <f t="shared" ca="1" si="31"/>
        <v>0</v>
      </c>
      <c r="AC87">
        <f t="shared" ca="1" si="32"/>
        <v>0.99988991167215124</v>
      </c>
      <c r="AD87" s="83">
        <f ca="1"/>
        <v>45420</v>
      </c>
      <c r="AE87" s="55">
        <f t="shared" ca="1" si="41"/>
        <v>45420</v>
      </c>
      <c r="AF87" s="55">
        <f t="shared" ca="1" si="42"/>
        <v>-11.819126923209707</v>
      </c>
      <c r="AG87" s="55">
        <f t="shared" ca="1" si="43"/>
        <v>56.307982918984102</v>
      </c>
      <c r="AH87" s="55">
        <f t="shared" ca="1" si="44"/>
        <v>0</v>
      </c>
      <c r="AI87" s="55">
        <f t="shared" ca="1" si="38"/>
        <v>0</v>
      </c>
      <c r="AJ87" s="55">
        <f t="shared" ca="1" si="39"/>
        <v>22.374849475025805</v>
      </c>
      <c r="AK87" s="55">
        <f t="shared" ca="1" si="40"/>
        <v>-10.945182358915881</v>
      </c>
    </row>
    <row r="88" spans="18:37">
      <c r="R88" s="83">
        <f ca="1"/>
        <v>45286</v>
      </c>
      <c r="S88" s="55">
        <f t="shared" ca="1" si="33"/>
        <v>45286</v>
      </c>
      <c r="T88" s="55">
        <f t="shared" ca="1" si="27"/>
        <v>38.861192499154676</v>
      </c>
      <c r="U88" s="55">
        <f t="shared" ca="1" si="28"/>
        <v>32.018624453040033</v>
      </c>
      <c r="V88" s="55">
        <f t="shared" ca="1" si="29"/>
        <v>0</v>
      </c>
      <c r="W88" s="55">
        <f t="shared" ca="1" si="34"/>
        <v>0</v>
      </c>
      <c r="X88" s="55">
        <f t="shared" ca="1" si="35"/>
        <v>24.33302868876849</v>
      </c>
      <c r="Y88" s="55">
        <f t="shared" ca="1" si="36"/>
        <v>-6.7333983876430494</v>
      </c>
      <c r="Z88">
        <f t="shared" ca="1" si="30"/>
        <v>34.529423083036363</v>
      </c>
      <c r="AA88">
        <f t="shared" ca="1" si="37"/>
        <v>0</v>
      </c>
      <c r="AB88">
        <f t="shared" ca="1" si="31"/>
        <v>0</v>
      </c>
      <c r="AC88">
        <f t="shared" ca="1" si="32"/>
        <v>0.99991643186586898</v>
      </c>
      <c r="AD88" s="83">
        <f ca="1"/>
        <v>45421</v>
      </c>
      <c r="AE88" s="55">
        <f t="shared" ca="1" si="41"/>
        <v>45421</v>
      </c>
      <c r="AF88" s="55">
        <f t="shared" ca="1" si="42"/>
        <v>-13.375826656833532</v>
      </c>
      <c r="AG88" s="55">
        <f t="shared" ca="1" si="43"/>
        <v>58.10674735430527</v>
      </c>
      <c r="AH88" s="55">
        <f t="shared" ca="1" si="44"/>
        <v>0</v>
      </c>
      <c r="AI88" s="55">
        <f t="shared" ca="1" si="38"/>
        <v>0</v>
      </c>
      <c r="AJ88" s="55">
        <f t="shared" ca="1" si="39"/>
        <v>22.616248171119839</v>
      </c>
      <c r="AK88" s="55">
        <f t="shared" ca="1" si="40"/>
        <v>-10.94451635331257</v>
      </c>
    </row>
    <row r="89" spans="18:37">
      <c r="R89" s="83">
        <f ca="1"/>
        <v>45287</v>
      </c>
      <c r="S89" s="55">
        <f t="shared" ca="1" si="33"/>
        <v>45287</v>
      </c>
      <c r="T89" s="55">
        <f t="shared" ca="1" si="27"/>
        <v>37.879452369761012</v>
      </c>
      <c r="U89" s="55">
        <f t="shared" ca="1" si="28"/>
        <v>33.374022367991536</v>
      </c>
      <c r="V89" s="55">
        <f t="shared" ca="1" si="29"/>
        <v>0</v>
      </c>
      <c r="W89" s="55">
        <f t="shared" ca="1" si="34"/>
        <v>0</v>
      </c>
      <c r="X89" s="55">
        <f t="shared" ca="1" si="35"/>
        <v>24.725621729408591</v>
      </c>
      <c r="Y89" s="55">
        <f t="shared" ca="1" si="36"/>
        <v>-6.752333642725314</v>
      </c>
      <c r="Z89">
        <f t="shared" ca="1" si="30"/>
        <v>33.561104617189685</v>
      </c>
      <c r="AA89">
        <f t="shared" ca="1" si="37"/>
        <v>0</v>
      </c>
      <c r="AB89">
        <f t="shared" ca="1" si="31"/>
        <v>0</v>
      </c>
      <c r="AC89">
        <f t="shared" ca="1" si="32"/>
        <v>0.99993856848974272</v>
      </c>
      <c r="AD89" s="83">
        <f ca="1"/>
        <v>45422</v>
      </c>
      <c r="AE89" s="55">
        <f t="shared" ca="1" si="41"/>
        <v>45422</v>
      </c>
      <c r="AF89" s="55">
        <f t="shared" ca="1" si="42"/>
        <v>-15.019022664680673</v>
      </c>
      <c r="AG89" s="55">
        <f t="shared" ca="1" si="43"/>
        <v>59.997099955935951</v>
      </c>
      <c r="AH89" s="55">
        <f t="shared" ca="1" si="44"/>
        <v>0</v>
      </c>
      <c r="AI89" s="55">
        <f t="shared" ca="1" si="38"/>
        <v>0</v>
      </c>
      <c r="AJ89" s="55">
        <f t="shared" ca="1" si="39"/>
        <v>22.861621835709357</v>
      </c>
      <c r="AK89" s="55">
        <f t="shared" ca="1" si="40"/>
        <v>-10.942733424118549</v>
      </c>
    </row>
    <row r="90" spans="18:37">
      <c r="R90" s="83">
        <f ca="1"/>
        <v>45288</v>
      </c>
      <c r="S90" s="55">
        <f t="shared" ca="1" si="33"/>
        <v>45288</v>
      </c>
      <c r="T90" s="55">
        <f t="shared" ca="1" si="27"/>
        <v>36.850456143767026</v>
      </c>
      <c r="U90" s="55">
        <f t="shared" ca="1" si="28"/>
        <v>34.795822912438886</v>
      </c>
      <c r="V90" s="55">
        <f t="shared" ca="1" si="29"/>
        <v>0</v>
      </c>
      <c r="W90" s="55">
        <f t="shared" ca="1" si="34"/>
        <v>0</v>
      </c>
      <c r="X90" s="55">
        <f t="shared" ca="1" si="35"/>
        <v>25.138215671726996</v>
      </c>
      <c r="Y90" s="55">
        <f t="shared" ca="1" si="36"/>
        <v>-6.7721232665903504</v>
      </c>
      <c r="Z90">
        <f t="shared" ca="1" si="30"/>
        <v>36.797425256188696</v>
      </c>
      <c r="AA90">
        <f t="shared" ca="1" si="37"/>
        <v>0</v>
      </c>
      <c r="AB90">
        <f t="shared" ca="1" si="31"/>
        <v>0</v>
      </c>
      <c r="AC90">
        <f t="shared" ca="1" si="32"/>
        <v>0.99995504043508399</v>
      </c>
      <c r="AD90" s="83">
        <f ca="1"/>
        <v>45423</v>
      </c>
      <c r="AE90" s="55">
        <f t="shared" ca="1" si="41"/>
        <v>45423</v>
      </c>
      <c r="AF90" s="55">
        <f t="shared" ca="1" si="42"/>
        <v>-16.747950273119464</v>
      </c>
      <c r="AG90" s="55">
        <f t="shared" ca="1" si="43"/>
        <v>61.983944311106427</v>
      </c>
      <c r="AH90" s="55">
        <f t="shared" ca="1" si="44"/>
        <v>0</v>
      </c>
      <c r="AI90" s="55">
        <f t="shared" ca="1" si="38"/>
        <v>0</v>
      </c>
      <c r="AJ90" s="55">
        <f t="shared" ca="1" si="39"/>
        <v>23.116554419100776</v>
      </c>
      <c r="AK90" s="55">
        <f t="shared" ca="1" si="40"/>
        <v>-10.939749260778283</v>
      </c>
    </row>
    <row r="91" spans="18:37">
      <c r="R91" s="83">
        <f ca="1"/>
        <v>45289</v>
      </c>
      <c r="S91" s="55">
        <f t="shared" ca="1" si="33"/>
        <v>45289</v>
      </c>
      <c r="T91" s="55">
        <f t="shared" ca="1" si="27"/>
        <v>35.847696909882096</v>
      </c>
      <c r="U91" s="55">
        <f t="shared" ca="1" si="28"/>
        <v>36.148182522117779</v>
      </c>
      <c r="V91" s="55">
        <f t="shared" ca="1" si="29"/>
        <v>0</v>
      </c>
      <c r="W91" s="55">
        <f t="shared" ca="1" si="34"/>
        <v>0</v>
      </c>
      <c r="X91" s="55">
        <f t="shared" ca="1" si="35"/>
        <v>25.504030517128044</v>
      </c>
      <c r="Y91" s="55">
        <f t="shared" ca="1" si="36"/>
        <v>-6.7883377361974393</v>
      </c>
      <c r="Z91">
        <f t="shared" ca="1" si="30"/>
        <v>35.366728889818326</v>
      </c>
      <c r="AA91">
        <f t="shared" ca="1" si="37"/>
        <v>0</v>
      </c>
      <c r="AB91">
        <f t="shared" ca="1" si="31"/>
        <v>0</v>
      </c>
      <c r="AC91">
        <f t="shared" ca="1" si="32"/>
        <v>0.99996627789259829</v>
      </c>
      <c r="AD91" s="83">
        <f ca="1"/>
        <v>45424</v>
      </c>
      <c r="AE91" s="55">
        <f t="shared" ca="1" si="41"/>
        <v>45424</v>
      </c>
      <c r="AF91" s="55">
        <f t="shared" ca="1" si="42"/>
        <v>-18.401886879613226</v>
      </c>
      <c r="AG91" s="55">
        <f t="shared" ca="1" si="43"/>
        <v>63.878970668963021</v>
      </c>
      <c r="AH91" s="55">
        <f t="shared" ca="1" si="44"/>
        <v>0</v>
      </c>
      <c r="AI91" s="55">
        <f t="shared" ca="1" si="38"/>
        <v>0</v>
      </c>
      <c r="AJ91" s="55">
        <f t="shared" ca="1" si="39"/>
        <v>23.353828869545829</v>
      </c>
      <c r="AK91" s="55">
        <f t="shared" ca="1" si="40"/>
        <v>-10.935933959860504</v>
      </c>
    </row>
    <row r="92" spans="18:37">
      <c r="R92" s="83">
        <f ca="1"/>
        <v>45290</v>
      </c>
      <c r="S92" s="55">
        <f t="shared" ca="1" si="33"/>
        <v>45290</v>
      </c>
      <c r="T92" s="55">
        <f t="shared" ca="1" si="27"/>
        <v>34.779186296690519</v>
      </c>
      <c r="U92" s="55">
        <f t="shared" ca="1" si="28"/>
        <v>37.590047719093619</v>
      </c>
      <c r="V92" s="55">
        <f t="shared" ca="1" si="29"/>
        <v>0</v>
      </c>
      <c r="W92" s="55">
        <f t="shared" ca="1" si="34"/>
        <v>0</v>
      </c>
      <c r="X92" s="55">
        <f t="shared" ca="1" si="35"/>
        <v>25.894090425305706</v>
      </c>
      <c r="Y92" s="55">
        <f t="shared" ca="1" si="36"/>
        <v>-6.8050430605908385</v>
      </c>
      <c r="Z92">
        <f t="shared" ca="1" si="30"/>
        <v>37.531366062489347</v>
      </c>
      <c r="AA92">
        <f t="shared" ca="1" si="37"/>
        <v>0</v>
      </c>
      <c r="AB92">
        <f t="shared" ca="1" si="31"/>
        <v>0</v>
      </c>
      <c r="AC92">
        <f t="shared" ca="1" si="32"/>
        <v>0.9999749543676647</v>
      </c>
      <c r="AD92" s="83">
        <f ca="1"/>
        <v>45425</v>
      </c>
      <c r="AE92" s="55">
        <f t="shared" ca="1" si="41"/>
        <v>45425</v>
      </c>
      <c r="AF92" s="55">
        <f t="shared" ca="1" si="42"/>
        <v>-20.059888650512896</v>
      </c>
      <c r="AG92" s="55">
        <f t="shared" ca="1" si="43"/>
        <v>65.776668029248512</v>
      </c>
      <c r="AH92" s="55">
        <f t="shared" ca="1" si="44"/>
        <v>0</v>
      </c>
      <c r="AI92" s="55">
        <f t="shared" ca="1" si="38"/>
        <v>0</v>
      </c>
      <c r="AJ92" s="55">
        <f t="shared" ca="1" si="39"/>
        <v>23.588772221658786</v>
      </c>
      <c r="AK92" s="55">
        <f t="shared" ca="1" si="40"/>
        <v>-10.931181722587644</v>
      </c>
    </row>
    <row r="93" spans="18:37">
      <c r="R93" s="83">
        <f ca="1"/>
        <v>45291</v>
      </c>
      <c r="S93" s="55">
        <f t="shared" ca="1" si="33"/>
        <v>45291</v>
      </c>
      <c r="T93" s="55">
        <f t="shared" ca="1" si="27"/>
        <v>33.694184384559286</v>
      </c>
      <c r="U93" s="55">
        <f t="shared" ca="1" si="28"/>
        <v>39.029823160863188</v>
      </c>
      <c r="V93" s="55">
        <f t="shared" ca="1" si="29"/>
        <v>0</v>
      </c>
      <c r="W93" s="55">
        <f t="shared" ca="1" si="34"/>
        <v>0</v>
      </c>
      <c r="X93" s="55">
        <f t="shared" ca="1" si="35"/>
        <v>26.263295098815952</v>
      </c>
      <c r="Y93" s="55">
        <f t="shared" ca="1" si="36"/>
        <v>-6.8194742044627477</v>
      </c>
      <c r="Z93">
        <f t="shared" ca="1" si="30"/>
        <v>36.014270383427252</v>
      </c>
      <c r="AA93">
        <f t="shared" ca="1" si="37"/>
        <v>0</v>
      </c>
      <c r="AB93">
        <f t="shared" ca="1" si="31"/>
        <v>0</v>
      </c>
      <c r="AC93">
        <f t="shared" ca="1" si="32"/>
        <v>0.999981227287842</v>
      </c>
      <c r="AD93" s="83">
        <f ca="1"/>
        <v>45426</v>
      </c>
      <c r="AE93" s="55">
        <f t="shared" ca="1" si="41"/>
        <v>45426</v>
      </c>
      <c r="AF93" s="55">
        <f t="shared" ca="1" si="42"/>
        <v>-21.672141182719084</v>
      </c>
      <c r="AG93" s="55">
        <f t="shared" ca="1" si="43"/>
        <v>67.61968855225436</v>
      </c>
      <c r="AH93" s="55">
        <f t="shared" ca="1" si="44"/>
        <v>0</v>
      </c>
      <c r="AI93" s="55">
        <f t="shared" ca="1" si="38"/>
        <v>0</v>
      </c>
      <c r="AJ93" s="55">
        <f t="shared" ca="1" si="39"/>
        <v>23.814060699788701</v>
      </c>
      <c r="AK93" s="55">
        <f t="shared" ca="1" si="40"/>
        <v>-10.925702209917899</v>
      </c>
    </row>
    <row r="94" spans="18:37">
      <c r="R94" s="83">
        <f ca="1"/>
        <v>45292</v>
      </c>
      <c r="S94" s="55">
        <f t="shared" ca="1" si="33"/>
        <v>45292</v>
      </c>
      <c r="T94" s="55">
        <f t="shared" ca="1" si="27"/>
        <v>32.538785865475496</v>
      </c>
      <c r="U94" s="55">
        <f t="shared" ca="1" si="28"/>
        <v>40.544455451434345</v>
      </c>
      <c r="V94" s="55">
        <f t="shared" ca="1" si="29"/>
        <v>0</v>
      </c>
      <c r="W94" s="55">
        <f t="shared" ca="1" si="34"/>
        <v>0</v>
      </c>
      <c r="X94" s="55">
        <f t="shared" ca="1" si="35"/>
        <v>26.635538133298986</v>
      </c>
      <c r="Y94" s="55">
        <f t="shared" ca="1" si="36"/>
        <v>-6.8324834674584114</v>
      </c>
      <c r="Z94">
        <f t="shared" ca="1" si="30"/>
        <v>33.955274158072832</v>
      </c>
      <c r="AA94">
        <f t="shared" ca="1" si="37"/>
        <v>0</v>
      </c>
      <c r="AB94">
        <f t="shared" ca="1" si="31"/>
        <v>0</v>
      </c>
      <c r="AC94">
        <f t="shared" ca="1" si="32"/>
        <v>0.99998601764093376</v>
      </c>
      <c r="AD94" s="83">
        <f ca="1"/>
        <v>45427</v>
      </c>
      <c r="AE94" s="55">
        <f t="shared" ca="1" si="41"/>
        <v>45427</v>
      </c>
      <c r="AF94" s="55">
        <f t="shared" ca="1" si="42"/>
        <v>-23.397301423336859</v>
      </c>
      <c r="AG94" s="55">
        <f t="shared" ca="1" si="43"/>
        <v>69.590863339607296</v>
      </c>
      <c r="AH94" s="55">
        <f t="shared" ca="1" si="44"/>
        <v>0</v>
      </c>
      <c r="AI94" s="55">
        <f t="shared" ca="1" si="38"/>
        <v>0</v>
      </c>
      <c r="AJ94" s="55">
        <f t="shared" ca="1" si="39"/>
        <v>24.053397773064805</v>
      </c>
      <c r="AK94" s="55">
        <f t="shared" ca="1" si="40"/>
        <v>-10.919024736458843</v>
      </c>
    </row>
    <row r="95" spans="18:37">
      <c r="R95" s="83">
        <f ca="1"/>
        <v>45293</v>
      </c>
      <c r="S95" s="55">
        <f t="shared" ca="1" si="33"/>
        <v>45293</v>
      </c>
      <c r="T95" s="55">
        <f t="shared" ca="1" si="27"/>
        <v>31.273650631854224</v>
      </c>
      <c r="U95" s="55">
        <f t="shared" ca="1" si="28"/>
        <v>42.199035710036462</v>
      </c>
      <c r="V95" s="55">
        <f t="shared" ca="1" si="29"/>
        <v>0</v>
      </c>
      <c r="W95" s="55">
        <f t="shared" ca="1" si="34"/>
        <v>0</v>
      </c>
      <c r="X95" s="55">
        <f t="shared" ca="1" si="35"/>
        <v>27.037966777334578</v>
      </c>
      <c r="Y95" s="55">
        <f t="shared" ca="1" si="36"/>
        <v>-6.8454670865131604</v>
      </c>
      <c r="Z95">
        <f t="shared" ca="1" si="30"/>
        <v>34.056443580771138</v>
      </c>
      <c r="AA95">
        <f t="shared" ca="1" si="37"/>
        <v>0</v>
      </c>
      <c r="AB95">
        <f t="shared" ca="1" si="31"/>
        <v>0</v>
      </c>
      <c r="AC95">
        <f t="shared" ca="1" si="32"/>
        <v>0.99998976997962641</v>
      </c>
      <c r="AD95" s="83">
        <f ca="1"/>
        <v>45428</v>
      </c>
      <c r="AE95" s="55">
        <f t="shared" ca="1" si="41"/>
        <v>45428</v>
      </c>
      <c r="AF95" s="55">
        <f t="shared" ca="1" si="42"/>
        <v>-24.979805262740314</v>
      </c>
      <c r="AG95" s="55">
        <f t="shared" ca="1" si="43"/>
        <v>71.40595576013034</v>
      </c>
      <c r="AH95" s="55">
        <f t="shared" ca="1" si="44"/>
        <v>0</v>
      </c>
      <c r="AI95" s="55">
        <f t="shared" ca="1" si="38"/>
        <v>0</v>
      </c>
      <c r="AJ95" s="55">
        <f t="shared" ca="1" si="39"/>
        <v>24.278418434177937</v>
      </c>
      <c r="AK95" s="55">
        <f t="shared" ca="1" si="40"/>
        <v>-10.911456816452384</v>
      </c>
    </row>
    <row r="96" spans="18:37">
      <c r="R96" s="83">
        <f ca="1"/>
        <v>45294</v>
      </c>
      <c r="S96" s="55">
        <f t="shared" ca="1" si="33"/>
        <v>45294</v>
      </c>
      <c r="T96" s="55">
        <f t="shared" ca="1" si="27"/>
        <v>63.64980715744889</v>
      </c>
      <c r="U96" s="55">
        <f t="shared" ca="1" si="28"/>
        <v>43.868205823586585</v>
      </c>
      <c r="V96" s="55">
        <f t="shared" ca="1" si="29"/>
        <v>33.659122933024122</v>
      </c>
      <c r="W96" s="55">
        <f t="shared" ca="1" si="34"/>
        <v>0</v>
      </c>
      <c r="X96" s="55">
        <f t="shared" ca="1" si="35"/>
        <v>27.43649617089951</v>
      </c>
      <c r="Y96" s="55">
        <f t="shared" ca="1" si="36"/>
        <v>-6.8577927739574278</v>
      </c>
      <c r="Z96">
        <f t="shared" ca="1" si="30"/>
        <v>35.87953123651063</v>
      </c>
      <c r="AA96">
        <f t="shared" ca="1" si="37"/>
        <v>0</v>
      </c>
      <c r="AB96">
        <f t="shared" ca="1" si="31"/>
        <v>0</v>
      </c>
      <c r="AC96">
        <f t="shared" ca="1" si="32"/>
        <v>0.9999924676880263</v>
      </c>
      <c r="AD96" s="83">
        <f ca="1"/>
        <v>45429</v>
      </c>
      <c r="AE96" s="55">
        <f t="shared" ca="1" si="41"/>
        <v>45429</v>
      </c>
      <c r="AF96" s="55">
        <f t="shared" ca="1" si="42"/>
        <v>-26.53683250274123</v>
      </c>
      <c r="AG96" s="55">
        <f t="shared" ca="1" si="43"/>
        <v>73.191531141819667</v>
      </c>
      <c r="AH96" s="55">
        <f t="shared" ca="1" si="44"/>
        <v>0</v>
      </c>
      <c r="AI96" s="55">
        <f t="shared" ca="1" si="38"/>
        <v>0</v>
      </c>
      <c r="AJ96" s="55">
        <f t="shared" ca="1" si="39"/>
        <v>24.498635581130269</v>
      </c>
      <c r="AK96" s="55">
        <f t="shared" ca="1" si="40"/>
        <v>-10.903125821716307</v>
      </c>
    </row>
    <row r="97" spans="18:37">
      <c r="R97" s="83">
        <f ca="1"/>
        <v>45295</v>
      </c>
      <c r="S97" s="55">
        <f t="shared" ca="1" si="33"/>
        <v>45295</v>
      </c>
      <c r="T97" s="55">
        <f t="shared" ca="1" si="27"/>
        <v>62.399356944806179</v>
      </c>
      <c r="U97" s="55">
        <f t="shared" ca="1" si="28"/>
        <v>45.47755749771953</v>
      </c>
      <c r="V97" s="55">
        <f t="shared" ca="1" si="29"/>
        <v>0</v>
      </c>
      <c r="W97" s="55">
        <f t="shared" ca="1" si="34"/>
        <v>0</v>
      </c>
      <c r="X97" s="55">
        <f t="shared" ca="1" si="35"/>
        <v>27.806181948555935</v>
      </c>
      <c r="Y97" s="55">
        <f t="shared" ca="1" si="36"/>
        <v>-6.8685770901236136</v>
      </c>
      <c r="Z97">
        <f t="shared" ca="1" si="30"/>
        <v>36.657572418093622</v>
      </c>
      <c r="AA97">
        <f t="shared" ca="1" si="37"/>
        <v>0</v>
      </c>
      <c r="AB97">
        <f t="shared" ca="1" si="31"/>
        <v>0</v>
      </c>
      <c r="AC97">
        <f t="shared" ca="1" si="32"/>
        <v>0.99999434800382969</v>
      </c>
      <c r="AD97" s="83">
        <f ca="1"/>
        <v>45430</v>
      </c>
      <c r="AE97" s="55">
        <f t="shared" ca="1" si="41"/>
        <v>45430</v>
      </c>
      <c r="AF97" s="55">
        <f t="shared" ca="1" si="42"/>
        <v>-28.161773104634939</v>
      </c>
      <c r="AG97" s="55">
        <f t="shared" ca="1" si="43"/>
        <v>75.054030755840543</v>
      </c>
      <c r="AH97" s="55">
        <f t="shared" ca="1" si="44"/>
        <v>0</v>
      </c>
      <c r="AI97" s="55">
        <f t="shared" ca="1" si="38"/>
        <v>0</v>
      </c>
      <c r="AJ97" s="55">
        <f t="shared" ca="1" si="39"/>
        <v>24.726759007127281</v>
      </c>
      <c r="AK97" s="55">
        <f t="shared" ca="1" si="40"/>
        <v>-10.893690235586151</v>
      </c>
    </row>
    <row r="98" spans="18:37">
      <c r="R98" s="83">
        <f ca="1"/>
        <v>45296</v>
      </c>
      <c r="S98" s="55">
        <f t="shared" ca="1" si="33"/>
        <v>45296</v>
      </c>
      <c r="T98" s="55">
        <f t="shared" ca="1" si="27"/>
        <v>61.086168986146802</v>
      </c>
      <c r="U98" s="55">
        <f t="shared" ca="1" si="28"/>
        <v>47.157887605562522</v>
      </c>
      <c r="V98" s="55">
        <f t="shared" ca="1" si="29"/>
        <v>0</v>
      </c>
      <c r="W98" s="55">
        <f t="shared" ca="1" si="34"/>
        <v>0</v>
      </c>
      <c r="X98" s="55">
        <f t="shared" ca="1" si="35"/>
        <v>28.183357199660364</v>
      </c>
      <c r="Y98" s="55">
        <f t="shared" ca="1" si="36"/>
        <v>-6.8786101920444356</v>
      </c>
      <c r="Z98">
        <f t="shared" ca="1" si="30"/>
        <v>36.455852716000265</v>
      </c>
      <c r="AA98">
        <f t="shared" ca="1" si="37"/>
        <v>0</v>
      </c>
      <c r="AB98">
        <f t="shared" ca="1" si="31"/>
        <v>0</v>
      </c>
      <c r="AC98">
        <f t="shared" ca="1" si="32"/>
        <v>0.99999578000319955</v>
      </c>
      <c r="AD98" s="83">
        <f ca="1"/>
        <v>45431</v>
      </c>
      <c r="AE98" s="55">
        <f t="shared" ca="1" si="41"/>
        <v>45431</v>
      </c>
      <c r="AF98" s="55">
        <f t="shared" ca="1" si="42"/>
        <v>-29.80855853069011</v>
      </c>
      <c r="AG98" s="55">
        <f t="shared" ca="1" si="43"/>
        <v>76.943973871729227</v>
      </c>
      <c r="AH98" s="55">
        <f t="shared" ca="1" si="44"/>
        <v>0</v>
      </c>
      <c r="AI98" s="55">
        <f t="shared" ca="1" si="38"/>
        <v>0</v>
      </c>
      <c r="AJ98" s="55">
        <f t="shared" ca="1" si="39"/>
        <v>24.959310602425955</v>
      </c>
      <c r="AK98" s="55">
        <f t="shared" ca="1" si="40"/>
        <v>-10.883084141051311</v>
      </c>
    </row>
    <row r="99" spans="18:37">
      <c r="R99" s="83">
        <f ca="1"/>
        <v>45297</v>
      </c>
      <c r="S99" s="55">
        <f t="shared" ca="1" si="33"/>
        <v>45297</v>
      </c>
      <c r="T99" s="55">
        <f t="shared" ca="1" si="27"/>
        <v>59.709761460245382</v>
      </c>
      <c r="U99" s="55">
        <f t="shared" ca="1" si="28"/>
        <v>48.897816146579977</v>
      </c>
      <c r="V99" s="55">
        <f t="shared" ca="1" si="29"/>
        <v>0</v>
      </c>
      <c r="W99" s="55">
        <f t="shared" ca="1" si="34"/>
        <v>0</v>
      </c>
      <c r="X99" s="55">
        <f t="shared" ca="1" si="35"/>
        <v>28.555480788588397</v>
      </c>
      <c r="Y99" s="55">
        <f t="shared" ca="1" si="36"/>
        <v>-6.887212765856435</v>
      </c>
      <c r="Z99">
        <f t="shared" ca="1" si="30"/>
        <v>33.784112763570221</v>
      </c>
      <c r="AA99">
        <f t="shared" ca="1" si="37"/>
        <v>0</v>
      </c>
      <c r="AB99">
        <f t="shared" ca="1" si="31"/>
        <v>0</v>
      </c>
      <c r="AC99">
        <f t="shared" ca="1" si="32"/>
        <v>0.9999968577841617</v>
      </c>
      <c r="AD99" s="83">
        <f ca="1"/>
        <v>45432</v>
      </c>
      <c r="AE99" s="55">
        <f t="shared" ca="1" si="41"/>
        <v>45432</v>
      </c>
      <c r="AF99" s="55">
        <f t="shared" ca="1" si="42"/>
        <v>-31.41278421394318</v>
      </c>
      <c r="AG99" s="55">
        <f t="shared" ca="1" si="43"/>
        <v>78.79225221636284</v>
      </c>
      <c r="AH99" s="55">
        <f t="shared" ca="1" si="44"/>
        <v>0</v>
      </c>
      <c r="AI99" s="55">
        <f t="shared" ca="1" si="38"/>
        <v>0</v>
      </c>
      <c r="AJ99" s="55">
        <f t="shared" ca="1" si="39"/>
        <v>25.191512530609327</v>
      </c>
      <c r="AK99" s="55">
        <f t="shared" ca="1" si="40"/>
        <v>-10.87123340785414</v>
      </c>
    </row>
    <row r="100" spans="18:37">
      <c r="R100" s="83">
        <f ca="1"/>
        <v>45298</v>
      </c>
      <c r="S100" s="55">
        <f t="shared" ca="1" si="33"/>
        <v>45298</v>
      </c>
      <c r="T100" s="55">
        <f t="shared" ca="1" si="27"/>
        <v>58.187650005066118</v>
      </c>
      <c r="U100" s="55">
        <f t="shared" ca="1" si="28"/>
        <v>50.815469775055618</v>
      </c>
      <c r="V100" s="55">
        <f t="shared" ca="1" si="29"/>
        <v>0</v>
      </c>
      <c r="W100" s="55">
        <f t="shared" ca="1" si="34"/>
        <v>0</v>
      </c>
      <c r="X100" s="55">
        <f t="shared" ca="1" si="35"/>
        <v>28.959214934553557</v>
      </c>
      <c r="Y100" s="55">
        <f t="shared" ca="1" si="36"/>
        <v>-6.8954047385252188</v>
      </c>
      <c r="Z100">
        <f t="shared" ca="1" si="30"/>
        <v>32.464517206726619</v>
      </c>
      <c r="AA100">
        <f t="shared" ca="1" si="37"/>
        <v>0</v>
      </c>
      <c r="AB100">
        <f t="shared" ca="1" si="31"/>
        <v>0</v>
      </c>
      <c r="AC100">
        <f t="shared" ca="1" si="32"/>
        <v>0.99999771087204381</v>
      </c>
      <c r="AD100" s="83">
        <f ca="1"/>
        <v>45433</v>
      </c>
      <c r="AE100" s="55">
        <f t="shared" ca="1" si="41"/>
        <v>45433</v>
      </c>
      <c r="AF100" s="55">
        <f t="shared" ca="1" si="42"/>
        <v>-32.876833893058624</v>
      </c>
      <c r="AG100" s="55">
        <f t="shared" ca="1" si="43"/>
        <v>80.484178865750991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25.40713504455983</v>
      </c>
      <c r="AK100" s="55">
        <f t="shared" ca="1" si="40"/>
        <v>-10.858978951531936</v>
      </c>
    </row>
    <row r="101" spans="18:37">
      <c r="R101" s="83">
        <f ca="1"/>
        <v>45299</v>
      </c>
      <c r="S101" s="55">
        <f t="shared" ca="1" si="33"/>
        <v>45299</v>
      </c>
      <c r="T101" s="55">
        <f t="shared" ca="1" si="27"/>
        <v>56.647648363919544</v>
      </c>
      <c r="U101" s="55">
        <f t="shared" ca="1" si="28"/>
        <v>52.74960780329684</v>
      </c>
      <c r="V101" s="55">
        <f t="shared" ca="1" si="29"/>
        <v>0</v>
      </c>
      <c r="W101" s="55">
        <f t="shared" ca="1" si="34"/>
        <v>0</v>
      </c>
      <c r="X101" s="55">
        <f t="shared" ca="1" si="35"/>
        <v>29.361022470190296</v>
      </c>
      <c r="Y101" s="55">
        <f t="shared" ca="1" si="36"/>
        <v>-6.9030758870673097</v>
      </c>
      <c r="Z101">
        <f t="shared" ca="1" si="30"/>
        <v>34.368386662198944</v>
      </c>
      <c r="AA101">
        <f t="shared" ca="1" si="37"/>
        <v>0</v>
      </c>
      <c r="AB101">
        <f t="shared" ca="1" si="31"/>
        <v>0</v>
      </c>
      <c r="AC101">
        <f t="shared" ca="1" si="32"/>
        <v>0.9999983234219344</v>
      </c>
      <c r="AD101" s="83">
        <f ca="1"/>
        <v>45434</v>
      </c>
      <c r="AE101" s="55">
        <f t="shared" ca="1" si="41"/>
        <v>45434</v>
      </c>
      <c r="AF101" s="55">
        <f t="shared" ca="1" si="42"/>
        <v>-34.464209778450225</v>
      </c>
      <c r="AG101" s="55">
        <f t="shared" ca="1" si="43"/>
        <v>82.317476409137342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25.639226695139651</v>
      </c>
      <c r="AK101" s="55">
        <f t="shared" ca="1" si="40"/>
        <v>-10.845148944117001</v>
      </c>
    </row>
    <row r="102" spans="18:37">
      <c r="R102" s="83">
        <f ca="1"/>
        <v>45300</v>
      </c>
      <c r="S102" s="55">
        <f t="shared" ca="1" si="33"/>
        <v>45300</v>
      </c>
      <c r="T102" s="55">
        <f t="shared" ca="1" si="27"/>
        <v>55.133439629481636</v>
      </c>
      <c r="U102" s="55">
        <f t="shared" ca="1" si="28"/>
        <v>54.627352592927508</v>
      </c>
      <c r="V102" s="55">
        <f t="shared" ca="1" si="29"/>
        <v>0</v>
      </c>
      <c r="W102" s="55">
        <f t="shared" ca="1" si="34"/>
        <v>0</v>
      </c>
      <c r="X102" s="55">
        <f t="shared" ca="1" si="35"/>
        <v>29.730775821330564</v>
      </c>
      <c r="Y102" s="55">
        <f t="shared" ca="1" si="36"/>
        <v>-6.9092931830148201</v>
      </c>
      <c r="Z102">
        <f t="shared" ca="1" si="30"/>
        <v>32.951151751902792</v>
      </c>
      <c r="AA102">
        <f t="shared" ca="1" si="37"/>
        <v>0</v>
      </c>
      <c r="AB102">
        <f t="shared" ca="1" si="31"/>
        <v>0</v>
      </c>
      <c r="AC102">
        <f t="shared" ca="1" si="32"/>
        <v>0.99999875201939825</v>
      </c>
      <c r="AD102" s="83">
        <f ca="1"/>
        <v>45435</v>
      </c>
      <c r="AE102" s="55">
        <f t="shared" ca="1" si="41"/>
        <v>45435</v>
      </c>
      <c r="AF102" s="55">
        <f t="shared" ca="1" si="42"/>
        <v>-36.004212682640102</v>
      </c>
      <c r="AG102" s="55">
        <f t="shared" ca="1" si="43"/>
        <v>84.111827769406332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25.877753776666722</v>
      </c>
      <c r="AK102" s="55">
        <f t="shared" ca="1" si="40"/>
        <v>-10.829327569564958</v>
      </c>
    </row>
    <row r="103" spans="18:37">
      <c r="R103" s="83">
        <f ca="1"/>
        <v>45301</v>
      </c>
      <c r="S103" s="55">
        <f t="shared" ca="1" si="33"/>
        <v>45301</v>
      </c>
      <c r="T103" s="55">
        <f t="shared" ca="1" si="27"/>
        <v>53.615394384766667</v>
      </c>
      <c r="U103" s="55">
        <f t="shared" ca="1" si="28"/>
        <v>56.509290819003013</v>
      </c>
      <c r="V103" s="55">
        <f t="shared" ca="1" si="29"/>
        <v>0</v>
      </c>
      <c r="W103" s="55">
        <f t="shared" ca="1" si="34"/>
        <v>0</v>
      </c>
      <c r="X103" s="55">
        <f t="shared" ca="1" si="35"/>
        <v>30.10055211047807</v>
      </c>
      <c r="Y103" s="55">
        <f t="shared" ca="1" si="36"/>
        <v>-6.9151764908017839</v>
      </c>
      <c r="Z103">
        <f t="shared" ca="1" si="30"/>
        <v>35.656033873545034</v>
      </c>
      <c r="AA103">
        <f t="shared" ca="1" si="37"/>
        <v>0</v>
      </c>
      <c r="AB103">
        <f t="shared" ca="1" si="31"/>
        <v>0</v>
      </c>
      <c r="AC103">
        <f t="shared" ca="1" si="32"/>
        <v>0.99999906564738172</v>
      </c>
      <c r="AD103" s="83">
        <f ca="1"/>
        <v>45436</v>
      </c>
      <c r="AE103" s="55">
        <f t="shared" ca="1" si="41"/>
        <v>45436</v>
      </c>
      <c r="AF103" s="55">
        <f t="shared" ca="1" si="42"/>
        <v>-37.468875014944892</v>
      </c>
      <c r="AG103" s="55">
        <f t="shared" ca="1" si="43"/>
        <v>85.825036669558486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26.109599924346764</v>
      </c>
      <c r="AK103" s="55">
        <f t="shared" ca="1" si="40"/>
        <v>-10.812627149397633</v>
      </c>
    </row>
    <row r="104" spans="18:37">
      <c r="R104" s="83">
        <f ca="1"/>
        <v>45302</v>
      </c>
      <c r="S104" s="55">
        <f t="shared" ca="1" si="33"/>
        <v>45302</v>
      </c>
      <c r="T104" s="55">
        <f t="shared" ca="1" si="27"/>
        <v>52.031105715473394</v>
      </c>
      <c r="U104" s="55">
        <f t="shared" ca="1" si="28"/>
        <v>58.474661994159504</v>
      </c>
      <c r="V104" s="55">
        <f t="shared" ca="1" si="29"/>
        <v>0</v>
      </c>
      <c r="W104" s="55">
        <f t="shared" ca="1" si="34"/>
        <v>0</v>
      </c>
      <c r="X104" s="55">
        <f t="shared" ca="1" si="35"/>
        <v>30.487175059499052</v>
      </c>
      <c r="Y104" s="55">
        <f t="shared" ca="1" si="36"/>
        <v>-6.9207169339595449</v>
      </c>
      <c r="Z104">
        <f t="shared" ca="1" si="30"/>
        <v>37.319186522595459</v>
      </c>
      <c r="AA104">
        <f t="shared" ca="1" si="37"/>
        <v>0</v>
      </c>
      <c r="AB104">
        <f t="shared" ca="1" si="31"/>
        <v>0</v>
      </c>
      <c r="AC104">
        <f t="shared" ca="1" si="32"/>
        <v>0.99999930497666167</v>
      </c>
      <c r="AD104" s="83">
        <f ca="1"/>
        <v>45437</v>
      </c>
      <c r="AE104" s="55">
        <f t="shared" ca="1" si="41"/>
        <v>45437</v>
      </c>
      <c r="AF104" s="55">
        <f t="shared" ca="1" si="42"/>
        <v>-38.950854796285036</v>
      </c>
      <c r="AG104" s="55">
        <f t="shared" ca="1" si="43"/>
        <v>87.580499382862243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26.364314927131225</v>
      </c>
      <c r="AK104" s="55">
        <f t="shared" ca="1" si="40"/>
        <v>-10.793859220218485</v>
      </c>
    </row>
    <row r="105" spans="18:37">
      <c r="R105" s="83">
        <f ca="1"/>
        <v>45303</v>
      </c>
      <c r="S105" s="55">
        <f t="shared" ca="1" si="33"/>
        <v>45303</v>
      </c>
      <c r="T105" s="55">
        <f t="shared" ca="1" si="27"/>
        <v>50.377184877327416</v>
      </c>
      <c r="U105" s="55">
        <f t="shared" ca="1" si="28"/>
        <v>60.532250496719413</v>
      </c>
      <c r="V105" s="55">
        <f t="shared" ca="1" si="29"/>
        <v>0</v>
      </c>
      <c r="W105" s="55">
        <f t="shared" ca="1" si="34"/>
        <v>0</v>
      </c>
      <c r="X105" s="55">
        <f t="shared" ca="1" si="35"/>
        <v>30.896024031543408</v>
      </c>
      <c r="Y105" s="55">
        <f t="shared" ca="1" si="36"/>
        <v>-6.9258982415899677</v>
      </c>
      <c r="Z105">
        <f t="shared" ca="1" si="30"/>
        <v>39.691841306010069</v>
      </c>
      <c r="AA105">
        <f t="shared" ca="1" si="37"/>
        <v>0</v>
      </c>
      <c r="AB105">
        <f t="shared" ca="1" si="31"/>
        <v>0</v>
      </c>
      <c r="AC105">
        <f t="shared" ca="1" si="32"/>
        <v>0.9999994868649722</v>
      </c>
      <c r="AD105" s="83">
        <f ca="1"/>
        <v>45438</v>
      </c>
      <c r="AE105" s="55">
        <f t="shared" ca="1" si="41"/>
        <v>45438</v>
      </c>
      <c r="AF105" s="55">
        <f t="shared" ca="1" si="42"/>
        <v>-40.417708268628054</v>
      </c>
      <c r="AG105" s="55">
        <f t="shared" ca="1" si="43"/>
        <v>89.316071837283573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26.61342303989629</v>
      </c>
      <c r="AK105" s="55">
        <f t="shared" ca="1" si="40"/>
        <v>-10.774248350905237</v>
      </c>
    </row>
    <row r="106" spans="18:37">
      <c r="R106" s="83">
        <f ca="1"/>
        <v>45304</v>
      </c>
      <c r="S106" s="55">
        <f t="shared" ca="1" si="33"/>
        <v>45304</v>
      </c>
      <c r="T106" s="55">
        <f t="shared" ca="1" si="27"/>
        <v>48.661899893396615</v>
      </c>
      <c r="U106" s="55">
        <f t="shared" ca="1" si="28"/>
        <v>62.653127647335126</v>
      </c>
      <c r="V106" s="55">
        <f t="shared" ca="1" si="29"/>
        <v>0</v>
      </c>
      <c r="W106" s="55">
        <f t="shared" ca="1" si="34"/>
        <v>0</v>
      </c>
      <c r="X106" s="55">
        <f t="shared" ca="1" si="35"/>
        <v>31.305848299791371</v>
      </c>
      <c r="Y106" s="55">
        <f t="shared" ca="1" si="36"/>
        <v>-6.9301303431530226</v>
      </c>
      <c r="Z106">
        <f t="shared" ca="1" si="30"/>
        <v>38.598472737429674</v>
      </c>
      <c r="AA106">
        <f t="shared" ca="1" si="37"/>
        <v>0</v>
      </c>
      <c r="AB106">
        <f t="shared" ca="1" si="31"/>
        <v>0</v>
      </c>
      <c r="AC106">
        <f t="shared" ca="1" si="32"/>
        <v>0.99999962231375805</v>
      </c>
      <c r="AD106" s="83">
        <f ca="1"/>
        <v>45439</v>
      </c>
      <c r="AE106" s="55">
        <f t="shared" ca="1" si="41"/>
        <v>45439</v>
      </c>
      <c r="AF106" s="55">
        <f t="shared" ca="1" si="42"/>
        <v>-41.831885586654415</v>
      </c>
      <c r="AG106" s="55">
        <f t="shared" ca="1" si="43"/>
        <v>90.997217143525717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26.86023012202941</v>
      </c>
      <c r="AK106" s="55">
        <f t="shared" ca="1" si="40"/>
        <v>-10.754087444822572</v>
      </c>
    </row>
    <row r="107" spans="18:37">
      <c r="R107" s="83">
        <f ca="1"/>
        <v>45305</v>
      </c>
      <c r="S107" s="55">
        <f t="shared" ca="1" si="33"/>
        <v>45305</v>
      </c>
      <c r="T107" s="55">
        <f t="shared" ca="1" si="27"/>
        <v>46.89870136343152</v>
      </c>
      <c r="U107" s="55">
        <f t="shared" ca="1" si="28"/>
        <v>64.815974218021509</v>
      </c>
      <c r="V107" s="55">
        <f t="shared" ca="1" si="29"/>
        <v>0</v>
      </c>
      <c r="W107" s="55">
        <f t="shared" ca="1" si="34"/>
        <v>0</v>
      </c>
      <c r="X107" s="55">
        <f t="shared" ca="1" si="35"/>
        <v>31.708765002537735</v>
      </c>
      <c r="Y107" s="55">
        <f t="shared" ca="1" si="36"/>
        <v>-6.9333990051780994</v>
      </c>
      <c r="Z107">
        <f t="shared" ca="1" si="30"/>
        <v>36.823591713512492</v>
      </c>
      <c r="AA107">
        <f t="shared" ca="1" si="37"/>
        <v>0</v>
      </c>
      <c r="AB107">
        <f t="shared" ca="1" si="31"/>
        <v>0</v>
      </c>
      <c r="AC107">
        <f t="shared" ca="1" si="32"/>
        <v>0.99999972203138432</v>
      </c>
      <c r="AD107" s="83">
        <f ca="1"/>
        <v>45440</v>
      </c>
      <c r="AE107" s="55">
        <f t="shared" ca="1" si="41"/>
        <v>45440</v>
      </c>
      <c r="AF107" s="55">
        <f t="shared" ca="1" si="42"/>
        <v>-43.269222612559879</v>
      </c>
      <c r="AG107" s="55">
        <f t="shared" ca="1" si="43"/>
        <v>92.715971764320415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27.120342729392608</v>
      </c>
      <c r="AK107" s="55">
        <f t="shared" ca="1" si="40"/>
        <v>-10.732782457296535</v>
      </c>
    </row>
    <row r="108" spans="18:37">
      <c r="R108" s="83">
        <f ca="1"/>
        <v>45306</v>
      </c>
      <c r="S108" s="55">
        <f t="shared" ca="1" si="33"/>
        <v>45306</v>
      </c>
      <c r="T108" s="55">
        <f t="shared" ca="1" si="27"/>
        <v>45.0411136244876</v>
      </c>
      <c r="U108" s="55">
        <f t="shared" ca="1" si="28"/>
        <v>67.084805796525757</v>
      </c>
      <c r="V108" s="55">
        <f t="shared" ca="1" si="29"/>
        <v>0</v>
      </c>
      <c r="W108" s="55">
        <f t="shared" ca="1" si="34"/>
        <v>0</v>
      </c>
      <c r="X108" s="55">
        <f t="shared" ca="1" si="35"/>
        <v>32.122553611356274</v>
      </c>
      <c r="Y108" s="55">
        <f t="shared" ca="1" si="36"/>
        <v>-6.9359437744363159</v>
      </c>
      <c r="Z108">
        <f t="shared" ca="1" si="30"/>
        <v>35.566068336150963</v>
      </c>
      <c r="AA108">
        <f t="shared" ca="1" si="37"/>
        <v>0</v>
      </c>
      <c r="AB108">
        <f t="shared" ca="1" si="31"/>
        <v>0</v>
      </c>
      <c r="AC108">
        <f t="shared" ca="1" si="32"/>
        <v>0.99999979727547328</v>
      </c>
      <c r="AD108" s="83">
        <f ca="1"/>
        <v>45441</v>
      </c>
      <c r="AE108" s="55">
        <f t="shared" ca="1" si="41"/>
        <v>45441</v>
      </c>
      <c r="AF108" s="55">
        <f t="shared" ca="1" si="42"/>
        <v>-44.621872128403879</v>
      </c>
      <c r="AG108" s="55">
        <f t="shared" ca="1" si="43"/>
        <v>94.339985996039118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27.370249880780037</v>
      </c>
      <c r="AK108" s="55">
        <f t="shared" ca="1" si="40"/>
        <v>-10.711324892809268</v>
      </c>
    </row>
    <row r="109" spans="18:37">
      <c r="R109" s="83">
        <f ca="1"/>
        <v>45307</v>
      </c>
      <c r="S109" s="55">
        <f t="shared" ca="1" si="33"/>
        <v>45307</v>
      </c>
      <c r="T109" s="55">
        <f t="shared" ca="1" si="27"/>
        <v>43.189074017788691</v>
      </c>
      <c r="U109" s="55">
        <f t="shared" ca="1" si="28"/>
        <v>69.326109979413644</v>
      </c>
      <c r="V109" s="55">
        <f t="shared" ca="1" si="29"/>
        <v>0</v>
      </c>
      <c r="W109" s="55">
        <f t="shared" ca="1" si="34"/>
        <v>0</v>
      </c>
      <c r="X109" s="55">
        <f t="shared" ca="1" si="35"/>
        <v>32.513536924354675</v>
      </c>
      <c r="Y109" s="55">
        <f t="shared" ca="1" si="36"/>
        <v>-6.937662511245736</v>
      </c>
      <c r="Z109">
        <f t="shared" ca="1" si="30"/>
        <v>33.734951142463821</v>
      </c>
      <c r="AA109">
        <f t="shared" ca="1" si="37"/>
        <v>0</v>
      </c>
      <c r="AB109">
        <f t="shared" ca="1" si="31"/>
        <v>0</v>
      </c>
      <c r="AC109">
        <f t="shared" ca="1" si="32"/>
        <v>0.99999985077931763</v>
      </c>
      <c r="AD109" s="83">
        <f ca="1"/>
        <v>45442</v>
      </c>
      <c r="AE109" s="55">
        <f t="shared" ca="1" si="41"/>
        <v>45442</v>
      </c>
      <c r="AF109" s="55">
        <f t="shared" ca="1" si="42"/>
        <v>-45.9845240925277</v>
      </c>
      <c r="AG109" s="55">
        <f t="shared" ca="1" si="43"/>
        <v>95.971537025484395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27.616847027649538</v>
      </c>
      <c r="AK109" s="55">
        <f t="shared" ca="1" si="40"/>
        <v>-10.689022974357313</v>
      </c>
    </row>
    <row r="110" spans="18:37">
      <c r="R110" s="83">
        <f ca="1"/>
        <v>45308</v>
      </c>
      <c r="S110" s="55">
        <f t="shared" ca="1" si="33"/>
        <v>45308</v>
      </c>
      <c r="T110" s="55">
        <f t="shared" ca="1" si="27"/>
        <v>41.304842745113966</v>
      </c>
      <c r="U110" s="55">
        <f t="shared" ca="1" si="28"/>
        <v>71.589496782741918</v>
      </c>
      <c r="V110" s="55">
        <f t="shared" ca="1" si="29"/>
        <v>0</v>
      </c>
      <c r="W110" s="55">
        <f t="shared" ca="1" si="34"/>
        <v>0</v>
      </c>
      <c r="X110" s="55">
        <f t="shared" ca="1" si="35"/>
        <v>32.893785056299805</v>
      </c>
      <c r="Y110" s="55">
        <f t="shared" ca="1" si="36"/>
        <v>-6.9387551125373204</v>
      </c>
      <c r="Z110">
        <f t="shared" ca="1" si="30"/>
        <v>31.629429518190094</v>
      </c>
      <c r="AA110">
        <f t="shared" ca="1" si="37"/>
        <v>0</v>
      </c>
      <c r="AB110">
        <f t="shared" ca="1" si="31"/>
        <v>0</v>
      </c>
      <c r="AC110">
        <f t="shared" ca="1" si="32"/>
        <v>0.9999998899502468</v>
      </c>
      <c r="AD110" s="83">
        <f ca="1"/>
        <v>45443</v>
      </c>
      <c r="AE110" s="55">
        <f t="shared" ca="1" si="41"/>
        <v>45443</v>
      </c>
      <c r="AF110" s="55">
        <f t="shared" ca="1" si="42"/>
        <v>-47.35122092512637</v>
      </c>
      <c r="AG110" s="55">
        <f t="shared" ca="1" si="43"/>
        <v>97.618610311616308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27.874028604716273</v>
      </c>
      <c r="AK110" s="55">
        <f t="shared" ca="1" si="40"/>
        <v>-10.665828097890801</v>
      </c>
    </row>
    <row r="111" spans="18:37">
      <c r="R111" s="83">
        <f ca="1"/>
        <v>45309</v>
      </c>
      <c r="S111" s="55">
        <f t="shared" ca="1" si="33"/>
        <v>45309</v>
      </c>
      <c r="T111" s="55">
        <f t="shared" ca="1" si="27"/>
        <v>39.341650555412983</v>
      </c>
      <c r="U111" s="55">
        <f t="shared" ca="1" si="28"/>
        <v>73.967283845095949</v>
      </c>
      <c r="V111" s="55">
        <f t="shared" ca="1" si="29"/>
        <v>0</v>
      </c>
      <c r="W111" s="55">
        <f t="shared" ca="1" si="34"/>
        <v>0</v>
      </c>
      <c r="X111" s="55">
        <f t="shared" ca="1" si="35"/>
        <v>33.309066027139309</v>
      </c>
      <c r="Y111" s="55">
        <f t="shared" ca="1" si="36"/>
        <v>-6.9394412107237757</v>
      </c>
      <c r="Z111">
        <f t="shared" ca="1" si="30"/>
        <v>36.211584369428948</v>
      </c>
      <c r="AA111">
        <f t="shared" ca="1" si="37"/>
        <v>0</v>
      </c>
      <c r="AB111">
        <f t="shared" ca="1" si="31"/>
        <v>0</v>
      </c>
      <c r="AC111">
        <f t="shared" ca="1" si="32"/>
        <v>0.99999991969047364</v>
      </c>
      <c r="AD111" s="83">
        <f ca="1"/>
        <v>45444</v>
      </c>
      <c r="AE111" s="55">
        <f t="shared" ca="1" si="41"/>
        <v>45444</v>
      </c>
      <c r="AF111" s="55">
        <f t="shared" ca="1" si="42"/>
        <v>-48.652819939651678</v>
      </c>
      <c r="AG111" s="55">
        <f t="shared" ca="1" si="43"/>
        <v>99.195621441865882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28.126062097400673</v>
      </c>
      <c r="AK111" s="55">
        <f t="shared" ca="1" si="40"/>
        <v>-10.642449474850933</v>
      </c>
    </row>
    <row r="112" spans="18:37">
      <c r="R112" s="83">
        <f ca="1"/>
        <v>45310</v>
      </c>
      <c r="S112" s="55">
        <f t="shared" ca="1" si="33"/>
        <v>45310</v>
      </c>
      <c r="T112" s="55">
        <f t="shared" ca="1" si="27"/>
        <v>37.366193601754077</v>
      </c>
      <c r="U112" s="55">
        <f t="shared" ca="1" si="28"/>
        <v>76.344575732205357</v>
      </c>
      <c r="V112" s="55">
        <f t="shared" ca="1" si="29"/>
        <v>0</v>
      </c>
      <c r="W112" s="55">
        <f t="shared" ca="1" si="34"/>
        <v>0</v>
      </c>
      <c r="X112" s="55">
        <f t="shared" ca="1" si="35"/>
        <v>33.710955925314551</v>
      </c>
      <c r="Y112" s="55">
        <f t="shared" ca="1" si="36"/>
        <v>-6.9394961754485163</v>
      </c>
      <c r="Z112">
        <f t="shared" ca="1" si="30"/>
        <v>34.793040099541265</v>
      </c>
      <c r="AA112">
        <f t="shared" ca="1" si="37"/>
        <v>0</v>
      </c>
      <c r="AB112">
        <f t="shared" ca="1" si="31"/>
        <v>0</v>
      </c>
      <c r="AC112">
        <f t="shared" ca="1" si="32"/>
        <v>0.99999994112777479</v>
      </c>
      <c r="AD112" s="83">
        <f ca="1"/>
        <v>45445</v>
      </c>
      <c r="AE112" s="55">
        <f t="shared" ca="1" si="41"/>
        <v>45445</v>
      </c>
      <c r="AF112" s="55">
        <f t="shared" ca="1" si="42"/>
        <v>-49.891602257415258</v>
      </c>
      <c r="AG112" s="55">
        <f t="shared" ca="1" si="43"/>
        <v>100.70593206699205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28.374060396103793</v>
      </c>
      <c r="AK112" s="55">
        <f t="shared" ca="1" si="40"/>
        <v>-10.618919466191466</v>
      </c>
    </row>
    <row r="113" spans="18:37">
      <c r="R113" s="83">
        <f ca="1"/>
        <v>45311</v>
      </c>
      <c r="S113" s="55">
        <f t="shared" ca="1" si="33"/>
        <v>45311</v>
      </c>
      <c r="T113" s="55">
        <f t="shared" ca="1" si="27"/>
        <v>35.474804670979346</v>
      </c>
      <c r="U113" s="55">
        <f t="shared" ca="1" si="28"/>
        <v>78.59445409121291</v>
      </c>
      <c r="V113" s="55">
        <f t="shared" ca="1" si="29"/>
        <v>0</v>
      </c>
      <c r="W113" s="55">
        <f t="shared" ca="1" si="34"/>
        <v>0</v>
      </c>
      <c r="X113" s="55">
        <f t="shared" ca="1" si="35"/>
        <v>34.069056668066942</v>
      </c>
      <c r="Y113" s="55">
        <f t="shared" ca="1" si="36"/>
        <v>-6.9391074899680865</v>
      </c>
      <c r="Z113">
        <f t="shared" ca="1" si="30"/>
        <v>31.882363388610216</v>
      </c>
      <c r="AA113">
        <f t="shared" ca="1" si="37"/>
        <v>0</v>
      </c>
      <c r="AB113">
        <f t="shared" ca="1" si="31"/>
        <v>0</v>
      </c>
      <c r="AC113">
        <f t="shared" ca="1" si="32"/>
        <v>0.99999995595661517</v>
      </c>
      <c r="AD113" s="83">
        <f ca="1"/>
        <v>45446</v>
      </c>
      <c r="AE113" s="55">
        <f t="shared" ca="1" si="41"/>
        <v>45446</v>
      </c>
      <c r="AF113" s="55">
        <f t="shared" ca="1" si="42"/>
        <v>-51.088547572447212</v>
      </c>
      <c r="AG113" s="55">
        <f t="shared" ca="1" si="43"/>
        <v>102.1750386575571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28.6223834583522</v>
      </c>
      <c r="AK113" s="55">
        <f t="shared" ca="1" si="40"/>
        <v>-10.595081252906779</v>
      </c>
    </row>
    <row r="114" spans="18:37">
      <c r="R114" s="83">
        <f ca="1"/>
        <v>45312</v>
      </c>
      <c r="S114" s="55">
        <f t="shared" ca="1" si="33"/>
        <v>45312</v>
      </c>
      <c r="T114" s="55">
        <f t="shared" ca="1" si="27"/>
        <v>33.375003311066997</v>
      </c>
      <c r="U114" s="55">
        <f t="shared" ca="1" si="28"/>
        <v>81.090412553219991</v>
      </c>
      <c r="V114" s="55">
        <f t="shared" ca="1" si="29"/>
        <v>0</v>
      </c>
      <c r="W114" s="55">
        <f t="shared" ca="1" si="34"/>
        <v>0</v>
      </c>
      <c r="X114" s="55">
        <f t="shared" ca="1" si="35"/>
        <v>34.464410732243692</v>
      </c>
      <c r="Y114" s="55">
        <f t="shared" ca="1" si="36"/>
        <v>-6.9383044520501063</v>
      </c>
      <c r="Z114">
        <f t="shared" ca="1" si="30"/>
        <v>29.491512568646066</v>
      </c>
      <c r="AA114">
        <f t="shared" ca="1" si="37"/>
        <v>0</v>
      </c>
      <c r="AB114">
        <f t="shared" ca="1" si="31"/>
        <v>0</v>
      </c>
      <c r="AC114">
        <f t="shared" ca="1" si="32"/>
        <v>0.99999996796045199</v>
      </c>
      <c r="AD114" s="83">
        <f ca="1"/>
        <v>45447</v>
      </c>
      <c r="AE114" s="55">
        <f t="shared" ca="1" si="41"/>
        <v>45447</v>
      </c>
      <c r="AF114" s="55">
        <f t="shared" ca="1" si="42"/>
        <v>-52.26474720094587</v>
      </c>
      <c r="AG114" s="55">
        <f t="shared" ca="1" si="43"/>
        <v>103.62206684088139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28.868943627864777</v>
      </c>
      <c r="AK114" s="55">
        <f t="shared" ca="1" si="40"/>
        <v>-10.570812867593721</v>
      </c>
    </row>
    <row r="115" spans="18:37">
      <c r="R115" s="83">
        <f ca="1"/>
        <v>45313</v>
      </c>
      <c r="S115" s="55">
        <f t="shared" ca="1" si="33"/>
        <v>45313</v>
      </c>
      <c r="T115" s="55">
        <f t="shared" ca="1" si="27"/>
        <v>31.164564694263156</v>
      </c>
      <c r="U115" s="55">
        <f t="shared" ca="1" si="28"/>
        <v>83.726695488602218</v>
      </c>
      <c r="V115" s="55">
        <f t="shared" ca="1" si="29"/>
        <v>0</v>
      </c>
      <c r="W115" s="55">
        <f t="shared" ca="1" si="34"/>
        <v>0</v>
      </c>
      <c r="X115" s="55">
        <f t="shared" ca="1" si="35"/>
        <v>34.888908758151068</v>
      </c>
      <c r="Y115" s="55">
        <f t="shared" ca="1" si="36"/>
        <v>-6.9369581593790937</v>
      </c>
      <c r="Z115">
        <f t="shared" ca="1" si="30"/>
        <v>30.869158628184465</v>
      </c>
      <c r="AA115">
        <f t="shared" ca="1" si="37"/>
        <v>0</v>
      </c>
      <c r="AB115">
        <f t="shared" ca="1" si="31"/>
        <v>0</v>
      </c>
      <c r="AC115">
        <f t="shared" ca="1" si="32"/>
        <v>0.99999997701991383</v>
      </c>
      <c r="AD115" s="83">
        <f ca="1"/>
        <v>45448</v>
      </c>
      <c r="AE115" s="55">
        <f t="shared" ca="1" si="41"/>
        <v>45448</v>
      </c>
      <c r="AF115" s="55">
        <f t="shared" ca="1" si="42"/>
        <v>-53.374804699981532</v>
      </c>
      <c r="AG115" s="55">
        <f t="shared" ca="1" si="43"/>
        <v>104.99540357902005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29.107994669857167</v>
      </c>
      <c r="AK115" s="55">
        <f t="shared" ca="1" si="40"/>
        <v>-10.546584670483108</v>
      </c>
    </row>
    <row r="116" spans="18:37">
      <c r="R116" s="83">
        <f ca="1"/>
        <v>45314</v>
      </c>
      <c r="S116" s="55">
        <f t="shared" ca="1" si="33"/>
        <v>45314</v>
      </c>
      <c r="T116" s="55">
        <f t="shared" ca="1" si="27"/>
        <v>62.233122080956171</v>
      </c>
      <c r="U116" s="55">
        <f t="shared" ca="1" si="28"/>
        <v>86.232280478021892</v>
      </c>
      <c r="V116" s="55">
        <f t="shared" ca="1" si="29"/>
        <v>33.186372526293809</v>
      </c>
      <c r="W116" s="55">
        <f t="shared" ca="1" si="34"/>
        <v>0</v>
      </c>
      <c r="X116" s="55">
        <f t="shared" ca="1" si="35"/>
        <v>35.275098443132805</v>
      </c>
      <c r="Y116" s="55">
        <f t="shared" ca="1" si="36"/>
        <v>-6.93537799454195</v>
      </c>
      <c r="Z116">
        <f t="shared" ca="1" si="30"/>
        <v>29.435837486581867</v>
      </c>
      <c r="AA116">
        <f t="shared" ca="1" si="37"/>
        <v>0</v>
      </c>
      <c r="AB116">
        <f t="shared" ca="1" si="31"/>
        <v>0</v>
      </c>
      <c r="AC116">
        <f t="shared" ca="1" si="32"/>
        <v>0.9999999831919183</v>
      </c>
      <c r="AD116" s="83">
        <f ca="1"/>
        <v>45449</v>
      </c>
      <c r="AE116" s="55">
        <f t="shared" ca="1" si="41"/>
        <v>45449</v>
      </c>
      <c r="AF116" s="55">
        <f t="shared" ca="1" si="42"/>
        <v>-54.507960279918578</v>
      </c>
      <c r="AG116" s="55">
        <f t="shared" ca="1" si="43"/>
        <v>106.40399757685623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29.358346360581596</v>
      </c>
      <c r="AK116" s="55">
        <f t="shared" ca="1" si="40"/>
        <v>-10.521497943308402</v>
      </c>
    </row>
    <row r="117" spans="18:37">
      <c r="R117" s="83">
        <f ca="1"/>
        <v>45315</v>
      </c>
      <c r="S117" s="55">
        <f t="shared" ca="1" si="33"/>
        <v>45315</v>
      </c>
      <c r="T117" s="55">
        <f t="shared" ca="1" si="27"/>
        <v>60.135606320963824</v>
      </c>
      <c r="U117" s="55">
        <f t="shared" ca="1" si="28"/>
        <v>88.708434072348354</v>
      </c>
      <c r="V117" s="55">
        <f t="shared" ca="1" si="29"/>
        <v>0</v>
      </c>
      <c r="W117" s="55">
        <f t="shared" ca="1" si="34"/>
        <v>0</v>
      </c>
      <c r="X117" s="55">
        <f t="shared" ca="1" si="35"/>
        <v>35.651839211568863</v>
      </c>
      <c r="Y117" s="55">
        <f t="shared" ca="1" si="36"/>
        <v>-6.9334809286438954</v>
      </c>
      <c r="Z117">
        <f t="shared" ca="1" si="30"/>
        <v>29.629508608101609</v>
      </c>
      <c r="AA117">
        <f t="shared" ca="1" si="37"/>
        <v>0</v>
      </c>
      <c r="AB117">
        <f t="shared" ca="1" si="31"/>
        <v>0</v>
      </c>
      <c r="AC117">
        <f t="shared" ca="1" si="32"/>
        <v>0.99999998762962938</v>
      </c>
      <c r="AD117" s="83">
        <f ca="1"/>
        <v>45450</v>
      </c>
      <c r="AE117" s="55">
        <f t="shared" ca="1" si="41"/>
        <v>45450</v>
      </c>
      <c r="AF117" s="55">
        <f t="shared" ca="1" si="42"/>
        <v>-55.7170948266251</v>
      </c>
      <c r="AG117" s="55">
        <f t="shared" ca="1" si="43"/>
        <v>107.91039756978898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29.629065994919181</v>
      </c>
      <c r="AK117" s="55">
        <f t="shared" ca="1" si="40"/>
        <v>-10.494952131419753</v>
      </c>
    </row>
    <row r="118" spans="18:37">
      <c r="R118" s="83">
        <f ca="1"/>
        <v>45316</v>
      </c>
      <c r="S118" s="55">
        <f t="shared" ca="1" si="33"/>
        <v>45316</v>
      </c>
      <c r="T118" s="55">
        <f t="shared" ca="1" si="27"/>
        <v>58.037293778993636</v>
      </c>
      <c r="U118" s="55">
        <f t="shared" ca="1" si="28"/>
        <v>91.18096405773953</v>
      </c>
      <c r="V118" s="55">
        <f t="shared" ca="1" si="29"/>
        <v>0</v>
      </c>
      <c r="W118" s="55">
        <f t="shared" ca="1" si="34"/>
        <v>0</v>
      </c>
      <c r="X118" s="55">
        <f t="shared" ca="1" si="35"/>
        <v>36.023866823519981</v>
      </c>
      <c r="Y118" s="55">
        <f t="shared" ca="1" si="36"/>
        <v>-6.9312910971740269</v>
      </c>
      <c r="Z118">
        <f t="shared" ca="1" si="30"/>
        <v>29.457407398795354</v>
      </c>
      <c r="AA118">
        <f t="shared" ca="1" si="37"/>
        <v>0</v>
      </c>
      <c r="AB118">
        <f t="shared" ca="1" si="31"/>
        <v>0</v>
      </c>
      <c r="AC118">
        <f t="shared" ca="1" si="32"/>
        <v>0.99999999087225067</v>
      </c>
      <c r="AD118" s="83">
        <f ca="1"/>
        <v>45451</v>
      </c>
      <c r="AE118" s="55">
        <f t="shared" ca="1" si="41"/>
        <v>45451</v>
      </c>
      <c r="AF118" s="55">
        <f t="shared" ca="1" si="42"/>
        <v>-56.948629227176305</v>
      </c>
      <c r="AG118" s="55">
        <f t="shared" ca="1" si="43"/>
        <v>109.44793614585478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29.907628447954252</v>
      </c>
      <c r="AK118" s="55">
        <f t="shared" ca="1" si="40"/>
        <v>-10.467510408940234</v>
      </c>
    </row>
    <row r="119" spans="18:37">
      <c r="R119" s="83">
        <f ca="1"/>
        <v>45317</v>
      </c>
      <c r="S119" s="55">
        <f t="shared" ca="1" si="33"/>
        <v>45317</v>
      </c>
      <c r="T119" s="55">
        <f t="shared" ca="1" si="27"/>
        <v>55.953252857985113</v>
      </c>
      <c r="U119" s="55">
        <f t="shared" ca="1" si="28"/>
        <v>93.628911491640707</v>
      </c>
      <c r="V119" s="55">
        <f t="shared" ca="1" si="29"/>
        <v>0</v>
      </c>
      <c r="W119" s="55">
        <f t="shared" ca="1" si="34"/>
        <v>0</v>
      </c>
      <c r="X119" s="55">
        <f t="shared" ca="1" si="35"/>
        <v>36.385401851945289</v>
      </c>
      <c r="Y119" s="55">
        <f t="shared" ca="1" si="36"/>
        <v>-6.9289196127066788</v>
      </c>
      <c r="Z119">
        <f t="shared" ca="1" si="30"/>
        <v>28.544346380004047</v>
      </c>
      <c r="AA119">
        <f t="shared" ca="1" si="37"/>
        <v>0</v>
      </c>
      <c r="AB119">
        <f t="shared" ca="1" si="31"/>
        <v>0</v>
      </c>
      <c r="AC119">
        <f t="shared" ca="1" si="32"/>
        <v>0.99999999323289157</v>
      </c>
      <c r="AD119" s="83">
        <f ca="1"/>
        <v>45452</v>
      </c>
      <c r="AE119" s="55">
        <f t="shared" ca="1" si="41"/>
        <v>45452</v>
      </c>
      <c r="AF119" s="55">
        <f t="shared" ca="1" si="42"/>
        <v>-58.162380174238521</v>
      </c>
      <c r="AG119" s="55">
        <f t="shared" ca="1" si="43"/>
        <v>110.97365825410114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30.191675695244591</v>
      </c>
      <c r="AK119" s="55">
        <f t="shared" ca="1" si="40"/>
        <v>-10.439586495046433</v>
      </c>
    </row>
    <row r="120" spans="18:37">
      <c r="R120" s="83">
        <f ca="1"/>
        <v>45318</v>
      </c>
      <c r="S120" s="55">
        <f t="shared" ca="1" si="33"/>
        <v>45318</v>
      </c>
      <c r="T120" s="55">
        <f t="shared" ca="1" si="27"/>
        <v>53.87851901732386</v>
      </c>
      <c r="U120" s="55">
        <f t="shared" ca="1" si="28"/>
        <v>96.072783243394966</v>
      </c>
      <c r="V120" s="55">
        <f t="shared" ca="1" si="29"/>
        <v>0</v>
      </c>
      <c r="W120" s="55">
        <f t="shared" ca="1" si="34"/>
        <v>0</v>
      </c>
      <c r="X120" s="55">
        <f t="shared" ca="1" si="35"/>
        <v>36.751687963184551</v>
      </c>
      <c r="Y120" s="55">
        <f t="shared" ca="1" si="36"/>
        <v>-6.9260678128529332</v>
      </c>
      <c r="Z120">
        <f t="shared" ca="1" si="30"/>
        <v>30.899062055719206</v>
      </c>
      <c r="AA120">
        <f t="shared" ca="1" si="37"/>
        <v>0</v>
      </c>
      <c r="AB120">
        <f t="shared" ca="1" si="31"/>
        <v>0</v>
      </c>
      <c r="AC120">
        <f t="shared" ca="1" si="32"/>
        <v>0.99999999497373926</v>
      </c>
      <c r="AD120" s="83">
        <f ca="1"/>
        <v>45453</v>
      </c>
      <c r="AE120" s="55">
        <f t="shared" ca="1" si="41"/>
        <v>45453</v>
      </c>
      <c r="AF120" s="55">
        <f t="shared" ca="1" si="42"/>
        <v>-59.327589462505827</v>
      </c>
      <c r="AG120" s="55">
        <f t="shared" ca="1" si="43"/>
        <v>112.44444891341256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30.469306825170086</v>
      </c>
      <c r="AK120" s="55">
        <f t="shared" ca="1" si="40"/>
        <v>-10.411636253927815</v>
      </c>
    </row>
    <row r="121" spans="18:37">
      <c r="R121" s="83">
        <f ca="1"/>
        <v>45319</v>
      </c>
      <c r="S121" s="55">
        <f t="shared" ca="1" si="33"/>
        <v>45319</v>
      </c>
      <c r="T121" s="55">
        <f t="shared" ca="1" si="27"/>
        <v>51.707100925126959</v>
      </c>
      <c r="U121" s="55">
        <f t="shared" ca="1" si="28"/>
        <v>98.631957796168848</v>
      </c>
      <c r="V121" s="55">
        <f t="shared" ca="1" si="29"/>
        <v>0</v>
      </c>
      <c r="W121" s="55">
        <f t="shared" ca="1" si="34"/>
        <v>0</v>
      </c>
      <c r="X121" s="55">
        <f t="shared" ca="1" si="35"/>
        <v>37.136212132841173</v>
      </c>
      <c r="Y121" s="55">
        <f t="shared" ca="1" si="36"/>
        <v>-6.9228355219325737</v>
      </c>
      <c r="Z121">
        <f t="shared" ca="1" si="30"/>
        <v>30.096737538957875</v>
      </c>
      <c r="AA121">
        <f t="shared" ca="1" si="37"/>
        <v>0</v>
      </c>
      <c r="AB121">
        <f t="shared" ca="1" si="31"/>
        <v>0</v>
      </c>
      <c r="AC121">
        <f t="shared" ca="1" si="32"/>
        <v>0.9999999963148245</v>
      </c>
      <c r="AD121" s="83">
        <f ca="1"/>
        <v>45454</v>
      </c>
      <c r="AE121" s="55">
        <f t="shared" ca="1" si="41"/>
        <v>45454</v>
      </c>
      <c r="AF121" s="55">
        <f t="shared" ca="1" si="42"/>
        <v>-60.476364276909713</v>
      </c>
      <c r="AG121" s="55">
        <f t="shared" ca="1" si="43"/>
        <v>113.92077836962603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30.768298603523462</v>
      </c>
      <c r="AK121" s="55">
        <f t="shared" ca="1" si="40"/>
        <v>-10.383073390471599</v>
      </c>
    </row>
    <row r="122" spans="18:37">
      <c r="R122" s="83">
        <f ca="1"/>
        <v>45320</v>
      </c>
      <c r="S122" s="55">
        <f t="shared" ca="1" si="33"/>
        <v>45320</v>
      </c>
      <c r="T122" s="55">
        <f t="shared" ca="1" si="27"/>
        <v>49.467271444264732</v>
      </c>
      <c r="U122" s="55">
        <f t="shared" ca="1" si="28"/>
        <v>101.26282236902043</v>
      </c>
      <c r="V122" s="55">
        <f t="shared" ca="1" si="29"/>
        <v>0</v>
      </c>
      <c r="W122" s="55">
        <f t="shared" ca="1" si="34"/>
        <v>0</v>
      </c>
      <c r="X122" s="55">
        <f t="shared" ca="1" si="35"/>
        <v>37.523956037766517</v>
      </c>
      <c r="Y122" s="55">
        <f t="shared" ca="1" si="36"/>
        <v>-6.9195443348685659</v>
      </c>
      <c r="Z122">
        <f t="shared" ca="1" si="30"/>
        <v>27.230854626973144</v>
      </c>
      <c r="AA122">
        <f t="shared" ca="1" si="37"/>
        <v>0</v>
      </c>
      <c r="AB122">
        <f t="shared" ca="1" si="31"/>
        <v>0</v>
      </c>
      <c r="AC122">
        <f t="shared" ca="1" si="32"/>
        <v>0.99999999731949063</v>
      </c>
      <c r="AD122" s="83">
        <f ca="1"/>
        <v>45455</v>
      </c>
      <c r="AE122" s="55">
        <f t="shared" ca="1" si="41"/>
        <v>45455</v>
      </c>
      <c r="AF122" s="55">
        <f t="shared" ca="1" si="42"/>
        <v>-61.474766919394035</v>
      </c>
      <c r="AG122" s="55">
        <f t="shared" ca="1" si="43"/>
        <v>115.22555331213891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31.047340429634016</v>
      </c>
      <c r="AK122" s="55">
        <f t="shared" ca="1" si="40"/>
        <v>-10.355742916553593</v>
      </c>
    </row>
    <row r="123" spans="18:37">
      <c r="R123" s="83">
        <f ca="1"/>
        <v>45321</v>
      </c>
      <c r="S123" s="55">
        <f t="shared" ca="1" si="33"/>
        <v>45321</v>
      </c>
      <c r="T123" s="55">
        <f t="shared" ca="1" si="27"/>
        <v>47.15626607942329</v>
      </c>
      <c r="U123" s="55">
        <f t="shared" ca="1" si="28"/>
        <v>103.97627323860172</v>
      </c>
      <c r="V123" s="55">
        <f t="shared" ca="1" si="29"/>
        <v>0</v>
      </c>
      <c r="W123" s="55">
        <f t="shared" ca="1" si="34"/>
        <v>0</v>
      </c>
      <c r="X123" s="55">
        <f t="shared" ca="1" si="35"/>
        <v>37.922905537504086</v>
      </c>
      <c r="Y123" s="55">
        <f t="shared" ca="1" si="36"/>
        <v>-6.9160483298662809</v>
      </c>
      <c r="Z123">
        <f t="shared" ca="1" si="30"/>
        <v>25.867246283299199</v>
      </c>
      <c r="AA123">
        <f t="shared" ca="1" si="37"/>
        <v>0</v>
      </c>
      <c r="AB123">
        <f t="shared" ca="1" si="31"/>
        <v>0</v>
      </c>
      <c r="AC123">
        <f t="shared" ca="1" si="32"/>
        <v>0.99999999806896622</v>
      </c>
      <c r="AD123" s="83">
        <f ca="1"/>
        <v>45456</v>
      </c>
      <c r="AE123" s="55">
        <f t="shared" ca="1" si="41"/>
        <v>45456</v>
      </c>
      <c r="AF123" s="55">
        <f t="shared" ca="1" si="42"/>
        <v>-62.515406334258181</v>
      </c>
      <c r="AG123" s="55">
        <f t="shared" ca="1" si="43"/>
        <v>116.58707142886063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31.339833184952326</v>
      </c>
      <c r="AK123" s="55">
        <f t="shared" ca="1" si="40"/>
        <v>-10.327356970014334</v>
      </c>
    </row>
    <row r="124" spans="18:37">
      <c r="R124" s="83">
        <f ca="1"/>
        <v>45322</v>
      </c>
      <c r="S124" s="55">
        <f t="shared" ca="1" si="33"/>
        <v>45322</v>
      </c>
      <c r="T124" s="55">
        <f t="shared" ca="1" si="27"/>
        <v>44.831085315436098</v>
      </c>
      <c r="U124" s="55">
        <f t="shared" ca="1" si="28"/>
        <v>106.70646958328865</v>
      </c>
      <c r="V124" s="55">
        <f t="shared" ca="1" si="29"/>
        <v>0</v>
      </c>
      <c r="W124" s="55">
        <f t="shared" ca="1" si="34"/>
        <v>0</v>
      </c>
      <c r="X124" s="55">
        <f t="shared" ca="1" si="35"/>
        <v>38.324201922347839</v>
      </c>
      <c r="Y124" s="55">
        <f t="shared" ca="1" si="36"/>
        <v>-6.9123291340102959</v>
      </c>
      <c r="Z124">
        <f t="shared" ca="1" si="30"/>
        <v>25.528887664298214</v>
      </c>
      <c r="AA124">
        <f t="shared" ca="1" si="37"/>
        <v>0</v>
      </c>
      <c r="AB124">
        <f t="shared" ca="1" si="31"/>
        <v>0</v>
      </c>
      <c r="AC124">
        <f t="shared" ca="1" si="32"/>
        <v>0.99999999861182687</v>
      </c>
      <c r="AD124" s="83">
        <f ca="1"/>
        <v>45457</v>
      </c>
      <c r="AE124" s="55">
        <f t="shared" ca="1" si="41"/>
        <v>45457</v>
      </c>
      <c r="AF124" s="55">
        <f t="shared" ca="1" si="42"/>
        <v>-63.542128168632345</v>
      </c>
      <c r="AG124" s="55">
        <f t="shared" ca="1" si="43"/>
        <v>117.95527888422583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31.652373286830841</v>
      </c>
      <c r="AK124" s="55">
        <f t="shared" ca="1" si="40"/>
        <v>-10.298411450901801</v>
      </c>
    </row>
    <row r="125" spans="18:37">
      <c r="R125" s="83">
        <f ca="1"/>
        <v>45323</v>
      </c>
      <c r="S125" s="55">
        <f t="shared" ca="1" si="33"/>
        <v>45323</v>
      </c>
      <c r="T125" s="55">
        <f t="shared" ca="1" si="27"/>
        <v>42.571880185526979</v>
      </c>
      <c r="U125" s="55">
        <f t="shared" ca="1" si="28"/>
        <v>109.34752621129508</v>
      </c>
      <c r="V125" s="55">
        <f t="shared" ca="1" si="29"/>
        <v>0</v>
      </c>
      <c r="W125" s="55">
        <f t="shared" ca="1" si="34"/>
        <v>0</v>
      </c>
      <c r="X125" s="55">
        <f t="shared" ca="1" si="35"/>
        <v>38.702555690707925</v>
      </c>
      <c r="Y125" s="55">
        <f t="shared" ca="1" si="36"/>
        <v>-6.908831404273073</v>
      </c>
      <c r="Z125">
        <f t="shared" ca="1" si="30"/>
        <v>23.570770137041968</v>
      </c>
      <c r="AA125">
        <f t="shared" ca="1" si="37"/>
        <v>0</v>
      </c>
      <c r="AB125">
        <f t="shared" ca="1" si="31"/>
        <v>0</v>
      </c>
      <c r="AC125">
        <f t="shared" ca="1" si="32"/>
        <v>0.99999999899178871</v>
      </c>
      <c r="AD125" s="83">
        <f ca="1"/>
        <v>45458</v>
      </c>
      <c r="AE125" s="55">
        <f t="shared" ca="1" si="41"/>
        <v>45458</v>
      </c>
      <c r="AF125" s="55">
        <f t="shared" ca="1" si="42"/>
        <v>-64.443050119434545</v>
      </c>
      <c r="AG125" s="55">
        <f t="shared" ca="1" si="43"/>
        <v>119.18511396197108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31.953358400655567</v>
      </c>
      <c r="AK125" s="55">
        <f t="shared" ca="1" si="40"/>
        <v>-10.270483437783481</v>
      </c>
    </row>
    <row r="126" spans="18:37">
      <c r="R126" s="83">
        <f ca="1"/>
        <v>45324</v>
      </c>
      <c r="S126" s="55">
        <f t="shared" ca="1" si="33"/>
        <v>45324</v>
      </c>
      <c r="T126" s="55">
        <f t="shared" ca="1" si="27"/>
        <v>40.446764685504583</v>
      </c>
      <c r="U126" s="55">
        <f t="shared" ca="1" si="28"/>
        <v>111.82636137736741</v>
      </c>
      <c r="V126" s="55">
        <f t="shared" ca="1" si="29"/>
        <v>0</v>
      </c>
      <c r="W126" s="55">
        <f t="shared" ca="1" si="34"/>
        <v>0</v>
      </c>
      <c r="X126" s="55">
        <f t="shared" ca="1" si="35"/>
        <v>39.052806231683547</v>
      </c>
      <c r="Y126" s="55">
        <f t="shared" ca="1" si="36"/>
        <v>-6.905362279198763</v>
      </c>
      <c r="Z126">
        <f t="shared" ca="1" si="30"/>
        <v>23.92611142239981</v>
      </c>
      <c r="AA126">
        <f t="shared" ca="1" si="37"/>
        <v>0</v>
      </c>
      <c r="AB126">
        <f t="shared" ca="1" si="31"/>
        <v>0</v>
      </c>
      <c r="AC126">
        <f t="shared" ca="1" si="32"/>
        <v>0.99999999925385463</v>
      </c>
      <c r="AD126" s="83">
        <f ca="1"/>
        <v>45459</v>
      </c>
      <c r="AE126" s="55">
        <f t="shared" ca="1" si="41"/>
        <v>45459</v>
      </c>
      <c r="AF126" s="55">
        <f t="shared" ca="1" si="42"/>
        <v>-65.223033193314862</v>
      </c>
      <c r="AG126" s="55">
        <f t="shared" ca="1" si="43"/>
        <v>120.28519154714333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32.246482223375189</v>
      </c>
      <c r="AK126" s="55">
        <f t="shared" ca="1" si="40"/>
        <v>-10.243512749211179</v>
      </c>
    </row>
    <row r="127" spans="18:37">
      <c r="R127" s="83">
        <f ca="1"/>
        <v>45325</v>
      </c>
      <c r="S127" s="55">
        <f t="shared" ca="1" si="33"/>
        <v>45325</v>
      </c>
      <c r="T127" s="55">
        <f t="shared" ca="1" si="27"/>
        <v>38.35232781880395</v>
      </c>
      <c r="U127" s="55">
        <f t="shared" ca="1" si="28"/>
        <v>114.26704430321675</v>
      </c>
      <c r="V127" s="55">
        <f t="shared" ca="1" si="29"/>
        <v>0</v>
      </c>
      <c r="W127" s="55">
        <f t="shared" ca="1" si="34"/>
        <v>0</v>
      </c>
      <c r="X127" s="55">
        <f t="shared" ca="1" si="35"/>
        <v>39.395596694848088</v>
      </c>
      <c r="Y127" s="55">
        <f t="shared" ca="1" si="36"/>
        <v>-6.901906683214591</v>
      </c>
      <c r="Z127">
        <f t="shared" ca="1" si="30"/>
        <v>23.141343416284936</v>
      </c>
      <c r="AA127">
        <f t="shared" ca="1" si="37"/>
        <v>0</v>
      </c>
      <c r="AB127">
        <f t="shared" ca="1" si="31"/>
        <v>0</v>
      </c>
      <c r="AC127">
        <f t="shared" ca="1" si="32"/>
        <v>0.9999999994458757</v>
      </c>
      <c r="AD127" s="83">
        <f ca="1"/>
        <v>45460</v>
      </c>
      <c r="AE127" s="55">
        <f t="shared" ca="1" si="41"/>
        <v>45460</v>
      </c>
      <c r="AF127" s="55">
        <f t="shared" ca="1" si="42"/>
        <v>-66.050774639240842</v>
      </c>
      <c r="AG127" s="55">
        <f t="shared" ca="1" si="43"/>
        <v>121.45837809023519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32.563819724979602</v>
      </c>
      <c r="AK127" s="55">
        <f t="shared" ca="1" si="40"/>
        <v>-10.21540515364971</v>
      </c>
    </row>
    <row r="128" spans="18:37">
      <c r="R128" s="83">
        <f ca="1"/>
        <v>45326</v>
      </c>
      <c r="S128" s="55">
        <f t="shared" ca="1" si="33"/>
        <v>45326</v>
      </c>
      <c r="T128" s="55">
        <f t="shared" ca="1" si="27"/>
        <v>36.086321071639226</v>
      </c>
      <c r="U128" s="55">
        <f t="shared" ca="1" si="28"/>
        <v>116.92981662865857</v>
      </c>
      <c r="V128" s="55">
        <f t="shared" ca="1" si="29"/>
        <v>0</v>
      </c>
      <c r="W128" s="55">
        <f t="shared" ca="1" si="34"/>
        <v>0</v>
      </c>
      <c r="X128" s="55">
        <f t="shared" ca="1" si="35"/>
        <v>39.788063950524553</v>
      </c>
      <c r="Y128" s="55">
        <f t="shared" ca="1" si="36"/>
        <v>-6.8976083606139582</v>
      </c>
      <c r="Z128">
        <f t="shared" ca="1" si="30"/>
        <v>24.722633910353505</v>
      </c>
      <c r="AA128">
        <f t="shared" ca="1" si="37"/>
        <v>0</v>
      </c>
      <c r="AB128">
        <f t="shared" ca="1" si="31"/>
        <v>0</v>
      </c>
      <c r="AC128">
        <f t="shared" ca="1" si="32"/>
        <v>0.9999999996001574</v>
      </c>
      <c r="AD128" s="83">
        <f ca="1"/>
        <v>45461</v>
      </c>
      <c r="AE128" s="55">
        <f t="shared" ca="1" si="41"/>
        <v>45461</v>
      </c>
      <c r="AF128" s="55">
        <f t="shared" ca="1" si="42"/>
        <v>-66.84433482861661</v>
      </c>
      <c r="AG128" s="55">
        <f t="shared" ca="1" si="43"/>
        <v>122.60221824923435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32.885932784635905</v>
      </c>
      <c r="AK128" s="55">
        <f t="shared" ca="1" si="40"/>
        <v>-10.187238243682613</v>
      </c>
    </row>
    <row r="129" spans="18:37">
      <c r="R129" s="83">
        <f ca="1"/>
        <v>45327</v>
      </c>
      <c r="S129" s="55">
        <f t="shared" ca="1" si="33"/>
        <v>45327</v>
      </c>
      <c r="T129" s="55">
        <f t="shared" ca="1" si="27"/>
        <v>34.063471421561971</v>
      </c>
      <c r="U129" s="55">
        <f t="shared" ca="1" si="28"/>
        <v>119.3043813696395</v>
      </c>
      <c r="V129" s="55">
        <f t="shared" ca="1" si="29"/>
        <v>0</v>
      </c>
      <c r="W129" s="55">
        <f t="shared" ca="1" si="34"/>
        <v>0</v>
      </c>
      <c r="X129" s="55">
        <f t="shared" ca="1" si="35"/>
        <v>40.135441804818157</v>
      </c>
      <c r="Y129" s="55">
        <f t="shared" ca="1" si="36"/>
        <v>-6.8932711240038893</v>
      </c>
      <c r="Z129">
        <f t="shared" ca="1" si="30"/>
        <v>27.15886725076049</v>
      </c>
      <c r="AA129">
        <f t="shared" ca="1" si="37"/>
        <v>0</v>
      </c>
      <c r="AB129">
        <f t="shared" ca="1" si="31"/>
        <v>0</v>
      </c>
      <c r="AC129">
        <f t="shared" ca="1" si="32"/>
        <v>0.99999999970167042</v>
      </c>
      <c r="AD129" s="83">
        <f ca="1"/>
        <v>45462</v>
      </c>
      <c r="AE129" s="55">
        <f t="shared" ca="1" si="41"/>
        <v>45462</v>
      </c>
      <c r="AF129" s="55">
        <f t="shared" ca="1" si="42"/>
        <v>-67.62664063756614</v>
      </c>
      <c r="AG129" s="55">
        <f t="shared" ca="1" si="43"/>
        <v>123.74528991296395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33.218172419320879</v>
      </c>
      <c r="AK129" s="55">
        <f t="shared" ca="1" si="40"/>
        <v>-10.158712023587521</v>
      </c>
    </row>
    <row r="130" spans="18:37">
      <c r="R130" s="83">
        <f ca="1"/>
        <v>45328</v>
      </c>
      <c r="S130" s="55">
        <f t="shared" ca="1" si="33"/>
        <v>45328</v>
      </c>
      <c r="T130" s="55">
        <f t="shared" ca="1" si="27"/>
        <v>31.998954098150833</v>
      </c>
      <c r="U130" s="55">
        <f t="shared" ca="1" si="28"/>
        <v>121.72849239463989</v>
      </c>
      <c r="V130" s="55">
        <f t="shared" ca="1" si="29"/>
        <v>0</v>
      </c>
      <c r="W130" s="55">
        <f t="shared" ca="1" si="34"/>
        <v>0</v>
      </c>
      <c r="X130" s="55">
        <f t="shared" ca="1" si="35"/>
        <v>40.490662935828716</v>
      </c>
      <c r="Y130" s="55">
        <f t="shared" ca="1" si="36"/>
        <v>-6.8888985534251992</v>
      </c>
      <c r="Z130">
        <f t="shared" ca="1" si="30"/>
        <v>25.534483793107597</v>
      </c>
      <c r="AA130">
        <f t="shared" ca="1" si="37"/>
        <v>0</v>
      </c>
      <c r="AB130">
        <f t="shared" ca="1" si="31"/>
        <v>0</v>
      </c>
      <c r="AC130">
        <f t="shared" ca="1" si="32"/>
        <v>0.99999999977925125</v>
      </c>
      <c r="AD130" s="83">
        <f ca="1"/>
        <v>45463</v>
      </c>
      <c r="AE130" s="55">
        <f t="shared" ca="1" si="41"/>
        <v>45463</v>
      </c>
      <c r="AF130" s="55">
        <f t="shared" ca="1" si="42"/>
        <v>-68.404223545131487</v>
      </c>
      <c r="AG130" s="55">
        <f t="shared" ca="1" si="43"/>
        <v>124.89618370796464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33.562500737039763</v>
      </c>
      <c r="AK130" s="55">
        <f t="shared" ca="1" si="40"/>
        <v>-10.12972945387107</v>
      </c>
    </row>
    <row r="131" spans="18:37">
      <c r="R131" s="83">
        <f ca="1"/>
        <v>45329</v>
      </c>
      <c r="S131" s="55">
        <f t="shared" ca="1" si="33"/>
        <v>45329</v>
      </c>
      <c r="T131" s="55">
        <f t="shared" ca="1" si="27"/>
        <v>64.08703404504854</v>
      </c>
      <c r="U131" s="55">
        <f t="shared" ca="1" si="28"/>
        <v>124.13033608431329</v>
      </c>
      <c r="V131" s="55">
        <f t="shared" ca="1" si="29"/>
        <v>34.124503229927761</v>
      </c>
      <c r="W131" s="55">
        <f t="shared" ca="1" si="34"/>
        <v>0</v>
      </c>
      <c r="X131" s="55">
        <f t="shared" ca="1" si="35"/>
        <v>40.851223945374599</v>
      </c>
      <c r="Y131" s="55">
        <f t="shared" ca="1" si="36"/>
        <v>-6.8840391563277468</v>
      </c>
      <c r="Z131">
        <f t="shared" ca="1" si="30"/>
        <v>27.386264171604086</v>
      </c>
      <c r="AA131">
        <f t="shared" ca="1" si="37"/>
        <v>0</v>
      </c>
      <c r="AB131">
        <f t="shared" ca="1" si="31"/>
        <v>0</v>
      </c>
      <c r="AC131">
        <f t="shared" ca="1" si="32"/>
        <v>0.99999999983662202</v>
      </c>
      <c r="AD131" s="83">
        <f ca="1"/>
        <v>45464</v>
      </c>
      <c r="AE131" s="55">
        <f t="shared" ca="1" si="41"/>
        <v>45464</v>
      </c>
      <c r="AF131" s="55">
        <f t="shared" ca="1" si="42"/>
        <v>-69.104554532338184</v>
      </c>
      <c r="AG131" s="55">
        <f t="shared" ca="1" si="43"/>
        <v>125.96168856542829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33.899316515968579</v>
      </c>
      <c r="AK131" s="55">
        <f t="shared" ca="1" si="40"/>
        <v>-10.101371362542944</v>
      </c>
    </row>
    <row r="132" spans="18:37">
      <c r="R132" s="83">
        <f ca="1"/>
        <v>45330</v>
      </c>
      <c r="S132" s="55">
        <f t="shared" ca="1" si="33"/>
        <v>45330</v>
      </c>
      <c r="T132" s="55">
        <f t="shared" ca="1" si="27"/>
        <v>62.033095359438136</v>
      </c>
      <c r="U132" s="55">
        <f t="shared" ca="1" si="28"/>
        <v>126.5561069102355</v>
      </c>
      <c r="V132" s="55">
        <f t="shared" ca="1" si="29"/>
        <v>0</v>
      </c>
      <c r="W132" s="55">
        <f t="shared" ca="1" si="34"/>
        <v>0</v>
      </c>
      <c r="X132" s="55">
        <f t="shared" ca="1" si="35"/>
        <v>41.218091364678934</v>
      </c>
      <c r="Y132" s="55">
        <f t="shared" ca="1" si="36"/>
        <v>-6.8790744353202857</v>
      </c>
      <c r="Z132">
        <f t="shared" ca="1" si="30"/>
        <v>26.412343636490483</v>
      </c>
      <c r="AA132">
        <f t="shared" ca="1" si="37"/>
        <v>0</v>
      </c>
      <c r="AB132">
        <f t="shared" ca="1" si="31"/>
        <v>0</v>
      </c>
      <c r="AC132">
        <f t="shared" ca="1" si="32"/>
        <v>0.99999999987980259</v>
      </c>
      <c r="AD132" s="83">
        <f ca="1"/>
        <v>45465</v>
      </c>
      <c r="AE132" s="55">
        <f t="shared" ca="1" si="41"/>
        <v>45465</v>
      </c>
      <c r="AF132" s="55">
        <f t="shared" ca="1" si="42"/>
        <v>-69.799390836721088</v>
      </c>
      <c r="AG132" s="55">
        <f t="shared" ca="1" si="43"/>
        <v>127.02644229863927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34.240557525757652</v>
      </c>
      <c r="AK132" s="55">
        <f t="shared" ca="1" si="40"/>
        <v>-10.072694943503938</v>
      </c>
    </row>
    <row r="133" spans="18:37">
      <c r="R133" s="83">
        <f ca="1"/>
        <v>45331</v>
      </c>
      <c r="S133" s="55">
        <f t="shared" ca="1" si="33"/>
        <v>45331</v>
      </c>
      <c r="T133" s="55">
        <f t="shared" ca="1" si="27"/>
        <v>59.993989581504287</v>
      </c>
      <c r="U133" s="55">
        <f t="shared" ca="1" si="28"/>
        <v>128.9697603259994</v>
      </c>
      <c r="V133" s="55">
        <f t="shared" ca="1" si="29"/>
        <v>0</v>
      </c>
      <c r="W133" s="55">
        <f t="shared" ca="1" si="34"/>
        <v>0</v>
      </c>
      <c r="X133" s="55">
        <f t="shared" ca="1" si="35"/>
        <v>41.587497298068961</v>
      </c>
      <c r="Y133" s="55">
        <f t="shared" ca="1" si="36"/>
        <v>-6.8739327308802602</v>
      </c>
      <c r="Z133">
        <f t="shared" ca="1" si="30"/>
        <v>26.293985089635669</v>
      </c>
      <c r="AA133">
        <f t="shared" ca="1" si="37"/>
        <v>0</v>
      </c>
      <c r="AB133">
        <f t="shared" ca="1" si="31"/>
        <v>0</v>
      </c>
      <c r="AC133">
        <f t="shared" ca="1" si="32"/>
        <v>0.99999999991173372</v>
      </c>
      <c r="AD133" s="83">
        <f ca="1"/>
        <v>45466</v>
      </c>
      <c r="AE133" s="55">
        <f t="shared" ca="1" si="41"/>
        <v>45466</v>
      </c>
      <c r="AF133" s="55">
        <f t="shared" ca="1" si="42"/>
        <v>-70.516114046932486</v>
      </c>
      <c r="AG133" s="55">
        <f t="shared" ca="1" si="43"/>
        <v>128.12992016523501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34.597842597812502</v>
      </c>
      <c r="AK133" s="55">
        <f t="shared" ca="1" si="40"/>
        <v>-10.043225359174448</v>
      </c>
    </row>
    <row r="134" spans="18:37">
      <c r="R134" s="83">
        <f ca="1"/>
        <v>45332</v>
      </c>
      <c r="S134" s="55">
        <f t="shared" ca="1" si="33"/>
        <v>45332</v>
      </c>
      <c r="T134" s="55">
        <f t="shared" ca="1" si="27"/>
        <v>57.991399665816111</v>
      </c>
      <c r="U134" s="55">
        <f t="shared" ca="1" si="28"/>
        <v>131.34142454752623</v>
      </c>
      <c r="V134" s="55">
        <f t="shared" ca="1" si="29"/>
        <v>0</v>
      </c>
      <c r="W134" s="55">
        <f t="shared" ca="1" si="34"/>
        <v>0</v>
      </c>
      <c r="X134" s="55">
        <f t="shared" ca="1" si="35"/>
        <v>41.951488236532846</v>
      </c>
      <c r="Y134" s="55">
        <f t="shared" ca="1" si="36"/>
        <v>-6.8688493635054915</v>
      </c>
      <c r="Z134">
        <f t="shared" ca="1" si="30"/>
        <v>25.390076776611259</v>
      </c>
      <c r="AA134">
        <f t="shared" ca="1" si="37"/>
        <v>0</v>
      </c>
      <c r="AB134">
        <f t="shared" ca="1" si="31"/>
        <v>0</v>
      </c>
      <c r="AC134">
        <f t="shared" ca="1" si="32"/>
        <v>0.9999999999350746</v>
      </c>
      <c r="AD134" s="83">
        <f ca="1"/>
        <v>45467</v>
      </c>
      <c r="AE134" s="55">
        <f t="shared" ca="1" si="41"/>
        <v>45467</v>
      </c>
      <c r="AF134" s="55">
        <f t="shared" ca="1" si="42"/>
        <v>-71.210572144579899</v>
      </c>
      <c r="AG134" s="55">
        <f t="shared" ca="1" si="43"/>
        <v>129.20851346790653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34.952470800894133</v>
      </c>
      <c r="AK134" s="55">
        <f t="shared" ca="1" si="40"/>
        <v>-10.013718357231967</v>
      </c>
    </row>
    <row r="135" spans="18:37">
      <c r="R135" s="83">
        <f ca="1"/>
        <v>45333</v>
      </c>
      <c r="S135" s="55">
        <f t="shared" ca="1" si="33"/>
        <v>45333</v>
      </c>
      <c r="T135" s="55">
        <f t="shared" ca="1" si="27"/>
        <v>55.952273924038792</v>
      </c>
      <c r="U135" s="55">
        <f t="shared" ca="1" si="28"/>
        <v>133.76715156977994</v>
      </c>
      <c r="V135" s="55">
        <f t="shared" ca="1" si="29"/>
        <v>0</v>
      </c>
      <c r="W135" s="55">
        <f t="shared" ca="1" si="34"/>
        <v>0</v>
      </c>
      <c r="X135" s="55">
        <f t="shared" ca="1" si="35"/>
        <v>42.332675371032117</v>
      </c>
      <c r="Y135" s="55">
        <f t="shared" ca="1" si="36"/>
        <v>-6.8634352175283677</v>
      </c>
      <c r="Z135">
        <f t="shared" ca="1" si="30"/>
        <v>25.19093837989665</v>
      </c>
      <c r="AA135">
        <f t="shared" ca="1" si="37"/>
        <v>0</v>
      </c>
      <c r="AB135">
        <f t="shared" ca="1" si="31"/>
        <v>0</v>
      </c>
      <c r="AC135">
        <f t="shared" ca="1" si="32"/>
        <v>0.99999999995277866</v>
      </c>
      <c r="AD135" s="83">
        <f ca="1"/>
        <v>45468</v>
      </c>
      <c r="AE135" s="55">
        <f t="shared" ca="1" si="41"/>
        <v>45468</v>
      </c>
      <c r="AF135" s="55">
        <f t="shared" ca="1" si="42"/>
        <v>-71.921259433363616</v>
      </c>
      <c r="AG135" s="55">
        <f t="shared" ca="1" si="43"/>
        <v>130.31391906960533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35.317007156675146</v>
      </c>
      <c r="AK135" s="55">
        <f t="shared" ca="1" si="40"/>
        <v>-9.9835364000978917</v>
      </c>
    </row>
    <row r="136" spans="18:37">
      <c r="R136" s="83">
        <f ca="1"/>
        <v>45334</v>
      </c>
      <c r="S136" s="55">
        <f t="shared" ca="1" si="33"/>
        <v>45334</v>
      </c>
      <c r="T136" s="55">
        <f t="shared" ca="1" si="27"/>
        <v>53.905306943009833</v>
      </c>
      <c r="U136" s="55">
        <f t="shared" ca="1" si="28"/>
        <v>136.22410702175316</v>
      </c>
      <c r="V136" s="55">
        <f t="shared" ca="1" si="29"/>
        <v>0</v>
      </c>
      <c r="W136" s="55">
        <f t="shared" ca="1" si="34"/>
        <v>0</v>
      </c>
      <c r="X136" s="55">
        <f t="shared" ca="1" si="35"/>
        <v>42.736369674473899</v>
      </c>
      <c r="Y136" s="55">
        <f t="shared" ca="1" si="36"/>
        <v>-6.8571410500258967</v>
      </c>
      <c r="Z136">
        <f t="shared" ca="1" si="30"/>
        <v>27.501909901314917</v>
      </c>
      <c r="AA136">
        <f t="shared" ca="1" si="37"/>
        <v>0</v>
      </c>
      <c r="AB136">
        <f t="shared" ca="1" si="31"/>
        <v>0</v>
      </c>
      <c r="AC136">
        <f t="shared" ca="1" si="32"/>
        <v>0.99999999996596345</v>
      </c>
      <c r="AD136" s="83">
        <f ca="1"/>
        <v>45469</v>
      </c>
      <c r="AE136" s="55">
        <f t="shared" ca="1" si="41"/>
        <v>45469</v>
      </c>
      <c r="AF136" s="55">
        <f t="shared" ca="1" si="42"/>
        <v>-72.555998073081426</v>
      </c>
      <c r="AG136" s="55">
        <f t="shared" ca="1" si="43"/>
        <v>131.32237326170329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35.661433709533782</v>
      </c>
      <c r="AK136" s="55">
        <f t="shared" ca="1" si="40"/>
        <v>-9.9542474005763832</v>
      </c>
    </row>
    <row r="137" spans="18:37">
      <c r="R137" s="83">
        <f ca="1"/>
        <v>45335</v>
      </c>
      <c r="S137" s="55">
        <f t="shared" ca="1" si="33"/>
        <v>45335</v>
      </c>
      <c r="T137" s="55">
        <f t="shared" ca="1" si="27"/>
        <v>52.066587710481087</v>
      </c>
      <c r="U137" s="55">
        <f t="shared" ca="1" si="28"/>
        <v>138.43002613974807</v>
      </c>
      <c r="V137" s="55">
        <f t="shared" ca="1" si="29"/>
        <v>0</v>
      </c>
      <c r="W137" s="55">
        <f t="shared" ca="1" si="34"/>
        <v>0</v>
      </c>
      <c r="X137" s="55">
        <f t="shared" ca="1" si="35"/>
        <v>43.097515952104906</v>
      </c>
      <c r="Y137" s="55">
        <f t="shared" ca="1" si="36"/>
        <v>-6.8510874421907388</v>
      </c>
      <c r="Z137">
        <f t="shared" ca="1" si="30"/>
        <v>28.712503224857699</v>
      </c>
      <c r="AA137">
        <f t="shared" ca="1" si="37"/>
        <v>0</v>
      </c>
      <c r="AB137">
        <f t="shared" ca="1" si="31"/>
        <v>0</v>
      </c>
      <c r="AC137">
        <f t="shared" ca="1" si="32"/>
        <v>0.99999999997475131</v>
      </c>
      <c r="AD137" s="83">
        <f ca="1"/>
        <v>45470</v>
      </c>
      <c r="AE137" s="55">
        <f t="shared" ca="1" si="41"/>
        <v>45470</v>
      </c>
      <c r="AF137" s="55">
        <f t="shared" ca="1" si="42"/>
        <v>-73.146533137394727</v>
      </c>
      <c r="AG137" s="55">
        <f t="shared" ca="1" si="43"/>
        <v>132.27616691865745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35.995796757934144</v>
      </c>
      <c r="AK137" s="55">
        <f t="shared" ca="1" si="40"/>
        <v>-9.9253518563358849</v>
      </c>
    </row>
    <row r="138" spans="18:37">
      <c r="R138" s="83">
        <f ca="1"/>
        <v>45336</v>
      </c>
      <c r="S138" s="55">
        <f t="shared" ca="1" si="33"/>
        <v>45336</v>
      </c>
      <c r="T138" s="55">
        <f t="shared" ca="1" si="27"/>
        <v>50.325727523066298</v>
      </c>
      <c r="U138" s="55">
        <f t="shared" ca="1" si="28"/>
        <v>140.53301500586326</v>
      </c>
      <c r="V138" s="55">
        <f t="shared" ca="1" si="29"/>
        <v>0</v>
      </c>
      <c r="W138" s="55">
        <f t="shared" ca="1" si="34"/>
        <v>0</v>
      </c>
      <c r="X138" s="55">
        <f t="shared" ca="1" si="35"/>
        <v>43.453061404089787</v>
      </c>
      <c r="Y138" s="55">
        <f t="shared" ca="1" si="36"/>
        <v>-6.8445042154752107</v>
      </c>
      <c r="Z138">
        <f t="shared" ca="1" si="30"/>
        <v>31.540599307563799</v>
      </c>
      <c r="AA138">
        <f t="shared" ca="1" si="37"/>
        <v>0</v>
      </c>
      <c r="AB138">
        <f t="shared" ca="1" si="31"/>
        <v>0</v>
      </c>
      <c r="AC138">
        <f t="shared" ca="1" si="32"/>
        <v>0.99999999998109379</v>
      </c>
      <c r="AD138" s="83">
        <f ca="1"/>
        <v>45471</v>
      </c>
      <c r="AE138" s="55">
        <f t="shared" ca="1" si="41"/>
        <v>45471</v>
      </c>
      <c r="AF138" s="55">
        <f t="shared" ca="1" si="42"/>
        <v>-73.751400733071009</v>
      </c>
      <c r="AG138" s="55">
        <f t="shared" ca="1" si="43"/>
        <v>133.25357813313008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36.338866149606055</v>
      </c>
      <c r="AK138" s="55">
        <f t="shared" ca="1" si="40"/>
        <v>-9.895877629211439</v>
      </c>
    </row>
    <row r="139" spans="18:37">
      <c r="R139" s="83">
        <f ca="1"/>
        <v>45337</v>
      </c>
      <c r="S139" s="55">
        <f t="shared" ca="1" si="33"/>
        <v>45337</v>
      </c>
      <c r="T139" s="55">
        <f t="shared" ca="1" si="27"/>
        <v>48.667754041860334</v>
      </c>
      <c r="U139" s="55">
        <f t="shared" ca="1" si="28"/>
        <v>142.54765713283558</v>
      </c>
      <c r="V139" s="55">
        <f t="shared" ca="1" si="29"/>
        <v>0</v>
      </c>
      <c r="W139" s="55">
        <f t="shared" ca="1" si="34"/>
        <v>0</v>
      </c>
      <c r="X139" s="55">
        <f t="shared" ca="1" si="35"/>
        <v>43.80278511295127</v>
      </c>
      <c r="Y139" s="55">
        <f t="shared" ca="1" si="36"/>
        <v>-6.8375592785703407</v>
      </c>
      <c r="Z139">
        <f t="shared" ca="1" si="30"/>
        <v>33.399611272198818</v>
      </c>
      <c r="AA139">
        <f t="shared" ca="1" si="37"/>
        <v>0</v>
      </c>
      <c r="AB139">
        <f t="shared" ca="1" si="31"/>
        <v>0</v>
      </c>
      <c r="AC139">
        <f t="shared" ca="1" si="32"/>
        <v>0.99999999998573541</v>
      </c>
      <c r="AD139" s="83">
        <f ca="1"/>
        <v>45472</v>
      </c>
      <c r="AE139" s="55">
        <f t="shared" ca="1" si="41"/>
        <v>45472</v>
      </c>
      <c r="AF139" s="55">
        <f t="shared" ca="1" si="42"/>
        <v>-74.381995771346851</v>
      </c>
      <c r="AG139" s="55">
        <f t="shared" ca="1" si="43"/>
        <v>134.2709692739808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36.695364875793445</v>
      </c>
      <c r="AK139" s="55">
        <f t="shared" ca="1" si="40"/>
        <v>-9.8655802528239516</v>
      </c>
    </row>
    <row r="140" spans="18:37">
      <c r="R140" s="83">
        <f ca="1"/>
        <v>45338</v>
      </c>
      <c r="S140" s="55">
        <f t="shared" ca="1" si="33"/>
        <v>45338</v>
      </c>
      <c r="T140" s="55">
        <f t="shared" ca="1" si="27"/>
        <v>46.987763555615366</v>
      </c>
      <c r="U140" s="55">
        <f t="shared" ca="1" si="28"/>
        <v>144.59989735900632</v>
      </c>
      <c r="V140" s="55">
        <f t="shared" ca="1" si="29"/>
        <v>0</v>
      </c>
      <c r="W140" s="55">
        <f t="shared" ca="1" si="34"/>
        <v>0</v>
      </c>
      <c r="X140" s="55">
        <f t="shared" ca="1" si="35"/>
        <v>44.167709931865687</v>
      </c>
      <c r="Y140" s="55">
        <f t="shared" ca="1" si="36"/>
        <v>-6.8302343575589894</v>
      </c>
      <c r="Z140">
        <f t="shared" ca="1" si="30"/>
        <v>33.066186092663564</v>
      </c>
      <c r="AA140">
        <f t="shared" ca="1" si="37"/>
        <v>0</v>
      </c>
      <c r="AB140">
        <f t="shared" ca="1" si="31"/>
        <v>0</v>
      </c>
      <c r="AC140">
        <f t="shared" ca="1" si="32"/>
        <v>0.99999999998934741</v>
      </c>
      <c r="AD140" s="83">
        <f ca="1"/>
        <v>45473</v>
      </c>
      <c r="AE140" s="55">
        <f t="shared" ca="1" si="41"/>
        <v>45473</v>
      </c>
      <c r="AF140" s="55">
        <f t="shared" ca="1" si="42"/>
        <v>-74.920206175124932</v>
      </c>
      <c r="AG140" s="55">
        <f t="shared" ca="1" si="43"/>
        <v>135.16785786311343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37.025057028061212</v>
      </c>
      <c r="AK140" s="55">
        <f t="shared" ca="1" si="40"/>
        <v>-9.8365942197371705</v>
      </c>
    </row>
    <row r="141" spans="18:37">
      <c r="R141" s="83">
        <f ca="1"/>
        <v>45339</v>
      </c>
      <c r="S141" s="55">
        <f t="shared" ca="1" si="33"/>
        <v>45339</v>
      </c>
      <c r="T141" s="55">
        <f t="shared" ca="1" si="27"/>
        <v>45.2397124786986</v>
      </c>
      <c r="U141" s="55">
        <f t="shared" ca="1" si="28"/>
        <v>146.75367351091421</v>
      </c>
      <c r="V141" s="55">
        <f t="shared" ca="1" si="29"/>
        <v>0</v>
      </c>
      <c r="W141" s="55">
        <f t="shared" ca="1" si="34"/>
        <v>0</v>
      </c>
      <c r="X141" s="55">
        <f t="shared" ca="1" si="35"/>
        <v>44.56538733616253</v>
      </c>
      <c r="Y141" s="55">
        <f t="shared" ca="1" si="36"/>
        <v>-6.8221866868647059</v>
      </c>
      <c r="Z141">
        <f t="shared" ca="1" si="30"/>
        <v>32.824926960500029</v>
      </c>
      <c r="AA141">
        <f t="shared" ca="1" si="37"/>
        <v>0</v>
      </c>
      <c r="AB141">
        <f t="shared" ca="1" si="31"/>
        <v>0</v>
      </c>
      <c r="AC141">
        <f t="shared" ca="1" si="32"/>
        <v>0.99999999999220557</v>
      </c>
      <c r="AD141" s="83">
        <f ca="1"/>
        <v>45474</v>
      </c>
      <c r="AE141" s="55">
        <f t="shared" ca="1" si="41"/>
        <v>45474</v>
      </c>
      <c r="AF141" s="55">
        <f t="shared" ca="1" si="42"/>
        <v>-75.409264744135626</v>
      </c>
      <c r="AG141" s="55">
        <f t="shared" ca="1" si="43"/>
        <v>136.00261268294454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37.342338021345491</v>
      </c>
      <c r="AK141" s="55">
        <f t="shared" ca="1" si="40"/>
        <v>-9.8081789622010245</v>
      </c>
    </row>
    <row r="142" spans="18:37">
      <c r="R142" s="83">
        <f ca="1"/>
        <v>45340</v>
      </c>
      <c r="S142" s="55">
        <f t="shared" ca="1" si="33"/>
        <v>45340</v>
      </c>
      <c r="T142" s="55">
        <f t="shared" ca="1" si="27"/>
        <v>43.505204389623408</v>
      </c>
      <c r="U142" s="55">
        <f t="shared" ca="1" si="28"/>
        <v>148.91344444751761</v>
      </c>
      <c r="V142" s="55">
        <f t="shared" ca="1" si="29"/>
        <v>0</v>
      </c>
      <c r="W142" s="55">
        <f t="shared" ca="1" si="34"/>
        <v>0</v>
      </c>
      <c r="X142" s="55">
        <f t="shared" ca="1" si="35"/>
        <v>44.98178120293813</v>
      </c>
      <c r="Y142" s="55">
        <f t="shared" ca="1" si="36"/>
        <v>-6.8133177061121053</v>
      </c>
      <c r="Z142">
        <f t="shared" ca="1" si="30"/>
        <v>34.320212042210954</v>
      </c>
      <c r="AA142">
        <f t="shared" ca="1" si="37"/>
        <v>0</v>
      </c>
      <c r="AB142">
        <f t="shared" ca="1" si="31"/>
        <v>0</v>
      </c>
      <c r="AC142">
        <f t="shared" ca="1" si="32"/>
        <v>0.99999999999433986</v>
      </c>
      <c r="AD142" s="83">
        <f ca="1"/>
        <v>45475</v>
      </c>
      <c r="AE142" s="55">
        <f t="shared" ca="1" si="41"/>
        <v>45475</v>
      </c>
      <c r="AF142" s="55">
        <f t="shared" ca="1" si="42"/>
        <v>-75.94727289250531</v>
      </c>
      <c r="AG142" s="55">
        <f t="shared" ca="1" si="43"/>
        <v>136.90794331644585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37.680072493876594</v>
      </c>
      <c r="AK142" s="55">
        <f t="shared" ca="1" si="40"/>
        <v>-9.7785909496005079</v>
      </c>
    </row>
    <row r="143" spans="18:37">
      <c r="R143" s="83">
        <f ca="1"/>
        <v>45341</v>
      </c>
      <c r="S143" s="55">
        <f t="shared" ca="1" si="33"/>
        <v>45341</v>
      </c>
      <c r="T143" s="55">
        <f t="shared" ca="1" si="27"/>
        <v>41.861493032888667</v>
      </c>
      <c r="U143" s="55">
        <f t="shared" ca="1" si="28"/>
        <v>150.95612648383133</v>
      </c>
      <c r="V143" s="55">
        <f t="shared" ca="1" si="29"/>
        <v>0</v>
      </c>
      <c r="W143" s="55">
        <f t="shared" ca="1" si="34"/>
        <v>0</v>
      </c>
      <c r="X143" s="55">
        <f t="shared" ca="1" si="35"/>
        <v>45.372553806162664</v>
      </c>
      <c r="Y143" s="55">
        <f t="shared" ca="1" si="36"/>
        <v>-6.8051196297576615</v>
      </c>
      <c r="Z143">
        <f t="shared" ca="1" si="30"/>
        <v>32.31302743928552</v>
      </c>
      <c r="AA143">
        <f t="shared" ca="1" si="37"/>
        <v>0</v>
      </c>
      <c r="AB143">
        <f t="shared" ca="1" si="31"/>
        <v>0</v>
      </c>
      <c r="AC143">
        <f t="shared" ca="1" si="32"/>
        <v>0.99999999999584621</v>
      </c>
      <c r="AD143" s="83">
        <f ca="1"/>
        <v>45476</v>
      </c>
      <c r="AE143" s="55">
        <f t="shared" ca="1" si="41"/>
        <v>45476</v>
      </c>
      <c r="AF143" s="55">
        <f t="shared" ca="1" si="42"/>
        <v>-76.50007811151724</v>
      </c>
      <c r="AG143" s="55">
        <f t="shared" ca="1" si="43"/>
        <v>137.83882006181369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38.027937212737051</v>
      </c>
      <c r="AK143" s="55">
        <f t="shared" ca="1" si="40"/>
        <v>-9.7483841421050403</v>
      </c>
    </row>
    <row r="144" spans="18:37">
      <c r="R144" s="83">
        <f ca="1"/>
        <v>45342</v>
      </c>
      <c r="S144" s="55">
        <f t="shared" ca="1" si="33"/>
        <v>45342</v>
      </c>
      <c r="T144" s="55">
        <f t="shared" ca="1" si="27"/>
        <v>40.302114698795506</v>
      </c>
      <c r="U144" s="55">
        <f t="shared" ca="1" si="28"/>
        <v>152.91393220342098</v>
      </c>
      <c r="V144" s="55">
        <f t="shared" ca="1" si="29"/>
        <v>0</v>
      </c>
      <c r="W144" s="55">
        <f t="shared" ca="1" si="34"/>
        <v>0</v>
      </c>
      <c r="X144" s="55">
        <f t="shared" ca="1" si="35"/>
        <v>45.762183408844685</v>
      </c>
      <c r="Y144" s="55">
        <f t="shared" ca="1" si="36"/>
        <v>-6.7963218469431865</v>
      </c>
      <c r="Z144">
        <f t="shared" ca="1" si="30"/>
        <v>34.794142996001995</v>
      </c>
      <c r="AA144">
        <f t="shared" ca="1" si="37"/>
        <v>0</v>
      </c>
      <c r="AB144">
        <f t="shared" ca="1" si="31"/>
        <v>0</v>
      </c>
      <c r="AC144">
        <f t="shared" ca="1" si="32"/>
        <v>0.9999999999969329</v>
      </c>
      <c r="AD144" s="83">
        <f ca="1"/>
        <v>45477</v>
      </c>
      <c r="AE144" s="55">
        <f t="shared" ca="1" si="41"/>
        <v>45477</v>
      </c>
      <c r="AF144" s="55">
        <f t="shared" ca="1" si="42"/>
        <v>-77.066287536102479</v>
      </c>
      <c r="AG144" s="55">
        <f t="shared" ca="1" si="43"/>
        <v>138.79430986180762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38.386373615820666</v>
      </c>
      <c r="AK144" s="55">
        <f t="shared" ca="1" si="40"/>
        <v>-9.717540169779971</v>
      </c>
    </row>
    <row r="145" spans="18:37">
      <c r="R145" s="83">
        <f ca="1"/>
        <v>45343</v>
      </c>
      <c r="S145" s="55">
        <f t="shared" ca="1" si="33"/>
        <v>45343</v>
      </c>
      <c r="T145" s="55">
        <f t="shared" ca="1" si="27"/>
        <v>38.777595554191059</v>
      </c>
      <c r="U145" s="55">
        <f t="shared" ca="1" si="28"/>
        <v>154.8313298767626</v>
      </c>
      <c r="V145" s="55">
        <f t="shared" ca="1" si="29"/>
        <v>0</v>
      </c>
      <c r="W145" s="55">
        <f t="shared" ca="1" si="34"/>
        <v>0</v>
      </c>
      <c r="X145" s="55">
        <f t="shared" ca="1" si="35"/>
        <v>46.146534372691974</v>
      </c>
      <c r="Y145" s="55">
        <f t="shared" ca="1" si="36"/>
        <v>-6.7877942820533157</v>
      </c>
      <c r="Z145">
        <f t="shared" ca="1" si="30"/>
        <v>33.014075101624044</v>
      </c>
      <c r="AA145">
        <f t="shared" ca="1" si="37"/>
        <v>0</v>
      </c>
      <c r="AB145">
        <f t="shared" ca="1" si="31"/>
        <v>0</v>
      </c>
      <c r="AC145">
        <f t="shared" ca="1" si="32"/>
        <v>0.99999999999773692</v>
      </c>
      <c r="AD145" s="83">
        <f ca="1"/>
        <v>45478</v>
      </c>
      <c r="AE145" s="55">
        <f t="shared" ca="1" si="41"/>
        <v>45478</v>
      </c>
      <c r="AF145" s="55">
        <f t="shared" ca="1" si="42"/>
        <v>-77.595725355839107</v>
      </c>
      <c r="AG145" s="55">
        <f t="shared" ca="1" si="43"/>
        <v>139.70421578412297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38.736383738339285</v>
      </c>
      <c r="AK145" s="55">
        <f t="shared" ca="1" si="40"/>
        <v>-9.6870821897198649</v>
      </c>
    </row>
    <row r="146" spans="18:37">
      <c r="R146" s="83">
        <f ca="1"/>
        <v>45344</v>
      </c>
      <c r="S146" s="55">
        <f t="shared" ca="1" si="33"/>
        <v>45344</v>
      </c>
      <c r="T146" s="55">
        <f t="shared" ref="T146:T209" ca="1" si="45">VLOOKUP(S146,ModelOutputs,2,FALSE)</f>
        <v>37.323521794547538</v>
      </c>
      <c r="U146" s="55">
        <f t="shared" ref="U146:U209" ca="1" si="46">VLOOKUP(S146,ModelOutputs,7,FALSE)</f>
        <v>156.66956213471141</v>
      </c>
      <c r="V146" s="55">
        <f t="shared" ref="V146:V209" ca="1" si="47">VLOOKUP(S146,ModelOutputs,6,FALSE)</f>
        <v>0</v>
      </c>
      <c r="W146" s="55">
        <f t="shared" ca="1" si="34"/>
        <v>0</v>
      </c>
      <c r="X146" s="55">
        <f t="shared" ca="1" si="35"/>
        <v>46.522177001323527</v>
      </c>
      <c r="Y146" s="55">
        <f t="shared" ca="1" si="36"/>
        <v>-6.7792784123795728</v>
      </c>
      <c r="Z146">
        <f t="shared" ref="Z146:Z209" ca="1" si="48">VLOOKUP(S146,ModelOutputs,10,FALSE)*AWC</f>
        <v>33.104824454202202</v>
      </c>
      <c r="AA146">
        <f t="shared" ca="1" si="37"/>
        <v>0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0.9999999999983209</v>
      </c>
      <c r="AD146" s="83">
        <f ca="1"/>
        <v>45479</v>
      </c>
      <c r="AE146" s="55">
        <f t="shared" ca="1" si="41"/>
        <v>45479</v>
      </c>
      <c r="AF146" s="55">
        <f t="shared" ca="1" si="42"/>
        <v>-78.035301565719578</v>
      </c>
      <c r="AG146" s="55">
        <f t="shared" ca="1" si="43"/>
        <v>140.49390964725652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39.057540936574235</v>
      </c>
      <c r="AK146" s="55">
        <f t="shared" ca="1" si="40"/>
        <v>-9.6581217347017283</v>
      </c>
    </row>
    <row r="147" spans="18:37">
      <c r="R147" s="83">
        <f ca="1"/>
        <v>45345</v>
      </c>
      <c r="S147" s="55">
        <f t="shared" ref="S147:S210" ca="1" si="51">IF(R147&gt;1,R147,"")</f>
        <v>45345</v>
      </c>
      <c r="T147" s="55">
        <f t="shared" ca="1" si="45"/>
        <v>35.940477937434245</v>
      </c>
      <c r="U147" s="55">
        <f t="shared" ca="1" si="46"/>
        <v>158.43011133873944</v>
      </c>
      <c r="V147" s="55">
        <f t="shared" ca="1" si="47"/>
        <v>0</v>
      </c>
      <c r="W147" s="55">
        <f t="shared" ref="W147:W210" ca="1" si="52">-VLOOKUP(S147,ModelOutputs,9,FALSE)+W146</f>
        <v>0</v>
      </c>
      <c r="X147" s="55">
        <f t="shared" ref="X147:X210" ca="1" si="53">VLOOKUP(S147,ModelOutputs,5,FALSE)+X146</f>
        <v>46.891046350530935</v>
      </c>
      <c r="Y147" s="55">
        <f t="shared" ref="Y147:Y210" ca="1" si="54">VLOOKUP(S147,ModelOutputs,4,FALSE)+Y146</f>
        <v>-6.770642414672249</v>
      </c>
      <c r="Z147">
        <f t="shared" ca="1" si="48"/>
        <v>33.761662270216874</v>
      </c>
      <c r="AA147">
        <f t="shared" ref="AA147:AA210" ca="1" si="55">VLOOKUP(S147,ModelOutputs,11,FALSE)+AA146</f>
        <v>0</v>
      </c>
      <c r="AB147">
        <f t="shared" ca="1" si="49"/>
        <v>0</v>
      </c>
      <c r="AC147">
        <f t="shared" ca="1" si="50"/>
        <v>0.99999999999874745</v>
      </c>
      <c r="AD147" s="83">
        <f ca="1"/>
        <v>45480</v>
      </c>
      <c r="AE147" s="55">
        <f t="shared" ca="1" si="41"/>
        <v>45480</v>
      </c>
      <c r="AF147" s="55">
        <f t="shared" ca="1" si="42"/>
        <v>-78.428661340990701</v>
      </c>
      <c r="AG147" s="55">
        <f t="shared" ca="1" si="43"/>
        <v>141.22388645422882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39.365849591980194</v>
      </c>
      <c r="AK147" s="55">
        <f t="shared" ref="AK147:AK210" ca="1" si="58">VLOOKUP(AE147,ModelOutputs,4,FALSE)+AK146</f>
        <v>-9.6298133584065031</v>
      </c>
    </row>
    <row r="148" spans="18:37">
      <c r="R148" s="83">
        <f ca="1"/>
        <v>45346</v>
      </c>
      <c r="S148" s="55">
        <f t="shared" ca="1" si="51"/>
        <v>45346</v>
      </c>
      <c r="T148" s="55">
        <f t="shared" ca="1" si="45"/>
        <v>34.550438669767047</v>
      </c>
      <c r="U148" s="55">
        <f t="shared" ca="1" si="46"/>
        <v>160.22044453203327</v>
      </c>
      <c r="V148" s="55">
        <f t="shared" ca="1" si="47"/>
        <v>0</v>
      </c>
      <c r="W148" s="55">
        <f t="shared" ca="1" si="52"/>
        <v>0</v>
      </c>
      <c r="X148" s="55">
        <f t="shared" ca="1" si="53"/>
        <v>47.282044756844272</v>
      </c>
      <c r="Y148" s="55">
        <f t="shared" ca="1" si="54"/>
        <v>-6.7613468953589484</v>
      </c>
      <c r="Z148">
        <f t="shared" ca="1" si="48"/>
        <v>34.117522186983237</v>
      </c>
      <c r="AA148">
        <f t="shared" ca="1" si="55"/>
        <v>0</v>
      </c>
      <c r="AB148">
        <f t="shared" ca="1" si="49"/>
        <v>0</v>
      </c>
      <c r="AC148">
        <f t="shared" ca="1" si="50"/>
        <v>0.99999999999907718</v>
      </c>
      <c r="AD148" s="83">
        <f ca="1"/>
        <v>45481</v>
      </c>
      <c r="AE148" s="55">
        <f t="shared" ca="1" si="41"/>
        <v>45481</v>
      </c>
      <c r="AF148" s="55">
        <f t="shared" ca="1" si="42"/>
        <v>-78.835225714369358</v>
      </c>
      <c r="AG148" s="55">
        <f t="shared" ca="1" si="43"/>
        <v>141.97614890819494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39.682739097214821</v>
      </c>
      <c r="AK148" s="55">
        <f t="shared" ca="1" si="58"/>
        <v>-9.6010047830536625</v>
      </c>
    </row>
    <row r="149" spans="18:37">
      <c r="R149" s="83">
        <f ca="1"/>
        <v>45347</v>
      </c>
      <c r="S149" s="55">
        <f t="shared" ca="1" si="51"/>
        <v>45347</v>
      </c>
      <c r="T149" s="55">
        <f t="shared" ca="1" si="45"/>
        <v>33.242655293168085</v>
      </c>
      <c r="U149" s="55">
        <f t="shared" ca="1" si="46"/>
        <v>161.90262813468598</v>
      </c>
      <c r="V149" s="55">
        <f t="shared" ca="1" si="47"/>
        <v>0</v>
      </c>
      <c r="W149" s="55">
        <f t="shared" ca="1" si="52"/>
        <v>0</v>
      </c>
      <c r="X149" s="55">
        <f t="shared" ca="1" si="53"/>
        <v>47.647954624735092</v>
      </c>
      <c r="Y149" s="55">
        <f t="shared" ca="1" si="54"/>
        <v>-6.7528565371960161</v>
      </c>
      <c r="Z149">
        <f t="shared" ca="1" si="48"/>
        <v>32.026031406191471</v>
      </c>
      <c r="AA149">
        <f t="shared" ca="1" si="55"/>
        <v>0</v>
      </c>
      <c r="AB149">
        <f t="shared" ca="1" si="49"/>
        <v>0</v>
      </c>
      <c r="AC149">
        <f t="shared" ca="1" si="50"/>
        <v>0.99999999999931277</v>
      </c>
      <c r="AD149" s="83">
        <f ca="1"/>
        <v>45482</v>
      </c>
      <c r="AE149" s="55">
        <f t="shared" ref="AE149:AE212" ca="1" si="59">IF(AD149&gt;1,AD149,"")</f>
        <v>45482</v>
      </c>
      <c r="AF149" s="55">
        <f t="shared" ref="AF149:AF212" ca="1" si="60">VLOOKUP(AE149,ModelOutputs,2,FALSE)</f>
        <v>-79.251296563574741</v>
      </c>
      <c r="AG149" s="55">
        <f t="shared" ref="AG149:AG212" ca="1" si="61">VLOOKUP(AE149,ModelOutputs,7,FALSE)</f>
        <v>142.74626625084289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40.007519675102465</v>
      </c>
      <c r="AK149" s="55">
        <f t="shared" ca="1" si="58"/>
        <v>-9.57173886749875</v>
      </c>
    </row>
    <row r="150" spans="18:37">
      <c r="R150" s="83">
        <f ca="1"/>
        <v>45348</v>
      </c>
      <c r="S150" s="55">
        <f t="shared" ca="1" si="51"/>
        <v>45348</v>
      </c>
      <c r="T150" s="55">
        <f t="shared" ca="1" si="45"/>
        <v>31.982945918159636</v>
      </c>
      <c r="U150" s="55">
        <f t="shared" ca="1" si="46"/>
        <v>163.54100145944696</v>
      </c>
      <c r="V150" s="55">
        <f t="shared" ca="1" si="47"/>
        <v>0</v>
      </c>
      <c r="W150" s="55">
        <f t="shared" ca="1" si="52"/>
        <v>0</v>
      </c>
      <c r="X150" s="55">
        <f t="shared" ca="1" si="53"/>
        <v>48.017725884668359</v>
      </c>
      <c r="Y150" s="55">
        <f t="shared" ca="1" si="54"/>
        <v>-6.7439638473767545</v>
      </c>
      <c r="Z150">
        <f t="shared" ca="1" si="48"/>
        <v>33.119724561867272</v>
      </c>
      <c r="AA150">
        <f t="shared" ca="1" si="55"/>
        <v>0</v>
      </c>
      <c r="AB150">
        <f t="shared" ca="1" si="49"/>
        <v>0</v>
      </c>
      <c r="AC150">
        <f t="shared" ca="1" si="50"/>
        <v>0.99999999999948819</v>
      </c>
      <c r="AD150" s="83">
        <f ca="1"/>
        <v>45483</v>
      </c>
      <c r="AE150" s="55">
        <f t="shared" ca="1" si="59"/>
        <v>45483</v>
      </c>
      <c r="AF150" s="55">
        <f t="shared" ca="1" si="60"/>
        <v>-79.64726858952416</v>
      </c>
      <c r="AG150" s="55">
        <f t="shared" ca="1" si="61"/>
        <v>143.4927275612053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40.328902542589439</v>
      </c>
      <c r="AK150" s="55">
        <f t="shared" ca="1" si="58"/>
        <v>-9.5426324505727376</v>
      </c>
    </row>
    <row r="151" spans="18:37">
      <c r="R151" s="83">
        <f ca="1"/>
        <v>45349</v>
      </c>
      <c r="S151" s="55">
        <f t="shared" ca="1" si="51"/>
        <v>45349</v>
      </c>
      <c r="T151" s="55">
        <f t="shared" ca="1" si="45"/>
        <v>30.764003015817558</v>
      </c>
      <c r="U151" s="55">
        <f t="shared" ca="1" si="46"/>
        <v>165.13650080178166</v>
      </c>
      <c r="V151" s="55">
        <f t="shared" ca="1" si="47"/>
        <v>0</v>
      </c>
      <c r="W151" s="55">
        <f t="shared" ca="1" si="52"/>
        <v>0</v>
      </c>
      <c r="X151" s="55">
        <f t="shared" ca="1" si="53"/>
        <v>48.385470645184355</v>
      </c>
      <c r="Y151" s="55">
        <f t="shared" ca="1" si="54"/>
        <v>-6.7351521679001287</v>
      </c>
      <c r="Z151">
        <f t="shared" ca="1" si="48"/>
        <v>32.402523347509629</v>
      </c>
      <c r="AA151">
        <f t="shared" ca="1" si="55"/>
        <v>0</v>
      </c>
      <c r="AB151">
        <f t="shared" ca="1" si="49"/>
        <v>0</v>
      </c>
      <c r="AC151">
        <f t="shared" ca="1" si="50"/>
        <v>0.99999999999961897</v>
      </c>
      <c r="AD151" s="83">
        <f ca="1"/>
        <v>45484</v>
      </c>
      <c r="AE151" s="55">
        <f t="shared" ca="1" si="59"/>
        <v>45484</v>
      </c>
      <c r="AF151" s="55">
        <f t="shared" ca="1" si="60"/>
        <v>-80.053681947106114</v>
      </c>
      <c r="AG151" s="55">
        <f t="shared" ca="1" si="61"/>
        <v>144.25907377971114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40.659226455965438</v>
      </c>
      <c r="AK151" s="55">
        <f t="shared" ca="1" si="58"/>
        <v>-9.5130235030248524</v>
      </c>
    </row>
    <row r="152" spans="18:37">
      <c r="R152" s="83">
        <f ca="1"/>
        <v>45350</v>
      </c>
      <c r="S152" s="55">
        <f t="shared" ca="1" si="51"/>
        <v>45350</v>
      </c>
      <c r="T152" s="55">
        <f t="shared" ca="1" si="45"/>
        <v>29.597110408477437</v>
      </c>
      <c r="U152" s="55">
        <f t="shared" ca="1" si="46"/>
        <v>166.67506312638716</v>
      </c>
      <c r="V152" s="55">
        <f t="shared" ca="1" si="47"/>
        <v>0</v>
      </c>
      <c r="W152" s="55">
        <f t="shared" ca="1" si="52"/>
        <v>0</v>
      </c>
      <c r="X152" s="55">
        <f t="shared" ca="1" si="53"/>
        <v>48.748389712172617</v>
      </c>
      <c r="Y152" s="55">
        <f t="shared" ca="1" si="54"/>
        <v>-6.7264015176230121</v>
      </c>
      <c r="Z152">
        <f t="shared" ca="1" si="48"/>
        <v>32.12959127419586</v>
      </c>
      <c r="AA152">
        <f t="shared" ca="1" si="55"/>
        <v>0</v>
      </c>
      <c r="AB152">
        <f t="shared" ca="1" si="49"/>
        <v>0</v>
      </c>
      <c r="AC152">
        <f t="shared" ca="1" si="50"/>
        <v>0.99999999999971578</v>
      </c>
      <c r="AD152" s="83">
        <f ca="1"/>
        <v>45485</v>
      </c>
      <c r="AE152" s="55">
        <f t="shared" ca="1" si="59"/>
        <v>45485</v>
      </c>
      <c r="AF152" s="55">
        <f t="shared" ca="1" si="60"/>
        <v>-80.455021864748289</v>
      </c>
      <c r="AG152" s="55">
        <f t="shared" ca="1" si="61"/>
        <v>145.02357978835528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40.992605575553902</v>
      </c>
      <c r="AK152" s="55">
        <f t="shared" ca="1" si="58"/>
        <v>-9.4832365316113734</v>
      </c>
    </row>
    <row r="153" spans="18:37">
      <c r="R153" s="83" t="e">
        <f ca="1"/>
        <v>#N/A</v>
      </c>
      <c r="S153" s="55" t="e">
        <f t="shared" ca="1" si="51"/>
        <v>#N/A</v>
      </c>
      <c r="T153" s="55" t="e">
        <f t="shared" ca="1" si="45"/>
        <v>#N/A</v>
      </c>
      <c r="U153" s="55" t="e">
        <f t="shared" ca="1" si="46"/>
        <v>#N/A</v>
      </c>
      <c r="V153" s="55" t="e">
        <f t="shared" ca="1" si="47"/>
        <v>#N/A</v>
      </c>
      <c r="W153" s="55" t="e">
        <f t="shared" ca="1" si="52"/>
        <v>#N/A</v>
      </c>
      <c r="X153" s="55" t="e">
        <f t="shared" ca="1" si="53"/>
        <v>#N/A</v>
      </c>
      <c r="Y153" s="55" t="e">
        <f t="shared" ca="1" si="54"/>
        <v>#N/A</v>
      </c>
      <c r="Z153" t="e">
        <f t="shared" ca="1" si="48"/>
        <v>#N/A</v>
      </c>
      <c r="AA153" t="e">
        <f t="shared" ca="1" si="55"/>
        <v>#N/A</v>
      </c>
      <c r="AB153" t="e">
        <f t="shared" ca="1" si="49"/>
        <v>#N/A</v>
      </c>
      <c r="AC153" t="e">
        <f t="shared" ca="1" si="50"/>
        <v>#N/A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 t="e">
        <f ca="1"/>
        <v>#N/A</v>
      </c>
      <c r="S154" s="55" t="e">
        <f t="shared" ca="1" si="51"/>
        <v>#N/A</v>
      </c>
      <c r="T154" s="55" t="e">
        <f t="shared" ca="1" si="45"/>
        <v>#N/A</v>
      </c>
      <c r="U154" s="55" t="e">
        <f t="shared" ca="1" si="46"/>
        <v>#N/A</v>
      </c>
      <c r="V154" s="55" t="e">
        <f t="shared" ca="1" si="47"/>
        <v>#N/A</v>
      </c>
      <c r="W154" s="55" t="e">
        <f t="shared" ca="1" si="52"/>
        <v>#N/A</v>
      </c>
      <c r="X154" s="55" t="e">
        <f t="shared" ca="1" si="53"/>
        <v>#N/A</v>
      </c>
      <c r="Y154" s="55" t="e">
        <f t="shared" ca="1" si="54"/>
        <v>#N/A</v>
      </c>
      <c r="Z154" t="e">
        <f t="shared" ca="1" si="48"/>
        <v>#N/A</v>
      </c>
      <c r="AA154" t="e">
        <f t="shared" ca="1" si="55"/>
        <v>#N/A</v>
      </c>
      <c r="AB154" t="e">
        <f t="shared" ca="1" si="49"/>
        <v>#N/A</v>
      </c>
      <c r="AC154" t="e">
        <f t="shared" ca="1" si="50"/>
        <v>#N/A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 t="e">
        <f ca="1"/>
        <v>#N/A</v>
      </c>
      <c r="S155" s="55" t="e">
        <f t="shared" ca="1" si="51"/>
        <v>#N/A</v>
      </c>
      <c r="T155" s="55" t="e">
        <f t="shared" ca="1" si="45"/>
        <v>#N/A</v>
      </c>
      <c r="U155" s="55" t="e">
        <f t="shared" ca="1" si="46"/>
        <v>#N/A</v>
      </c>
      <c r="V155" s="55" t="e">
        <f t="shared" ca="1" si="47"/>
        <v>#N/A</v>
      </c>
      <c r="W155" s="55" t="e">
        <f t="shared" ca="1" si="52"/>
        <v>#N/A</v>
      </c>
      <c r="X155" s="55" t="e">
        <f t="shared" ca="1" si="53"/>
        <v>#N/A</v>
      </c>
      <c r="Y155" s="55" t="e">
        <f t="shared" ca="1" si="54"/>
        <v>#N/A</v>
      </c>
      <c r="Z155" t="e">
        <f t="shared" ca="1" si="48"/>
        <v>#N/A</v>
      </c>
      <c r="AA155" t="e">
        <f t="shared" ca="1" si="55"/>
        <v>#N/A</v>
      </c>
      <c r="AB155" t="e">
        <f t="shared" ca="1" si="49"/>
        <v>#N/A</v>
      </c>
      <c r="AC155" t="e">
        <f t="shared" ca="1" si="50"/>
        <v>#N/A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 t="e">
        <f ca="1"/>
        <v>#N/A</v>
      </c>
      <c r="S156" s="55" t="e">
        <f t="shared" ca="1" si="51"/>
        <v>#N/A</v>
      </c>
      <c r="T156" s="55" t="e">
        <f t="shared" ca="1" si="45"/>
        <v>#N/A</v>
      </c>
      <c r="U156" s="55" t="e">
        <f t="shared" ca="1" si="46"/>
        <v>#N/A</v>
      </c>
      <c r="V156" s="55" t="e">
        <f t="shared" ca="1" si="47"/>
        <v>#N/A</v>
      </c>
      <c r="W156" s="55" t="e">
        <f t="shared" ca="1" si="52"/>
        <v>#N/A</v>
      </c>
      <c r="X156" s="55" t="e">
        <f t="shared" ca="1" si="53"/>
        <v>#N/A</v>
      </c>
      <c r="Y156" s="55" t="e">
        <f t="shared" ca="1" si="54"/>
        <v>#N/A</v>
      </c>
      <c r="Z156" t="e">
        <f t="shared" ca="1" si="48"/>
        <v>#N/A</v>
      </c>
      <c r="AA156" t="e">
        <f t="shared" ca="1" si="55"/>
        <v>#N/A</v>
      </c>
      <c r="AB156" t="e">
        <f t="shared" ca="1" si="49"/>
        <v>#N/A</v>
      </c>
      <c r="AC156" t="e">
        <f t="shared" ca="1" si="50"/>
        <v>#N/A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 t="e">
        <f ca="1"/>
        <v>#N/A</v>
      </c>
      <c r="S157" s="55" t="e">
        <f t="shared" ca="1" si="51"/>
        <v>#N/A</v>
      </c>
      <c r="T157" s="55" t="e">
        <f t="shared" ca="1" si="45"/>
        <v>#N/A</v>
      </c>
      <c r="U157" s="55" t="e">
        <f t="shared" ca="1" si="46"/>
        <v>#N/A</v>
      </c>
      <c r="V157" s="55" t="e">
        <f t="shared" ca="1" si="47"/>
        <v>#N/A</v>
      </c>
      <c r="W157" s="55" t="e">
        <f t="shared" ca="1" si="52"/>
        <v>#N/A</v>
      </c>
      <c r="X157" s="55" t="e">
        <f t="shared" ca="1" si="53"/>
        <v>#N/A</v>
      </c>
      <c r="Y157" s="55" t="e">
        <f t="shared" ca="1" si="54"/>
        <v>#N/A</v>
      </c>
      <c r="Z157" t="e">
        <f t="shared" ca="1" si="48"/>
        <v>#N/A</v>
      </c>
      <c r="AA157" t="e">
        <f t="shared" ca="1" si="55"/>
        <v>#N/A</v>
      </c>
      <c r="AB157" t="e">
        <f t="shared" ca="1" si="49"/>
        <v>#N/A</v>
      </c>
      <c r="AC157" t="e">
        <f t="shared" ca="1" si="50"/>
        <v>#N/A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 t="e">
        <f ca="1"/>
        <v>#N/A</v>
      </c>
      <c r="S158" s="55" t="e">
        <f t="shared" ca="1" si="51"/>
        <v>#N/A</v>
      </c>
      <c r="T158" s="55" t="e">
        <f t="shared" ca="1" si="45"/>
        <v>#N/A</v>
      </c>
      <c r="U158" s="55" t="e">
        <f t="shared" ca="1" si="46"/>
        <v>#N/A</v>
      </c>
      <c r="V158" s="55" t="e">
        <f t="shared" ca="1" si="47"/>
        <v>#N/A</v>
      </c>
      <c r="W158" s="55" t="e">
        <f t="shared" ca="1" si="52"/>
        <v>#N/A</v>
      </c>
      <c r="X158" s="55" t="e">
        <f t="shared" ca="1" si="53"/>
        <v>#N/A</v>
      </c>
      <c r="Y158" s="55" t="e">
        <f t="shared" ca="1" si="54"/>
        <v>#N/A</v>
      </c>
      <c r="Z158" t="e">
        <f t="shared" ca="1" si="48"/>
        <v>#N/A</v>
      </c>
      <c r="AA158" t="e">
        <f t="shared" ca="1" si="55"/>
        <v>#N/A</v>
      </c>
      <c r="AB158" t="e">
        <f t="shared" ca="1" si="49"/>
        <v>#N/A</v>
      </c>
      <c r="AC158" t="e">
        <f t="shared" ca="1" si="50"/>
        <v>#N/A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62:E63 E51:E52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zoomScale="105" workbookViewId="0">
      <selection activeCell="A3" sqref="A3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12" max="13" width="7.5546875" customWidth="1"/>
    <col min="14" max="14" width="22.33203125" bestFit="1" customWidth="1"/>
    <col min="16" max="16" width="13.6640625" customWidth="1"/>
    <col min="17" max="17" width="12.5546875" bestFit="1" customWidth="1"/>
    <col min="18" max="18" width="11.6640625" bestFit="1" customWidth="1"/>
    <col min="19" max="29" width="11.6640625" customWidth="1"/>
    <col min="30" max="30" width="10.6640625" bestFit="1" customWidth="1"/>
    <col min="31" max="31" width="10.6640625" customWidth="1"/>
    <col min="32" max="33" width="11.6640625" customWidth="1"/>
    <col min="34" max="34" width="10.6640625" bestFit="1" customWidth="1"/>
    <col min="37" max="37" width="6.109375" customWidth="1"/>
    <col min="44" max="44" width="3.6640625" customWidth="1"/>
    <col min="45" max="45" width="14.109375" customWidth="1"/>
    <col min="46" max="46" width="12.5546875" customWidth="1"/>
    <col min="47" max="47" width="6.33203125" customWidth="1"/>
    <col min="48" max="48" width="15.109375" bestFit="1" customWidth="1"/>
    <col min="49" max="49" width="17.44140625" bestFit="1" customWidth="1"/>
    <col min="50" max="50" width="12.44140625" bestFit="1" customWidth="1"/>
    <col min="51" max="51" width="6" bestFit="1" customWidth="1"/>
  </cols>
  <sheetData>
    <row r="1" spans="1:37" ht="26.4" thickBot="1">
      <c r="A1" s="146" t="s">
        <v>112</v>
      </c>
      <c r="B1" s="147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" thickBot="1">
      <c r="A2" s="12" t="s">
        <v>259</v>
      </c>
      <c r="B2" s="13" t="str">
        <f>H5</f>
        <v>Linocln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Clay</v>
      </c>
      <c r="D3" s="39" t="str">
        <f>ConceptDemo!C27</f>
        <v>Fertiliser already applied or planned</v>
      </c>
      <c r="E3" s="40"/>
      <c r="O3" s="12" t="s">
        <v>0</v>
      </c>
      <c r="P3" s="28">
        <f ca="1">B21+1</f>
        <v>45217</v>
      </c>
      <c r="Q3" s="3">
        <v>50</v>
      </c>
      <c r="R3" s="3"/>
      <c r="S3" s="3">
        <f ca="1">SUMIF($O$8:$O$1001,TRUE,S8:S1001)</f>
        <v>-6.7264015176230121</v>
      </c>
      <c r="T3" s="3">
        <f ca="1">SUMIF($O$8:$O$1001,TRUE,T8:T1001)</f>
        <v>48.161938984353419</v>
      </c>
      <c r="U3" s="3">
        <f ca="1">SUMIF($O$8:$O$1001,TRUE,U8:U1001)</f>
        <v>100.9699986892457</v>
      </c>
      <c r="V3" s="3">
        <f ca="1">VLOOKUP(B32,ModelOutputs,V5,FALSE)-W3</f>
        <v>0.5623036837935369</v>
      </c>
      <c r="W3">
        <f ca="1">VLOOKUP(B32,ModelOutputs,W5,FALSE)</f>
        <v>3.3043336950949063</v>
      </c>
      <c r="X3" s="13"/>
      <c r="AC3" s="3">
        <f ca="1">MAX(0,AD4-AD3)</f>
        <v>2.8421709430404007E-14</v>
      </c>
      <c r="AD3" s="3">
        <f ca="1">SUM(Q3:X3)</f>
        <v>196.27217353486455</v>
      </c>
      <c r="AG3" s="3"/>
    </row>
    <row r="4" spans="1:37" ht="1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>B34</f>
        <v>45350</v>
      </c>
      <c r="Q4" s="24">
        <f ca="1">VLOOKUP(P4,ModelOutputs,2,FALSE)</f>
        <v>29.597110408477437</v>
      </c>
      <c r="R4" s="27"/>
      <c r="S4" s="25"/>
      <c r="T4" s="25"/>
      <c r="U4" s="25"/>
      <c r="V4" s="24">
        <f ca="1">(VLOOKUP($P$4,ModelOutputs,V5,FALSE)-VLOOKUP($P$3+1,ModelOutputs,V5,FALSE))-W4</f>
        <v>24.238632384873512</v>
      </c>
      <c r="W4" s="26">
        <f ca="1">VLOOKUP($P$4,ModelOutputs,W5,FALSE)-VLOOKUP($P$3+1,ModelOutputs,W5,FALSE)</f>
        <v>142.43643074151365</v>
      </c>
      <c r="X4" s="27">
        <f ca="1">SUMIF($O$8:$O$1001,TRUE,X8:X1001)</f>
        <v>0</v>
      </c>
      <c r="Y4" s="3"/>
      <c r="Z4" s="3"/>
      <c r="AA4" s="3"/>
      <c r="AB4" s="3"/>
      <c r="AC4" s="3">
        <f ca="1">MAX(0,AD3-AD4)</f>
        <v>0</v>
      </c>
      <c r="AD4" s="3">
        <f ca="1">SUM(Q4:X4)</f>
        <v>196.27217353486458</v>
      </c>
    </row>
    <row r="5" spans="1:37" ht="15" thickBot="1">
      <c r="A5" s="12" t="s">
        <v>240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Linocln</v>
      </c>
      <c r="I5" t="s">
        <v>203</v>
      </c>
      <c r="J5">
        <f>VLOOKUP(InCropRain,ListMembers!$Z$7:$AA$11,2,FALSE)</f>
        <v>1</v>
      </c>
      <c r="R5">
        <f ca="1">SUMIF(N7:N1000,FALSE,R7:R1000)</f>
        <v>143.10006364177372</v>
      </c>
      <c r="S5">
        <f ca="1">SUMIF(N7:N1000,TRUE,S7:S1000)</f>
        <v>-6.7351521679001287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60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 ca="1">H7-DATE(YEAR(H7),1,0)+1</f>
        <v>245</v>
      </c>
      <c r="H7" s="95">
        <f ca="1">B19-1</f>
        <v>45170</v>
      </c>
      <c r="I7" s="119">
        <f ca="1">HLOOKUP($H$5,'Met Data'!$A$2:$F$368,G7,FALSE)</f>
        <v>8.5848484848484805</v>
      </c>
      <c r="J7" s="119">
        <f ca="1">HLOOKUP($H$5,'Met Data'!$H$2:$M$368,G7,FALSE)*L7</f>
        <v>1.66363636363636</v>
      </c>
      <c r="K7" s="96">
        <f ca="1">HLOOKUP($H$5,'Met Data'!$O$2:$T$368,G7,FALSE)</f>
        <v>2.4306848632987301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45216</v>
      </c>
      <c r="Q7">
        <f ca="1"/>
        <v>0</v>
      </c>
      <c r="R7">
        <f ca="1"/>
        <v>3.3399120065462</v>
      </c>
      <c r="S7">
        <f ca="1"/>
        <v>0</v>
      </c>
      <c r="T7" s="4">
        <f ca="1"/>
        <v>0.58645072781919305</v>
      </c>
      <c r="U7">
        <f ca="1"/>
        <v>0</v>
      </c>
      <c r="V7">
        <f ca="1"/>
        <v>116.01886383068424</v>
      </c>
      <c r="W7">
        <f ca="1"/>
        <v>106.13577543029261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0.99999350482483917</v>
      </c>
      <c r="AD7" s="2">
        <f t="shared" ref="AD7:AD70" ca="1" si="2">IFERROR(P7,$AD$5)</f>
        <v>45216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ca="1" si="4">H8-DATE(YEAR(H8),1,0)+1</f>
        <v>246</v>
      </c>
      <c r="H8" s="95">
        <f ca="1">H7+1</f>
        <v>45171</v>
      </c>
      <c r="I8" s="119">
        <f ca="1">HLOOKUP($H$5,'Met Data'!$A$2:$F$368,G8,FALSE)</f>
        <v>9.0333333333333297</v>
      </c>
      <c r="J8" s="119">
        <f ca="1">HLOOKUP($H$5,'Met Data'!$H$2:$M$368,G8,FALSE)*L8</f>
        <v>1.2393939393939299</v>
      </c>
      <c r="K8" s="96">
        <f ca="1">HLOOKUP($H$5,'Met Data'!$O$2:$T$368,G8,FALSE)</f>
        <v>2.2838857553046599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45217</v>
      </c>
      <c r="Q8">
        <f ca="1"/>
        <v>50.209393348025401</v>
      </c>
      <c r="R8">
        <f ca="1"/>
        <v>0</v>
      </c>
      <c r="S8">
        <f ca="1"/>
        <v>-0.30864396578119224</v>
      </c>
      <c r="T8" s="4">
        <f ca="1"/>
        <v>0.51803731380659346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0.84730696766618496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45217</v>
      </c>
      <c r="AE8">
        <f t="shared" ca="1" si="3"/>
        <v>0</v>
      </c>
      <c r="AF8" s="3"/>
      <c r="AG8" s="63">
        <f ca="1">Q7+S8+T8+U8</f>
        <v>0.20939334802540122</v>
      </c>
      <c r="AH8" s="63">
        <f ca="1">Q8+R8+X8</f>
        <v>50.209393348025401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ca="1" si="4"/>
        <v>247</v>
      </c>
      <c r="H9" s="95">
        <f t="shared" ref="H9:H72" ca="1" si="6">H8+1</f>
        <v>45172</v>
      </c>
      <c r="I9" s="119">
        <f ca="1">HLOOKUP($H$5,'Met Data'!$A$2:$F$368,G9,FALSE)</f>
        <v>8.7469696969696908</v>
      </c>
      <c r="J9" s="119">
        <f ca="1">HLOOKUP($H$5,'Met Data'!$H$2:$M$368,G9,FALSE)*L9</f>
        <v>1.06969696969696</v>
      </c>
      <c r="K9" s="96">
        <f ca="1">HLOOKUP($H$5,'Met Data'!$O$2:$T$368,G9,FALSE)</f>
        <v>2.13744572746974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45218</v>
      </c>
      <c r="Q9">
        <f ca="1"/>
        <v>50.412977147597637</v>
      </c>
      <c r="R9">
        <f ca="1"/>
        <v>0</v>
      </c>
      <c r="S9">
        <f ca="1"/>
        <v>-0.29649005726924604</v>
      </c>
      <c r="T9" s="4">
        <f ca="1"/>
        <v>0.50007385684147987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0.8220737268260524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45218</v>
      </c>
      <c r="AE9">
        <f t="shared" ca="1" si="3"/>
        <v>0</v>
      </c>
      <c r="AG9" s="63">
        <f t="shared" ref="AG9:AG72" ca="1" si="7">Q8+S9+T9+U9</f>
        <v>50.412977147597637</v>
      </c>
      <c r="AH9" s="63">
        <f t="shared" ref="AH9:AH72" ca="1" si="8">Q9+R9+X9</f>
        <v>50.412977147597637</v>
      </c>
      <c r="AI9" s="3">
        <f t="shared" ref="AI9:AI72" ca="1" si="9">AH9-AG9</f>
        <v>0</v>
      </c>
    </row>
    <row r="10" spans="1:37" ht="1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ca="1" si="4"/>
        <v>248</v>
      </c>
      <c r="H10" s="95">
        <f t="shared" ca="1" si="6"/>
        <v>45173</v>
      </c>
      <c r="I10" s="119">
        <f ca="1">HLOOKUP($H$5,'Met Data'!$A$2:$F$368,G10,FALSE)</f>
        <v>8.7227272727272709</v>
      </c>
      <c r="J10" s="119">
        <f ca="1">HLOOKUP($H$5,'Met Data'!$H$2:$M$368,G10,FALSE)*L10</f>
        <v>1.0878787878787799</v>
      </c>
      <c r="K10" s="96">
        <f ca="1">HLOOKUP($H$5,'Met Data'!$O$2:$T$368,G10,FALSE)</f>
        <v>2.20158976988608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45219</v>
      </c>
      <c r="Q10">
        <f ca="1"/>
        <v>50.597508444811375</v>
      </c>
      <c r="R10">
        <f ca="1"/>
        <v>0</v>
      </c>
      <c r="S10">
        <f ca="1"/>
        <v>-0.28655508995263679</v>
      </c>
      <c r="T10" s="4">
        <f ca="1"/>
        <v>0.47108638716637413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0.77185410522727593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45219</v>
      </c>
      <c r="AE10">
        <f t="shared" ca="1" si="3"/>
        <v>0</v>
      </c>
      <c r="AG10" s="63">
        <f t="shared" ca="1" si="7"/>
        <v>50.597508444811375</v>
      </c>
      <c r="AH10" s="63">
        <f t="shared" ca="1" si="8"/>
        <v>50.597508444811375</v>
      </c>
      <c r="AI10" s="3">
        <f t="shared" ca="1" si="9"/>
        <v>0</v>
      </c>
    </row>
    <row r="11" spans="1:37" ht="15" thickBot="1">
      <c r="A11" s="12" t="s">
        <v>189</v>
      </c>
      <c r="B11" s="13" t="str">
        <f>Irrigation</f>
        <v>None</v>
      </c>
      <c r="G11" s="3">
        <f t="shared" ca="1" si="4"/>
        <v>249</v>
      </c>
      <c r="H11" s="95">
        <f t="shared" ca="1" si="6"/>
        <v>45174</v>
      </c>
      <c r="I11" s="119">
        <f ca="1">HLOOKUP($H$5,'Met Data'!$A$2:$F$368,G11,FALSE)</f>
        <v>8.4803030303030305</v>
      </c>
      <c r="J11" s="119">
        <f ca="1">HLOOKUP($H$5,'Met Data'!$H$2:$M$368,G11,FALSE)*L11</f>
        <v>0.95151515151515098</v>
      </c>
      <c r="K11" s="96">
        <f ca="1">HLOOKUP($H$5,'Met Data'!$O$2:$T$368,G11,FALSE)</f>
        <v>2.0118416889679498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45220</v>
      </c>
      <c r="Q11">
        <f ca="1"/>
        <v>50.791495597367991</v>
      </c>
      <c r="R11">
        <f ca="1"/>
        <v>0</v>
      </c>
      <c r="S11">
        <f ca="1"/>
        <v>-0.29665438573636216</v>
      </c>
      <c r="T11" s="4">
        <f ca="1"/>
        <v>0.49064153829297308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0.72798398444736445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45220</v>
      </c>
      <c r="AE11">
        <f t="shared" ca="1" si="3"/>
        <v>0</v>
      </c>
      <c r="AG11" s="63">
        <f t="shared" ca="1" si="7"/>
        <v>50.791495597367991</v>
      </c>
      <c r="AH11" s="63">
        <f t="shared" ca="1" si="8"/>
        <v>50.791495597367991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Barley Fodder General</v>
      </c>
      <c r="D12" s="144" t="str">
        <f>ConceptDemo!C36</f>
        <v>Soil Mineral N Test Results</v>
      </c>
      <c r="E12" s="145"/>
      <c r="G12" s="3">
        <f t="shared" ca="1" si="4"/>
        <v>250</v>
      </c>
      <c r="H12" s="95">
        <f t="shared" ca="1" si="6"/>
        <v>45175</v>
      </c>
      <c r="I12" s="119">
        <f ca="1">HLOOKUP($H$5,'Met Data'!$A$2:$F$368,G12,FALSE)</f>
        <v>8.9078125000000004</v>
      </c>
      <c r="J12" s="119">
        <f ca="1">HLOOKUP($H$5,'Met Data'!$H$2:$M$368,G12,FALSE)*L12</f>
        <v>1.4151515151515099</v>
      </c>
      <c r="K12" s="96">
        <f ca="1">HLOOKUP($H$5,'Met Data'!$O$2:$T$368,G12,FALSE)</f>
        <v>2.43907717587116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45221</v>
      </c>
      <c r="Q12">
        <f ca="1"/>
        <v>50.953087377871732</v>
      </c>
      <c r="R12">
        <f ca="1"/>
        <v>0</v>
      </c>
      <c r="S12">
        <f ca="1"/>
        <v>-0.26447089095645637</v>
      </c>
      <c r="T12" s="4">
        <f ca="1"/>
        <v>0.4260626714601955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0.69547325067540455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45221</v>
      </c>
      <c r="AE12">
        <f t="shared" ca="1" si="3"/>
        <v>0</v>
      </c>
      <c r="AG12" s="63">
        <f t="shared" ca="1" si="7"/>
        <v>50.953087377871732</v>
      </c>
      <c r="AH12" s="63">
        <f t="shared" ca="1" si="8"/>
        <v>50.953087377871732</v>
      </c>
      <c r="AI12" s="3">
        <f t="shared" ca="1" si="9"/>
        <v>0</v>
      </c>
    </row>
    <row r="13" spans="1:37" ht="15" thickBot="1">
      <c r="A13" s="6" t="s">
        <v>241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G13" s="3">
        <f t="shared" ca="1" si="4"/>
        <v>251</v>
      </c>
      <c r="H13" s="95">
        <f t="shared" ca="1" si="6"/>
        <v>45176</v>
      </c>
      <c r="I13" s="119">
        <f ca="1">HLOOKUP($H$5,'Met Data'!$A$2:$F$368,G13,FALSE)</f>
        <v>8.9656249999999993</v>
      </c>
      <c r="J13" s="119">
        <f ca="1">HLOOKUP($H$5,'Met Data'!$H$2:$M$368,G13,FALSE)*L13</f>
        <v>0.51818181818181797</v>
      </c>
      <c r="K13" s="96">
        <f ca="1">HLOOKUP($H$5,'Met Data'!$O$2:$T$368,G13,FALSE)</f>
        <v>2.4631446914892501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45222</v>
      </c>
      <c r="Q13">
        <f ca="1"/>
        <v>51.112734459363949</v>
      </c>
      <c r="R13">
        <f ca="1"/>
        <v>0</v>
      </c>
      <c r="S13">
        <f ca="1"/>
        <v>-0.25325171909500277</v>
      </c>
      <c r="T13" s="4">
        <f ca="1"/>
        <v>0.41289880058722439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0.67630797651518748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45222</v>
      </c>
      <c r="AE13">
        <f t="shared" ca="1" si="3"/>
        <v>0</v>
      </c>
      <c r="AG13" s="63">
        <f t="shared" ca="1" si="7"/>
        <v>51.112734459363949</v>
      </c>
      <c r="AH13" s="63">
        <f t="shared" ca="1" si="8"/>
        <v>51.112734459363949</v>
      </c>
      <c r="AI13" s="3">
        <f t="shared" ca="1" si="9"/>
        <v>0</v>
      </c>
    </row>
    <row r="14" spans="1:37">
      <c r="A14" s="6" t="s">
        <v>234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ca="1" si="4"/>
        <v>252</v>
      </c>
      <c r="H14" s="95">
        <f t="shared" ca="1" si="6"/>
        <v>45177</v>
      </c>
      <c r="I14" s="119">
        <f ca="1">HLOOKUP($H$5,'Met Data'!$A$2:$F$368,G14,FALSE)</f>
        <v>8.6015625</v>
      </c>
      <c r="J14" s="119">
        <f ca="1">HLOOKUP($H$5,'Met Data'!$H$2:$M$368,G14,FALSE)*L14</f>
        <v>1.0757575757575699</v>
      </c>
      <c r="K14" s="96">
        <f ca="1">HLOOKUP($H$5,'Met Data'!$O$2:$T$368,G14,FALSE)</f>
        <v>2.5132482169425701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45223</v>
      </c>
      <c r="Q14">
        <f ca="1"/>
        <v>51.266160129579937</v>
      </c>
      <c r="R14">
        <f ca="1"/>
        <v>0</v>
      </c>
      <c r="S14">
        <f ca="1"/>
        <v>-0.24476212100867634</v>
      </c>
      <c r="T14" s="4">
        <f ca="1"/>
        <v>0.39818779122466669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0.64398769708166959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45223</v>
      </c>
      <c r="AE14">
        <f t="shared" ca="1" si="3"/>
        <v>0</v>
      </c>
      <c r="AG14" s="63">
        <f t="shared" ca="1" si="7"/>
        <v>51.266160129579937</v>
      </c>
      <c r="AH14" s="63">
        <f t="shared" ca="1" si="8"/>
        <v>51.266160129579937</v>
      </c>
      <c r="AI14" s="3">
        <f t="shared" ca="1" si="9"/>
        <v>0</v>
      </c>
    </row>
    <row r="15" spans="1:37">
      <c r="A15" s="6" t="s">
        <v>235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ca="1" si="4"/>
        <v>253</v>
      </c>
      <c r="H15" s="95">
        <f t="shared" ca="1" si="6"/>
        <v>45178</v>
      </c>
      <c r="I15" s="119">
        <f ca="1">HLOOKUP($H$5,'Met Data'!$A$2:$F$368,G15,FALSE)</f>
        <v>8.0227272727272698</v>
      </c>
      <c r="J15" s="119">
        <f ca="1">HLOOKUP($H$5,'Met Data'!$H$2:$M$368,G15,FALSE)*L15</f>
        <v>1.0878787878787799</v>
      </c>
      <c r="K15" s="96">
        <f ca="1">HLOOKUP($H$5,'Met Data'!$O$2:$T$368,G15,FALSE)</f>
        <v>2.2941202547295898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45224</v>
      </c>
      <c r="Q15">
        <f ca="1"/>
        <v>51.410111506457923</v>
      </c>
      <c r="R15">
        <f ca="1"/>
        <v>0</v>
      </c>
      <c r="S15">
        <f ca="1"/>
        <v>-0.23876000344861259</v>
      </c>
      <c r="T15" s="4">
        <f ca="1"/>
        <v>0.38271138032659907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0.59934517040161817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45224</v>
      </c>
      <c r="AE15">
        <f t="shared" ca="1" si="3"/>
        <v>0</v>
      </c>
      <c r="AG15" s="63">
        <f t="shared" ca="1" si="7"/>
        <v>51.410111506457923</v>
      </c>
      <c r="AH15" s="63">
        <f t="shared" ca="1" si="8"/>
        <v>51.410111506457923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ca="1" si="4"/>
        <v>254</v>
      </c>
      <c r="H16" s="95">
        <f t="shared" ca="1" si="6"/>
        <v>45179</v>
      </c>
      <c r="I16" s="119">
        <f ca="1">HLOOKUP($H$5,'Met Data'!$A$2:$F$368,G16,FALSE)</f>
        <v>9.0060606060606005</v>
      </c>
      <c r="J16" s="119">
        <f ca="1">HLOOKUP($H$5,'Met Data'!$H$2:$M$368,G16,FALSE)*L16</f>
        <v>1.08181818181818</v>
      </c>
      <c r="K16" s="96">
        <f ca="1">HLOOKUP($H$5,'Met Data'!$O$2:$T$368,G16,FALSE)</f>
        <v>2.6251015131954198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45225</v>
      </c>
      <c r="Q16">
        <f ca="1"/>
        <v>51.569462261553589</v>
      </c>
      <c r="R16">
        <f ca="1"/>
        <v>0</v>
      </c>
      <c r="S16">
        <f ca="1"/>
        <v>-0.24633223136316751</v>
      </c>
      <c r="T16" s="4">
        <f ca="1"/>
        <v>0.40568298645883843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0.57151863980483042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45225</v>
      </c>
      <c r="AE16">
        <f t="shared" ca="1" si="3"/>
        <v>0</v>
      </c>
      <c r="AG16" s="63">
        <f t="shared" ca="1" si="7"/>
        <v>51.569462261553589</v>
      </c>
      <c r="AH16" s="63">
        <f t="shared" ca="1" si="8"/>
        <v>51.569462261553589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ca="1" si="4"/>
        <v>255</v>
      </c>
      <c r="H17" s="95">
        <f t="shared" ca="1" si="6"/>
        <v>45180</v>
      </c>
      <c r="I17" s="119">
        <f ca="1">HLOOKUP($H$5,'Met Data'!$A$2:$F$368,G17,FALSE)</f>
        <v>9.7090909090909001</v>
      </c>
      <c r="J17" s="119">
        <f ca="1">HLOOKUP($H$5,'Met Data'!$H$2:$M$368,G17,FALSE)*L17</f>
        <v>2.0393939393939302</v>
      </c>
      <c r="K17" s="96">
        <f ca="1">HLOOKUP($H$5,'Met Data'!$O$2:$T$368,G17,FALSE)</f>
        <v>2.7986809667616899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45226</v>
      </c>
      <c r="Q17">
        <f ca="1"/>
        <v>51.723866530424594</v>
      </c>
      <c r="R17">
        <f ca="1"/>
        <v>0</v>
      </c>
      <c r="S17">
        <f ca="1"/>
        <v>-0.22824647311444224</v>
      </c>
      <c r="T17" s="4">
        <f ca="1"/>
        <v>0.38265074198544985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0.56009330627919618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45226</v>
      </c>
      <c r="AE17">
        <f t="shared" ca="1" si="3"/>
        <v>0</v>
      </c>
      <c r="AG17" s="63">
        <f t="shared" ca="1" si="7"/>
        <v>51.723866530424594</v>
      </c>
      <c r="AH17" s="63">
        <f t="shared" ca="1" si="8"/>
        <v>51.723866530424594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ca="1" si="4"/>
        <v>256</v>
      </c>
      <c r="H18" s="95">
        <f t="shared" ca="1" si="6"/>
        <v>45181</v>
      </c>
      <c r="I18" s="119">
        <f ca="1">HLOOKUP($H$5,'Met Data'!$A$2:$F$368,G18,FALSE)</f>
        <v>9.6212121212121193</v>
      </c>
      <c r="J18" s="119">
        <f ca="1">HLOOKUP($H$5,'Met Data'!$H$2:$M$368,G18,FALSE)*L18</f>
        <v>1.4424242424242399</v>
      </c>
      <c r="K18" s="96">
        <f ca="1">HLOOKUP($H$5,'Met Data'!$O$2:$T$368,G18,FALSE)</f>
        <v>2.6610711999077199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45227</v>
      </c>
      <c r="Q18">
        <f ca="1"/>
        <v>51.894546931319546</v>
      </c>
      <c r="R18">
        <f ca="1"/>
        <v>0</v>
      </c>
      <c r="S18">
        <f ca="1"/>
        <v>-0.2283616540367297</v>
      </c>
      <c r="T18" s="4">
        <f ca="1"/>
        <v>0.39904205493168321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0.54910201479496556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45227</v>
      </c>
      <c r="AE18">
        <f t="shared" ca="1" si="3"/>
        <v>0</v>
      </c>
      <c r="AG18" s="63">
        <f t="shared" ca="1" si="7"/>
        <v>51.894546931319546</v>
      </c>
      <c r="AH18" s="63">
        <f t="shared" ca="1" si="8"/>
        <v>51.894546931319546</v>
      </c>
      <c r="AI18" s="3">
        <f t="shared" ca="1" si="9"/>
        <v>0</v>
      </c>
    </row>
    <row r="19" spans="1:35" ht="15" thickBot="1">
      <c r="A19" s="6" t="s">
        <v>117</v>
      </c>
      <c r="B19" s="34">
        <f ca="1">PriorEstablishDate</f>
        <v>45171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ca="1" si="4"/>
        <v>257</v>
      </c>
      <c r="H19" s="95">
        <f t="shared" ca="1" si="6"/>
        <v>45182</v>
      </c>
      <c r="I19" s="119">
        <f ca="1">HLOOKUP($H$5,'Met Data'!$A$2:$F$368,G19,FALSE)</f>
        <v>9.3833333333333293</v>
      </c>
      <c r="J19" s="119">
        <f ca="1">HLOOKUP($H$5,'Met Data'!$H$2:$M$368,G19,FALSE)*L19</f>
        <v>1.5181818181818101</v>
      </c>
      <c r="K19" s="96">
        <f ca="1">HLOOKUP($H$5,'Met Data'!$O$2:$T$368,G19,FALSE)</f>
        <v>2.3076791368567799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45228</v>
      </c>
      <c r="Q19">
        <f ca="1"/>
        <v>52.06793488134668</v>
      </c>
      <c r="R19">
        <f ca="1"/>
        <v>0</v>
      </c>
      <c r="S19">
        <f ca="1"/>
        <v>-0.22114367900281717</v>
      </c>
      <c r="T19" s="4">
        <f ca="1"/>
        <v>0.39453162902995087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0.52833051153709065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45228</v>
      </c>
      <c r="AE19">
        <f t="shared" ca="1" si="3"/>
        <v>0</v>
      </c>
      <c r="AG19" s="63">
        <f t="shared" ca="1" si="7"/>
        <v>52.06793488134668</v>
      </c>
      <c r="AH19" s="63">
        <f t="shared" ca="1" si="8"/>
        <v>52.06793488134668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</v>
      </c>
      <c r="G20" s="3">
        <f t="shared" ca="1" si="4"/>
        <v>258</v>
      </c>
      <c r="H20" s="95">
        <f t="shared" ca="1" si="6"/>
        <v>45183</v>
      </c>
      <c r="I20" s="119">
        <f ca="1">HLOOKUP($H$5,'Met Data'!$A$2:$F$368,G20,FALSE)</f>
        <v>9.8590909090909093</v>
      </c>
      <c r="J20" s="119">
        <f ca="1">HLOOKUP($H$5,'Met Data'!$H$2:$M$368,G20,FALSE)*L20</f>
        <v>1.0060606060606001</v>
      </c>
      <c r="K20" s="96">
        <f ca="1">HLOOKUP($H$5,'Met Data'!$O$2:$T$368,G20,FALSE)</f>
        <v>2.7166636421386499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45229</v>
      </c>
      <c r="Q20">
        <f ca="1"/>
        <v>52.236980505909976</v>
      </c>
      <c r="R20">
        <f ca="1"/>
        <v>0</v>
      </c>
      <c r="S20">
        <f ca="1"/>
        <v>-0.20647905843774605</v>
      </c>
      <c r="T20" s="4">
        <f ca="1"/>
        <v>0.37552468300103697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0.51389453644500571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45229</v>
      </c>
      <c r="AE20">
        <f t="shared" ca="1" si="3"/>
        <v>0</v>
      </c>
      <c r="AG20" s="63">
        <f t="shared" ca="1" si="7"/>
        <v>52.236980505909976</v>
      </c>
      <c r="AH20" s="63">
        <f t="shared" ca="1" si="8"/>
        <v>52.236980505909976</v>
      </c>
      <c r="AI20" s="3">
        <f t="shared" ca="1" si="9"/>
        <v>0</v>
      </c>
    </row>
    <row r="21" spans="1:35">
      <c r="A21" s="6" t="s">
        <v>119</v>
      </c>
      <c r="B21" s="34">
        <f ca="1">PriorHarvestDate</f>
        <v>45216</v>
      </c>
      <c r="G21" s="3">
        <f t="shared" ca="1" si="4"/>
        <v>259</v>
      </c>
      <c r="H21" s="95">
        <f t="shared" ca="1" si="6"/>
        <v>45184</v>
      </c>
      <c r="I21" s="119">
        <f ca="1">HLOOKUP($H$5,'Met Data'!$A$2:$F$368,G21,FALSE)</f>
        <v>10.654545454545399</v>
      </c>
      <c r="J21" s="119">
        <f ca="1">HLOOKUP($H$5,'Met Data'!$H$2:$M$368,G21,FALSE)*L21</f>
        <v>0.69090909090909003</v>
      </c>
      <c r="K21" s="96">
        <f ca="1">HLOOKUP($H$5,'Met Data'!$O$2:$T$368,G21,FALSE)</f>
        <v>2.8776450917507499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45230</v>
      </c>
      <c r="Q21">
        <f ca="1"/>
        <v>52.405194433535833</v>
      </c>
      <c r="R21">
        <f ca="1"/>
        <v>0</v>
      </c>
      <c r="S21">
        <f ca="1"/>
        <v>-0.18864745399371552</v>
      </c>
      <c r="T21" s="4">
        <f ca="1"/>
        <v>0.35686138161957331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0.47919859168972417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45230</v>
      </c>
      <c r="AE21">
        <f t="shared" ca="1" si="3"/>
        <v>0</v>
      </c>
      <c r="AG21" s="63">
        <f t="shared" ca="1" si="7"/>
        <v>52.405194433535833</v>
      </c>
      <c r="AH21" s="63">
        <f t="shared" ca="1" si="8"/>
        <v>52.405194433535833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ca="1" si="4"/>
        <v>260</v>
      </c>
      <c r="H22" s="95">
        <f t="shared" ca="1" si="6"/>
        <v>45185</v>
      </c>
      <c r="I22" s="119">
        <f ca="1">HLOOKUP($H$5,'Met Data'!$A$2:$F$368,G22,FALSE)</f>
        <v>10.4757575757575</v>
      </c>
      <c r="J22" s="119">
        <f ca="1">HLOOKUP($H$5,'Met Data'!$H$2:$M$368,G22,FALSE)*L22</f>
        <v>0.112121212121212</v>
      </c>
      <c r="K22" s="96">
        <f ca="1">HLOOKUP($H$5,'Met Data'!$O$2:$T$368,G22,FALSE)</f>
        <v>2.9007479200825799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45231</v>
      </c>
      <c r="Q22">
        <f ca="1"/>
        <v>52.591340377871816</v>
      </c>
      <c r="R22">
        <f ca="1"/>
        <v>0</v>
      </c>
      <c r="S22">
        <f ca="1"/>
        <v>-0.1786023528032219</v>
      </c>
      <c r="T22" s="4">
        <f ca="1"/>
        <v>0.36474829713920809</v>
      </c>
      <c r="U22">
        <f ca="1"/>
        <v>0</v>
      </c>
      <c r="V22">
        <f ca="1"/>
        <v>3.8666373788884432</v>
      </c>
      <c r="W22">
        <f ca="1"/>
        <v>3.3043336950949063</v>
      </c>
      <c r="X22">
        <f ca="1"/>
        <v>0</v>
      </c>
      <c r="Y22">
        <f ca="1"/>
        <v>0.45315324355888564</v>
      </c>
      <c r="Z22">
        <f ca="1"/>
        <v>0</v>
      </c>
      <c r="AA22">
        <f ca="1"/>
        <v>0</v>
      </c>
      <c r="AB22">
        <f ca="1"/>
        <v>8.532228988160839E-3</v>
      </c>
      <c r="AD22" s="2">
        <f t="shared" ca="1" si="2"/>
        <v>45231</v>
      </c>
      <c r="AE22">
        <f t="shared" ca="1" si="3"/>
        <v>0</v>
      </c>
      <c r="AG22" s="63">
        <f t="shared" ca="1" si="7"/>
        <v>52.591340377871816</v>
      </c>
      <c r="AH22" s="63">
        <f t="shared" ca="1" si="8"/>
        <v>52.591340377871816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ca="1" si="4"/>
        <v>261</v>
      </c>
      <c r="H23" s="95">
        <f t="shared" ca="1" si="6"/>
        <v>45186</v>
      </c>
      <c r="I23" s="119">
        <f ca="1">HLOOKUP($H$5,'Met Data'!$A$2:$F$368,G23,FALSE)</f>
        <v>9.8469696969696905</v>
      </c>
      <c r="J23" s="119">
        <f ca="1">HLOOKUP($H$5,'Met Data'!$H$2:$M$368,G23,FALSE)*L23</f>
        <v>0.26969696969696899</v>
      </c>
      <c r="K23" s="96">
        <f ca="1">HLOOKUP($H$5,'Met Data'!$O$2:$T$368,G23,FALSE)</f>
        <v>2.7216431909543002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45232</v>
      </c>
      <c r="Q23">
        <f ca="1"/>
        <v>52.627102403143333</v>
      </c>
      <c r="R23">
        <f ca="1"/>
        <v>0.14356626023686925</v>
      </c>
      <c r="S23">
        <f ca="1"/>
        <v>-0.16047226176974982</v>
      </c>
      <c r="T23" s="4">
        <f ca="1"/>
        <v>0.3398005472781333</v>
      </c>
      <c r="U23">
        <f ca="1"/>
        <v>0</v>
      </c>
      <c r="V23">
        <f ca="1"/>
        <v>4.0102036391253124</v>
      </c>
      <c r="W23">
        <f ca="1"/>
        <v>3.4270219083133453</v>
      </c>
      <c r="X23">
        <f ca="1"/>
        <v>0</v>
      </c>
      <c r="Y23">
        <f ca="1"/>
        <v>0.44480911652170674</v>
      </c>
      <c r="Z23">
        <f ca="1"/>
        <v>0</v>
      </c>
      <c r="AA23">
        <f ca="1"/>
        <v>0</v>
      </c>
      <c r="AB23">
        <f ca="1"/>
        <v>1.0739179617917071E-2</v>
      </c>
      <c r="AD23" s="2">
        <f t="shared" ca="1" si="2"/>
        <v>45232</v>
      </c>
      <c r="AE23">
        <f t="shared" ca="1" si="3"/>
        <v>0</v>
      </c>
      <c r="AG23" s="63">
        <f t="shared" ca="1" si="7"/>
        <v>52.770668663380199</v>
      </c>
      <c r="AH23" s="63">
        <f t="shared" ca="1" si="8"/>
        <v>52.770668663380199</v>
      </c>
      <c r="AI23" s="3">
        <f t="shared" ca="1" si="9"/>
        <v>0</v>
      </c>
    </row>
    <row r="24" spans="1:35" ht="15" thickBot="1">
      <c r="A24" s="6" t="s">
        <v>167</v>
      </c>
      <c r="B24" s="101" t="str">
        <f>PriorResidueIncorporation</f>
        <v>Full (Plough)</v>
      </c>
      <c r="G24" s="3">
        <f t="shared" ca="1" si="4"/>
        <v>262</v>
      </c>
      <c r="H24" s="95">
        <f t="shared" ca="1" si="6"/>
        <v>45187</v>
      </c>
      <c r="I24" s="119">
        <f ca="1">HLOOKUP($H$5,'Met Data'!$A$2:$F$368,G24,FALSE)</f>
        <v>9.6045454545454501</v>
      </c>
      <c r="J24" s="119">
        <f ca="1">HLOOKUP($H$5,'Met Data'!$H$2:$M$368,G24,FALSE)*L24</f>
        <v>1.3212121212121199</v>
      </c>
      <c r="K24" s="96">
        <f ca="1">HLOOKUP($H$5,'Met Data'!$O$2:$T$368,G24,FALSE)</f>
        <v>2.6828140641286899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45233</v>
      </c>
      <c r="Q24">
        <f ca="1"/>
        <v>52.663443281678802</v>
      </c>
      <c r="R24">
        <f ca="1"/>
        <v>0.15121694835041843</v>
      </c>
      <c r="S24">
        <f ca="1"/>
        <v>-0.14818529099145472</v>
      </c>
      <c r="T24" s="4">
        <f ca="1"/>
        <v>0.33574311787734273</v>
      </c>
      <c r="U24">
        <f ca="1"/>
        <v>0</v>
      </c>
      <c r="V24">
        <f ca="1"/>
        <v>4.1614205874757308</v>
      </c>
      <c r="W24">
        <f ca="1"/>
        <v>3.5562482123965471</v>
      </c>
      <c r="X24">
        <f ca="1"/>
        <v>0</v>
      </c>
      <c r="Y24">
        <f ca="1"/>
        <v>0.42124654767739178</v>
      </c>
      <c r="Z24">
        <f ca="1"/>
        <v>0</v>
      </c>
      <c r="AA24">
        <f ca="1"/>
        <v>0</v>
      </c>
      <c r="AB24">
        <f ca="1"/>
        <v>1.355892965855667E-2</v>
      </c>
      <c r="AD24" s="2">
        <f t="shared" ca="1" si="2"/>
        <v>45233</v>
      </c>
      <c r="AE24">
        <f t="shared" ca="1" si="3"/>
        <v>0</v>
      </c>
      <c r="AG24" s="63">
        <f t="shared" ca="1" si="7"/>
        <v>52.814660230029219</v>
      </c>
      <c r="AH24" s="63">
        <f t="shared" ca="1" si="8"/>
        <v>52.814660230029219</v>
      </c>
      <c r="AI24" s="3">
        <f t="shared" ca="1" si="9"/>
        <v>0</v>
      </c>
    </row>
    <row r="25" spans="1:35" ht="15" thickBot="1">
      <c r="A25" s="8" t="s">
        <v>142</v>
      </c>
      <c r="B25" s="11" t="str">
        <f>CurrentCropNameFull</f>
        <v>Rape Fodder General</v>
      </c>
      <c r="G25" s="3">
        <f t="shared" ca="1" si="4"/>
        <v>263</v>
      </c>
      <c r="H25" s="95">
        <f t="shared" ca="1" si="6"/>
        <v>45188</v>
      </c>
      <c r="I25" s="119">
        <f ca="1">HLOOKUP($H$5,'Met Data'!$A$2:$F$368,G25,FALSE)</f>
        <v>9.8772727272727199</v>
      </c>
      <c r="J25" s="119">
        <f ca="1">HLOOKUP($H$5,'Met Data'!$H$2:$M$368,G25,FALSE)*L25</f>
        <v>1.83636363636363</v>
      </c>
      <c r="K25" s="96">
        <f ca="1">HLOOKUP($H$5,'Met Data'!$O$2:$T$368,G25,FALSE)</f>
        <v>2.84418375617479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45234</v>
      </c>
      <c r="Q25">
        <f ca="1"/>
        <v>52.698560012867766</v>
      </c>
      <c r="R25">
        <f ca="1"/>
        <v>0.15748829457031555</v>
      </c>
      <c r="S25">
        <f ca="1"/>
        <v>-0.13662526270808151</v>
      </c>
      <c r="T25" s="4">
        <f ca="1"/>
        <v>0.32923028846736074</v>
      </c>
      <c r="U25">
        <f ca="1"/>
        <v>0</v>
      </c>
      <c r="V25">
        <f ca="1"/>
        <v>4.3189088820460464</v>
      </c>
      <c r="W25">
        <f ca="1"/>
        <v>3.6908338555119422</v>
      </c>
      <c r="X25">
        <f ca="1"/>
        <v>0</v>
      </c>
      <c r="Y25">
        <f ca="1"/>
        <v>0.40188013204423711</v>
      </c>
      <c r="Z25">
        <f ca="1"/>
        <v>0</v>
      </c>
      <c r="AA25">
        <f ca="1"/>
        <v>0</v>
      </c>
      <c r="AB25">
        <f ca="1"/>
        <v>1.7123421484225628E-2</v>
      </c>
      <c r="AD25" s="2">
        <f t="shared" ca="1" si="2"/>
        <v>45234</v>
      </c>
      <c r="AE25">
        <f t="shared" ca="1" si="3"/>
        <v>0</v>
      </c>
      <c r="AG25" s="63">
        <f t="shared" ca="1" si="7"/>
        <v>52.85604830743808</v>
      </c>
      <c r="AH25" s="63">
        <f t="shared" ca="1" si="8"/>
        <v>52.85604830743808</v>
      </c>
      <c r="AI25" s="3">
        <f t="shared" ca="1" si="9"/>
        <v>0</v>
      </c>
    </row>
    <row r="26" spans="1:35">
      <c r="A26" s="9" t="s">
        <v>242</v>
      </c>
      <c r="B26" s="11">
        <f>CurrentYield</f>
        <v>7</v>
      </c>
      <c r="G26" s="3">
        <f t="shared" ca="1" si="4"/>
        <v>264</v>
      </c>
      <c r="H26" s="95">
        <f t="shared" ca="1" si="6"/>
        <v>45189</v>
      </c>
      <c r="I26" s="119">
        <f ca="1">HLOOKUP($H$5,'Met Data'!$A$2:$F$368,G26,FALSE)</f>
        <v>9.4984848484848392</v>
      </c>
      <c r="J26" s="119">
        <f ca="1">HLOOKUP($H$5,'Met Data'!$H$2:$M$368,G26,FALSE)*L26</f>
        <v>1.47272727272727</v>
      </c>
      <c r="K26" s="96">
        <f ca="1">HLOOKUP($H$5,'Met Data'!$O$2:$T$368,G26,FALSE)</f>
        <v>2.76130603025703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45235</v>
      </c>
      <c r="Q26">
        <f ca="1"/>
        <v>52.731224746798922</v>
      </c>
      <c r="R26">
        <f ca="1"/>
        <v>0.1611104238631258</v>
      </c>
      <c r="S26">
        <f ca="1"/>
        <v>-0.12871781557950346</v>
      </c>
      <c r="T26" s="4">
        <f ca="1"/>
        <v>0.32249297337379046</v>
      </c>
      <c r="U26">
        <f ca="1"/>
        <v>0</v>
      </c>
      <c r="V26">
        <f ca="1"/>
        <v>4.4800193059091722</v>
      </c>
      <c r="W26">
        <f ca="1"/>
        <v>3.8285148816946948</v>
      </c>
      <c r="X26">
        <f ca="1"/>
        <v>0</v>
      </c>
      <c r="Y26">
        <f ca="1"/>
        <v>0.39763959588918468</v>
      </c>
      <c r="Z26">
        <f ca="1"/>
        <v>0</v>
      </c>
      <c r="AA26">
        <f ca="1"/>
        <v>0</v>
      </c>
      <c r="AB26">
        <f ca="1"/>
        <v>2.1538072948406262E-2</v>
      </c>
      <c r="AD26" s="2">
        <f t="shared" ca="1" si="2"/>
        <v>45235</v>
      </c>
      <c r="AE26">
        <f t="shared" ca="1" si="3"/>
        <v>0</v>
      </c>
      <c r="AG26" s="63">
        <f t="shared" ca="1" si="7"/>
        <v>52.892335170662051</v>
      </c>
      <c r="AH26" s="63">
        <f t="shared" ca="1" si="8"/>
        <v>52.892335170662051</v>
      </c>
      <c r="AI26" s="3">
        <f t="shared" ca="1" si="9"/>
        <v>0</v>
      </c>
    </row>
    <row r="27" spans="1:35">
      <c r="A27" s="9" t="s">
        <v>236</v>
      </c>
      <c r="B27" s="13" t="str">
        <f>CurrentPopulation</f>
        <v>1</v>
      </c>
      <c r="G27" s="3">
        <f t="shared" ca="1" si="4"/>
        <v>265</v>
      </c>
      <c r="H27" s="95">
        <f t="shared" ca="1" si="6"/>
        <v>45190</v>
      </c>
      <c r="I27" s="119">
        <f ca="1">HLOOKUP($H$5,'Met Data'!$A$2:$F$368,G27,FALSE)</f>
        <v>9.9712121212121207</v>
      </c>
      <c r="J27" s="119">
        <f ca="1">HLOOKUP($H$5,'Met Data'!$H$2:$M$368,G27,FALSE)*L27</f>
        <v>1.39090909090909</v>
      </c>
      <c r="K27" s="96">
        <f ca="1">HLOOKUP($H$5,'Met Data'!$O$2:$T$368,G27,FALSE)</f>
        <v>2.9434337638791899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45236</v>
      </c>
      <c r="Q27">
        <f ca="1"/>
        <v>52.758240723250765</v>
      </c>
      <c r="R27">
        <f ca="1"/>
        <v>0.16004938337980157</v>
      </c>
      <c r="S27">
        <f ca="1"/>
        <v>-0.11674054568024772</v>
      </c>
      <c r="T27" s="4">
        <f ca="1"/>
        <v>0.30380590551189468</v>
      </c>
      <c r="U27">
        <f ca="1"/>
        <v>0</v>
      </c>
      <c r="V27">
        <f ca="1"/>
        <v>4.6400686892889738</v>
      </c>
      <c r="W27">
        <f ca="1"/>
        <v>3.965289168641942</v>
      </c>
      <c r="X27">
        <f ca="1"/>
        <v>0</v>
      </c>
      <c r="Y27">
        <f ca="1"/>
        <v>0.38759641094885505</v>
      </c>
      <c r="Z27">
        <f ca="1"/>
        <v>0</v>
      </c>
      <c r="AA27">
        <f ca="1"/>
        <v>0</v>
      </c>
      <c r="AB27">
        <f ca="1"/>
        <v>2.6809358252199624E-2</v>
      </c>
      <c r="AD27" s="2">
        <f t="shared" ca="1" si="2"/>
        <v>45236</v>
      </c>
      <c r="AE27">
        <f t="shared" ca="1" si="3"/>
        <v>0</v>
      </c>
      <c r="AG27" s="63">
        <f t="shared" ca="1" si="7"/>
        <v>52.918290106630565</v>
      </c>
      <c r="AH27" s="63">
        <f t="shared" ca="1" si="8"/>
        <v>52.918290106630565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t/ha</v>
      </c>
      <c r="G28" s="3">
        <f t="shared" ca="1" si="4"/>
        <v>266</v>
      </c>
      <c r="H28" s="95">
        <f t="shared" ca="1" si="6"/>
        <v>45191</v>
      </c>
      <c r="I28" s="119">
        <f ca="1">HLOOKUP($H$5,'Met Data'!$A$2:$F$368,G28,FALSE)</f>
        <v>9.6348484848484794</v>
      </c>
      <c r="J28" s="119">
        <f ca="1">HLOOKUP($H$5,'Met Data'!$H$2:$M$368,G28,FALSE)*L28</f>
        <v>1.4060606060606</v>
      </c>
      <c r="K28" s="96">
        <f ca="1">HLOOKUP($H$5,'Met Data'!$O$2:$T$368,G28,FALSE)</f>
        <v>2.8650949205126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45237</v>
      </c>
      <c r="Q28">
        <f ca="1"/>
        <v>52.786497981367049</v>
      </c>
      <c r="R28">
        <f ca="1"/>
        <v>0.16950156429661956</v>
      </c>
      <c r="S28">
        <f ca="1"/>
        <v>-0.11788535185708149</v>
      </c>
      <c r="T28" s="4">
        <f ca="1"/>
        <v>0.31564417426998337</v>
      </c>
      <c r="U28">
        <f ca="1"/>
        <v>0</v>
      </c>
      <c r="V28">
        <f ca="1"/>
        <v>4.8095702535855933</v>
      </c>
      <c r="W28">
        <f ca="1"/>
        <v>4.1101410581246913</v>
      </c>
      <c r="X28">
        <f ca="1"/>
        <v>0</v>
      </c>
      <c r="Y28">
        <f ca="1"/>
        <v>0.39773221944453752</v>
      </c>
      <c r="Z28">
        <f ca="1"/>
        <v>0</v>
      </c>
      <c r="AA28">
        <f ca="1"/>
        <v>0</v>
      </c>
      <c r="AB28">
        <f ca="1"/>
        <v>3.3493154182760401E-2</v>
      </c>
      <c r="AD28" s="2">
        <f t="shared" ca="1" si="2"/>
        <v>45237</v>
      </c>
      <c r="AE28">
        <f t="shared" ca="1" si="3"/>
        <v>0</v>
      </c>
      <c r="AG28" s="63">
        <f t="shared" ca="1" si="7"/>
        <v>52.955999545663666</v>
      </c>
      <c r="AH28" s="63">
        <f t="shared" ca="1" si="8"/>
        <v>52.955999545663666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ca="1" si="4"/>
        <v>267</v>
      </c>
      <c r="H29" s="95">
        <f t="shared" ca="1" si="6"/>
        <v>45192</v>
      </c>
      <c r="I29" s="119">
        <f ca="1">HLOOKUP($H$5,'Met Data'!$A$2:$F$368,G29,FALSE)</f>
        <v>9.4318181818181799</v>
      </c>
      <c r="J29" s="119">
        <f ca="1">HLOOKUP($H$5,'Met Data'!$H$2:$M$368,G29,FALSE)*L29</f>
        <v>0.86060606060606004</v>
      </c>
      <c r="K29" s="96">
        <f ca="1">HLOOKUP($H$5,'Met Data'!$O$2:$T$368,G29,FALSE)</f>
        <v>2.84690777824148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45238</v>
      </c>
      <c r="Q29">
        <f ca="1"/>
        <v>52.810943865943152</v>
      </c>
      <c r="R29">
        <f ca="1"/>
        <v>0.1747548714270879</v>
      </c>
      <c r="S29">
        <f ca="1"/>
        <v>-0.10895750595058651</v>
      </c>
      <c r="T29" s="4">
        <f ca="1"/>
        <v>0.30815826195377771</v>
      </c>
      <c r="U29">
        <f ca="1"/>
        <v>0</v>
      </c>
      <c r="V29">
        <f ca="1"/>
        <v>4.9843251250126812</v>
      </c>
      <c r="W29">
        <f ca="1"/>
        <v>4.2594822953431928</v>
      </c>
      <c r="X29">
        <f ca="1"/>
        <v>0</v>
      </c>
      <c r="Y29">
        <f ca="1"/>
        <v>0.3825337876233143</v>
      </c>
      <c r="Z29">
        <f ca="1"/>
        <v>0</v>
      </c>
      <c r="AA29">
        <f ca="1"/>
        <v>0</v>
      </c>
      <c r="AB29">
        <f ca="1"/>
        <v>4.1731353626365791E-2</v>
      </c>
      <c r="AD29" s="2">
        <f t="shared" ca="1" si="2"/>
        <v>45238</v>
      </c>
      <c r="AE29">
        <f t="shared" ca="1" si="3"/>
        <v>0</v>
      </c>
      <c r="AG29" s="63">
        <f t="shared" ca="1" si="7"/>
        <v>52.985698737370242</v>
      </c>
      <c r="AH29" s="63">
        <f t="shared" ca="1" si="8"/>
        <v>52.985698737370242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ca="1" si="4"/>
        <v>268</v>
      </c>
      <c r="H30" s="95">
        <f t="shared" ca="1" si="6"/>
        <v>45193</v>
      </c>
      <c r="I30" s="119">
        <f ca="1">HLOOKUP($H$5,'Met Data'!$A$2:$F$368,G30,FALSE)</f>
        <v>9.9181818181818109</v>
      </c>
      <c r="J30" s="119">
        <f ca="1">HLOOKUP($H$5,'Met Data'!$H$2:$M$368,G30,FALSE)*L30</f>
        <v>2.1454545454545402</v>
      </c>
      <c r="K30" s="96">
        <f ca="1">HLOOKUP($H$5,'Met Data'!$O$2:$T$368,G30,FALSE)</f>
        <v>2.75735755546836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45239</v>
      </c>
      <c r="Q30">
        <f ca="1"/>
        <v>52.832954038309794</v>
      </c>
      <c r="R30">
        <f ca="1"/>
        <v>0.18490099691763007</v>
      </c>
      <c r="S30">
        <f ca="1"/>
        <v>-0.10303392856407001</v>
      </c>
      <c r="T30" s="4">
        <f ca="1"/>
        <v>0.30994509784833368</v>
      </c>
      <c r="U30">
        <f ca="1"/>
        <v>0</v>
      </c>
      <c r="V30">
        <f ca="1"/>
        <v>5.1692261219303113</v>
      </c>
      <c r="W30">
        <f ca="1"/>
        <v>4.4174941631504616</v>
      </c>
      <c r="X30">
        <f ca="1"/>
        <v>0</v>
      </c>
      <c r="Y30">
        <f ca="1"/>
        <v>0.36769988828085626</v>
      </c>
      <c r="Z30">
        <f ca="1"/>
        <v>0</v>
      </c>
      <c r="AA30">
        <f ca="1"/>
        <v>0</v>
      </c>
      <c r="AB30">
        <f ca="1"/>
        <v>5.2129217261005556E-2</v>
      </c>
      <c r="AD30" s="2">
        <f t="shared" ca="1" si="2"/>
        <v>45239</v>
      </c>
      <c r="AE30">
        <f t="shared" ca="1" si="3"/>
        <v>0</v>
      </c>
      <c r="AG30" s="63">
        <f t="shared" ca="1" si="7"/>
        <v>53.01785503522742</v>
      </c>
      <c r="AH30" s="63">
        <f t="shared" ca="1" si="8"/>
        <v>53.017855035227427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0</v>
      </c>
      <c r="G31" s="3">
        <f t="shared" ca="1" si="4"/>
        <v>269</v>
      </c>
      <c r="H31" s="95">
        <f t="shared" ca="1" si="6"/>
        <v>45194</v>
      </c>
      <c r="I31" s="119">
        <f ca="1">HLOOKUP($H$5,'Met Data'!$A$2:$F$368,G31,FALSE)</f>
        <v>9.4424242424242397</v>
      </c>
      <c r="J31" s="119">
        <f ca="1">HLOOKUP($H$5,'Met Data'!$H$2:$M$368,G31,FALSE)*L31</f>
        <v>2.4363636363636298</v>
      </c>
      <c r="K31" s="96">
        <f ca="1">HLOOKUP($H$5,'Met Data'!$O$2:$T$368,G31,FALSE)</f>
        <v>2.5822558734868299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45240</v>
      </c>
      <c r="Q31">
        <f ca="1"/>
        <v>52.857749581786564</v>
      </c>
      <c r="R31">
        <f ca="1"/>
        <v>0.21472145717617153</v>
      </c>
      <c r="S31">
        <f ca="1"/>
        <v>-0.10155414541846852</v>
      </c>
      <c r="T31" s="4">
        <f ca="1"/>
        <v>0.34107114607140704</v>
      </c>
      <c r="U31">
        <f ca="1"/>
        <v>0</v>
      </c>
      <c r="V31">
        <f ca="1"/>
        <v>5.3839475791064828</v>
      </c>
      <c r="W31">
        <f ca="1"/>
        <v>4.6009898666475051</v>
      </c>
      <c r="X31">
        <f ca="1"/>
        <v>0</v>
      </c>
      <c r="Y31">
        <f ca="1"/>
        <v>0.33793436551826317</v>
      </c>
      <c r="Z31">
        <f ca="1"/>
        <v>0</v>
      </c>
      <c r="AA31">
        <f ca="1"/>
        <v>0</v>
      </c>
      <c r="AB31">
        <f ca="1"/>
        <v>6.6641130841995966E-2</v>
      </c>
      <c r="AD31" s="2">
        <f t="shared" ca="1" si="2"/>
        <v>45240</v>
      </c>
      <c r="AE31">
        <f t="shared" ca="1" si="3"/>
        <v>0</v>
      </c>
      <c r="AG31" s="63">
        <f t="shared" ca="1" si="7"/>
        <v>53.072471038962732</v>
      </c>
      <c r="AH31" s="63">
        <f t="shared" ca="1" si="8"/>
        <v>53.072471038962732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45231</v>
      </c>
      <c r="G32" s="3">
        <f t="shared" ca="1" si="4"/>
        <v>270</v>
      </c>
      <c r="H32" s="95">
        <f t="shared" ca="1" si="6"/>
        <v>45195</v>
      </c>
      <c r="I32" s="119">
        <f ca="1">HLOOKUP($H$5,'Met Data'!$A$2:$F$368,G32,FALSE)</f>
        <v>10.2424242424242</v>
      </c>
      <c r="J32" s="119">
        <f ca="1">HLOOKUP($H$5,'Met Data'!$H$2:$M$368,G32,FALSE)*L32</f>
        <v>1.5363636363636299</v>
      </c>
      <c r="K32" s="96">
        <f ca="1">HLOOKUP($H$5,'Met Data'!$O$2:$T$368,G32,FALSE)</f>
        <v>3.0759435950739098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45241</v>
      </c>
      <c r="Q32">
        <f ca="1"/>
        <v>52.871410517486595</v>
      </c>
      <c r="R32">
        <f ca="1"/>
        <v>0.21268627740254153</v>
      </c>
      <c r="S32">
        <f ca="1"/>
        <v>-8.8440188759020266E-2</v>
      </c>
      <c r="T32" s="4">
        <f ca="1"/>
        <v>0.31478740186159354</v>
      </c>
      <c r="U32">
        <f ca="1"/>
        <v>0</v>
      </c>
      <c r="V32">
        <f ca="1"/>
        <v>5.5966338565090243</v>
      </c>
      <c r="W32">
        <f ca="1"/>
        <v>4.782746355306795</v>
      </c>
      <c r="X32">
        <f ca="1"/>
        <v>0</v>
      </c>
      <c r="Y32">
        <f ca="1"/>
        <v>0.31907786693345952</v>
      </c>
      <c r="Z32">
        <f ca="1"/>
        <v>0</v>
      </c>
      <c r="AA32">
        <f ca="1"/>
        <v>0</v>
      </c>
      <c r="AB32">
        <f ca="1"/>
        <v>8.3883058908410163E-2</v>
      </c>
      <c r="AD32" s="2">
        <f t="shared" ca="1" si="2"/>
        <v>45241</v>
      </c>
      <c r="AE32">
        <f t="shared" ca="1" si="3"/>
        <v>0</v>
      </c>
      <c r="AG32" s="63">
        <f t="shared" ca="1" si="7"/>
        <v>53.084096794889135</v>
      </c>
      <c r="AH32" s="63">
        <f t="shared" ca="1" si="8"/>
        <v>53.084096794889135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ca="1" si="4"/>
        <v>271</v>
      </c>
      <c r="H33" s="95">
        <f t="shared" ca="1" si="6"/>
        <v>45196</v>
      </c>
      <c r="I33" s="119">
        <f ca="1">HLOOKUP($H$5,'Met Data'!$A$2:$F$368,G33,FALSE)</f>
        <v>10.445454545454499</v>
      </c>
      <c r="J33" s="119">
        <f ca="1">HLOOKUP($H$5,'Met Data'!$H$2:$M$368,G33,FALSE)*L33</f>
        <v>0.384848484848484</v>
      </c>
      <c r="K33" s="96">
        <f ca="1">HLOOKUP($H$5,'Met Data'!$O$2:$T$368,G33,FALSE)</f>
        <v>3.0351526425456301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45242</v>
      </c>
      <c r="Q33">
        <f ca="1"/>
        <v>52.879003884726622</v>
      </c>
      <c r="R33">
        <f ca="1"/>
        <v>0.21498331900681933</v>
      </c>
      <c r="S33">
        <f ca="1"/>
        <v>-8.5898223384433869E-2</v>
      </c>
      <c r="T33" s="4">
        <f ca="1"/>
        <v>0.30847490963127672</v>
      </c>
      <c r="U33">
        <f ca="1"/>
        <v>0</v>
      </c>
      <c r="V33">
        <f ca="1"/>
        <v>5.8116171755158437</v>
      </c>
      <c r="W33">
        <f ca="1"/>
        <v>4.966465839517074</v>
      </c>
      <c r="X33">
        <f ca="1"/>
        <v>0</v>
      </c>
      <c r="Y33">
        <f ca="1"/>
        <v>0.32817673069825648</v>
      </c>
      <c r="Z33">
        <f ca="1"/>
        <v>0</v>
      </c>
      <c r="AA33">
        <f ca="1"/>
        <v>0</v>
      </c>
      <c r="AB33">
        <f ca="1"/>
        <v>0.10447555079288791</v>
      </c>
      <c r="AD33" s="2">
        <f t="shared" ca="1" si="2"/>
        <v>45242</v>
      </c>
      <c r="AE33">
        <f t="shared" ca="1" si="3"/>
        <v>0</v>
      </c>
      <c r="AG33" s="63">
        <f t="shared" ca="1" si="7"/>
        <v>53.093987203733441</v>
      </c>
      <c r="AH33" s="63">
        <f t="shared" ca="1" si="8"/>
        <v>53.093987203733441</v>
      </c>
      <c r="AI33" s="3">
        <f t="shared" ca="1" si="9"/>
        <v>0</v>
      </c>
    </row>
    <row r="34" spans="1:35">
      <c r="A34" s="9" t="s">
        <v>126</v>
      </c>
      <c r="B34" s="36">
        <f>CurrentHarvestDate</f>
        <v>45350</v>
      </c>
      <c r="G34" s="3">
        <f t="shared" ca="1" si="4"/>
        <v>272</v>
      </c>
      <c r="H34" s="95">
        <f t="shared" ca="1" si="6"/>
        <v>45197</v>
      </c>
      <c r="I34" s="119">
        <f ca="1">HLOOKUP($H$5,'Met Data'!$A$2:$F$368,G34,FALSE)</f>
        <v>10.198484848484799</v>
      </c>
      <c r="J34" s="119">
        <f ca="1">HLOOKUP($H$5,'Met Data'!$H$2:$M$368,G34,FALSE)*L34</f>
        <v>2.6393939393939299</v>
      </c>
      <c r="K34" s="96">
        <f ca="1">HLOOKUP($H$5,'Met Data'!$O$2:$T$368,G34,FALSE)</f>
        <v>2.92273242129352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45243</v>
      </c>
      <c r="Q34">
        <f ca="1"/>
        <v>52.876823087092149</v>
      </c>
      <c r="R34">
        <f ca="1"/>
        <v>0.20796056143500152</v>
      </c>
      <c r="S34">
        <f ca="1"/>
        <v>-7.5583756371843336E-2</v>
      </c>
      <c r="T34" s="4">
        <f ca="1"/>
        <v>0.28136352017237093</v>
      </c>
      <c r="U34">
        <f ca="1"/>
        <v>0</v>
      </c>
      <c r="V34">
        <f ca="1"/>
        <v>6.0195777369508452</v>
      </c>
      <c r="W34">
        <f ca="1"/>
        <v>5.1441838469393453</v>
      </c>
      <c r="X34">
        <f ca="1"/>
        <v>0</v>
      </c>
      <c r="Y34">
        <f ca="1"/>
        <v>0.3167503259720138</v>
      </c>
      <c r="Z34">
        <f ca="1"/>
        <v>0</v>
      </c>
      <c r="AA34">
        <f ca="1"/>
        <v>0</v>
      </c>
      <c r="AB34">
        <f ca="1"/>
        <v>0.12761090993348417</v>
      </c>
      <c r="AD34" s="2">
        <f t="shared" ca="1" si="2"/>
        <v>45243</v>
      </c>
      <c r="AE34">
        <f t="shared" ca="1" si="3"/>
        <v>0</v>
      </c>
      <c r="AG34" s="63">
        <f t="shared" ca="1" si="7"/>
        <v>53.08478364852715</v>
      </c>
      <c r="AH34" s="63">
        <f t="shared" ca="1" si="8"/>
        <v>53.08478364852715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EarlyReproductive</v>
      </c>
      <c r="G35" s="3">
        <f t="shared" ca="1" si="4"/>
        <v>273</v>
      </c>
      <c r="H35" s="95">
        <f t="shared" ca="1" si="6"/>
        <v>45198</v>
      </c>
      <c r="I35" s="119">
        <f ca="1">HLOOKUP($H$5,'Met Data'!$A$2:$F$368,G35,FALSE)</f>
        <v>10.072727272727199</v>
      </c>
      <c r="J35" s="119">
        <f ca="1">HLOOKUP($H$5,'Met Data'!$H$2:$M$368,G35,FALSE)*L35</f>
        <v>2.21515151515151</v>
      </c>
      <c r="K35" s="96">
        <f ca="1">HLOOKUP($H$5,'Met Data'!$O$2:$T$368,G35,FALSE)</f>
        <v>3.0079671587405801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45244</v>
      </c>
      <c r="Q35">
        <f ca="1"/>
        <v>52.868428438924852</v>
      </c>
      <c r="R35">
        <f ca="1"/>
        <v>0.22526916290241417</v>
      </c>
      <c r="S35">
        <f ca="1"/>
        <v>-6.9055709221434114E-2</v>
      </c>
      <c r="T35" s="4">
        <f ca="1"/>
        <v>0.28593022395654905</v>
      </c>
      <c r="U35">
        <f ca="1"/>
        <v>0</v>
      </c>
      <c r="V35">
        <f ca="1"/>
        <v>6.2448468998532594</v>
      </c>
      <c r="W35">
        <f ca="1"/>
        <v>5.3366933616687184</v>
      </c>
      <c r="X35">
        <f ca="1"/>
        <v>0</v>
      </c>
      <c r="Y35">
        <f ca="1"/>
        <v>0.28635330356201821</v>
      </c>
      <c r="Z35">
        <f ca="1"/>
        <v>0</v>
      </c>
      <c r="AA35">
        <f ca="1"/>
        <v>0</v>
      </c>
      <c r="AB35">
        <f ca="1"/>
        <v>0.15635350975558476</v>
      </c>
      <c r="AD35" s="2">
        <f t="shared" ca="1" si="2"/>
        <v>45244</v>
      </c>
      <c r="AE35">
        <f t="shared" ca="1" si="3"/>
        <v>0</v>
      </c>
      <c r="AG35" s="63">
        <f t="shared" ca="1" si="7"/>
        <v>53.093697601827266</v>
      </c>
      <c r="AH35" s="63">
        <f t="shared" ca="1" si="8"/>
        <v>53.093697601827266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ca="1" si="4"/>
        <v>274</v>
      </c>
      <c r="H36" s="95">
        <f t="shared" ca="1" si="6"/>
        <v>45199</v>
      </c>
      <c r="I36" s="119">
        <f ca="1">HLOOKUP($H$5,'Met Data'!$A$2:$F$368,G36,FALSE)</f>
        <v>11.2515151515151</v>
      </c>
      <c r="J36" s="119">
        <f ca="1">HLOOKUP($H$5,'Met Data'!$H$2:$M$368,G36,FALSE)*L36</f>
        <v>0.33939393939393903</v>
      </c>
      <c r="K36" s="96">
        <f ca="1">HLOOKUP($H$5,'Met Data'!$O$2:$T$368,G36,FALSE)</f>
        <v>3.4114061949116499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45245</v>
      </c>
      <c r="Q36">
        <f ca="1"/>
        <v>52.852311841400009</v>
      </c>
      <c r="R36">
        <f ca="1"/>
        <v>0.24138256290436644</v>
      </c>
      <c r="S36">
        <f ca="1"/>
        <v>-6.1800222999750076E-2</v>
      </c>
      <c r="T36" s="4">
        <f ca="1"/>
        <v>0.2870661883792674</v>
      </c>
      <c r="U36">
        <f ca="1"/>
        <v>0</v>
      </c>
      <c r="V36">
        <f ca="1"/>
        <v>6.4862294627576258</v>
      </c>
      <c r="W36">
        <f ca="1"/>
        <v>5.5429729937770071</v>
      </c>
      <c r="X36">
        <f ca="1"/>
        <v>0</v>
      </c>
      <c r="Y36">
        <f ca="1"/>
        <v>0.2555330825253827</v>
      </c>
      <c r="Z36">
        <f ca="1"/>
        <v>0</v>
      </c>
      <c r="AA36">
        <f ca="1"/>
        <v>0</v>
      </c>
      <c r="AB36">
        <f ca="1"/>
        <v>0.19138122635798832</v>
      </c>
      <c r="AD36" s="2">
        <f t="shared" ca="1" si="2"/>
        <v>45245</v>
      </c>
      <c r="AE36">
        <f t="shared" ca="1" si="3"/>
        <v>0</v>
      </c>
      <c r="AG36" s="63">
        <f t="shared" ca="1" si="7"/>
        <v>53.093694404304372</v>
      </c>
      <c r="AH36" s="63">
        <f t="shared" ca="1" si="8"/>
        <v>53.093694404304372</v>
      </c>
      <c r="AI36" s="3">
        <f t="shared" ca="1" si="9"/>
        <v>0</v>
      </c>
    </row>
    <row r="37" spans="1:35" ht="15" thickBot="1">
      <c r="A37" s="9" t="s">
        <v>168</v>
      </c>
      <c r="B37" s="10" t="str">
        <f>CurrentResidueIncorporation</f>
        <v>Full (Plough)</v>
      </c>
      <c r="G37" s="3">
        <f t="shared" ca="1" si="4"/>
        <v>275</v>
      </c>
      <c r="H37" s="95">
        <f t="shared" ca="1" si="6"/>
        <v>45200</v>
      </c>
      <c r="I37" s="119">
        <f ca="1">HLOOKUP($H$5,'Met Data'!$A$2:$F$368,G37,FALSE)</f>
        <v>11.2893939393939</v>
      </c>
      <c r="J37" s="119">
        <f ca="1">HLOOKUP($H$5,'Met Data'!$H$2:$M$368,G37,FALSE)*L37</f>
        <v>0.36060606060605999</v>
      </c>
      <c r="K37" s="96">
        <f ca="1">HLOOKUP($H$5,'Met Data'!$O$2:$T$368,G37,FALSE)</f>
        <v>3.4573036102364698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45246</v>
      </c>
      <c r="Q37">
        <f ca="1"/>
        <v>52.829102970781548</v>
      </c>
      <c r="R37">
        <f ca="1"/>
        <v>0.25687555978107213</v>
      </c>
      <c r="S37">
        <f ca="1"/>
        <v>-6.0441543534037301E-2</v>
      </c>
      <c r="T37">
        <f ca="1"/>
        <v>0.29410823269665237</v>
      </c>
      <c r="U37">
        <f ca="1"/>
        <v>0</v>
      </c>
      <c r="V37">
        <f ca="1"/>
        <v>6.7431050225386979</v>
      </c>
      <c r="W37">
        <f ca="1"/>
        <v>5.7624925619334011</v>
      </c>
      <c r="X37">
        <f ca="1"/>
        <v>0</v>
      </c>
      <c r="Y37">
        <f ca="1"/>
        <v>0.25059101566768205</v>
      </c>
      <c r="Z37">
        <f ca="1"/>
        <v>0</v>
      </c>
      <c r="AA37">
        <f ca="1"/>
        <v>0</v>
      </c>
      <c r="AB37">
        <f ca="1"/>
        <v>0.23320551830291436</v>
      </c>
      <c r="AD37" s="2">
        <f t="shared" ca="1" si="2"/>
        <v>45246</v>
      </c>
      <c r="AE37">
        <f t="shared" ca="1" si="3"/>
        <v>0</v>
      </c>
      <c r="AG37" s="63">
        <f t="shared" ca="1" si="7"/>
        <v>53.08597853056262</v>
      </c>
      <c r="AH37" s="63">
        <f t="shared" ca="1" si="8"/>
        <v>53.08597853056262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Oat Fodder General</v>
      </c>
      <c r="G38" s="3">
        <f t="shared" ca="1" si="4"/>
        <v>276</v>
      </c>
      <c r="H38" s="95">
        <f t="shared" ca="1" si="6"/>
        <v>45201</v>
      </c>
      <c r="I38" s="119">
        <f ca="1">HLOOKUP($H$5,'Met Data'!$A$2:$F$368,G38,FALSE)</f>
        <v>11.590909090908999</v>
      </c>
      <c r="J38" s="119">
        <f ca="1">HLOOKUP($H$5,'Met Data'!$H$2:$M$368,G38,FALSE)*L38</f>
        <v>0.86969696969696897</v>
      </c>
      <c r="K38" s="96">
        <f ca="1">HLOOKUP($H$5,'Met Data'!$O$2:$T$368,G38,FALSE)</f>
        <v>3.4181246576745901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45247</v>
      </c>
      <c r="Q38">
        <f ca="1"/>
        <v>52.795840434845907</v>
      </c>
      <c r="R38">
        <f ca="1"/>
        <v>0.24937433964988198</v>
      </c>
      <c r="S38">
        <f ca="1"/>
        <v>-5.3031303231117377E-2</v>
      </c>
      <c r="T38">
        <f ca="1"/>
        <v>0.26914310694535815</v>
      </c>
      <c r="U38">
        <f ca="1"/>
        <v>0</v>
      </c>
      <c r="V38">
        <f ca="1"/>
        <v>6.9924793621885799</v>
      </c>
      <c r="W38">
        <f ca="1"/>
        <v>5.9756017709055733</v>
      </c>
      <c r="X38">
        <f ca="1"/>
        <v>0</v>
      </c>
      <c r="Y38">
        <f ca="1"/>
        <v>0.239642223532161</v>
      </c>
      <c r="Z38">
        <f ca="1"/>
        <v>0</v>
      </c>
      <c r="AA38">
        <f ca="1"/>
        <v>0</v>
      </c>
      <c r="AB38">
        <f ca="1"/>
        <v>0.27777221944301222</v>
      </c>
      <c r="AD38" s="2">
        <f t="shared" ca="1" si="2"/>
        <v>45247</v>
      </c>
      <c r="AE38">
        <f t="shared" ca="1" si="3"/>
        <v>0</v>
      </c>
      <c r="AG38" s="63">
        <f t="shared" ca="1" si="7"/>
        <v>53.04521477449579</v>
      </c>
      <c r="AH38" s="63">
        <f t="shared" ca="1" si="8"/>
        <v>53.04521477449579</v>
      </c>
      <c r="AI38" s="3">
        <f t="shared" ca="1" si="9"/>
        <v>0</v>
      </c>
    </row>
    <row r="39" spans="1:35">
      <c r="A39" s="6" t="s">
        <v>243</v>
      </c>
      <c r="B39" s="32">
        <f>FollowingYIeld</f>
        <v>10</v>
      </c>
      <c r="G39" s="3">
        <f t="shared" ca="1" si="4"/>
        <v>277</v>
      </c>
      <c r="H39" s="95">
        <f t="shared" ca="1" si="6"/>
        <v>45202</v>
      </c>
      <c r="I39" s="119">
        <f ca="1">HLOOKUP($H$5,'Met Data'!$A$2:$F$368,G39,FALSE)</f>
        <v>10.8530303030303</v>
      </c>
      <c r="J39" s="119">
        <f ca="1">HLOOKUP($H$5,'Met Data'!$H$2:$M$368,G39,FALSE)*L39</f>
        <v>2.9272727272727201</v>
      </c>
      <c r="K39" s="96">
        <f ca="1">HLOOKUP($H$5,'Met Data'!$O$2:$T$368,G39,FALSE)</f>
        <v>3.28237222726839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45248</v>
      </c>
      <c r="Q39">
        <f ca="1"/>
        <v>52.755910850019752</v>
      </c>
      <c r="R39">
        <f ca="1"/>
        <v>0.24749133875704654</v>
      </c>
      <c r="S39">
        <f ca="1"/>
        <v>-5.2313612233192863E-2</v>
      </c>
      <c r="T39">
        <f ca="1"/>
        <v>0.25987536616408202</v>
      </c>
      <c r="U39">
        <f ca="1"/>
        <v>0</v>
      </c>
      <c r="V39">
        <f ca="1"/>
        <v>7.2399707009456264</v>
      </c>
      <c r="W39">
        <f ca="1"/>
        <v>6.1871018133880025</v>
      </c>
      <c r="X39">
        <f ca="1"/>
        <v>0</v>
      </c>
      <c r="Y39">
        <f ca="1"/>
        <v>0.25121312229466469</v>
      </c>
      <c r="Z39">
        <f ca="1"/>
        <v>0</v>
      </c>
      <c r="AA39">
        <f ca="1"/>
        <v>0</v>
      </c>
      <c r="AB39">
        <f ca="1"/>
        <v>0.32510512173903316</v>
      </c>
      <c r="AD39" s="2">
        <f t="shared" ca="1" si="2"/>
        <v>45248</v>
      </c>
      <c r="AE39">
        <f t="shared" ca="1" si="3"/>
        <v>0</v>
      </c>
      <c r="AG39" s="63">
        <f t="shared" ca="1" si="7"/>
        <v>53.003402188776796</v>
      </c>
      <c r="AH39" s="63">
        <f t="shared" ca="1" si="8"/>
        <v>53.003402188776796</v>
      </c>
      <c r="AI39" s="3">
        <f t="shared" ca="1" si="9"/>
        <v>0</v>
      </c>
    </row>
    <row r="40" spans="1:35">
      <c r="A40" s="6" t="s">
        <v>238</v>
      </c>
      <c r="B40" s="32">
        <f>FollowingPopulation</f>
        <v>1</v>
      </c>
      <c r="G40" s="3">
        <f t="shared" ca="1" si="4"/>
        <v>278</v>
      </c>
      <c r="H40" s="95">
        <f t="shared" ca="1" si="6"/>
        <v>45203</v>
      </c>
      <c r="I40" s="119">
        <f ca="1">HLOOKUP($H$5,'Met Data'!$A$2:$F$368,G40,FALSE)</f>
        <v>10.580303030303</v>
      </c>
      <c r="J40" s="119">
        <f ca="1">HLOOKUP($H$5,'Met Data'!$H$2:$M$368,G40,FALSE)*L40</f>
        <v>3.0151515151515098</v>
      </c>
      <c r="K40" s="96">
        <f ca="1">HLOOKUP($H$5,'Met Data'!$O$2:$T$368,G40,FALSE)</f>
        <v>2.9435441276045902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45249</v>
      </c>
      <c r="Q40">
        <f ca="1"/>
        <v>52.710244625904203</v>
      </c>
      <c r="R40">
        <f ca="1"/>
        <v>0.25161851523158862</v>
      </c>
      <c r="S40">
        <f ca="1"/>
        <v>-5.3209512530056458E-2</v>
      </c>
      <c r="T40">
        <f ca="1"/>
        <v>0.25916180364609204</v>
      </c>
      <c r="U40">
        <f ca="1"/>
        <v>0</v>
      </c>
      <c r="V40">
        <f ca="1"/>
        <v>7.4915892161772151</v>
      </c>
      <c r="W40">
        <f ca="1"/>
        <v>6.4021288399018008</v>
      </c>
      <c r="X40">
        <f ca="1"/>
        <v>0</v>
      </c>
      <c r="Y40">
        <f ca="1"/>
        <v>0.26569968243645614</v>
      </c>
      <c r="Z40">
        <f ca="1"/>
        <v>0</v>
      </c>
      <c r="AA40">
        <f ca="1"/>
        <v>0</v>
      </c>
      <c r="AB40">
        <f ca="1"/>
        <v>0.37542747128096576</v>
      </c>
      <c r="AD40" s="2">
        <f t="shared" ca="1" si="2"/>
        <v>45249</v>
      </c>
      <c r="AE40">
        <f t="shared" ca="1" si="3"/>
        <v>0</v>
      </c>
      <c r="AG40" s="63">
        <f t="shared" ca="1" si="7"/>
        <v>52.961863141135794</v>
      </c>
      <c r="AH40" s="63">
        <f t="shared" ca="1" si="8"/>
        <v>52.961863141135794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t/ha</v>
      </c>
      <c r="G41" s="3">
        <f t="shared" ca="1" si="4"/>
        <v>279</v>
      </c>
      <c r="H41" s="95">
        <f t="shared" ca="1" si="6"/>
        <v>45204</v>
      </c>
      <c r="I41" s="119">
        <f ca="1">HLOOKUP($H$5,'Met Data'!$A$2:$F$368,G41,FALSE)</f>
        <v>10.5</v>
      </c>
      <c r="J41" s="119">
        <f ca="1">HLOOKUP($H$5,'Met Data'!$H$2:$M$368,G41,FALSE)*L41</f>
        <v>1.5060606060606001</v>
      </c>
      <c r="K41" s="96">
        <f ca="1">HLOOKUP($H$5,'Met Data'!$O$2:$T$368,G41,FALSE)</f>
        <v>3.3810413875387701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45250</v>
      </c>
      <c r="Q41">
        <f ca="1"/>
        <v>52.655280463785012</v>
      </c>
      <c r="R41">
        <f ca="1"/>
        <v>0.27938035558652974</v>
      </c>
      <c r="S41">
        <f ca="1"/>
        <v>-5.2738686082612674E-2</v>
      </c>
      <c r="T41">
        <f ca="1"/>
        <v>0.27715487954995105</v>
      </c>
      <c r="U41">
        <f ca="1"/>
        <v>0</v>
      </c>
      <c r="V41">
        <f ca="1"/>
        <v>7.7709695717637448</v>
      </c>
      <c r="W41">
        <f ca="1"/>
        <v>6.6408804559060801</v>
      </c>
      <c r="X41">
        <f ca="1"/>
        <v>0</v>
      </c>
      <c r="Y41">
        <f ca="1"/>
        <v>0.25407325494047839</v>
      </c>
      <c r="Z41">
        <f ca="1"/>
        <v>0</v>
      </c>
      <c r="AA41">
        <f ca="1"/>
        <v>0</v>
      </c>
      <c r="AB41">
        <f ca="1"/>
        <v>0.43256321061131386</v>
      </c>
      <c r="AD41" s="2">
        <f t="shared" ca="1" si="2"/>
        <v>45250</v>
      </c>
      <c r="AE41">
        <f t="shared" ca="1" si="3"/>
        <v>0</v>
      </c>
      <c r="AG41" s="63">
        <f t="shared" ca="1" si="7"/>
        <v>52.934660819371544</v>
      </c>
      <c r="AH41" s="63">
        <f t="shared" ca="1" si="8"/>
        <v>52.934660819371544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ca="1" si="4"/>
        <v>280</v>
      </c>
      <c r="H42" s="95">
        <f t="shared" ca="1" si="6"/>
        <v>45205</v>
      </c>
      <c r="I42" s="119">
        <f ca="1">HLOOKUP($H$5,'Met Data'!$A$2:$F$368,G42,FALSE)</f>
        <v>11.0757575757575</v>
      </c>
      <c r="J42" s="119">
        <f ca="1">HLOOKUP($H$5,'Met Data'!$H$2:$M$368,G42,FALSE)*L42</f>
        <v>0.86666666666666603</v>
      </c>
      <c r="K42" s="96">
        <f ca="1">HLOOKUP($H$5,'Met Data'!$O$2:$T$368,G42,FALSE)</f>
        <v>3.3814368699018198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45251</v>
      </c>
      <c r="Q42">
        <f ca="1"/>
        <v>52.593719992030906</v>
      </c>
      <c r="R42">
        <f ca="1"/>
        <v>0.28742908804260203</v>
      </c>
      <c r="S42">
        <f ca="1"/>
        <v>-5.458433124961104E-2</v>
      </c>
      <c r="T42">
        <f ca="1"/>
        <v>0.28045294753809896</v>
      </c>
      <c r="U42">
        <f ca="1"/>
        <v>0</v>
      </c>
      <c r="V42">
        <f ca="1"/>
        <v>8.0583986598063468</v>
      </c>
      <c r="W42">
        <f ca="1"/>
        <v>6.8865103217308921</v>
      </c>
      <c r="X42">
        <f ca="1"/>
        <v>0</v>
      </c>
      <c r="Y42">
        <f ca="1"/>
        <v>0.27178181246146144</v>
      </c>
      <c r="Z42">
        <f ca="1"/>
        <v>0</v>
      </c>
      <c r="AA42">
        <f ca="1"/>
        <v>0</v>
      </c>
      <c r="AB42">
        <f ca="1"/>
        <v>0.49115786539008255</v>
      </c>
      <c r="AD42" s="2">
        <f t="shared" ca="1" si="2"/>
        <v>45251</v>
      </c>
      <c r="AE42">
        <f t="shared" ca="1" si="3"/>
        <v>0</v>
      </c>
      <c r="AG42" s="63">
        <f t="shared" ca="1" si="7"/>
        <v>52.881149080073506</v>
      </c>
      <c r="AH42" s="63">
        <f t="shared" ca="1" si="8"/>
        <v>52.881149080073506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ca="1" si="4"/>
        <v>281</v>
      </c>
      <c r="H43" s="95">
        <f t="shared" ca="1" si="6"/>
        <v>45206</v>
      </c>
      <c r="I43" s="119">
        <f ca="1">HLOOKUP($H$5,'Met Data'!$A$2:$F$368,G43,FALSE)</f>
        <v>11.1621212121212</v>
      </c>
      <c r="J43" s="119">
        <f ca="1">HLOOKUP($H$5,'Met Data'!$H$2:$M$368,G43,FALSE)*L43</f>
        <v>1.1424242424242399</v>
      </c>
      <c r="K43" s="96">
        <f ca="1">HLOOKUP($H$5,'Met Data'!$O$2:$T$368,G43,FALSE)</f>
        <v>3.44855016002714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45252</v>
      </c>
      <c r="Q43">
        <f ca="1"/>
        <v>52.524098212183944</v>
      </c>
      <c r="R43">
        <f ca="1"/>
        <v>0.28143101057488806</v>
      </c>
      <c r="S43">
        <f ca="1"/>
        <v>-4.8703233516707911E-2</v>
      </c>
      <c r="T43">
        <f ca="1"/>
        <v>0.26051246424463598</v>
      </c>
      <c r="U43">
        <f ca="1"/>
        <v>0</v>
      </c>
      <c r="V43">
        <f ca="1"/>
        <v>8.3398296703812349</v>
      </c>
      <c r="W43">
        <f ca="1"/>
        <v>7.1270143773127863</v>
      </c>
      <c r="X43">
        <f ca="1"/>
        <v>0</v>
      </c>
      <c r="Y43">
        <f ca="1"/>
        <v>0.26135837273611323</v>
      </c>
      <c r="Z43">
        <f ca="1"/>
        <v>0</v>
      </c>
      <c r="AA43">
        <f ca="1"/>
        <v>0</v>
      </c>
      <c r="AB43">
        <f ca="1"/>
        <v>0.54686968125730695</v>
      </c>
      <c r="AD43" s="2">
        <f t="shared" ca="1" si="2"/>
        <v>45252</v>
      </c>
      <c r="AE43">
        <f t="shared" ca="1" si="3"/>
        <v>0</v>
      </c>
      <c r="AG43" s="63">
        <f t="shared" ca="1" si="7"/>
        <v>52.805529222758828</v>
      </c>
      <c r="AH43" s="63">
        <f t="shared" ca="1" si="8"/>
        <v>52.805529222758835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0</v>
      </c>
      <c r="G44" s="3">
        <f t="shared" ca="1" si="4"/>
        <v>282</v>
      </c>
      <c r="H44" s="95">
        <f t="shared" ca="1" si="6"/>
        <v>45207</v>
      </c>
      <c r="I44" s="119">
        <f ca="1">HLOOKUP($H$5,'Met Data'!$A$2:$F$368,G44,FALSE)</f>
        <v>10.442424242424201</v>
      </c>
      <c r="J44" s="119">
        <f ca="1">HLOOKUP($H$5,'Met Data'!$H$2:$M$368,G44,FALSE)*L44</f>
        <v>3.97272727272727</v>
      </c>
      <c r="K44" s="96">
        <f ca="1">HLOOKUP($H$5,'Met Data'!$O$2:$T$368,G44,FALSE)</f>
        <v>3.0735601882933201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45253</v>
      </c>
      <c r="Q44">
        <f ca="1"/>
        <v>52.440136476413372</v>
      </c>
      <c r="R44">
        <f ca="1"/>
        <v>0.32323242694713983</v>
      </c>
      <c r="S44">
        <f ca="1"/>
        <v>-4.8392435066771711E-2</v>
      </c>
      <c r="T44">
        <f ca="1"/>
        <v>0.28766312624334245</v>
      </c>
      <c r="U44">
        <f ca="1"/>
        <v>0</v>
      </c>
      <c r="V44">
        <f ca="1"/>
        <v>8.6630620973283747</v>
      </c>
      <c r="W44">
        <f ca="1"/>
        <v>7.4032409005291377</v>
      </c>
      <c r="X44">
        <f ca="1"/>
        <v>0</v>
      </c>
      <c r="Y44">
        <f ca="1"/>
        <v>0.24287185595153071</v>
      </c>
      <c r="Z44">
        <f ca="1"/>
        <v>0</v>
      </c>
      <c r="AA44">
        <f ca="1"/>
        <v>0</v>
      </c>
      <c r="AB44">
        <f ca="1"/>
        <v>0.60727540167755234</v>
      </c>
      <c r="AD44" s="2">
        <f t="shared" ca="1" si="2"/>
        <v>45253</v>
      </c>
      <c r="AE44">
        <f t="shared" ca="1" si="3"/>
        <v>0</v>
      </c>
      <c r="AG44" s="63">
        <f t="shared" ca="1" si="7"/>
        <v>52.763368903360515</v>
      </c>
      <c r="AH44" s="63">
        <f t="shared" ca="1" si="8"/>
        <v>52.763368903360515</v>
      </c>
      <c r="AI44" s="3">
        <f t="shared" ca="1" si="9"/>
        <v>0</v>
      </c>
    </row>
    <row r="45" spans="1:35">
      <c r="A45" s="6" t="s">
        <v>131</v>
      </c>
      <c r="B45" s="34">
        <f>FollowingEstablishDate</f>
        <v>45365</v>
      </c>
      <c r="G45" s="3">
        <f t="shared" ca="1" si="4"/>
        <v>283</v>
      </c>
      <c r="H45" s="95">
        <f t="shared" ca="1" si="6"/>
        <v>45208</v>
      </c>
      <c r="I45" s="119">
        <f ca="1">HLOOKUP($H$5,'Met Data'!$A$2:$F$368,G45,FALSE)</f>
        <v>10.1257575757575</v>
      </c>
      <c r="J45" s="119">
        <f ca="1">HLOOKUP($H$5,'Met Data'!$H$2:$M$368,G45,FALSE)*L45</f>
        <v>2.9363636363636298</v>
      </c>
      <c r="K45" s="96">
        <f ca="1">HLOOKUP($H$5,'Met Data'!$O$2:$T$368,G45,FALSE)</f>
        <v>2.8856583502815898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45254</v>
      </c>
      <c r="Q45">
        <f ca="1"/>
        <v>52.343260612017062</v>
      </c>
      <c r="R45">
        <f ca="1"/>
        <v>0.34244360212038139</v>
      </c>
      <c r="S45">
        <f ca="1"/>
        <v>-4.5853312572249116E-2</v>
      </c>
      <c r="T45">
        <f ca="1"/>
        <v>0.29142105029632398</v>
      </c>
      <c r="U45">
        <f ca="1"/>
        <v>0</v>
      </c>
      <c r="V45">
        <f ca="1"/>
        <v>9.0055056994487561</v>
      </c>
      <c r="W45">
        <f ca="1"/>
        <v>7.6958848239894069</v>
      </c>
      <c r="X45">
        <f ca="1"/>
        <v>0</v>
      </c>
      <c r="Y45">
        <f ca="1"/>
        <v>0.23153678437966829</v>
      </c>
      <c r="Z45">
        <f ca="1"/>
        <v>0</v>
      </c>
      <c r="AA45">
        <f ca="1"/>
        <v>0</v>
      </c>
      <c r="AB45">
        <f ca="1"/>
        <v>0.66574007341216435</v>
      </c>
      <c r="AD45" s="2">
        <f t="shared" ca="1" si="2"/>
        <v>45254</v>
      </c>
      <c r="AE45">
        <f t="shared" ca="1" si="3"/>
        <v>0</v>
      </c>
      <c r="AG45" s="63">
        <f t="shared" ca="1" si="7"/>
        <v>52.685704214137445</v>
      </c>
      <c r="AH45" s="63">
        <f t="shared" ca="1" si="8"/>
        <v>52.685704214137445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</v>
      </c>
      <c r="G46" s="3">
        <f t="shared" ca="1" si="4"/>
        <v>284</v>
      </c>
      <c r="H46" s="95">
        <f t="shared" ca="1" si="6"/>
        <v>45209</v>
      </c>
      <c r="I46" s="119">
        <f ca="1">HLOOKUP($H$5,'Met Data'!$A$2:$F$368,G46,FALSE)</f>
        <v>10.0590909090909</v>
      </c>
      <c r="J46" s="119">
        <f ca="1">HLOOKUP($H$5,'Met Data'!$H$2:$M$368,G46,FALSE)*L46</f>
        <v>2.5939393939393902</v>
      </c>
      <c r="K46" s="96">
        <f ca="1">HLOOKUP($H$5,'Met Data'!$O$2:$T$368,G46,FALSE)</f>
        <v>2.97068142496583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45255</v>
      </c>
      <c r="Q46">
        <f ca="1"/>
        <v>52.236903449673761</v>
      </c>
      <c r="R46">
        <f ca="1"/>
        <v>0.36392910117000277</v>
      </c>
      <c r="S46">
        <f ca="1"/>
        <v>-5.0921896769493102E-2</v>
      </c>
      <c r="T46">
        <f ca="1"/>
        <v>0.30849383559619314</v>
      </c>
      <c r="U46">
        <f ca="1"/>
        <v>0</v>
      </c>
      <c r="V46">
        <f ca="1"/>
        <v>9.3694348006187589</v>
      </c>
      <c r="W46">
        <f ca="1"/>
        <v>8.0068897292301813</v>
      </c>
      <c r="X46">
        <f ca="1"/>
        <v>0</v>
      </c>
      <c r="Y46">
        <f ca="1"/>
        <v>0.2583996399385089</v>
      </c>
      <c r="Z46">
        <f ca="1"/>
        <v>0</v>
      </c>
      <c r="AA46">
        <f ca="1"/>
        <v>0</v>
      </c>
      <c r="AB46">
        <f ca="1"/>
        <v>0.72073096329096065</v>
      </c>
      <c r="AD46" s="2">
        <f t="shared" ca="1" si="2"/>
        <v>45255</v>
      </c>
      <c r="AE46">
        <f t="shared" ca="1" si="3"/>
        <v>0</v>
      </c>
      <c r="AG46" s="63">
        <f t="shared" ca="1" si="7"/>
        <v>52.600832550843762</v>
      </c>
      <c r="AH46" s="63">
        <f t="shared" ca="1" si="8"/>
        <v>52.600832550843762</v>
      </c>
      <c r="AI46" s="3">
        <f t="shared" ca="1" si="9"/>
        <v>0</v>
      </c>
    </row>
    <row r="47" spans="1:35">
      <c r="A47" s="6" t="s">
        <v>133</v>
      </c>
      <c r="B47" s="34">
        <f>FollowingHarvestDate</f>
        <v>45485</v>
      </c>
      <c r="G47" s="3">
        <f t="shared" ca="1" si="4"/>
        <v>285</v>
      </c>
      <c r="H47" s="95">
        <f t="shared" ca="1" si="6"/>
        <v>45210</v>
      </c>
      <c r="I47" s="119">
        <f ca="1">HLOOKUP($H$5,'Met Data'!$A$2:$F$368,G47,FALSE)</f>
        <v>10.7469696969696</v>
      </c>
      <c r="J47" s="119">
        <f ca="1">HLOOKUP($H$5,'Met Data'!$H$2:$M$368,G47,FALSE)*L47</f>
        <v>1.8181818181818099</v>
      </c>
      <c r="K47" s="96">
        <f ca="1">HLOOKUP($H$5,'Met Data'!$O$2:$T$368,G47,FALSE)</f>
        <v>3.3415142660940802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45256</v>
      </c>
      <c r="Q47">
        <f ca="1"/>
        <v>52.119865346872999</v>
      </c>
      <c r="R47">
        <f ca="1"/>
        <v>0.37000798352104525</v>
      </c>
      <c r="S47">
        <f ca="1"/>
        <v>-4.91195127466586E-2</v>
      </c>
      <c r="T47">
        <f ca="1"/>
        <v>0.30208939346694264</v>
      </c>
      <c r="U47">
        <f ca="1"/>
        <v>0</v>
      </c>
      <c r="V47">
        <f ca="1"/>
        <v>9.7394427841398041</v>
      </c>
      <c r="W47">
        <f ca="1"/>
        <v>8.3230894985900363</v>
      </c>
      <c r="X47">
        <f ca="1"/>
        <v>0</v>
      </c>
      <c r="Y47">
        <f ca="1"/>
        <v>0.26203080979679555</v>
      </c>
      <c r="Z47">
        <f ca="1"/>
        <v>0</v>
      </c>
      <c r="AA47">
        <f ca="1"/>
        <v>0</v>
      </c>
      <c r="AB47">
        <f ca="1"/>
        <v>0.76885901361132569</v>
      </c>
      <c r="AD47" s="2">
        <f t="shared" ca="1" si="2"/>
        <v>45256</v>
      </c>
      <c r="AE47">
        <f t="shared" ca="1" si="3"/>
        <v>0</v>
      </c>
      <c r="AG47" s="63">
        <f t="shared" ca="1" si="7"/>
        <v>52.489873330394047</v>
      </c>
      <c r="AH47" s="63">
        <f t="shared" ca="1" si="8"/>
        <v>52.489873330394047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ca="1" si="4"/>
        <v>286</v>
      </c>
      <c r="H48" s="95">
        <f t="shared" ca="1" si="6"/>
        <v>45211</v>
      </c>
      <c r="I48" s="119">
        <f ca="1">HLOOKUP($H$5,'Met Data'!$A$2:$F$368,G48,FALSE)</f>
        <v>12.012121212121199</v>
      </c>
      <c r="J48" s="119">
        <f ca="1">HLOOKUP($H$5,'Met Data'!$H$2:$M$368,G48,FALSE)*L48</f>
        <v>1.7393939393939299</v>
      </c>
      <c r="K48" s="96">
        <f ca="1">HLOOKUP($H$5,'Met Data'!$O$2:$T$368,G48,FALSE)</f>
        <v>3.8727634784268798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45257</v>
      </c>
      <c r="Q48">
        <f ca="1"/>
        <v>51.990169678776638</v>
      </c>
      <c r="R48">
        <f ca="1"/>
        <v>0.37506500345161342</v>
      </c>
      <c r="S48">
        <f ca="1"/>
        <v>-4.4206311645534235E-2</v>
      </c>
      <c r="T48">
        <f ca="1"/>
        <v>0.28957564700078314</v>
      </c>
      <c r="U48">
        <f ca="1"/>
        <v>0</v>
      </c>
      <c r="V48">
        <f ca="1"/>
        <v>10.114507787591418</v>
      </c>
      <c r="W48">
        <f ca="1"/>
        <v>8.6436108734473613</v>
      </c>
      <c r="X48">
        <f ca="1"/>
        <v>0</v>
      </c>
      <c r="Y48">
        <f ca="1"/>
        <v>0.24804434814248452</v>
      </c>
      <c r="Z48">
        <f ca="1"/>
        <v>0</v>
      </c>
      <c r="AA48">
        <f ca="1"/>
        <v>0</v>
      </c>
      <c r="AB48">
        <f ca="1"/>
        <v>0.80999080120915179</v>
      </c>
      <c r="AD48" s="2">
        <f t="shared" ca="1" si="2"/>
        <v>45257</v>
      </c>
      <c r="AE48">
        <f t="shared" ca="1" si="3"/>
        <v>0</v>
      </c>
      <c r="AG48" s="63">
        <f t="shared" ca="1" si="7"/>
        <v>52.365234682228248</v>
      </c>
      <c r="AH48" s="63">
        <f t="shared" ca="1" si="8"/>
        <v>52.365234682228248</v>
      </c>
      <c r="AI48" s="3">
        <f t="shared" ca="1" si="9"/>
        <v>0</v>
      </c>
    </row>
    <row r="49" spans="1:35" ht="15" thickBot="1">
      <c r="A49" s="7" t="s">
        <v>166</v>
      </c>
      <c r="B49" s="33" t="str">
        <f>FollowingResidueRemoval</f>
        <v>None removed</v>
      </c>
      <c r="G49" s="3">
        <f t="shared" ca="1" si="4"/>
        <v>287</v>
      </c>
      <c r="H49" s="95">
        <f t="shared" ca="1" si="6"/>
        <v>45212</v>
      </c>
      <c r="I49" s="119">
        <f ca="1">HLOOKUP($H$5,'Met Data'!$A$2:$F$368,G49,FALSE)</f>
        <v>11.445454545454499</v>
      </c>
      <c r="J49" s="119">
        <f ca="1">HLOOKUP($H$5,'Met Data'!$H$2:$M$368,G49,FALSE)*L49</f>
        <v>3.22727272727272</v>
      </c>
      <c r="K49" s="96">
        <f ca="1">HLOOKUP($H$5,'Met Data'!$O$2:$T$368,G49,FALSE)</f>
        <v>3.7654187532628201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45258</v>
      </c>
      <c r="Q49">
        <f ca="1"/>
        <v>51.852985778061722</v>
      </c>
      <c r="R49">
        <f ca="1"/>
        <v>0.38261372758972101</v>
      </c>
      <c r="S49">
        <f ca="1"/>
        <v>-4.6377130852028436E-2</v>
      </c>
      <c r="T49">
        <f ca="1"/>
        <v>0.29180695772683107</v>
      </c>
      <c r="U49">
        <f ca="1"/>
        <v>0</v>
      </c>
      <c r="V49">
        <f ca="1"/>
        <v>10.497121515181139</v>
      </c>
      <c r="W49">
        <f ca="1"/>
        <v>8.9705832032508948</v>
      </c>
      <c r="X49">
        <f ca="1"/>
        <v>0</v>
      </c>
      <c r="Y49">
        <f ca="1"/>
        <v>0.27182033614436707</v>
      </c>
      <c r="Z49">
        <f ca="1"/>
        <v>0</v>
      </c>
      <c r="AA49">
        <f ca="1"/>
        <v>0</v>
      </c>
      <c r="AB49">
        <f ca="1"/>
        <v>0.84477308866868184</v>
      </c>
      <c r="AD49" s="2">
        <f t="shared" ca="1" si="2"/>
        <v>45258</v>
      </c>
      <c r="AE49">
        <f t="shared" ca="1" si="3"/>
        <v>0</v>
      </c>
      <c r="AG49" s="63">
        <f t="shared" ca="1" si="7"/>
        <v>52.235599505651443</v>
      </c>
      <c r="AH49" s="63">
        <f t="shared" ca="1" si="8"/>
        <v>52.235599505651443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ca="1" si="4"/>
        <v>288</v>
      </c>
      <c r="H50" s="95">
        <f t="shared" ca="1" si="6"/>
        <v>45213</v>
      </c>
      <c r="I50" s="119">
        <f ca="1">HLOOKUP($H$5,'Met Data'!$A$2:$F$368,G50,FALSE)</f>
        <v>11.0863636363636</v>
      </c>
      <c r="J50" s="119">
        <f ca="1">HLOOKUP($H$5,'Met Data'!$H$2:$M$368,G50,FALSE)*L50</f>
        <v>1.8060606060605999</v>
      </c>
      <c r="K50" s="96">
        <f ca="1">HLOOKUP($H$5,'Met Data'!$O$2:$T$368,G50,FALSE)</f>
        <v>3.5839169020731898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45259</v>
      </c>
      <c r="Q50">
        <f ca="1"/>
        <v>51.704381494693372</v>
      </c>
      <c r="R50">
        <f ca="1"/>
        <v>0.38750435819714113</v>
      </c>
      <c r="S50">
        <f ca="1"/>
        <v>-4.2627788832414026E-2</v>
      </c>
      <c r="T50">
        <f ca="1"/>
        <v>0.28152786366120591</v>
      </c>
      <c r="U50">
        <f ca="1"/>
        <v>0</v>
      </c>
      <c r="V50">
        <f ca="1"/>
        <v>10.88462587337828</v>
      </c>
      <c r="W50">
        <f ca="1"/>
        <v>9.3017349463075547</v>
      </c>
      <c r="X50">
        <f ca="1"/>
        <v>0</v>
      </c>
      <c r="Y50">
        <f ca="1"/>
        <v>0.26259404613771786</v>
      </c>
      <c r="Z50">
        <f ca="1"/>
        <v>0</v>
      </c>
      <c r="AA50">
        <f ca="1"/>
        <v>0</v>
      </c>
      <c r="AB50">
        <f ca="1"/>
        <v>0.87359095949843868</v>
      </c>
      <c r="AD50" s="2">
        <f t="shared" ca="1" si="2"/>
        <v>45259</v>
      </c>
      <c r="AE50">
        <f t="shared" ca="1" si="3"/>
        <v>0</v>
      </c>
      <c r="AG50" s="63">
        <f t="shared" ca="1" si="7"/>
        <v>52.091885852890513</v>
      </c>
      <c r="AH50" s="63">
        <f t="shared" ca="1" si="8"/>
        <v>52.091885852890513</v>
      </c>
      <c r="AI50" s="3">
        <f t="shared" ca="1" si="9"/>
        <v>0</v>
      </c>
    </row>
    <row r="51" spans="1:35">
      <c r="A51" s="12"/>
      <c r="B51" s="13"/>
      <c r="G51" s="3">
        <f t="shared" ca="1" si="4"/>
        <v>289</v>
      </c>
      <c r="H51" s="95">
        <f t="shared" ca="1" si="6"/>
        <v>45214</v>
      </c>
      <c r="I51" s="119">
        <f ca="1">HLOOKUP($H$5,'Met Data'!$A$2:$F$368,G51,FALSE)</f>
        <v>10.820454545454499</v>
      </c>
      <c r="J51" s="119">
        <f ca="1">HLOOKUP($H$5,'Met Data'!$H$2:$M$368,G51,FALSE)*L51</f>
        <v>1.17272727272727</v>
      </c>
      <c r="K51" s="96">
        <f ca="1">HLOOKUP($H$5,'Met Data'!$O$2:$T$368,G51,FALSE)</f>
        <v>3.5135934353686902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45260</v>
      </c>
      <c r="Q51">
        <f ca="1"/>
        <v>51.540215120856274</v>
      </c>
      <c r="R51">
        <f ca="1"/>
        <v>0.4138657517190758</v>
      </c>
      <c r="S51">
        <f ca="1"/>
        <v>-4.2966737732700544E-2</v>
      </c>
      <c r="T51">
        <f ca="1"/>
        <v>0.29266611561467754</v>
      </c>
      <c r="U51">
        <f ca="1"/>
        <v>0</v>
      </c>
      <c r="V51">
        <f ca="1"/>
        <v>11.298491625097355</v>
      </c>
      <c r="W51">
        <f ca="1"/>
        <v>9.6554144912573463</v>
      </c>
      <c r="X51">
        <f ca="1"/>
        <v>0</v>
      </c>
      <c r="Y51">
        <f ca="1"/>
        <v>0.26488762823727852</v>
      </c>
      <c r="Z51">
        <f ca="1"/>
        <v>0</v>
      </c>
      <c r="AA51">
        <f ca="1"/>
        <v>0</v>
      </c>
      <c r="AB51">
        <f ca="1"/>
        <v>0.89839692229687684</v>
      </c>
      <c r="AD51" s="2">
        <f t="shared" ca="1" si="2"/>
        <v>45260</v>
      </c>
      <c r="AE51">
        <f t="shared" ca="1" si="3"/>
        <v>0</v>
      </c>
      <c r="AG51" s="63">
        <f t="shared" ca="1" si="7"/>
        <v>51.954080872575354</v>
      </c>
      <c r="AH51" s="63">
        <f t="shared" ca="1" si="8"/>
        <v>51.954080872575346</v>
      </c>
      <c r="AI51" s="3">
        <f t="shared" ca="1" si="9"/>
        <v>0</v>
      </c>
    </row>
    <row r="52" spans="1:35" ht="15" thickBot="1">
      <c r="A52" s="14"/>
      <c r="B52" s="15"/>
      <c r="G52" s="3">
        <f t="shared" ca="1" si="4"/>
        <v>290</v>
      </c>
      <c r="H52" s="95">
        <f t="shared" ca="1" si="6"/>
        <v>45215</v>
      </c>
      <c r="I52" s="119">
        <f ca="1">HLOOKUP($H$5,'Met Data'!$A$2:$F$368,G52,FALSE)</f>
        <v>11.382575757575699</v>
      </c>
      <c r="J52" s="119">
        <f ca="1">HLOOKUP($H$5,'Met Data'!$H$2:$M$368,G52,FALSE)*L52</f>
        <v>0.98181818181818103</v>
      </c>
      <c r="K52" s="96">
        <f ca="1">HLOOKUP($H$5,'Met Data'!$O$2:$T$368,G52,FALSE)</f>
        <v>3.66659887182134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45261</v>
      </c>
      <c r="Q52">
        <f ca="1"/>
        <v>51.352306648650028</v>
      </c>
      <c r="R52">
        <f ca="1"/>
        <v>0.46045766513992348</v>
      </c>
      <c r="S52">
        <f ca="1"/>
        <v>-4.3419937821017385E-2</v>
      </c>
      <c r="T52">
        <f ca="1"/>
        <v>0.31596913075469774</v>
      </c>
      <c r="U52">
        <f ca="1"/>
        <v>0</v>
      </c>
      <c r="V52">
        <f ca="1"/>
        <v>11.758949290237279</v>
      </c>
      <c r="W52">
        <f ca="1"/>
        <v>10.048910345405421</v>
      </c>
      <c r="X52">
        <f ca="1"/>
        <v>0</v>
      </c>
      <c r="Y52">
        <f ca="1"/>
        <v>0.25785890501707165</v>
      </c>
      <c r="Z52">
        <f ca="1"/>
        <v>0</v>
      </c>
      <c r="AA52">
        <f ca="1"/>
        <v>0</v>
      </c>
      <c r="AB52">
        <f ca="1"/>
        <v>0.92011634652751262</v>
      </c>
      <c r="AD52" s="2">
        <f t="shared" ca="1" si="2"/>
        <v>45261</v>
      </c>
      <c r="AE52">
        <f t="shared" ca="1" si="3"/>
        <v>0</v>
      </c>
      <c r="AG52" s="63">
        <f t="shared" ca="1" si="7"/>
        <v>51.812764313789955</v>
      </c>
      <c r="AH52" s="63">
        <f t="shared" ca="1" si="8"/>
        <v>51.812764313789955</v>
      </c>
      <c r="AI52" s="3">
        <f t="shared" ca="1" si="9"/>
        <v>0</v>
      </c>
    </row>
    <row r="53" spans="1:35">
      <c r="G53" s="3">
        <f t="shared" ca="1" si="4"/>
        <v>291</v>
      </c>
      <c r="H53" s="95">
        <f t="shared" ca="1" si="6"/>
        <v>45216</v>
      </c>
      <c r="I53" s="119">
        <f ca="1">HLOOKUP($H$5,'Met Data'!$A$2:$F$368,G53,FALSE)</f>
        <v>12.1743939393939</v>
      </c>
      <c r="J53" s="119">
        <f ca="1">HLOOKUP($H$5,'Met Data'!$H$2:$M$368,G53,FALSE)*L53</f>
        <v>1.93030303030303</v>
      </c>
      <c r="K53" s="96">
        <f ca="1">HLOOKUP($H$5,'Met Data'!$O$2:$T$368,G53,FALSE)</f>
        <v>4.4221266913625099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45262</v>
      </c>
      <c r="Q53">
        <f ca="1"/>
        <v>51.142954425161314</v>
      </c>
      <c r="R53">
        <f ca="1"/>
        <v>0.48699685690436922</v>
      </c>
      <c r="S53">
        <f ca="1"/>
        <v>-4.0473299382878025E-2</v>
      </c>
      <c r="T53">
        <f ca="1"/>
        <v>0.31811793279853523</v>
      </c>
      <c r="U53">
        <f ca="1"/>
        <v>0</v>
      </c>
      <c r="V53">
        <f ca="1"/>
        <v>12.245946147141648</v>
      </c>
      <c r="W53">
        <f ca="1"/>
        <v>10.465085943474309</v>
      </c>
      <c r="X53">
        <f ca="1"/>
        <v>0</v>
      </c>
      <c r="Y53">
        <f ca="1"/>
        <v>0.24343929312066187</v>
      </c>
      <c r="Z53">
        <f ca="1"/>
        <v>0</v>
      </c>
      <c r="AA53">
        <f ca="1"/>
        <v>0</v>
      </c>
      <c r="AB53">
        <f ca="1"/>
        <v>0.93779963058254268</v>
      </c>
      <c r="AD53" s="2">
        <f t="shared" ca="1" si="2"/>
        <v>45262</v>
      </c>
      <c r="AE53">
        <f t="shared" ca="1" si="3"/>
        <v>0</v>
      </c>
      <c r="AG53" s="63">
        <f t="shared" ca="1" si="7"/>
        <v>51.629951282065683</v>
      </c>
      <c r="AH53" s="63">
        <f t="shared" ca="1" si="8"/>
        <v>51.629951282065683</v>
      </c>
      <c r="AI53" s="3">
        <f t="shared" ca="1" si="9"/>
        <v>0</v>
      </c>
    </row>
    <row r="54" spans="1:35">
      <c r="G54" s="3">
        <f t="shared" ca="1" si="4"/>
        <v>292</v>
      </c>
      <c r="H54" s="95">
        <f t="shared" ca="1" si="6"/>
        <v>45217</v>
      </c>
      <c r="I54" s="119">
        <f ca="1">HLOOKUP($H$5,'Met Data'!$A$2:$F$368,G54,FALSE)</f>
        <v>11.5590909090909</v>
      </c>
      <c r="J54" s="119">
        <f ca="1">HLOOKUP($H$5,'Met Data'!$H$2:$M$368,G54,FALSE)*L54</f>
        <v>0.9</v>
      </c>
      <c r="K54" s="96">
        <f ca="1">HLOOKUP($H$5,'Met Data'!$O$2:$T$368,G54,FALSE)</f>
        <v>4.1615819400289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45263</v>
      </c>
      <c r="Q54">
        <f ca="1"/>
        <v>50.907659501350693</v>
      </c>
      <c r="R54">
        <f ca="1"/>
        <v>0.52820918559948282</v>
      </c>
      <c r="S54">
        <f ca="1"/>
        <v>-3.9680941498792421E-2</v>
      </c>
      <c r="T54">
        <f ca="1"/>
        <v>0.33259520328765457</v>
      </c>
      <c r="U54">
        <f ca="1"/>
        <v>0</v>
      </c>
      <c r="V54">
        <f ca="1"/>
        <v>12.774155332741131</v>
      </c>
      <c r="W54">
        <f ca="1"/>
        <v>10.916480589262573</v>
      </c>
      <c r="X54">
        <f ca="1"/>
        <v>0</v>
      </c>
      <c r="Y54">
        <f ca="1"/>
        <v>0.23550095238095367</v>
      </c>
      <c r="Z54">
        <f ca="1"/>
        <v>0</v>
      </c>
      <c r="AA54">
        <f ca="1"/>
        <v>0</v>
      </c>
      <c r="AB54">
        <f ca="1"/>
        <v>0.95230651966030999</v>
      </c>
      <c r="AD54" s="2">
        <f t="shared" ca="1" si="2"/>
        <v>45263</v>
      </c>
      <c r="AE54">
        <f t="shared" ca="1" si="3"/>
        <v>0</v>
      </c>
      <c r="AG54" s="63">
        <f t="shared" ca="1" si="7"/>
        <v>51.435868686950172</v>
      </c>
      <c r="AH54" s="63">
        <f t="shared" ca="1" si="8"/>
        <v>51.435868686950172</v>
      </c>
      <c r="AI54" s="3">
        <f t="shared" ca="1" si="9"/>
        <v>0</v>
      </c>
    </row>
    <row r="55" spans="1:35">
      <c r="G55" s="3">
        <f t="shared" ca="1" si="4"/>
        <v>293</v>
      </c>
      <c r="H55" s="95">
        <f t="shared" ca="1" si="6"/>
        <v>45218</v>
      </c>
      <c r="I55" s="119">
        <f ca="1">HLOOKUP($H$5,'Met Data'!$A$2:$F$368,G55,FALSE)</f>
        <v>11.530303030302999</v>
      </c>
      <c r="J55" s="119">
        <f ca="1">HLOOKUP($H$5,'Met Data'!$H$2:$M$368,G55,FALSE)*L55</f>
        <v>2.16363636363636</v>
      </c>
      <c r="K55" s="96">
        <f ca="1">HLOOKUP($H$5,'Met Data'!$O$2:$T$368,G55,FALSE)</f>
        <v>4.1616928735003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45264</v>
      </c>
      <c r="Q55">
        <f ca="1"/>
        <v>50.656344711400507</v>
      </c>
      <c r="R55">
        <f ca="1"/>
        <v>0.53408871953684667</v>
      </c>
      <c r="S55">
        <f ca="1"/>
        <v>-3.6405779956552919E-2</v>
      </c>
      <c r="T55">
        <f ca="1"/>
        <v>0.31917970954321317</v>
      </c>
      <c r="U55">
        <f ca="1"/>
        <v>0</v>
      </c>
      <c r="V55">
        <f ca="1"/>
        <v>13.308244052277978</v>
      </c>
      <c r="W55">
        <f ca="1"/>
        <v>11.37289974089324</v>
      </c>
      <c r="X55">
        <f ca="1"/>
        <v>0</v>
      </c>
      <c r="Y55">
        <f ca="1"/>
        <v>0.22941160655800075</v>
      </c>
      <c r="Z55">
        <f ca="1"/>
        <v>0</v>
      </c>
      <c r="AA55">
        <f ca="1"/>
        <v>0</v>
      </c>
      <c r="AB55">
        <f ca="1"/>
        <v>0.96329022374082862</v>
      </c>
      <c r="AD55" s="2">
        <f t="shared" ca="1" si="2"/>
        <v>45264</v>
      </c>
      <c r="AE55">
        <f t="shared" ca="1" si="3"/>
        <v>0</v>
      </c>
      <c r="AG55" s="63">
        <f t="shared" ca="1" si="7"/>
        <v>51.190433430937354</v>
      </c>
      <c r="AH55" s="63">
        <f t="shared" ca="1" si="8"/>
        <v>51.190433430937354</v>
      </c>
      <c r="AI55" s="3">
        <f t="shared" ca="1" si="9"/>
        <v>0</v>
      </c>
    </row>
    <row r="56" spans="1:35">
      <c r="G56" s="3">
        <f t="shared" ca="1" si="4"/>
        <v>294</v>
      </c>
      <c r="H56" s="95">
        <f t="shared" ca="1" si="6"/>
        <v>45219</v>
      </c>
      <c r="I56" s="119">
        <f ca="1">HLOOKUP($H$5,'Met Data'!$A$2:$F$368,G56,FALSE)</f>
        <v>11.592424242424199</v>
      </c>
      <c r="J56" s="119">
        <f ca="1">HLOOKUP($H$5,'Met Data'!$H$2:$M$368,G56,FALSE)*L56</f>
        <v>0.68787878787878698</v>
      </c>
      <c r="K56" s="96">
        <f ca="1">HLOOKUP($H$5,'Met Data'!$O$2:$T$368,G56,FALSE)</f>
        <v>4.1355638104854497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45265</v>
      </c>
      <c r="Q56">
        <f ca="1"/>
        <v>50.387829677454114</v>
      </c>
      <c r="R56">
        <f ca="1"/>
        <v>0.55099924243751985</v>
      </c>
      <c r="S56">
        <f ca="1"/>
        <v>-3.596466077878091E-2</v>
      </c>
      <c r="T56">
        <f ca="1"/>
        <v>0.31844886926990601</v>
      </c>
      <c r="U56">
        <f ca="1"/>
        <v>0</v>
      </c>
      <c r="V56">
        <f ca="1"/>
        <v>13.859243294715498</v>
      </c>
      <c r="W56">
        <f ca="1"/>
        <v>11.843770211628064</v>
      </c>
      <c r="X56">
        <f ca="1"/>
        <v>0</v>
      </c>
      <c r="Y56">
        <f ca="1"/>
        <v>0.23526008878354926</v>
      </c>
      <c r="Z56">
        <f ca="1"/>
        <v>0</v>
      </c>
      <c r="AA56">
        <f ca="1"/>
        <v>0</v>
      </c>
      <c r="AB56">
        <f ca="1"/>
        <v>0.97176859040683961</v>
      </c>
      <c r="AD56" s="2">
        <f t="shared" ca="1" si="2"/>
        <v>45265</v>
      </c>
      <c r="AE56">
        <f t="shared" ca="1" si="3"/>
        <v>0</v>
      </c>
      <c r="AG56" s="63">
        <f t="shared" ca="1" si="7"/>
        <v>50.938828919891634</v>
      </c>
      <c r="AH56" s="63">
        <f t="shared" ca="1" si="8"/>
        <v>50.938828919891634</v>
      </c>
      <c r="AI56" s="3">
        <f t="shared" ca="1" si="9"/>
        <v>0</v>
      </c>
    </row>
    <row r="57" spans="1:35">
      <c r="G57" s="3">
        <f t="shared" ca="1" si="4"/>
        <v>295</v>
      </c>
      <c r="H57" s="95">
        <f t="shared" ca="1" si="6"/>
        <v>45220</v>
      </c>
      <c r="I57" s="119">
        <f ca="1">HLOOKUP($H$5,'Met Data'!$A$2:$F$368,G57,FALSE)</f>
        <v>12.6712121212121</v>
      </c>
      <c r="J57" s="119">
        <f ca="1">HLOOKUP($H$5,'Met Data'!$H$2:$M$368,G57,FALSE)*L57</f>
        <v>0.91515151515151505</v>
      </c>
      <c r="K57" s="96">
        <f ca="1">HLOOKUP($H$5,'Met Data'!$O$2:$T$368,G57,FALSE)</f>
        <v>4.2548689124348202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45266</v>
      </c>
      <c r="Q57">
        <f ca="1"/>
        <v>50.110436031228204</v>
      </c>
      <c r="R57">
        <f ca="1"/>
        <v>0.54860256521677186</v>
      </c>
      <c r="S57">
        <f ca="1"/>
        <v>-3.4927288334758444E-2</v>
      </c>
      <c r="T57">
        <f ca="1"/>
        <v>0.30613620732561408</v>
      </c>
      <c r="U57">
        <f ca="1"/>
        <v>0</v>
      </c>
      <c r="V57">
        <f ca="1"/>
        <v>14.407845859932269</v>
      </c>
      <c r="W57">
        <f ca="1"/>
        <v>12.312592540651949</v>
      </c>
      <c r="X57">
        <f ca="1"/>
        <v>0</v>
      </c>
      <c r="Y57">
        <f ca="1"/>
        <v>0.2456779694107625</v>
      </c>
      <c r="Z57">
        <f ca="1"/>
        <v>0</v>
      </c>
      <c r="AA57">
        <f ca="1"/>
        <v>0</v>
      </c>
      <c r="AB57">
        <f ca="1"/>
        <v>0.97809946627663591</v>
      </c>
      <c r="AD57" s="2">
        <f t="shared" ca="1" si="2"/>
        <v>45266</v>
      </c>
      <c r="AE57">
        <f t="shared" ca="1" si="3"/>
        <v>0</v>
      </c>
      <c r="AG57" s="63">
        <f t="shared" ca="1" si="7"/>
        <v>50.659038596444972</v>
      </c>
      <c r="AH57" s="63">
        <f t="shared" ca="1" si="8"/>
        <v>50.659038596444972</v>
      </c>
      <c r="AI57" s="3">
        <f t="shared" ca="1" si="9"/>
        <v>0</v>
      </c>
    </row>
    <row r="58" spans="1:35">
      <c r="G58" s="3">
        <f t="shared" ca="1" si="4"/>
        <v>296</v>
      </c>
      <c r="H58" s="95">
        <f t="shared" ca="1" si="6"/>
        <v>45221</v>
      </c>
      <c r="I58" s="119">
        <f ca="1">HLOOKUP($H$5,'Met Data'!$A$2:$F$368,G58,FALSE)</f>
        <v>11.5966666666666</v>
      </c>
      <c r="J58" s="119">
        <f ca="1">HLOOKUP($H$5,'Met Data'!$H$2:$M$368,G58,FALSE)*L58</f>
        <v>1.0757575757575699</v>
      </c>
      <c r="K58" s="96">
        <f ca="1">HLOOKUP($H$5,'Met Data'!$O$2:$T$368,G58,FALSE)</f>
        <v>3.8892850116651498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45267</v>
      </c>
      <c r="Q58">
        <f ca="1"/>
        <v>49.804531071744499</v>
      </c>
      <c r="R58">
        <f ca="1"/>
        <v>0.58992712241313683</v>
      </c>
      <c r="S58">
        <f ca="1"/>
        <v>-3.4487966883336441E-2</v>
      </c>
      <c r="T58">
        <f ca="1"/>
        <v>0.31851012981276655</v>
      </c>
      <c r="U58">
        <f ca="1"/>
        <v>0</v>
      </c>
      <c r="V58">
        <f ca="1"/>
        <v>14.997772982345406</v>
      </c>
      <c r="W58">
        <f ca="1"/>
        <v>12.816729825126368</v>
      </c>
      <c r="X58">
        <f ca="1"/>
        <v>0</v>
      </c>
      <c r="Y58">
        <f ca="1"/>
        <v>0.24139516287440907</v>
      </c>
      <c r="Z58">
        <f ca="1"/>
        <v>0</v>
      </c>
      <c r="AA58">
        <f ca="1"/>
        <v>0</v>
      </c>
      <c r="AB58">
        <f ca="1"/>
        <v>0.98319435164560343</v>
      </c>
      <c r="AD58" s="2">
        <f t="shared" ca="1" si="2"/>
        <v>45267</v>
      </c>
      <c r="AE58">
        <f t="shared" ca="1" si="3"/>
        <v>0</v>
      </c>
      <c r="AG58" s="63">
        <f t="shared" ca="1" si="7"/>
        <v>50.394458194157636</v>
      </c>
      <c r="AH58" s="63">
        <f t="shared" ca="1" si="8"/>
        <v>50.394458194157636</v>
      </c>
      <c r="AI58" s="3">
        <f t="shared" ca="1" si="9"/>
        <v>0</v>
      </c>
    </row>
    <row r="59" spans="1:35">
      <c r="G59" s="3">
        <f t="shared" ca="1" si="4"/>
        <v>297</v>
      </c>
      <c r="H59" s="95">
        <f t="shared" ca="1" si="6"/>
        <v>45222</v>
      </c>
      <c r="I59" s="119">
        <f ca="1">HLOOKUP($H$5,'Met Data'!$A$2:$F$368,G59,FALSE)</f>
        <v>11.5331818181818</v>
      </c>
      <c r="J59" s="119">
        <f ca="1">HLOOKUP($H$5,'Met Data'!$H$2:$M$368,G59,FALSE)*L59</f>
        <v>1.5757575757575699</v>
      </c>
      <c r="K59" s="96">
        <f ca="1">HLOOKUP($H$5,'Met Data'!$O$2:$T$368,G59,FALSE)</f>
        <v>3.7538214127918499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45268</v>
      </c>
      <c r="Q59">
        <f ca="1"/>
        <v>49.482680741434166</v>
      </c>
      <c r="R59">
        <f ca="1"/>
        <v>0.61422503986040411</v>
      </c>
      <c r="S59">
        <f ca="1"/>
        <v>-3.731349308499432E-2</v>
      </c>
      <c r="T59">
        <f ca="1"/>
        <v>0.32968820263506327</v>
      </c>
      <c r="U59">
        <f ca="1"/>
        <v>0</v>
      </c>
      <c r="V59">
        <f ca="1"/>
        <v>15.61199802220581</v>
      </c>
      <c r="W59">
        <f ca="1"/>
        <v>13.341631515329649</v>
      </c>
      <c r="X59">
        <f ca="1"/>
        <v>0</v>
      </c>
      <c r="Y59">
        <f ca="1"/>
        <v>0.26928071127391828</v>
      </c>
      <c r="Z59">
        <f ca="1"/>
        <v>0</v>
      </c>
      <c r="AA59">
        <f ca="1"/>
        <v>0</v>
      </c>
      <c r="AB59">
        <f ca="1"/>
        <v>0.98713115498645232</v>
      </c>
      <c r="AD59" s="2">
        <f t="shared" ca="1" si="2"/>
        <v>45268</v>
      </c>
      <c r="AE59">
        <f t="shared" ca="1" si="3"/>
        <v>0</v>
      </c>
      <c r="AG59" s="63">
        <f t="shared" ca="1" si="7"/>
        <v>50.096905781294566</v>
      </c>
      <c r="AH59" s="63">
        <f t="shared" ca="1" si="8"/>
        <v>50.096905781294566</v>
      </c>
      <c r="AI59" s="3">
        <f t="shared" ca="1" si="9"/>
        <v>0</v>
      </c>
    </row>
    <row r="60" spans="1:35">
      <c r="A60" s="1"/>
      <c r="B60" s="1"/>
      <c r="G60" s="3">
        <f t="shared" ca="1" si="4"/>
        <v>298</v>
      </c>
      <c r="H60" s="95">
        <f t="shared" ca="1" si="6"/>
        <v>45223</v>
      </c>
      <c r="I60" s="119">
        <f ca="1">HLOOKUP($H$5,'Met Data'!$A$2:$F$368,G60,FALSE)</f>
        <v>11.6060606060606</v>
      </c>
      <c r="J60" s="119">
        <f ca="1">HLOOKUP($H$5,'Met Data'!$H$2:$M$368,G60,FALSE)*L60</f>
        <v>0.95454545454545403</v>
      </c>
      <c r="K60" s="96">
        <f ca="1">HLOOKUP($H$5,'Met Data'!$O$2:$T$368,G60,FALSE)</f>
        <v>3.9920282440950898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45269</v>
      </c>
      <c r="Q60">
        <f ca="1"/>
        <v>49.147891010522642</v>
      </c>
      <c r="R60">
        <f ca="1"/>
        <v>0.60838974454519601</v>
      </c>
      <c r="S60">
        <f ca="1"/>
        <v>-3.2130826991455308E-2</v>
      </c>
      <c r="T60">
        <f ca="1"/>
        <v>0.30573084062513345</v>
      </c>
      <c r="U60">
        <f ca="1"/>
        <v>0</v>
      </c>
      <c r="V60">
        <f ca="1"/>
        <v>16.220387766751006</v>
      </c>
      <c r="W60">
        <f ca="1"/>
        <v>13.861546504934596</v>
      </c>
      <c r="X60">
        <f ca="1"/>
        <v>0</v>
      </c>
      <c r="Y60">
        <f ca="1"/>
        <v>0.2512600156635843</v>
      </c>
      <c r="Z60">
        <f ca="1"/>
        <v>0</v>
      </c>
      <c r="AA60">
        <f ca="1"/>
        <v>0</v>
      </c>
      <c r="AB60">
        <f ca="1"/>
        <v>0.99003675125679835</v>
      </c>
      <c r="AD60" s="2">
        <f t="shared" ca="1" si="2"/>
        <v>45269</v>
      </c>
      <c r="AE60">
        <f t="shared" ca="1" si="3"/>
        <v>0</v>
      </c>
      <c r="AG60" s="63">
        <f t="shared" ca="1" si="7"/>
        <v>49.756280755067841</v>
      </c>
      <c r="AH60" s="63">
        <f t="shared" ca="1" si="8"/>
        <v>49.756280755067834</v>
      </c>
      <c r="AI60" s="3">
        <f t="shared" ca="1" si="9"/>
        <v>0</v>
      </c>
    </row>
    <row r="61" spans="1:35">
      <c r="G61" s="3">
        <f t="shared" ca="1" si="4"/>
        <v>299</v>
      </c>
      <c r="H61" s="95">
        <f t="shared" ca="1" si="6"/>
        <v>45224</v>
      </c>
      <c r="I61" s="119">
        <f ca="1">HLOOKUP($H$5,'Met Data'!$A$2:$F$368,G61,FALSE)</f>
        <v>11.821212121212101</v>
      </c>
      <c r="J61" s="119">
        <f ca="1">HLOOKUP($H$5,'Met Data'!$H$2:$M$368,G61,FALSE)*L61</f>
        <v>0.13030303030303</v>
      </c>
      <c r="K61" s="96">
        <f ca="1">HLOOKUP($H$5,'Met Data'!$O$2:$T$368,G61,FALSE)</f>
        <v>3.94572673133468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45270</v>
      </c>
      <c r="Q61">
        <f ca="1"/>
        <v>48.775238573550254</v>
      </c>
      <c r="R61">
        <f ca="1"/>
        <v>0.66146553911202588</v>
      </c>
      <c r="S61">
        <f ca="1"/>
        <v>-3.0985950599481171E-2</v>
      </c>
      <c r="T61">
        <f ca="1"/>
        <v>0.31979905273912174</v>
      </c>
      <c r="U61">
        <f ca="1"/>
        <v>0</v>
      </c>
      <c r="V61">
        <f ca="1"/>
        <v>16.881853305863032</v>
      </c>
      <c r="W61">
        <f ca="1"/>
        <v>14.426818769917539</v>
      </c>
      <c r="X61">
        <f ca="1"/>
        <v>0</v>
      </c>
      <c r="Y61">
        <f ca="1"/>
        <v>0.23854884832432163</v>
      </c>
      <c r="Z61">
        <f ca="1"/>
        <v>0</v>
      </c>
      <c r="AA61">
        <f ca="1"/>
        <v>0</v>
      </c>
      <c r="AB61">
        <f ca="1"/>
        <v>0.99238790242371544</v>
      </c>
      <c r="AD61" s="2">
        <f t="shared" ca="1" si="2"/>
        <v>45270</v>
      </c>
      <c r="AE61">
        <f t="shared" ca="1" si="3"/>
        <v>0</v>
      </c>
      <c r="AG61" s="63">
        <f t="shared" ca="1" si="7"/>
        <v>49.436704112662284</v>
      </c>
      <c r="AH61" s="63">
        <f t="shared" ca="1" si="8"/>
        <v>49.436704112662284</v>
      </c>
      <c r="AI61" s="3">
        <f t="shared" ca="1" si="9"/>
        <v>0</v>
      </c>
    </row>
    <row r="62" spans="1:35">
      <c r="G62" s="3">
        <f t="shared" ca="1" si="4"/>
        <v>300</v>
      </c>
      <c r="H62" s="95">
        <f t="shared" ca="1" si="6"/>
        <v>45225</v>
      </c>
      <c r="I62" s="119">
        <f ca="1">HLOOKUP($H$5,'Met Data'!$A$2:$F$368,G62,FALSE)</f>
        <v>12.8742424242424</v>
      </c>
      <c r="J62" s="119">
        <f ca="1">HLOOKUP($H$5,'Met Data'!$H$2:$M$368,G62,FALSE)*L62</f>
        <v>1.03939393939393</v>
      </c>
      <c r="K62" s="96">
        <f ca="1">HLOOKUP($H$5,'Met Data'!$O$2:$T$368,G62,FALSE)</f>
        <v>4.24133991088486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45271</v>
      </c>
      <c r="Q62">
        <f ca="1"/>
        <v>48.352235789143975</v>
      </c>
      <c r="R62">
        <f ca="1"/>
        <v>0.7341993236074984</v>
      </c>
      <c r="S62">
        <f ca="1"/>
        <v>-2.9520112584270564E-2</v>
      </c>
      <c r="T62">
        <f ca="1"/>
        <v>0.34071665178548893</v>
      </c>
      <c r="U62">
        <f ca="1"/>
        <v>0</v>
      </c>
      <c r="V62">
        <f ca="1"/>
        <v>17.616052629470531</v>
      </c>
      <c r="W62">
        <f ca="1"/>
        <v>15.054247547479704</v>
      </c>
      <c r="X62">
        <f ca="1"/>
        <v>0</v>
      </c>
      <c r="Y62">
        <f ca="1"/>
        <v>0.21865762687187099</v>
      </c>
      <c r="Z62">
        <f ca="1"/>
        <v>0</v>
      </c>
      <c r="AA62">
        <f ca="1"/>
        <v>0</v>
      </c>
      <c r="AB62">
        <f ca="1"/>
        <v>0.99429473945261726</v>
      </c>
      <c r="AD62" s="2">
        <f t="shared" ca="1" si="2"/>
        <v>45271</v>
      </c>
      <c r="AE62">
        <f t="shared" ca="1" si="3"/>
        <v>0</v>
      </c>
      <c r="AG62" s="63">
        <f t="shared" ca="1" si="7"/>
        <v>49.086435112751474</v>
      </c>
      <c r="AH62" s="63">
        <f t="shared" ca="1" si="8"/>
        <v>49.086435112751474</v>
      </c>
      <c r="AI62" s="3">
        <f t="shared" ca="1" si="9"/>
        <v>0</v>
      </c>
    </row>
    <row r="63" spans="1:35">
      <c r="G63" s="3">
        <f t="shared" ca="1" si="4"/>
        <v>301</v>
      </c>
      <c r="H63" s="95">
        <f t="shared" ca="1" si="6"/>
        <v>45226</v>
      </c>
      <c r="I63" s="119">
        <f ca="1">HLOOKUP($H$5,'Met Data'!$A$2:$F$368,G63,FALSE)</f>
        <v>12.3921212121212</v>
      </c>
      <c r="J63" s="119">
        <f ca="1">HLOOKUP($H$5,'Met Data'!$H$2:$M$368,G63,FALSE)*L63</f>
        <v>1.66060606060606</v>
      </c>
      <c r="K63" s="96">
        <f ca="1">HLOOKUP($H$5,'Met Data'!$O$2:$T$368,G63,FALSE)</f>
        <v>3.98512648995679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45272</v>
      </c>
      <c r="Q63">
        <f ca="1"/>
        <v>47.885707964809811</v>
      </c>
      <c r="R63">
        <f ca="1"/>
        <v>0.79655600159999551</v>
      </c>
      <c r="S63">
        <f ca="1"/>
        <v>-3.0016896127380122E-2</v>
      </c>
      <c r="T63">
        <f ca="1"/>
        <v>0.36004507339321129</v>
      </c>
      <c r="U63">
        <f ca="1"/>
        <v>0</v>
      </c>
      <c r="V63">
        <f ca="1"/>
        <v>18.412608631070526</v>
      </c>
      <c r="W63">
        <f ca="1"/>
        <v>15.73496481631074</v>
      </c>
      <c r="X63">
        <f ca="1"/>
        <v>0</v>
      </c>
      <c r="Y63">
        <f ca="1"/>
        <v>0.21926110430925994</v>
      </c>
      <c r="Z63">
        <f ca="1"/>
        <v>0</v>
      </c>
      <c r="AA63">
        <f ca="1"/>
        <v>0</v>
      </c>
      <c r="AB63">
        <f ca="1"/>
        <v>0.99577883000111111</v>
      </c>
      <c r="AD63" s="2">
        <f t="shared" ca="1" si="2"/>
        <v>45272</v>
      </c>
      <c r="AE63">
        <f t="shared" ca="1" si="3"/>
        <v>0</v>
      </c>
      <c r="AG63" s="63">
        <f t="shared" ca="1" si="7"/>
        <v>48.682263966409806</v>
      </c>
      <c r="AH63" s="63">
        <f t="shared" ca="1" si="8"/>
        <v>48.682263966409806</v>
      </c>
      <c r="AI63" s="3">
        <f t="shared" ca="1" si="9"/>
        <v>0</v>
      </c>
    </row>
    <row r="64" spans="1:35">
      <c r="G64" s="3">
        <f t="shared" ca="1" si="4"/>
        <v>302</v>
      </c>
      <c r="H64" s="95">
        <f t="shared" ca="1" si="6"/>
        <v>45227</v>
      </c>
      <c r="I64" s="119">
        <f ca="1">HLOOKUP($H$5,'Met Data'!$A$2:$F$368,G64,FALSE)</f>
        <v>13.0242424242424</v>
      </c>
      <c r="J64" s="119">
        <f ca="1">HLOOKUP($H$5,'Met Data'!$H$2:$M$368,G64,FALSE)*L64</f>
        <v>1.6848484848484799</v>
      </c>
      <c r="K64" s="96">
        <f ca="1">HLOOKUP($H$5,'Met Data'!$O$2:$T$368,G64,FALSE)</f>
        <v>4.06785476536513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45273</v>
      </c>
      <c r="Q64">
        <f ca="1"/>
        <v>47.419147044494579</v>
      </c>
      <c r="R64">
        <f ca="1"/>
        <v>0.7777432052070381</v>
      </c>
      <c r="S64">
        <f ca="1"/>
        <v>-3.0227264579011148E-2</v>
      </c>
      <c r="T64">
        <f ca="1"/>
        <v>0.3414095494708167</v>
      </c>
      <c r="U64">
        <f ca="1"/>
        <v>0</v>
      </c>
      <c r="V64">
        <f ca="1"/>
        <v>19.190351836277564</v>
      </c>
      <c r="W64">
        <f ca="1"/>
        <v>16.399605129655953</v>
      </c>
      <c r="X64">
        <f ca="1"/>
        <v>0</v>
      </c>
      <c r="Y64">
        <f ca="1"/>
        <v>0.2453620738330422</v>
      </c>
      <c r="Z64">
        <f ca="1"/>
        <v>0</v>
      </c>
      <c r="AA64">
        <f ca="1"/>
        <v>0</v>
      </c>
      <c r="AB64">
        <f ca="1"/>
        <v>0.99682045823222099</v>
      </c>
      <c r="AD64" s="2">
        <f t="shared" ca="1" si="2"/>
        <v>45273</v>
      </c>
      <c r="AE64">
        <f t="shared" ca="1" si="3"/>
        <v>0</v>
      </c>
      <c r="AG64" s="63">
        <f t="shared" ca="1" si="7"/>
        <v>48.196890249701617</v>
      </c>
      <c r="AH64" s="63">
        <f t="shared" ca="1" si="8"/>
        <v>48.196890249701617</v>
      </c>
      <c r="AI64" s="3">
        <f t="shared" ca="1" si="9"/>
        <v>0</v>
      </c>
    </row>
    <row r="65" spans="7:35">
      <c r="G65" s="3">
        <f t="shared" ca="1" si="4"/>
        <v>303</v>
      </c>
      <c r="H65" s="95">
        <f t="shared" ca="1" si="6"/>
        <v>45228</v>
      </c>
      <c r="I65" s="119">
        <f ca="1">HLOOKUP($H$5,'Met Data'!$A$2:$F$368,G65,FALSE)</f>
        <v>13.2075757575757</v>
      </c>
      <c r="J65" s="119">
        <f ca="1">HLOOKUP($H$5,'Met Data'!$H$2:$M$368,G65,FALSE)*L65</f>
        <v>1</v>
      </c>
      <c r="K65" s="96">
        <f ca="1">HLOOKUP($H$5,'Met Data'!$O$2:$T$368,G65,FALSE)</f>
        <v>3.8638743234578601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45274</v>
      </c>
      <c r="Q65">
        <f ca="1"/>
        <v>46.942931764579562</v>
      </c>
      <c r="R65">
        <f ca="1"/>
        <v>0.76894502213695404</v>
      </c>
      <c r="S65">
        <f ca="1"/>
        <v>-2.7160490824128303E-2</v>
      </c>
      <c r="T65">
        <f ca="1"/>
        <v>0.31989023304606345</v>
      </c>
      <c r="U65">
        <f ca="1"/>
        <v>0</v>
      </c>
      <c r="V65">
        <f ca="1"/>
        <v>19.959296858414518</v>
      </c>
      <c r="W65">
        <f ca="1"/>
        <v>17.05672673102346</v>
      </c>
      <c r="X65">
        <f ca="1"/>
        <v>0</v>
      </c>
      <c r="Y65">
        <f ca="1"/>
        <v>0.24024206872251874</v>
      </c>
      <c r="Z65">
        <f ca="1"/>
        <v>0</v>
      </c>
      <c r="AA65">
        <f ca="1"/>
        <v>0</v>
      </c>
      <c r="AB65">
        <f ca="1"/>
        <v>0.99757389451414413</v>
      </c>
      <c r="AD65" s="2">
        <f t="shared" ca="1" si="2"/>
        <v>45274</v>
      </c>
      <c r="AE65">
        <f t="shared" ca="1" si="3"/>
        <v>0</v>
      </c>
      <c r="AG65" s="63">
        <f t="shared" ca="1" si="7"/>
        <v>47.711876786716516</v>
      </c>
      <c r="AH65" s="63">
        <f t="shared" ca="1" si="8"/>
        <v>47.711876786716516</v>
      </c>
      <c r="AI65" s="3">
        <f t="shared" ca="1" si="9"/>
        <v>0</v>
      </c>
    </row>
    <row r="66" spans="7:35">
      <c r="G66" s="3">
        <f t="shared" ca="1" si="4"/>
        <v>304</v>
      </c>
      <c r="H66" s="95">
        <f t="shared" ca="1" si="6"/>
        <v>45229</v>
      </c>
      <c r="I66" s="119">
        <f ca="1">HLOOKUP($H$5,'Met Data'!$A$2:$F$368,G66,FALSE)</f>
        <v>12.865151515151499</v>
      </c>
      <c r="J66" s="119">
        <f ca="1">HLOOKUP($H$5,'Met Data'!$H$2:$M$368,G66,FALSE)*L66</f>
        <v>1.44848484848484</v>
      </c>
      <c r="K66" s="96">
        <f ca="1">HLOOKUP($H$5,'Met Data'!$O$2:$T$368,G66,FALSE)</f>
        <v>4.2171092806571897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45275</v>
      </c>
      <c r="Q66">
        <f ca="1"/>
        <v>46.406970786539425</v>
      </c>
      <c r="R66">
        <f ca="1"/>
        <v>0.85660006646595122</v>
      </c>
      <c r="S66">
        <f ca="1"/>
        <v>-2.7733880697740076E-2</v>
      </c>
      <c r="T66">
        <f ca="1"/>
        <v>0.34837296912355165</v>
      </c>
      <c r="U66">
        <f ca="1"/>
        <v>0</v>
      </c>
      <c r="V66">
        <f ca="1"/>
        <v>20.815896924880469</v>
      </c>
      <c r="W66">
        <f ca="1"/>
        <v>17.788756188530456</v>
      </c>
      <c r="X66">
        <f ca="1"/>
        <v>0</v>
      </c>
      <c r="Y66">
        <f ca="1"/>
        <v>0.23547799804023875</v>
      </c>
      <c r="Z66">
        <f ca="1"/>
        <v>0</v>
      </c>
      <c r="AA66">
        <f ca="1"/>
        <v>0</v>
      </c>
      <c r="AB66">
        <f ca="1"/>
        <v>0.99818596266836401</v>
      </c>
      <c r="AD66" s="2">
        <f t="shared" ca="1" si="2"/>
        <v>45275</v>
      </c>
      <c r="AE66">
        <f t="shared" ca="1" si="3"/>
        <v>0</v>
      </c>
      <c r="AG66" s="63">
        <f t="shared" ca="1" si="7"/>
        <v>47.263570853005376</v>
      </c>
      <c r="AH66" s="63">
        <f t="shared" ca="1" si="8"/>
        <v>47.263570853005376</v>
      </c>
      <c r="AI66" s="3">
        <f t="shared" ca="1" si="9"/>
        <v>0</v>
      </c>
    </row>
    <row r="67" spans="7:35">
      <c r="G67" s="3">
        <f t="shared" ca="1" si="4"/>
        <v>305</v>
      </c>
      <c r="H67" s="95">
        <f t="shared" ca="1" si="6"/>
        <v>45230</v>
      </c>
      <c r="I67" s="119">
        <f ca="1">HLOOKUP($H$5,'Met Data'!$A$2:$F$368,G67,FALSE)</f>
        <v>12.8045454545454</v>
      </c>
      <c r="J67" s="119">
        <f ca="1">HLOOKUP($H$5,'Met Data'!$H$2:$M$368,G67,FALSE)*L67</f>
        <v>0.38787878787878699</v>
      </c>
      <c r="K67" s="96">
        <f ca="1">HLOOKUP($H$5,'Met Data'!$O$2:$T$368,G67,FALSE)</f>
        <v>4.4006301765887699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45276</v>
      </c>
      <c r="Q67">
        <f ca="1"/>
        <v>45.856127158759826</v>
      </c>
      <c r="R67">
        <f ca="1"/>
        <v>0.8641504440586445</v>
      </c>
      <c r="S67">
        <f ca="1"/>
        <v>-2.7239200094414606E-2</v>
      </c>
      <c r="T67">
        <f ca="1"/>
        <v>0.34054601637345733</v>
      </c>
      <c r="U67">
        <f ca="1"/>
        <v>0</v>
      </c>
      <c r="V67">
        <f ca="1"/>
        <v>21.680047368939114</v>
      </c>
      <c r="W67">
        <f ca="1"/>
        <v>18.527238013985489</v>
      </c>
      <c r="X67">
        <f ca="1"/>
        <v>0</v>
      </c>
      <c r="Y67">
        <f ca="1"/>
        <v>0.24759308084376364</v>
      </c>
      <c r="Z67">
        <f ca="1"/>
        <v>0</v>
      </c>
      <c r="AA67">
        <f ca="1"/>
        <v>0</v>
      </c>
      <c r="AB67">
        <f ca="1"/>
        <v>0.99863290859333043</v>
      </c>
      <c r="AD67" s="2">
        <f t="shared" ca="1" si="2"/>
        <v>45276</v>
      </c>
      <c r="AE67">
        <f t="shared" ca="1" si="3"/>
        <v>0</v>
      </c>
      <c r="AG67" s="63">
        <f t="shared" ca="1" si="7"/>
        <v>46.72027760281847</v>
      </c>
      <c r="AH67" s="63">
        <f t="shared" ca="1" si="8"/>
        <v>46.72027760281847</v>
      </c>
      <c r="AI67" s="3">
        <f t="shared" ca="1" si="9"/>
        <v>0</v>
      </c>
    </row>
    <row r="68" spans="7:35">
      <c r="G68" s="3">
        <f t="shared" ca="1" si="4"/>
        <v>306</v>
      </c>
      <c r="H68" s="95">
        <f t="shared" ca="1" si="6"/>
        <v>45231</v>
      </c>
      <c r="I68" s="119">
        <f ca="1">HLOOKUP($H$5,'Met Data'!$A$2:$F$368,G68,FALSE)</f>
        <v>13.4363636363636</v>
      </c>
      <c r="J68" s="119">
        <f ca="1">HLOOKUP($H$5,'Met Data'!$H$2:$M$368,G68,FALSE)*L68</f>
        <v>0.82121212121212095</v>
      </c>
      <c r="K68" s="96">
        <f ca="1">HLOOKUP($H$5,'Met Data'!$O$2:$T$368,G68,FALSE)</f>
        <v>4.6060103377193604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45277</v>
      </c>
      <c r="Q68">
        <f ca="1"/>
        <v>45.290323263618831</v>
      </c>
      <c r="R68">
        <f ca="1"/>
        <v>0.8773006950025497</v>
      </c>
      <c r="S68">
        <f ca="1"/>
        <v>-2.7664933674983239E-2</v>
      </c>
      <c r="T68">
        <f ca="1"/>
        <v>0.33916173353654228</v>
      </c>
      <c r="U68">
        <f ca="1"/>
        <v>0</v>
      </c>
      <c r="V68">
        <f ca="1"/>
        <v>22.557348063941664</v>
      </c>
      <c r="W68">
        <f ca="1"/>
        <v>19.276957722136778</v>
      </c>
      <c r="X68">
        <f ca="1"/>
        <v>0</v>
      </c>
      <c r="Y68">
        <f ca="1"/>
        <v>0.26736779139420769</v>
      </c>
      <c r="Z68">
        <f ca="1"/>
        <v>0</v>
      </c>
      <c r="AA68">
        <f ca="1"/>
        <v>0</v>
      </c>
      <c r="AB68">
        <f ca="1"/>
        <v>0.99896395483546307</v>
      </c>
      <c r="AD68" s="2">
        <f t="shared" ca="1" si="2"/>
        <v>45277</v>
      </c>
      <c r="AE68">
        <f t="shared" ca="1" si="3"/>
        <v>0</v>
      </c>
      <c r="AG68" s="63">
        <f t="shared" ca="1" si="7"/>
        <v>46.167623958621384</v>
      </c>
      <c r="AH68" s="63">
        <f t="shared" ca="1" si="8"/>
        <v>46.167623958621377</v>
      </c>
      <c r="AI68" s="3">
        <f t="shared" ca="1" si="9"/>
        <v>0</v>
      </c>
    </row>
    <row r="69" spans="7:35">
      <c r="G69" s="3">
        <f t="shared" ca="1" si="4"/>
        <v>307</v>
      </c>
      <c r="H69" s="95">
        <f t="shared" ca="1" si="6"/>
        <v>45232</v>
      </c>
      <c r="I69" s="119">
        <f ca="1">HLOOKUP($H$5,'Met Data'!$A$2:$F$368,G69,FALSE)</f>
        <v>12.756060606060601</v>
      </c>
      <c r="J69" s="119">
        <f ca="1">HLOOKUP($H$5,'Met Data'!$H$2:$M$368,G69,FALSE)*L69</f>
        <v>1.5727272727272701</v>
      </c>
      <c r="K69" s="96">
        <f ca="1">HLOOKUP($H$5,'Met Data'!$O$2:$T$368,G69,FALSE)</f>
        <v>4.4078340774843401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45278</v>
      </c>
      <c r="Q69">
        <f ca="1"/>
        <v>44.688615360943565</v>
      </c>
      <c r="R69">
        <f ca="1"/>
        <v>0.92355212668340414</v>
      </c>
      <c r="S69">
        <f ca="1"/>
        <v>-2.7902124029397513E-2</v>
      </c>
      <c r="T69">
        <f ca="1"/>
        <v>0.34974634803753774</v>
      </c>
      <c r="U69">
        <f ca="1"/>
        <v>0</v>
      </c>
      <c r="V69">
        <f ca="1"/>
        <v>23.480900190625068</v>
      </c>
      <c r="W69">
        <f ca="1"/>
        <v>20.06620277212226</v>
      </c>
      <c r="X69">
        <f ca="1"/>
        <v>0</v>
      </c>
      <c r="Y69">
        <f ca="1"/>
        <v>0.27647012057459047</v>
      </c>
      <c r="Z69">
        <f ca="1"/>
        <v>0</v>
      </c>
      <c r="AA69">
        <f ca="1"/>
        <v>0</v>
      </c>
      <c r="AB69">
        <f ca="1"/>
        <v>0.99921848465644303</v>
      </c>
      <c r="AD69" s="2">
        <f t="shared" ca="1" si="2"/>
        <v>45278</v>
      </c>
      <c r="AE69">
        <f t="shared" ca="1" si="3"/>
        <v>0</v>
      </c>
      <c r="AG69" s="63">
        <f t="shared" ca="1" si="7"/>
        <v>45.612167487626969</v>
      </c>
      <c r="AH69" s="63">
        <f t="shared" ca="1" si="8"/>
        <v>45.612167487626969</v>
      </c>
      <c r="AI69" s="3">
        <f t="shared" ca="1" si="9"/>
        <v>0</v>
      </c>
    </row>
    <row r="70" spans="7:35">
      <c r="G70" s="3">
        <f t="shared" ca="1" si="4"/>
        <v>308</v>
      </c>
      <c r="H70" s="95">
        <f t="shared" ca="1" si="6"/>
        <v>45233</v>
      </c>
      <c r="I70" s="119">
        <f ca="1">HLOOKUP($H$5,'Met Data'!$A$2:$F$368,G70,FALSE)</f>
        <v>12.960606060606001</v>
      </c>
      <c r="J70" s="119">
        <f ca="1">HLOOKUP($H$5,'Met Data'!$H$2:$M$368,G70,FALSE)*L70</f>
        <v>0.86969696969696897</v>
      </c>
      <c r="K70" s="96">
        <f ca="1">HLOOKUP($H$5,'Met Data'!$O$2:$T$368,G70,FALSE)</f>
        <v>4.7355757109775203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45279</v>
      </c>
      <c r="Q70">
        <f ca="1"/>
        <v>44.055935378444381</v>
      </c>
      <c r="R70">
        <f ca="1"/>
        <v>0.95806368349117577</v>
      </c>
      <c r="S70">
        <f ca="1"/>
        <v>-2.7250385664236987E-2</v>
      </c>
      <c r="T70">
        <f ca="1"/>
        <v>0.35263408665622803</v>
      </c>
      <c r="U70">
        <f ca="1"/>
        <v>0</v>
      </c>
      <c r="V70">
        <f ca="1"/>
        <v>24.438963874116244</v>
      </c>
      <c r="W70">
        <f ca="1"/>
        <v>20.884940554126707</v>
      </c>
      <c r="X70">
        <f ca="1"/>
        <v>0</v>
      </c>
      <c r="Y70">
        <f ca="1"/>
        <v>0.28180469336002317</v>
      </c>
      <c r="Z70">
        <f ca="1"/>
        <v>0</v>
      </c>
      <c r="AA70">
        <f ca="1"/>
        <v>0</v>
      </c>
      <c r="AB70">
        <f ca="1"/>
        <v>0.99941081240195517</v>
      </c>
      <c r="AD70" s="2">
        <f t="shared" ca="1" si="2"/>
        <v>45279</v>
      </c>
      <c r="AE70">
        <f t="shared" ca="1" si="3"/>
        <v>0</v>
      </c>
      <c r="AG70" s="63">
        <f t="shared" ca="1" si="7"/>
        <v>45.013999061935557</v>
      </c>
      <c r="AH70" s="63">
        <f t="shared" ca="1" si="8"/>
        <v>45.013999061935557</v>
      </c>
      <c r="AI70" s="3">
        <f t="shared" ca="1" si="9"/>
        <v>0</v>
      </c>
    </row>
    <row r="71" spans="7:35">
      <c r="G71" s="3">
        <f t="shared" ca="1" si="4"/>
        <v>309</v>
      </c>
      <c r="H71" s="95">
        <f t="shared" ca="1" si="6"/>
        <v>45234</v>
      </c>
      <c r="I71" s="119">
        <f ca="1">HLOOKUP($H$5,'Met Data'!$A$2:$F$368,G71,FALSE)</f>
        <v>13.0166666666666</v>
      </c>
      <c r="J71" s="119">
        <f ca="1">HLOOKUP($H$5,'Met Data'!$H$2:$M$368,G71,FALSE)*L71</f>
        <v>0.972727272727272</v>
      </c>
      <c r="K71" s="96">
        <f ca="1">HLOOKUP($H$5,'Met Data'!$O$2:$T$368,G71,FALSE)</f>
        <v>4.6816234323257397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45280</v>
      </c>
      <c r="Q71">
        <f ca="1"/>
        <v>43.41951497993702</v>
      </c>
      <c r="R71">
        <f ca="1"/>
        <v>0.96978546058666026</v>
      </c>
      <c r="S71">
        <f ca="1"/>
        <v>-2.9747813284635605E-2</v>
      </c>
      <c r="T71">
        <f ca="1"/>
        <v>0.36311287536394038</v>
      </c>
      <c r="U71">
        <f ca="1"/>
        <v>0</v>
      </c>
      <c r="V71">
        <f ca="1"/>
        <v>25.408749334702904</v>
      </c>
      <c r="W71">
        <f ca="1"/>
        <v>21.713695480028463</v>
      </c>
      <c r="X71">
        <f ca="1"/>
        <v>0</v>
      </c>
      <c r="Y71">
        <f ca="1"/>
        <v>0.33082922189208541</v>
      </c>
      <c r="Z71">
        <f ca="1"/>
        <v>0</v>
      </c>
      <c r="AA71">
        <f ca="1"/>
        <v>0</v>
      </c>
      <c r="AB71">
        <f ca="1"/>
        <v>0.99955309017021066</v>
      </c>
      <c r="AD71" s="2">
        <f t="shared" ref="AD71:AD134" ca="1" si="12">IFERROR(P71,$AD$5)</f>
        <v>45280</v>
      </c>
      <c r="AE71">
        <f t="shared" ref="AE71:AE134" ca="1" si="13">IFERROR(U71,0)</f>
        <v>0</v>
      </c>
      <c r="AG71" s="63">
        <f t="shared" ca="1" si="7"/>
        <v>44.389300440523684</v>
      </c>
      <c r="AH71" s="63">
        <f t="shared" ca="1" si="8"/>
        <v>44.389300440523684</v>
      </c>
      <c r="AI71" s="3">
        <f t="shared" ca="1" si="9"/>
        <v>0</v>
      </c>
    </row>
    <row r="72" spans="7:35">
      <c r="G72" s="3">
        <f t="shared" ref="G72:G135" ca="1" si="14">H72-DATE(YEAR(H72),1,0)+1</f>
        <v>310</v>
      </c>
      <c r="H72" s="95">
        <f t="shared" ca="1" si="6"/>
        <v>45235</v>
      </c>
      <c r="I72" s="119">
        <f ca="1">HLOOKUP($H$5,'Met Data'!$A$2:$F$368,G72,FALSE)</f>
        <v>12.8439393939393</v>
      </c>
      <c r="J72" s="119">
        <f ca="1">HLOOKUP($H$5,'Met Data'!$H$2:$M$368,G72,FALSE)*L72</f>
        <v>1.7090909090908999</v>
      </c>
      <c r="K72" s="96">
        <f ca="1">HLOOKUP($H$5,'Met Data'!$O$2:$T$368,G72,FALSE)</f>
        <v>4.6727463269062399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45281</v>
      </c>
      <c r="Q72">
        <f ca="1"/>
        <v>42.76477770760772</v>
      </c>
      <c r="R72">
        <f ca="1"/>
        <v>0.98947538781117217</v>
      </c>
      <c r="S72">
        <f ca="1"/>
        <v>-2.9054301998574061E-2</v>
      </c>
      <c r="T72">
        <f ca="1"/>
        <v>0.36379241748044483</v>
      </c>
      <c r="U72">
        <f ca="1"/>
        <v>0</v>
      </c>
      <c r="V72">
        <f ca="1"/>
        <v>26.398224722514076</v>
      </c>
      <c r="W72">
        <f ca="1"/>
        <v>22.559276935963041</v>
      </c>
      <c r="X72">
        <f ca="1"/>
        <v>0</v>
      </c>
      <c r="Y72">
        <f ca="1"/>
        <v>0.34593951275879509</v>
      </c>
      <c r="Z72">
        <f ca="1"/>
        <v>0</v>
      </c>
      <c r="AA72">
        <f ca="1"/>
        <v>0</v>
      </c>
      <c r="AB72">
        <f ca="1"/>
        <v>0.99965980433069501</v>
      </c>
      <c r="AD72" s="2">
        <f t="shared" ca="1" si="12"/>
        <v>45281</v>
      </c>
      <c r="AE72">
        <f t="shared" ca="1" si="13"/>
        <v>0</v>
      </c>
      <c r="AG72" s="63">
        <f t="shared" ca="1" si="7"/>
        <v>43.754253095418896</v>
      </c>
      <c r="AH72" s="63">
        <f t="shared" ca="1" si="8"/>
        <v>43.754253095418889</v>
      </c>
      <c r="AI72" s="3">
        <f t="shared" ca="1" si="9"/>
        <v>0</v>
      </c>
    </row>
    <row r="73" spans="7:35">
      <c r="G73" s="3">
        <f t="shared" ca="1" si="14"/>
        <v>311</v>
      </c>
      <c r="H73" s="95">
        <f t="shared" ref="H73:H136" ca="1" si="16">H72+1</f>
        <v>45236</v>
      </c>
      <c r="I73" s="119">
        <f ca="1">HLOOKUP($H$5,'Met Data'!$A$2:$F$368,G73,FALSE)</f>
        <v>12.319696969696899</v>
      </c>
      <c r="J73" s="119">
        <f ca="1">HLOOKUP($H$5,'Met Data'!$H$2:$M$368,G73,FALSE)*L73</f>
        <v>1.2030303030303</v>
      </c>
      <c r="K73" s="96">
        <f ca="1">HLOOKUP($H$5,'Met Data'!$O$2:$T$368,G73,FALSE)</f>
        <v>4.2180058763468802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45282</v>
      </c>
      <c r="Q73">
        <f ca="1"/>
        <v>42.067362491206666</v>
      </c>
      <c r="R73">
        <f ca="1"/>
        <v>1.0449813178400937</v>
      </c>
      <c r="S73">
        <f ca="1"/>
        <v>-2.8453148135130668E-2</v>
      </c>
      <c r="T73">
        <f ca="1"/>
        <v>0.37601924957417393</v>
      </c>
      <c r="U73">
        <f ca="1"/>
        <v>0</v>
      </c>
      <c r="V73">
        <f ca="1"/>
        <v>27.44320604035417</v>
      </c>
      <c r="W73">
        <f ca="1"/>
        <v>23.452292401580952</v>
      </c>
      <c r="X73">
        <f ca="1"/>
        <v>0</v>
      </c>
      <c r="Y73">
        <f ca="1"/>
        <v>0.35084302744498858</v>
      </c>
      <c r="Z73">
        <f ca="1"/>
        <v>0</v>
      </c>
      <c r="AA73">
        <f ca="1"/>
        <v>0</v>
      </c>
      <c r="AB73">
        <f ca="1"/>
        <v>0.99974258917943037</v>
      </c>
      <c r="AD73" s="2">
        <f t="shared" ca="1" si="12"/>
        <v>45282</v>
      </c>
      <c r="AE73">
        <f t="shared" ca="1" si="13"/>
        <v>0</v>
      </c>
      <c r="AG73" s="63">
        <f t="shared" ref="AG73:AG136" ca="1" si="17">Q72+S73+T73+U73</f>
        <v>43.112343809046763</v>
      </c>
      <c r="AH73" s="63">
        <f t="shared" ref="AH73:AH136" ca="1" si="18">Q73+R73+X73</f>
        <v>43.112343809046763</v>
      </c>
      <c r="AI73" s="3">
        <f t="shared" ref="AI73:AI136" ca="1" si="19">AH73-AG73</f>
        <v>0</v>
      </c>
    </row>
    <row r="74" spans="7:35">
      <c r="G74" s="3">
        <f t="shared" ca="1" si="14"/>
        <v>312</v>
      </c>
      <c r="H74" s="95">
        <f t="shared" ca="1" si="16"/>
        <v>45237</v>
      </c>
      <c r="I74" s="119">
        <f ca="1">HLOOKUP($H$5,'Met Data'!$A$2:$F$368,G74,FALSE)</f>
        <v>12.6025757575757</v>
      </c>
      <c r="J74" s="119">
        <f ca="1">HLOOKUP($H$5,'Met Data'!$H$2:$M$368,G74,FALSE)*L74</f>
        <v>2.3060606060605999</v>
      </c>
      <c r="K74" s="96">
        <f ca="1">HLOOKUP($H$5,'Met Data'!$O$2:$T$368,G74,FALSE)</f>
        <v>4.3094672807614902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45283</v>
      </c>
      <c r="Q74">
        <f ca="1"/>
        <v>41.345048521776356</v>
      </c>
      <c r="R74">
        <f ca="1"/>
        <v>1.0643989810302728</v>
      </c>
      <c r="S74">
        <f ca="1"/>
        <v>-2.6221692163243659E-2</v>
      </c>
      <c r="T74">
        <f ca="1"/>
        <v>0.36830670376321223</v>
      </c>
      <c r="U74">
        <f ca="1"/>
        <v>0</v>
      </c>
      <c r="V74">
        <f ca="1"/>
        <v>28.507605021384443</v>
      </c>
      <c r="W74">
        <f ca="1"/>
        <v>24.361901727049716</v>
      </c>
      <c r="X74">
        <f ca="1"/>
        <v>0</v>
      </c>
      <c r="Y74">
        <f ca="1"/>
        <v>0.34835628928786261</v>
      </c>
      <c r="Z74">
        <f ca="1"/>
        <v>0</v>
      </c>
      <c r="AA74">
        <f ca="1"/>
        <v>0</v>
      </c>
      <c r="AB74">
        <f ca="1"/>
        <v>0.999804468299894</v>
      </c>
      <c r="AD74" s="2">
        <f t="shared" ca="1" si="12"/>
        <v>45283</v>
      </c>
      <c r="AE74">
        <f t="shared" ca="1" si="13"/>
        <v>0</v>
      </c>
      <c r="AG74" s="63">
        <f t="shared" ca="1" si="17"/>
        <v>42.409447502806628</v>
      </c>
      <c r="AH74" s="63">
        <f t="shared" ca="1" si="18"/>
        <v>42.409447502806628</v>
      </c>
      <c r="AI74" s="3">
        <f t="shared" ca="1" si="19"/>
        <v>0</v>
      </c>
    </row>
    <row r="75" spans="7:35">
      <c r="G75" s="3">
        <f t="shared" ca="1" si="14"/>
        <v>313</v>
      </c>
      <c r="H75" s="95">
        <f t="shared" ca="1" si="16"/>
        <v>45238</v>
      </c>
      <c r="I75" s="119">
        <f ca="1">HLOOKUP($H$5,'Met Data'!$A$2:$F$368,G75,FALSE)</f>
        <v>12.547121212121199</v>
      </c>
      <c r="J75" s="119">
        <f ca="1">HLOOKUP($H$5,'Met Data'!$H$2:$M$368,G75,FALSE)*L75</f>
        <v>0.92727272727272703</v>
      </c>
      <c r="K75" s="96">
        <f ca="1">HLOOKUP($H$5,'Met Data'!$O$2:$T$368,G75,FALSE)</f>
        <v>4.1336721636417497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45284</v>
      </c>
      <c r="Q75">
        <f ca="1"/>
        <v>40.550595264706757</v>
      </c>
      <c r="R75">
        <f ca="1"/>
        <v>1.14672177152827</v>
      </c>
      <c r="S75">
        <f ca="1"/>
        <v>-2.3868115563296044E-2</v>
      </c>
      <c r="T75">
        <f ca="1"/>
        <v>0.3761366300219699</v>
      </c>
      <c r="U75">
        <f ca="1"/>
        <v>0</v>
      </c>
      <c r="V75">
        <f ca="1"/>
        <v>29.654326792912713</v>
      </c>
      <c r="W75">
        <f ca="1"/>
        <v>25.341862095003609</v>
      </c>
      <c r="X75">
        <f ca="1"/>
        <v>0</v>
      </c>
      <c r="Y75">
        <f ca="1"/>
        <v>0.32176487376191149</v>
      </c>
      <c r="Z75">
        <f ca="1"/>
        <v>0</v>
      </c>
      <c r="AA75">
        <f ca="1"/>
        <v>0</v>
      </c>
      <c r="AB75">
        <f ca="1"/>
        <v>0.99985321369559355</v>
      </c>
      <c r="AD75" s="2">
        <f t="shared" ca="1" si="12"/>
        <v>45284</v>
      </c>
      <c r="AE75">
        <f t="shared" ca="1" si="13"/>
        <v>0</v>
      </c>
      <c r="AG75" s="63">
        <f t="shared" ca="1" si="17"/>
        <v>41.697317036235027</v>
      </c>
      <c r="AH75" s="63">
        <f t="shared" ca="1" si="18"/>
        <v>41.697317036235027</v>
      </c>
      <c r="AI75" s="3">
        <f t="shared" ca="1" si="19"/>
        <v>0</v>
      </c>
    </row>
    <row r="76" spans="7:35">
      <c r="G76" s="3">
        <f t="shared" ca="1" si="14"/>
        <v>314</v>
      </c>
      <c r="H76" s="95">
        <f t="shared" ca="1" si="16"/>
        <v>45239</v>
      </c>
      <c r="I76" s="119">
        <f ca="1">HLOOKUP($H$5,'Met Data'!$A$2:$F$368,G76,FALSE)</f>
        <v>12.8168181818181</v>
      </c>
      <c r="J76" s="119">
        <f ca="1">HLOOKUP($H$5,'Met Data'!$H$2:$M$368,G76,FALSE)*L76</f>
        <v>1.0212121212121199</v>
      </c>
      <c r="K76" s="96">
        <f ca="1">HLOOKUP($H$5,'Met Data'!$O$2:$T$368,G76,FALSE)</f>
        <v>4.3938915359457704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45285</v>
      </c>
      <c r="Q76">
        <f ca="1"/>
        <v>39.710978371804288</v>
      </c>
      <c r="R76">
        <f ca="1"/>
        <v>1.188812271420403</v>
      </c>
      <c r="S76">
        <f ca="1"/>
        <v>-2.1461653314876372E-2</v>
      </c>
      <c r="T76">
        <f ca="1"/>
        <v>0.37065703183280424</v>
      </c>
      <c r="U76">
        <f ca="1"/>
        <v>0</v>
      </c>
      <c r="V76">
        <f ca="1"/>
        <v>30.843139064333116</v>
      </c>
      <c r="W76">
        <f ca="1"/>
        <v>26.357791974294749</v>
      </c>
      <c r="X76">
        <f ca="1"/>
        <v>0</v>
      </c>
      <c r="Y76">
        <f ca="1"/>
        <v>0.30569028392092074</v>
      </c>
      <c r="Z76">
        <f ca="1"/>
        <v>0</v>
      </c>
      <c r="AA76">
        <f ca="1"/>
        <v>0</v>
      </c>
      <c r="AB76">
        <f ca="1"/>
        <v>0.99988991167215124</v>
      </c>
      <c r="AD76" s="2">
        <f t="shared" ca="1" si="12"/>
        <v>45285</v>
      </c>
      <c r="AE76">
        <f t="shared" ca="1" si="13"/>
        <v>0</v>
      </c>
      <c r="AG76" s="63">
        <f t="shared" ca="1" si="17"/>
        <v>40.899790643224691</v>
      </c>
      <c r="AH76" s="63">
        <f t="shared" ca="1" si="18"/>
        <v>40.899790643224691</v>
      </c>
      <c r="AI76" s="3">
        <f t="shared" ca="1" si="19"/>
        <v>0</v>
      </c>
    </row>
    <row r="77" spans="7:35">
      <c r="G77" s="3">
        <f t="shared" ca="1" si="14"/>
        <v>315</v>
      </c>
      <c r="H77" s="95">
        <f t="shared" ca="1" si="16"/>
        <v>45240</v>
      </c>
      <c r="I77" s="119">
        <f ca="1">HLOOKUP($H$5,'Met Data'!$A$2:$F$368,G77,FALSE)</f>
        <v>14.334848484848401</v>
      </c>
      <c r="J77" s="119">
        <f ca="1">HLOOKUP($H$5,'Met Data'!$H$2:$M$368,G77,FALSE)*L77</f>
        <v>0.51818181818181797</v>
      </c>
      <c r="K77" s="96">
        <f ca="1">HLOOKUP($H$5,'Met Data'!$O$2:$T$368,G77,FALSE)</f>
        <v>5.1862560436492702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45286</v>
      </c>
      <c r="Q77">
        <f ca="1"/>
        <v>38.861192499154676</v>
      </c>
      <c r="R77">
        <f ca="1"/>
        <v>1.1754853887069174</v>
      </c>
      <c r="S77">
        <f ca="1"/>
        <v>-1.8247535724746911E-2</v>
      </c>
      <c r="T77">
        <f ca="1"/>
        <v>0.34394705178205004</v>
      </c>
      <c r="U77">
        <f ca="1"/>
        <v>0</v>
      </c>
      <c r="V77">
        <f ca="1"/>
        <v>32.018624453040033</v>
      </c>
      <c r="W77">
        <f ca="1"/>
        <v>27.362333025701179</v>
      </c>
      <c r="X77">
        <f ca="1"/>
        <v>0</v>
      </c>
      <c r="Y77">
        <f ca="1"/>
        <v>0.28774519235863638</v>
      </c>
      <c r="Z77">
        <f ca="1"/>
        <v>0</v>
      </c>
      <c r="AA77">
        <f ca="1"/>
        <v>0</v>
      </c>
      <c r="AB77">
        <f ca="1"/>
        <v>0.99991643186586898</v>
      </c>
      <c r="AD77" s="2">
        <f t="shared" ca="1" si="12"/>
        <v>45286</v>
      </c>
      <c r="AE77">
        <f t="shared" ca="1" si="13"/>
        <v>0</v>
      </c>
      <c r="AG77" s="63">
        <f t="shared" ca="1" si="17"/>
        <v>40.036677887861593</v>
      </c>
      <c r="AH77" s="63">
        <f t="shared" ca="1" si="18"/>
        <v>40.036677887861593</v>
      </c>
      <c r="AI77" s="3">
        <f t="shared" ca="1" si="19"/>
        <v>0</v>
      </c>
    </row>
    <row r="78" spans="7:35">
      <c r="G78" s="3">
        <f t="shared" ca="1" si="14"/>
        <v>316</v>
      </c>
      <c r="H78" s="95">
        <f t="shared" ca="1" si="16"/>
        <v>45241</v>
      </c>
      <c r="I78" s="119">
        <f ca="1">HLOOKUP($H$5,'Met Data'!$A$2:$F$368,G78,FALSE)</f>
        <v>13.660606060606</v>
      </c>
      <c r="J78" s="119">
        <f ca="1">HLOOKUP($H$5,'Met Data'!$H$2:$M$368,G78,FALSE)*L78</f>
        <v>0.90606060606060601</v>
      </c>
      <c r="K78" s="96">
        <f ca="1">HLOOKUP($H$5,'Met Data'!$O$2:$T$368,G78,FALSE)</f>
        <v>4.8906124961293598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45287</v>
      </c>
      <c r="Q78">
        <f ca="1"/>
        <v>37.879452369761012</v>
      </c>
      <c r="R78">
        <f ca="1"/>
        <v>1.355397914951503</v>
      </c>
      <c r="S78">
        <f ca="1"/>
        <v>-1.8935255082264568E-2</v>
      </c>
      <c r="T78">
        <f ca="1"/>
        <v>0.39259304064009909</v>
      </c>
      <c r="U78">
        <f ca="1"/>
        <v>0</v>
      </c>
      <c r="V78">
        <f ca="1"/>
        <v>33.374022367991536</v>
      </c>
      <c r="W78">
        <f ca="1"/>
        <v>28.520622919935622</v>
      </c>
      <c r="X78">
        <f ca="1"/>
        <v>0</v>
      </c>
      <c r="Y78">
        <f ca="1"/>
        <v>0.27967587180991405</v>
      </c>
      <c r="Z78">
        <f ca="1"/>
        <v>0</v>
      </c>
      <c r="AA78">
        <f ca="1"/>
        <v>0</v>
      </c>
      <c r="AB78">
        <f ca="1"/>
        <v>0.99993856848974272</v>
      </c>
      <c r="AD78" s="2">
        <f t="shared" ca="1" si="12"/>
        <v>45287</v>
      </c>
      <c r="AE78">
        <f t="shared" ca="1" si="13"/>
        <v>0</v>
      </c>
      <c r="AG78" s="63">
        <f t="shared" ca="1" si="17"/>
        <v>39.234850284712515</v>
      </c>
      <c r="AH78" s="63">
        <f t="shared" ca="1" si="18"/>
        <v>39.234850284712515</v>
      </c>
      <c r="AI78" s="3">
        <f t="shared" ca="1" si="19"/>
        <v>0</v>
      </c>
    </row>
    <row r="79" spans="7:35">
      <c r="G79" s="3">
        <f t="shared" ca="1" si="14"/>
        <v>317</v>
      </c>
      <c r="H79" s="95">
        <f t="shared" ca="1" si="16"/>
        <v>45242</v>
      </c>
      <c r="I79" s="119">
        <f ca="1">HLOOKUP($H$5,'Met Data'!$A$2:$F$368,G79,FALSE)</f>
        <v>13.3045454545454</v>
      </c>
      <c r="J79" s="119">
        <f ca="1">HLOOKUP($H$5,'Met Data'!$H$2:$M$368,G79,FALSE)*L79</f>
        <v>2.2575757575757498</v>
      </c>
      <c r="K79" s="96">
        <f ca="1">HLOOKUP($H$5,'Met Data'!$O$2:$T$368,G79,FALSE)</f>
        <v>4.5262878878537398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45288</v>
      </c>
      <c r="Q79">
        <f ca="1"/>
        <v>36.850456143767026</v>
      </c>
      <c r="R79">
        <f ca="1"/>
        <v>1.4218005444473505</v>
      </c>
      <c r="S79">
        <f ca="1"/>
        <v>-1.9789623865036354E-2</v>
      </c>
      <c r="T79">
        <f ca="1"/>
        <v>0.41259394231840546</v>
      </c>
      <c r="U79">
        <f ca="1"/>
        <v>0</v>
      </c>
      <c r="V79">
        <f ca="1"/>
        <v>34.795822912438886</v>
      </c>
      <c r="W79">
        <f ca="1"/>
        <v>29.735658876597334</v>
      </c>
      <c r="X79">
        <f ca="1"/>
        <v>0</v>
      </c>
      <c r="Y79">
        <f ca="1"/>
        <v>0.30664521046823912</v>
      </c>
      <c r="Z79">
        <f ca="1"/>
        <v>0</v>
      </c>
      <c r="AA79">
        <f ca="1"/>
        <v>0</v>
      </c>
      <c r="AB79">
        <f ca="1"/>
        <v>0.99995504043508399</v>
      </c>
      <c r="AD79" s="2">
        <f t="shared" ca="1" si="12"/>
        <v>45288</v>
      </c>
      <c r="AE79">
        <f t="shared" ca="1" si="13"/>
        <v>0</v>
      </c>
      <c r="AG79" s="63">
        <f t="shared" ca="1" si="17"/>
        <v>38.272256688214377</v>
      </c>
      <c r="AH79" s="63">
        <f t="shared" ca="1" si="18"/>
        <v>38.272256688214377</v>
      </c>
      <c r="AI79" s="3">
        <f t="shared" ca="1" si="19"/>
        <v>0</v>
      </c>
    </row>
    <row r="80" spans="7:35">
      <c r="G80" s="3">
        <f t="shared" ca="1" si="14"/>
        <v>318</v>
      </c>
      <c r="H80" s="95">
        <f t="shared" ca="1" si="16"/>
        <v>45243</v>
      </c>
      <c r="I80" s="119">
        <f ca="1">HLOOKUP($H$5,'Met Data'!$A$2:$F$368,G80,FALSE)</f>
        <v>12.422727272727199</v>
      </c>
      <c r="J80" s="119">
        <f ca="1">HLOOKUP($H$5,'Met Data'!$H$2:$M$368,G80,FALSE)*L80</f>
        <v>1.1818181818181801</v>
      </c>
      <c r="K80" s="96">
        <f ca="1">HLOOKUP($H$5,'Met Data'!$O$2:$T$368,G80,FALSE)</f>
        <v>4.3459922348738003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45289</v>
      </c>
      <c r="Q80">
        <f ca="1"/>
        <v>35.847696909882096</v>
      </c>
      <c r="R80">
        <f ca="1"/>
        <v>1.3523596096788921</v>
      </c>
      <c r="S80">
        <f ca="1"/>
        <v>-1.6214469607088944E-2</v>
      </c>
      <c r="T80">
        <f ca="1"/>
        <v>0.36581484540104625</v>
      </c>
      <c r="U80">
        <f ca="1"/>
        <v>0</v>
      </c>
      <c r="V80">
        <f ca="1"/>
        <v>36.148182522117779</v>
      </c>
      <c r="W80">
        <f ca="1"/>
        <v>30.891352309487068</v>
      </c>
      <c r="X80">
        <f ca="1"/>
        <v>0</v>
      </c>
      <c r="Y80">
        <f ca="1"/>
        <v>0.29472274074848603</v>
      </c>
      <c r="Z80">
        <f ca="1"/>
        <v>0</v>
      </c>
      <c r="AA80">
        <f ca="1"/>
        <v>0</v>
      </c>
      <c r="AB80">
        <f ca="1"/>
        <v>0.99996627789259829</v>
      </c>
      <c r="AD80" s="2">
        <f t="shared" ca="1" si="12"/>
        <v>45289</v>
      </c>
      <c r="AE80">
        <f t="shared" ca="1" si="13"/>
        <v>0</v>
      </c>
      <c r="AG80" s="63">
        <f t="shared" ca="1" si="17"/>
        <v>37.200056519560988</v>
      </c>
      <c r="AH80" s="63">
        <f t="shared" ca="1" si="18"/>
        <v>37.200056519560988</v>
      </c>
      <c r="AI80" s="3">
        <f t="shared" ca="1" si="19"/>
        <v>0</v>
      </c>
    </row>
    <row r="81" spans="7:35">
      <c r="G81" s="3">
        <f t="shared" ca="1" si="14"/>
        <v>319</v>
      </c>
      <c r="H81" s="95">
        <f t="shared" ca="1" si="16"/>
        <v>45244</v>
      </c>
      <c r="I81" s="119">
        <f ca="1">HLOOKUP($H$5,'Met Data'!$A$2:$F$368,G81,FALSE)</f>
        <v>12.9954545454545</v>
      </c>
      <c r="J81" s="119">
        <f ca="1">HLOOKUP($H$5,'Met Data'!$H$2:$M$368,G81,FALSE)*L81</f>
        <v>0.324242424242424</v>
      </c>
      <c r="K81" s="96">
        <f ca="1">HLOOKUP($H$5,'Met Data'!$O$2:$T$368,G81,FALSE)</f>
        <v>4.6406514807717096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45290</v>
      </c>
      <c r="Q81">
        <f ca="1"/>
        <v>34.779186296690519</v>
      </c>
      <c r="R81">
        <f ca="1"/>
        <v>1.44186519697584</v>
      </c>
      <c r="S81">
        <f ca="1"/>
        <v>-1.6705324393399223E-2</v>
      </c>
      <c r="T81">
        <f ca="1"/>
        <v>0.3900599081776619</v>
      </c>
      <c r="U81">
        <f ca="1"/>
        <v>0</v>
      </c>
      <c r="V81">
        <f ca="1"/>
        <v>37.590047719093619</v>
      </c>
      <c r="W81">
        <f ca="1"/>
        <v>32.123535027257617</v>
      </c>
      <c r="X81">
        <f ca="1"/>
        <v>0</v>
      </c>
      <c r="Y81">
        <f ca="1"/>
        <v>0.31276138385407787</v>
      </c>
      <c r="Z81">
        <f ca="1"/>
        <v>0</v>
      </c>
      <c r="AA81">
        <f ca="1"/>
        <v>0</v>
      </c>
      <c r="AB81">
        <f ca="1"/>
        <v>0.9999749543676647</v>
      </c>
      <c r="AD81" s="2">
        <f t="shared" ca="1" si="12"/>
        <v>45290</v>
      </c>
      <c r="AE81">
        <f t="shared" ca="1" si="13"/>
        <v>0</v>
      </c>
      <c r="AG81" s="63">
        <f t="shared" ca="1" si="17"/>
        <v>36.221051493666359</v>
      </c>
      <c r="AH81" s="63">
        <f t="shared" ca="1" si="18"/>
        <v>36.221051493666359</v>
      </c>
      <c r="AI81" s="3">
        <f t="shared" ca="1" si="19"/>
        <v>0</v>
      </c>
    </row>
    <row r="82" spans="7:35">
      <c r="G82" s="3">
        <f t="shared" ca="1" si="14"/>
        <v>320</v>
      </c>
      <c r="H82" s="95">
        <f t="shared" ca="1" si="16"/>
        <v>45245</v>
      </c>
      <c r="I82" s="119">
        <f ca="1">HLOOKUP($H$5,'Met Data'!$A$2:$F$368,G82,FALSE)</f>
        <v>13.430303030303</v>
      </c>
      <c r="J82" s="119">
        <f ca="1">HLOOKUP($H$5,'Met Data'!$H$2:$M$368,G82,FALSE)*L82</f>
        <v>0.469696969696969</v>
      </c>
      <c r="K82" s="96">
        <f ca="1">HLOOKUP($H$5,'Met Data'!$O$2:$T$368,G82,FALSE)</f>
        <v>5.0457035491188602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45291</v>
      </c>
      <c r="Q82">
        <f ca="1"/>
        <v>33.694184384559286</v>
      </c>
      <c r="R82">
        <f ca="1"/>
        <v>1.4397754417695694</v>
      </c>
      <c r="S82">
        <f ca="1"/>
        <v>-1.4431143871909136E-2</v>
      </c>
      <c r="T82">
        <f ca="1"/>
        <v>0.36920467351024577</v>
      </c>
      <c r="U82">
        <f ca="1"/>
        <v>0</v>
      </c>
      <c r="V82">
        <f ca="1"/>
        <v>39.029823160863188</v>
      </c>
      <c r="W82">
        <f ca="1"/>
        <v>33.353931891361015</v>
      </c>
      <c r="X82">
        <f ca="1"/>
        <v>0</v>
      </c>
      <c r="Y82">
        <f ca="1"/>
        <v>0.30011891986189376</v>
      </c>
      <c r="Z82">
        <f ca="1"/>
        <v>0</v>
      </c>
      <c r="AA82">
        <f ca="1"/>
        <v>0</v>
      </c>
      <c r="AB82">
        <f ca="1"/>
        <v>0.999981227287842</v>
      </c>
      <c r="AD82" s="2">
        <f t="shared" ca="1" si="12"/>
        <v>45291</v>
      </c>
      <c r="AE82">
        <f t="shared" ca="1" si="13"/>
        <v>0</v>
      </c>
      <c r="AG82" s="63">
        <f t="shared" ca="1" si="17"/>
        <v>35.133959826328855</v>
      </c>
      <c r="AH82" s="63">
        <f t="shared" ca="1" si="18"/>
        <v>35.133959826328855</v>
      </c>
      <c r="AI82" s="3">
        <f t="shared" ca="1" si="19"/>
        <v>0</v>
      </c>
    </row>
    <row r="83" spans="7:35">
      <c r="G83" s="3">
        <f t="shared" ca="1" si="14"/>
        <v>321</v>
      </c>
      <c r="H83" s="95">
        <f t="shared" ca="1" si="16"/>
        <v>45246</v>
      </c>
      <c r="I83" s="119">
        <f ca="1">HLOOKUP($H$5,'Met Data'!$A$2:$F$368,G83,FALSE)</f>
        <v>13.7712121212121</v>
      </c>
      <c r="J83" s="119">
        <f ca="1">HLOOKUP($H$5,'Met Data'!$H$2:$M$368,G83,FALSE)*L83</f>
        <v>1.79696969696969</v>
      </c>
      <c r="K83" s="96">
        <f ca="1">HLOOKUP($H$5,'Met Data'!$O$2:$T$368,G83,FALSE)</f>
        <v>4.8091723913410096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45292</v>
      </c>
      <c r="Q83">
        <f ca="1"/>
        <v>32.538785865475496</v>
      </c>
      <c r="R83">
        <f ca="1"/>
        <v>1.5146322905711571</v>
      </c>
      <c r="S83">
        <f ca="1"/>
        <v>-1.300926299566374E-2</v>
      </c>
      <c r="T83">
        <f ca="1"/>
        <v>0.37224303448303597</v>
      </c>
      <c r="U83">
        <f ca="1"/>
        <v>0</v>
      </c>
      <c r="V83">
        <f ca="1"/>
        <v>40.544455451434345</v>
      </c>
      <c r="W83">
        <f ca="1"/>
        <v>34.648299586852495</v>
      </c>
      <c r="X83">
        <f ca="1"/>
        <v>0</v>
      </c>
      <c r="Y83">
        <f ca="1"/>
        <v>0.28296061798394029</v>
      </c>
      <c r="Z83">
        <f ca="1"/>
        <v>0</v>
      </c>
      <c r="AA83">
        <f ca="1"/>
        <v>0</v>
      </c>
      <c r="AB83">
        <f ca="1"/>
        <v>0.99998601764093376</v>
      </c>
      <c r="AD83" s="2">
        <f t="shared" ca="1" si="12"/>
        <v>45292</v>
      </c>
      <c r="AE83">
        <f t="shared" ca="1" si="13"/>
        <v>0</v>
      </c>
      <c r="AG83" s="63">
        <f t="shared" ca="1" si="17"/>
        <v>34.053418156046654</v>
      </c>
      <c r="AH83" s="63">
        <f t="shared" ca="1" si="18"/>
        <v>34.053418156046654</v>
      </c>
      <c r="AI83" s="3">
        <f t="shared" ca="1" si="19"/>
        <v>0</v>
      </c>
    </row>
    <row r="84" spans="7:35">
      <c r="G84" s="3">
        <f t="shared" ca="1" si="14"/>
        <v>322</v>
      </c>
      <c r="H84" s="95">
        <f t="shared" ca="1" si="16"/>
        <v>45247</v>
      </c>
      <c r="I84" s="119">
        <f ca="1">HLOOKUP($H$5,'Met Data'!$A$2:$F$368,G84,FALSE)</f>
        <v>12.8924242424242</v>
      </c>
      <c r="J84" s="119">
        <f ca="1">HLOOKUP($H$5,'Met Data'!$H$2:$M$368,G84,FALSE)*L84</f>
        <v>1.46969696969696</v>
      </c>
      <c r="K84" s="96">
        <f ca="1">HLOOKUP($H$5,'Met Data'!$O$2:$T$368,G84,FALSE)</f>
        <v>4.4924353878463998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45293</v>
      </c>
      <c r="Q84">
        <f ca="1"/>
        <v>31.273650631854224</v>
      </c>
      <c r="R84">
        <f ca="1"/>
        <v>1.6545802586021168</v>
      </c>
      <c r="S84">
        <f ca="1"/>
        <v>-1.2983619054748985E-2</v>
      </c>
      <c r="T84">
        <f ca="1"/>
        <v>0.40242864403559275</v>
      </c>
      <c r="U84">
        <f ca="1"/>
        <v>0</v>
      </c>
      <c r="V84">
        <f ca="1"/>
        <v>42.199035710036462</v>
      </c>
      <c r="W84">
        <f ca="1"/>
        <v>36.062263391575634</v>
      </c>
      <c r="X84">
        <f ca="1"/>
        <v>0</v>
      </c>
      <c r="Y84">
        <f ca="1"/>
        <v>0.28380369650642617</v>
      </c>
      <c r="Z84">
        <f ca="1"/>
        <v>0</v>
      </c>
      <c r="AA84">
        <f ca="1"/>
        <v>0</v>
      </c>
      <c r="AB84">
        <f ca="1"/>
        <v>0.99998976997962641</v>
      </c>
      <c r="AD84" s="2">
        <f t="shared" ca="1" si="12"/>
        <v>45293</v>
      </c>
      <c r="AE84">
        <f t="shared" ca="1" si="13"/>
        <v>0</v>
      </c>
      <c r="AG84" s="63">
        <f t="shared" ca="1" si="17"/>
        <v>32.928230890456341</v>
      </c>
      <c r="AH84" s="63">
        <f t="shared" ca="1" si="18"/>
        <v>32.928230890456341</v>
      </c>
      <c r="AI84" s="3">
        <f t="shared" ca="1" si="19"/>
        <v>0</v>
      </c>
    </row>
    <row r="85" spans="7:35">
      <c r="G85" s="3">
        <f t="shared" ca="1" si="14"/>
        <v>323</v>
      </c>
      <c r="H85" s="95">
        <f t="shared" ca="1" si="16"/>
        <v>45248</v>
      </c>
      <c r="I85" s="119">
        <f ca="1">HLOOKUP($H$5,'Met Data'!$A$2:$F$368,G85,FALSE)</f>
        <v>12.363636363636299</v>
      </c>
      <c r="J85" s="119">
        <f ca="1">HLOOKUP($H$5,'Met Data'!$H$2:$M$368,G85,FALSE)*L85</f>
        <v>2.6151515151515099</v>
      </c>
      <c r="K85" s="96">
        <f ca="1">HLOOKUP($H$5,'Met Data'!$O$2:$T$368,G85,FALSE)</f>
        <v>4.3049572040258504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45294</v>
      </c>
      <c r="Q85">
        <f ca="1"/>
        <v>63.64980715744889</v>
      </c>
      <c r="R85">
        <f ca="1"/>
        <v>1.6691701135501233</v>
      </c>
      <c r="S85">
        <f ca="1"/>
        <v>-1.232568744426743E-2</v>
      </c>
      <c r="T85">
        <f ca="1"/>
        <v>0.39852939356493222</v>
      </c>
      <c r="U85">
        <f ca="1"/>
        <v>33.659122933024122</v>
      </c>
      <c r="V85">
        <f ca="1"/>
        <v>43.868205823586585</v>
      </c>
      <c r="W85">
        <f ca="1"/>
        <v>37.488695329352701</v>
      </c>
      <c r="X85">
        <f ca="1"/>
        <v>0</v>
      </c>
      <c r="Y85">
        <f ca="1"/>
        <v>0.29899609363758861</v>
      </c>
      <c r="Z85">
        <f ca="1"/>
        <v>0</v>
      </c>
      <c r="AA85">
        <f ca="1"/>
        <v>0</v>
      </c>
      <c r="AB85">
        <f ca="1"/>
        <v>0.9999924676880263</v>
      </c>
      <c r="AD85" s="2">
        <f t="shared" ca="1" si="12"/>
        <v>45294</v>
      </c>
      <c r="AE85">
        <f t="shared" ca="1" si="13"/>
        <v>33.659122933024122</v>
      </c>
      <c r="AG85" s="63">
        <f t="shared" ca="1" si="17"/>
        <v>65.318977270999014</v>
      </c>
      <c r="AH85" s="63">
        <f t="shared" ca="1" si="18"/>
        <v>65.318977270999014</v>
      </c>
      <c r="AI85" s="3">
        <f t="shared" ca="1" si="19"/>
        <v>0</v>
      </c>
    </row>
    <row r="86" spans="7:35">
      <c r="G86" s="3">
        <f t="shared" ca="1" si="14"/>
        <v>324</v>
      </c>
      <c r="H86" s="95">
        <f t="shared" ca="1" si="16"/>
        <v>45249</v>
      </c>
      <c r="I86" s="119">
        <f ca="1">HLOOKUP($H$5,'Met Data'!$A$2:$F$368,G86,FALSE)</f>
        <v>12.159090909090899</v>
      </c>
      <c r="J86" s="119">
        <f ca="1">HLOOKUP($H$5,'Met Data'!$H$2:$M$368,G86,FALSE)*L86</f>
        <v>2.7848484848484798</v>
      </c>
      <c r="K86" s="96">
        <f ca="1">HLOOKUP($H$5,'Met Data'!$O$2:$T$368,G86,FALSE)</f>
        <v>4.1173997511743199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45295</v>
      </c>
      <c r="Q86">
        <f ca="1"/>
        <v>62.399356944806179</v>
      </c>
      <c r="R86">
        <f ca="1"/>
        <v>1.6093516741329452</v>
      </c>
      <c r="S86">
        <f ca="1"/>
        <v>-1.0784316166185803E-2</v>
      </c>
      <c r="T86">
        <f ca="1"/>
        <v>0.36968577765642346</v>
      </c>
      <c r="U86">
        <f ca="1"/>
        <v>0</v>
      </c>
      <c r="V86">
        <f ca="1"/>
        <v>45.47755749771953</v>
      </c>
      <c r="W86">
        <f ca="1"/>
        <v>38.864007892441727</v>
      </c>
      <c r="X86">
        <f ca="1"/>
        <v>0</v>
      </c>
      <c r="Y86">
        <f ca="1"/>
        <v>0.30547977015078021</v>
      </c>
      <c r="Z86">
        <f ca="1"/>
        <v>0</v>
      </c>
      <c r="AA86">
        <f ca="1"/>
        <v>0</v>
      </c>
      <c r="AB86">
        <f ca="1"/>
        <v>0.99999434800382969</v>
      </c>
      <c r="AD86" s="2">
        <f t="shared" ca="1" si="12"/>
        <v>45295</v>
      </c>
      <c r="AE86">
        <f t="shared" ca="1" si="13"/>
        <v>0</v>
      </c>
      <c r="AG86" s="63">
        <f t="shared" ca="1" si="17"/>
        <v>64.008708618939124</v>
      </c>
      <c r="AH86" s="63">
        <f t="shared" ca="1" si="18"/>
        <v>64.008708618939124</v>
      </c>
      <c r="AI86" s="3">
        <f t="shared" ca="1" si="19"/>
        <v>0</v>
      </c>
    </row>
    <row r="87" spans="7:35">
      <c r="G87" s="3">
        <f t="shared" ca="1" si="14"/>
        <v>325</v>
      </c>
      <c r="H87" s="95">
        <f t="shared" ca="1" si="16"/>
        <v>45250</v>
      </c>
      <c r="I87" s="119">
        <f ca="1">HLOOKUP($H$5,'Met Data'!$A$2:$F$368,G87,FALSE)</f>
        <v>13.048484848484801</v>
      </c>
      <c r="J87" s="119">
        <f ca="1">HLOOKUP($H$5,'Met Data'!$H$2:$M$368,G87,FALSE)*L87</f>
        <v>1.49696969696969</v>
      </c>
      <c r="K87" s="96">
        <f ca="1">HLOOKUP($H$5,'Met Data'!$O$2:$T$368,G87,FALSE)</f>
        <v>4.5766974923540298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45296</v>
      </c>
      <c r="Q87">
        <f ca="1"/>
        <v>61.086168986146802</v>
      </c>
      <c r="R87">
        <f ca="1"/>
        <v>1.6803301078429911</v>
      </c>
      <c r="S87">
        <f ca="1"/>
        <v>-1.0033101920821963E-2</v>
      </c>
      <c r="T87">
        <f ca="1"/>
        <v>0.37717525110442918</v>
      </c>
      <c r="U87">
        <f ca="1"/>
        <v>0</v>
      </c>
      <c r="V87">
        <f ca="1"/>
        <v>47.157887605562522</v>
      </c>
      <c r="W87">
        <f ca="1"/>
        <v>40.299976888278671</v>
      </c>
      <c r="X87">
        <f ca="1"/>
        <v>0</v>
      </c>
      <c r="Y87">
        <f ca="1"/>
        <v>0.30379877263333555</v>
      </c>
      <c r="Z87">
        <f ca="1"/>
        <v>0</v>
      </c>
      <c r="AA87">
        <f ca="1"/>
        <v>0</v>
      </c>
      <c r="AB87">
        <f ca="1"/>
        <v>0.99999578000319955</v>
      </c>
      <c r="AD87" s="2">
        <f t="shared" ca="1" si="12"/>
        <v>45296</v>
      </c>
      <c r="AE87">
        <f t="shared" ca="1" si="13"/>
        <v>0</v>
      </c>
      <c r="AG87" s="63">
        <f t="shared" ca="1" si="17"/>
        <v>62.766499093989793</v>
      </c>
      <c r="AH87" s="63">
        <f t="shared" ca="1" si="18"/>
        <v>62.766499093989793</v>
      </c>
      <c r="AI87" s="3">
        <f t="shared" ca="1" si="19"/>
        <v>0</v>
      </c>
    </row>
    <row r="88" spans="7:35">
      <c r="G88" s="3">
        <f t="shared" ca="1" si="14"/>
        <v>326</v>
      </c>
      <c r="H88" s="95">
        <f t="shared" ca="1" si="16"/>
        <v>45251</v>
      </c>
      <c r="I88" s="119">
        <f ca="1">HLOOKUP($H$5,'Met Data'!$A$2:$F$368,G88,FALSE)</f>
        <v>12.9621212121212</v>
      </c>
      <c r="J88" s="119">
        <f ca="1">HLOOKUP($H$5,'Met Data'!$H$2:$M$368,G88,FALSE)*L88</f>
        <v>2.8727272727272699</v>
      </c>
      <c r="K88" s="96">
        <f ca="1">HLOOKUP($H$5,'Met Data'!$O$2:$T$368,G88,FALSE)</f>
        <v>4.2114496325231201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45297</v>
      </c>
      <c r="Q88">
        <f ca="1"/>
        <v>59.709761460245382</v>
      </c>
      <c r="R88">
        <f ca="1"/>
        <v>1.7399285410174556</v>
      </c>
      <c r="S88">
        <f ca="1"/>
        <v>-8.6025738119994699E-3</v>
      </c>
      <c r="T88">
        <f ca="1"/>
        <v>0.37212358892803216</v>
      </c>
      <c r="U88">
        <f ca="1"/>
        <v>0</v>
      </c>
      <c r="V88">
        <f ca="1"/>
        <v>48.897816146579977</v>
      </c>
      <c r="W88">
        <f ca="1"/>
        <v>41.786877246851745</v>
      </c>
      <c r="X88">
        <f ca="1"/>
        <v>0</v>
      </c>
      <c r="Y88">
        <f ca="1"/>
        <v>0.28153427302975187</v>
      </c>
      <c r="Z88">
        <f ca="1"/>
        <v>0</v>
      </c>
      <c r="AA88">
        <f ca="1"/>
        <v>0</v>
      </c>
      <c r="AB88">
        <f ca="1"/>
        <v>0.9999968577841617</v>
      </c>
      <c r="AD88" s="2">
        <f t="shared" ca="1" si="12"/>
        <v>45297</v>
      </c>
      <c r="AE88">
        <f t="shared" ca="1" si="13"/>
        <v>0</v>
      </c>
      <c r="AG88" s="63">
        <f t="shared" ca="1" si="17"/>
        <v>61.449690001262837</v>
      </c>
      <c r="AH88" s="63">
        <f t="shared" ca="1" si="18"/>
        <v>61.449690001262837</v>
      </c>
      <c r="AI88" s="3">
        <f t="shared" ca="1" si="19"/>
        <v>0</v>
      </c>
    </row>
    <row r="89" spans="7:35">
      <c r="G89" s="3">
        <f t="shared" ca="1" si="14"/>
        <v>327</v>
      </c>
      <c r="H89" s="95">
        <f t="shared" ca="1" si="16"/>
        <v>45252</v>
      </c>
      <c r="I89" s="119">
        <f ca="1">HLOOKUP($H$5,'Met Data'!$A$2:$F$368,G89,FALSE)</f>
        <v>12.268749999999899</v>
      </c>
      <c r="J89" s="119">
        <f ca="1">HLOOKUP($H$5,'Met Data'!$H$2:$M$368,G89,FALSE)*L89</f>
        <v>1.4437500000000001</v>
      </c>
      <c r="K89" s="96">
        <f ca="1">HLOOKUP($H$5,'Met Data'!$O$2:$T$368,G89,FALSE)</f>
        <v>4.3766355597309001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45298</v>
      </c>
      <c r="Q89">
        <f ca="1"/>
        <v>58.187650005066118</v>
      </c>
      <c r="R89">
        <f ca="1"/>
        <v>1.9176536284756409</v>
      </c>
      <c r="S89">
        <f ca="1"/>
        <v>-8.1919726687837979E-3</v>
      </c>
      <c r="T89">
        <f ca="1"/>
        <v>0.40373414596516094</v>
      </c>
      <c r="U89">
        <f ca="1"/>
        <v>0</v>
      </c>
      <c r="V89">
        <f ca="1"/>
        <v>50.815469775055618</v>
      </c>
      <c r="W89">
        <f ca="1"/>
        <v>43.425657116588248</v>
      </c>
      <c r="X89">
        <f ca="1"/>
        <v>0</v>
      </c>
      <c r="Y89">
        <f ca="1"/>
        <v>0.27053764338938852</v>
      </c>
      <c r="Z89">
        <f ca="1"/>
        <v>0</v>
      </c>
      <c r="AA89">
        <f ca="1"/>
        <v>0</v>
      </c>
      <c r="AB89">
        <f ca="1"/>
        <v>0.99999771087204381</v>
      </c>
      <c r="AD89" s="2">
        <f t="shared" ca="1" si="12"/>
        <v>45298</v>
      </c>
      <c r="AE89">
        <f t="shared" ca="1" si="13"/>
        <v>0</v>
      </c>
      <c r="AG89" s="63">
        <f t="shared" ca="1" si="17"/>
        <v>60.105303633541759</v>
      </c>
      <c r="AH89" s="63">
        <f t="shared" ca="1" si="18"/>
        <v>60.105303633541759</v>
      </c>
      <c r="AI89" s="3">
        <f t="shared" ca="1" si="19"/>
        <v>0</v>
      </c>
    </row>
    <row r="90" spans="7:35">
      <c r="G90" s="3">
        <f t="shared" ca="1" si="14"/>
        <v>328</v>
      </c>
      <c r="H90" s="95">
        <f t="shared" ca="1" si="16"/>
        <v>45253</v>
      </c>
      <c r="I90" s="119">
        <f ca="1">HLOOKUP($H$5,'Met Data'!$A$2:$F$368,G90,FALSE)</f>
        <v>13.610937499999901</v>
      </c>
      <c r="J90" s="119">
        <f ca="1">HLOOKUP($H$5,'Met Data'!$H$2:$M$368,G90,FALSE)*L90</f>
        <v>0.90937499999999905</v>
      </c>
      <c r="K90" s="96">
        <f ca="1">HLOOKUP($H$5,'Met Data'!$O$2:$T$368,G90,FALSE)</f>
        <v>4.8353730549956699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45299</v>
      </c>
      <c r="Q90">
        <f ca="1"/>
        <v>56.647648363919544</v>
      </c>
      <c r="R90">
        <f ca="1"/>
        <v>1.9341380282412217</v>
      </c>
      <c r="S90">
        <f ca="1"/>
        <v>-7.6711485420908332E-3</v>
      </c>
      <c r="T90">
        <f ca="1"/>
        <v>0.40180753563673688</v>
      </c>
      <c r="U90">
        <f ca="1"/>
        <v>0</v>
      </c>
      <c r="V90">
        <f ca="1"/>
        <v>52.74960780329684</v>
      </c>
      <c r="W90">
        <f ca="1"/>
        <v>45.078524151024027</v>
      </c>
      <c r="X90">
        <f ca="1"/>
        <v>0</v>
      </c>
      <c r="Y90">
        <f ca="1"/>
        <v>0.2864032221849912</v>
      </c>
      <c r="Z90">
        <f ca="1"/>
        <v>0</v>
      </c>
      <c r="AA90">
        <f ca="1"/>
        <v>0</v>
      </c>
      <c r="AB90">
        <f ca="1"/>
        <v>0.9999983234219344</v>
      </c>
      <c r="AD90" s="2">
        <f t="shared" ca="1" si="12"/>
        <v>45299</v>
      </c>
      <c r="AE90">
        <f t="shared" ca="1" si="13"/>
        <v>0</v>
      </c>
      <c r="AG90" s="63">
        <f t="shared" ca="1" si="17"/>
        <v>58.581786392160765</v>
      </c>
      <c r="AH90" s="63">
        <f t="shared" ca="1" si="18"/>
        <v>58.581786392160765</v>
      </c>
      <c r="AI90" s="3">
        <f t="shared" ca="1" si="19"/>
        <v>0</v>
      </c>
    </row>
    <row r="91" spans="7:35">
      <c r="G91" s="3">
        <f t="shared" ca="1" si="14"/>
        <v>329</v>
      </c>
      <c r="H91" s="95">
        <f t="shared" ca="1" si="16"/>
        <v>45254</v>
      </c>
      <c r="I91" s="119">
        <f ca="1">HLOOKUP($H$5,'Met Data'!$A$2:$F$368,G91,FALSE)</f>
        <v>13.9</v>
      </c>
      <c r="J91" s="119">
        <f ca="1">HLOOKUP($H$5,'Met Data'!$H$2:$M$368,G91,FALSE)*L91</f>
        <v>1.096875</v>
      </c>
      <c r="K91" s="96">
        <f ca="1">HLOOKUP($H$5,'Met Data'!$O$2:$T$368,G91,FALSE)</f>
        <v>4.8959034423889598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45300</v>
      </c>
      <c r="Q91">
        <f ca="1"/>
        <v>55.133439629481636</v>
      </c>
      <c r="R91">
        <f ca="1"/>
        <v>1.8777447896306683</v>
      </c>
      <c r="S91">
        <f ca="1"/>
        <v>-6.217295947510415E-3</v>
      </c>
      <c r="T91">
        <f ca="1"/>
        <v>0.36975335114026697</v>
      </c>
      <c r="U91">
        <f ca="1"/>
        <v>0</v>
      </c>
      <c r="V91">
        <f ca="1"/>
        <v>54.627352592927508</v>
      </c>
      <c r="W91">
        <f ca="1"/>
        <v>46.683198903573285</v>
      </c>
      <c r="X91">
        <f ca="1"/>
        <v>0</v>
      </c>
      <c r="Y91">
        <f ca="1"/>
        <v>0.2745929312658566</v>
      </c>
      <c r="Z91">
        <f ca="1"/>
        <v>0</v>
      </c>
      <c r="AA91">
        <f ca="1"/>
        <v>0</v>
      </c>
      <c r="AB91">
        <f ca="1"/>
        <v>0.99999875201939825</v>
      </c>
      <c r="AD91" s="2">
        <f t="shared" ca="1" si="12"/>
        <v>45300</v>
      </c>
      <c r="AE91">
        <f t="shared" ca="1" si="13"/>
        <v>0</v>
      </c>
      <c r="AG91" s="63">
        <f t="shared" ca="1" si="17"/>
        <v>57.011184419112304</v>
      </c>
      <c r="AH91" s="63">
        <f t="shared" ca="1" si="18"/>
        <v>57.011184419112304</v>
      </c>
      <c r="AI91" s="3">
        <f t="shared" ca="1" si="19"/>
        <v>0</v>
      </c>
    </row>
    <row r="92" spans="7:35">
      <c r="G92" s="3">
        <f t="shared" ca="1" si="14"/>
        <v>330</v>
      </c>
      <c r="H92" s="95">
        <f t="shared" ca="1" si="16"/>
        <v>45255</v>
      </c>
      <c r="I92" s="119">
        <f ca="1">HLOOKUP($H$5,'Met Data'!$A$2:$F$368,G92,FALSE)</f>
        <v>14.229687499999899</v>
      </c>
      <c r="J92" s="119">
        <f ca="1">HLOOKUP($H$5,'Met Data'!$H$2:$M$368,G92,FALSE)*L92</f>
        <v>2.9937499999999999</v>
      </c>
      <c r="K92" s="96">
        <f ca="1">HLOOKUP($H$5,'Met Data'!$O$2:$T$368,G92,FALSE)</f>
        <v>4.5291120809301404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45301</v>
      </c>
      <c r="Q92">
        <f ca="1"/>
        <v>53.615394384766667</v>
      </c>
      <c r="R92">
        <f ca="1"/>
        <v>1.8819382260755049</v>
      </c>
      <c r="S92">
        <f ca="1"/>
        <v>-5.8833077869637762E-3</v>
      </c>
      <c r="T92">
        <f ca="1"/>
        <v>0.36977628914750443</v>
      </c>
      <c r="U92">
        <f ca="1"/>
        <v>0</v>
      </c>
      <c r="V92">
        <f ca="1"/>
        <v>56.509290819003013</v>
      </c>
      <c r="W92">
        <f ca="1"/>
        <v>48.291457264303276</v>
      </c>
      <c r="X92">
        <f ca="1"/>
        <v>0</v>
      </c>
      <c r="Y92">
        <f ca="1"/>
        <v>0.29713361561287527</v>
      </c>
      <c r="Z92">
        <f ca="1"/>
        <v>0</v>
      </c>
      <c r="AA92">
        <f ca="1"/>
        <v>0</v>
      </c>
      <c r="AB92">
        <f ca="1"/>
        <v>0.99999906564738172</v>
      </c>
      <c r="AD92" s="2">
        <f t="shared" ca="1" si="12"/>
        <v>45301</v>
      </c>
      <c r="AE92">
        <f t="shared" ca="1" si="13"/>
        <v>0</v>
      </c>
      <c r="AG92" s="63">
        <f t="shared" ca="1" si="17"/>
        <v>55.497332610842172</v>
      </c>
      <c r="AH92" s="63">
        <f t="shared" ca="1" si="18"/>
        <v>55.497332610842172</v>
      </c>
      <c r="AI92" s="3">
        <f t="shared" ca="1" si="19"/>
        <v>0</v>
      </c>
    </row>
    <row r="93" spans="7:35">
      <c r="G93" s="3">
        <f t="shared" ca="1" si="14"/>
        <v>331</v>
      </c>
      <c r="H93" s="95">
        <f t="shared" ca="1" si="16"/>
        <v>45256</v>
      </c>
      <c r="I93" s="119">
        <f ca="1">HLOOKUP($H$5,'Met Data'!$A$2:$F$368,G93,FALSE)</f>
        <v>13.9375</v>
      </c>
      <c r="J93" s="119">
        <f ca="1">HLOOKUP($H$5,'Met Data'!$H$2:$M$368,G93,FALSE)*L93</f>
        <v>1.871875</v>
      </c>
      <c r="K93" s="96">
        <f ca="1">HLOOKUP($H$5,'Met Data'!$O$2:$T$368,G93,FALSE)</f>
        <v>4.6952794682709396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45302</v>
      </c>
      <c r="Q93">
        <f ca="1"/>
        <v>52.031105715473394</v>
      </c>
      <c r="R93">
        <f ca="1"/>
        <v>1.9653711751564913</v>
      </c>
      <c r="S93">
        <f ca="1"/>
        <v>-5.5404431577610325E-3</v>
      </c>
      <c r="T93">
        <f ca="1"/>
        <v>0.38662294902098321</v>
      </c>
      <c r="U93">
        <f ca="1"/>
        <v>0</v>
      </c>
      <c r="V93">
        <f ca="1"/>
        <v>58.474661994159504</v>
      </c>
      <c r="W93">
        <f ca="1"/>
        <v>49.971015381880036</v>
      </c>
      <c r="X93">
        <f ca="1"/>
        <v>0</v>
      </c>
      <c r="Y93">
        <f ca="1"/>
        <v>0.3109932210216288</v>
      </c>
      <c r="Z93">
        <f ca="1"/>
        <v>0</v>
      </c>
      <c r="AA93">
        <f ca="1"/>
        <v>0</v>
      </c>
      <c r="AB93">
        <f ca="1"/>
        <v>0.99999930497666167</v>
      </c>
      <c r="AD93" s="2">
        <f t="shared" ca="1" si="12"/>
        <v>45302</v>
      </c>
      <c r="AE93">
        <f t="shared" ca="1" si="13"/>
        <v>0</v>
      </c>
      <c r="AG93" s="63">
        <f t="shared" ca="1" si="17"/>
        <v>53.996476890629886</v>
      </c>
      <c r="AH93" s="63">
        <f t="shared" ca="1" si="18"/>
        <v>53.996476890629886</v>
      </c>
      <c r="AI93" s="3">
        <f t="shared" ca="1" si="19"/>
        <v>0</v>
      </c>
    </row>
    <row r="94" spans="7:35">
      <c r="G94" s="3">
        <f t="shared" ca="1" si="14"/>
        <v>332</v>
      </c>
      <c r="H94" s="95">
        <f t="shared" ca="1" si="16"/>
        <v>45257</v>
      </c>
      <c r="I94" s="119">
        <f ca="1">HLOOKUP($H$5,'Met Data'!$A$2:$F$368,G94,FALSE)</f>
        <v>13.6234375</v>
      </c>
      <c r="J94" s="119">
        <f ca="1">HLOOKUP($H$5,'Met Data'!$H$2:$M$368,G94,FALSE)*L94</f>
        <v>0.89375000000000004</v>
      </c>
      <c r="K94" s="96">
        <f ca="1">HLOOKUP($H$5,'Met Data'!$O$2:$T$368,G94,FALSE)</f>
        <v>4.7009583495068297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45303</v>
      </c>
      <c r="Q94">
        <f ca="1"/>
        <v>50.377184877327416</v>
      </c>
      <c r="R94">
        <f ca="1"/>
        <v>2.0575885025599092</v>
      </c>
      <c r="S94">
        <f ca="1"/>
        <v>-5.1813076304227934E-3</v>
      </c>
      <c r="T94">
        <f ca="1"/>
        <v>0.40884897204435666</v>
      </c>
      <c r="U94">
        <f ca="1"/>
        <v>0</v>
      </c>
      <c r="V94">
        <f ca="1"/>
        <v>60.532250496719413</v>
      </c>
      <c r="W94">
        <f ca="1"/>
        <v>51.72938017108175</v>
      </c>
      <c r="X94">
        <f ca="1"/>
        <v>0</v>
      </c>
      <c r="Y94">
        <f ca="1"/>
        <v>0.33076534421675058</v>
      </c>
      <c r="Z94">
        <f ca="1"/>
        <v>0</v>
      </c>
      <c r="AA94">
        <f ca="1"/>
        <v>0</v>
      </c>
      <c r="AB94">
        <f ca="1"/>
        <v>0.9999994868649722</v>
      </c>
      <c r="AD94" s="2">
        <f t="shared" ca="1" si="12"/>
        <v>45303</v>
      </c>
      <c r="AE94">
        <f t="shared" ca="1" si="13"/>
        <v>0</v>
      </c>
      <c r="AG94" s="63">
        <f t="shared" ca="1" si="17"/>
        <v>52.434773379887325</v>
      </c>
      <c r="AH94" s="63">
        <f t="shared" ca="1" si="18"/>
        <v>52.434773379887325</v>
      </c>
      <c r="AI94" s="3">
        <f t="shared" ca="1" si="19"/>
        <v>0</v>
      </c>
    </row>
    <row r="95" spans="7:35">
      <c r="G95" s="3">
        <f t="shared" ca="1" si="14"/>
        <v>333</v>
      </c>
      <c r="H95" s="95">
        <f t="shared" ca="1" si="16"/>
        <v>45258</v>
      </c>
      <c r="I95" s="119">
        <f ca="1">HLOOKUP($H$5,'Met Data'!$A$2:$F$368,G95,FALSE)</f>
        <v>13.4125</v>
      </c>
      <c r="J95" s="119">
        <f ca="1">HLOOKUP($H$5,'Met Data'!$H$2:$M$368,G95,FALSE)*L95</f>
        <v>2.8031250000000001</v>
      </c>
      <c r="K95" s="96">
        <f ca="1">HLOOKUP($H$5,'Met Data'!$O$2:$T$368,G95,FALSE)</f>
        <v>4.6692836926226899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45304</v>
      </c>
      <c r="Q95">
        <f ca="1"/>
        <v>48.661899893396615</v>
      </c>
      <c r="R95">
        <f ca="1"/>
        <v>2.120877150615712</v>
      </c>
      <c r="S95">
        <f ca="1"/>
        <v>-4.2321015630548686E-3</v>
      </c>
      <c r="T95">
        <f ca="1"/>
        <v>0.40982426824796453</v>
      </c>
      <c r="U95">
        <f ca="1"/>
        <v>0</v>
      </c>
      <c r="V95">
        <f ca="1"/>
        <v>62.653127647335126</v>
      </c>
      <c r="W95">
        <f ca="1"/>
        <v>53.541829890364973</v>
      </c>
      <c r="X95">
        <f ca="1"/>
        <v>0</v>
      </c>
      <c r="Y95">
        <f ca="1"/>
        <v>0.32165393947858062</v>
      </c>
      <c r="Z95">
        <f ca="1"/>
        <v>0</v>
      </c>
      <c r="AA95">
        <f ca="1"/>
        <v>0</v>
      </c>
      <c r="AB95">
        <f ca="1"/>
        <v>0.99999962231375805</v>
      </c>
      <c r="AD95" s="2">
        <f t="shared" ca="1" si="12"/>
        <v>45304</v>
      </c>
      <c r="AE95">
        <f t="shared" ca="1" si="13"/>
        <v>0</v>
      </c>
      <c r="AG95" s="63">
        <f t="shared" ca="1" si="17"/>
        <v>50.782777044012327</v>
      </c>
      <c r="AH95" s="63">
        <f t="shared" ca="1" si="18"/>
        <v>50.782777044012327</v>
      </c>
      <c r="AI95" s="3">
        <f t="shared" ca="1" si="19"/>
        <v>0</v>
      </c>
    </row>
    <row r="96" spans="7:35">
      <c r="G96" s="3">
        <f t="shared" ca="1" si="14"/>
        <v>334</v>
      </c>
      <c r="H96" s="95">
        <f t="shared" ca="1" si="16"/>
        <v>45259</v>
      </c>
      <c r="I96" s="119">
        <f ca="1">HLOOKUP($H$5,'Met Data'!$A$2:$F$368,G96,FALSE)</f>
        <v>13.120312499999899</v>
      </c>
      <c r="J96" s="119">
        <f ca="1">HLOOKUP($H$5,'Met Data'!$H$2:$M$368,G96,FALSE)*L96</f>
        <v>1.125</v>
      </c>
      <c r="K96" s="96">
        <f ca="1">HLOOKUP($H$5,'Met Data'!$O$2:$T$368,G96,FALSE)</f>
        <v>4.5223331629764099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45305</v>
      </c>
      <c r="Q96">
        <f ca="1"/>
        <v>46.89870136343152</v>
      </c>
      <c r="R96">
        <f ca="1"/>
        <v>2.1628465706863835</v>
      </c>
      <c r="S96">
        <f ca="1"/>
        <v>-3.2686620250768073E-3</v>
      </c>
      <c r="T96">
        <f ca="1"/>
        <v>0.40291670274636376</v>
      </c>
      <c r="U96">
        <f ca="1"/>
        <v>0</v>
      </c>
      <c r="V96">
        <f ca="1"/>
        <v>64.815974218021509</v>
      </c>
      <c r="W96">
        <f ca="1"/>
        <v>55.390145649132606</v>
      </c>
      <c r="X96">
        <f ca="1"/>
        <v>0</v>
      </c>
      <c r="Y96">
        <f ca="1"/>
        <v>0.30686326427927074</v>
      </c>
      <c r="Z96">
        <f ca="1"/>
        <v>0</v>
      </c>
      <c r="AA96">
        <f ca="1"/>
        <v>0</v>
      </c>
      <c r="AB96">
        <f ca="1"/>
        <v>0.99999972203138432</v>
      </c>
      <c r="AD96" s="2">
        <f t="shared" ca="1" si="12"/>
        <v>45305</v>
      </c>
      <c r="AE96">
        <f t="shared" ca="1" si="13"/>
        <v>0</v>
      </c>
      <c r="AG96" s="63">
        <f t="shared" ca="1" si="17"/>
        <v>49.061547934117904</v>
      </c>
      <c r="AH96" s="63">
        <f t="shared" ca="1" si="18"/>
        <v>49.061547934117904</v>
      </c>
      <c r="AI96" s="3">
        <f t="shared" ca="1" si="19"/>
        <v>0</v>
      </c>
    </row>
    <row r="97" spans="7:35">
      <c r="G97" s="3">
        <f t="shared" ca="1" si="14"/>
        <v>335</v>
      </c>
      <c r="H97" s="95">
        <f t="shared" ca="1" si="16"/>
        <v>45260</v>
      </c>
      <c r="I97" s="119">
        <f ca="1">HLOOKUP($H$5,'Met Data'!$A$2:$F$368,G97,FALSE)</f>
        <v>13.534375000000001</v>
      </c>
      <c r="J97" s="119">
        <f ca="1">HLOOKUP($H$5,'Met Data'!$H$2:$M$368,G97,FALSE)*L97</f>
        <v>1.659375</v>
      </c>
      <c r="K97" s="96">
        <f ca="1">HLOOKUP($H$5,'Met Data'!$O$2:$T$368,G97,FALSE)</f>
        <v>4.4045021528656898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45306</v>
      </c>
      <c r="Q97">
        <f ca="1"/>
        <v>45.0411136244876</v>
      </c>
      <c r="R97">
        <f ca="1"/>
        <v>2.2688315785042477</v>
      </c>
      <c r="S97">
        <f ca="1"/>
        <v>-2.5447692582165615E-3</v>
      </c>
      <c r="T97">
        <f ca="1"/>
        <v>0.41378860881854229</v>
      </c>
      <c r="U97">
        <f ca="1"/>
        <v>0</v>
      </c>
      <c r="V97">
        <f ca="1"/>
        <v>67.084805796525757</v>
      </c>
      <c r="W97">
        <f ca="1"/>
        <v>57.329033602339678</v>
      </c>
      <c r="X97">
        <f ca="1"/>
        <v>0</v>
      </c>
      <c r="Y97">
        <f ca="1"/>
        <v>0.29638390280125804</v>
      </c>
      <c r="Z97">
        <f ca="1"/>
        <v>0</v>
      </c>
      <c r="AA97">
        <f ca="1"/>
        <v>0</v>
      </c>
      <c r="AB97">
        <f ca="1"/>
        <v>0.99999979727547328</v>
      </c>
      <c r="AD97" s="2">
        <f t="shared" ca="1" si="12"/>
        <v>45306</v>
      </c>
      <c r="AE97">
        <f t="shared" ca="1" si="13"/>
        <v>0</v>
      </c>
      <c r="AG97" s="63">
        <f t="shared" ca="1" si="17"/>
        <v>47.309945202991848</v>
      </c>
      <c r="AH97" s="63">
        <f t="shared" ca="1" si="18"/>
        <v>47.309945202991848</v>
      </c>
      <c r="AI97" s="3">
        <f t="shared" ca="1" si="19"/>
        <v>0</v>
      </c>
    </row>
    <row r="98" spans="7:35">
      <c r="G98" s="3">
        <f t="shared" ca="1" si="14"/>
        <v>336</v>
      </c>
      <c r="H98" s="95">
        <f t="shared" ca="1" si="16"/>
        <v>45261</v>
      </c>
      <c r="I98" s="119">
        <f ca="1">HLOOKUP($H$5,'Met Data'!$A$2:$F$368,G98,FALSE)</f>
        <v>14.5196969696969</v>
      </c>
      <c r="J98" s="119">
        <f ca="1">HLOOKUP($H$5,'Met Data'!$H$2:$M$368,G98,FALSE)*L98</f>
        <v>1.1545454545454501</v>
      </c>
      <c r="K98" s="96">
        <f ca="1">HLOOKUP($H$5,'Met Data'!$O$2:$T$368,G98,FALSE)</f>
        <v>4.9008684982534403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45307</v>
      </c>
      <c r="Q98">
        <f ca="1"/>
        <v>43.189074017788691</v>
      </c>
      <c r="R98">
        <f ca="1"/>
        <v>2.2413041828878875</v>
      </c>
      <c r="S98">
        <f ca="1"/>
        <v>-1.7187368094200295E-3</v>
      </c>
      <c r="T98">
        <f ca="1"/>
        <v>0.39098331299839828</v>
      </c>
      <c r="U98">
        <f ca="1"/>
        <v>0</v>
      </c>
      <c r="V98">
        <f ca="1"/>
        <v>69.326109979413644</v>
      </c>
      <c r="W98">
        <f ca="1"/>
        <v>59.244397316793453</v>
      </c>
      <c r="X98">
        <f ca="1"/>
        <v>0</v>
      </c>
      <c r="Y98">
        <f ca="1"/>
        <v>0.28112459285386515</v>
      </c>
      <c r="Z98">
        <f ca="1"/>
        <v>0</v>
      </c>
      <c r="AA98">
        <f ca="1"/>
        <v>0</v>
      </c>
      <c r="AB98">
        <f ca="1"/>
        <v>0.99999985077931763</v>
      </c>
      <c r="AD98" s="2">
        <f t="shared" ca="1" si="12"/>
        <v>45307</v>
      </c>
      <c r="AE98">
        <f t="shared" ca="1" si="13"/>
        <v>0</v>
      </c>
      <c r="AG98" s="63">
        <f t="shared" ca="1" si="17"/>
        <v>45.430378200676579</v>
      </c>
      <c r="AH98" s="63">
        <f t="shared" ca="1" si="18"/>
        <v>45.430378200676579</v>
      </c>
      <c r="AI98" s="3">
        <f t="shared" ca="1" si="19"/>
        <v>0</v>
      </c>
    </row>
    <row r="99" spans="7:35">
      <c r="G99" s="3">
        <f t="shared" ca="1" si="14"/>
        <v>337</v>
      </c>
      <c r="H99" s="95">
        <f t="shared" ca="1" si="16"/>
        <v>45262</v>
      </c>
      <c r="I99" s="119">
        <f ca="1">HLOOKUP($H$5,'Met Data'!$A$2:$F$368,G99,FALSE)</f>
        <v>14.7863636363636</v>
      </c>
      <c r="J99" s="119">
        <f ca="1">HLOOKUP($H$5,'Met Data'!$H$2:$M$368,G99,FALSE)*L99</f>
        <v>0.68484848484848404</v>
      </c>
      <c r="K99" s="96">
        <f ca="1">HLOOKUP($H$5,'Met Data'!$O$2:$T$368,G99,FALSE)</f>
        <v>4.4310616880942204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45308</v>
      </c>
      <c r="Q99">
        <f ca="1"/>
        <v>41.304842745113966</v>
      </c>
      <c r="R99">
        <f ca="1"/>
        <v>2.2633868033282738</v>
      </c>
      <c r="S99">
        <f ca="1"/>
        <v>-1.0926012915843941E-3</v>
      </c>
      <c r="T99">
        <f ca="1"/>
        <v>0.38024813194512824</v>
      </c>
      <c r="U99">
        <f ca="1"/>
        <v>0</v>
      </c>
      <c r="V99">
        <f ca="1"/>
        <v>71.589496782741918</v>
      </c>
      <c r="W99">
        <f ca="1"/>
        <v>61.178632298357918</v>
      </c>
      <c r="X99">
        <f ca="1"/>
        <v>0</v>
      </c>
      <c r="Y99">
        <f ca="1"/>
        <v>0.26357857931825079</v>
      </c>
      <c r="Z99">
        <f ca="1"/>
        <v>0</v>
      </c>
      <c r="AA99">
        <f ca="1"/>
        <v>0</v>
      </c>
      <c r="AB99">
        <f ca="1"/>
        <v>0.9999998899502468</v>
      </c>
      <c r="AD99" s="2">
        <f t="shared" ca="1" si="12"/>
        <v>45308</v>
      </c>
      <c r="AE99">
        <f t="shared" ca="1" si="13"/>
        <v>0</v>
      </c>
      <c r="AG99" s="63">
        <f t="shared" ca="1" si="17"/>
        <v>43.56822954844224</v>
      </c>
      <c r="AH99" s="63">
        <f t="shared" ca="1" si="18"/>
        <v>43.56822954844224</v>
      </c>
      <c r="AI99" s="3">
        <f t="shared" ca="1" si="19"/>
        <v>0</v>
      </c>
    </row>
    <row r="100" spans="7:35">
      <c r="G100" s="3">
        <f t="shared" ca="1" si="14"/>
        <v>338</v>
      </c>
      <c r="H100" s="95">
        <f t="shared" ca="1" si="16"/>
        <v>45263</v>
      </c>
      <c r="I100" s="119">
        <f ca="1">HLOOKUP($H$5,'Met Data'!$A$2:$F$368,G100,FALSE)</f>
        <v>15.427272727272699</v>
      </c>
      <c r="J100" s="119">
        <f ca="1">HLOOKUP($H$5,'Met Data'!$H$2:$M$368,G100,FALSE)*L100</f>
        <v>0.94242424242424205</v>
      </c>
      <c r="K100" s="96">
        <f ca="1">HLOOKUP($H$5,'Met Data'!$O$2:$T$368,G100,FALSE)</f>
        <v>4.8682330205678701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45309</v>
      </c>
      <c r="Q100">
        <f ca="1"/>
        <v>39.341650555412983</v>
      </c>
      <c r="R100">
        <f ca="1"/>
        <v>2.3777870623540309</v>
      </c>
      <c r="S100">
        <f ca="1"/>
        <v>-6.8609818645537501E-4</v>
      </c>
      <c r="T100">
        <f ca="1"/>
        <v>0.41528097083950666</v>
      </c>
      <c r="U100">
        <f ca="1"/>
        <v>0</v>
      </c>
      <c r="V100">
        <f ca="1"/>
        <v>73.967283845095949</v>
      </c>
      <c r="W100">
        <f ca="1"/>
        <v>63.210630942139666</v>
      </c>
      <c r="X100">
        <f ca="1"/>
        <v>0</v>
      </c>
      <c r="Y100">
        <f ca="1"/>
        <v>0.30176320307857457</v>
      </c>
      <c r="Z100">
        <f ca="1"/>
        <v>0</v>
      </c>
      <c r="AA100">
        <f ca="1"/>
        <v>0</v>
      </c>
      <c r="AB100">
        <f ca="1"/>
        <v>0.99999991969047364</v>
      </c>
      <c r="AD100" s="2">
        <f t="shared" ca="1" si="12"/>
        <v>45309</v>
      </c>
      <c r="AE100">
        <f t="shared" ca="1" si="13"/>
        <v>0</v>
      </c>
      <c r="AG100" s="63">
        <f t="shared" ca="1" si="17"/>
        <v>41.719437617767014</v>
      </c>
      <c r="AH100" s="63">
        <f t="shared" ca="1" si="18"/>
        <v>41.719437617767014</v>
      </c>
      <c r="AI100" s="3">
        <f t="shared" ca="1" si="19"/>
        <v>0</v>
      </c>
    </row>
    <row r="101" spans="7:35">
      <c r="G101" s="3">
        <f t="shared" ca="1" si="14"/>
        <v>339</v>
      </c>
      <c r="H101" s="95">
        <f t="shared" ca="1" si="16"/>
        <v>45264</v>
      </c>
      <c r="I101" s="119">
        <f ca="1">HLOOKUP($H$5,'Met Data'!$A$2:$F$368,G101,FALSE)</f>
        <v>15.004545454545401</v>
      </c>
      <c r="J101" s="119">
        <f ca="1">HLOOKUP($H$5,'Met Data'!$H$2:$M$368,G101,FALSE)*L101</f>
        <v>0.98787878787878702</v>
      </c>
      <c r="K101" s="96">
        <f ca="1">HLOOKUP($H$5,'Met Data'!$O$2:$T$368,G101,FALSE)</f>
        <v>5.2050138478161401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45310</v>
      </c>
      <c r="Q101">
        <f ca="1"/>
        <v>37.366193601754077</v>
      </c>
      <c r="R101">
        <f ca="1"/>
        <v>2.3772918871094078</v>
      </c>
      <c r="S101">
        <f ca="1"/>
        <v>-5.4964724740536042E-5</v>
      </c>
      <c r="T101">
        <f ca="1"/>
        <v>0.40188989817524357</v>
      </c>
      <c r="U101">
        <f ca="1"/>
        <v>0</v>
      </c>
      <c r="V101">
        <f ca="1"/>
        <v>76.344575732205357</v>
      </c>
      <c r="W101">
        <f ca="1"/>
        <v>65.242206421273309</v>
      </c>
      <c r="X101">
        <f ca="1"/>
        <v>0</v>
      </c>
      <c r="Y101">
        <f ca="1"/>
        <v>0.28994200082951055</v>
      </c>
      <c r="Z101">
        <f ca="1"/>
        <v>0</v>
      </c>
      <c r="AA101">
        <f ca="1"/>
        <v>0</v>
      </c>
      <c r="AB101">
        <f ca="1"/>
        <v>0.99999994112777479</v>
      </c>
      <c r="AD101" s="2">
        <f t="shared" ca="1" si="12"/>
        <v>45310</v>
      </c>
      <c r="AE101">
        <f t="shared" ca="1" si="13"/>
        <v>0</v>
      </c>
      <c r="AG101" s="63">
        <f t="shared" ca="1" si="17"/>
        <v>39.743485488863485</v>
      </c>
      <c r="AH101" s="63">
        <f t="shared" ca="1" si="18"/>
        <v>39.743485488863485</v>
      </c>
      <c r="AI101" s="3">
        <f t="shared" ca="1" si="19"/>
        <v>0</v>
      </c>
    </row>
    <row r="102" spans="7:35">
      <c r="G102" s="3">
        <f t="shared" ca="1" si="14"/>
        <v>340</v>
      </c>
      <c r="H102" s="95">
        <f t="shared" ca="1" si="16"/>
        <v>45265</v>
      </c>
      <c r="I102" s="119">
        <f ca="1">HLOOKUP($H$5,'Met Data'!$A$2:$F$368,G102,FALSE)</f>
        <v>14.903030303030301</v>
      </c>
      <c r="J102" s="119">
        <f ca="1">HLOOKUP($H$5,'Met Data'!$H$2:$M$368,G102,FALSE)*L102</f>
        <v>1.5848484848484801</v>
      </c>
      <c r="K102" s="96">
        <f ca="1">HLOOKUP($H$5,'Met Data'!$O$2:$T$368,G102,FALSE)</f>
        <v>4.6641306366413202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45311</v>
      </c>
      <c r="Q102">
        <f ca="1"/>
        <v>35.474804670979346</v>
      </c>
      <c r="R102">
        <f ca="1"/>
        <v>2.2498783590075533</v>
      </c>
      <c r="S102">
        <f ca="1"/>
        <v>3.8868548042980677E-4</v>
      </c>
      <c r="T102">
        <f ca="1"/>
        <v>0.35810074275239484</v>
      </c>
      <c r="U102">
        <f ca="1"/>
        <v>0</v>
      </c>
      <c r="V102">
        <f ca="1"/>
        <v>78.59445409121291</v>
      </c>
      <c r="W102">
        <f ca="1"/>
        <v>67.164897416845974</v>
      </c>
      <c r="X102">
        <f ca="1"/>
        <v>0</v>
      </c>
      <c r="Y102">
        <f ca="1"/>
        <v>0.26568636157175179</v>
      </c>
      <c r="Z102">
        <f ca="1"/>
        <v>0</v>
      </c>
      <c r="AA102">
        <f ca="1"/>
        <v>0</v>
      </c>
      <c r="AB102">
        <f ca="1"/>
        <v>0.99999995595661517</v>
      </c>
      <c r="AD102" s="2">
        <f t="shared" ca="1" si="12"/>
        <v>45311</v>
      </c>
      <c r="AE102">
        <f t="shared" ca="1" si="13"/>
        <v>0</v>
      </c>
      <c r="AG102" s="63">
        <f t="shared" ca="1" si="17"/>
        <v>37.724683029986899</v>
      </c>
      <c r="AH102" s="63">
        <f t="shared" ca="1" si="18"/>
        <v>37.724683029986899</v>
      </c>
      <c r="AI102" s="3">
        <f t="shared" ca="1" si="19"/>
        <v>0</v>
      </c>
    </row>
    <row r="103" spans="7:35">
      <c r="G103" s="3">
        <f t="shared" ca="1" si="14"/>
        <v>341</v>
      </c>
      <c r="H103" s="95">
        <f t="shared" ca="1" si="16"/>
        <v>45266</v>
      </c>
      <c r="I103" s="119">
        <f ca="1">HLOOKUP($H$5,'Met Data'!$A$2:$F$368,G103,FALSE)</f>
        <v>14.301515151515099</v>
      </c>
      <c r="J103" s="119">
        <f ca="1">HLOOKUP($H$5,'Met Data'!$H$2:$M$368,G103,FALSE)*L103</f>
        <v>1.8545454545454501</v>
      </c>
      <c r="K103" s="96">
        <f ca="1">HLOOKUP($H$5,'Met Data'!$O$2:$T$368,G103,FALSE)</f>
        <v>4.1875145428280103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45312</v>
      </c>
      <c r="Q103">
        <f ca="1"/>
        <v>33.375003311066997</v>
      </c>
      <c r="R103">
        <f ca="1"/>
        <v>2.4959584620070814</v>
      </c>
      <c r="S103">
        <f ca="1"/>
        <v>8.030379179801983E-4</v>
      </c>
      <c r="T103">
        <f ca="1"/>
        <v>0.39535406417674807</v>
      </c>
      <c r="U103">
        <f ca="1"/>
        <v>0</v>
      </c>
      <c r="V103">
        <f ca="1"/>
        <v>81.090412553219991</v>
      </c>
      <c r="W103">
        <f ca="1"/>
        <v>69.297882447352819</v>
      </c>
      <c r="X103">
        <f ca="1"/>
        <v>0</v>
      </c>
      <c r="Y103">
        <f ca="1"/>
        <v>0.24576260473871722</v>
      </c>
      <c r="Z103">
        <f ca="1"/>
        <v>0</v>
      </c>
      <c r="AA103">
        <f ca="1"/>
        <v>0</v>
      </c>
      <c r="AB103">
        <f ca="1"/>
        <v>0.99999996796045199</v>
      </c>
      <c r="AD103" s="2">
        <f t="shared" ca="1" si="12"/>
        <v>45312</v>
      </c>
      <c r="AE103">
        <f t="shared" ca="1" si="13"/>
        <v>0</v>
      </c>
      <c r="AG103" s="63">
        <f t="shared" ca="1" si="17"/>
        <v>35.870961773074079</v>
      </c>
      <c r="AH103" s="63">
        <f t="shared" ca="1" si="18"/>
        <v>35.870961773074079</v>
      </c>
      <c r="AI103" s="3">
        <f t="shared" ca="1" si="19"/>
        <v>0</v>
      </c>
    </row>
    <row r="104" spans="7:35">
      <c r="G104" s="3">
        <f t="shared" ca="1" si="14"/>
        <v>342</v>
      </c>
      <c r="H104" s="95">
        <f t="shared" ca="1" si="16"/>
        <v>45267</v>
      </c>
      <c r="I104" s="119">
        <f ca="1">HLOOKUP($H$5,'Met Data'!$A$2:$F$368,G104,FALSE)</f>
        <v>14.8272727272727</v>
      </c>
      <c r="J104" s="119">
        <f ca="1">HLOOKUP($H$5,'Met Data'!$H$2:$M$368,G104,FALSE)*L104</f>
        <v>1.1151515151515099</v>
      </c>
      <c r="K104" s="96">
        <f ca="1">HLOOKUP($H$5,'Met Data'!$O$2:$T$368,G104,FALSE)</f>
        <v>4.78641268464904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45313</v>
      </c>
      <c r="Q104">
        <f ca="1"/>
        <v>31.164564694263156</v>
      </c>
      <c r="R104">
        <f ca="1"/>
        <v>2.6362829353822264</v>
      </c>
      <c r="S104">
        <f ca="1"/>
        <v>1.3462926710126055E-3</v>
      </c>
      <c r="T104">
        <f ca="1"/>
        <v>0.42449802590737673</v>
      </c>
      <c r="U104">
        <f ca="1"/>
        <v>0</v>
      </c>
      <c r="V104">
        <f ca="1"/>
        <v>83.726695488602218</v>
      </c>
      <c r="W104">
        <f ca="1"/>
        <v>71.550785339346135</v>
      </c>
      <c r="X104">
        <f ca="1"/>
        <v>0</v>
      </c>
      <c r="Y104">
        <f ca="1"/>
        <v>0.25724298856820388</v>
      </c>
      <c r="Z104">
        <f ca="1"/>
        <v>0</v>
      </c>
      <c r="AA104">
        <f ca="1"/>
        <v>0</v>
      </c>
      <c r="AB104">
        <f ca="1"/>
        <v>0.99999997701991383</v>
      </c>
      <c r="AD104" s="2">
        <f t="shared" ca="1" si="12"/>
        <v>45313</v>
      </c>
      <c r="AE104">
        <f t="shared" ca="1" si="13"/>
        <v>0</v>
      </c>
      <c r="AG104" s="63">
        <f t="shared" ca="1" si="17"/>
        <v>33.800847629645382</v>
      </c>
      <c r="AH104" s="63">
        <f t="shared" ca="1" si="18"/>
        <v>33.800847629645382</v>
      </c>
      <c r="AI104" s="3">
        <f t="shared" ca="1" si="19"/>
        <v>0</v>
      </c>
    </row>
    <row r="105" spans="7:35">
      <c r="G105" s="3">
        <f t="shared" ca="1" si="14"/>
        <v>343</v>
      </c>
      <c r="H105" s="95">
        <f t="shared" ca="1" si="16"/>
        <v>45268</v>
      </c>
      <c r="I105" s="119">
        <f ca="1">HLOOKUP($H$5,'Met Data'!$A$2:$F$368,G105,FALSE)</f>
        <v>14.8772727272727</v>
      </c>
      <c r="J105" s="119">
        <f ca="1">HLOOKUP($H$5,'Met Data'!$H$2:$M$368,G105,FALSE)*L105</f>
        <v>2.8242424242424198</v>
      </c>
      <c r="K105" s="96">
        <f ca="1">HLOOKUP($H$5,'Met Data'!$O$2:$T$368,G105,FALSE)</f>
        <v>4.7928671108875296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45314</v>
      </c>
      <c r="Q105">
        <f ca="1"/>
        <v>62.233122080956171</v>
      </c>
      <c r="R105">
        <f ca="1"/>
        <v>2.505584989419674</v>
      </c>
      <c r="S105">
        <f ca="1"/>
        <v>1.5801648371436272E-3</v>
      </c>
      <c r="T105">
        <f ca="1"/>
        <v>0.38618968498173523</v>
      </c>
      <c r="U105">
        <f ca="1"/>
        <v>33.186372526293809</v>
      </c>
      <c r="V105">
        <f ca="1"/>
        <v>86.232280478021892</v>
      </c>
      <c r="W105">
        <f ca="1"/>
        <v>73.691996964637838</v>
      </c>
      <c r="X105">
        <f ca="1"/>
        <v>0</v>
      </c>
      <c r="Y105">
        <f ca="1"/>
        <v>0.24529864572151555</v>
      </c>
      <c r="Z105">
        <f ca="1"/>
        <v>0</v>
      </c>
      <c r="AA105">
        <f ca="1"/>
        <v>0</v>
      </c>
      <c r="AB105">
        <f ca="1"/>
        <v>0.9999999831919183</v>
      </c>
      <c r="AD105" s="2">
        <f t="shared" ca="1" si="12"/>
        <v>45314</v>
      </c>
      <c r="AE105">
        <f t="shared" ca="1" si="13"/>
        <v>33.186372526293809</v>
      </c>
      <c r="AG105" s="63">
        <f t="shared" ca="1" si="17"/>
        <v>64.738707070375852</v>
      </c>
      <c r="AH105" s="63">
        <f t="shared" ca="1" si="18"/>
        <v>64.738707070375852</v>
      </c>
      <c r="AI105" s="3">
        <f t="shared" ca="1" si="19"/>
        <v>0</v>
      </c>
    </row>
    <row r="106" spans="7:35">
      <c r="G106" s="3">
        <f t="shared" ca="1" si="14"/>
        <v>344</v>
      </c>
      <c r="H106" s="95">
        <f t="shared" ca="1" si="16"/>
        <v>45269</v>
      </c>
      <c r="I106" s="119">
        <f ca="1">HLOOKUP($H$5,'Met Data'!$A$2:$F$368,G106,FALSE)</f>
        <v>14.215151515151501</v>
      </c>
      <c r="J106" s="119">
        <f ca="1">HLOOKUP($H$5,'Met Data'!$H$2:$M$368,G106,FALSE)*L106</f>
        <v>0.49393939393939301</v>
      </c>
      <c r="K106" s="96">
        <f ca="1">HLOOKUP($H$5,'Met Data'!$O$2:$T$368,G106,FALSE)</f>
        <v>4.8235358630714096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45315</v>
      </c>
      <c r="Q106">
        <f ca="1"/>
        <v>60.135606320963824</v>
      </c>
      <c r="R106">
        <f ca="1"/>
        <v>2.4761535943264619</v>
      </c>
      <c r="S106">
        <f ca="1"/>
        <v>1.8970658980546062E-3</v>
      </c>
      <c r="T106">
        <f ca="1"/>
        <v>0.37674076843606036</v>
      </c>
      <c r="U106">
        <f ca="1"/>
        <v>0</v>
      </c>
      <c r="V106">
        <f ca="1"/>
        <v>88.708434072348354</v>
      </c>
      <c r="W106">
        <f ca="1"/>
        <v>75.808057239810452</v>
      </c>
      <c r="X106">
        <f ca="1"/>
        <v>0</v>
      </c>
      <c r="Y106">
        <f ca="1"/>
        <v>0.24691257173418008</v>
      </c>
      <c r="Z106">
        <f ca="1"/>
        <v>0</v>
      </c>
      <c r="AA106">
        <f ca="1"/>
        <v>0</v>
      </c>
      <c r="AB106">
        <f ca="1"/>
        <v>0.99999998762962938</v>
      </c>
      <c r="AD106" s="2">
        <f t="shared" ca="1" si="12"/>
        <v>45315</v>
      </c>
      <c r="AE106">
        <f t="shared" ca="1" si="13"/>
        <v>0</v>
      </c>
      <c r="AG106" s="63">
        <f t="shared" ca="1" si="17"/>
        <v>62.611759915290286</v>
      </c>
      <c r="AH106" s="63">
        <f t="shared" ca="1" si="18"/>
        <v>62.611759915290286</v>
      </c>
      <c r="AI106" s="3">
        <f t="shared" ca="1" si="19"/>
        <v>0</v>
      </c>
    </row>
    <row r="107" spans="7:35">
      <c r="G107" s="3">
        <f t="shared" ca="1" si="14"/>
        <v>345</v>
      </c>
      <c r="H107" s="95">
        <f t="shared" ca="1" si="16"/>
        <v>45270</v>
      </c>
      <c r="I107" s="119">
        <f ca="1">HLOOKUP($H$5,'Met Data'!$A$2:$F$368,G107,FALSE)</f>
        <v>14.9121212121212</v>
      </c>
      <c r="J107" s="119">
        <f ca="1">HLOOKUP($H$5,'Met Data'!$H$2:$M$368,G107,FALSE)*L107</f>
        <v>0.67878787878787805</v>
      </c>
      <c r="K107" s="96">
        <f ca="1">HLOOKUP($H$5,'Met Data'!$O$2:$T$368,G107,FALSE)</f>
        <v>4.3850054551207398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45316</v>
      </c>
      <c r="Q107">
        <f ca="1"/>
        <v>58.037293778993636</v>
      </c>
      <c r="R107">
        <f ca="1"/>
        <v>2.4725299853911764</v>
      </c>
      <c r="S107">
        <f ca="1"/>
        <v>2.1898314698685084E-3</v>
      </c>
      <c r="T107">
        <f ca="1"/>
        <v>0.37202761195112016</v>
      </c>
      <c r="U107">
        <f ca="1"/>
        <v>0</v>
      </c>
      <c r="V107">
        <f ca="1"/>
        <v>91.18096405773953</v>
      </c>
      <c r="W107">
        <f ca="1"/>
        <v>77.921020867449414</v>
      </c>
      <c r="X107">
        <f ca="1"/>
        <v>0</v>
      </c>
      <c r="Y107">
        <f ca="1"/>
        <v>0.2454783949899613</v>
      </c>
      <c r="Z107">
        <f ca="1"/>
        <v>0</v>
      </c>
      <c r="AA107">
        <f ca="1"/>
        <v>0</v>
      </c>
      <c r="AB107">
        <f ca="1"/>
        <v>0.99999999087225067</v>
      </c>
      <c r="AD107" s="2">
        <f t="shared" ca="1" si="12"/>
        <v>45316</v>
      </c>
      <c r="AE107">
        <f t="shared" ca="1" si="13"/>
        <v>0</v>
      </c>
      <c r="AG107" s="63">
        <f t="shared" ca="1" si="17"/>
        <v>60.509823764384812</v>
      </c>
      <c r="AH107" s="63">
        <f t="shared" ca="1" si="18"/>
        <v>60.509823764384812</v>
      </c>
      <c r="AI107" s="3">
        <f t="shared" ca="1" si="19"/>
        <v>0</v>
      </c>
    </row>
    <row r="108" spans="7:35">
      <c r="G108" s="3">
        <f t="shared" ca="1" si="14"/>
        <v>346</v>
      </c>
      <c r="H108" s="95">
        <f t="shared" ca="1" si="16"/>
        <v>45271</v>
      </c>
      <c r="I108" s="119">
        <f ca="1">HLOOKUP($H$5,'Met Data'!$A$2:$F$368,G108,FALSE)</f>
        <v>15.940909090909001</v>
      </c>
      <c r="J108" s="119">
        <f ca="1">HLOOKUP($H$5,'Met Data'!$H$2:$M$368,G108,FALSE)*L108</f>
        <v>0.221212121212121</v>
      </c>
      <c r="K108" s="96">
        <f ca="1">HLOOKUP($H$5,'Met Data'!$O$2:$T$368,G108,FALSE)</f>
        <v>5.2714081938624204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45317</v>
      </c>
      <c r="Q108">
        <f ca="1"/>
        <v>55.953252857985113</v>
      </c>
      <c r="R108">
        <f ca="1"/>
        <v>2.4479474339011773</v>
      </c>
      <c r="S108">
        <f ca="1"/>
        <v>2.3714844673481394E-3</v>
      </c>
      <c r="T108">
        <f ca="1"/>
        <v>0.36153502842530694</v>
      </c>
      <c r="U108">
        <f ca="1"/>
        <v>0</v>
      </c>
      <c r="V108">
        <f ca="1"/>
        <v>93.628911491640707</v>
      </c>
      <c r="W108">
        <f ca="1"/>
        <v>80.012976848071034</v>
      </c>
      <c r="X108">
        <f ca="1"/>
        <v>0</v>
      </c>
      <c r="Y108">
        <f ca="1"/>
        <v>0.23786955316670039</v>
      </c>
      <c r="Z108">
        <f ca="1"/>
        <v>0</v>
      </c>
      <c r="AA108">
        <f ca="1"/>
        <v>0</v>
      </c>
      <c r="AB108">
        <f ca="1"/>
        <v>0.99999999323289157</v>
      </c>
      <c r="AD108" s="2">
        <f t="shared" ca="1" si="12"/>
        <v>45317</v>
      </c>
      <c r="AE108">
        <f t="shared" ca="1" si="13"/>
        <v>0</v>
      </c>
      <c r="AG108" s="63">
        <f t="shared" ca="1" si="17"/>
        <v>58.40120029188629</v>
      </c>
      <c r="AH108" s="63">
        <f t="shared" ca="1" si="18"/>
        <v>58.40120029188629</v>
      </c>
      <c r="AI108" s="3">
        <f t="shared" ca="1" si="19"/>
        <v>0</v>
      </c>
    </row>
    <row r="109" spans="7:35">
      <c r="G109" s="3">
        <f t="shared" ca="1" si="14"/>
        <v>347</v>
      </c>
      <c r="H109" s="95">
        <f t="shared" ca="1" si="16"/>
        <v>45272</v>
      </c>
      <c r="I109" s="119">
        <f ca="1">HLOOKUP($H$5,'Met Data'!$A$2:$F$368,G109,FALSE)</f>
        <v>16.6272727272727</v>
      </c>
      <c r="J109" s="119">
        <f ca="1">HLOOKUP($H$5,'Met Data'!$H$2:$M$368,G109,FALSE)*L109</f>
        <v>1.21818181818181</v>
      </c>
      <c r="K109" s="96">
        <f ca="1">HLOOKUP($H$5,'Met Data'!$O$2:$T$368,G109,FALSE)</f>
        <v>5.2469107263269903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45318</v>
      </c>
      <c r="Q109">
        <f ca="1"/>
        <v>53.87851901732386</v>
      </c>
      <c r="R109">
        <f ca="1"/>
        <v>2.4438717517542585</v>
      </c>
      <c r="S109">
        <f ca="1"/>
        <v>2.851799853745618E-3</v>
      </c>
      <c r="T109">
        <f ca="1"/>
        <v>0.36628611123925991</v>
      </c>
      <c r="U109">
        <f ca="1"/>
        <v>0</v>
      </c>
      <c r="V109">
        <f ca="1"/>
        <v>96.072783243394966</v>
      </c>
      <c r="W109">
        <f ca="1"/>
        <v>82.101449850453704</v>
      </c>
      <c r="X109">
        <f ca="1"/>
        <v>0</v>
      </c>
      <c r="Y109">
        <f ca="1"/>
        <v>0.25749218379766003</v>
      </c>
      <c r="Z109">
        <f ca="1"/>
        <v>0</v>
      </c>
      <c r="AA109">
        <f ca="1"/>
        <v>0</v>
      </c>
      <c r="AB109">
        <f ca="1"/>
        <v>0.99999999497373926</v>
      </c>
      <c r="AD109" s="2">
        <f t="shared" ca="1" si="12"/>
        <v>45318</v>
      </c>
      <c r="AE109">
        <f t="shared" ca="1" si="13"/>
        <v>0</v>
      </c>
      <c r="AG109" s="63">
        <f t="shared" ca="1" si="17"/>
        <v>56.322390769078119</v>
      </c>
      <c r="AH109" s="63">
        <f t="shared" ca="1" si="18"/>
        <v>56.322390769078119</v>
      </c>
      <c r="AI109" s="3">
        <f t="shared" ca="1" si="19"/>
        <v>0</v>
      </c>
    </row>
    <row r="110" spans="7:35">
      <c r="G110" s="3">
        <f t="shared" ca="1" si="14"/>
        <v>348</v>
      </c>
      <c r="H110" s="95">
        <f t="shared" ca="1" si="16"/>
        <v>45273</v>
      </c>
      <c r="I110" s="119">
        <f ca="1">HLOOKUP($H$5,'Met Data'!$A$2:$F$368,G110,FALSE)</f>
        <v>15.6196969696969</v>
      </c>
      <c r="J110" s="119">
        <f ca="1">HLOOKUP($H$5,'Met Data'!$H$2:$M$368,G110,FALSE)*L110</f>
        <v>2.59696969696969</v>
      </c>
      <c r="K110" s="96">
        <f ca="1">HLOOKUP($H$5,'Met Data'!$O$2:$T$368,G110,FALSE)</f>
        <v>5.0310266433765403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45319</v>
      </c>
      <c r="Q110">
        <f ca="1"/>
        <v>51.707100925126959</v>
      </c>
      <c r="R110">
        <f ca="1"/>
        <v>2.5591745527738823</v>
      </c>
      <c r="S110">
        <f ca="1"/>
        <v>3.2322909203594818E-3</v>
      </c>
      <c r="T110">
        <f ca="1"/>
        <v>0.38452416965662289</v>
      </c>
      <c r="U110">
        <f ca="1"/>
        <v>0</v>
      </c>
      <c r="V110">
        <f ca="1"/>
        <v>98.631957796168848</v>
      </c>
      <c r="W110">
        <f ca="1"/>
        <v>84.288457805358235</v>
      </c>
      <c r="X110">
        <f ca="1"/>
        <v>0</v>
      </c>
      <c r="Y110">
        <f ca="1"/>
        <v>0.2508061461579823</v>
      </c>
      <c r="Z110">
        <f ca="1"/>
        <v>0</v>
      </c>
      <c r="AA110">
        <f ca="1"/>
        <v>0</v>
      </c>
      <c r="AB110">
        <f ca="1"/>
        <v>0.9999999963148245</v>
      </c>
      <c r="AD110" s="2">
        <f t="shared" ca="1" si="12"/>
        <v>45319</v>
      </c>
      <c r="AE110">
        <f t="shared" ca="1" si="13"/>
        <v>0</v>
      </c>
      <c r="AG110" s="63">
        <f t="shared" ca="1" si="17"/>
        <v>54.266275477900841</v>
      </c>
      <c r="AH110" s="63">
        <f t="shared" ca="1" si="18"/>
        <v>54.266275477900841</v>
      </c>
      <c r="AI110" s="3">
        <f t="shared" ca="1" si="19"/>
        <v>0</v>
      </c>
    </row>
    <row r="111" spans="7:35">
      <c r="G111" s="3">
        <f t="shared" ca="1" si="14"/>
        <v>349</v>
      </c>
      <c r="H111" s="95">
        <f t="shared" ca="1" si="16"/>
        <v>45274</v>
      </c>
      <c r="I111" s="119">
        <f ca="1">HLOOKUP($H$5,'Met Data'!$A$2:$F$368,G111,FALSE)</f>
        <v>14.8939393939393</v>
      </c>
      <c r="J111" s="119">
        <f ca="1">HLOOKUP($H$5,'Met Data'!$H$2:$M$368,G111,FALSE)*L111</f>
        <v>1.05151515151515</v>
      </c>
      <c r="K111" s="96">
        <f ca="1">HLOOKUP($H$5,'Met Data'!$O$2:$T$368,G111,FALSE)</f>
        <v>5.1072739426404103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45320</v>
      </c>
      <c r="Q111">
        <f ca="1"/>
        <v>49.467271444264732</v>
      </c>
      <c r="R111">
        <f ca="1"/>
        <v>2.6308645728515785</v>
      </c>
      <c r="S111">
        <f ca="1"/>
        <v>3.2911870640077723E-3</v>
      </c>
      <c r="T111">
        <f ca="1"/>
        <v>0.38774390492534355</v>
      </c>
      <c r="U111">
        <f ca="1"/>
        <v>0</v>
      </c>
      <c r="V111">
        <f ca="1"/>
        <v>101.26282236902043</v>
      </c>
      <c r="W111">
        <f ca="1"/>
        <v>86.536730297309362</v>
      </c>
      <c r="X111">
        <f ca="1"/>
        <v>0</v>
      </c>
      <c r="Y111">
        <f ca="1"/>
        <v>0.22692378855810955</v>
      </c>
      <c r="Z111">
        <f ca="1"/>
        <v>0</v>
      </c>
      <c r="AA111">
        <f ca="1"/>
        <v>0</v>
      </c>
      <c r="AB111">
        <f ca="1"/>
        <v>0.99999999731949063</v>
      </c>
      <c r="AD111" s="2">
        <f t="shared" ca="1" si="12"/>
        <v>45320</v>
      </c>
      <c r="AE111">
        <f t="shared" ca="1" si="13"/>
        <v>0</v>
      </c>
      <c r="AG111" s="63">
        <f t="shared" ca="1" si="17"/>
        <v>52.09813601711631</v>
      </c>
      <c r="AH111" s="63">
        <f t="shared" ca="1" si="18"/>
        <v>52.09813601711631</v>
      </c>
      <c r="AI111" s="3">
        <f t="shared" ca="1" si="19"/>
        <v>0</v>
      </c>
    </row>
    <row r="112" spans="7:35">
      <c r="G112" s="3">
        <f t="shared" ca="1" si="14"/>
        <v>350</v>
      </c>
      <c r="H112" s="95">
        <f t="shared" ca="1" si="16"/>
        <v>45275</v>
      </c>
      <c r="I112" s="119">
        <f ca="1">HLOOKUP($H$5,'Met Data'!$A$2:$F$368,G112,FALSE)</f>
        <v>16</v>
      </c>
      <c r="J112" s="119">
        <f ca="1">HLOOKUP($H$5,'Met Data'!$H$2:$M$368,G112,FALSE)*L112</f>
        <v>1.04242424242424</v>
      </c>
      <c r="K112" s="96">
        <f ca="1">HLOOKUP($H$5,'Met Data'!$O$2:$T$368,G112,FALSE)</f>
        <v>5.4539790972000102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45321</v>
      </c>
      <c r="Q112">
        <f ca="1"/>
        <v>47.15626607942329</v>
      </c>
      <c r="R112">
        <f ca="1"/>
        <v>2.713450869581294</v>
      </c>
      <c r="S112">
        <f ca="1"/>
        <v>3.4960050022849742E-3</v>
      </c>
      <c r="T112">
        <f ca="1"/>
        <v>0.39894949973756688</v>
      </c>
      <c r="U112">
        <f ca="1"/>
        <v>0</v>
      </c>
      <c r="V112">
        <f ca="1"/>
        <v>103.97627323860172</v>
      </c>
      <c r="W112">
        <f ca="1"/>
        <v>88.85557901772377</v>
      </c>
      <c r="X112">
        <f ca="1"/>
        <v>0</v>
      </c>
      <c r="Y112">
        <f ca="1"/>
        <v>0.21556038569416</v>
      </c>
      <c r="Z112">
        <f ca="1"/>
        <v>0</v>
      </c>
      <c r="AA112">
        <f ca="1"/>
        <v>0</v>
      </c>
      <c r="AB112">
        <f ca="1"/>
        <v>0.99999999806896622</v>
      </c>
      <c r="AD112" s="2">
        <f t="shared" ca="1" si="12"/>
        <v>45321</v>
      </c>
      <c r="AE112">
        <f t="shared" ca="1" si="13"/>
        <v>0</v>
      </c>
      <c r="AG112" s="63">
        <f t="shared" ca="1" si="17"/>
        <v>49.869716949004584</v>
      </c>
      <c r="AH112" s="63">
        <f t="shared" ca="1" si="18"/>
        <v>49.869716949004584</v>
      </c>
      <c r="AI112" s="3">
        <f t="shared" ca="1" si="19"/>
        <v>0</v>
      </c>
    </row>
    <row r="113" spans="7:35">
      <c r="G113" s="3">
        <f t="shared" ca="1" si="14"/>
        <v>351</v>
      </c>
      <c r="H113" s="95">
        <f t="shared" ca="1" si="16"/>
        <v>45276</v>
      </c>
      <c r="I113" s="119">
        <f ca="1">HLOOKUP($H$5,'Met Data'!$A$2:$F$368,G113,FALSE)</f>
        <v>15.5590909090909</v>
      </c>
      <c r="J113" s="119">
        <f ca="1">HLOOKUP($H$5,'Met Data'!$H$2:$M$368,G113,FALSE)*L113</f>
        <v>1.9272727272727199</v>
      </c>
      <c r="K113" s="96">
        <f ca="1">HLOOKUP($H$5,'Met Data'!$O$2:$T$368,G113,FALSE)</f>
        <v>4.5883036332124396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45322</v>
      </c>
      <c r="Q113">
        <f ca="1"/>
        <v>44.831085315436098</v>
      </c>
      <c r="R113">
        <f ca="1"/>
        <v>2.7301963446869308</v>
      </c>
      <c r="S113">
        <f ca="1"/>
        <v>3.7191958559850136E-3</v>
      </c>
      <c r="T113">
        <f ca="1"/>
        <v>0.40129638484375413</v>
      </c>
      <c r="U113">
        <f ca="1"/>
        <v>0</v>
      </c>
      <c r="V113">
        <f ca="1"/>
        <v>106.70646958328865</v>
      </c>
      <c r="W113">
        <f ca="1"/>
        <v>91.188738011435092</v>
      </c>
      <c r="X113">
        <f ca="1"/>
        <v>0</v>
      </c>
      <c r="Y113">
        <f ca="1"/>
        <v>0.21274073053581846</v>
      </c>
      <c r="Z113">
        <f ca="1"/>
        <v>0</v>
      </c>
      <c r="AA113">
        <f ca="1"/>
        <v>0</v>
      </c>
      <c r="AB113">
        <f ca="1"/>
        <v>0.99999999861182687</v>
      </c>
      <c r="AD113" s="2">
        <f t="shared" ca="1" si="12"/>
        <v>45322</v>
      </c>
      <c r="AE113">
        <f t="shared" ca="1" si="13"/>
        <v>0</v>
      </c>
      <c r="AG113" s="63">
        <f t="shared" ca="1" si="17"/>
        <v>47.561281660123029</v>
      </c>
      <c r="AH113" s="63">
        <f t="shared" ca="1" si="18"/>
        <v>47.561281660123029</v>
      </c>
      <c r="AI113" s="3">
        <f t="shared" ca="1" si="19"/>
        <v>0</v>
      </c>
    </row>
    <row r="114" spans="7:35">
      <c r="G114" s="3">
        <f t="shared" ca="1" si="14"/>
        <v>352</v>
      </c>
      <c r="H114" s="95">
        <f t="shared" ca="1" si="16"/>
        <v>45277</v>
      </c>
      <c r="I114" s="119">
        <f ca="1">HLOOKUP($H$5,'Met Data'!$A$2:$F$368,G114,FALSE)</f>
        <v>15.2454545454545</v>
      </c>
      <c r="J114" s="119">
        <f ca="1">HLOOKUP($H$5,'Met Data'!$H$2:$M$368,G114,FALSE)*L114</f>
        <v>2.4060606060606</v>
      </c>
      <c r="K114" s="96">
        <f ca="1">HLOOKUP($H$5,'Met Data'!$O$2:$T$368,G114,FALSE)</f>
        <v>4.7700419489867203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45323</v>
      </c>
      <c r="Q114">
        <f ca="1"/>
        <v>42.571880185526979</v>
      </c>
      <c r="R114">
        <f ca="1"/>
        <v>2.6410566280064245</v>
      </c>
      <c r="S114">
        <f ca="1"/>
        <v>3.4977297372229543E-3</v>
      </c>
      <c r="T114">
        <f ca="1"/>
        <v>0.37835376836008883</v>
      </c>
      <c r="U114">
        <f ca="1"/>
        <v>0</v>
      </c>
      <c r="V114">
        <f ca="1"/>
        <v>109.34752621129508</v>
      </c>
      <c r="W114">
        <f ca="1"/>
        <v>93.445720384342309</v>
      </c>
      <c r="X114">
        <f ca="1"/>
        <v>0</v>
      </c>
      <c r="Y114">
        <f ca="1"/>
        <v>0.19642308447534973</v>
      </c>
      <c r="Z114">
        <f ca="1"/>
        <v>0</v>
      </c>
      <c r="AA114">
        <f ca="1"/>
        <v>0</v>
      </c>
      <c r="AB114">
        <f ca="1"/>
        <v>0.99999999899178871</v>
      </c>
      <c r="AD114" s="2">
        <f t="shared" ca="1" si="12"/>
        <v>45323</v>
      </c>
      <c r="AE114">
        <f t="shared" ca="1" si="13"/>
        <v>0</v>
      </c>
      <c r="AG114" s="63">
        <f t="shared" ca="1" si="17"/>
        <v>45.212936813533403</v>
      </c>
      <c r="AH114" s="63">
        <f t="shared" ca="1" si="18"/>
        <v>45.212936813533403</v>
      </c>
      <c r="AI114" s="3">
        <f t="shared" ca="1" si="19"/>
        <v>0</v>
      </c>
    </row>
    <row r="115" spans="7:35">
      <c r="G115" s="3">
        <f t="shared" ca="1" si="14"/>
        <v>353</v>
      </c>
      <c r="H115" s="95">
        <f t="shared" ca="1" si="16"/>
        <v>45278</v>
      </c>
      <c r="I115" s="119">
        <f ca="1">HLOOKUP($H$5,'Met Data'!$A$2:$F$368,G115,FALSE)</f>
        <v>15.4969696969696</v>
      </c>
      <c r="J115" s="119">
        <f ca="1">HLOOKUP($H$5,'Met Data'!$H$2:$M$368,G115,FALSE)*L115</f>
        <v>1.9363636363636301</v>
      </c>
      <c r="K115" s="96">
        <f ca="1">HLOOKUP($H$5,'Met Data'!$O$2:$T$368,G115,FALSE)</f>
        <v>5.0336294289784602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45324</v>
      </c>
      <c r="Q115">
        <f ca="1"/>
        <v>40.446764685504583</v>
      </c>
      <c r="R115">
        <f ca="1"/>
        <v>2.4788351660723293</v>
      </c>
      <c r="S115">
        <f ca="1"/>
        <v>3.4691250743099644E-3</v>
      </c>
      <c r="T115">
        <f ca="1"/>
        <v>0.35025054097561903</v>
      </c>
      <c r="U115">
        <f ca="1"/>
        <v>0</v>
      </c>
      <c r="V115">
        <f ca="1"/>
        <v>111.82636137736741</v>
      </c>
      <c r="W115">
        <f ca="1"/>
        <v>95.564072265116209</v>
      </c>
      <c r="X115">
        <f ca="1"/>
        <v>0</v>
      </c>
      <c r="Y115">
        <f ca="1"/>
        <v>0.19938426185333175</v>
      </c>
      <c r="Z115">
        <f ca="1"/>
        <v>0</v>
      </c>
      <c r="AA115">
        <f ca="1"/>
        <v>0</v>
      </c>
      <c r="AB115">
        <f ca="1"/>
        <v>0.99999999925385463</v>
      </c>
      <c r="AD115" s="2">
        <f t="shared" ca="1" si="12"/>
        <v>45324</v>
      </c>
      <c r="AE115">
        <f t="shared" ca="1" si="13"/>
        <v>0</v>
      </c>
      <c r="AG115" s="63">
        <f t="shared" ca="1" si="17"/>
        <v>42.925599851576912</v>
      </c>
      <c r="AH115" s="63">
        <f t="shared" ca="1" si="18"/>
        <v>42.925599851576912</v>
      </c>
      <c r="AI115" s="3">
        <f t="shared" ca="1" si="19"/>
        <v>0</v>
      </c>
    </row>
    <row r="116" spans="7:35">
      <c r="G116" s="3">
        <f t="shared" ca="1" si="14"/>
        <v>354</v>
      </c>
      <c r="H116" s="95">
        <f t="shared" ca="1" si="16"/>
        <v>45279</v>
      </c>
      <c r="I116" s="119">
        <f ca="1">HLOOKUP($H$5,'Met Data'!$A$2:$F$368,G116,FALSE)</f>
        <v>15.5242424242424</v>
      </c>
      <c r="J116" s="119">
        <f ca="1">HLOOKUP($H$5,'Met Data'!$H$2:$M$368,G116,FALSE)*L116</f>
        <v>1.78181818181818</v>
      </c>
      <c r="K116" s="96">
        <f ca="1">HLOOKUP($H$5,'Met Data'!$O$2:$T$368,G116,FALSE)</f>
        <v>4.98855977845243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45325</v>
      </c>
      <c r="Q116">
        <f ca="1"/>
        <v>38.35232781880395</v>
      </c>
      <c r="R116">
        <f ca="1"/>
        <v>2.4406829258493445</v>
      </c>
      <c r="S116">
        <f ca="1"/>
        <v>3.4555959841719996E-3</v>
      </c>
      <c r="T116">
        <f ca="1"/>
        <v>0.34279046316453715</v>
      </c>
      <c r="U116">
        <f ca="1"/>
        <v>0</v>
      </c>
      <c r="V116">
        <f ca="1"/>
        <v>114.26704430321675</v>
      </c>
      <c r="W116">
        <f ca="1"/>
        <v>97.649820174904761</v>
      </c>
      <c r="X116">
        <f ca="1"/>
        <v>0</v>
      </c>
      <c r="Y116">
        <f ca="1"/>
        <v>0.19284452846904113</v>
      </c>
      <c r="Z116">
        <f ca="1"/>
        <v>0</v>
      </c>
      <c r="AA116">
        <f ca="1"/>
        <v>0</v>
      </c>
      <c r="AB116">
        <f ca="1"/>
        <v>0.9999999994458757</v>
      </c>
      <c r="AD116" s="2">
        <f t="shared" ca="1" si="12"/>
        <v>45325</v>
      </c>
      <c r="AE116">
        <f t="shared" ca="1" si="13"/>
        <v>0</v>
      </c>
      <c r="AG116" s="63">
        <f t="shared" ca="1" si="17"/>
        <v>40.793010744653294</v>
      </c>
      <c r="AH116" s="63">
        <f t="shared" ca="1" si="18"/>
        <v>40.793010744653294</v>
      </c>
      <c r="AI116" s="3">
        <f t="shared" ca="1" si="19"/>
        <v>0</v>
      </c>
    </row>
    <row r="117" spans="7:35">
      <c r="G117" s="3">
        <f t="shared" ca="1" si="14"/>
        <v>355</v>
      </c>
      <c r="H117" s="95">
        <f t="shared" ca="1" si="16"/>
        <v>45280</v>
      </c>
      <c r="I117" s="119">
        <f ca="1">HLOOKUP($H$5,'Met Data'!$A$2:$F$368,G117,FALSE)</f>
        <v>15.1863636363636</v>
      </c>
      <c r="J117" s="119">
        <f ca="1">HLOOKUP($H$5,'Met Data'!$H$2:$M$368,G117,FALSE)*L117</f>
        <v>4.1696969696969699</v>
      </c>
      <c r="K117" s="96">
        <f ca="1">HLOOKUP($H$5,'Met Data'!$O$2:$T$368,G117,FALSE)</f>
        <v>4.9791838222051101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45326</v>
      </c>
      <c r="Q117">
        <f ca="1"/>
        <v>36.086321071639226</v>
      </c>
      <c r="R117">
        <f ca="1"/>
        <v>2.6627723254418214</v>
      </c>
      <c r="S117">
        <f ca="1"/>
        <v>4.2983226006327868E-3</v>
      </c>
      <c r="T117">
        <f ca="1"/>
        <v>0.39246725567646501</v>
      </c>
      <c r="U117">
        <f ca="1"/>
        <v>0</v>
      </c>
      <c r="V117">
        <f ca="1"/>
        <v>116.92981662865857</v>
      </c>
      <c r="W117">
        <f ca="1"/>
        <v>99.925360251500479</v>
      </c>
      <c r="X117">
        <f ca="1"/>
        <v>0</v>
      </c>
      <c r="Y117">
        <f ca="1"/>
        <v>0.20602194925294587</v>
      </c>
      <c r="Z117">
        <f ca="1"/>
        <v>0</v>
      </c>
      <c r="AA117">
        <f ca="1"/>
        <v>0</v>
      </c>
      <c r="AB117">
        <f ca="1"/>
        <v>0.9999999996001574</v>
      </c>
      <c r="AD117" s="2">
        <f t="shared" ca="1" si="12"/>
        <v>45326</v>
      </c>
      <c r="AE117">
        <f t="shared" ca="1" si="13"/>
        <v>0</v>
      </c>
      <c r="AG117" s="63">
        <f t="shared" ca="1" si="17"/>
        <v>38.749093397081047</v>
      </c>
      <c r="AH117" s="63">
        <f t="shared" ca="1" si="18"/>
        <v>38.749093397081047</v>
      </c>
      <c r="AI117" s="3">
        <f t="shared" ca="1" si="19"/>
        <v>0</v>
      </c>
    </row>
    <row r="118" spans="7:35">
      <c r="G118" s="3">
        <f t="shared" ca="1" si="14"/>
        <v>356</v>
      </c>
      <c r="H118" s="95">
        <f t="shared" ca="1" si="16"/>
        <v>45281</v>
      </c>
      <c r="I118" s="119">
        <f ca="1">HLOOKUP($H$5,'Met Data'!$A$2:$F$368,G118,FALSE)</f>
        <v>14.9893480257116</v>
      </c>
      <c r="J118" s="119">
        <f ca="1">HLOOKUP($H$5,'Met Data'!$H$2:$M$368,G118,FALSE)*L118</f>
        <v>2.6030303030302999</v>
      </c>
      <c r="K118" s="96">
        <f ca="1">HLOOKUP($H$5,'Met Data'!$O$2:$T$368,G118,FALSE)</f>
        <v>5.3026714900844496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45327</v>
      </c>
      <c r="Q118">
        <f ca="1"/>
        <v>34.063471421561971</v>
      </c>
      <c r="R118">
        <f ca="1"/>
        <v>2.3745647409809294</v>
      </c>
      <c r="S118">
        <f ca="1"/>
        <v>4.3372366100689064E-3</v>
      </c>
      <c r="T118">
        <f ca="1"/>
        <v>0.34737785429360468</v>
      </c>
      <c r="U118">
        <f ca="1"/>
        <v>0</v>
      </c>
      <c r="V118">
        <f ca="1"/>
        <v>119.3043813696395</v>
      </c>
      <c r="W118">
        <f ca="1"/>
        <v>101.95460517828054</v>
      </c>
      <c r="X118">
        <f ca="1"/>
        <v>0</v>
      </c>
      <c r="Y118">
        <f ca="1"/>
        <v>0.22632389375633741</v>
      </c>
      <c r="Z118">
        <f ca="1"/>
        <v>0</v>
      </c>
      <c r="AA118">
        <f ca="1"/>
        <v>0</v>
      </c>
      <c r="AB118">
        <f ca="1"/>
        <v>0.99999999970167042</v>
      </c>
      <c r="AD118" s="2">
        <f t="shared" ca="1" si="12"/>
        <v>45327</v>
      </c>
      <c r="AE118">
        <f t="shared" ca="1" si="13"/>
        <v>0</v>
      </c>
      <c r="AG118" s="63">
        <f t="shared" ca="1" si="17"/>
        <v>36.4380361625429</v>
      </c>
      <c r="AH118" s="63">
        <f t="shared" ca="1" si="18"/>
        <v>36.4380361625429</v>
      </c>
      <c r="AI118" s="3">
        <f t="shared" ca="1" si="19"/>
        <v>0</v>
      </c>
    </row>
    <row r="119" spans="7:35">
      <c r="G119" s="3">
        <f t="shared" ca="1" si="14"/>
        <v>357</v>
      </c>
      <c r="H119" s="95">
        <f t="shared" ca="1" si="16"/>
        <v>45282</v>
      </c>
      <c r="I119" s="119">
        <f ca="1">HLOOKUP($H$5,'Met Data'!$A$2:$F$368,G119,FALSE)</f>
        <v>15.318181818181801</v>
      </c>
      <c r="J119" s="119">
        <f ca="1">HLOOKUP($H$5,'Met Data'!$H$2:$M$368,G119,FALSE)*L119</f>
        <v>2.1333333333333302</v>
      </c>
      <c r="K119" s="96">
        <f ca="1">HLOOKUP($H$5,'Met Data'!$O$2:$T$368,G119,FALSE)</f>
        <v>5.2799428567790896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45328</v>
      </c>
      <c r="Q119">
        <f ca="1"/>
        <v>31.998954098150833</v>
      </c>
      <c r="R119">
        <f ca="1"/>
        <v>2.4241110250003857</v>
      </c>
      <c r="S119">
        <f ca="1"/>
        <v>4.3725705786901159E-3</v>
      </c>
      <c r="T119">
        <f ca="1"/>
        <v>0.35522113101056169</v>
      </c>
      <c r="U119">
        <f ca="1"/>
        <v>0</v>
      </c>
      <c r="V119">
        <f ca="1"/>
        <v>121.72849239463989</v>
      </c>
      <c r="W119">
        <f ca="1"/>
        <v>104.0261911470849</v>
      </c>
      <c r="X119">
        <f ca="1"/>
        <v>0</v>
      </c>
      <c r="Y119">
        <f ca="1"/>
        <v>0.21278736494256331</v>
      </c>
      <c r="Z119">
        <f ca="1"/>
        <v>0</v>
      </c>
      <c r="AA119">
        <f ca="1"/>
        <v>0</v>
      </c>
      <c r="AB119">
        <f ca="1"/>
        <v>0.99999999977925125</v>
      </c>
      <c r="AD119" s="2">
        <f t="shared" ca="1" si="12"/>
        <v>45328</v>
      </c>
      <c r="AE119">
        <f t="shared" ca="1" si="13"/>
        <v>0</v>
      </c>
      <c r="AG119" s="63">
        <f t="shared" ca="1" si="17"/>
        <v>34.423065123151218</v>
      </c>
      <c r="AH119" s="63">
        <f t="shared" ca="1" si="18"/>
        <v>34.423065123151218</v>
      </c>
      <c r="AI119" s="3">
        <f t="shared" ca="1" si="19"/>
        <v>0</v>
      </c>
    </row>
    <row r="120" spans="7:35">
      <c r="G120" s="3">
        <f t="shared" ca="1" si="14"/>
        <v>358</v>
      </c>
      <c r="H120" s="95">
        <f t="shared" ca="1" si="16"/>
        <v>45283</v>
      </c>
      <c r="I120" s="119">
        <f ca="1">HLOOKUP($H$5,'Met Data'!$A$2:$F$368,G120,FALSE)</f>
        <v>15.1030303030303</v>
      </c>
      <c r="J120" s="119">
        <f ca="1">HLOOKUP($H$5,'Met Data'!$H$2:$M$368,G120,FALSE)*L120</f>
        <v>1.7606060606060601</v>
      </c>
      <c r="K120" s="96">
        <f ca="1">HLOOKUP($H$5,'Met Data'!$O$2:$T$368,G120,FALSE)</f>
        <v>4.9208206081117201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45329</v>
      </c>
      <c r="Q120">
        <f ca="1"/>
        <v>64.08703404504854</v>
      </c>
      <c r="R120">
        <f ca="1"/>
        <v>2.4018436896733988</v>
      </c>
      <c r="S120">
        <f ca="1"/>
        <v>4.8593970974524225E-3</v>
      </c>
      <c r="T120">
        <f ca="1"/>
        <v>0.36056100954588438</v>
      </c>
      <c r="U120">
        <f ca="1"/>
        <v>34.124503229927761</v>
      </c>
      <c r="V120">
        <f ca="1"/>
        <v>124.13033608431329</v>
      </c>
      <c r="W120">
        <f ca="1"/>
        <v>106.07874799595612</v>
      </c>
      <c r="X120">
        <f ca="1"/>
        <v>0</v>
      </c>
      <c r="Y120">
        <f ca="1"/>
        <v>0.22821886809670072</v>
      </c>
      <c r="Z120">
        <f ca="1"/>
        <v>0</v>
      </c>
      <c r="AA120">
        <f ca="1"/>
        <v>0</v>
      </c>
      <c r="AB120">
        <f ca="1"/>
        <v>0.99999999983662202</v>
      </c>
      <c r="AD120" s="2">
        <f t="shared" ca="1" si="12"/>
        <v>45329</v>
      </c>
      <c r="AE120">
        <f t="shared" ca="1" si="13"/>
        <v>34.124503229927761</v>
      </c>
      <c r="AG120" s="63">
        <f t="shared" ca="1" si="17"/>
        <v>66.488877734721939</v>
      </c>
      <c r="AH120" s="63">
        <f t="shared" ca="1" si="18"/>
        <v>66.488877734721939</v>
      </c>
      <c r="AI120" s="3">
        <f t="shared" ca="1" si="19"/>
        <v>0</v>
      </c>
    </row>
    <row r="121" spans="7:35">
      <c r="G121" s="3">
        <f t="shared" ca="1" si="14"/>
        <v>359</v>
      </c>
      <c r="H121" s="95">
        <f t="shared" ca="1" si="16"/>
        <v>45284</v>
      </c>
      <c r="I121" s="119">
        <f ca="1">HLOOKUP($H$5,'Met Data'!$A$2:$F$368,G121,FALSE)</f>
        <v>15.75</v>
      </c>
      <c r="J121" s="119">
        <f ca="1">HLOOKUP($H$5,'Met Data'!$H$2:$M$368,G121,FALSE)*L121</f>
        <v>0.44545454545454499</v>
      </c>
      <c r="K121" s="96">
        <f ca="1">HLOOKUP($H$5,'Met Data'!$O$2:$T$368,G121,FALSE)</f>
        <v>5.2220060011835203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45330</v>
      </c>
      <c r="Q121">
        <f ca="1"/>
        <v>62.033095359438136</v>
      </c>
      <c r="R121">
        <f ca="1"/>
        <v>2.4257708259222142</v>
      </c>
      <c r="S121">
        <f ca="1"/>
        <v>4.9647210074610371E-3</v>
      </c>
      <c r="T121">
        <f ca="1"/>
        <v>0.3668674193043362</v>
      </c>
      <c r="U121">
        <f ca="1"/>
        <v>0</v>
      </c>
      <c r="V121">
        <f ca="1"/>
        <v>126.5561069102355</v>
      </c>
      <c r="W121">
        <f ca="1"/>
        <v>108.15175239001627</v>
      </c>
      <c r="X121">
        <f ca="1"/>
        <v>0</v>
      </c>
      <c r="Y121">
        <f ca="1"/>
        <v>0.22010286363742068</v>
      </c>
      <c r="Z121">
        <f ca="1"/>
        <v>0</v>
      </c>
      <c r="AA121">
        <f ca="1"/>
        <v>0</v>
      </c>
      <c r="AB121">
        <f ca="1"/>
        <v>0.99999999987980259</v>
      </c>
      <c r="AD121" s="2">
        <f t="shared" ca="1" si="12"/>
        <v>45330</v>
      </c>
      <c r="AE121">
        <f t="shared" ca="1" si="13"/>
        <v>0</v>
      </c>
      <c r="AG121" s="63">
        <f t="shared" ca="1" si="17"/>
        <v>64.45886618536035</v>
      </c>
      <c r="AH121" s="63">
        <f t="shared" ca="1" si="18"/>
        <v>64.45886618536035</v>
      </c>
      <c r="AI121" s="3">
        <f t="shared" ca="1" si="19"/>
        <v>0</v>
      </c>
    </row>
    <row r="122" spans="7:35">
      <c r="G122" s="3">
        <f t="shared" ca="1" si="14"/>
        <v>360</v>
      </c>
      <c r="H122" s="95">
        <f t="shared" ca="1" si="16"/>
        <v>45285</v>
      </c>
      <c r="I122" s="119">
        <f ca="1">HLOOKUP($H$5,'Met Data'!$A$2:$F$368,G122,FALSE)</f>
        <v>15.801515151515099</v>
      </c>
      <c r="J122" s="119">
        <f ca="1">HLOOKUP($H$5,'Met Data'!$H$2:$M$368,G122,FALSE)*L122</f>
        <v>0.86969696969696897</v>
      </c>
      <c r="K122" s="96">
        <f ca="1">HLOOKUP($H$5,'Met Data'!$O$2:$T$368,G122,FALSE)</f>
        <v>5.4909304436539399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45331</v>
      </c>
      <c r="Q122">
        <f ca="1"/>
        <v>59.993989581504287</v>
      </c>
      <c r="R122">
        <f ca="1"/>
        <v>2.4136534157639034</v>
      </c>
      <c r="S122">
        <f ca="1"/>
        <v>5.1417044400254852E-3</v>
      </c>
      <c r="T122">
        <f ca="1"/>
        <v>0.36940593339002797</v>
      </c>
      <c r="U122">
        <f ca="1"/>
        <v>0</v>
      </c>
      <c r="V122">
        <f ca="1"/>
        <v>128.9697603259994</v>
      </c>
      <c r="W122">
        <f ca="1"/>
        <v>110.214401541844</v>
      </c>
      <c r="X122">
        <f ca="1"/>
        <v>0</v>
      </c>
      <c r="Y122">
        <f ca="1"/>
        <v>0.21911654241363057</v>
      </c>
      <c r="Z122">
        <f ca="1"/>
        <v>0</v>
      </c>
      <c r="AA122">
        <f ca="1"/>
        <v>0</v>
      </c>
      <c r="AB122">
        <f ca="1"/>
        <v>0.99999999991173372</v>
      </c>
      <c r="AD122" s="2">
        <f t="shared" ca="1" si="12"/>
        <v>45331</v>
      </c>
      <c r="AE122">
        <f t="shared" ca="1" si="13"/>
        <v>0</v>
      </c>
      <c r="AG122" s="63">
        <f t="shared" ca="1" si="17"/>
        <v>62.407642997268191</v>
      </c>
      <c r="AH122" s="63">
        <f t="shared" ca="1" si="18"/>
        <v>62.407642997268191</v>
      </c>
      <c r="AI122" s="3">
        <f t="shared" ca="1" si="19"/>
        <v>0</v>
      </c>
    </row>
    <row r="123" spans="7:35">
      <c r="G123" s="3">
        <f t="shared" ca="1" si="14"/>
        <v>361</v>
      </c>
      <c r="H123" s="95">
        <f t="shared" ca="1" si="16"/>
        <v>45286</v>
      </c>
      <c r="I123" s="119">
        <f ca="1">HLOOKUP($H$5,'Met Data'!$A$2:$F$368,G123,FALSE)</f>
        <v>15.1378787878787</v>
      </c>
      <c r="J123" s="119">
        <f ca="1">HLOOKUP($H$5,'Met Data'!$H$2:$M$368,G123,FALSE)*L123</f>
        <v>0.68181818181818099</v>
      </c>
      <c r="K123" s="96">
        <f ca="1">HLOOKUP($H$5,'Met Data'!$O$2:$T$368,G123,FALSE)</f>
        <v>4.9163537354420397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45332</v>
      </c>
      <c r="Q123">
        <f ca="1"/>
        <v>57.991399665816111</v>
      </c>
      <c r="R123">
        <f ca="1"/>
        <v>2.371664221526828</v>
      </c>
      <c r="S123">
        <f ca="1"/>
        <v>5.0833673747687769E-3</v>
      </c>
      <c r="T123">
        <f ca="1"/>
        <v>0.36399093846388891</v>
      </c>
      <c r="U123">
        <f ca="1"/>
        <v>0</v>
      </c>
      <c r="V123">
        <f ca="1"/>
        <v>131.34142454752623</v>
      </c>
      <c r="W123">
        <f ca="1"/>
        <v>112.2411677556685</v>
      </c>
      <c r="X123">
        <f ca="1"/>
        <v>0</v>
      </c>
      <c r="Y123">
        <f ca="1"/>
        <v>0.21158397313842717</v>
      </c>
      <c r="Z123">
        <f ca="1"/>
        <v>0</v>
      </c>
      <c r="AA123">
        <f ca="1"/>
        <v>0</v>
      </c>
      <c r="AB123">
        <f ca="1"/>
        <v>0.9999999999350746</v>
      </c>
      <c r="AD123" s="2">
        <f t="shared" ca="1" si="12"/>
        <v>45332</v>
      </c>
      <c r="AE123">
        <f t="shared" ca="1" si="13"/>
        <v>0</v>
      </c>
      <c r="AG123" s="63">
        <f t="shared" ca="1" si="17"/>
        <v>60.363063887342939</v>
      </c>
      <c r="AH123" s="63">
        <f t="shared" ca="1" si="18"/>
        <v>60.363063887342939</v>
      </c>
      <c r="AI123" s="3">
        <f t="shared" ca="1" si="19"/>
        <v>0</v>
      </c>
    </row>
    <row r="124" spans="7:35">
      <c r="G124" s="3">
        <f t="shared" ca="1" si="14"/>
        <v>362</v>
      </c>
      <c r="H124" s="95">
        <f t="shared" ca="1" si="16"/>
        <v>45287</v>
      </c>
      <c r="I124" s="119">
        <f ca="1">HLOOKUP($H$5,'Met Data'!$A$2:$F$368,G124,FALSE)</f>
        <v>16.901515151515099</v>
      </c>
      <c r="J124" s="119">
        <f ca="1">HLOOKUP($H$5,'Met Data'!$H$2:$M$368,G124,FALSE)*L124</f>
        <v>1.11818181818181</v>
      </c>
      <c r="K124" s="96">
        <f ca="1">HLOOKUP($H$5,'Met Data'!$O$2:$T$368,G124,FALSE)</f>
        <v>5.7188006673869101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45333</v>
      </c>
      <c r="Q124">
        <f ca="1"/>
        <v>55.952273924038792</v>
      </c>
      <c r="R124">
        <f ca="1"/>
        <v>2.4257270222537102</v>
      </c>
      <c r="S124">
        <f ca="1"/>
        <v>5.4141459771237521E-3</v>
      </c>
      <c r="T124">
        <f ca="1"/>
        <v>0.381187134499269</v>
      </c>
      <c r="U124">
        <f ca="1"/>
        <v>0</v>
      </c>
      <c r="V124">
        <f ca="1"/>
        <v>133.76715156977994</v>
      </c>
      <c r="W124">
        <f ca="1"/>
        <v>114.31413471618535</v>
      </c>
      <c r="X124">
        <f ca="1"/>
        <v>0</v>
      </c>
      <c r="Y124">
        <f ca="1"/>
        <v>0.20992448649913875</v>
      </c>
      <c r="Z124">
        <f ca="1"/>
        <v>0</v>
      </c>
      <c r="AA124">
        <f ca="1"/>
        <v>0</v>
      </c>
      <c r="AB124">
        <f ca="1"/>
        <v>0.99999999995277866</v>
      </c>
      <c r="AD124" s="2">
        <f t="shared" ca="1" si="12"/>
        <v>45333</v>
      </c>
      <c r="AE124">
        <f t="shared" ca="1" si="13"/>
        <v>0</v>
      </c>
      <c r="AG124" s="63">
        <f t="shared" ca="1" si="17"/>
        <v>58.378000946292502</v>
      </c>
      <c r="AH124" s="63">
        <f t="shared" ca="1" si="18"/>
        <v>58.378000946292502</v>
      </c>
      <c r="AI124" s="3">
        <f t="shared" ca="1" si="19"/>
        <v>0</v>
      </c>
    </row>
    <row r="125" spans="7:35">
      <c r="G125" s="3">
        <f t="shared" ca="1" si="14"/>
        <v>363</v>
      </c>
      <c r="H125" s="95">
        <f t="shared" ca="1" si="16"/>
        <v>45288</v>
      </c>
      <c r="I125" s="119">
        <f ca="1">HLOOKUP($H$5,'Met Data'!$A$2:$F$368,G125,FALSE)</f>
        <v>17.143939393939299</v>
      </c>
      <c r="J125" s="119">
        <f ca="1">HLOOKUP($H$5,'Met Data'!$H$2:$M$368,G125,FALSE)*L125</f>
        <v>2.9666666666666601</v>
      </c>
      <c r="K125" s="96">
        <f ca="1">HLOOKUP($H$5,'Met Data'!$O$2:$T$368,G125,FALSE)</f>
        <v>5.7794443898681997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45334</v>
      </c>
      <c r="Q125">
        <f ca="1"/>
        <v>53.905306943009833</v>
      </c>
      <c r="R125">
        <f ca="1"/>
        <v>2.4569554519732151</v>
      </c>
      <c r="S125">
        <f ca="1"/>
        <v>6.2941675024710264E-3</v>
      </c>
      <c r="T125">
        <f ca="1"/>
        <v>0.40369430344178342</v>
      </c>
      <c r="U125">
        <f ca="1"/>
        <v>0</v>
      </c>
      <c r="V125">
        <f ca="1"/>
        <v>136.22410702175316</v>
      </c>
      <c r="W125">
        <f ca="1"/>
        <v>116.41378872864311</v>
      </c>
      <c r="X125">
        <f ca="1"/>
        <v>0</v>
      </c>
      <c r="Y125">
        <f ca="1"/>
        <v>0.22918258251095763</v>
      </c>
      <c r="Z125">
        <f ca="1"/>
        <v>0</v>
      </c>
      <c r="AA125">
        <f ca="1"/>
        <v>0</v>
      </c>
      <c r="AB125">
        <f ca="1"/>
        <v>0.99999999996596345</v>
      </c>
      <c r="AD125" s="2">
        <f t="shared" ca="1" si="12"/>
        <v>45334</v>
      </c>
      <c r="AE125">
        <f t="shared" ca="1" si="13"/>
        <v>0</v>
      </c>
      <c r="AG125" s="63">
        <f t="shared" ca="1" si="17"/>
        <v>56.362262394983048</v>
      </c>
      <c r="AH125" s="63">
        <f t="shared" ca="1" si="18"/>
        <v>56.362262394983048</v>
      </c>
      <c r="AI125" s="3">
        <f t="shared" ca="1" si="19"/>
        <v>0</v>
      </c>
    </row>
    <row r="126" spans="7:35">
      <c r="G126" s="3">
        <f t="shared" ca="1" si="14"/>
        <v>364</v>
      </c>
      <c r="H126" s="95">
        <f t="shared" ca="1" si="16"/>
        <v>45289</v>
      </c>
      <c r="I126" s="119">
        <f ca="1">HLOOKUP($H$5,'Met Data'!$A$2:$F$368,G126,FALSE)</f>
        <v>15.795454545454501</v>
      </c>
      <c r="J126" s="119">
        <f ca="1">HLOOKUP($H$5,'Met Data'!$H$2:$M$368,G126,FALSE)*L126</f>
        <v>1.01212121212121</v>
      </c>
      <c r="K126" s="96">
        <f ca="1">HLOOKUP($H$5,'Met Data'!$O$2:$T$368,G126,FALSE)</f>
        <v>4.8778466207725302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45335</v>
      </c>
      <c r="Q126">
        <f ca="1"/>
        <v>52.066587710481087</v>
      </c>
      <c r="R126">
        <f ca="1"/>
        <v>2.2059191179949096</v>
      </c>
      <c r="S126">
        <f ca="1"/>
        <v>6.0536078351578482E-3</v>
      </c>
      <c r="T126">
        <f ca="1"/>
        <v>0.36114627763101048</v>
      </c>
      <c r="U126">
        <f ca="1"/>
        <v>0</v>
      </c>
      <c r="V126">
        <f ca="1"/>
        <v>138.43002613974807</v>
      </c>
      <c r="W126">
        <f ca="1"/>
        <v>118.29891323244131</v>
      </c>
      <c r="X126">
        <f ca="1"/>
        <v>0</v>
      </c>
      <c r="Y126">
        <f ca="1"/>
        <v>0.2392708602071475</v>
      </c>
      <c r="Z126">
        <f ca="1"/>
        <v>0</v>
      </c>
      <c r="AA126">
        <f ca="1"/>
        <v>0</v>
      </c>
      <c r="AB126">
        <f ca="1"/>
        <v>0.99999999997475131</v>
      </c>
      <c r="AD126" s="2">
        <f t="shared" ca="1" si="12"/>
        <v>45335</v>
      </c>
      <c r="AE126">
        <f t="shared" ca="1" si="13"/>
        <v>0</v>
      </c>
      <c r="AG126" s="63">
        <f t="shared" ca="1" si="17"/>
        <v>54.272506828475997</v>
      </c>
      <c r="AH126" s="63">
        <f t="shared" ca="1" si="18"/>
        <v>54.272506828475997</v>
      </c>
      <c r="AI126" s="3">
        <f t="shared" ca="1" si="19"/>
        <v>0</v>
      </c>
    </row>
    <row r="127" spans="7:35">
      <c r="G127" s="3">
        <f t="shared" ca="1" si="14"/>
        <v>365</v>
      </c>
      <c r="H127" s="95">
        <f t="shared" ca="1" si="16"/>
        <v>45290</v>
      </c>
      <c r="I127" s="119">
        <f ca="1">HLOOKUP($H$5,'Met Data'!$A$2:$F$368,G127,FALSE)</f>
        <v>16.3359375</v>
      </c>
      <c r="J127" s="119">
        <f ca="1">HLOOKUP($H$5,'Met Data'!$H$2:$M$368,G127,FALSE)*L127</f>
        <v>2.5656249999999998</v>
      </c>
      <c r="K127" s="96">
        <f ca="1">HLOOKUP($H$5,'Met Data'!$O$2:$T$368,G127,FALSE)</f>
        <v>4.8055507109703601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45336</v>
      </c>
      <c r="Q127">
        <f ca="1"/>
        <v>50.325727523066298</v>
      </c>
      <c r="R127">
        <f ca="1"/>
        <v>2.1029888661151972</v>
      </c>
      <c r="S127">
        <f ca="1"/>
        <v>6.5832267155281343E-3</v>
      </c>
      <c r="T127">
        <f ca="1"/>
        <v>0.35554545198488058</v>
      </c>
      <c r="U127">
        <f ca="1"/>
        <v>0</v>
      </c>
      <c r="V127">
        <f ca="1"/>
        <v>140.53301500586326</v>
      </c>
      <c r="W127">
        <f ca="1"/>
        <v>120.09607606148103</v>
      </c>
      <c r="X127">
        <f ca="1"/>
        <v>0</v>
      </c>
      <c r="Y127">
        <f ca="1"/>
        <v>0.26283832756303166</v>
      </c>
      <c r="Z127">
        <f ca="1"/>
        <v>0</v>
      </c>
      <c r="AA127">
        <f ca="1"/>
        <v>0</v>
      </c>
      <c r="AB127">
        <f ca="1"/>
        <v>0.99999999998109379</v>
      </c>
      <c r="AD127" s="2">
        <f t="shared" ca="1" si="12"/>
        <v>45336</v>
      </c>
      <c r="AE127">
        <f t="shared" ca="1" si="13"/>
        <v>0</v>
      </c>
      <c r="AG127" s="63">
        <f t="shared" ca="1" si="17"/>
        <v>52.428716389181496</v>
      </c>
      <c r="AH127" s="63">
        <f t="shared" ca="1" si="18"/>
        <v>52.428716389181496</v>
      </c>
      <c r="AI127" s="3">
        <f t="shared" ca="1" si="19"/>
        <v>0</v>
      </c>
    </row>
    <row r="128" spans="7:35">
      <c r="G128" s="3">
        <f t="shared" ca="1" si="14"/>
        <v>366</v>
      </c>
      <c r="H128" s="95">
        <f t="shared" ca="1" si="16"/>
        <v>45291</v>
      </c>
      <c r="I128" s="119">
        <f ca="1">HLOOKUP($H$5,'Met Data'!$A$2:$F$368,G128,FALSE)</f>
        <v>15.832812499999999</v>
      </c>
      <c r="J128" s="119">
        <f ca="1">HLOOKUP($H$5,'Met Data'!$H$2:$M$368,G128,FALSE)*L128</f>
        <v>1.0062500000000001</v>
      </c>
      <c r="K128" s="96">
        <f ca="1">HLOOKUP($H$5,'Met Data'!$O$2:$T$368,G128,FALSE)</f>
        <v>5.3791049074685899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45337</v>
      </c>
      <c r="Q128">
        <f ca="1"/>
        <v>48.667754041860334</v>
      </c>
      <c r="R128">
        <f ca="1"/>
        <v>2.0146421269723191</v>
      </c>
      <c r="S128">
        <f ca="1"/>
        <v>6.9449369048699694E-3</v>
      </c>
      <c r="T128">
        <f ca="1"/>
        <v>0.34972370886148468</v>
      </c>
      <c r="U128">
        <f ca="1"/>
        <v>0</v>
      </c>
      <c r="V128">
        <f ca="1"/>
        <v>142.54765713283558</v>
      </c>
      <c r="W128">
        <f ca="1"/>
        <v>121.81773992891769</v>
      </c>
      <c r="X128">
        <f ca="1"/>
        <v>0</v>
      </c>
      <c r="Y128">
        <f ca="1"/>
        <v>0.27833009393499014</v>
      </c>
      <c r="Z128">
        <f ca="1"/>
        <v>0</v>
      </c>
      <c r="AA128">
        <f ca="1"/>
        <v>0</v>
      </c>
      <c r="AB128">
        <f ca="1"/>
        <v>0.99999999998573541</v>
      </c>
      <c r="AD128" s="2">
        <f t="shared" ca="1" si="12"/>
        <v>45337</v>
      </c>
      <c r="AE128">
        <f t="shared" ca="1" si="13"/>
        <v>0</v>
      </c>
      <c r="AG128" s="63">
        <f t="shared" ca="1" si="17"/>
        <v>50.682396168832653</v>
      </c>
      <c r="AH128" s="63">
        <f t="shared" ca="1" si="18"/>
        <v>50.682396168832653</v>
      </c>
      <c r="AI128" s="3">
        <f t="shared" ca="1" si="19"/>
        <v>0</v>
      </c>
    </row>
    <row r="129" spans="7:35">
      <c r="G129" s="3">
        <f t="shared" ca="1" si="14"/>
        <v>2</v>
      </c>
      <c r="H129" s="95">
        <f t="shared" ca="1" si="16"/>
        <v>45292</v>
      </c>
      <c r="I129" s="119">
        <f ca="1">HLOOKUP($H$5,'Met Data'!$A$2:$F$368,G129,FALSE)</f>
        <v>16.179411764705801</v>
      </c>
      <c r="J129" s="119">
        <f ca="1">HLOOKUP($H$5,'Met Data'!$H$2:$M$368,G129,FALSE)*L129</f>
        <v>0.69411764705882295</v>
      </c>
      <c r="K129" s="96">
        <f ca="1">HLOOKUP($H$5,'Met Data'!$O$2:$T$368,G129,FALSE)</f>
        <v>5.6670911405215199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45338</v>
      </c>
      <c r="Q129">
        <f ca="1"/>
        <v>46.987763555615366</v>
      </c>
      <c r="R129">
        <f ca="1"/>
        <v>2.0522402261707384</v>
      </c>
      <c r="S129">
        <f ca="1"/>
        <v>7.324921011351293E-3</v>
      </c>
      <c r="T129">
        <f ca="1"/>
        <v>0.36492481891442069</v>
      </c>
      <c r="U129">
        <f ca="1"/>
        <v>0</v>
      </c>
      <c r="V129">
        <f ca="1"/>
        <v>144.59989735900632</v>
      </c>
      <c r="W129">
        <f ca="1"/>
        <v>123.57153421197887</v>
      </c>
      <c r="X129">
        <f ca="1"/>
        <v>0</v>
      </c>
      <c r="Y129">
        <f ca="1"/>
        <v>0.27555155077219634</v>
      </c>
      <c r="Z129">
        <f ca="1"/>
        <v>0</v>
      </c>
      <c r="AA129">
        <f ca="1"/>
        <v>0</v>
      </c>
      <c r="AB129">
        <f ca="1"/>
        <v>0.99999999998934741</v>
      </c>
      <c r="AD129" s="2">
        <f t="shared" ca="1" si="12"/>
        <v>45338</v>
      </c>
      <c r="AE129">
        <f t="shared" ca="1" si="13"/>
        <v>0</v>
      </c>
      <c r="AG129" s="63">
        <f t="shared" ca="1" si="17"/>
        <v>49.040003781786105</v>
      </c>
      <c r="AH129" s="63">
        <f t="shared" ca="1" si="18"/>
        <v>49.040003781786105</v>
      </c>
      <c r="AI129" s="3">
        <f t="shared" ca="1" si="19"/>
        <v>0</v>
      </c>
    </row>
    <row r="130" spans="7:35">
      <c r="G130" s="3">
        <f t="shared" ca="1" si="14"/>
        <v>3</v>
      </c>
      <c r="H130" s="95">
        <f t="shared" ca="1" si="16"/>
        <v>45293</v>
      </c>
      <c r="I130" s="119">
        <f ca="1">HLOOKUP($H$5,'Met Data'!$A$2:$F$368,G130,FALSE)</f>
        <v>17.160294117646998</v>
      </c>
      <c r="J130" s="119">
        <f ca="1">HLOOKUP($H$5,'Met Data'!$H$2:$M$368,G130,FALSE)*L130</f>
        <v>1.5735294117647001</v>
      </c>
      <c r="K130" s="96">
        <f ca="1">HLOOKUP($H$5,'Met Data'!$O$2:$T$368,G130,FALSE)</f>
        <v>5.47016136211003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45339</v>
      </c>
      <c r="Q130">
        <f ca="1"/>
        <v>45.2397124786986</v>
      </c>
      <c r="R130">
        <f ca="1"/>
        <v>2.1537761519078913</v>
      </c>
      <c r="S130">
        <f ca="1"/>
        <v>8.0476706942835818E-3</v>
      </c>
      <c r="T130">
        <f ca="1"/>
        <v>0.39767740429684456</v>
      </c>
      <c r="U130">
        <f ca="1"/>
        <v>0</v>
      </c>
      <c r="V130">
        <f ca="1"/>
        <v>146.75367351091421</v>
      </c>
      <c r="W130">
        <f ca="1"/>
        <v>125.41209861279344</v>
      </c>
      <c r="X130">
        <f ca="1"/>
        <v>0</v>
      </c>
      <c r="Y130">
        <f ca="1"/>
        <v>0.27354105800416689</v>
      </c>
      <c r="Z130">
        <f ca="1"/>
        <v>0</v>
      </c>
      <c r="AA130">
        <f ca="1"/>
        <v>0</v>
      </c>
      <c r="AB130">
        <f ca="1"/>
        <v>0.99999999999220557</v>
      </c>
      <c r="AD130" s="2">
        <f t="shared" ca="1" si="12"/>
        <v>45339</v>
      </c>
      <c r="AE130">
        <f t="shared" ca="1" si="13"/>
        <v>0</v>
      </c>
      <c r="AG130" s="63">
        <f t="shared" ca="1" si="17"/>
        <v>47.393488630606491</v>
      </c>
      <c r="AH130" s="63">
        <f t="shared" ca="1" si="18"/>
        <v>47.393488630606491</v>
      </c>
      <c r="AI130" s="3">
        <f t="shared" ca="1" si="19"/>
        <v>0</v>
      </c>
    </row>
    <row r="131" spans="7:35">
      <c r="G131" s="3">
        <f t="shared" ca="1" si="14"/>
        <v>4</v>
      </c>
      <c r="H131" s="95">
        <f t="shared" ca="1" si="16"/>
        <v>45294</v>
      </c>
      <c r="I131" s="119">
        <f ca="1">HLOOKUP($H$5,'Met Data'!$A$2:$F$368,G131,FALSE)</f>
        <v>16.8117647058823</v>
      </c>
      <c r="J131" s="119">
        <f ca="1">HLOOKUP($H$5,'Met Data'!$H$2:$M$368,G131,FALSE)*L131</f>
        <v>2.3529411764705799</v>
      </c>
      <c r="K131" s="96">
        <f ca="1">HLOOKUP($H$5,'Met Data'!$O$2:$T$368,G131,FALSE)</f>
        <v>5.5060411752421698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45340</v>
      </c>
      <c r="Q131">
        <f ca="1"/>
        <v>43.505204389623408</v>
      </c>
      <c r="R131">
        <f ca="1"/>
        <v>2.1597709366033939</v>
      </c>
      <c r="S131">
        <f ca="1"/>
        <v>8.8689807526005637E-3</v>
      </c>
      <c r="T131">
        <f ca="1"/>
        <v>0.41639386677560236</v>
      </c>
      <c r="U131">
        <f ca="1"/>
        <v>0</v>
      </c>
      <c r="V131">
        <f ca="1"/>
        <v>148.91344444751761</v>
      </c>
      <c r="W131">
        <f ca="1"/>
        <v>127.2577860099284</v>
      </c>
      <c r="X131">
        <f ca="1"/>
        <v>0</v>
      </c>
      <c r="Y131">
        <f ca="1"/>
        <v>0.28600176701842461</v>
      </c>
      <c r="Z131">
        <f ca="1"/>
        <v>0</v>
      </c>
      <c r="AA131">
        <f ca="1"/>
        <v>0</v>
      </c>
      <c r="AB131">
        <f ca="1"/>
        <v>0.99999999999433986</v>
      </c>
      <c r="AD131" s="2">
        <f t="shared" ca="1" si="12"/>
        <v>45340</v>
      </c>
      <c r="AE131">
        <f t="shared" ca="1" si="13"/>
        <v>0</v>
      </c>
      <c r="AG131" s="63">
        <f t="shared" ca="1" si="17"/>
        <v>45.664975326226802</v>
      </c>
      <c r="AH131" s="63">
        <f t="shared" ca="1" si="18"/>
        <v>45.664975326226802</v>
      </c>
      <c r="AI131" s="3">
        <f t="shared" ca="1" si="19"/>
        <v>0</v>
      </c>
    </row>
    <row r="132" spans="7:35">
      <c r="G132" s="3">
        <f t="shared" ca="1" si="14"/>
        <v>5</v>
      </c>
      <c r="H132" s="95">
        <f t="shared" ca="1" si="16"/>
        <v>45295</v>
      </c>
      <c r="I132" s="119">
        <f ca="1">HLOOKUP($H$5,'Met Data'!$A$2:$F$368,G132,FALSE)</f>
        <v>15.772058823529401</v>
      </c>
      <c r="J132" s="119">
        <f ca="1">HLOOKUP($H$5,'Met Data'!$H$2:$M$368,G132,FALSE)*L132</f>
        <v>1.96470588235294</v>
      </c>
      <c r="K132" s="96">
        <f ca="1">HLOOKUP($H$5,'Met Data'!$O$2:$T$368,G132,FALSE)</f>
        <v>4.9972624433289496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45341</v>
      </c>
      <c r="Q132">
        <f ca="1"/>
        <v>41.861493032888667</v>
      </c>
      <c r="R132">
        <f ca="1"/>
        <v>2.042682036313721</v>
      </c>
      <c r="S132">
        <f ca="1"/>
        <v>8.1980763544438062E-3</v>
      </c>
      <c r="T132">
        <f ca="1"/>
        <v>0.39077260322453217</v>
      </c>
      <c r="U132">
        <f ca="1"/>
        <v>0</v>
      </c>
      <c r="V132">
        <f ca="1"/>
        <v>150.95612648383133</v>
      </c>
      <c r="W132">
        <f ca="1"/>
        <v>129.00341209780757</v>
      </c>
      <c r="X132">
        <f ca="1"/>
        <v>0</v>
      </c>
      <c r="Y132">
        <f ca="1"/>
        <v>0.26927522866071268</v>
      </c>
      <c r="Z132">
        <f ca="1"/>
        <v>0</v>
      </c>
      <c r="AA132">
        <f ca="1"/>
        <v>0</v>
      </c>
      <c r="AB132">
        <f ca="1"/>
        <v>0.99999999999584621</v>
      </c>
      <c r="AD132" s="2">
        <f t="shared" ca="1" si="12"/>
        <v>45341</v>
      </c>
      <c r="AE132">
        <f t="shared" ca="1" si="13"/>
        <v>0</v>
      </c>
      <c r="AG132" s="63">
        <f t="shared" ca="1" si="17"/>
        <v>43.904175069202388</v>
      </c>
      <c r="AH132" s="63">
        <f t="shared" ca="1" si="18"/>
        <v>43.904175069202388</v>
      </c>
      <c r="AI132" s="3">
        <f t="shared" ca="1" si="19"/>
        <v>0</v>
      </c>
    </row>
    <row r="133" spans="7:35">
      <c r="G133" s="3">
        <f t="shared" ca="1" si="14"/>
        <v>6</v>
      </c>
      <c r="H133" s="95">
        <f t="shared" ca="1" si="16"/>
        <v>45296</v>
      </c>
      <c r="I133" s="119">
        <f ca="1">HLOOKUP($H$5,'Met Data'!$A$2:$F$368,G133,FALSE)</f>
        <v>16.045588235294101</v>
      </c>
      <c r="J133" s="119">
        <f ca="1">HLOOKUP($H$5,'Met Data'!$H$2:$M$368,G133,FALSE)*L133</f>
        <v>1.5588235294117601</v>
      </c>
      <c r="K133" s="96">
        <f ca="1">HLOOKUP($H$5,'Met Data'!$O$2:$T$368,G133,FALSE)</f>
        <v>5.1481016165606404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45342</v>
      </c>
      <c r="Q133">
        <f ca="1"/>
        <v>40.302114698795506</v>
      </c>
      <c r="R133">
        <f ca="1"/>
        <v>1.9578057195896577</v>
      </c>
      <c r="S133">
        <f ca="1"/>
        <v>8.7977828144749637E-3</v>
      </c>
      <c r="T133">
        <f ca="1"/>
        <v>0.38962960268202407</v>
      </c>
      <c r="U133">
        <f ca="1"/>
        <v>0</v>
      </c>
      <c r="V133">
        <f ca="1"/>
        <v>152.91393220342098</v>
      </c>
      <c r="W133">
        <f ca="1"/>
        <v>130.67650496216854</v>
      </c>
      <c r="X133">
        <f ca="1"/>
        <v>0</v>
      </c>
      <c r="Y133">
        <f ca="1"/>
        <v>0.28995119163334998</v>
      </c>
      <c r="Z133">
        <f ca="1"/>
        <v>0</v>
      </c>
      <c r="AA133">
        <f ca="1"/>
        <v>0</v>
      </c>
      <c r="AB133">
        <f ca="1"/>
        <v>0.9999999999969329</v>
      </c>
      <c r="AD133" s="2">
        <f t="shared" ca="1" si="12"/>
        <v>45342</v>
      </c>
      <c r="AE133">
        <f t="shared" ca="1" si="13"/>
        <v>0</v>
      </c>
      <c r="AG133" s="63">
        <f t="shared" ca="1" si="17"/>
        <v>42.259920418385164</v>
      </c>
      <c r="AH133" s="63">
        <f t="shared" ca="1" si="18"/>
        <v>42.259920418385164</v>
      </c>
      <c r="AI133" s="3">
        <f t="shared" ca="1" si="19"/>
        <v>0</v>
      </c>
    </row>
    <row r="134" spans="7:35">
      <c r="G134" s="3">
        <f t="shared" ca="1" si="14"/>
        <v>7</v>
      </c>
      <c r="H134" s="95">
        <f t="shared" ca="1" si="16"/>
        <v>45297</v>
      </c>
      <c r="I134" s="119">
        <f ca="1">HLOOKUP($H$5,'Met Data'!$A$2:$F$368,G134,FALSE)</f>
        <v>16.1955882352941</v>
      </c>
      <c r="J134" s="119">
        <f ca="1">HLOOKUP($H$5,'Met Data'!$H$2:$M$368,G134,FALSE)*L134</f>
        <v>0.438235294117647</v>
      </c>
      <c r="K134" s="96">
        <f ca="1">HLOOKUP($H$5,'Met Data'!$O$2:$T$368,G134,FALSE)</f>
        <v>5.1335474577147604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45343</v>
      </c>
      <c r="Q134">
        <f ca="1"/>
        <v>38.777595554191059</v>
      </c>
      <c r="R134">
        <f ca="1"/>
        <v>1.9173976733416112</v>
      </c>
      <c r="S134">
        <f ca="1"/>
        <v>8.5275648898708312E-3</v>
      </c>
      <c r="T134">
        <f ca="1"/>
        <v>0.3843509638472869</v>
      </c>
      <c r="U134">
        <f ca="1"/>
        <v>0</v>
      </c>
      <c r="V134">
        <f ca="1"/>
        <v>154.8313298767626</v>
      </c>
      <c r="W134">
        <f ca="1"/>
        <v>132.31506609891022</v>
      </c>
      <c r="X134">
        <f ca="1"/>
        <v>0</v>
      </c>
      <c r="Y134">
        <f ca="1"/>
        <v>0.27511729251353367</v>
      </c>
      <c r="Z134">
        <f ca="1"/>
        <v>0</v>
      </c>
      <c r="AA134">
        <f ca="1"/>
        <v>0</v>
      </c>
      <c r="AB134">
        <f ca="1"/>
        <v>0.99999999999773692</v>
      </c>
      <c r="AD134" s="2">
        <f t="shared" ca="1" si="12"/>
        <v>45343</v>
      </c>
      <c r="AE134">
        <f t="shared" ca="1" si="13"/>
        <v>0</v>
      </c>
      <c r="AG134" s="63">
        <f t="shared" ca="1" si="17"/>
        <v>40.69499322753267</v>
      </c>
      <c r="AH134" s="63">
        <f t="shared" ca="1" si="18"/>
        <v>40.69499322753267</v>
      </c>
      <c r="AI134" s="3">
        <f t="shared" ca="1" si="19"/>
        <v>0</v>
      </c>
    </row>
    <row r="135" spans="7:35">
      <c r="G135" s="3">
        <f t="shared" ca="1" si="14"/>
        <v>8</v>
      </c>
      <c r="H135" s="95">
        <f t="shared" ca="1" si="16"/>
        <v>45298</v>
      </c>
      <c r="I135" s="119">
        <f ca="1">HLOOKUP($H$5,'Met Data'!$A$2:$F$368,G135,FALSE)</f>
        <v>17.395588235294099</v>
      </c>
      <c r="J135" s="119">
        <f ca="1">HLOOKUP($H$5,'Met Data'!$H$2:$M$368,G135,FALSE)*L135</f>
        <v>0.92647058823529405</v>
      </c>
      <c r="K135" s="96">
        <f ca="1">HLOOKUP($H$5,'Met Data'!$O$2:$T$368,G135,FALSE)</f>
        <v>5.4532643793489903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45344</v>
      </c>
      <c r="Q135">
        <f ca="1"/>
        <v>37.323521794547538</v>
      </c>
      <c r="R135">
        <f ca="1"/>
        <v>1.8382322579488175</v>
      </c>
      <c r="S135">
        <f ca="1"/>
        <v>8.5158696737428485E-3</v>
      </c>
      <c r="T135">
        <f ca="1"/>
        <v>0.37564262863155307</v>
      </c>
      <c r="U135">
        <f ca="1"/>
        <v>0</v>
      </c>
      <c r="V135">
        <f ca="1"/>
        <v>156.66956213471141</v>
      </c>
      <c r="W135">
        <f ca="1"/>
        <v>133.88597440867699</v>
      </c>
      <c r="X135">
        <f ca="1"/>
        <v>0</v>
      </c>
      <c r="Y135">
        <f ca="1"/>
        <v>0.27587353711835166</v>
      </c>
      <c r="Z135">
        <f ca="1"/>
        <v>0</v>
      </c>
      <c r="AA135">
        <f ca="1"/>
        <v>0</v>
      </c>
      <c r="AB135">
        <f ca="1"/>
        <v>0.9999999999983209</v>
      </c>
      <c r="AD135" s="2">
        <f t="shared" ref="AD135:AD198" ca="1" si="22">IFERROR(P135,$AD$5)</f>
        <v>45344</v>
      </c>
      <c r="AE135">
        <f t="shared" ref="AE135:AE198" ca="1" si="23">IFERROR(U135,0)</f>
        <v>0</v>
      </c>
      <c r="AG135" s="63">
        <f t="shared" ca="1" si="17"/>
        <v>39.161754052496356</v>
      </c>
      <c r="AH135" s="63">
        <f t="shared" ca="1" si="18"/>
        <v>39.161754052496356</v>
      </c>
      <c r="AI135" s="3">
        <f t="shared" ca="1" si="19"/>
        <v>0</v>
      </c>
    </row>
    <row r="136" spans="7:35">
      <c r="G136" s="3">
        <f t="shared" ref="G136:G199" ca="1" si="24">H136-DATE(YEAR(H136),1,0)+1</f>
        <v>9</v>
      </c>
      <c r="H136" s="95">
        <f t="shared" ca="1" si="16"/>
        <v>45299</v>
      </c>
      <c r="I136" s="119">
        <f ca="1">HLOOKUP($H$5,'Met Data'!$A$2:$F$368,G136,FALSE)</f>
        <v>17.102249134948</v>
      </c>
      <c r="J136" s="119">
        <f ca="1">HLOOKUP($H$5,'Met Data'!$H$2:$M$368,G136,FALSE)*L136</f>
        <v>2.3176470588235198</v>
      </c>
      <c r="K136" s="96">
        <f ca="1">HLOOKUP($H$5,'Met Data'!$O$2:$T$368,G136,FALSE)</f>
        <v>5.57690448669634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45345</v>
      </c>
      <c r="Q136">
        <f ca="1"/>
        <v>35.940477937434245</v>
      </c>
      <c r="R136">
        <f ca="1"/>
        <v>1.760549204028024</v>
      </c>
      <c r="S136">
        <f ca="1"/>
        <v>8.635997707323817E-3</v>
      </c>
      <c r="T136">
        <f ca="1"/>
        <v>0.36886934920740738</v>
      </c>
      <c r="U136">
        <f ca="1"/>
        <v>0</v>
      </c>
      <c r="V136">
        <f ca="1"/>
        <v>158.43011133873944</v>
      </c>
      <c r="W136">
        <f ca="1"/>
        <v>135.39049668131241</v>
      </c>
      <c r="X136">
        <f ca="1"/>
        <v>0</v>
      </c>
      <c r="Y136">
        <f ca="1"/>
        <v>0.2813471855851406</v>
      </c>
      <c r="Z136">
        <f ca="1"/>
        <v>0</v>
      </c>
      <c r="AA136">
        <f ca="1"/>
        <v>0</v>
      </c>
      <c r="AB136">
        <f ca="1"/>
        <v>0.99999999999874745</v>
      </c>
      <c r="AD136" s="2">
        <f t="shared" ca="1" si="22"/>
        <v>45345</v>
      </c>
      <c r="AE136">
        <f t="shared" ca="1" si="23"/>
        <v>0</v>
      </c>
      <c r="AG136" s="63">
        <f t="shared" ca="1" si="17"/>
        <v>37.701027141462269</v>
      </c>
      <c r="AH136" s="63">
        <f t="shared" ca="1" si="18"/>
        <v>37.701027141462269</v>
      </c>
      <c r="AI136" s="3">
        <f t="shared" ca="1" si="19"/>
        <v>0</v>
      </c>
    </row>
    <row r="137" spans="7:35">
      <c r="G137" s="3">
        <f t="shared" ca="1" si="24"/>
        <v>10</v>
      </c>
      <c r="H137" s="95">
        <f t="shared" ref="H137:H200" ca="1" si="26">H136+1</f>
        <v>45300</v>
      </c>
      <c r="I137" s="119">
        <f ca="1">HLOOKUP($H$5,'Met Data'!$A$2:$F$368,G137,FALSE)</f>
        <v>16.213235294117599</v>
      </c>
      <c r="J137" s="119">
        <f ca="1">HLOOKUP($H$5,'Met Data'!$H$2:$M$368,G137,FALSE)*L137</f>
        <v>0.90882352941176403</v>
      </c>
      <c r="K137" s="96">
        <f ca="1">HLOOKUP($H$5,'Met Data'!$O$2:$T$368,G137,FALSE)</f>
        <v>5.14581424029529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45346</v>
      </c>
      <c r="Q137">
        <f ca="1"/>
        <v>34.550438669767047</v>
      </c>
      <c r="R137">
        <f ca="1"/>
        <v>1.7903331932938329</v>
      </c>
      <c r="S137">
        <f ca="1"/>
        <v>9.2955193133006375E-3</v>
      </c>
      <c r="T137">
        <f ca="1"/>
        <v>0.39099840631333649</v>
      </c>
      <c r="U137">
        <f ca="1"/>
        <v>0</v>
      </c>
      <c r="V137">
        <f ca="1"/>
        <v>160.22044453203327</v>
      </c>
      <c r="W137">
        <f ca="1"/>
        <v>136.9204716224196</v>
      </c>
      <c r="X137">
        <f ca="1"/>
        <v>0</v>
      </c>
      <c r="Y137">
        <f ca="1"/>
        <v>0.284312684891527</v>
      </c>
      <c r="Z137">
        <f ca="1"/>
        <v>0</v>
      </c>
      <c r="AA137">
        <f ca="1"/>
        <v>0</v>
      </c>
      <c r="AB137">
        <f ca="1"/>
        <v>0.99999999999907718</v>
      </c>
      <c r="AD137" s="2">
        <f t="shared" ca="1" si="22"/>
        <v>45346</v>
      </c>
      <c r="AE137">
        <f t="shared" ca="1" si="23"/>
        <v>0</v>
      </c>
      <c r="AG137" s="63">
        <f t="shared" ref="AG137:AG200" ca="1" si="27">Q136+S137+T137+U137</f>
        <v>36.34077186306088</v>
      </c>
      <c r="AH137" s="63">
        <f t="shared" ref="AH137:AH200" ca="1" si="28">Q137+R137+X137</f>
        <v>36.34077186306088</v>
      </c>
      <c r="AI137" s="3">
        <f t="shared" ref="AI137:AI200" ca="1" si="29">AH137-AG137</f>
        <v>0</v>
      </c>
    </row>
    <row r="138" spans="7:35">
      <c r="G138" s="3">
        <f t="shared" ca="1" si="24"/>
        <v>11</v>
      </c>
      <c r="H138" s="95">
        <f t="shared" ca="1" si="26"/>
        <v>45301</v>
      </c>
      <c r="I138" s="119">
        <f ca="1">HLOOKUP($H$5,'Met Data'!$A$2:$F$368,G138,FALSE)</f>
        <v>15.8947058823529</v>
      </c>
      <c r="J138" s="119">
        <f ca="1">HLOOKUP($H$5,'Met Data'!$H$2:$M$368,G138,FALSE)*L138</f>
        <v>2.69999999999999</v>
      </c>
      <c r="K138" s="96">
        <f ca="1">HLOOKUP($H$5,'Met Data'!$O$2:$T$368,G138,FALSE)</f>
        <v>4.7411675639454902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45347</v>
      </c>
      <c r="Q138">
        <f ca="1"/>
        <v>33.242655293168085</v>
      </c>
      <c r="R138">
        <f ca="1"/>
        <v>1.6821836026527137</v>
      </c>
      <c r="S138">
        <f ca="1"/>
        <v>8.4903581629323099E-3</v>
      </c>
      <c r="T138">
        <f ca="1"/>
        <v>0.36590986789082397</v>
      </c>
      <c r="U138">
        <f ca="1"/>
        <v>0</v>
      </c>
      <c r="V138">
        <f ca="1"/>
        <v>161.90262813468598</v>
      </c>
      <c r="W138">
        <f ca="1"/>
        <v>138.35802456956961</v>
      </c>
      <c r="X138">
        <f ca="1"/>
        <v>0</v>
      </c>
      <c r="Y138">
        <f ca="1"/>
        <v>0.26688359505159559</v>
      </c>
      <c r="Z138">
        <f ca="1"/>
        <v>0</v>
      </c>
      <c r="AA138">
        <f ca="1"/>
        <v>0</v>
      </c>
      <c r="AB138">
        <f ca="1"/>
        <v>0.99999999999931277</v>
      </c>
      <c r="AD138" s="2">
        <f t="shared" ca="1" si="22"/>
        <v>45347</v>
      </c>
      <c r="AE138">
        <f t="shared" ca="1" si="23"/>
        <v>0</v>
      </c>
      <c r="AG138" s="63">
        <f t="shared" ca="1" si="27"/>
        <v>34.924838895820798</v>
      </c>
      <c r="AH138" s="63">
        <f t="shared" ca="1" si="28"/>
        <v>34.924838895820798</v>
      </c>
      <c r="AI138" s="3">
        <f t="shared" ca="1" si="29"/>
        <v>0</v>
      </c>
    </row>
    <row r="139" spans="7:35">
      <c r="G139" s="3">
        <f t="shared" ca="1" si="24"/>
        <v>12</v>
      </c>
      <c r="H139" s="95">
        <f t="shared" ca="1" si="26"/>
        <v>45302</v>
      </c>
      <c r="I139" s="119">
        <f ca="1">HLOOKUP($H$5,'Met Data'!$A$2:$F$368,G139,FALSE)</f>
        <v>16.250588235294099</v>
      </c>
      <c r="J139" s="119">
        <f ca="1">HLOOKUP($H$5,'Met Data'!$H$2:$M$368,G139,FALSE)*L139</f>
        <v>2.3529411764705799</v>
      </c>
      <c r="K139" s="96">
        <f ca="1">HLOOKUP($H$5,'Met Data'!$O$2:$T$368,G139,FALSE)</f>
        <v>4.6490051927409599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45348</v>
      </c>
      <c r="Q139">
        <f ca="1"/>
        <v>31.982945918159636</v>
      </c>
      <c r="R139">
        <f ca="1"/>
        <v>1.6383733247609769</v>
      </c>
      <c r="S139">
        <f ca="1"/>
        <v>8.8926898192616122E-3</v>
      </c>
      <c r="T139">
        <f ca="1"/>
        <v>0.36977125993326715</v>
      </c>
      <c r="U139">
        <f ca="1"/>
        <v>0</v>
      </c>
      <c r="V139">
        <f ca="1"/>
        <v>163.54100145944696</v>
      </c>
      <c r="W139">
        <f ca="1"/>
        <v>139.75813832518344</v>
      </c>
      <c r="X139">
        <f ca="1"/>
        <v>0</v>
      </c>
      <c r="Y139">
        <f ca="1"/>
        <v>0.27599770468222729</v>
      </c>
      <c r="Z139">
        <f ca="1"/>
        <v>0</v>
      </c>
      <c r="AA139">
        <f ca="1"/>
        <v>0</v>
      </c>
      <c r="AB139">
        <f ca="1"/>
        <v>0.99999999999948819</v>
      </c>
      <c r="AD139" s="2">
        <f t="shared" ca="1" si="22"/>
        <v>45348</v>
      </c>
      <c r="AE139">
        <f t="shared" ca="1" si="23"/>
        <v>0</v>
      </c>
      <c r="AG139" s="63">
        <f t="shared" ca="1" si="27"/>
        <v>33.621319242920613</v>
      </c>
      <c r="AH139" s="63">
        <f t="shared" ca="1" si="28"/>
        <v>33.621319242920613</v>
      </c>
      <c r="AI139" s="3">
        <f t="shared" ca="1" si="29"/>
        <v>0</v>
      </c>
    </row>
    <row r="140" spans="7:35">
      <c r="G140" s="3">
        <f t="shared" ca="1" si="24"/>
        <v>13</v>
      </c>
      <c r="H140" s="95">
        <f t="shared" ca="1" si="26"/>
        <v>45303</v>
      </c>
      <c r="I140" s="119">
        <f ca="1">HLOOKUP($H$5,'Met Data'!$A$2:$F$368,G140,FALSE)</f>
        <v>16.662352941176401</v>
      </c>
      <c r="J140" s="119">
        <f ca="1">HLOOKUP($H$5,'Met Data'!$H$2:$M$368,G140,FALSE)*L140</f>
        <v>2.74705882352941</v>
      </c>
      <c r="K140" s="96">
        <f ca="1">HLOOKUP($H$5,'Met Data'!$O$2:$T$368,G140,FALSE)</f>
        <v>4.8719680350014798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45349</v>
      </c>
      <c r="Q140">
        <f ca="1"/>
        <v>30.764003015817558</v>
      </c>
      <c r="R140">
        <f ca="1"/>
        <v>1.5954993423347048</v>
      </c>
      <c r="S140">
        <f ca="1"/>
        <v>8.8116794766257556E-3</v>
      </c>
      <c r="T140">
        <f ca="1"/>
        <v>0.36774476051600047</v>
      </c>
      <c r="U140">
        <f ca="1"/>
        <v>0</v>
      </c>
      <c r="V140">
        <f ca="1"/>
        <v>165.13650080178166</v>
      </c>
      <c r="W140">
        <f ca="1"/>
        <v>141.12161302445662</v>
      </c>
      <c r="X140">
        <f ca="1"/>
        <v>0</v>
      </c>
      <c r="Y140">
        <f ca="1"/>
        <v>0.27002102789591359</v>
      </c>
      <c r="Z140">
        <f ca="1"/>
        <v>0</v>
      </c>
      <c r="AA140">
        <f ca="1"/>
        <v>0</v>
      </c>
      <c r="AB140">
        <f ca="1"/>
        <v>0.99999999999961897</v>
      </c>
      <c r="AD140" s="2">
        <f t="shared" ca="1" si="22"/>
        <v>45349</v>
      </c>
      <c r="AE140">
        <f t="shared" ca="1" si="23"/>
        <v>0</v>
      </c>
      <c r="AG140" s="63">
        <f t="shared" ca="1" si="27"/>
        <v>32.359502358152263</v>
      </c>
      <c r="AH140" s="63">
        <f t="shared" ca="1" si="28"/>
        <v>32.359502358152263</v>
      </c>
      <c r="AI140" s="3">
        <f t="shared" ca="1" si="29"/>
        <v>0</v>
      </c>
    </row>
    <row r="141" spans="7:35">
      <c r="G141" s="3">
        <f t="shared" ca="1" si="24"/>
        <v>14</v>
      </c>
      <c r="H141" s="95">
        <f t="shared" ca="1" si="26"/>
        <v>45304</v>
      </c>
      <c r="I141" s="119">
        <f ca="1">HLOOKUP($H$5,'Met Data'!$A$2:$F$368,G141,FALSE)</f>
        <v>16.830882352941099</v>
      </c>
      <c r="J141" s="119">
        <f ca="1">HLOOKUP($H$5,'Met Data'!$H$2:$M$368,G141,FALSE)*L141</f>
        <v>1.29411764705882</v>
      </c>
      <c r="K141" s="96">
        <f ca="1">HLOOKUP($H$5,'Met Data'!$O$2:$T$368,G141,FALSE)</f>
        <v>5.1562686308583903</v>
      </c>
      <c r="L141">
        <f t="shared" ca="1" si="20"/>
        <v>1</v>
      </c>
      <c r="N141" t="b">
        <f t="shared" ca="1" si="25"/>
        <v>0</v>
      </c>
      <c r="O141" t="b">
        <f t="shared" ca="1" si="21"/>
        <v>1</v>
      </c>
      <c r="P141" s="2">
        <f ca="1"/>
        <v>45350</v>
      </c>
      <c r="Q141">
        <f ca="1"/>
        <v>29.597110408477437</v>
      </c>
      <c r="R141">
        <f ca="1"/>
        <v>1.5385623246054934</v>
      </c>
      <c r="S141">
        <f ca="1"/>
        <v>8.7506502771166339E-3</v>
      </c>
      <c r="T141">
        <f ca="1"/>
        <v>0.36291906698825949</v>
      </c>
      <c r="U141">
        <f ca="1"/>
        <v>0</v>
      </c>
      <c r="V141">
        <f ca="1"/>
        <v>166.67506312638716</v>
      </c>
      <c r="W141">
        <f ca="1"/>
        <v>142.43643074151365</v>
      </c>
      <c r="X141">
        <f ca="1"/>
        <v>0</v>
      </c>
      <c r="Y141">
        <f ca="1"/>
        <v>0.26774659395163214</v>
      </c>
      <c r="Z141">
        <f ca="1"/>
        <v>0</v>
      </c>
      <c r="AA141">
        <f ca="1"/>
        <v>0</v>
      </c>
      <c r="AB141">
        <f ca="1"/>
        <v>0.99999999999971578</v>
      </c>
      <c r="AD141" s="2">
        <f t="shared" ca="1" si="22"/>
        <v>45350</v>
      </c>
      <c r="AE141">
        <f t="shared" ca="1" si="23"/>
        <v>0</v>
      </c>
      <c r="AG141" s="63">
        <f t="shared" ca="1" si="27"/>
        <v>31.135672733082931</v>
      </c>
      <c r="AH141" s="63">
        <f t="shared" ca="1" si="28"/>
        <v>31.135672733082931</v>
      </c>
      <c r="AI141" s="3">
        <f t="shared" ca="1" si="29"/>
        <v>0</v>
      </c>
    </row>
    <row r="142" spans="7:35">
      <c r="G142" s="3">
        <f t="shared" ca="1" si="24"/>
        <v>15</v>
      </c>
      <c r="H142" s="95">
        <f t="shared" ca="1" si="26"/>
        <v>45305</v>
      </c>
      <c r="I142" s="119">
        <f ca="1">HLOOKUP($H$5,'Met Data'!$A$2:$F$368,G142,FALSE)</f>
        <v>16.835294117646999</v>
      </c>
      <c r="J142" s="119">
        <f ca="1">HLOOKUP($H$5,'Met Data'!$H$2:$M$368,G142,FALSE)*L142</f>
        <v>0.93823529411764695</v>
      </c>
      <c r="K142" s="96">
        <f ca="1">HLOOKUP($H$5,'Met Data'!$O$2:$T$368,G142,FALSE)</f>
        <v>5.3875143634853799</v>
      </c>
      <c r="L142">
        <f t="shared" ca="1" si="20"/>
        <v>1</v>
      </c>
      <c r="N142" t="b">
        <f t="shared" ca="1" si="25"/>
        <v>0</v>
      </c>
      <c r="O142" t="b">
        <f t="shared" ca="1" si="21"/>
        <v>0</v>
      </c>
      <c r="P142" s="2">
        <f ca="1"/>
        <v>45351</v>
      </c>
      <c r="Q142">
        <f ca="1"/>
        <v>29.557779306171948</v>
      </c>
      <c r="R142">
        <f ca="1"/>
        <v>0</v>
      </c>
      <c r="S142">
        <f ca="1"/>
        <v>-0.40244834888033587</v>
      </c>
      <c r="T142">
        <f ca="1"/>
        <v>0.36311724657484895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0.25444843780922433</v>
      </c>
      <c r="Z142">
        <f ca="1"/>
        <v>0</v>
      </c>
      <c r="AA142">
        <f ca="1"/>
        <v>0</v>
      </c>
      <c r="AB142">
        <f ca="1"/>
        <v>0</v>
      </c>
      <c r="AD142" s="2">
        <f t="shared" ca="1" si="22"/>
        <v>45351</v>
      </c>
      <c r="AE142">
        <f t="shared" ca="1" si="23"/>
        <v>0</v>
      </c>
      <c r="AG142" s="63">
        <f t="shared" ca="1" si="27"/>
        <v>29.557779306171948</v>
      </c>
      <c r="AH142" s="63">
        <f t="shared" ca="1" si="28"/>
        <v>29.557779306171948</v>
      </c>
      <c r="AI142" s="3">
        <f t="shared" ca="1" si="29"/>
        <v>0</v>
      </c>
    </row>
    <row r="143" spans="7:35">
      <c r="G143" s="3">
        <f t="shared" ca="1" si="24"/>
        <v>16</v>
      </c>
      <c r="H143" s="95">
        <f t="shared" ca="1" si="26"/>
        <v>45306</v>
      </c>
      <c r="I143" s="119">
        <f ca="1">HLOOKUP($H$5,'Met Data'!$A$2:$F$368,G143,FALSE)</f>
        <v>17.335294117646999</v>
      </c>
      <c r="J143" s="119">
        <f ca="1">HLOOKUP($H$5,'Met Data'!$H$2:$M$368,G143,FALSE)*L143</f>
        <v>1.0911764705882301</v>
      </c>
      <c r="K143" s="96">
        <f ca="1">HLOOKUP($H$5,'Met Data'!$O$2:$T$368,G143,FALSE)</f>
        <v>5.8399033494252999</v>
      </c>
      <c r="L143">
        <f t="shared" ca="1" si="20"/>
        <v>1</v>
      </c>
      <c r="N143" t="b">
        <f t="shared" ca="1" si="25"/>
        <v>0</v>
      </c>
      <c r="O143" t="b">
        <f t="shared" ca="1" si="21"/>
        <v>0</v>
      </c>
      <c r="P143" s="2">
        <f ca="1"/>
        <v>45352</v>
      </c>
      <c r="Q143">
        <f ca="1"/>
        <v>29.518478935316686</v>
      </c>
      <c r="R143">
        <f ca="1"/>
        <v>0</v>
      </c>
      <c r="S143">
        <f ca="1"/>
        <v>-0.39802741842529166</v>
      </c>
      <c r="T143">
        <f ca="1"/>
        <v>0.3587270475700266</v>
      </c>
      <c r="U143">
        <f ca="1"/>
        <v>0</v>
      </c>
      <c r="V143">
        <f ca="1"/>
        <v>0</v>
      </c>
      <c r="W143">
        <f ca="1"/>
        <v>0</v>
      </c>
      <c r="X143">
        <f ca="1"/>
        <v>0</v>
      </c>
      <c r="Y143">
        <f ca="1"/>
        <v>0.26465182774364343</v>
      </c>
      <c r="Z143">
        <f ca="1"/>
        <v>0</v>
      </c>
      <c r="AA143">
        <f ca="1"/>
        <v>0</v>
      </c>
      <c r="AB143">
        <f ca="1"/>
        <v>0</v>
      </c>
      <c r="AD143" s="2">
        <f t="shared" ca="1" si="22"/>
        <v>45352</v>
      </c>
      <c r="AE143">
        <f t="shared" ca="1" si="23"/>
        <v>0</v>
      </c>
      <c r="AG143" s="63">
        <f t="shared" ca="1" si="27"/>
        <v>29.518478935316686</v>
      </c>
      <c r="AH143" s="63">
        <f t="shared" ca="1" si="28"/>
        <v>29.518478935316686</v>
      </c>
      <c r="AI143" s="3">
        <f t="shared" ca="1" si="29"/>
        <v>0</v>
      </c>
    </row>
    <row r="144" spans="7:35">
      <c r="G144" s="3">
        <f t="shared" ca="1" si="24"/>
        <v>17</v>
      </c>
      <c r="H144" s="95">
        <f t="shared" ca="1" si="26"/>
        <v>45307</v>
      </c>
      <c r="I144" s="119">
        <f ca="1">HLOOKUP($H$5,'Met Data'!$A$2:$F$368,G144,FALSE)</f>
        <v>16.8279411764705</v>
      </c>
      <c r="J144" s="119">
        <f ca="1">HLOOKUP($H$5,'Met Data'!$H$2:$M$368,G144,FALSE)*L144</f>
        <v>0.77647058823529402</v>
      </c>
      <c r="K144" s="96">
        <f ca="1">HLOOKUP($H$5,'Met Data'!$O$2:$T$368,G144,FALSE)</f>
        <v>5.6587590306219901</v>
      </c>
      <c r="L144">
        <f t="shared" ca="1" si="20"/>
        <v>1</v>
      </c>
      <c r="N144" t="b">
        <f t="shared" ca="1" si="25"/>
        <v>0</v>
      </c>
      <c r="O144" t="b">
        <f t="shared" ca="1" si="21"/>
        <v>0</v>
      </c>
      <c r="P144" s="2">
        <f ca="1"/>
        <v>45353</v>
      </c>
      <c r="Q144">
        <f ca="1"/>
        <v>29.444078759133063</v>
      </c>
      <c r="R144">
        <f ca="1"/>
        <v>0</v>
      </c>
      <c r="S144">
        <f ca="1"/>
        <v>-0.43011021619321887</v>
      </c>
      <c r="T144">
        <f ca="1"/>
        <v>0.35571004000959616</v>
      </c>
      <c r="U144">
        <f ca="1"/>
        <v>0</v>
      </c>
      <c r="V144">
        <f ca="1"/>
        <v>0</v>
      </c>
      <c r="W144">
        <f ca="1"/>
        <v>0</v>
      </c>
      <c r="X144">
        <f ca="1"/>
        <v>0</v>
      </c>
      <c r="Y144">
        <f ca="1"/>
        <v>0.31127459762900123</v>
      </c>
      <c r="Z144">
        <f ca="1"/>
        <v>0</v>
      </c>
      <c r="AA144">
        <f ca="1"/>
        <v>0</v>
      </c>
      <c r="AB144">
        <f ca="1"/>
        <v>0</v>
      </c>
      <c r="AD144" s="2">
        <f t="shared" ca="1" si="22"/>
        <v>45353</v>
      </c>
      <c r="AE144">
        <f t="shared" ca="1" si="23"/>
        <v>0</v>
      </c>
      <c r="AG144" s="63">
        <f t="shared" ca="1" si="27"/>
        <v>29.444078759133063</v>
      </c>
      <c r="AH144" s="63">
        <f t="shared" ca="1" si="28"/>
        <v>29.444078759133063</v>
      </c>
      <c r="AI144" s="3">
        <f t="shared" ca="1" si="29"/>
        <v>0</v>
      </c>
    </row>
    <row r="145" spans="7:35">
      <c r="G145" s="3">
        <f t="shared" ca="1" si="24"/>
        <v>18</v>
      </c>
      <c r="H145" s="95">
        <f t="shared" ca="1" si="26"/>
        <v>45308</v>
      </c>
      <c r="I145" s="119">
        <f ca="1">HLOOKUP($H$5,'Met Data'!$A$2:$F$368,G145,FALSE)</f>
        <v>16.722058823529402</v>
      </c>
      <c r="J145" s="119">
        <f ca="1">HLOOKUP($H$5,'Met Data'!$H$2:$M$368,G145,FALSE)*L145</f>
        <v>0.57058823529411695</v>
      </c>
      <c r="K145" s="96">
        <f ca="1">HLOOKUP($H$5,'Met Data'!$O$2:$T$368,G145,FALSE)</f>
        <v>5.3270431561074503</v>
      </c>
      <c r="L145">
        <f t="shared" ca="1" si="20"/>
        <v>1</v>
      </c>
      <c r="N145" t="b">
        <f t="shared" ca="1" si="25"/>
        <v>0</v>
      </c>
      <c r="O145" t="b">
        <f t="shared" ca="1" si="21"/>
        <v>0</v>
      </c>
      <c r="P145" s="2">
        <f ca="1"/>
        <v>45354</v>
      </c>
      <c r="Q145">
        <f ca="1"/>
        <v>29.369091092309425</v>
      </c>
      <c r="R145">
        <f ca="1"/>
        <v>0</v>
      </c>
      <c r="S145">
        <f ca="1"/>
        <v>-0.42006278662327112</v>
      </c>
      <c r="T145">
        <f ca="1"/>
        <v>0.34507511979963118</v>
      </c>
      <c r="U145">
        <f ca="1"/>
        <v>0</v>
      </c>
      <c r="V145">
        <f ca="1"/>
        <v>0</v>
      </c>
      <c r="W145">
        <f ca="1"/>
        <v>0</v>
      </c>
      <c r="X145">
        <f ca="1"/>
        <v>0</v>
      </c>
      <c r="Y145">
        <f ca="1"/>
        <v>0.32813766994601506</v>
      </c>
      <c r="Z145">
        <f ca="1"/>
        <v>0</v>
      </c>
      <c r="AA145">
        <f ca="1"/>
        <v>0</v>
      </c>
      <c r="AB145">
        <f ca="1"/>
        <v>0</v>
      </c>
      <c r="AD145" s="2">
        <f t="shared" ca="1" si="22"/>
        <v>45354</v>
      </c>
      <c r="AE145">
        <f t="shared" ca="1" si="23"/>
        <v>0</v>
      </c>
      <c r="AG145" s="63">
        <f t="shared" ca="1" si="27"/>
        <v>29.369091092309425</v>
      </c>
      <c r="AH145" s="63">
        <f t="shared" ca="1" si="28"/>
        <v>29.369091092309425</v>
      </c>
      <c r="AI145" s="3">
        <f t="shared" ca="1" si="29"/>
        <v>0</v>
      </c>
    </row>
    <row r="146" spans="7:35">
      <c r="G146" s="3">
        <f t="shared" ca="1" si="24"/>
        <v>19</v>
      </c>
      <c r="H146" s="95">
        <f t="shared" ca="1" si="26"/>
        <v>45309</v>
      </c>
      <c r="I146" s="119">
        <f ca="1">HLOOKUP($H$5,'Met Data'!$A$2:$F$368,G146,FALSE)</f>
        <v>17.301470588235201</v>
      </c>
      <c r="J146" s="119">
        <f ca="1">HLOOKUP($H$5,'Met Data'!$H$2:$M$368,G146,FALSE)*L146</f>
        <v>3.48529411764705</v>
      </c>
      <c r="K146" s="96">
        <f ca="1">HLOOKUP($H$5,'Met Data'!$O$2:$T$368,G146,FALSE)</f>
        <v>5.0203920634541701</v>
      </c>
      <c r="L146">
        <f t="shared" ca="1" si="20"/>
        <v>1</v>
      </c>
      <c r="N146" t="b">
        <f t="shared" ca="1" si="25"/>
        <v>0</v>
      </c>
      <c r="O146" t="b">
        <f t="shared" ca="1" si="21"/>
        <v>0</v>
      </c>
      <c r="P146" s="2">
        <f ca="1"/>
        <v>45355</v>
      </c>
      <c r="Q146">
        <f ca="1"/>
        <v>29.290724813284484</v>
      </c>
      <c r="R146">
        <f ca="1"/>
        <v>0</v>
      </c>
      <c r="S146">
        <f ca="1"/>
        <v>-0.46829930621501603</v>
      </c>
      <c r="T146">
        <f ca="1"/>
        <v>0.38993302719007644</v>
      </c>
      <c r="U146">
        <f ca="1"/>
        <v>0</v>
      </c>
      <c r="V146">
        <f ca="1"/>
        <v>0</v>
      </c>
      <c r="W146">
        <f ca="1"/>
        <v>0</v>
      </c>
      <c r="X146">
        <f ca="1"/>
        <v>0</v>
      </c>
      <c r="Y146">
        <f ca="1"/>
        <v>0.35059436599234872</v>
      </c>
      <c r="Z146">
        <f ca="1"/>
        <v>0</v>
      </c>
      <c r="AA146">
        <f ca="1"/>
        <v>0</v>
      </c>
      <c r="AB146">
        <f ca="1"/>
        <v>0</v>
      </c>
      <c r="AD146" s="2">
        <f t="shared" ca="1" si="22"/>
        <v>45355</v>
      </c>
      <c r="AE146">
        <f t="shared" ca="1" si="23"/>
        <v>0</v>
      </c>
      <c r="AG146" s="63">
        <f t="shared" ca="1" si="27"/>
        <v>29.290724813284484</v>
      </c>
      <c r="AH146" s="63">
        <f t="shared" ca="1" si="28"/>
        <v>29.290724813284484</v>
      </c>
      <c r="AI146" s="3">
        <f t="shared" ca="1" si="29"/>
        <v>0</v>
      </c>
    </row>
    <row r="147" spans="7:35">
      <c r="G147" s="3">
        <f t="shared" ca="1" si="24"/>
        <v>20</v>
      </c>
      <c r="H147" s="95">
        <f t="shared" ca="1" si="26"/>
        <v>45310</v>
      </c>
      <c r="I147" s="119">
        <f ca="1">HLOOKUP($H$5,'Met Data'!$A$2:$F$368,G147,FALSE)</f>
        <v>17.052941176470501</v>
      </c>
      <c r="J147" s="119">
        <f ca="1">HLOOKUP($H$5,'Met Data'!$H$2:$M$368,G147,FALSE)*L147</f>
        <v>0.99117647058823499</v>
      </c>
      <c r="K147" s="96">
        <f ca="1">HLOOKUP($H$5,'Met Data'!$O$2:$T$368,G147,FALSE)</f>
        <v>5.3707211610908496</v>
      </c>
      <c r="L147">
        <f t="shared" ca="1" si="20"/>
        <v>1</v>
      </c>
      <c r="N147" t="b">
        <f t="shared" ca="1" si="25"/>
        <v>0</v>
      </c>
      <c r="O147" t="b">
        <f t="shared" ca="1" si="21"/>
        <v>0</v>
      </c>
      <c r="P147" s="2">
        <f ca="1"/>
        <v>45356</v>
      </c>
      <c r="Q147">
        <f ca="1"/>
        <v>29.245005439785245</v>
      </c>
      <c r="R147">
        <f ca="1"/>
        <v>0</v>
      </c>
      <c r="S147">
        <f ca="1"/>
        <v>-0.43472953556349481</v>
      </c>
      <c r="T147">
        <f ca="1"/>
        <v>0.3890101620642552</v>
      </c>
      <c r="U147">
        <f ca="1"/>
        <v>0</v>
      </c>
      <c r="V147">
        <f ca="1"/>
        <v>0</v>
      </c>
      <c r="W147">
        <f ca="1"/>
        <v>0</v>
      </c>
      <c r="X147">
        <f ca="1"/>
        <v>0</v>
      </c>
      <c r="Y147">
        <f ca="1"/>
        <v>0.33344188695545579</v>
      </c>
      <c r="Z147">
        <f ca="1"/>
        <v>0</v>
      </c>
      <c r="AA147">
        <f ca="1"/>
        <v>0</v>
      </c>
      <c r="AB147">
        <f ca="1"/>
        <v>0</v>
      </c>
      <c r="AD147" s="2">
        <f t="shared" ca="1" si="22"/>
        <v>45356</v>
      </c>
      <c r="AE147">
        <f t="shared" ca="1" si="23"/>
        <v>0</v>
      </c>
      <c r="AG147" s="63">
        <f t="shared" ca="1" si="27"/>
        <v>29.245005439785245</v>
      </c>
      <c r="AH147" s="63">
        <f t="shared" ca="1" si="28"/>
        <v>29.245005439785245</v>
      </c>
      <c r="AI147" s="3">
        <f t="shared" ca="1" si="29"/>
        <v>0</v>
      </c>
    </row>
    <row r="148" spans="7:35">
      <c r="G148" s="3">
        <f t="shared" ca="1" si="24"/>
        <v>21</v>
      </c>
      <c r="H148" s="95">
        <f t="shared" ca="1" si="26"/>
        <v>45311</v>
      </c>
      <c r="I148" s="119">
        <f ca="1">HLOOKUP($H$5,'Met Data'!$A$2:$F$368,G148,FALSE)</f>
        <v>15.9367647058823</v>
      </c>
      <c r="J148" s="119">
        <f ca="1">HLOOKUP($H$5,'Met Data'!$H$2:$M$368,G148,FALSE)*L148</f>
        <v>0.25588235294117601</v>
      </c>
      <c r="K148" s="96">
        <f ca="1">HLOOKUP($H$5,'Met Data'!$O$2:$T$368,G148,FALSE)</f>
        <v>5.3547882621027503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45357</v>
      </c>
      <c r="Q148">
        <f ca="1"/>
        <v>29.218737936244754</v>
      </c>
      <c r="R148">
        <f ca="1"/>
        <v>0</v>
      </c>
      <c r="S148">
        <f ca="1"/>
        <v>-0.38220543168438148</v>
      </c>
      <c r="T148">
        <f ca="1"/>
        <v>0.35593792814388975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0.32583525549490711</v>
      </c>
      <c r="Z148">
        <f ca="1"/>
        <v>0</v>
      </c>
      <c r="AA148">
        <f ca="1"/>
        <v>0</v>
      </c>
      <c r="AB148">
        <f ca="1"/>
        <v>0</v>
      </c>
      <c r="AD148" s="2">
        <f t="shared" ca="1" si="22"/>
        <v>45357</v>
      </c>
      <c r="AE148">
        <f t="shared" ca="1" si="23"/>
        <v>0</v>
      </c>
      <c r="AG148" s="63">
        <f t="shared" ca="1" si="27"/>
        <v>29.218737936244754</v>
      </c>
      <c r="AH148" s="63">
        <f t="shared" ca="1" si="28"/>
        <v>29.218737936244754</v>
      </c>
      <c r="AI148" s="3">
        <f t="shared" ca="1" si="29"/>
        <v>0</v>
      </c>
    </row>
    <row r="149" spans="7:35">
      <c r="G149" s="3">
        <f t="shared" ca="1" si="24"/>
        <v>22</v>
      </c>
      <c r="H149" s="95">
        <f t="shared" ca="1" si="26"/>
        <v>45312</v>
      </c>
      <c r="I149" s="119">
        <f ca="1">HLOOKUP($H$5,'Met Data'!$A$2:$F$368,G149,FALSE)</f>
        <v>17.475000000000001</v>
      </c>
      <c r="J149" s="119">
        <f ca="1">HLOOKUP($H$5,'Met Data'!$H$2:$M$368,G149,FALSE)*L149</f>
        <v>0.35882352941176399</v>
      </c>
      <c r="K149" s="96">
        <f ca="1">HLOOKUP($H$5,'Met Data'!$O$2:$T$368,G149,FALSE)</f>
        <v>5.3930487438230301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45358</v>
      </c>
      <c r="Q149">
        <f ca="1"/>
        <v>29.210259141123039</v>
      </c>
      <c r="R149">
        <f ca="1"/>
        <v>0</v>
      </c>
      <c r="S149">
        <f ca="1"/>
        <v>-0.37188470116159777</v>
      </c>
      <c r="T149">
        <f ca="1"/>
        <v>0.3634059060398821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0.32186086932185098</v>
      </c>
      <c r="Z149">
        <f ca="1"/>
        <v>0</v>
      </c>
      <c r="AA149">
        <f ca="1"/>
        <v>0</v>
      </c>
      <c r="AB149">
        <f ca="1"/>
        <v>0</v>
      </c>
      <c r="AD149" s="2">
        <f t="shared" ca="1" si="22"/>
        <v>45358</v>
      </c>
      <c r="AE149">
        <f t="shared" ca="1" si="23"/>
        <v>0</v>
      </c>
      <c r="AG149" s="63">
        <f t="shared" ca="1" si="27"/>
        <v>29.210259141123039</v>
      </c>
      <c r="AH149" s="63">
        <f t="shared" ca="1" si="28"/>
        <v>29.210259141123039</v>
      </c>
      <c r="AI149" s="3">
        <f t="shared" ca="1" si="29"/>
        <v>0</v>
      </c>
    </row>
    <row r="150" spans="7:35">
      <c r="G150" s="3">
        <f t="shared" ca="1" si="24"/>
        <v>23</v>
      </c>
      <c r="H150" s="95">
        <f t="shared" ca="1" si="26"/>
        <v>45313</v>
      </c>
      <c r="I150" s="119">
        <f ca="1">HLOOKUP($H$5,'Met Data'!$A$2:$F$368,G150,FALSE)</f>
        <v>18.2514705882352</v>
      </c>
      <c r="J150" s="119">
        <f ca="1">HLOOKUP($H$5,'Met Data'!$H$2:$M$368,G150,FALSE)*L150</f>
        <v>1.94705882352941</v>
      </c>
      <c r="K150" s="96">
        <f ca="1">HLOOKUP($H$5,'Met Data'!$O$2:$T$368,G150,FALSE)</f>
        <v>5.5152286930917596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45359</v>
      </c>
      <c r="Q150">
        <f ca="1"/>
        <v>29.215297497339961</v>
      </c>
      <c r="R150">
        <f ca="1"/>
        <v>0</v>
      </c>
      <c r="S150">
        <f ca="1"/>
        <v>-0.33559669532774627</v>
      </c>
      <c r="T150">
        <f ca="1"/>
        <v>0.34063505154466778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0.31589211984584153</v>
      </c>
      <c r="Z150">
        <f ca="1"/>
        <v>0</v>
      </c>
      <c r="AA150">
        <f ca="1"/>
        <v>0</v>
      </c>
      <c r="AB150">
        <f ca="1"/>
        <v>0</v>
      </c>
      <c r="AD150" s="2">
        <f t="shared" ca="1" si="22"/>
        <v>45359</v>
      </c>
      <c r="AE150">
        <f t="shared" ca="1" si="23"/>
        <v>0</v>
      </c>
      <c r="AG150" s="63">
        <f t="shared" ca="1" si="27"/>
        <v>29.215297497339961</v>
      </c>
      <c r="AH150" s="63">
        <f t="shared" ca="1" si="28"/>
        <v>29.215297497339961</v>
      </c>
      <c r="AI150" s="3">
        <f t="shared" ca="1" si="29"/>
        <v>0</v>
      </c>
    </row>
    <row r="151" spans="7:35">
      <c r="G151" s="3">
        <f t="shared" ca="1" si="24"/>
        <v>24</v>
      </c>
      <c r="H151" s="95">
        <f t="shared" ca="1" si="26"/>
        <v>45314</v>
      </c>
      <c r="I151" s="119">
        <f ca="1">HLOOKUP($H$5,'Met Data'!$A$2:$F$368,G151,FALSE)</f>
        <v>17.176470588235201</v>
      </c>
      <c r="J151" s="119">
        <f ca="1">HLOOKUP($H$5,'Met Data'!$H$2:$M$368,G151,FALSE)*L151</f>
        <v>0.744117647058823</v>
      </c>
      <c r="K151" s="96">
        <f ca="1">HLOOKUP($H$5,'Met Data'!$O$2:$T$368,G151,FALSE)</f>
        <v>5.2065069869691296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45360</v>
      </c>
      <c r="Q151">
        <f ca="1"/>
        <v>29.235558490836009</v>
      </c>
      <c r="R151">
        <f ca="1"/>
        <v>0</v>
      </c>
      <c r="S151">
        <f ca="1"/>
        <v>-0.35714445035622155</v>
      </c>
      <c r="T151">
        <f ca="1"/>
        <v>0.37740544385227287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0.32171337191175881</v>
      </c>
      <c r="Z151">
        <f ca="1"/>
        <v>0</v>
      </c>
      <c r="AA151">
        <f ca="1"/>
        <v>0</v>
      </c>
      <c r="AB151">
        <f ca="1"/>
        <v>0</v>
      </c>
      <c r="AD151" s="2">
        <f t="shared" ca="1" si="22"/>
        <v>45360</v>
      </c>
      <c r="AE151">
        <f t="shared" ca="1" si="23"/>
        <v>0</v>
      </c>
      <c r="AG151" s="63">
        <f t="shared" ca="1" si="27"/>
        <v>29.235558490836009</v>
      </c>
      <c r="AH151" s="63">
        <f t="shared" ca="1" si="28"/>
        <v>29.235558490836009</v>
      </c>
      <c r="AI151" s="3">
        <f t="shared" ca="1" si="29"/>
        <v>0</v>
      </c>
    </row>
    <row r="152" spans="7:35">
      <c r="G152" s="3">
        <f t="shared" ca="1" si="24"/>
        <v>25</v>
      </c>
      <c r="H152" s="95">
        <f t="shared" ca="1" si="26"/>
        <v>45315</v>
      </c>
      <c r="I152" s="119">
        <f ca="1">HLOOKUP($H$5,'Met Data'!$A$2:$F$368,G152,FALSE)</f>
        <v>16.835294117646999</v>
      </c>
      <c r="J152" s="119">
        <f ca="1">HLOOKUP($H$5,'Met Data'!$H$2:$M$368,G152,FALSE)*L152</f>
        <v>1.4117647058823499</v>
      </c>
      <c r="K152" s="96">
        <f ca="1">HLOOKUP($H$5,'Met Data'!$O$2:$T$368,G152,FALSE)</f>
        <v>4.7133252171052504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45361</v>
      </c>
      <c r="Q152">
        <f ca="1"/>
        <v>29.254722615882734</v>
      </c>
      <c r="R152">
        <f ca="1"/>
        <v>0</v>
      </c>
      <c r="S152">
        <f ca="1"/>
        <v>-0.34324925313853782</v>
      </c>
      <c r="T152">
        <f ca="1"/>
        <v>0.36241337818526309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0.33821698170944869</v>
      </c>
      <c r="Z152">
        <f ca="1"/>
        <v>0</v>
      </c>
      <c r="AA152">
        <f ca="1"/>
        <v>0</v>
      </c>
      <c r="AB152">
        <f ca="1"/>
        <v>0</v>
      </c>
      <c r="AD152" s="2">
        <f t="shared" ca="1" si="22"/>
        <v>45361</v>
      </c>
      <c r="AE152">
        <f t="shared" ca="1" si="23"/>
        <v>0</v>
      </c>
      <c r="AG152" s="63">
        <f t="shared" ca="1" si="27"/>
        <v>29.254722615882734</v>
      </c>
      <c r="AH152" s="63">
        <f t="shared" ca="1" si="28"/>
        <v>29.254722615882734</v>
      </c>
      <c r="AI152" s="3">
        <f t="shared" ca="1" si="29"/>
        <v>0</v>
      </c>
    </row>
    <row r="153" spans="7:35">
      <c r="G153" s="3">
        <f t="shared" ca="1" si="24"/>
        <v>26</v>
      </c>
      <c r="H153" s="95">
        <f t="shared" ca="1" si="26"/>
        <v>45316</v>
      </c>
      <c r="I153" s="119">
        <f ca="1">HLOOKUP($H$5,'Met Data'!$A$2:$F$368,G153,FALSE)</f>
        <v>16.6941176470588</v>
      </c>
      <c r="J153" s="119">
        <f ca="1">HLOOKUP($H$5,'Met Data'!$H$2:$M$368,G153,FALSE)*L153</f>
        <v>1.25588235294117</v>
      </c>
      <c r="K153" s="96">
        <f ca="1">HLOOKUP($H$5,'Met Data'!$O$2:$T$368,G153,FALSE)</f>
        <v>4.3325050650897401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45362</v>
      </c>
      <c r="Q153">
        <f ca="1"/>
        <v>29.266213735643436</v>
      </c>
      <c r="R153">
        <f ca="1"/>
        <v>0</v>
      </c>
      <c r="S153">
        <f ca="1"/>
        <v>-0.36612657209978039</v>
      </c>
      <c r="T153">
        <f ca="1"/>
        <v>0.37761769186048383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0.37843203291132632</v>
      </c>
      <c r="Z153">
        <f ca="1"/>
        <v>0</v>
      </c>
      <c r="AA153">
        <f ca="1"/>
        <v>0</v>
      </c>
      <c r="AB153">
        <f ca="1"/>
        <v>0</v>
      </c>
      <c r="AD153" s="2">
        <f t="shared" ca="1" si="22"/>
        <v>45362</v>
      </c>
      <c r="AE153">
        <f t="shared" ca="1" si="23"/>
        <v>0</v>
      </c>
      <c r="AG153" s="63">
        <f t="shared" ca="1" si="27"/>
        <v>29.266213735643436</v>
      </c>
      <c r="AH153" s="63">
        <f t="shared" ca="1" si="28"/>
        <v>29.266213735643436</v>
      </c>
      <c r="AI153" s="3">
        <f t="shared" ca="1" si="29"/>
        <v>0</v>
      </c>
    </row>
    <row r="154" spans="7:35">
      <c r="G154" s="3">
        <f t="shared" ca="1" si="24"/>
        <v>27</v>
      </c>
      <c r="H154" s="95">
        <f t="shared" ca="1" si="26"/>
        <v>45317</v>
      </c>
      <c r="I154" s="119">
        <f ca="1">HLOOKUP($H$5,'Met Data'!$A$2:$F$368,G154,FALSE)</f>
        <v>16.433823529411701</v>
      </c>
      <c r="J154" s="119">
        <f ca="1">HLOOKUP($H$5,'Met Data'!$H$2:$M$368,G154,FALSE)*L154</f>
        <v>0.91470588235294104</v>
      </c>
      <c r="K154" s="96">
        <f ca="1">HLOOKUP($H$5,'Met Data'!$O$2:$T$368,G154,FALSE)</f>
        <v>4.7335288521335803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45363</v>
      </c>
      <c r="Q154">
        <f ca="1"/>
        <v>29.282146918182107</v>
      </c>
      <c r="R154">
        <f ca="1"/>
        <v>0</v>
      </c>
      <c r="S154">
        <f ca="1"/>
        <v>-0.38457165382900271</v>
      </c>
      <c r="T154">
        <f ca="1"/>
        <v>0.40050483636767276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0.40906994822248466</v>
      </c>
      <c r="Z154">
        <f ca="1"/>
        <v>0</v>
      </c>
      <c r="AA154">
        <f ca="1"/>
        <v>0</v>
      </c>
      <c r="AB154">
        <f ca="1"/>
        <v>0</v>
      </c>
      <c r="AD154" s="2">
        <f t="shared" ca="1" si="22"/>
        <v>45363</v>
      </c>
      <c r="AE154">
        <f t="shared" ca="1" si="23"/>
        <v>0</v>
      </c>
      <c r="AG154" s="63">
        <f t="shared" ca="1" si="27"/>
        <v>29.282146918182107</v>
      </c>
      <c r="AH154" s="63">
        <f t="shared" ca="1" si="28"/>
        <v>29.282146918182107</v>
      </c>
      <c r="AI154" s="3">
        <f t="shared" ca="1" si="29"/>
        <v>0</v>
      </c>
    </row>
    <row r="155" spans="7:35">
      <c r="G155" s="3">
        <f t="shared" ca="1" si="24"/>
        <v>28</v>
      </c>
      <c r="H155" s="95">
        <f t="shared" ca="1" si="26"/>
        <v>45318</v>
      </c>
      <c r="I155" s="119">
        <f ca="1">HLOOKUP($H$5,'Met Data'!$A$2:$F$368,G155,FALSE)</f>
        <v>16.332352941176399</v>
      </c>
      <c r="J155" s="119">
        <f ca="1">HLOOKUP($H$5,'Met Data'!$H$2:$M$368,G155,FALSE)*L155</f>
        <v>2.3441176470588201</v>
      </c>
      <c r="K155" s="96">
        <f ca="1">HLOOKUP($H$5,'Met Data'!$O$2:$T$368,G155,FALSE)</f>
        <v>4.92375694808094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45364</v>
      </c>
      <c r="Q155">
        <f ca="1"/>
        <v>29.307553212069372</v>
      </c>
      <c r="R155">
        <f ca="1"/>
        <v>0</v>
      </c>
      <c r="S155">
        <f ca="1"/>
        <v>-0.37342116795711888</v>
      </c>
      <c r="T155">
        <f ca="1"/>
        <v>0.39882746184438544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0.42642735081527694</v>
      </c>
      <c r="Z155">
        <f ca="1"/>
        <v>0</v>
      </c>
      <c r="AA155">
        <f ca="1"/>
        <v>0</v>
      </c>
      <c r="AB155">
        <f ca="1"/>
        <v>0</v>
      </c>
      <c r="AD155" s="2">
        <f t="shared" ca="1" si="22"/>
        <v>45364</v>
      </c>
      <c r="AE155">
        <f t="shared" ca="1" si="23"/>
        <v>0</v>
      </c>
      <c r="AG155" s="63">
        <f t="shared" ca="1" si="27"/>
        <v>29.307553212069372</v>
      </c>
      <c r="AH155" s="63">
        <f t="shared" ca="1" si="28"/>
        <v>29.307553212069372</v>
      </c>
      <c r="AI155" s="3">
        <f t="shared" ca="1" si="29"/>
        <v>0</v>
      </c>
    </row>
    <row r="156" spans="7:35">
      <c r="G156" s="3">
        <f t="shared" ca="1" si="24"/>
        <v>29</v>
      </c>
      <c r="H156" s="95">
        <f t="shared" ca="1" si="26"/>
        <v>45319</v>
      </c>
      <c r="I156" s="119">
        <f ca="1">HLOOKUP($H$5,'Met Data'!$A$2:$F$368,G156,FALSE)</f>
        <v>17.044117647058801</v>
      </c>
      <c r="J156" s="119">
        <f ca="1">HLOOKUP($H$5,'Met Data'!$H$2:$M$368,G156,FALSE)*L156</f>
        <v>1.02941176470588</v>
      </c>
      <c r="K156" s="96">
        <f ca="1">HLOOKUP($H$5,'Met Data'!$O$2:$T$368,G156,FALSE)</f>
        <v>4.99641153289756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45365</v>
      </c>
      <c r="Q156">
        <f ca="1"/>
        <v>29.35989908091258</v>
      </c>
      <c r="R156">
        <f ca="1"/>
        <v>0</v>
      </c>
      <c r="S156">
        <f ca="1"/>
        <v>-0.33695768931179693</v>
      </c>
      <c r="T156">
        <f ca="1"/>
        <v>0.38930355815500289</v>
      </c>
      <c r="U156">
        <f ca="1"/>
        <v>0</v>
      </c>
      <c r="V156">
        <f ca="1"/>
        <v>3.462078471187036</v>
      </c>
      <c r="W156">
        <f ca="1"/>
        <v>3.1671606754933253</v>
      </c>
      <c r="X156">
        <f ca="1"/>
        <v>0</v>
      </c>
      <c r="Y156">
        <f ca="1"/>
        <v>0.40142719430345802</v>
      </c>
      <c r="Z156">
        <f ca="1"/>
        <v>0</v>
      </c>
      <c r="AA156">
        <f ca="1"/>
        <v>0</v>
      </c>
      <c r="AB156">
        <f ca="1"/>
        <v>8.2729392456581674E-3</v>
      </c>
      <c r="AD156" s="2">
        <f t="shared" ca="1" si="22"/>
        <v>45365</v>
      </c>
      <c r="AE156">
        <f t="shared" ca="1" si="23"/>
        <v>0</v>
      </c>
      <c r="AG156" s="63">
        <f t="shared" ca="1" si="27"/>
        <v>29.35989908091258</v>
      </c>
      <c r="AH156" s="63">
        <f t="shared" ca="1" si="28"/>
        <v>29.35989908091258</v>
      </c>
      <c r="AI156" s="3">
        <f t="shared" ca="1" si="29"/>
        <v>0</v>
      </c>
    </row>
    <row r="157" spans="7:35">
      <c r="G157" s="3">
        <f t="shared" ca="1" si="24"/>
        <v>30</v>
      </c>
      <c r="H157" s="95">
        <f t="shared" ca="1" si="26"/>
        <v>45320</v>
      </c>
      <c r="I157" s="119">
        <f ca="1">HLOOKUP($H$5,'Met Data'!$A$2:$F$368,G157,FALSE)</f>
        <v>17.480882352941101</v>
      </c>
      <c r="J157" s="119">
        <f ca="1">HLOOKUP($H$5,'Met Data'!$H$2:$M$368,G157,FALSE)*L157</f>
        <v>6.4705882352941099E-2</v>
      </c>
      <c r="K157" s="96">
        <f ca="1">HLOOKUP($H$5,'Met Data'!$O$2:$T$368,G157,FALSE)</f>
        <v>5.19563668339761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45366</v>
      </c>
      <c r="Q157">
        <f ca="1"/>
        <v>29.188384791296286</v>
      </c>
      <c r="R157">
        <f ca="1"/>
        <v>0.24015099599874867</v>
      </c>
      <c r="S157">
        <f ca="1"/>
        <v>-0.32076694931571303</v>
      </c>
      <c r="T157">
        <f ca="1"/>
        <v>0.38940365569817231</v>
      </c>
      <c r="U157">
        <f ca="1"/>
        <v>0</v>
      </c>
      <c r="V157">
        <f ca="1"/>
        <v>3.7022294671857847</v>
      </c>
      <c r="W157">
        <f ca="1"/>
        <v>3.3868543644255138</v>
      </c>
      <c r="X157">
        <f ca="1"/>
        <v>0</v>
      </c>
      <c r="Y157">
        <f ca="1"/>
        <v>0.40027671107296064</v>
      </c>
      <c r="Z157">
        <f ca="1"/>
        <v>0</v>
      </c>
      <c r="AA157">
        <f ca="1"/>
        <v>0</v>
      </c>
      <c r="AB157">
        <f ca="1"/>
        <v>1.0225195297320813E-2</v>
      </c>
      <c r="AD157" s="2">
        <f t="shared" ca="1" si="22"/>
        <v>45366</v>
      </c>
      <c r="AE157">
        <f t="shared" ca="1" si="23"/>
        <v>0</v>
      </c>
      <c r="AG157" s="63">
        <f t="shared" ca="1" si="27"/>
        <v>29.428535787295036</v>
      </c>
      <c r="AH157" s="63">
        <f t="shared" ca="1" si="28"/>
        <v>29.428535787295036</v>
      </c>
      <c r="AI157" s="3">
        <f t="shared" ca="1" si="29"/>
        <v>0</v>
      </c>
    </row>
    <row r="158" spans="7:35">
      <c r="G158" s="3">
        <f t="shared" ca="1" si="24"/>
        <v>31</v>
      </c>
      <c r="H158" s="95">
        <f t="shared" ca="1" si="26"/>
        <v>45321</v>
      </c>
      <c r="I158" s="119">
        <f ca="1">HLOOKUP($H$5,'Met Data'!$A$2:$F$368,G158,FALSE)</f>
        <v>18.010294117647</v>
      </c>
      <c r="J158" s="119">
        <f ca="1">HLOOKUP($H$5,'Met Data'!$H$2:$M$368,G158,FALSE)*L158</f>
        <v>0.61176470588235299</v>
      </c>
      <c r="K158" s="96">
        <f ca="1">HLOOKUP($H$5,'Met Data'!$O$2:$T$368,G158,FALSE)</f>
        <v>5.2986070991408996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45367</v>
      </c>
      <c r="Q158">
        <f ca="1"/>
        <v>29.016790822035553</v>
      </c>
      <c r="R158">
        <f ca="1"/>
        <v>0.25324239061590115</v>
      </c>
      <c r="S158">
        <f ca="1"/>
        <v>-0.3019746529778935</v>
      </c>
      <c r="T158">
        <f ca="1"/>
        <v>0.38362307433306408</v>
      </c>
      <c r="U158">
        <f ca="1"/>
        <v>0</v>
      </c>
      <c r="V158">
        <f ca="1"/>
        <v>3.9554718578016859</v>
      </c>
      <c r="W158">
        <f ca="1"/>
        <v>3.6185242551000609</v>
      </c>
      <c r="X158">
        <f ca="1"/>
        <v>0</v>
      </c>
      <c r="Y158">
        <f ca="1"/>
        <v>0.40033881519803138</v>
      </c>
      <c r="Z158">
        <f ca="1"/>
        <v>0</v>
      </c>
      <c r="AA158">
        <f ca="1"/>
        <v>0</v>
      </c>
      <c r="AB158">
        <f ca="1"/>
        <v>1.2600156632445696E-2</v>
      </c>
      <c r="AD158" s="2">
        <f t="shared" ca="1" si="22"/>
        <v>45367</v>
      </c>
      <c r="AE158">
        <f t="shared" ca="1" si="23"/>
        <v>0</v>
      </c>
      <c r="AG158" s="63">
        <f t="shared" ca="1" si="27"/>
        <v>29.270033212651455</v>
      </c>
      <c r="AH158" s="63">
        <f t="shared" ca="1" si="28"/>
        <v>29.270033212651455</v>
      </c>
      <c r="AI158" s="3">
        <f t="shared" ca="1" si="29"/>
        <v>0</v>
      </c>
    </row>
    <row r="159" spans="7:35">
      <c r="G159" s="3">
        <f t="shared" ca="1" si="24"/>
        <v>32</v>
      </c>
      <c r="H159" s="95">
        <f t="shared" ca="1" si="26"/>
        <v>45322</v>
      </c>
      <c r="I159" s="119">
        <f ca="1">HLOOKUP($H$5,'Met Data'!$A$2:$F$368,G159,FALSE)</f>
        <v>18.1264705882352</v>
      </c>
      <c r="J159" s="119">
        <f ca="1">HLOOKUP($H$5,'Met Data'!$H$2:$M$368,G159,FALSE)*L159</f>
        <v>1.01176470588235</v>
      </c>
      <c r="K159" s="96">
        <f ca="1">HLOOKUP($H$5,'Met Data'!$O$2:$T$368,G159,FALSE)</f>
        <v>5.6287813361802304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45368</v>
      </c>
      <c r="Q159">
        <f ca="1"/>
        <v>28.847449324681957</v>
      </c>
      <c r="R159">
        <f ca="1"/>
        <v>0.24993351022851318</v>
      </c>
      <c r="S159">
        <f ca="1"/>
        <v>-0.27383598429991629</v>
      </c>
      <c r="T159">
        <f ca="1"/>
        <v>0.35442799717483203</v>
      </c>
      <c r="U159">
        <f ca="1"/>
        <v>0</v>
      </c>
      <c r="V159">
        <f ca="1"/>
        <v>4.205405368030199</v>
      </c>
      <c r="W159">
        <f ca="1"/>
        <v>3.8471671329757751</v>
      </c>
      <c r="X159">
        <f ca="1"/>
        <v>0</v>
      </c>
      <c r="Y159">
        <f ca="1"/>
        <v>0.40999519829144765</v>
      </c>
      <c r="Z159">
        <f ca="1"/>
        <v>0</v>
      </c>
      <c r="AA159">
        <f ca="1"/>
        <v>0</v>
      </c>
      <c r="AB159">
        <f ca="1"/>
        <v>1.5285383340902074E-2</v>
      </c>
      <c r="AD159" s="2">
        <f t="shared" ca="1" si="22"/>
        <v>45368</v>
      </c>
      <c r="AE159">
        <f t="shared" ca="1" si="23"/>
        <v>0</v>
      </c>
      <c r="AG159" s="63">
        <f t="shared" ca="1" si="27"/>
        <v>29.097382834910469</v>
      </c>
      <c r="AH159" s="63">
        <f t="shared" ca="1" si="28"/>
        <v>29.097382834910469</v>
      </c>
      <c r="AI159" s="3">
        <f t="shared" ca="1" si="29"/>
        <v>0</v>
      </c>
    </row>
    <row r="160" spans="7:35">
      <c r="G160" s="3">
        <f t="shared" ca="1" si="24"/>
        <v>33</v>
      </c>
      <c r="H160" s="95">
        <f t="shared" ca="1" si="26"/>
        <v>45323</v>
      </c>
      <c r="I160" s="119">
        <f ca="1">HLOOKUP($H$5,'Met Data'!$A$2:$F$368,G160,FALSE)</f>
        <v>17.5632352941176</v>
      </c>
      <c r="J160" s="119">
        <f ca="1">HLOOKUP($H$5,'Met Data'!$H$2:$M$368,G160,FALSE)*L160</f>
        <v>0.26764705882352902</v>
      </c>
      <c r="K160" s="96">
        <f ca="1">HLOOKUP($H$5,'Met Data'!$O$2:$T$368,G160,FALSE)</f>
        <v>5.5733898517327303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45369</v>
      </c>
      <c r="Q160">
        <f ca="1"/>
        <v>28.670433009518476</v>
      </c>
      <c r="R160">
        <f ca="1"/>
        <v>0.28223168126851306</v>
      </c>
      <c r="S160">
        <f ca="1"/>
        <v>-0.27282100753727256</v>
      </c>
      <c r="T160">
        <f ca="1"/>
        <v>0.37803637364230103</v>
      </c>
      <c r="U160">
        <f ca="1"/>
        <v>0</v>
      </c>
      <c r="V160">
        <f ca="1"/>
        <v>4.4876370492987121</v>
      </c>
      <c r="W160">
        <f ca="1"/>
        <v>4.1053568562103031</v>
      </c>
      <c r="X160">
        <f ca="1"/>
        <v>0</v>
      </c>
      <c r="Y160">
        <f ca="1"/>
        <v>0.40383077978175957</v>
      </c>
      <c r="Z160">
        <f ca="1"/>
        <v>0</v>
      </c>
      <c r="AA160">
        <f ca="1"/>
        <v>0</v>
      </c>
      <c r="AB160">
        <f ca="1"/>
        <v>1.8753423239825689E-2</v>
      </c>
      <c r="AD160" s="2">
        <f t="shared" ca="1" si="22"/>
        <v>45369</v>
      </c>
      <c r="AE160">
        <f t="shared" ca="1" si="23"/>
        <v>0</v>
      </c>
      <c r="AG160" s="63">
        <f t="shared" ca="1" si="27"/>
        <v>28.952664690786989</v>
      </c>
      <c r="AH160" s="63">
        <f t="shared" ca="1" si="28"/>
        <v>28.952664690786989</v>
      </c>
      <c r="AI160" s="3">
        <f t="shared" ca="1" si="29"/>
        <v>0</v>
      </c>
    </row>
    <row r="161" spans="7:35">
      <c r="G161" s="3">
        <f t="shared" ca="1" si="24"/>
        <v>34</v>
      </c>
      <c r="H161" s="95">
        <f t="shared" ca="1" si="26"/>
        <v>45324</v>
      </c>
      <c r="I161" s="119">
        <f ca="1">HLOOKUP($H$5,'Met Data'!$A$2:$F$368,G161,FALSE)</f>
        <v>16.530882352941099</v>
      </c>
      <c r="J161" s="119">
        <f ca="1">HLOOKUP($H$5,'Met Data'!$H$2:$M$368,G161,FALSE)*L161</f>
        <v>1.22058823529411</v>
      </c>
      <c r="K161" s="96">
        <f ca="1">HLOOKUP($H$5,'Met Data'!$O$2:$T$368,G161,FALSE)</f>
        <v>4.8866884380741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45370</v>
      </c>
      <c r="Q161">
        <f ca="1"/>
        <v>28.485291865178812</v>
      </c>
      <c r="R161">
        <f ca="1"/>
        <v>0.31700580961372271</v>
      </c>
      <c r="S161">
        <f ca="1"/>
        <v>-0.26292951926598462</v>
      </c>
      <c r="T161">
        <f ca="1"/>
        <v>0.39479418454004184</v>
      </c>
      <c r="U161">
        <f ca="1"/>
        <v>0</v>
      </c>
      <c r="V161">
        <f ca="1"/>
        <v>4.8046428589124348</v>
      </c>
      <c r="W161">
        <f ca="1"/>
        <v>4.3953584672273021</v>
      </c>
      <c r="X161">
        <f ca="1"/>
        <v>0</v>
      </c>
      <c r="Y161">
        <f ca="1"/>
        <v>0.38767127621979103</v>
      </c>
      <c r="Z161">
        <f ca="1"/>
        <v>0</v>
      </c>
      <c r="AA161">
        <f ca="1"/>
        <v>0</v>
      </c>
      <c r="AB161">
        <f ca="1"/>
        <v>2.3237032715678396E-2</v>
      </c>
      <c r="AD161" s="2">
        <f t="shared" ca="1" si="22"/>
        <v>45370</v>
      </c>
      <c r="AE161">
        <f t="shared" ca="1" si="23"/>
        <v>0</v>
      </c>
      <c r="AG161" s="63">
        <f t="shared" ca="1" si="27"/>
        <v>28.802297674792534</v>
      </c>
      <c r="AH161" s="63">
        <f t="shared" ca="1" si="28"/>
        <v>28.802297674792534</v>
      </c>
      <c r="AI161" s="3">
        <f t="shared" ca="1" si="29"/>
        <v>0</v>
      </c>
    </row>
    <row r="162" spans="7:35">
      <c r="G162" s="3">
        <f t="shared" ca="1" si="24"/>
        <v>35</v>
      </c>
      <c r="H162" s="95">
        <f t="shared" ca="1" si="26"/>
        <v>45325</v>
      </c>
      <c r="I162" s="119">
        <f ca="1">HLOOKUP($H$5,'Met Data'!$A$2:$F$368,G162,FALSE)</f>
        <v>16.339705882352899</v>
      </c>
      <c r="J162" s="119">
        <f ca="1">HLOOKUP($H$5,'Met Data'!$H$2:$M$368,G162,FALSE)*L162</f>
        <v>0.72352941176470498</v>
      </c>
      <c r="K162" s="96">
        <f ca="1">HLOOKUP($H$5,'Met Data'!$O$2:$T$368,G162,FALSE)</f>
        <v>4.6016509460585002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45371</v>
      </c>
      <c r="Q162">
        <f ca="1"/>
        <v>28.29525638104403</v>
      </c>
      <c r="R162">
        <f ca="1"/>
        <v>0.32953315511895287</v>
      </c>
      <c r="S162">
        <f ca="1"/>
        <v>-0.23908841741725873</v>
      </c>
      <c r="T162">
        <f ca="1"/>
        <v>0.37858608840143099</v>
      </c>
      <c r="U162">
        <f ca="1"/>
        <v>0</v>
      </c>
      <c r="V162">
        <f ca="1"/>
        <v>5.1341760140313877</v>
      </c>
      <c r="W162">
        <f ca="1"/>
        <v>4.6968202795027878</v>
      </c>
      <c r="X162">
        <f ca="1"/>
        <v>0</v>
      </c>
      <c r="Y162">
        <f ca="1"/>
        <v>0.38078834592229349</v>
      </c>
      <c r="Z162">
        <f ca="1"/>
        <v>0</v>
      </c>
      <c r="AA162">
        <f ca="1"/>
        <v>0</v>
      </c>
      <c r="AB162">
        <f ca="1"/>
        <v>2.8600566234737338E-2</v>
      </c>
      <c r="AD162" s="2">
        <f t="shared" ca="1" si="22"/>
        <v>45371</v>
      </c>
      <c r="AE162">
        <f t="shared" ca="1" si="23"/>
        <v>0</v>
      </c>
      <c r="AG162" s="63">
        <f t="shared" ca="1" si="27"/>
        <v>28.624789536162982</v>
      </c>
      <c r="AH162" s="63">
        <f t="shared" ca="1" si="28"/>
        <v>28.624789536162982</v>
      </c>
      <c r="AI162" s="3">
        <f t="shared" ca="1" si="29"/>
        <v>0</v>
      </c>
    </row>
    <row r="163" spans="7:35">
      <c r="G163" s="3">
        <f t="shared" ca="1" si="24"/>
        <v>36</v>
      </c>
      <c r="H163" s="95">
        <f t="shared" ca="1" si="26"/>
        <v>45326</v>
      </c>
      <c r="I163" s="119">
        <f ca="1">HLOOKUP($H$5,'Met Data'!$A$2:$F$368,G163,FALSE)</f>
        <v>17.920588235294101</v>
      </c>
      <c r="J163" s="119">
        <f ca="1">HLOOKUP($H$5,'Met Data'!$H$2:$M$368,G163,FALSE)*L163</f>
        <v>1.75294117647058</v>
      </c>
      <c r="K163" s="96">
        <f ca="1">HLOOKUP($H$5,'Met Data'!$O$2:$T$368,G163,FALSE)</f>
        <v>5.2770860248475602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45372</v>
      </c>
      <c r="Q163">
        <f ca="1"/>
        <v>28.098542356066233</v>
      </c>
      <c r="R163">
        <f ca="1"/>
        <v>0.34144565239727509</v>
      </c>
      <c r="S163">
        <f ca="1"/>
        <v>-0.21930515679021134</v>
      </c>
      <c r="T163">
        <f ca="1"/>
        <v>0.36403678420968771</v>
      </c>
      <c r="U163">
        <f ca="1"/>
        <v>0</v>
      </c>
      <c r="V163">
        <f ca="1"/>
        <v>5.4756216664286628</v>
      </c>
      <c r="W163">
        <f ca="1"/>
        <v>5.0091798207699245</v>
      </c>
      <c r="X163">
        <f ca="1"/>
        <v>0</v>
      </c>
      <c r="Y163">
        <f ca="1"/>
        <v>0.37693674389069187</v>
      </c>
      <c r="Z163">
        <f ca="1"/>
        <v>0</v>
      </c>
      <c r="AA163">
        <f ca="1"/>
        <v>0</v>
      </c>
      <c r="AB163">
        <f ca="1"/>
        <v>3.4958964684457479E-2</v>
      </c>
      <c r="AD163" s="2">
        <f t="shared" ca="1" si="22"/>
        <v>45372</v>
      </c>
      <c r="AE163">
        <f t="shared" ca="1" si="23"/>
        <v>0</v>
      </c>
      <c r="AG163" s="63">
        <f t="shared" ca="1" si="27"/>
        <v>28.439988008463509</v>
      </c>
      <c r="AH163" s="63">
        <f t="shared" ca="1" si="28"/>
        <v>28.439988008463509</v>
      </c>
      <c r="AI163" s="3">
        <f t="shared" ca="1" si="29"/>
        <v>0</v>
      </c>
    </row>
    <row r="164" spans="7:35">
      <c r="G164" s="3">
        <f t="shared" ca="1" si="24"/>
        <v>37</v>
      </c>
      <c r="H164" s="95">
        <f t="shared" ca="1" si="26"/>
        <v>45327</v>
      </c>
      <c r="I164" s="119">
        <f ca="1">HLOOKUP($H$5,'Met Data'!$A$2:$F$368,G164,FALSE)</f>
        <v>16.083823529411699</v>
      </c>
      <c r="J164" s="119">
        <f ca="1">HLOOKUP($H$5,'Met Data'!$H$2:$M$368,G164,FALSE)*L164</f>
        <v>2.20882352941176</v>
      </c>
      <c r="K164" s="96">
        <f ca="1">HLOOKUP($H$5,'Met Data'!$O$2:$T$368,G164,FALSE)</f>
        <v>4.27430593476155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45373</v>
      </c>
      <c r="Q164">
        <f ca="1"/>
        <v>27.89379128936179</v>
      </c>
      <c r="R164">
        <f ca="1"/>
        <v>0.34893433038387922</v>
      </c>
      <c r="S164">
        <f ca="1"/>
        <v>-0.21097059582070798</v>
      </c>
      <c r="T164">
        <f ca="1"/>
        <v>0.35515385950014555</v>
      </c>
      <c r="U164">
        <f ca="1"/>
        <v>0</v>
      </c>
      <c r="V164">
        <f ca="1"/>
        <v>5.824555996812542</v>
      </c>
      <c r="W164">
        <f ca="1"/>
        <v>5.328390115602585</v>
      </c>
      <c r="X164">
        <f ca="1"/>
        <v>0</v>
      </c>
      <c r="Y164">
        <f ca="1"/>
        <v>0.3953650386265371</v>
      </c>
      <c r="Z164">
        <f ca="1"/>
        <v>0</v>
      </c>
      <c r="AA164">
        <f ca="1"/>
        <v>0</v>
      </c>
      <c r="AB164">
        <f ca="1"/>
        <v>4.2342921602136055E-2</v>
      </c>
      <c r="AD164" s="2">
        <f t="shared" ca="1" si="22"/>
        <v>45373</v>
      </c>
      <c r="AE164">
        <f t="shared" ca="1" si="23"/>
        <v>0</v>
      </c>
      <c r="AG164" s="63">
        <f t="shared" ca="1" si="27"/>
        <v>28.24272561974567</v>
      </c>
      <c r="AH164" s="63">
        <f t="shared" ca="1" si="28"/>
        <v>28.24272561974567</v>
      </c>
      <c r="AI164" s="3">
        <f t="shared" ca="1" si="29"/>
        <v>0</v>
      </c>
    </row>
    <row r="165" spans="7:35">
      <c r="G165" s="3">
        <f t="shared" ca="1" si="24"/>
        <v>38</v>
      </c>
      <c r="H165" s="95">
        <f t="shared" ca="1" si="26"/>
        <v>45328</v>
      </c>
      <c r="I165" s="119">
        <f ca="1">HLOOKUP($H$5,'Met Data'!$A$2:$F$368,G165,FALSE)</f>
        <v>16.539705882352902</v>
      </c>
      <c r="J165" s="119">
        <f ca="1">HLOOKUP($H$5,'Met Data'!$H$2:$M$368,G165,FALSE)*L165</f>
        <v>0.49117647058823499</v>
      </c>
      <c r="K165" s="96">
        <f ca="1">HLOOKUP($H$5,'Met Data'!$O$2:$T$368,G165,FALSE)</f>
        <v>4.96013704262971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45374</v>
      </c>
      <c r="Q165">
        <f ca="1"/>
        <v>27.676591385743819</v>
      </c>
      <c r="R165">
        <f ca="1"/>
        <v>0.37374409344357495</v>
      </c>
      <c r="S165">
        <f ca="1"/>
        <v>-0.19966070531625135</v>
      </c>
      <c r="T165">
        <f ca="1"/>
        <v>0.3562048951418576</v>
      </c>
      <c r="U165">
        <f ca="1"/>
        <v>0</v>
      </c>
      <c r="V165">
        <f ca="1"/>
        <v>6.1983000902561169</v>
      </c>
      <c r="W165">
        <f ca="1"/>
        <v>5.6702967492342999</v>
      </c>
      <c r="X165">
        <f ca="1"/>
        <v>0</v>
      </c>
      <c r="Y165">
        <f ca="1"/>
        <v>0.38931320920450102</v>
      </c>
      <c r="Z165">
        <f ca="1"/>
        <v>0</v>
      </c>
      <c r="AA165">
        <f ca="1"/>
        <v>0</v>
      </c>
      <c r="AB165">
        <f ca="1"/>
        <v>5.1289154377647868E-2</v>
      </c>
      <c r="AD165" s="2">
        <f t="shared" ca="1" si="22"/>
        <v>45374</v>
      </c>
      <c r="AE165">
        <f t="shared" ca="1" si="23"/>
        <v>0</v>
      </c>
      <c r="AG165" s="63">
        <f t="shared" ca="1" si="27"/>
        <v>28.050335479187396</v>
      </c>
      <c r="AH165" s="63">
        <f t="shared" ca="1" si="28"/>
        <v>28.050335479187396</v>
      </c>
      <c r="AI165" s="3">
        <f t="shared" ca="1" si="29"/>
        <v>0</v>
      </c>
    </row>
    <row r="166" spans="7:35">
      <c r="G166" s="3">
        <f t="shared" ca="1" si="24"/>
        <v>39</v>
      </c>
      <c r="H166" s="95">
        <f t="shared" ca="1" si="26"/>
        <v>45329</v>
      </c>
      <c r="I166" s="119">
        <f ca="1">HLOOKUP($H$5,'Met Data'!$A$2:$F$368,G166,FALSE)</f>
        <v>16.527941176470499</v>
      </c>
      <c r="J166" s="119">
        <f ca="1">HLOOKUP($H$5,'Met Data'!$H$2:$M$368,G166,FALSE)*L166</f>
        <v>1.98235294117647</v>
      </c>
      <c r="K166" s="96">
        <f ca="1">HLOOKUP($H$5,'Met Data'!$O$2:$T$368,G166,FALSE)</f>
        <v>4.6946370204271801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45375</v>
      </c>
      <c r="Q166">
        <f ca="1"/>
        <v>27.442175223635431</v>
      </c>
      <c r="R166">
        <f ca="1"/>
        <v>0.40531426042026375</v>
      </c>
      <c r="S166">
        <f ca="1"/>
        <v>-0.20058574355195091</v>
      </c>
      <c r="T166">
        <f ca="1"/>
        <v>0.37148384186382594</v>
      </c>
      <c r="U166">
        <f ca="1"/>
        <v>0</v>
      </c>
      <c r="V166">
        <f ca="1"/>
        <v>6.6036143506763807</v>
      </c>
      <c r="W166">
        <f ca="1"/>
        <v>6.0410842393224664</v>
      </c>
      <c r="X166">
        <f ca="1"/>
        <v>0</v>
      </c>
      <c r="Y166">
        <f ca="1"/>
        <v>0.40293656542273154</v>
      </c>
      <c r="Z166">
        <f ca="1"/>
        <v>0</v>
      </c>
      <c r="AA166">
        <f ca="1"/>
        <v>0</v>
      </c>
      <c r="AB166">
        <f ca="1"/>
        <v>6.2246508734420752E-2</v>
      </c>
      <c r="AD166" s="2">
        <f t="shared" ca="1" si="22"/>
        <v>45375</v>
      </c>
      <c r="AE166">
        <f t="shared" ca="1" si="23"/>
        <v>0</v>
      </c>
      <c r="AG166" s="63">
        <f t="shared" ca="1" si="27"/>
        <v>27.847489484055693</v>
      </c>
      <c r="AH166" s="63">
        <f t="shared" ca="1" si="28"/>
        <v>27.847489484055693</v>
      </c>
      <c r="AI166" s="3">
        <f t="shared" ca="1" si="29"/>
        <v>0</v>
      </c>
    </row>
    <row r="167" spans="7:35">
      <c r="G167" s="3">
        <f t="shared" ca="1" si="24"/>
        <v>40</v>
      </c>
      <c r="H167" s="95">
        <f t="shared" ca="1" si="26"/>
        <v>45330</v>
      </c>
      <c r="I167" s="119">
        <f ca="1">HLOOKUP($H$5,'Met Data'!$A$2:$F$368,G167,FALSE)</f>
        <v>16.855882352941101</v>
      </c>
      <c r="J167" s="119">
        <f ca="1">HLOOKUP($H$5,'Met Data'!$H$2:$M$368,G167,FALSE)*L167</f>
        <v>0.79411764705882304</v>
      </c>
      <c r="K167" s="96">
        <f ca="1">HLOOKUP($H$5,'Met Data'!$O$2:$T$368,G167,FALSE)</f>
        <v>5.0220708698278598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45376</v>
      </c>
      <c r="Q167">
        <f ca="1"/>
        <v>27.202481648567375</v>
      </c>
      <c r="R167">
        <f ca="1"/>
        <v>0.40661577882136601</v>
      </c>
      <c r="S167">
        <f ca="1"/>
        <v>-0.17272369952259936</v>
      </c>
      <c r="T167">
        <f ca="1"/>
        <v>0.33964590327590916</v>
      </c>
      <c r="U167">
        <f ca="1"/>
        <v>0</v>
      </c>
      <c r="V167">
        <f ca="1"/>
        <v>7.0102301294977467</v>
      </c>
      <c r="W167">
        <f ca="1"/>
        <v>6.4130623777257165</v>
      </c>
      <c r="X167">
        <f ca="1"/>
        <v>0</v>
      </c>
      <c r="Y167">
        <f ca="1"/>
        <v>0.38502253005781678</v>
      </c>
      <c r="Z167">
        <f ca="1"/>
        <v>0</v>
      </c>
      <c r="AA167">
        <f ca="1"/>
        <v>0</v>
      </c>
      <c r="AB167">
        <f ca="1"/>
        <v>7.4583919143198507E-2</v>
      </c>
      <c r="AD167" s="2">
        <f t="shared" ca="1" si="22"/>
        <v>45376</v>
      </c>
      <c r="AE167">
        <f t="shared" ca="1" si="23"/>
        <v>0</v>
      </c>
      <c r="AG167" s="63">
        <f t="shared" ca="1" si="27"/>
        <v>27.60909742738874</v>
      </c>
      <c r="AH167" s="63">
        <f t="shared" ca="1" si="28"/>
        <v>27.60909742738874</v>
      </c>
      <c r="AI167" s="3">
        <f t="shared" ca="1" si="29"/>
        <v>0</v>
      </c>
    </row>
    <row r="168" spans="7:35">
      <c r="G168" s="3">
        <f t="shared" ca="1" si="24"/>
        <v>41</v>
      </c>
      <c r="H168" s="95">
        <f t="shared" ca="1" si="26"/>
        <v>45331</v>
      </c>
      <c r="I168" s="119">
        <f ca="1">HLOOKUP($H$5,'Met Data'!$A$2:$F$368,G168,FALSE)</f>
        <v>16.957352941176399</v>
      </c>
      <c r="J168" s="119">
        <f ca="1">HLOOKUP($H$5,'Met Data'!$H$2:$M$368,G168,FALSE)*L168</f>
        <v>1.1352941176470499</v>
      </c>
      <c r="K168" s="96">
        <f ca="1">HLOOKUP($H$5,'Met Data'!$O$2:$T$368,G168,FALSE)</f>
        <v>4.61421103176027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45377</v>
      </c>
      <c r="Q168">
        <f ca="1"/>
        <v>26.934983020968865</v>
      </c>
      <c r="R168">
        <f ca="1"/>
        <v>0.45843137051923577</v>
      </c>
      <c r="S168">
        <f ca="1"/>
        <v>-0.17307417565138294</v>
      </c>
      <c r="T168">
        <f ca="1"/>
        <v>0.36400691857211004</v>
      </c>
      <c r="U168">
        <f ca="1"/>
        <v>0</v>
      </c>
      <c r="V168">
        <f ca="1"/>
        <v>7.4686615000169825</v>
      </c>
      <c r="W168">
        <f ca="1"/>
        <v>6.8324421870525729</v>
      </c>
      <c r="X168">
        <f ca="1"/>
        <v>0</v>
      </c>
      <c r="Y168">
        <f ca="1"/>
        <v>0.38195630760177651</v>
      </c>
      <c r="Z168">
        <f ca="1"/>
        <v>0</v>
      </c>
      <c r="AA168">
        <f ca="1"/>
        <v>0</v>
      </c>
      <c r="AB168">
        <f ca="1"/>
        <v>9.0128072435157927E-2</v>
      </c>
      <c r="AD168" s="2">
        <f t="shared" ca="1" si="22"/>
        <v>45377</v>
      </c>
      <c r="AE168">
        <f t="shared" ca="1" si="23"/>
        <v>0</v>
      </c>
      <c r="AG168" s="63">
        <f t="shared" ca="1" si="27"/>
        <v>27.393414391488101</v>
      </c>
      <c r="AH168" s="63">
        <f t="shared" ca="1" si="28"/>
        <v>27.393414391488101</v>
      </c>
      <c r="AI168" s="3">
        <f t="shared" ca="1" si="29"/>
        <v>0</v>
      </c>
    </row>
    <row r="169" spans="7:35">
      <c r="G169" s="3">
        <f t="shared" ca="1" si="24"/>
        <v>42</v>
      </c>
      <c r="H169" s="95">
        <f t="shared" ca="1" si="26"/>
        <v>45332</v>
      </c>
      <c r="I169" s="119">
        <f ca="1">HLOOKUP($H$5,'Met Data'!$A$2:$F$368,G169,FALSE)</f>
        <v>16.866176470588201</v>
      </c>
      <c r="J169" s="119">
        <f ca="1">HLOOKUP($H$5,'Met Data'!$H$2:$M$368,G169,FALSE)*L169</f>
        <v>0.77647058823529402</v>
      </c>
      <c r="K169" s="96">
        <f ca="1">HLOOKUP($H$5,'Met Data'!$O$2:$T$368,G169,FALSE)</f>
        <v>4.40551625163656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45378</v>
      </c>
      <c r="Q169">
        <f ca="1"/>
        <v>26.640364003163533</v>
      </c>
      <c r="R169">
        <f ca="1"/>
        <v>0.50296264914392808</v>
      </c>
      <c r="S169">
        <f ca="1"/>
        <v>-0.16559546543498271</v>
      </c>
      <c r="T169">
        <f ca="1"/>
        <v>0.37393909677357795</v>
      </c>
      <c r="U169">
        <f ca="1"/>
        <v>0</v>
      </c>
      <c r="V169">
        <f ca="1"/>
        <v>7.9716241491609106</v>
      </c>
      <c r="W169">
        <f ca="1"/>
        <v>7.2925598697879446</v>
      </c>
      <c r="X169">
        <f ca="1"/>
        <v>0</v>
      </c>
      <c r="Y169">
        <f ca="1"/>
        <v>0.37269760380699113</v>
      </c>
      <c r="Z169">
        <f ca="1"/>
        <v>0</v>
      </c>
      <c r="AA169">
        <f ca="1"/>
        <v>0</v>
      </c>
      <c r="AB169">
        <f ca="1"/>
        <v>0.10916633963354493</v>
      </c>
      <c r="AD169" s="2">
        <f t="shared" ca="1" si="22"/>
        <v>45378</v>
      </c>
      <c r="AE169">
        <f t="shared" ca="1" si="23"/>
        <v>0</v>
      </c>
      <c r="AG169" s="63">
        <f t="shared" ca="1" si="27"/>
        <v>27.143326652307461</v>
      </c>
      <c r="AH169" s="63">
        <f t="shared" ca="1" si="28"/>
        <v>27.143326652307461</v>
      </c>
      <c r="AI169" s="3">
        <f t="shared" ca="1" si="29"/>
        <v>0</v>
      </c>
    </row>
    <row r="170" spans="7:35">
      <c r="G170" s="3">
        <f t="shared" ca="1" si="24"/>
        <v>43</v>
      </c>
      <c r="H170" s="95">
        <f t="shared" ca="1" si="26"/>
        <v>45333</v>
      </c>
      <c r="I170" s="119">
        <f ca="1">HLOOKUP($H$5,'Met Data'!$A$2:$F$368,G170,FALSE)</f>
        <v>17.485294117647001</v>
      </c>
      <c r="J170" s="119">
        <f ca="1">HLOOKUP($H$5,'Met Data'!$H$2:$M$368,G170,FALSE)*L170</f>
        <v>1.0529411764705801</v>
      </c>
      <c r="K170" s="96">
        <f ca="1">HLOOKUP($H$5,'Met Data'!$O$2:$T$368,G170,FALSE)</f>
        <v>4.4685640225242098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45379</v>
      </c>
      <c r="Q170">
        <f ca="1"/>
        <v>26.322588617181658</v>
      </c>
      <c r="R170">
        <f ca="1"/>
        <v>0.53304343547169797</v>
      </c>
      <c r="S170">
        <f ca="1"/>
        <v>-0.15332438179460794</v>
      </c>
      <c r="T170">
        <f ca="1"/>
        <v>0.36859243128442859</v>
      </c>
      <c r="U170">
        <f ca="1"/>
        <v>0</v>
      </c>
      <c r="V170">
        <f ca="1"/>
        <v>8.5046675846326085</v>
      </c>
      <c r="W170">
        <f ca="1"/>
        <v>7.7801959014972386</v>
      </c>
      <c r="X170">
        <f ca="1"/>
        <v>0</v>
      </c>
      <c r="Y170">
        <f ca="1"/>
        <v>0.3648815353350286</v>
      </c>
      <c r="Z170">
        <f ca="1"/>
        <v>0</v>
      </c>
      <c r="AA170">
        <f ca="1"/>
        <v>0</v>
      </c>
      <c r="AB170">
        <f ca="1"/>
        <v>0.13155087551251984</v>
      </c>
      <c r="AD170" s="2">
        <f t="shared" ca="1" si="22"/>
        <v>45379</v>
      </c>
      <c r="AE170">
        <f t="shared" ca="1" si="23"/>
        <v>0</v>
      </c>
      <c r="AG170" s="63">
        <f t="shared" ca="1" si="27"/>
        <v>26.855632052653355</v>
      </c>
      <c r="AH170" s="63">
        <f t="shared" ca="1" si="28"/>
        <v>26.855632052653355</v>
      </c>
      <c r="AI170" s="3">
        <f t="shared" ca="1" si="29"/>
        <v>0</v>
      </c>
    </row>
    <row r="171" spans="7:35">
      <c r="G171" s="3">
        <f t="shared" ca="1" si="24"/>
        <v>44</v>
      </c>
      <c r="H171" s="95">
        <f t="shared" ca="1" si="26"/>
        <v>45334</v>
      </c>
      <c r="I171" s="119">
        <f ca="1">HLOOKUP($H$5,'Met Data'!$A$2:$F$368,G171,FALSE)</f>
        <v>17.980882352941101</v>
      </c>
      <c r="J171" s="119">
        <f ca="1">HLOOKUP($H$5,'Met Data'!$H$2:$M$368,G171,FALSE)*L171</f>
        <v>2.1735294117646999</v>
      </c>
      <c r="K171" s="96">
        <f ca="1">HLOOKUP($H$5,'Met Data'!$O$2:$T$368,G171,FALSE)</f>
        <v>4.3571116145332098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45380</v>
      </c>
      <c r="Q171">
        <f ca="1"/>
        <v>25.9792414293062</v>
      </c>
      <c r="R171">
        <f ca="1"/>
        <v>0.56952370923384343</v>
      </c>
      <c r="S171">
        <f ca="1"/>
        <v>-0.15489302526318127</v>
      </c>
      <c r="T171">
        <f ca="1"/>
        <v>0.38106954662156339</v>
      </c>
      <c r="U171">
        <f ca="1"/>
        <v>0</v>
      </c>
      <c r="V171">
        <f ca="1"/>
        <v>9.074191293866452</v>
      </c>
      <c r="W171">
        <f ca="1"/>
        <v>8.3012046280926413</v>
      </c>
      <c r="X171">
        <f ca="1"/>
        <v>0</v>
      </c>
      <c r="Y171">
        <f ca="1"/>
        <v>0.38711298191728832</v>
      </c>
      <c r="Z171">
        <f ca="1"/>
        <v>0</v>
      </c>
      <c r="AA171">
        <f ca="1"/>
        <v>0</v>
      </c>
      <c r="AB171">
        <f ca="1"/>
        <v>0.15784368793642609</v>
      </c>
      <c r="AD171" s="2">
        <f t="shared" ca="1" si="22"/>
        <v>45380</v>
      </c>
      <c r="AE171">
        <f t="shared" ca="1" si="23"/>
        <v>0</v>
      </c>
      <c r="AG171" s="63">
        <f t="shared" ca="1" si="27"/>
        <v>26.548765138540041</v>
      </c>
      <c r="AH171" s="63">
        <f t="shared" ca="1" si="28"/>
        <v>26.548765138540041</v>
      </c>
      <c r="AI171" s="3">
        <f t="shared" ca="1" si="29"/>
        <v>0</v>
      </c>
    </row>
    <row r="172" spans="7:35">
      <c r="G172" s="3">
        <f t="shared" ca="1" si="24"/>
        <v>45</v>
      </c>
      <c r="H172" s="95">
        <f t="shared" ca="1" si="26"/>
        <v>45335</v>
      </c>
      <c r="I172" s="119">
        <f ca="1">HLOOKUP($H$5,'Met Data'!$A$2:$F$368,G172,FALSE)</f>
        <v>16.401470588235199</v>
      </c>
      <c r="J172" s="119">
        <f ca="1">HLOOKUP($H$5,'Met Data'!$H$2:$M$368,G172,FALSE)*L172</f>
        <v>1.78235294117647</v>
      </c>
      <c r="K172" s="96">
        <f ca="1">HLOOKUP($H$5,'Met Data'!$O$2:$T$368,G172,FALSE)</f>
        <v>3.9824902366083998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45381</v>
      </c>
      <c r="Q172">
        <f ca="1"/>
        <v>25.627515126603694</v>
      </c>
      <c r="R172">
        <f ca="1"/>
        <v>0.5676682709218106</v>
      </c>
      <c r="S172">
        <f ca="1"/>
        <v>-0.13992643354697165</v>
      </c>
      <c r="T172">
        <f ca="1"/>
        <v>0.35586840176627516</v>
      </c>
      <c r="U172">
        <f ca="1"/>
        <v>0</v>
      </c>
      <c r="V172">
        <f ca="1"/>
        <v>9.6418595647882626</v>
      </c>
      <c r="W172">
        <f ca="1"/>
        <v>8.8205159722322257</v>
      </c>
      <c r="X172">
        <f ca="1"/>
        <v>0</v>
      </c>
      <c r="Y172">
        <f ca="1"/>
        <v>0.39355461997999402</v>
      </c>
      <c r="Z172">
        <f ca="1"/>
        <v>0</v>
      </c>
      <c r="AA172">
        <f ca="1"/>
        <v>0</v>
      </c>
      <c r="AB172">
        <f ca="1"/>
        <v>0.18628378578875771</v>
      </c>
      <c r="AD172" s="2">
        <f t="shared" ca="1" si="22"/>
        <v>45381</v>
      </c>
      <c r="AE172">
        <f t="shared" ca="1" si="23"/>
        <v>0</v>
      </c>
      <c r="AG172" s="63">
        <f t="shared" ca="1" si="27"/>
        <v>26.195183397525504</v>
      </c>
      <c r="AH172" s="63">
        <f t="shared" ca="1" si="28"/>
        <v>26.195183397525504</v>
      </c>
      <c r="AI172" s="3">
        <f t="shared" ca="1" si="29"/>
        <v>0</v>
      </c>
    </row>
    <row r="173" spans="7:35">
      <c r="G173" s="3">
        <f t="shared" ca="1" si="24"/>
        <v>46</v>
      </c>
      <c r="H173" s="95">
        <f t="shared" ca="1" si="26"/>
        <v>45336</v>
      </c>
      <c r="I173" s="119">
        <f ca="1">HLOOKUP($H$5,'Met Data'!$A$2:$F$368,G173,FALSE)</f>
        <v>15.8867647058823</v>
      </c>
      <c r="J173" s="119">
        <f ca="1">HLOOKUP($H$5,'Met Data'!$H$2:$M$368,G173,FALSE)*L173</f>
        <v>2.5647058823529401</v>
      </c>
      <c r="K173" s="96">
        <f ca="1">HLOOKUP($H$5,'Met Data'!$O$2:$T$368,G173,FALSE)</f>
        <v>3.6699943049553201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45382</v>
      </c>
      <c r="Q173">
        <f ca="1"/>
        <v>25.261811953747397</v>
      </c>
      <c r="R173">
        <f ca="1"/>
        <v>0.57613127152742827</v>
      </c>
      <c r="S173">
        <f ca="1"/>
        <v>-0.12457473577114797</v>
      </c>
      <c r="T173">
        <f ca="1"/>
        <v>0.33500283444228307</v>
      </c>
      <c r="U173">
        <f ca="1"/>
        <v>0</v>
      </c>
      <c r="V173">
        <f ca="1"/>
        <v>10.217990836315691</v>
      </c>
      <c r="W173">
        <f ca="1"/>
        <v>9.347569394703612</v>
      </c>
      <c r="X173">
        <f ca="1"/>
        <v>0</v>
      </c>
      <c r="Y173">
        <f ca="1"/>
        <v>0.38434498330989475</v>
      </c>
      <c r="Z173">
        <f ca="1"/>
        <v>0</v>
      </c>
      <c r="AA173">
        <f ca="1"/>
        <v>0</v>
      </c>
      <c r="AB173">
        <f ca="1"/>
        <v>0.21714337991004817</v>
      </c>
      <c r="AD173" s="2">
        <f t="shared" ca="1" si="22"/>
        <v>45382</v>
      </c>
      <c r="AE173">
        <f t="shared" ca="1" si="23"/>
        <v>0</v>
      </c>
      <c r="AG173" s="63">
        <f t="shared" ca="1" si="27"/>
        <v>25.837943225274827</v>
      </c>
      <c r="AH173" s="63">
        <f t="shared" ca="1" si="28"/>
        <v>25.837943225274827</v>
      </c>
      <c r="AI173" s="3">
        <f t="shared" ca="1" si="29"/>
        <v>0</v>
      </c>
    </row>
    <row r="174" spans="7:35">
      <c r="G174" s="3">
        <f t="shared" ca="1" si="24"/>
        <v>47</v>
      </c>
      <c r="H174" s="95">
        <f t="shared" ca="1" si="26"/>
        <v>45337</v>
      </c>
      <c r="I174" s="119">
        <f ca="1">HLOOKUP($H$5,'Met Data'!$A$2:$F$368,G174,FALSE)</f>
        <v>15.4705882352941</v>
      </c>
      <c r="J174" s="119">
        <f ca="1">HLOOKUP($H$5,'Met Data'!$H$2:$M$368,G174,FALSE)*L174</f>
        <v>2.2558823529411698</v>
      </c>
      <c r="K174" s="96">
        <f ca="1">HLOOKUP($H$5,'Met Data'!$O$2:$T$368,G174,FALSE)</f>
        <v>4.0108603157722298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45383</v>
      </c>
      <c r="Q174">
        <f ca="1"/>
        <v>24.854672283137383</v>
      </c>
      <c r="R174">
        <f ca="1"/>
        <v>0.63406374642075392</v>
      </c>
      <c r="S174">
        <f ca="1"/>
        <v>-0.11809736701708573</v>
      </c>
      <c r="T174">
        <f ca="1"/>
        <v>0.34502144282782526</v>
      </c>
      <c r="U174">
        <f ca="1"/>
        <v>0</v>
      </c>
      <c r="V174">
        <f ca="1"/>
        <v>10.852054582736445</v>
      </c>
      <c r="W174">
        <f ca="1"/>
        <v>9.9276203034663038</v>
      </c>
      <c r="X174">
        <f ca="1"/>
        <v>0</v>
      </c>
      <c r="Y174">
        <f ca="1"/>
        <v>0.36958098336698014</v>
      </c>
      <c r="Z174">
        <f ca="1"/>
        <v>0</v>
      </c>
      <c r="AA174">
        <f ca="1"/>
        <v>0</v>
      </c>
      <c r="AB174">
        <f ca="1"/>
        <v>0.25302179289763521</v>
      </c>
      <c r="AD174" s="2">
        <f t="shared" ca="1" si="22"/>
        <v>45383</v>
      </c>
      <c r="AE174">
        <f t="shared" ca="1" si="23"/>
        <v>0</v>
      </c>
      <c r="AG174" s="63">
        <f t="shared" ca="1" si="27"/>
        <v>25.488736029558137</v>
      </c>
      <c r="AH174" s="63">
        <f t="shared" ca="1" si="28"/>
        <v>25.488736029558137</v>
      </c>
      <c r="AI174" s="3">
        <f t="shared" ca="1" si="29"/>
        <v>0</v>
      </c>
    </row>
    <row r="175" spans="7:35">
      <c r="G175" s="3">
        <f t="shared" ca="1" si="24"/>
        <v>48</v>
      </c>
      <c r="H175" s="95">
        <f t="shared" ca="1" si="26"/>
        <v>45338</v>
      </c>
      <c r="I175" s="119">
        <f ca="1">HLOOKUP($H$5,'Met Data'!$A$2:$F$368,G175,FALSE)</f>
        <v>16.035294117646998</v>
      </c>
      <c r="J175" s="119">
        <f ca="1">HLOOKUP($H$5,'Met Data'!$H$2:$M$368,G175,FALSE)*L175</f>
        <v>1.3529411764705801</v>
      </c>
      <c r="K175" s="96">
        <f ca="1">HLOOKUP($H$5,'Met Data'!$O$2:$T$368,G175,FALSE)</f>
        <v>4.2159434978261299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45384</v>
      </c>
      <c r="Q175">
        <f ca="1"/>
        <v>24.427733951436885</v>
      </c>
      <c r="R175">
        <f ca="1"/>
        <v>0.65065476070211581</v>
      </c>
      <c r="S175">
        <f ca="1"/>
        <v>-0.10778789614506934</v>
      </c>
      <c r="T175">
        <f ca="1"/>
        <v>0.33150432514668798</v>
      </c>
      <c r="U175">
        <f ca="1"/>
        <v>0</v>
      </c>
      <c r="V175">
        <f ca="1"/>
        <v>11.502709343438561</v>
      </c>
      <c r="W175">
        <f ca="1"/>
        <v>10.522848917886385</v>
      </c>
      <c r="X175">
        <f ca="1"/>
        <v>0</v>
      </c>
      <c r="Y175">
        <f ca="1"/>
        <v>0.36572165053356492</v>
      </c>
      <c r="Z175">
        <f ca="1"/>
        <v>0</v>
      </c>
      <c r="AA175">
        <f ca="1"/>
        <v>0</v>
      </c>
      <c r="AB175">
        <f ca="1"/>
        <v>0.29140845812991578</v>
      </c>
      <c r="AD175" s="2">
        <f t="shared" ca="1" si="22"/>
        <v>45384</v>
      </c>
      <c r="AE175">
        <f t="shared" ca="1" si="23"/>
        <v>0</v>
      </c>
      <c r="AG175" s="63">
        <f t="shared" ca="1" si="27"/>
        <v>25.078388712139002</v>
      </c>
      <c r="AH175" s="63">
        <f t="shared" ca="1" si="28"/>
        <v>25.078388712139002</v>
      </c>
      <c r="AI175" s="3">
        <f t="shared" ca="1" si="29"/>
        <v>0</v>
      </c>
    </row>
    <row r="176" spans="7:35">
      <c r="G176" s="3">
        <f t="shared" ca="1" si="24"/>
        <v>49</v>
      </c>
      <c r="H176" s="95">
        <f t="shared" ca="1" si="26"/>
        <v>45339</v>
      </c>
      <c r="I176" s="119">
        <f ca="1">HLOOKUP($H$5,'Met Data'!$A$2:$F$368,G176,FALSE)</f>
        <v>17.155882352941099</v>
      </c>
      <c r="J176" s="119">
        <f ca="1">HLOOKUP($H$5,'Met Data'!$H$2:$M$368,G176,FALSE)*L176</f>
        <v>1.3794117647058799</v>
      </c>
      <c r="K176" s="96">
        <f ca="1">HLOOKUP($H$5,'Met Data'!$O$2:$T$368,G176,FALSE)</f>
        <v>4.4742152890515898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45385</v>
      </c>
      <c r="Q176">
        <f ca="1"/>
        <v>23.986236497412008</v>
      </c>
      <c r="R176">
        <f ca="1"/>
        <v>0.65972853811457099</v>
      </c>
      <c r="S176">
        <f ca="1"/>
        <v>-9.9348900361896142E-2</v>
      </c>
      <c r="T176">
        <f ca="1"/>
        <v>0.31757998445158908</v>
      </c>
      <c r="U176">
        <f ca="1"/>
        <v>0</v>
      </c>
      <c r="V176">
        <f ca="1"/>
        <v>12.162437881553132</v>
      </c>
      <c r="W176">
        <f ca="1"/>
        <v>11.126378358309717</v>
      </c>
      <c r="X176">
        <f ca="1"/>
        <v>0</v>
      </c>
      <c r="Y176">
        <f ca="1"/>
        <v>0.36811642933950661</v>
      </c>
      <c r="Z176">
        <f ca="1"/>
        <v>0</v>
      </c>
      <c r="AA176">
        <f ca="1"/>
        <v>0</v>
      </c>
      <c r="AB176">
        <f ca="1"/>
        <v>0.33136598835999609</v>
      </c>
      <c r="AD176" s="2">
        <f t="shared" ca="1" si="22"/>
        <v>45385</v>
      </c>
      <c r="AE176">
        <f t="shared" ca="1" si="23"/>
        <v>0</v>
      </c>
      <c r="AG176" s="63">
        <f t="shared" ca="1" si="27"/>
        <v>24.645965035526579</v>
      </c>
      <c r="AH176" s="63">
        <f t="shared" ca="1" si="28"/>
        <v>24.645965035526579</v>
      </c>
      <c r="AI176" s="3">
        <f t="shared" ca="1" si="29"/>
        <v>0</v>
      </c>
    </row>
    <row r="177" spans="7:35">
      <c r="G177" s="3">
        <f t="shared" ca="1" si="24"/>
        <v>50</v>
      </c>
      <c r="H177" s="95">
        <f t="shared" ca="1" si="26"/>
        <v>45340</v>
      </c>
      <c r="I177" s="119">
        <f ca="1">HLOOKUP($H$5,'Met Data'!$A$2:$F$368,G177,FALSE)</f>
        <v>17.5720588235294</v>
      </c>
      <c r="J177" s="119">
        <f ca="1">HLOOKUP($H$5,'Met Data'!$H$2:$M$368,G177,FALSE)*L177</f>
        <v>2.15</v>
      </c>
      <c r="K177" s="96">
        <f ca="1">HLOOKUP($H$5,'Met Data'!$O$2:$T$368,G177,FALSE)</f>
        <v>4.8952010783751296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45386</v>
      </c>
      <c r="Q177">
        <f ca="1"/>
        <v>23.521969693514674</v>
      </c>
      <c r="R177">
        <f ca="1"/>
        <v>0.68187069739076023</v>
      </c>
      <c r="S177">
        <f ca="1"/>
        <v>-9.1760816643052578E-2</v>
      </c>
      <c r="T177">
        <f ca="1"/>
        <v>0.30936471013647782</v>
      </c>
      <c r="U177">
        <f ca="1"/>
        <v>0</v>
      </c>
      <c r="V177">
        <f ca="1"/>
        <v>12.844308578943892</v>
      </c>
      <c r="W177">
        <f ca="1"/>
        <v>11.750163774070893</v>
      </c>
      <c r="X177">
        <f ca="1"/>
        <v>0</v>
      </c>
      <c r="Y177">
        <f ca="1"/>
        <v>0.36377131529765849</v>
      </c>
      <c r="Z177">
        <f ca="1"/>
        <v>0</v>
      </c>
      <c r="AA177">
        <f ca="1"/>
        <v>0</v>
      </c>
      <c r="AB177">
        <f ca="1"/>
        <v>0.37312639967211592</v>
      </c>
      <c r="AD177" s="2">
        <f t="shared" ca="1" si="22"/>
        <v>45386</v>
      </c>
      <c r="AE177">
        <f t="shared" ca="1" si="23"/>
        <v>0</v>
      </c>
      <c r="AG177" s="63">
        <f t="shared" ca="1" si="27"/>
        <v>24.203840390905434</v>
      </c>
      <c r="AH177" s="63">
        <f t="shared" ca="1" si="28"/>
        <v>24.203840390905434</v>
      </c>
      <c r="AI177" s="3">
        <f t="shared" ca="1" si="29"/>
        <v>0</v>
      </c>
    </row>
    <row r="178" spans="7:35">
      <c r="G178" s="3">
        <f t="shared" ca="1" si="24"/>
        <v>51</v>
      </c>
      <c r="H178" s="95">
        <f t="shared" ca="1" si="26"/>
        <v>45341</v>
      </c>
      <c r="I178" s="119">
        <f ca="1">HLOOKUP($H$5,'Met Data'!$A$2:$F$368,G178,FALSE)</f>
        <v>16.991176470588201</v>
      </c>
      <c r="J178" s="119">
        <f ca="1">HLOOKUP($H$5,'Met Data'!$H$2:$M$368,G178,FALSE)*L178</f>
        <v>0.64117647058823501</v>
      </c>
      <c r="K178" s="96">
        <f ca="1">HLOOKUP($H$5,'Met Data'!$O$2:$T$368,G178,FALSE)</f>
        <v>4.3668387336618597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45387</v>
      </c>
      <c r="Q178">
        <f ca="1"/>
        <v>23.024022010968348</v>
      </c>
      <c r="R178">
        <f ca="1"/>
        <v>0.72525633962034775</v>
      </c>
      <c r="S178">
        <f ca="1"/>
        <v>-9.0989260200345257E-2</v>
      </c>
      <c r="T178">
        <f ca="1"/>
        <v>0.31829791727436718</v>
      </c>
      <c r="U178">
        <f ca="1"/>
        <v>0</v>
      </c>
      <c r="V178">
        <f ca="1"/>
        <v>13.56956491856424</v>
      </c>
      <c r="W178">
        <f ca="1"/>
        <v>12.413639018093953</v>
      </c>
      <c r="X178">
        <f ca="1"/>
        <v>0</v>
      </c>
      <c r="Y178">
        <f ca="1"/>
        <v>0.37647106912771722</v>
      </c>
      <c r="Z178">
        <f ca="1"/>
        <v>0</v>
      </c>
      <c r="AA178">
        <f ca="1"/>
        <v>0</v>
      </c>
      <c r="AB178">
        <f ca="1"/>
        <v>0.41736798339878772</v>
      </c>
      <c r="AD178" s="2">
        <f t="shared" ca="1" si="22"/>
        <v>45387</v>
      </c>
      <c r="AE178">
        <f t="shared" ca="1" si="23"/>
        <v>0</v>
      </c>
      <c r="AG178" s="63">
        <f t="shared" ca="1" si="27"/>
        <v>23.749278350588696</v>
      </c>
      <c r="AH178" s="63">
        <f t="shared" ca="1" si="28"/>
        <v>23.749278350588696</v>
      </c>
      <c r="AI178" s="3">
        <f t="shared" ca="1" si="29"/>
        <v>0</v>
      </c>
    </row>
    <row r="179" spans="7:35">
      <c r="G179" s="3">
        <f t="shared" ca="1" si="24"/>
        <v>52</v>
      </c>
      <c r="H179" s="95">
        <f t="shared" ca="1" si="26"/>
        <v>45342</v>
      </c>
      <c r="I179" s="119">
        <f ca="1">HLOOKUP($H$5,'Met Data'!$A$2:$F$368,G179,FALSE)</f>
        <v>16.655882352941099</v>
      </c>
      <c r="J179" s="119">
        <f ca="1">HLOOKUP($H$5,'Met Data'!$H$2:$M$368,G179,FALSE)*L179</f>
        <v>2.5705882352941098</v>
      </c>
      <c r="K179" s="96">
        <f ca="1">HLOOKUP($H$5,'Met Data'!$O$2:$T$368,G179,FALSE)</f>
        <v>4.6555880727780803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45388</v>
      </c>
      <c r="Q179">
        <f ca="1"/>
        <v>22.503461104687759</v>
      </c>
      <c r="R179">
        <f ca="1"/>
        <v>0.75650349650824822</v>
      </c>
      <c r="S179">
        <f ca="1"/>
        <v>-9.2793626738849611E-2</v>
      </c>
      <c r="T179">
        <f ca="1"/>
        <v>0.32873621696650901</v>
      </c>
      <c r="U179">
        <f ca="1"/>
        <v>0</v>
      </c>
      <c r="V179">
        <f ca="1"/>
        <v>14.326068415072488</v>
      </c>
      <c r="W179">
        <f ca="1"/>
        <v>13.105699624158905</v>
      </c>
      <c r="X179">
        <f ca="1"/>
        <v>0</v>
      </c>
      <c r="Y179">
        <f ca="1"/>
        <v>0.409501808891651</v>
      </c>
      <c r="Z179">
        <f ca="1"/>
        <v>0</v>
      </c>
      <c r="AA179">
        <f ca="1"/>
        <v>0</v>
      </c>
      <c r="AB179">
        <f ca="1"/>
        <v>0.462616188267995</v>
      </c>
      <c r="AD179" s="2">
        <f t="shared" ca="1" si="22"/>
        <v>45388</v>
      </c>
      <c r="AE179">
        <f t="shared" ca="1" si="23"/>
        <v>0</v>
      </c>
      <c r="AG179" s="63">
        <f t="shared" ca="1" si="27"/>
        <v>23.259964601196007</v>
      </c>
      <c r="AH179" s="63">
        <f t="shared" ca="1" si="28"/>
        <v>23.259964601196007</v>
      </c>
      <c r="AI179" s="3">
        <f t="shared" ca="1" si="29"/>
        <v>0</v>
      </c>
    </row>
    <row r="180" spans="7:35">
      <c r="G180" s="3">
        <f t="shared" ca="1" si="24"/>
        <v>53</v>
      </c>
      <c r="H180" s="95">
        <f t="shared" ca="1" si="26"/>
        <v>45343</v>
      </c>
      <c r="I180" s="119">
        <f ca="1">HLOOKUP($H$5,'Met Data'!$A$2:$F$368,G180,FALSE)</f>
        <v>16.6955882352941</v>
      </c>
      <c r="J180" s="119">
        <f ca="1">HLOOKUP($H$5,'Met Data'!$H$2:$M$368,G180,FALSE)*L180</f>
        <v>0.76470588235294101</v>
      </c>
      <c r="K180" s="96">
        <f ca="1">HLOOKUP($H$5,'Met Data'!$O$2:$T$368,G180,FALSE)</f>
        <v>4.46937460417998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45389</v>
      </c>
      <c r="Q180">
        <f ca="1"/>
        <v>21.949451071522905</v>
      </c>
      <c r="R180">
        <f ca="1"/>
        <v>0.79698404903881226</v>
      </c>
      <c r="S180">
        <f ca="1"/>
        <v>-8.8228189575705329E-2</v>
      </c>
      <c r="T180">
        <f ca="1"/>
        <v>0.33120220544966228</v>
      </c>
      <c r="U180">
        <f ca="1"/>
        <v>0</v>
      </c>
      <c r="V180">
        <f ca="1"/>
        <v>15.1230524641113</v>
      </c>
      <c r="W180">
        <f ca="1"/>
        <v>13.834792439390707</v>
      </c>
      <c r="X180">
        <f ca="1"/>
        <v>0</v>
      </c>
      <c r="Y180">
        <f ca="1"/>
        <v>0.41302581686307038</v>
      </c>
      <c r="Z180">
        <f ca="1"/>
        <v>0</v>
      </c>
      <c r="AA180">
        <f ca="1"/>
        <v>0</v>
      </c>
      <c r="AB180">
        <f ca="1"/>
        <v>0.50860915668617168</v>
      </c>
      <c r="AD180" s="2">
        <f t="shared" ca="1" si="22"/>
        <v>45389</v>
      </c>
      <c r="AE180">
        <f t="shared" ca="1" si="23"/>
        <v>0</v>
      </c>
      <c r="AG180" s="63">
        <f t="shared" ca="1" si="27"/>
        <v>22.746435120561717</v>
      </c>
      <c r="AH180" s="63">
        <f t="shared" ca="1" si="28"/>
        <v>22.746435120561717</v>
      </c>
      <c r="AI180" s="3">
        <f t="shared" ca="1" si="29"/>
        <v>0</v>
      </c>
    </row>
    <row r="181" spans="7:35">
      <c r="G181" s="3">
        <f t="shared" ca="1" si="24"/>
        <v>54</v>
      </c>
      <c r="H181" s="95">
        <f t="shared" ca="1" si="26"/>
        <v>45344</v>
      </c>
      <c r="I181" s="119">
        <f ca="1">HLOOKUP($H$5,'Met Data'!$A$2:$F$368,G181,FALSE)</f>
        <v>16.394117647058799</v>
      </c>
      <c r="J181" s="119">
        <f ca="1">HLOOKUP($H$5,'Met Data'!$H$2:$M$368,G181,FALSE)*L181</f>
        <v>1.52647058823529</v>
      </c>
      <c r="K181" s="96">
        <f ca="1">HLOOKUP($H$5,'Met Data'!$O$2:$T$368,G181,FALSE)</f>
        <v>4.4113780272088796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45390</v>
      </c>
      <c r="Q181">
        <f ca="1"/>
        <v>21.389459162753788</v>
      </c>
      <c r="R181">
        <f ca="1"/>
        <v>0.79981573017628982</v>
      </c>
      <c r="S181">
        <f ca="1"/>
        <v>-8.3672711453338877E-2</v>
      </c>
      <c r="T181">
        <f ca="1"/>
        <v>0.32349653286051261</v>
      </c>
      <c r="U181">
        <f ca="1"/>
        <v>0</v>
      </c>
      <c r="V181">
        <f ca="1"/>
        <v>15.92286819428759</v>
      </c>
      <c r="W181">
        <f ca="1"/>
        <v>14.566475718477907</v>
      </c>
      <c r="X181">
        <f ca="1"/>
        <v>0</v>
      </c>
      <c r="Y181">
        <f ca="1"/>
        <v>0.43404492965265312</v>
      </c>
      <c r="Z181">
        <f ca="1"/>
        <v>0</v>
      </c>
      <c r="AA181">
        <f ca="1"/>
        <v>0</v>
      </c>
      <c r="AB181">
        <f ca="1"/>
        <v>0.55247766094307438</v>
      </c>
      <c r="AD181" s="2">
        <f t="shared" ca="1" si="22"/>
        <v>45390</v>
      </c>
      <c r="AE181">
        <f t="shared" ca="1" si="23"/>
        <v>0</v>
      </c>
      <c r="AG181" s="63">
        <f t="shared" ca="1" si="27"/>
        <v>22.189274892930079</v>
      </c>
      <c r="AH181" s="63">
        <f t="shared" ca="1" si="28"/>
        <v>22.189274892930079</v>
      </c>
      <c r="AI181" s="3">
        <f t="shared" ca="1" si="29"/>
        <v>0</v>
      </c>
    </row>
    <row r="182" spans="7:35">
      <c r="G182" s="3">
        <f t="shared" ca="1" si="24"/>
        <v>55</v>
      </c>
      <c r="H182" s="95">
        <f t="shared" ca="1" si="26"/>
        <v>45345</v>
      </c>
      <c r="I182" s="119">
        <f ca="1">HLOOKUP($H$5,'Met Data'!$A$2:$F$368,G182,FALSE)</f>
        <v>16.088235294117599</v>
      </c>
      <c r="J182" s="119">
        <f ca="1">HLOOKUP($H$5,'Met Data'!$H$2:$M$368,G182,FALSE)*L182</f>
        <v>1.78529411764705</v>
      </c>
      <c r="K182" s="96">
        <f ca="1">HLOOKUP($H$5,'Met Data'!$O$2:$T$368,G182,FALSE)</f>
        <v>3.9052160279772399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45391</v>
      </c>
      <c r="Q182">
        <f ca="1"/>
        <v>20.843707897666341</v>
      </c>
      <c r="R182">
        <f ca="1"/>
        <v>0.76819815298812522</v>
      </c>
      <c r="S182">
        <f ca="1"/>
        <v>-7.3828228789583505E-2</v>
      </c>
      <c r="T182">
        <f ca="1"/>
        <v>0.29627511669026535</v>
      </c>
      <c r="U182">
        <f ca="1"/>
        <v>0</v>
      </c>
      <c r="V182">
        <f ca="1"/>
        <v>16.691066347275715</v>
      </c>
      <c r="W182">
        <f ca="1"/>
        <v>15.26923476954482</v>
      </c>
      <c r="X182">
        <f ca="1"/>
        <v>0</v>
      </c>
      <c r="Y182">
        <f ca="1"/>
        <v>0.43774541914480486</v>
      </c>
      <c r="Z182">
        <f ca="1"/>
        <v>0</v>
      </c>
      <c r="AA182">
        <f ca="1"/>
        <v>0</v>
      </c>
      <c r="AB182">
        <f ca="1"/>
        <v>0.59208551166848555</v>
      </c>
      <c r="AD182" s="2">
        <f t="shared" ca="1" si="22"/>
        <v>45391</v>
      </c>
      <c r="AE182">
        <f t="shared" ca="1" si="23"/>
        <v>0</v>
      </c>
      <c r="AG182" s="63">
        <f t="shared" ca="1" si="27"/>
        <v>21.611906050654468</v>
      </c>
      <c r="AH182" s="63">
        <f t="shared" ca="1" si="28"/>
        <v>21.611906050654468</v>
      </c>
      <c r="AI182" s="3">
        <f t="shared" ca="1" si="29"/>
        <v>0</v>
      </c>
    </row>
    <row r="183" spans="7:35">
      <c r="G183" s="3">
        <f t="shared" ca="1" si="24"/>
        <v>56</v>
      </c>
      <c r="H183" s="95">
        <f t="shared" ca="1" si="26"/>
        <v>45346</v>
      </c>
      <c r="I183" s="119">
        <f ca="1">HLOOKUP($H$5,'Met Data'!$A$2:$F$368,G183,FALSE)</f>
        <v>16.782352941176399</v>
      </c>
      <c r="J183" s="119">
        <f ca="1">HLOOKUP($H$5,'Met Data'!$H$2:$M$368,G183,FALSE)*L183</f>
        <v>1.6794117647058799</v>
      </c>
      <c r="K183" s="96">
        <f ca="1">HLOOKUP($H$5,'Met Data'!$O$2:$T$368,G183,FALSE)</f>
        <v>4.8281000917338197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45392</v>
      </c>
      <c r="Q183">
        <f ca="1"/>
        <v>20.255435040908001</v>
      </c>
      <c r="R183">
        <f ca="1"/>
        <v>0.81911547278560803</v>
      </c>
      <c r="S183">
        <f ca="1"/>
        <v>-6.9129402429869202E-2</v>
      </c>
      <c r="T183">
        <f ca="1"/>
        <v>0.29997201845713789</v>
      </c>
      <c r="U183">
        <f ca="1"/>
        <v>0</v>
      </c>
      <c r="V183">
        <f ca="1"/>
        <v>17.510181820061323</v>
      </c>
      <c r="W183">
        <f ca="1"/>
        <v>16.018573739093135</v>
      </c>
      <c r="X183">
        <f ca="1"/>
        <v>0</v>
      </c>
      <c r="Y183">
        <f ca="1"/>
        <v>0.42943964077795466</v>
      </c>
      <c r="Z183">
        <f ca="1"/>
        <v>0</v>
      </c>
      <c r="AA183">
        <f ca="1"/>
        <v>0</v>
      </c>
      <c r="AB183">
        <f ca="1"/>
        <v>0.63135227201091471</v>
      </c>
      <c r="AD183" s="2">
        <f t="shared" ca="1" si="22"/>
        <v>45392</v>
      </c>
      <c r="AE183">
        <f t="shared" ca="1" si="23"/>
        <v>0</v>
      </c>
      <c r="AG183" s="63">
        <f t="shared" ca="1" si="27"/>
        <v>21.074550513693609</v>
      </c>
      <c r="AH183" s="63">
        <f t="shared" ca="1" si="28"/>
        <v>21.074550513693609</v>
      </c>
      <c r="AI183" s="3">
        <f t="shared" ca="1" si="29"/>
        <v>0</v>
      </c>
    </row>
    <row r="184" spans="7:35">
      <c r="G184" s="3">
        <f t="shared" ca="1" si="24"/>
        <v>57</v>
      </c>
      <c r="H184" s="95">
        <f t="shared" ca="1" si="26"/>
        <v>45347</v>
      </c>
      <c r="I184" s="119">
        <f ca="1">HLOOKUP($H$5,'Met Data'!$A$2:$F$368,G184,FALSE)</f>
        <v>16.1897058823529</v>
      </c>
      <c r="J184" s="119">
        <f ca="1">HLOOKUP($H$5,'Met Data'!$H$2:$M$368,G184,FALSE)*L184</f>
        <v>0.59411764705882297</v>
      </c>
      <c r="K184" s="96">
        <f ca="1">HLOOKUP($H$5,'Met Data'!$O$2:$T$368,G184,FALSE)</f>
        <v>4.4819172090086496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45393</v>
      </c>
      <c r="Q184">
        <f ca="1"/>
        <v>19.644488713953379</v>
      </c>
      <c r="R184">
        <f ca="1"/>
        <v>0.84283821355812449</v>
      </c>
      <c r="S184">
        <f ca="1"/>
        <v>-6.4287885856973759E-2</v>
      </c>
      <c r="T184">
        <f ca="1"/>
        <v>0.29617977246047511</v>
      </c>
      <c r="U184">
        <f ca="1"/>
        <v>0</v>
      </c>
      <c r="V184">
        <f ca="1"/>
        <v>18.353020033619448</v>
      </c>
      <c r="W184">
        <f ca="1"/>
        <v>16.789614623348161</v>
      </c>
      <c r="X184">
        <f ca="1"/>
        <v>0</v>
      </c>
      <c r="Y184">
        <f ca="1"/>
        <v>0.43107073555650571</v>
      </c>
      <c r="Z184">
        <f ca="1"/>
        <v>0</v>
      </c>
      <c r="AA184">
        <f ca="1"/>
        <v>0</v>
      </c>
      <c r="AB184">
        <f ca="1"/>
        <v>0.66845053195459814</v>
      </c>
      <c r="AD184" s="2">
        <f t="shared" ca="1" si="22"/>
        <v>45393</v>
      </c>
      <c r="AE184">
        <f t="shared" ca="1" si="23"/>
        <v>0</v>
      </c>
      <c r="AG184" s="63">
        <f t="shared" ca="1" si="27"/>
        <v>20.487326927511504</v>
      </c>
      <c r="AH184" s="63">
        <f t="shared" ca="1" si="28"/>
        <v>20.487326927511504</v>
      </c>
      <c r="AI184" s="3">
        <f t="shared" ca="1" si="29"/>
        <v>0</v>
      </c>
    </row>
    <row r="185" spans="7:35">
      <c r="G185" s="3">
        <f t="shared" ca="1" si="24"/>
        <v>58</v>
      </c>
      <c r="H185" s="95">
        <f t="shared" ca="1" si="26"/>
        <v>45348</v>
      </c>
      <c r="I185" s="119">
        <f ca="1">HLOOKUP($H$5,'Met Data'!$A$2:$F$368,G185,FALSE)</f>
        <v>16.1941176470588</v>
      </c>
      <c r="J185" s="119">
        <f ca="1">HLOOKUP($H$5,'Met Data'!$H$2:$M$368,G185,FALSE)*L185</f>
        <v>1.93333333333333</v>
      </c>
      <c r="K185" s="96">
        <f ca="1">HLOOKUP($H$5,'Met Data'!$O$2:$T$368,G185,FALSE)</f>
        <v>4.3896941334323998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45394</v>
      </c>
      <c r="Q185">
        <f ca="1"/>
        <v>18.975057519063288</v>
      </c>
      <c r="R185">
        <f ca="1"/>
        <v>0.91402133163371602</v>
      </c>
      <c r="S185">
        <f ca="1"/>
        <v>-6.0690888359065553E-2</v>
      </c>
      <c r="T185">
        <f ca="1"/>
        <v>0.30528102510268912</v>
      </c>
      <c r="U185">
        <f ca="1"/>
        <v>0</v>
      </c>
      <c r="V185">
        <f ca="1"/>
        <v>19.267041365253164</v>
      </c>
      <c r="W185">
        <f ca="1"/>
        <v>17.625774878583449</v>
      </c>
      <c r="X185">
        <f ca="1"/>
        <v>0</v>
      </c>
      <c r="Y185">
        <f ca="1"/>
        <v>0.42199535211338735</v>
      </c>
      <c r="Z185">
        <f ca="1"/>
        <v>0</v>
      </c>
      <c r="AA185">
        <f ca="1"/>
        <v>0</v>
      </c>
      <c r="AB185">
        <f ca="1"/>
        <v>0.70490926674439125</v>
      </c>
      <c r="AD185" s="2">
        <f t="shared" ca="1" si="22"/>
        <v>45394</v>
      </c>
      <c r="AE185">
        <f t="shared" ca="1" si="23"/>
        <v>0</v>
      </c>
      <c r="AG185" s="63">
        <f t="shared" ca="1" si="27"/>
        <v>19.889078850697004</v>
      </c>
      <c r="AH185" s="63">
        <f t="shared" ca="1" si="28"/>
        <v>19.889078850697004</v>
      </c>
      <c r="AI185" s="3">
        <f t="shared" ca="1" si="29"/>
        <v>0</v>
      </c>
    </row>
    <row r="186" spans="7:35">
      <c r="G186" s="3">
        <f t="shared" ca="1" si="24"/>
        <v>59</v>
      </c>
      <c r="H186" s="95">
        <f t="shared" ca="1" si="26"/>
        <v>45349</v>
      </c>
      <c r="I186" s="119">
        <f ca="1">HLOOKUP($H$5,'Met Data'!$A$2:$F$368,G186,FALSE)</f>
        <v>16.208823529411699</v>
      </c>
      <c r="J186" s="119">
        <f ca="1">HLOOKUP($H$5,'Met Data'!$H$2:$M$368,G186,FALSE)*L186</f>
        <v>1.1676470588235199</v>
      </c>
      <c r="K186" s="96">
        <f ca="1">HLOOKUP($H$5,'Met Data'!$O$2:$T$368,G186,FALSE)</f>
        <v>4.0964729959716299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45395</v>
      </c>
      <c r="Q186">
        <f ca="1"/>
        <v>18.290171645683238</v>
      </c>
      <c r="R186">
        <f ca="1"/>
        <v>0.92147863729221413</v>
      </c>
      <c r="S186">
        <f ca="1"/>
        <v>-5.3751368474372896E-2</v>
      </c>
      <c r="T186">
        <f ca="1"/>
        <v>0.29034413238653484</v>
      </c>
      <c r="U186">
        <f ca="1"/>
        <v>0</v>
      </c>
      <c r="V186">
        <f ca="1"/>
        <v>20.188520002545378</v>
      </c>
      <c r="W186">
        <f ca="1"/>
        <v>18.468757187513734</v>
      </c>
      <c r="X186">
        <f ca="1"/>
        <v>0</v>
      </c>
      <c r="Y186">
        <f ca="1"/>
        <v>0.41135879547839377</v>
      </c>
      <c r="Z186">
        <f ca="1"/>
        <v>0</v>
      </c>
      <c r="AA186">
        <f ca="1"/>
        <v>0</v>
      </c>
      <c r="AB186">
        <f ca="1"/>
        <v>0.7378352955587385</v>
      </c>
      <c r="AD186" s="2">
        <f t="shared" ca="1" si="22"/>
        <v>45395</v>
      </c>
      <c r="AE186">
        <f t="shared" ca="1" si="23"/>
        <v>0</v>
      </c>
      <c r="AG186" s="63">
        <f t="shared" ca="1" si="27"/>
        <v>19.211650282975452</v>
      </c>
      <c r="AH186" s="63">
        <f t="shared" ca="1" si="28"/>
        <v>19.211650282975452</v>
      </c>
      <c r="AI186" s="3">
        <f t="shared" ca="1" si="29"/>
        <v>0</v>
      </c>
    </row>
    <row r="187" spans="7:35">
      <c r="G187" s="3">
        <f t="shared" ca="1" si="24"/>
        <v>60</v>
      </c>
      <c r="H187" s="95">
        <f t="shared" ca="1" si="26"/>
        <v>45350</v>
      </c>
      <c r="I187" s="119">
        <f ca="1">HLOOKUP($H$5,'Met Data'!$A$2:$F$368,G187,FALSE)</f>
        <v>16.074999999999999</v>
      </c>
      <c r="J187" s="119">
        <f ca="1">HLOOKUP($H$5,'Met Data'!$H$2:$M$368,G187,FALSE)*L187</f>
        <v>1.3352941176470501</v>
      </c>
      <c r="K187" s="96">
        <f ca="1">HLOOKUP($H$5,'Met Data'!$O$2:$T$368,G187,FALSE)</f>
        <v>4.1211840462926297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45396</v>
      </c>
      <c r="Q187">
        <f ca="1"/>
        <v>17.503283905737007</v>
      </c>
      <c r="R187">
        <f ca="1"/>
        <v>1.0416476318086758</v>
      </c>
      <c r="S187">
        <f ca="1"/>
        <v>-4.9291782216155156E-2</v>
      </c>
      <c r="T187">
        <f ca="1"/>
        <v>0.30405167407860112</v>
      </c>
      <c r="U187">
        <f ca="1"/>
        <v>0</v>
      </c>
      <c r="V187">
        <f ca="1"/>
        <v>21.230167634354054</v>
      </c>
      <c r="W187">
        <f ca="1"/>
        <v>19.42167187290908</v>
      </c>
      <c r="X187">
        <f ca="1"/>
        <v>0</v>
      </c>
      <c r="Y187">
        <f ca="1"/>
        <v>0.37792654047731383</v>
      </c>
      <c r="Z187">
        <f ca="1"/>
        <v>0</v>
      </c>
      <c r="AA187">
        <f ca="1"/>
        <v>0</v>
      </c>
      <c r="AB187">
        <f ca="1"/>
        <v>0.7707231124770948</v>
      </c>
      <c r="AD187" s="2">
        <f t="shared" ca="1" si="22"/>
        <v>45396</v>
      </c>
      <c r="AE187">
        <f t="shared" ca="1" si="23"/>
        <v>0</v>
      </c>
      <c r="AG187" s="63">
        <f t="shared" ca="1" si="27"/>
        <v>18.544931537545683</v>
      </c>
      <c r="AH187" s="63">
        <f t="shared" ca="1" si="28"/>
        <v>18.544931537545683</v>
      </c>
      <c r="AI187" s="3">
        <f t="shared" ca="1" si="29"/>
        <v>0</v>
      </c>
    </row>
    <row r="188" spans="7:35">
      <c r="G188" s="3">
        <f t="shared" ca="1" si="24"/>
        <v>61</v>
      </c>
      <c r="H188" s="95">
        <f t="shared" ca="1" si="26"/>
        <v>45351</v>
      </c>
      <c r="I188" s="119">
        <f ca="1">HLOOKUP($H$5,'Met Data'!$A$2:$F$368,G188,FALSE)</f>
        <v>16.264705882352899</v>
      </c>
      <c r="J188" s="119">
        <f ca="1">HLOOKUP($H$5,'Met Data'!$H$2:$M$368,G188,FALSE)*L188</f>
        <v>0.48235294117646998</v>
      </c>
      <c r="K188" s="96">
        <f ca="1">HLOOKUP($H$5,'Met Data'!$O$2:$T$368,G188,FALSE)</f>
        <v>4.4835430215906102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45397</v>
      </c>
      <c r="Q188">
        <f ca="1"/>
        <v>16.694673755523365</v>
      </c>
      <c r="R188">
        <f ca="1"/>
        <v>1.0542011227990145</v>
      </c>
      <c r="S188">
        <f ca="1"/>
        <v>-4.3206732079003274E-2</v>
      </c>
      <c r="T188">
        <f ca="1"/>
        <v>0.2887977046643766</v>
      </c>
      <c r="U188">
        <f ca="1"/>
        <v>0</v>
      </c>
      <c r="V188">
        <f ca="1"/>
        <v>22.284368757153068</v>
      </c>
      <c r="W188">
        <f ca="1"/>
        <v>20.386070677840031</v>
      </c>
      <c r="X188">
        <f ca="1"/>
        <v>0</v>
      </c>
      <c r="Y188">
        <f ca="1"/>
        <v>0.36403209210726761</v>
      </c>
      <c r="Z188">
        <f ca="1"/>
        <v>0</v>
      </c>
      <c r="AA188">
        <f ca="1"/>
        <v>0</v>
      </c>
      <c r="AB188">
        <f ca="1"/>
        <v>0.79973870978714745</v>
      </c>
      <c r="AD188" s="2">
        <f t="shared" ca="1" si="22"/>
        <v>45397</v>
      </c>
      <c r="AE188">
        <f t="shared" ca="1" si="23"/>
        <v>0</v>
      </c>
      <c r="AG188" s="63">
        <f t="shared" ca="1" si="27"/>
        <v>17.748874878322379</v>
      </c>
      <c r="AH188" s="63">
        <f t="shared" ca="1" si="28"/>
        <v>17.748874878322379</v>
      </c>
      <c r="AI188" s="3">
        <f t="shared" ca="1" si="29"/>
        <v>0</v>
      </c>
    </row>
    <row r="189" spans="7:35">
      <c r="G189" s="3">
        <f t="shared" ca="1" si="24"/>
        <v>62</v>
      </c>
      <c r="H189" s="95">
        <f t="shared" ca="1" si="26"/>
        <v>45352</v>
      </c>
      <c r="I189" s="119">
        <f ca="1">HLOOKUP($H$5,'Met Data'!$A$2:$F$368,G189,FALSE)</f>
        <v>15.9727272727272</v>
      </c>
      <c r="J189" s="119">
        <f ca="1">HLOOKUP($H$5,'Met Data'!$H$2:$M$368,G189,FALSE)*L189</f>
        <v>1.65151515151515</v>
      </c>
      <c r="K189" s="96">
        <f ca="1">HLOOKUP($H$5,'Met Data'!$O$2:$T$368,G189,FALSE)</f>
        <v>4.3251674269725902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45398</v>
      </c>
      <c r="Q189">
        <f ca="1"/>
        <v>15.828090670604755</v>
      </c>
      <c r="R189">
        <f ca="1"/>
        <v>1.119593011119413</v>
      </c>
      <c r="S189">
        <f ca="1"/>
        <v>-4.0627119398770617E-2</v>
      </c>
      <c r="T189">
        <f ca="1"/>
        <v>0.29363704559957288</v>
      </c>
      <c r="U189">
        <f ca="1"/>
        <v>0</v>
      </c>
      <c r="V189">
        <f ca="1"/>
        <v>23.403961768272481</v>
      </c>
      <c r="W189">
        <f ca="1"/>
        <v>21.410290950975195</v>
      </c>
      <c r="X189">
        <f ca="1"/>
        <v>0</v>
      </c>
      <c r="Y189">
        <f ca="1"/>
        <v>0.36098776965776647</v>
      </c>
      <c r="Z189">
        <f ca="1"/>
        <v>0</v>
      </c>
      <c r="AA189">
        <f ca="1"/>
        <v>0</v>
      </c>
      <c r="AB189">
        <f ca="1"/>
        <v>0.82636941908215011</v>
      </c>
      <c r="AD189" s="2">
        <f t="shared" ca="1" si="22"/>
        <v>45398</v>
      </c>
      <c r="AE189">
        <f t="shared" ca="1" si="23"/>
        <v>0</v>
      </c>
      <c r="AG189" s="63">
        <f t="shared" ca="1" si="27"/>
        <v>16.947683681724168</v>
      </c>
      <c r="AH189" s="63">
        <f t="shared" ca="1" si="28"/>
        <v>16.947683681724168</v>
      </c>
      <c r="AI189" s="3">
        <f t="shared" ca="1" si="29"/>
        <v>0</v>
      </c>
    </row>
    <row r="190" spans="7:35">
      <c r="G190" s="3">
        <f t="shared" ca="1" si="24"/>
        <v>63</v>
      </c>
      <c r="H190" s="95">
        <f t="shared" ca="1" si="26"/>
        <v>45353</v>
      </c>
      <c r="I190" s="119">
        <f ca="1">HLOOKUP($H$5,'Met Data'!$A$2:$F$368,G190,FALSE)</f>
        <v>15.216666666666599</v>
      </c>
      <c r="J190" s="119">
        <f ca="1">HLOOKUP($H$5,'Met Data'!$H$2:$M$368,G190,FALSE)*L190</f>
        <v>3.5272727272727198</v>
      </c>
      <c r="K190" s="96">
        <f ca="1">HLOOKUP($H$5,'Met Data'!$O$2:$T$368,G190,FALSE)</f>
        <v>3.8149865129266902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45399</v>
      </c>
      <c r="Q190">
        <f ca="1"/>
        <v>14.966675151853607</v>
      </c>
      <c r="R190">
        <f ca="1"/>
        <v>1.0984123758039459</v>
      </c>
      <c r="S190">
        <f ca="1"/>
        <v>-3.5236412988783883E-2</v>
      </c>
      <c r="T190">
        <f ca="1"/>
        <v>0.27223327004158043</v>
      </c>
      <c r="U190">
        <f ca="1"/>
        <v>0</v>
      </c>
      <c r="V190">
        <f ca="1"/>
        <v>24.502374144076427</v>
      </c>
      <c r="W190">
        <f ca="1"/>
        <v>22.415134865136583</v>
      </c>
      <c r="X190">
        <f ca="1"/>
        <v>0</v>
      </c>
      <c r="Y190">
        <f ca="1"/>
        <v>0.35241076976426811</v>
      </c>
      <c r="Z190">
        <f ca="1"/>
        <v>0</v>
      </c>
      <c r="AA190">
        <f ca="1"/>
        <v>0</v>
      </c>
      <c r="AB190">
        <f ca="1"/>
        <v>0.84882771641919763</v>
      </c>
      <c r="AD190" s="2">
        <f t="shared" ca="1" si="22"/>
        <v>45399</v>
      </c>
      <c r="AE190">
        <f t="shared" ca="1" si="23"/>
        <v>0</v>
      </c>
      <c r="AG190" s="63">
        <f t="shared" ca="1" si="27"/>
        <v>16.065087527657553</v>
      </c>
      <c r="AH190" s="63">
        <f t="shared" ca="1" si="28"/>
        <v>16.065087527657553</v>
      </c>
      <c r="AI190" s="3">
        <f t="shared" ca="1" si="29"/>
        <v>0</v>
      </c>
    </row>
    <row r="191" spans="7:35">
      <c r="G191" s="3">
        <f t="shared" ca="1" si="24"/>
        <v>64</v>
      </c>
      <c r="H191" s="95">
        <f t="shared" ca="1" si="26"/>
        <v>45354</v>
      </c>
      <c r="I191" s="119">
        <f ca="1">HLOOKUP($H$5,'Met Data'!$A$2:$F$368,G191,FALSE)</f>
        <v>14.612121212121201</v>
      </c>
      <c r="J191" s="119">
        <f ca="1">HLOOKUP($H$5,'Met Data'!$H$2:$M$368,G191,FALSE)*L191</f>
        <v>2.1212121212121202</v>
      </c>
      <c r="K191" s="96">
        <f ca="1">HLOOKUP($H$5,'Met Data'!$O$2:$T$368,G191,FALSE)</f>
        <v>3.8891905260327699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45400</v>
      </c>
      <c r="Q191">
        <f ca="1"/>
        <v>14.051603850543405</v>
      </c>
      <c r="R191">
        <f ca="1"/>
        <v>1.1528834070653389</v>
      </c>
      <c r="S191">
        <f ca="1"/>
        <v>-3.1537792674708243E-2</v>
      </c>
      <c r="T191">
        <f ca="1"/>
        <v>0.26934989842984436</v>
      </c>
      <c r="U191">
        <f ca="1"/>
        <v>0</v>
      </c>
      <c r="V191">
        <f ca="1"/>
        <v>25.655257551141766</v>
      </c>
      <c r="W191">
        <f ca="1"/>
        <v>23.469809685674136</v>
      </c>
      <c r="X191">
        <f ca="1"/>
        <v>0</v>
      </c>
      <c r="Y191">
        <f ca="1"/>
        <v>0.33488447462947241</v>
      </c>
      <c r="Z191">
        <f ca="1"/>
        <v>0</v>
      </c>
      <c r="AA191">
        <f ca="1"/>
        <v>0</v>
      </c>
      <c r="AB191">
        <f ca="1"/>
        <v>0.86902603095612541</v>
      </c>
      <c r="AD191" s="2">
        <f t="shared" ca="1" si="22"/>
        <v>45400</v>
      </c>
      <c r="AE191">
        <f t="shared" ca="1" si="23"/>
        <v>0</v>
      </c>
      <c r="AG191" s="63">
        <f t="shared" ca="1" si="27"/>
        <v>15.204487257608744</v>
      </c>
      <c r="AH191" s="63">
        <f t="shared" ca="1" si="28"/>
        <v>15.204487257608744</v>
      </c>
      <c r="AI191" s="3">
        <f t="shared" ca="1" si="29"/>
        <v>0</v>
      </c>
    </row>
    <row r="192" spans="7:35">
      <c r="G192" s="3">
        <f t="shared" ca="1" si="24"/>
        <v>65</v>
      </c>
      <c r="H192" s="95">
        <f t="shared" ca="1" si="26"/>
        <v>45355</v>
      </c>
      <c r="I192" s="119">
        <f ca="1">HLOOKUP($H$5,'Met Data'!$A$2:$F$368,G192,FALSE)</f>
        <v>15.7681818181818</v>
      </c>
      <c r="J192" s="119">
        <f ca="1">HLOOKUP($H$5,'Met Data'!$H$2:$M$368,G192,FALSE)*L192</f>
        <v>2.5606060606060601</v>
      </c>
      <c r="K192" s="96">
        <f ca="1">HLOOKUP($H$5,'Met Data'!$O$2:$T$368,G192,FALSE)</f>
        <v>4.10786263681889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45401</v>
      </c>
      <c r="Q192">
        <f ca="1"/>
        <v>13.061722102612386</v>
      </c>
      <c r="R192">
        <f ca="1"/>
        <v>1.2373288897906747</v>
      </c>
      <c r="S192">
        <f ca="1"/>
        <v>-2.9739282785499199E-2</v>
      </c>
      <c r="T192">
        <f ca="1"/>
        <v>0.27718642464515503</v>
      </c>
      <c r="U192">
        <f ca="1"/>
        <v>0</v>
      </c>
      <c r="V192">
        <f ca="1"/>
        <v>26.89258644093244</v>
      </c>
      <c r="W192">
        <f ca="1"/>
        <v>24.60173648485301</v>
      </c>
      <c r="X192">
        <f ca="1"/>
        <v>0</v>
      </c>
      <c r="Y192">
        <f ca="1"/>
        <v>0.32967732936880551</v>
      </c>
      <c r="Z192">
        <f ca="1"/>
        <v>0</v>
      </c>
      <c r="AA192">
        <f ca="1"/>
        <v>0</v>
      </c>
      <c r="AB192">
        <f ca="1"/>
        <v>0.88742672857182003</v>
      </c>
      <c r="AD192" s="2">
        <f t="shared" ca="1" si="22"/>
        <v>45401</v>
      </c>
      <c r="AE192">
        <f t="shared" ca="1" si="23"/>
        <v>0</v>
      </c>
      <c r="AG192" s="63">
        <f t="shared" ca="1" si="27"/>
        <v>14.29905099240306</v>
      </c>
      <c r="AH192" s="63">
        <f t="shared" ca="1" si="28"/>
        <v>14.29905099240306</v>
      </c>
      <c r="AI192" s="3">
        <f t="shared" ca="1" si="29"/>
        <v>0</v>
      </c>
    </row>
    <row r="193" spans="7:35">
      <c r="G193" s="3">
        <f t="shared" ca="1" si="24"/>
        <v>66</v>
      </c>
      <c r="H193" s="95">
        <f t="shared" ca="1" si="26"/>
        <v>45356</v>
      </c>
      <c r="I193" s="119">
        <f ca="1">HLOOKUP($H$5,'Met Data'!$A$2:$F$368,G193,FALSE)</f>
        <v>15.9954545454545</v>
      </c>
      <c r="J193" s="119">
        <f ca="1">HLOOKUP($H$5,'Met Data'!$H$2:$M$368,G193,FALSE)*L193</f>
        <v>0.50303030303030305</v>
      </c>
      <c r="K193" s="96">
        <f ca="1">HLOOKUP($H$5,'Met Data'!$O$2:$T$368,G193,FALSE)</f>
        <v>4.0766889307448597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45402</v>
      </c>
      <c r="Q193">
        <f ca="1"/>
        <v>12.101588080696471</v>
      </c>
      <c r="R193">
        <f ca="1"/>
        <v>1.1885074839559948</v>
      </c>
      <c r="S193">
        <f ca="1"/>
        <v>-2.5857981926094453E-2</v>
      </c>
      <c r="T193">
        <f ca="1"/>
        <v>0.25423144396617559</v>
      </c>
      <c r="U193">
        <f ca="1"/>
        <v>0</v>
      </c>
      <c r="V193">
        <f ca="1"/>
        <v>28.081093924888435</v>
      </c>
      <c r="W193">
        <f ca="1"/>
        <v>25.689000738694233</v>
      </c>
      <c r="X193">
        <f ca="1"/>
        <v>0</v>
      </c>
      <c r="Y193">
        <f ca="1"/>
        <v>0.32734731844210035</v>
      </c>
      <c r="Z193">
        <f ca="1"/>
        <v>0</v>
      </c>
      <c r="AA193">
        <f ca="1"/>
        <v>0</v>
      </c>
      <c r="AB193">
        <f ca="1"/>
        <v>0.90240328789407143</v>
      </c>
      <c r="AD193" s="2">
        <f t="shared" ca="1" si="22"/>
        <v>45402</v>
      </c>
      <c r="AE193">
        <f t="shared" ca="1" si="23"/>
        <v>0</v>
      </c>
      <c r="AG193" s="63">
        <f t="shared" ca="1" si="27"/>
        <v>13.290095564652466</v>
      </c>
      <c r="AH193" s="63">
        <f t="shared" ca="1" si="28"/>
        <v>13.290095564652466</v>
      </c>
      <c r="AI193" s="3">
        <f t="shared" ca="1" si="29"/>
        <v>0</v>
      </c>
    </row>
    <row r="194" spans="7:35">
      <c r="G194" s="3">
        <f t="shared" ca="1" si="24"/>
        <v>67</v>
      </c>
      <c r="H194" s="95">
        <f t="shared" ca="1" si="26"/>
        <v>45357</v>
      </c>
      <c r="I194" s="119">
        <f ca="1">HLOOKUP($H$5,'Met Data'!$A$2:$F$368,G194,FALSE)</f>
        <v>15.0166666666666</v>
      </c>
      <c r="J194" s="119">
        <f ca="1">HLOOKUP($H$5,'Met Data'!$H$2:$M$368,G194,FALSE)*L194</f>
        <v>0.884848484848484</v>
      </c>
      <c r="K194" s="96">
        <f ca="1">HLOOKUP($H$5,'Met Data'!$O$2:$T$368,G194,FALSE)</f>
        <v>3.8855543781492301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45403</v>
      </c>
      <c r="Q194">
        <f ca="1"/>
        <v>11.113160772709101</v>
      </c>
      <c r="R194">
        <f ca="1"/>
        <v>1.2104055487075023</v>
      </c>
      <c r="S194">
        <f ca="1"/>
        <v>-2.2498609520305024E-2</v>
      </c>
      <c r="T194">
        <f ca="1"/>
        <v>0.24447685024043711</v>
      </c>
      <c r="U194">
        <f ca="1"/>
        <v>0</v>
      </c>
      <c r="V194">
        <f ca="1"/>
        <v>29.291499473595938</v>
      </c>
      <c r="W194">
        <f ca="1"/>
        <v>26.796297666585914</v>
      </c>
      <c r="X194">
        <f ca="1"/>
        <v>0</v>
      </c>
      <c r="Y194">
        <f ca="1"/>
        <v>0.30888407684659952</v>
      </c>
      <c r="Z194">
        <f ca="1"/>
        <v>0</v>
      </c>
      <c r="AA194">
        <f ca="1"/>
        <v>0</v>
      </c>
      <c r="AB194">
        <f ca="1"/>
        <v>0.91537416121590931</v>
      </c>
      <c r="AD194" s="2">
        <f t="shared" ca="1" si="22"/>
        <v>45403</v>
      </c>
      <c r="AE194">
        <f t="shared" ca="1" si="23"/>
        <v>0</v>
      </c>
      <c r="AG194" s="63">
        <f t="shared" ca="1" si="27"/>
        <v>12.323566321416603</v>
      </c>
      <c r="AH194" s="63">
        <f t="shared" ca="1" si="28"/>
        <v>12.323566321416603</v>
      </c>
      <c r="AI194" s="3">
        <f t="shared" ca="1" si="29"/>
        <v>0</v>
      </c>
    </row>
    <row r="195" spans="7:35">
      <c r="G195" s="3">
        <f t="shared" ca="1" si="24"/>
        <v>68</v>
      </c>
      <c r="H195" s="95">
        <f t="shared" ca="1" si="26"/>
        <v>45358</v>
      </c>
      <c r="I195" s="119">
        <f ca="1">HLOOKUP($H$5,'Met Data'!$A$2:$F$368,G195,FALSE)</f>
        <v>15.3257575757575</v>
      </c>
      <c r="J195" s="119">
        <f ca="1">HLOOKUP($H$5,'Met Data'!$H$2:$M$368,G195,FALSE)*L195</f>
        <v>0.98787878787878702</v>
      </c>
      <c r="K195" s="96">
        <f ca="1">HLOOKUP($H$5,'Met Data'!$O$2:$T$368,G195,FALSE)</f>
        <v>3.6905019360086202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45404</v>
      </c>
      <c r="Q195">
        <f ca="1"/>
        <v>10.026070395387546</v>
      </c>
      <c r="R195">
        <f ca="1"/>
        <v>1.3195215246128775</v>
      </c>
      <c r="S195">
        <f ca="1"/>
        <v>-2.0644651615960186E-2</v>
      </c>
      <c r="T195">
        <f ca="1"/>
        <v>0.2530757989072831</v>
      </c>
      <c r="U195">
        <f ca="1"/>
        <v>0</v>
      </c>
      <c r="V195">
        <f ca="1"/>
        <v>30.611020998208815</v>
      </c>
      <c r="W195">
        <f ca="1"/>
        <v>28.003415505768803</v>
      </c>
      <c r="X195">
        <f ca="1"/>
        <v>0</v>
      </c>
      <c r="Y195">
        <f ca="1"/>
        <v>0.291442460727806</v>
      </c>
      <c r="Z195">
        <f ca="1"/>
        <v>0</v>
      </c>
      <c r="AA195">
        <f ca="1"/>
        <v>0</v>
      </c>
      <c r="AB195">
        <f ca="1"/>
        <v>0.92732257328754186</v>
      </c>
      <c r="AD195" s="2">
        <f t="shared" ca="1" si="22"/>
        <v>45404</v>
      </c>
      <c r="AE195">
        <f t="shared" ca="1" si="23"/>
        <v>0</v>
      </c>
      <c r="AG195" s="63">
        <f t="shared" ca="1" si="27"/>
        <v>11.345591920000423</v>
      </c>
      <c r="AH195" s="63">
        <f t="shared" ca="1" si="28"/>
        <v>11.345591920000423</v>
      </c>
      <c r="AI195" s="3">
        <f t="shared" ca="1" si="29"/>
        <v>0</v>
      </c>
    </row>
    <row r="196" spans="7:35">
      <c r="G196" s="3">
        <f t="shared" ca="1" si="24"/>
        <v>69</v>
      </c>
      <c r="H196" s="95">
        <f t="shared" ca="1" si="26"/>
        <v>45359</v>
      </c>
      <c r="I196" s="119">
        <f ca="1">HLOOKUP($H$5,'Met Data'!$A$2:$F$368,G196,FALSE)</f>
        <v>14.630303030303001</v>
      </c>
      <c r="J196" s="119">
        <f ca="1">HLOOKUP($H$5,'Met Data'!$H$2:$M$368,G196,FALSE)*L196</f>
        <v>0.82121212121212095</v>
      </c>
      <c r="K196" s="96">
        <f ca="1">HLOOKUP($H$5,'Met Data'!$O$2:$T$368,G196,FALSE)</f>
        <v>3.5528537387163399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45405</v>
      </c>
      <c r="Q196">
        <f ca="1"/>
        <v>8.9517769057226229</v>
      </c>
      <c r="R196">
        <f ca="1"/>
        <v>1.2958471564710408</v>
      </c>
      <c r="S196">
        <f ca="1"/>
        <v>-1.8658432513468881E-2</v>
      </c>
      <c r="T196">
        <f ca="1"/>
        <v>0.2402120993195872</v>
      </c>
      <c r="U196">
        <f ca="1"/>
        <v>0</v>
      </c>
      <c r="V196">
        <f ca="1"/>
        <v>31.906868154679856</v>
      </c>
      <c r="W196">
        <f ca="1"/>
        <v>29.188875682244163</v>
      </c>
      <c r="X196">
        <f ca="1"/>
        <v>0</v>
      </c>
      <c r="Y196">
        <f ca="1"/>
        <v>0.29414459812956184</v>
      </c>
      <c r="Z196">
        <f ca="1"/>
        <v>0</v>
      </c>
      <c r="AA196">
        <f ca="1"/>
        <v>0</v>
      </c>
      <c r="AB196">
        <f ca="1"/>
        <v>0.93720710311815769</v>
      </c>
      <c r="AD196" s="2">
        <f t="shared" ca="1" si="22"/>
        <v>45405</v>
      </c>
      <c r="AE196">
        <f t="shared" ca="1" si="23"/>
        <v>0</v>
      </c>
      <c r="AG196" s="63">
        <f t="shared" ca="1" si="27"/>
        <v>10.247624062193664</v>
      </c>
      <c r="AH196" s="63">
        <f t="shared" ca="1" si="28"/>
        <v>10.247624062193664</v>
      </c>
      <c r="AI196" s="3">
        <f t="shared" ca="1" si="29"/>
        <v>0</v>
      </c>
    </row>
    <row r="197" spans="7:35">
      <c r="G197" s="3">
        <f t="shared" ca="1" si="24"/>
        <v>70</v>
      </c>
      <c r="H197" s="95">
        <f t="shared" ca="1" si="26"/>
        <v>45360</v>
      </c>
      <c r="I197" s="119">
        <f ca="1">HLOOKUP($H$5,'Met Data'!$A$2:$F$368,G197,FALSE)</f>
        <v>15.7924242424242</v>
      </c>
      <c r="J197" s="119">
        <f ca="1">HLOOKUP($H$5,'Met Data'!$H$2:$M$368,G197,FALSE)*L197</f>
        <v>1.4909090909090901</v>
      </c>
      <c r="K197" s="96">
        <f ca="1">HLOOKUP($H$5,'Met Data'!$O$2:$T$368,G197,FALSE)</f>
        <v>3.7245673615528201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45406</v>
      </c>
      <c r="Q197">
        <f ca="1"/>
        <v>7.7806762908632408</v>
      </c>
      <c r="R197">
        <f ca="1"/>
        <v>1.4063742773279984</v>
      </c>
      <c r="S197">
        <f ca="1"/>
        <v>-1.8105933377299266E-2</v>
      </c>
      <c r="T197">
        <f ca="1"/>
        <v>0.25337959584591624</v>
      </c>
      <c r="U197">
        <f ca="1"/>
        <v>0</v>
      </c>
      <c r="V197">
        <f ca="1"/>
        <v>33.313242432007854</v>
      </c>
      <c r="W197">
        <f ca="1"/>
        <v>30.475447706318295</v>
      </c>
      <c r="X197">
        <f ca="1"/>
        <v>0</v>
      </c>
      <c r="Y197">
        <f ca="1"/>
        <v>0.29571544009456641</v>
      </c>
      <c r="Z197">
        <f ca="1"/>
        <v>0</v>
      </c>
      <c r="AA197">
        <f ca="1"/>
        <v>0</v>
      </c>
      <c r="AB197">
        <f ca="1"/>
        <v>0.94622510007327609</v>
      </c>
      <c r="AD197" s="2">
        <f t="shared" ca="1" si="22"/>
        <v>45406</v>
      </c>
      <c r="AE197">
        <f t="shared" ca="1" si="23"/>
        <v>0</v>
      </c>
      <c r="AG197" s="63">
        <f t="shared" ca="1" si="27"/>
        <v>9.1870505681912391</v>
      </c>
      <c r="AH197" s="63">
        <f t="shared" ca="1" si="28"/>
        <v>9.1870505681912391</v>
      </c>
      <c r="AI197" s="3">
        <f t="shared" ca="1" si="29"/>
        <v>0</v>
      </c>
    </row>
    <row r="198" spans="7:35">
      <c r="G198" s="3">
        <f t="shared" ca="1" si="24"/>
        <v>71</v>
      </c>
      <c r="H198" s="95">
        <f t="shared" ca="1" si="26"/>
        <v>45361</v>
      </c>
      <c r="I198" s="119">
        <f ca="1">HLOOKUP($H$5,'Met Data'!$A$2:$F$368,G198,FALSE)</f>
        <v>15.055882352941101</v>
      </c>
      <c r="J198" s="119">
        <f ca="1">HLOOKUP($H$5,'Met Data'!$H$2:$M$368,G198,FALSE)*L198</f>
        <v>1.93823529411764</v>
      </c>
      <c r="K198" s="96">
        <f ca="1">HLOOKUP($H$5,'Met Data'!$O$2:$T$368,G198,FALSE)</f>
        <v>3.2545752102886598</v>
      </c>
      <c r="L198">
        <f t="shared" ca="1" si="20"/>
        <v>1</v>
      </c>
      <c r="N198" t="b">
        <f t="shared" ca="1" si="25"/>
        <v>0</v>
      </c>
      <c r="O198" t="b">
        <f t="shared" ca="1" si="21"/>
        <v>0</v>
      </c>
      <c r="P198" s="2">
        <f ca="1"/>
        <v>45407</v>
      </c>
      <c r="Q198">
        <f ca="1"/>
        <v>6.5426484319806661</v>
      </c>
      <c r="R198">
        <f ca="1"/>
        <v>1.4728216277590889</v>
      </c>
      <c r="S198">
        <f ca="1"/>
        <v>-1.5664596805855524E-2</v>
      </c>
      <c r="T198">
        <f ca="1"/>
        <v>0.2504583656823689</v>
      </c>
      <c r="U198">
        <f ca="1"/>
        <v>0</v>
      </c>
      <c r="V198">
        <f ca="1"/>
        <v>34.786064059766943</v>
      </c>
      <c r="W198">
        <f ca="1"/>
        <v>31.822806750971981</v>
      </c>
      <c r="X198">
        <f ca="1"/>
        <v>0</v>
      </c>
      <c r="Y198">
        <f ca="1"/>
        <v>0.27329490140670742</v>
      </c>
      <c r="Z198">
        <f ca="1"/>
        <v>0</v>
      </c>
      <c r="AA198">
        <f ca="1"/>
        <v>0</v>
      </c>
      <c r="AB198">
        <f ca="1"/>
        <v>0.9541043373242547</v>
      </c>
      <c r="AD198" s="2">
        <f t="shared" ca="1" si="22"/>
        <v>45407</v>
      </c>
      <c r="AE198">
        <f t="shared" ca="1" si="23"/>
        <v>0</v>
      </c>
      <c r="AG198" s="63">
        <f t="shared" ca="1" si="27"/>
        <v>8.015470059739755</v>
      </c>
      <c r="AH198" s="63">
        <f t="shared" ca="1" si="28"/>
        <v>8.015470059739755</v>
      </c>
      <c r="AI198" s="3">
        <f t="shared" ca="1" si="29"/>
        <v>0</v>
      </c>
    </row>
    <row r="199" spans="7:35">
      <c r="G199" s="3">
        <f t="shared" ca="1" si="24"/>
        <v>72</v>
      </c>
      <c r="H199" s="95">
        <f t="shared" ca="1" si="26"/>
        <v>45362</v>
      </c>
      <c r="I199" s="119">
        <f ca="1">HLOOKUP($H$5,'Met Data'!$A$2:$F$368,G199,FALSE)</f>
        <v>14.958823529411699</v>
      </c>
      <c r="J199" s="119">
        <f ca="1">HLOOKUP($H$5,'Met Data'!$H$2:$M$368,G199,FALSE)*L199</f>
        <v>3.24705882352941</v>
      </c>
      <c r="K199" s="96">
        <f ca="1">HLOOKUP($H$5,'Met Data'!$O$2:$T$368,G199,FALSE)</f>
        <v>3.17975180664317</v>
      </c>
      <c r="L199">
        <f t="shared" ref="L199:L262" ca="1" si="30">IF(H199&lt;$B$32,$J$4,$J$5)</f>
        <v>1</v>
      </c>
      <c r="N199" t="b">
        <f t="shared" ca="1" si="25"/>
        <v>0</v>
      </c>
      <c r="O199" t="b">
        <f t="shared" ref="O199:O262" ca="1" si="31">AND(IF(P199&gt;($P$3-1),TRUE,FALSE),IF(P199&lt;($P$4+1),TRUE,FALSE))</f>
        <v>0</v>
      </c>
      <c r="P199" s="2">
        <f ca="1"/>
        <v>45408</v>
      </c>
      <c r="Q199">
        <f ca="1"/>
        <v>5.2429073929195349</v>
      </c>
      <c r="R199">
        <f ca="1"/>
        <v>1.5401006567022719</v>
      </c>
      <c r="S199">
        <f ca="1"/>
        <v>-1.4915256400271915E-2</v>
      </c>
      <c r="T199">
        <f ca="1"/>
        <v>0.2552748740414128</v>
      </c>
      <c r="U199">
        <f ca="1"/>
        <v>0</v>
      </c>
      <c r="V199">
        <f ca="1"/>
        <v>36.326164716469215</v>
      </c>
      <c r="W199">
        <f ca="1"/>
        <v>33.231713648029242</v>
      </c>
      <c r="X199">
        <f ca="1"/>
        <v>0</v>
      </c>
      <c r="Y199">
        <f ca="1"/>
        <v>0.278895529973124</v>
      </c>
      <c r="Z199">
        <f ca="1"/>
        <v>0</v>
      </c>
      <c r="AA199">
        <f ca="1"/>
        <v>0</v>
      </c>
      <c r="AB199">
        <f ca="1"/>
        <v>0.96095083659641134</v>
      </c>
      <c r="AD199" s="2">
        <f t="shared" ref="AD199:AD262" ca="1" si="32">IFERROR(P199,$AD$5)</f>
        <v>45408</v>
      </c>
      <c r="AE199">
        <f t="shared" ref="AE199:AE262" ca="1" si="33">IFERROR(U199,0)</f>
        <v>0</v>
      </c>
      <c r="AG199" s="63">
        <f t="shared" ca="1" si="27"/>
        <v>6.7830080496218068</v>
      </c>
      <c r="AH199" s="63">
        <f t="shared" ca="1" si="28"/>
        <v>6.7830080496218068</v>
      </c>
      <c r="AI199" s="3">
        <f t="shared" ca="1" si="29"/>
        <v>0</v>
      </c>
    </row>
    <row r="200" spans="7:35">
      <c r="G200" s="3">
        <f t="shared" ref="G200:G263" ca="1" si="34">H200-DATE(YEAR(H200),1,0)+1</f>
        <v>73</v>
      </c>
      <c r="H200" s="95">
        <f t="shared" ca="1" si="26"/>
        <v>45363</v>
      </c>
      <c r="I200" s="119">
        <f ca="1">HLOOKUP($H$5,'Met Data'!$A$2:$F$368,G200,FALSE)</f>
        <v>15.205882352941099</v>
      </c>
      <c r="J200" s="119">
        <f ca="1">HLOOKUP($H$5,'Met Data'!$H$2:$M$368,G200,FALSE)*L200</f>
        <v>2.9088235294117601</v>
      </c>
      <c r="K200" s="96">
        <f ca="1">HLOOKUP($H$5,'Met Data'!$O$2:$T$368,G200,FALSE)</f>
        <v>3.3146668186599602</v>
      </c>
      <c r="L200">
        <f t="shared" ca="1" si="30"/>
        <v>1</v>
      </c>
      <c r="N200" t="b">
        <f t="shared" ref="N200:N263" ca="1" si="35">IF(P200&lt;$P$4,TRUE,FALSE)</f>
        <v>0</v>
      </c>
      <c r="O200" t="b">
        <f t="shared" ca="1" si="31"/>
        <v>0</v>
      </c>
      <c r="P200" s="2">
        <f ca="1"/>
        <v>45409</v>
      </c>
      <c r="Q200">
        <f ca="1"/>
        <v>3.8634902339316879</v>
      </c>
      <c r="R200">
        <f ca="1"/>
        <v>1.6306549017124254</v>
      </c>
      <c r="S200">
        <f ca="1"/>
        <v>-1.4533477134367701E-2</v>
      </c>
      <c r="T200">
        <f ca="1"/>
        <v>0.26577121985894597</v>
      </c>
      <c r="U200">
        <f ca="1"/>
        <v>0</v>
      </c>
      <c r="V200">
        <f ca="1"/>
        <v>37.95681961818164</v>
      </c>
      <c r="W200">
        <f ca="1"/>
        <v>34.723460909966171</v>
      </c>
      <c r="X200">
        <f ca="1"/>
        <v>0</v>
      </c>
      <c r="Y200">
        <f ca="1"/>
        <v>0.2906509233258473</v>
      </c>
      <c r="Z200">
        <f ca="1"/>
        <v>0</v>
      </c>
      <c r="AA200">
        <f ca="1"/>
        <v>0</v>
      </c>
      <c r="AB200">
        <f ca="1"/>
        <v>0.96694580712552236</v>
      </c>
      <c r="AD200" s="2">
        <f t="shared" ca="1" si="32"/>
        <v>45409</v>
      </c>
      <c r="AE200">
        <f t="shared" ca="1" si="33"/>
        <v>0</v>
      </c>
      <c r="AG200" s="63">
        <f t="shared" ca="1" si="27"/>
        <v>5.4941451356441133</v>
      </c>
      <c r="AH200" s="63">
        <f t="shared" ca="1" si="28"/>
        <v>5.4941451356441133</v>
      </c>
      <c r="AI200" s="3">
        <f t="shared" ca="1" si="29"/>
        <v>0</v>
      </c>
    </row>
    <row r="201" spans="7:35">
      <c r="G201" s="3">
        <f t="shared" ca="1" si="34"/>
        <v>74</v>
      </c>
      <c r="H201" s="95">
        <f t="shared" ref="H201:H264" ca="1" si="36">H200+1</f>
        <v>45364</v>
      </c>
      <c r="I201" s="119">
        <f ca="1">HLOOKUP($H$5,'Met Data'!$A$2:$F$368,G201,FALSE)</f>
        <v>14.888235294117599</v>
      </c>
      <c r="J201" s="119">
        <f ca="1">HLOOKUP($H$5,'Met Data'!$H$2:$M$368,G201,FALSE)*L201</f>
        <v>2.2999999999999998</v>
      </c>
      <c r="K201" s="96">
        <f ca="1">HLOOKUP($H$5,'Met Data'!$O$2:$T$368,G201,FALSE)</f>
        <v>3.3312157637355302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45410</v>
      </c>
      <c r="Q201">
        <f ca="1"/>
        <v>2.6044534371679413</v>
      </c>
      <c r="R201">
        <f ca="1"/>
        <v>1.5002369937772073</v>
      </c>
      <c r="S201">
        <f ca="1"/>
        <v>-1.4912885370204521E-2</v>
      </c>
      <c r="T201">
        <f ca="1"/>
        <v>0.25611308238366515</v>
      </c>
      <c r="U201">
        <f ca="1"/>
        <v>0</v>
      </c>
      <c r="V201">
        <f ca="1"/>
        <v>39.457056611958848</v>
      </c>
      <c r="W201">
        <f ca="1"/>
        <v>36.095899937606802</v>
      </c>
      <c r="X201">
        <f ca="1"/>
        <v>0</v>
      </c>
      <c r="Y201">
        <f ca="1"/>
        <v>0.36198842708376555</v>
      </c>
      <c r="Z201">
        <f ca="1"/>
        <v>0</v>
      </c>
      <c r="AA201">
        <f ca="1"/>
        <v>0</v>
      </c>
      <c r="AB201">
        <f ca="1"/>
        <v>0.9715380389909376</v>
      </c>
      <c r="AD201" s="2">
        <f t="shared" ca="1" si="32"/>
        <v>45410</v>
      </c>
      <c r="AE201">
        <f t="shared" ca="1" si="33"/>
        <v>0</v>
      </c>
      <c r="AG201" s="63">
        <f ca="1">Q200+S201+T201+U201</f>
        <v>4.1046904309451486</v>
      </c>
      <c r="AH201" s="63">
        <f ca="1">Q201+R201+X201</f>
        <v>4.1046904309451486</v>
      </c>
      <c r="AI201" s="3">
        <f ca="1">AH201-AG201</f>
        <v>0</v>
      </c>
    </row>
    <row r="202" spans="7:35">
      <c r="G202" s="3">
        <f t="shared" ca="1" si="34"/>
        <v>75</v>
      </c>
      <c r="H202" s="95">
        <f t="shared" ca="1" si="36"/>
        <v>45365</v>
      </c>
      <c r="I202" s="119">
        <f ca="1">HLOOKUP($H$5,'Met Data'!$A$2:$F$368,G202,FALSE)</f>
        <v>14.9794117647058</v>
      </c>
      <c r="J202" s="119">
        <f ca="1">HLOOKUP($H$5,'Met Data'!$H$2:$M$368,G202,FALSE)*L202</f>
        <v>0.34411764705882297</v>
      </c>
      <c r="K202" s="96">
        <f ca="1">HLOOKUP($H$5,'Met Data'!$O$2:$T$368,G202,FALSE)</f>
        <v>3.9291146060483402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45411</v>
      </c>
      <c r="Q202">
        <f ca="1"/>
        <v>1.3426162353556039</v>
      </c>
      <c r="R202">
        <f ca="1"/>
        <v>1.5033499678292088</v>
      </c>
      <c r="S202">
        <f ca="1"/>
        <v>-1.3601697375712263E-2</v>
      </c>
      <c r="T202">
        <f ca="1"/>
        <v>0.25511446339258392</v>
      </c>
      <c r="U202">
        <f ca="1"/>
        <v>0</v>
      </c>
      <c r="V202">
        <f ca="1"/>
        <v>40.960406579788057</v>
      </c>
      <c r="W202">
        <f ca="1"/>
        <v>37.471186760028331</v>
      </c>
      <c r="X202">
        <f ca="1"/>
        <v>0</v>
      </c>
      <c r="Y202">
        <f ca="1"/>
        <v>0.37985608186930009</v>
      </c>
      <c r="Z202">
        <f ca="1"/>
        <v>0</v>
      </c>
      <c r="AA202">
        <f ca="1"/>
        <v>0</v>
      </c>
      <c r="AB202">
        <f ca="1"/>
        <v>0.975416100312402</v>
      </c>
      <c r="AD202" s="2">
        <f t="shared" ca="1" si="32"/>
        <v>45411</v>
      </c>
      <c r="AE202">
        <f t="shared" ca="1" si="33"/>
        <v>0</v>
      </c>
      <c r="AG202" s="63">
        <f ca="1">Q201+S202+T202+U202</f>
        <v>2.8459662031848127</v>
      </c>
      <c r="AH202" s="63">
        <f ca="1">Q202+R202+X202</f>
        <v>2.8459662031848127</v>
      </c>
      <c r="AI202" s="3">
        <f ca="1">AH202-AG202</f>
        <v>0</v>
      </c>
    </row>
    <row r="203" spans="7:35">
      <c r="G203" s="3">
        <f t="shared" ca="1" si="34"/>
        <v>76</v>
      </c>
      <c r="H203" s="95">
        <f t="shared" ca="1" si="36"/>
        <v>45366</v>
      </c>
      <c r="I203" s="119">
        <f ca="1">HLOOKUP($H$5,'Met Data'!$A$2:$F$368,G203,FALSE)</f>
        <v>15</v>
      </c>
      <c r="J203" s="119">
        <f ca="1">HLOOKUP($H$5,'Met Data'!$H$2:$M$368,G203,FALSE)*L203</f>
        <v>1.3499999999999901</v>
      </c>
      <c r="K203" s="96">
        <f ca="1">HLOOKUP($H$5,'Met Data'!$O$2:$T$368,G203,FALSE)</f>
        <v>3.4649343661814198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45412</v>
      </c>
      <c r="Q203">
        <f ca="1"/>
        <v>8.3654931058716908E-2</v>
      </c>
      <c r="R203">
        <f ca="1"/>
        <v>1.4910545405125077</v>
      </c>
      <c r="S203">
        <f ca="1"/>
        <v>-1.13124159148974E-2</v>
      </c>
      <c r="T203">
        <f ca="1"/>
        <v>0.24340565213051807</v>
      </c>
      <c r="U203">
        <f ca="1"/>
        <v>0</v>
      </c>
      <c r="V203">
        <f ca="1"/>
        <v>42.451461120300564</v>
      </c>
      <c r="W203">
        <f ca="1"/>
        <v>38.835225543386073</v>
      </c>
      <c r="X203">
        <f ca="1"/>
        <v>0</v>
      </c>
      <c r="Y203">
        <f ca="1"/>
        <v>0.3695612225579023</v>
      </c>
      <c r="Z203">
        <f ca="1"/>
        <v>0</v>
      </c>
      <c r="AA203">
        <f ca="1"/>
        <v>0</v>
      </c>
      <c r="AB203">
        <f ca="1"/>
        <v>0.97867253585892766</v>
      </c>
      <c r="AD203" s="2">
        <f t="shared" ca="1" si="32"/>
        <v>45412</v>
      </c>
      <c r="AE203">
        <f t="shared" ca="1" si="33"/>
        <v>0</v>
      </c>
      <c r="AG203" s="63">
        <f ca="1">Q202+S203+T203+U203</f>
        <v>1.5747094715712247</v>
      </c>
      <c r="AH203" s="63">
        <f ca="1">Q203+R203+X203</f>
        <v>1.5747094715712247</v>
      </c>
      <c r="AI203" s="3">
        <f ca="1">AH203-AG203</f>
        <v>0</v>
      </c>
    </row>
    <row r="204" spans="7:35">
      <c r="G204" s="3">
        <f t="shared" ca="1" si="34"/>
        <v>77</v>
      </c>
      <c r="H204" s="95">
        <f t="shared" ca="1" si="36"/>
        <v>45367</v>
      </c>
      <c r="I204" s="119">
        <f ca="1">HLOOKUP($H$5,'Met Data'!$A$2:$F$368,G204,FALSE)</f>
        <v>14.8191176470588</v>
      </c>
      <c r="J204" s="119">
        <f ca="1">HLOOKUP($H$5,'Met Data'!$H$2:$M$368,G204,FALSE)*L204</f>
        <v>1.49117647058823</v>
      </c>
      <c r="K204" s="96">
        <f ca="1">HLOOKUP($H$5,'Met Data'!$O$2:$T$368,G204,FALSE)</f>
        <v>3.6481150031845502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45413</v>
      </c>
      <c r="Q204">
        <f ca="1"/>
        <v>-1.2290440717817441</v>
      </c>
      <c r="R204">
        <f ca="1"/>
        <v>1.5460024249201183</v>
      </c>
      <c r="S204">
        <f ca="1"/>
        <v>-9.6005437299808705E-3</v>
      </c>
      <c r="T204">
        <f ca="1"/>
        <v>0.24290396580963824</v>
      </c>
      <c r="U204">
        <f ca="1"/>
        <v>0</v>
      </c>
      <c r="V204">
        <f ca="1"/>
        <v>43.997463545220683</v>
      </c>
      <c r="W204">
        <f ca="1"/>
        <v>40.249531465442629</v>
      </c>
      <c r="X204">
        <f ca="1"/>
        <v>0</v>
      </c>
      <c r="Y204">
        <f ca="1"/>
        <v>0.3585471479219336</v>
      </c>
      <c r="Z204">
        <f ca="1"/>
        <v>0</v>
      </c>
      <c r="AA204">
        <f ca="1"/>
        <v>0</v>
      </c>
      <c r="AB204">
        <f ca="1"/>
        <v>0.98153621482441011</v>
      </c>
      <c r="AD204" s="2">
        <f t="shared" ca="1" si="32"/>
        <v>45413</v>
      </c>
      <c r="AE204">
        <f t="shared" ca="1" si="33"/>
        <v>0</v>
      </c>
      <c r="AG204" s="63">
        <f t="shared" ref="AG204:AG267" ca="1" si="37">Q203+S204+T204+U204</f>
        <v>0.31695835313837428</v>
      </c>
      <c r="AH204" s="63">
        <f t="shared" ref="AH204:AH267" ca="1" si="38">Q204+R204+X204</f>
        <v>0.31695835313837417</v>
      </c>
      <c r="AI204" s="3">
        <f t="shared" ref="AI204:AI267" ca="1" si="39">AH204-AG204</f>
        <v>0</v>
      </c>
    </row>
    <row r="205" spans="7:35">
      <c r="G205" s="3">
        <f t="shared" ca="1" si="34"/>
        <v>78</v>
      </c>
      <c r="H205" s="95">
        <f t="shared" ca="1" si="36"/>
        <v>45368</v>
      </c>
      <c r="I205" s="119">
        <f ca="1">HLOOKUP($H$5,'Met Data'!$A$2:$F$368,G205,FALSE)</f>
        <v>13.742647058823501</v>
      </c>
      <c r="J205" s="119">
        <f ca="1">HLOOKUP($H$5,'Met Data'!$H$2:$M$368,G205,FALSE)*L205</f>
        <v>1.8470588235294101</v>
      </c>
      <c r="K205" s="96">
        <f ca="1">HLOOKUP($H$5,'Met Data'!$O$2:$T$368,G205,FALSE)</f>
        <v>3.23711449028497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45414</v>
      </c>
      <c r="Q205">
        <f ca="1"/>
        <v>-2.5752980407724624</v>
      </c>
      <c r="R205">
        <f ca="1"/>
        <v>1.575655483108136</v>
      </c>
      <c r="S205">
        <f ca="1"/>
        <v>-7.8468474994046744E-3</v>
      </c>
      <c r="T205">
        <f ca="1"/>
        <v>0.23724836161682231</v>
      </c>
      <c r="U205">
        <f ca="1"/>
        <v>0</v>
      </c>
      <c r="V205">
        <f ca="1"/>
        <v>45.573119028328819</v>
      </c>
      <c r="W205">
        <f ca="1"/>
        <v>41.690964444434144</v>
      </c>
      <c r="X205">
        <f ca="1"/>
        <v>0</v>
      </c>
      <c r="Y205">
        <f ca="1"/>
        <v>0.34327454786792372</v>
      </c>
      <c r="Z205">
        <f ca="1"/>
        <v>0</v>
      </c>
      <c r="AA205">
        <f ca="1"/>
        <v>0</v>
      </c>
      <c r="AB205">
        <f ca="1"/>
        <v>0.98401011908402913</v>
      </c>
      <c r="AD205" s="2">
        <f t="shared" ca="1" si="32"/>
        <v>45414</v>
      </c>
      <c r="AE205">
        <f t="shared" ca="1" si="33"/>
        <v>0</v>
      </c>
      <c r="AG205" s="63">
        <f t="shared" ca="1" si="37"/>
        <v>-0.99964255766432653</v>
      </c>
      <c r="AH205" s="63">
        <f t="shared" ca="1" si="38"/>
        <v>-0.99964255766432641</v>
      </c>
      <c r="AI205" s="3">
        <f t="shared" ca="1" si="39"/>
        <v>0</v>
      </c>
    </row>
    <row r="206" spans="7:35">
      <c r="G206" s="3">
        <f t="shared" ca="1" si="34"/>
        <v>79</v>
      </c>
      <c r="H206" s="95">
        <f t="shared" ca="1" si="36"/>
        <v>45369</v>
      </c>
      <c r="I206" s="119">
        <f ca="1">HLOOKUP($H$5,'Met Data'!$A$2:$F$368,G206,FALSE)</f>
        <v>14.5911764705882</v>
      </c>
      <c r="J206" s="119">
        <f ca="1">HLOOKUP($H$5,'Met Data'!$H$2:$M$368,G206,FALSE)*L206</f>
        <v>1.1617647058823499</v>
      </c>
      <c r="K206" s="96">
        <f ca="1">HLOOKUP($H$5,'Met Data'!$O$2:$T$368,G206,FALSE)</f>
        <v>3.5497173485221101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45415</v>
      </c>
      <c r="Q206">
        <f ca="1"/>
        <v>-4.0308516247646935</v>
      </c>
      <c r="R206">
        <f ca="1"/>
        <v>1.6982753242451309</v>
      </c>
      <c r="S206">
        <f ca="1"/>
        <v>-6.8046030193293916E-3</v>
      </c>
      <c r="T206">
        <f ca="1"/>
        <v>0.24952634327222972</v>
      </c>
      <c r="U206">
        <f ca="1"/>
        <v>0</v>
      </c>
      <c r="V206">
        <f ca="1"/>
        <v>47.27139435257395</v>
      </c>
      <c r="W206">
        <f ca="1"/>
        <v>43.244571870688027</v>
      </c>
      <c r="X206">
        <f ca="1"/>
        <v>0</v>
      </c>
      <c r="Y206">
        <f ca="1"/>
        <v>0.34194295082075093</v>
      </c>
      <c r="Z206">
        <f ca="1"/>
        <v>0</v>
      </c>
      <c r="AA206">
        <f ca="1"/>
        <v>0</v>
      </c>
      <c r="AB206">
        <f ca="1"/>
        <v>0.98626186594793019</v>
      </c>
      <c r="AD206" s="2">
        <f t="shared" ca="1" si="32"/>
        <v>45415</v>
      </c>
      <c r="AE206">
        <f t="shared" ca="1" si="33"/>
        <v>0</v>
      </c>
      <c r="AG206" s="63">
        <f t="shared" ca="1" si="37"/>
        <v>-2.3325763005195621</v>
      </c>
      <c r="AH206" s="63">
        <f t="shared" ca="1" si="38"/>
        <v>-2.3325763005195626</v>
      </c>
      <c r="AI206" s="3">
        <f t="shared" ca="1" si="39"/>
        <v>0</v>
      </c>
    </row>
    <row r="207" spans="7:35">
      <c r="G207" s="3">
        <f t="shared" ca="1" si="34"/>
        <v>80</v>
      </c>
      <c r="H207" s="95">
        <f t="shared" ca="1" si="36"/>
        <v>45370</v>
      </c>
      <c r="I207" s="119">
        <f ca="1">HLOOKUP($H$5,'Met Data'!$A$2:$F$368,G207,FALSE)</f>
        <v>15.358823529411699</v>
      </c>
      <c r="J207" s="119">
        <f ca="1">HLOOKUP($H$5,'Met Data'!$H$2:$M$368,G207,FALSE)*L207</f>
        <v>0.66176470588235203</v>
      </c>
      <c r="K207" s="96">
        <f ca="1">HLOOKUP($H$5,'Met Data'!$O$2:$T$368,G207,FALSE)</f>
        <v>3.6735377917360399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45416</v>
      </c>
      <c r="Q207">
        <f ca="1"/>
        <v>-5.5232130094384946</v>
      </c>
      <c r="R207">
        <f ca="1"/>
        <v>1.7331013439245382</v>
      </c>
      <c r="S207">
        <f ca="1"/>
        <v>-5.3726987194977482E-3</v>
      </c>
      <c r="T207">
        <f ca="1"/>
        <v>0.24611265797023466</v>
      </c>
      <c r="U207">
        <f ca="1"/>
        <v>0</v>
      </c>
      <c r="V207">
        <f ca="1"/>
        <v>49.004495696498488</v>
      </c>
      <c r="W207">
        <f ca="1"/>
        <v>44.830038655685655</v>
      </c>
      <c r="X207">
        <f ca="1"/>
        <v>0</v>
      </c>
      <c r="Y207">
        <f ca="1"/>
        <v>0.3331031326058661</v>
      </c>
      <c r="Z207">
        <f ca="1"/>
        <v>0</v>
      </c>
      <c r="AA207">
        <f ca="1"/>
        <v>0</v>
      </c>
      <c r="AB207">
        <f ca="1"/>
        <v>0.98819481182156055</v>
      </c>
      <c r="AD207" s="2">
        <f t="shared" ca="1" si="32"/>
        <v>45416</v>
      </c>
      <c r="AE207">
        <f t="shared" ca="1" si="33"/>
        <v>0</v>
      </c>
      <c r="AG207" s="63">
        <f t="shared" ca="1" si="37"/>
        <v>-3.7901116655139564</v>
      </c>
      <c r="AH207" s="63">
        <f t="shared" ca="1" si="38"/>
        <v>-3.7901116655139564</v>
      </c>
      <c r="AI207" s="3">
        <f t="shared" ca="1" si="39"/>
        <v>0</v>
      </c>
    </row>
    <row r="208" spans="7:35">
      <c r="G208" s="3">
        <f t="shared" ca="1" si="34"/>
        <v>81</v>
      </c>
      <c r="H208" s="95">
        <f t="shared" ca="1" si="36"/>
        <v>45371</v>
      </c>
      <c r="I208" s="119">
        <f ca="1">HLOOKUP($H$5,'Met Data'!$A$2:$F$368,G208,FALSE)</f>
        <v>14.954411764705799</v>
      </c>
      <c r="J208" s="119">
        <f ca="1">HLOOKUP($H$5,'Met Data'!$H$2:$M$368,G208,FALSE)*L208</f>
        <v>0.95588235294117596</v>
      </c>
      <c r="K208" s="96">
        <f ca="1">HLOOKUP($H$5,'Met Data'!$O$2:$T$368,G208,FALSE)</f>
        <v>3.2764370104371201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45417</v>
      </c>
      <c r="Q208">
        <f ca="1"/>
        <v>-7.1605162630378079</v>
      </c>
      <c r="R208">
        <f ca="1"/>
        <v>1.9070688947841248</v>
      </c>
      <c r="S208">
        <f ca="1"/>
        <v>-4.687971250188383E-3</v>
      </c>
      <c r="T208">
        <f ca="1"/>
        <v>0.27445361243499988</v>
      </c>
      <c r="U208">
        <f ca="1"/>
        <v>0</v>
      </c>
      <c r="V208">
        <f ca="1"/>
        <v>50.911564591282612</v>
      </c>
      <c r="W208">
        <f ca="1"/>
        <v>46.574653533506691</v>
      </c>
      <c r="X208">
        <f ca="1"/>
        <v>0</v>
      </c>
      <c r="Y208">
        <f ca="1"/>
        <v>0.36007659377130663</v>
      </c>
      <c r="Z208">
        <f ca="1"/>
        <v>0</v>
      </c>
      <c r="AA208">
        <f ca="1"/>
        <v>0</v>
      </c>
      <c r="AB208">
        <f ca="1"/>
        <v>0.98997379395204355</v>
      </c>
      <c r="AD208" s="2">
        <f t="shared" ca="1" si="32"/>
        <v>45417</v>
      </c>
      <c r="AE208">
        <f t="shared" ca="1" si="33"/>
        <v>0</v>
      </c>
      <c r="AG208" s="63">
        <f t="shared" ca="1" si="37"/>
        <v>-5.2534473682536831</v>
      </c>
      <c r="AH208" s="63">
        <f t="shared" ca="1" si="38"/>
        <v>-5.2534473682536831</v>
      </c>
      <c r="AI208" s="3">
        <f t="shared" ca="1" si="39"/>
        <v>0</v>
      </c>
    </row>
    <row r="209" spans="7:35">
      <c r="G209" s="3">
        <f t="shared" ca="1" si="34"/>
        <v>82</v>
      </c>
      <c r="H209" s="95">
        <f t="shared" ca="1" si="36"/>
        <v>45372</v>
      </c>
      <c r="I209" s="119">
        <f ca="1">HLOOKUP($H$5,'Met Data'!$A$2:$F$368,G209,FALSE)</f>
        <v>14.5426470588235</v>
      </c>
      <c r="J209" s="119">
        <f ca="1">HLOOKUP($H$5,'Met Data'!$H$2:$M$368,G209,FALSE)*L209</f>
        <v>1.0823529411764701</v>
      </c>
      <c r="K209" s="96">
        <f ca="1">HLOOKUP($H$5,'Met Data'!$O$2:$T$368,G209,FALSE)</f>
        <v>3.2063273498641101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45418</v>
      </c>
      <c r="Q209">
        <f ca="1"/>
        <v>-8.7791453836305831</v>
      </c>
      <c r="R209">
        <f ca="1"/>
        <v>1.8754702927089966</v>
      </c>
      <c r="S209">
        <f ca="1"/>
        <v>-3.0366224693736399E-3</v>
      </c>
      <c r="T209">
        <f ca="1"/>
        <v>0.25987779458559518</v>
      </c>
      <c r="U209">
        <f ca="1"/>
        <v>0</v>
      </c>
      <c r="V209">
        <f ca="1"/>
        <v>52.787034883991609</v>
      </c>
      <c r="W209">
        <f ca="1"/>
        <v>48.290361542021948</v>
      </c>
      <c r="X209">
        <f ca="1"/>
        <v>0</v>
      </c>
      <c r="Y209">
        <f ca="1"/>
        <v>0.34956328846658385</v>
      </c>
      <c r="Z209">
        <f ca="1"/>
        <v>0</v>
      </c>
      <c r="AA209">
        <f ca="1"/>
        <v>0</v>
      </c>
      <c r="AB209">
        <f ca="1"/>
        <v>0.99143321854132938</v>
      </c>
      <c r="AD209" s="2">
        <f t="shared" ca="1" si="32"/>
        <v>45418</v>
      </c>
      <c r="AE209">
        <f t="shared" ca="1" si="33"/>
        <v>0</v>
      </c>
      <c r="AG209" s="63">
        <f t="shared" ca="1" si="37"/>
        <v>-6.9036750909215865</v>
      </c>
      <c r="AH209" s="63">
        <f t="shared" ca="1" si="38"/>
        <v>-6.9036750909215865</v>
      </c>
      <c r="AI209" s="3">
        <f t="shared" ca="1" si="39"/>
        <v>0</v>
      </c>
    </row>
    <row r="210" spans="7:35">
      <c r="G210" s="3">
        <f t="shared" ca="1" si="34"/>
        <v>83</v>
      </c>
      <c r="H210" s="95">
        <f t="shared" ca="1" si="36"/>
        <v>45373</v>
      </c>
      <c r="I210" s="119">
        <f ca="1">HLOOKUP($H$5,'Met Data'!$A$2:$F$368,G210,FALSE)</f>
        <v>13.9808823529411</v>
      </c>
      <c r="J210" s="119">
        <f ca="1">HLOOKUP($H$5,'Met Data'!$H$2:$M$368,G210,FALSE)*L210</f>
        <v>2.1911764705882302</v>
      </c>
      <c r="K210" s="96">
        <f ca="1">HLOOKUP($H$5,'Met Data'!$O$2:$T$368,G210,FALSE)</f>
        <v>2.9655145666728702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45419</v>
      </c>
      <c r="Q210">
        <f ca="1"/>
        <v>-10.270314403940576</v>
      </c>
      <c r="R210">
        <f ca="1"/>
        <v>1.7315322701062641</v>
      </c>
      <c r="S210">
        <f ca="1"/>
        <v>-1.7392452160187588E-3</v>
      </c>
      <c r="T210">
        <f ca="1"/>
        <v>0.24210249501229067</v>
      </c>
      <c r="U210">
        <f ca="1"/>
        <v>0</v>
      </c>
      <c r="V210">
        <f ca="1"/>
        <v>54.518567154097873</v>
      </c>
      <c r="W210">
        <f ca="1"/>
        <v>49.8743929150451</v>
      </c>
      <c r="X210">
        <f ca="1"/>
        <v>0</v>
      </c>
      <c r="Y210">
        <f ca="1"/>
        <v>0.37488074750561112</v>
      </c>
      <c r="Z210">
        <f ca="1"/>
        <v>0</v>
      </c>
      <c r="AA210">
        <f ca="1"/>
        <v>0</v>
      </c>
      <c r="AB210">
        <f ca="1"/>
        <v>0.99257130396916171</v>
      </c>
      <c r="AD210" s="2">
        <f t="shared" ca="1" si="32"/>
        <v>45419</v>
      </c>
      <c r="AE210">
        <f t="shared" ca="1" si="33"/>
        <v>0</v>
      </c>
      <c r="AG210" s="63">
        <f t="shared" ca="1" si="37"/>
        <v>-8.5387821338343119</v>
      </c>
      <c r="AH210" s="63">
        <f t="shared" ca="1" si="38"/>
        <v>-8.5387821338343119</v>
      </c>
      <c r="AI210" s="3">
        <f t="shared" ca="1" si="39"/>
        <v>0</v>
      </c>
    </row>
    <row r="211" spans="7:35">
      <c r="G211" s="3">
        <f t="shared" ca="1" si="34"/>
        <v>84</v>
      </c>
      <c r="H211" s="95">
        <f t="shared" ca="1" si="36"/>
        <v>45374</v>
      </c>
      <c r="I211" s="119">
        <f ca="1">HLOOKUP($H$5,'Met Data'!$A$2:$F$368,G211,FALSE)</f>
        <v>14.1040998217468</v>
      </c>
      <c r="J211" s="119">
        <f ca="1">HLOOKUP($H$5,'Met Data'!$H$2:$M$368,G211,FALSE)*L211</f>
        <v>1.0235294117647</v>
      </c>
      <c r="K211" s="96">
        <f ca="1">HLOOKUP($H$5,'Met Data'!$O$2:$T$368,G211,FALSE)</f>
        <v>3.1669873410987299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45420</v>
      </c>
      <c r="Q211">
        <f ca="1"/>
        <v>-11.819126923209707</v>
      </c>
      <c r="R211">
        <f ca="1"/>
        <v>1.789415764886229</v>
      </c>
      <c r="S211">
        <f ca="1"/>
        <v>-4.9634882467586294E-4</v>
      </c>
      <c r="T211">
        <f ca="1"/>
        <v>0.24109959444177345</v>
      </c>
      <c r="U211">
        <f ca="1"/>
        <v>0</v>
      </c>
      <c r="V211">
        <f ca="1"/>
        <v>56.307982918984102</v>
      </c>
      <c r="W211">
        <f ca="1"/>
        <v>51.511376966626202</v>
      </c>
      <c r="X211">
        <f ca="1"/>
        <v>0</v>
      </c>
      <c r="Y211">
        <f ca="1"/>
        <v>0.35970960322623174</v>
      </c>
      <c r="Z211">
        <f ca="1"/>
        <v>0</v>
      </c>
      <c r="AA211">
        <f ca="1"/>
        <v>0</v>
      </c>
      <c r="AB211">
        <f ca="1"/>
        <v>0.99357271423885041</v>
      </c>
      <c r="AD211" s="2">
        <f t="shared" ca="1" si="32"/>
        <v>45420</v>
      </c>
      <c r="AE211">
        <f t="shared" ca="1" si="33"/>
        <v>0</v>
      </c>
      <c r="AG211" s="63">
        <f t="shared" ca="1" si="37"/>
        <v>-10.029711158323478</v>
      </c>
      <c r="AH211" s="63">
        <f t="shared" ca="1" si="38"/>
        <v>-10.029711158323478</v>
      </c>
      <c r="AI211" s="3">
        <f t="shared" ca="1" si="39"/>
        <v>0</v>
      </c>
    </row>
    <row r="212" spans="7:35">
      <c r="G212" s="3">
        <f t="shared" ca="1" si="34"/>
        <v>85</v>
      </c>
      <c r="H212" s="95">
        <f t="shared" ca="1" si="36"/>
        <v>45375</v>
      </c>
      <c r="I212" s="119">
        <f ca="1">HLOOKUP($H$5,'Met Data'!$A$2:$F$368,G212,FALSE)</f>
        <v>14.397058823529401</v>
      </c>
      <c r="J212" s="119">
        <f ca="1">HLOOKUP($H$5,'Met Data'!$H$2:$M$368,G212,FALSE)*L212</f>
        <v>2.0852941176470501</v>
      </c>
      <c r="K212" s="96">
        <f ca="1">HLOOKUP($H$5,'Met Data'!$O$2:$T$368,G212,FALSE)</f>
        <v>3.15831903524233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45421</v>
      </c>
      <c r="Q212">
        <f ca="1"/>
        <v>-13.375826656833532</v>
      </c>
      <c r="R212">
        <f ca="1"/>
        <v>1.7987644353211678</v>
      </c>
      <c r="S212">
        <f ca="1"/>
        <v>6.6600560331053771E-4</v>
      </c>
      <c r="T212">
        <f ca="1"/>
        <v>0.241398696094033</v>
      </c>
      <c r="U212">
        <f ca="1"/>
        <v>0</v>
      </c>
      <c r="V212">
        <f ca="1"/>
        <v>58.10674735430527</v>
      </c>
      <c r="W212">
        <f ca="1"/>
        <v>53.156913320420003</v>
      </c>
      <c r="X212">
        <f ca="1"/>
        <v>0</v>
      </c>
      <c r="Y212">
        <f ca="1"/>
        <v>0.37054345116483989</v>
      </c>
      <c r="Z212">
        <f ca="1"/>
        <v>0</v>
      </c>
      <c r="AA212">
        <f ca="1"/>
        <v>0</v>
      </c>
      <c r="AB212">
        <f ca="1"/>
        <v>0.9944301422400772</v>
      </c>
      <c r="AD212" s="2">
        <f t="shared" ca="1" si="32"/>
        <v>45421</v>
      </c>
      <c r="AE212">
        <f t="shared" ca="1" si="33"/>
        <v>0</v>
      </c>
      <c r="AG212" s="63">
        <f t="shared" ca="1" si="37"/>
        <v>-11.577062221512364</v>
      </c>
      <c r="AH212" s="63">
        <f t="shared" ca="1" si="38"/>
        <v>-11.577062221512364</v>
      </c>
      <c r="AI212" s="3">
        <f t="shared" ca="1" si="39"/>
        <v>0</v>
      </c>
    </row>
    <row r="213" spans="7:35">
      <c r="G213" s="3">
        <f t="shared" ca="1" si="34"/>
        <v>86</v>
      </c>
      <c r="H213" s="95">
        <f t="shared" ca="1" si="36"/>
        <v>45376</v>
      </c>
      <c r="I213" s="119">
        <f ca="1">HLOOKUP($H$5,'Met Data'!$A$2:$F$368,G213,FALSE)</f>
        <v>13.613235294117599</v>
      </c>
      <c r="J213" s="119">
        <f ca="1">HLOOKUP($H$5,'Met Data'!$H$2:$M$368,G213,FALSE)*L213</f>
        <v>0.36764705882352899</v>
      </c>
      <c r="K213" s="96">
        <f ca="1">HLOOKUP($H$5,'Met Data'!$O$2:$T$368,G213,FALSE)</f>
        <v>2.9834653601225298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45422</v>
      </c>
      <c r="Q213">
        <f ca="1"/>
        <v>-15.019022664680673</v>
      </c>
      <c r="R213">
        <f ca="1"/>
        <v>1.8903526016306813</v>
      </c>
      <c r="S213">
        <f ca="1"/>
        <v>1.7829291940216763E-3</v>
      </c>
      <c r="T213">
        <f ca="1"/>
        <v>0.24537366458951798</v>
      </c>
      <c r="U213">
        <f ca="1"/>
        <v>0</v>
      </c>
      <c r="V213">
        <f ca="1"/>
        <v>59.997099955935951</v>
      </c>
      <c r="W213">
        <f ca="1"/>
        <v>54.886235885615477</v>
      </c>
      <c r="X213">
        <f ca="1"/>
        <v>0</v>
      </c>
      <c r="Y213">
        <f ca="1"/>
        <v>0.35690302781778399</v>
      </c>
      <c r="Z213">
        <f ca="1"/>
        <v>0</v>
      </c>
      <c r="AA213">
        <f ca="1"/>
        <v>0</v>
      </c>
      <c r="AB213">
        <f ca="1"/>
        <v>0.99519694506509293</v>
      </c>
      <c r="AD213" s="2">
        <f t="shared" ca="1" si="32"/>
        <v>45422</v>
      </c>
      <c r="AE213">
        <f t="shared" ca="1" si="33"/>
        <v>0</v>
      </c>
      <c r="AG213" s="63">
        <f t="shared" ca="1" si="37"/>
        <v>-13.128670063049992</v>
      </c>
      <c r="AH213" s="63">
        <f t="shared" ca="1" si="38"/>
        <v>-13.128670063049992</v>
      </c>
      <c r="AI213" s="3">
        <f t="shared" ca="1" si="39"/>
        <v>0</v>
      </c>
    </row>
    <row r="214" spans="7:35">
      <c r="G214" s="3">
        <f t="shared" ca="1" si="34"/>
        <v>87</v>
      </c>
      <c r="H214" s="95">
        <f t="shared" ca="1" si="36"/>
        <v>45377</v>
      </c>
      <c r="I214" s="119">
        <f ca="1">HLOOKUP($H$5,'Met Data'!$A$2:$F$368,G214,FALSE)</f>
        <v>14.4676470588235</v>
      </c>
      <c r="J214" s="119">
        <f ca="1">HLOOKUP($H$5,'Met Data'!$H$2:$M$368,G214,FALSE)*L214</f>
        <v>1.0823529411764701</v>
      </c>
      <c r="K214" s="96">
        <f ca="1">HLOOKUP($H$5,'Met Data'!$O$2:$T$368,G214,FALSE)</f>
        <v>2.8333092043964401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45423</v>
      </c>
      <c r="Q214">
        <f ca="1"/>
        <v>-16.747950273119464</v>
      </c>
      <c r="R214">
        <f ca="1"/>
        <v>1.9868443551704758</v>
      </c>
      <c r="S214">
        <f ca="1"/>
        <v>2.9841633402654111E-3</v>
      </c>
      <c r="T214">
        <f ca="1"/>
        <v>0.25493258339142016</v>
      </c>
      <c r="U214">
        <f ca="1"/>
        <v>0</v>
      </c>
      <c r="V214">
        <f ca="1"/>
        <v>61.983944311106427</v>
      </c>
      <c r="W214">
        <f ca="1"/>
        <v>56.703830536456621</v>
      </c>
      <c r="X214">
        <f ca="1"/>
        <v>0</v>
      </c>
      <c r="Y214">
        <f ca="1"/>
        <v>0.36005182455051754</v>
      </c>
      <c r="Z214">
        <f ca="1"/>
        <v>0</v>
      </c>
      <c r="AA214">
        <f ca="1"/>
        <v>0</v>
      </c>
      <c r="AB214">
        <f ca="1"/>
        <v>0.99587957883892375</v>
      </c>
      <c r="AD214" s="2">
        <f t="shared" ca="1" si="32"/>
        <v>45423</v>
      </c>
      <c r="AE214">
        <f t="shared" ca="1" si="33"/>
        <v>0</v>
      </c>
      <c r="AG214" s="63">
        <f t="shared" ca="1" si="37"/>
        <v>-14.761105917948987</v>
      </c>
      <c r="AH214" s="63">
        <f t="shared" ca="1" si="38"/>
        <v>-14.761105917948989</v>
      </c>
      <c r="AI214" s="3">
        <f t="shared" ca="1" si="39"/>
        <v>0</v>
      </c>
    </row>
    <row r="215" spans="7:35">
      <c r="G215" s="3">
        <f t="shared" ca="1" si="34"/>
        <v>88</v>
      </c>
      <c r="H215" s="95">
        <f t="shared" ca="1" si="36"/>
        <v>45378</v>
      </c>
      <c r="I215" s="119">
        <f ca="1">HLOOKUP($H$5,'Met Data'!$A$2:$F$368,G215,FALSE)</f>
        <v>14.926470588235199</v>
      </c>
      <c r="J215" s="119">
        <f ca="1">HLOOKUP($H$5,'Met Data'!$H$2:$M$368,G215,FALSE)*L215</f>
        <v>0.94705882352941095</v>
      </c>
      <c r="K215" s="96">
        <f ca="1">HLOOKUP($H$5,'Met Data'!$O$2:$T$368,G215,FALSE)</f>
        <v>3.21972745270357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45424</v>
      </c>
      <c r="Q215">
        <f ca="1"/>
        <v>-18.401886879613226</v>
      </c>
      <c r="R215">
        <f ca="1"/>
        <v>1.8950263578565938</v>
      </c>
      <c r="S215">
        <f ca="1"/>
        <v>3.8153009177790409E-3</v>
      </c>
      <c r="T215">
        <f ca="1"/>
        <v>0.23727445044505227</v>
      </c>
      <c r="U215">
        <f ca="1"/>
        <v>0</v>
      </c>
      <c r="V215">
        <f ca="1"/>
        <v>63.878970668963021</v>
      </c>
      <c r="W215">
        <f ca="1"/>
        <v>58.437428723088402</v>
      </c>
      <c r="X215">
        <f ca="1"/>
        <v>0</v>
      </c>
      <c r="Y215">
        <f ca="1"/>
        <v>0.35284121417706915</v>
      </c>
      <c r="Z215">
        <f ca="1"/>
        <v>0</v>
      </c>
      <c r="AA215">
        <f ca="1"/>
        <v>0</v>
      </c>
      <c r="AB215">
        <f ca="1"/>
        <v>0.99643267751923781</v>
      </c>
      <c r="AD215" s="2">
        <f t="shared" ca="1" si="32"/>
        <v>45424</v>
      </c>
      <c r="AE215">
        <f t="shared" ca="1" si="33"/>
        <v>0</v>
      </c>
      <c r="AG215" s="63">
        <f t="shared" ca="1" si="37"/>
        <v>-16.506860521756632</v>
      </c>
      <c r="AH215" s="63">
        <f t="shared" ca="1" si="38"/>
        <v>-16.506860521756632</v>
      </c>
      <c r="AI215" s="3">
        <f t="shared" ca="1" si="39"/>
        <v>0</v>
      </c>
    </row>
    <row r="216" spans="7:35">
      <c r="G216" s="3">
        <f t="shared" ca="1" si="34"/>
        <v>89</v>
      </c>
      <c r="H216" s="95">
        <f t="shared" ca="1" si="36"/>
        <v>45379</v>
      </c>
      <c r="I216" s="119">
        <f ca="1">HLOOKUP($H$5,'Met Data'!$A$2:$F$368,G216,FALSE)</f>
        <v>14.8691176470588</v>
      </c>
      <c r="J216" s="119">
        <f ca="1">HLOOKUP($H$5,'Met Data'!$H$2:$M$368,G216,FALSE)*L216</f>
        <v>1.0558823529411701</v>
      </c>
      <c r="K216" s="96">
        <f ca="1">HLOOKUP($H$5,'Met Data'!$O$2:$T$368,G216,FALSE)</f>
        <v>3.2466735955910102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45425</v>
      </c>
      <c r="Q216">
        <f ca="1"/>
        <v>-20.059888650512896</v>
      </c>
      <c r="R216">
        <f ca="1"/>
        <v>1.8976973602854912</v>
      </c>
      <c r="S216">
        <f ca="1"/>
        <v>4.752237272860782E-3</v>
      </c>
      <c r="T216">
        <f ca="1"/>
        <v>0.23494335211295869</v>
      </c>
      <c r="U216">
        <f ca="1"/>
        <v>0</v>
      </c>
      <c r="V216">
        <f ca="1"/>
        <v>65.776668029248512</v>
      </c>
      <c r="W216">
        <f ca="1"/>
        <v>60.17347038231253</v>
      </c>
      <c r="X216">
        <f ca="1"/>
        <v>0</v>
      </c>
      <c r="Y216">
        <f ca="1"/>
        <v>0.3544392575674668</v>
      </c>
      <c r="Z216">
        <f ca="1"/>
        <v>0</v>
      </c>
      <c r="AA216">
        <f ca="1"/>
        <v>0</v>
      </c>
      <c r="AB216">
        <f ca="1"/>
        <v>0.99690646502095603</v>
      </c>
      <c r="AD216" s="2">
        <f t="shared" ca="1" si="32"/>
        <v>45425</v>
      </c>
      <c r="AE216">
        <f t="shared" ca="1" si="33"/>
        <v>0</v>
      </c>
      <c r="AG216" s="63">
        <f t="shared" ca="1" si="37"/>
        <v>-18.162191290227405</v>
      </c>
      <c r="AH216" s="63">
        <f t="shared" ca="1" si="38"/>
        <v>-18.162191290227405</v>
      </c>
      <c r="AI216" s="3">
        <f t="shared" ca="1" si="39"/>
        <v>0</v>
      </c>
    </row>
    <row r="217" spans="7:35">
      <c r="G217" s="3">
        <f t="shared" ca="1" si="34"/>
        <v>90</v>
      </c>
      <c r="H217" s="95">
        <f t="shared" ca="1" si="36"/>
        <v>45380</v>
      </c>
      <c r="I217" s="119">
        <f ca="1">HLOOKUP($H$5,'Met Data'!$A$2:$F$368,G217,FALSE)</f>
        <v>14.9382352941176</v>
      </c>
      <c r="J217" s="119">
        <f ca="1">HLOOKUP($H$5,'Met Data'!$H$2:$M$368,G217,FALSE)*L217</f>
        <v>2.7852941176470498</v>
      </c>
      <c r="K217" s="96">
        <f ca="1">HLOOKUP($H$5,'Met Data'!$O$2:$T$368,G217,FALSE)</f>
        <v>3.4072037420100298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45426</v>
      </c>
      <c r="Q217">
        <f ca="1"/>
        <v>-21.672141182719084</v>
      </c>
      <c r="R217">
        <f ca="1"/>
        <v>1.8430205230058476</v>
      </c>
      <c r="S217">
        <f ca="1"/>
        <v>5.4795126697442242E-3</v>
      </c>
      <c r="T217">
        <f ca="1"/>
        <v>0.22528847812991576</v>
      </c>
      <c r="U217">
        <f ca="1"/>
        <v>0</v>
      </c>
      <c r="V217">
        <f ca="1"/>
        <v>67.61968855225436</v>
      </c>
      <c r="W217">
        <f ca="1"/>
        <v>61.859492860766025</v>
      </c>
      <c r="X217">
        <f ca="1"/>
        <v>0</v>
      </c>
      <c r="Y217">
        <f ca="1"/>
        <v>0.35295564604636814</v>
      </c>
      <c r="Z217">
        <f ca="1"/>
        <v>0</v>
      </c>
      <c r="AA217">
        <f ca="1"/>
        <v>0</v>
      </c>
      <c r="AB217">
        <f ca="1"/>
        <v>0.99730197237241835</v>
      </c>
      <c r="AD217" s="2">
        <f t="shared" ca="1" si="32"/>
        <v>45426</v>
      </c>
      <c r="AE217">
        <f t="shared" ca="1" si="33"/>
        <v>0</v>
      </c>
      <c r="AG217" s="63">
        <f t="shared" ca="1" si="37"/>
        <v>-19.829120659713237</v>
      </c>
      <c r="AH217" s="63">
        <f t="shared" ca="1" si="38"/>
        <v>-19.829120659713237</v>
      </c>
      <c r="AI217" s="3">
        <f t="shared" ca="1" si="39"/>
        <v>0</v>
      </c>
    </row>
    <row r="218" spans="7:35">
      <c r="G218" s="3">
        <f t="shared" ca="1" si="34"/>
        <v>91</v>
      </c>
      <c r="H218" s="95">
        <f t="shared" ca="1" si="36"/>
        <v>45381</v>
      </c>
      <c r="I218" s="119">
        <f ca="1">HLOOKUP($H$5,'Met Data'!$A$2:$F$368,G218,FALSE)</f>
        <v>14.0308823529411</v>
      </c>
      <c r="J218" s="119">
        <f ca="1">HLOOKUP($H$5,'Met Data'!$H$2:$M$368,G218,FALSE)*L218</f>
        <v>1.8794117647058799</v>
      </c>
      <c r="K218" s="96">
        <f ca="1">HLOOKUP($H$5,'Met Data'!$O$2:$T$368,G218,FALSE)</f>
        <v>3.0552812923505202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45427</v>
      </c>
      <c r="Q218">
        <f ca="1"/>
        <v>-23.397301423336859</v>
      </c>
      <c r="R218">
        <f ca="1"/>
        <v>1.9711747873529362</v>
      </c>
      <c r="S218">
        <f ca="1"/>
        <v>6.6774734590566709E-3</v>
      </c>
      <c r="T218">
        <f ca="1"/>
        <v>0.23933707327610568</v>
      </c>
      <c r="U218">
        <f ca="1"/>
        <v>0</v>
      </c>
      <c r="V218">
        <f ca="1"/>
        <v>69.590863339607296</v>
      </c>
      <c r="W218">
        <f ca="1"/>
        <v>63.662752758825931</v>
      </c>
      <c r="X218">
        <f ca="1"/>
        <v>0</v>
      </c>
      <c r="Y218">
        <f ca="1"/>
        <v>0.35770042223675513</v>
      </c>
      <c r="Z218">
        <f ca="1"/>
        <v>0</v>
      </c>
      <c r="AA218">
        <f ca="1"/>
        <v>0</v>
      </c>
      <c r="AB218">
        <f ca="1"/>
        <v>0.99766551378683144</v>
      </c>
      <c r="AD218" s="2">
        <f t="shared" ca="1" si="32"/>
        <v>45427</v>
      </c>
      <c r="AE218">
        <f t="shared" ca="1" si="33"/>
        <v>0</v>
      </c>
      <c r="AG218" s="63">
        <f t="shared" ca="1" si="37"/>
        <v>-21.426126635983923</v>
      </c>
      <c r="AH218" s="63">
        <f t="shared" ca="1" si="38"/>
        <v>-21.426126635983923</v>
      </c>
      <c r="AI218" s="3">
        <f t="shared" ca="1" si="39"/>
        <v>0</v>
      </c>
    </row>
    <row r="219" spans="7:35">
      <c r="G219" s="3">
        <f t="shared" ca="1" si="34"/>
        <v>92</v>
      </c>
      <c r="H219" s="95">
        <f t="shared" ca="1" si="36"/>
        <v>45382</v>
      </c>
      <c r="I219" s="119">
        <f ca="1">HLOOKUP($H$5,'Met Data'!$A$2:$F$368,G219,FALSE)</f>
        <v>13.4647058823529</v>
      </c>
      <c r="J219" s="119">
        <f ca="1">HLOOKUP($H$5,'Met Data'!$H$2:$M$368,G219,FALSE)*L219</f>
        <v>1.0852941176470501</v>
      </c>
      <c r="K219" s="96">
        <f ca="1">HLOOKUP($H$5,'Met Data'!$O$2:$T$368,G219,FALSE)</f>
        <v>3.01312511683413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45428</v>
      </c>
      <c r="Q219">
        <f ca="1"/>
        <v>-24.979805262740314</v>
      </c>
      <c r="R219">
        <f ca="1"/>
        <v>1.8150924205230439</v>
      </c>
      <c r="S219">
        <f ca="1"/>
        <v>7.5679200064584506E-3</v>
      </c>
      <c r="T219">
        <f ca="1"/>
        <v>0.22502066111313246</v>
      </c>
      <c r="U219">
        <f ca="1"/>
        <v>0</v>
      </c>
      <c r="V219">
        <f ca="1"/>
        <v>71.40595576013034</v>
      </c>
      <c r="W219">
        <f ca="1"/>
        <v>65.323226195378496</v>
      </c>
      <c r="X219">
        <f ca="1"/>
        <v>0</v>
      </c>
      <c r="Y219">
        <f ca="1"/>
        <v>0.38016079051562163</v>
      </c>
      <c r="Z219">
        <f ca="1"/>
        <v>0</v>
      </c>
      <c r="AA219">
        <f ca="1"/>
        <v>0</v>
      </c>
      <c r="AB219">
        <f ca="1"/>
        <v>0.99795414132795679</v>
      </c>
      <c r="AD219" s="2">
        <f t="shared" ca="1" si="32"/>
        <v>45428</v>
      </c>
      <c r="AE219">
        <f t="shared" ca="1" si="33"/>
        <v>0</v>
      </c>
      <c r="AG219" s="63">
        <f t="shared" ca="1" si="37"/>
        <v>-23.16471284221727</v>
      </c>
      <c r="AH219" s="63">
        <f t="shared" ca="1" si="38"/>
        <v>-23.16471284221727</v>
      </c>
      <c r="AI219" s="3">
        <f t="shared" ca="1" si="39"/>
        <v>0</v>
      </c>
    </row>
    <row r="220" spans="7:35">
      <c r="G220" s="3">
        <f t="shared" ca="1" si="34"/>
        <v>93</v>
      </c>
      <c r="H220" s="95">
        <f t="shared" ca="1" si="36"/>
        <v>45383</v>
      </c>
      <c r="I220" s="119">
        <f ca="1">HLOOKUP($H$5,'Met Data'!$A$2:$F$368,G220,FALSE)</f>
        <v>14.017647058823499</v>
      </c>
      <c r="J220" s="119">
        <f ca="1">HLOOKUP($H$5,'Met Data'!$H$2:$M$368,G220,FALSE)*L220</f>
        <v>0.94117647058823495</v>
      </c>
      <c r="K220" s="96">
        <f ca="1">HLOOKUP($H$5,'Met Data'!$O$2:$T$368,G220,FALSE)</f>
        <v>3.2186093862229201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45429</v>
      </c>
      <c r="Q220">
        <f ca="1"/>
        <v>-26.53683250274123</v>
      </c>
      <c r="R220">
        <f ca="1"/>
        <v>1.7855753816893269</v>
      </c>
      <c r="S220">
        <f ca="1"/>
        <v>8.3309947360774572E-3</v>
      </c>
      <c r="T220">
        <f ca="1"/>
        <v>0.22021714695233283</v>
      </c>
      <c r="U220">
        <f ca="1"/>
        <v>0</v>
      </c>
      <c r="V220">
        <f ca="1"/>
        <v>73.191531141819667</v>
      </c>
      <c r="W220">
        <f ca="1"/>
        <v>66.95669700751651</v>
      </c>
      <c r="X220">
        <f ca="1"/>
        <v>0</v>
      </c>
      <c r="Y220">
        <f ca="1"/>
        <v>0.38150191964900304</v>
      </c>
      <c r="Z220">
        <f ca="1"/>
        <v>0</v>
      </c>
      <c r="AA220">
        <f ca="1"/>
        <v>0</v>
      </c>
      <c r="AB220">
        <f ca="1"/>
        <v>0.99820128569706035</v>
      </c>
      <c r="AD220" s="2">
        <f t="shared" ca="1" si="32"/>
        <v>45429</v>
      </c>
      <c r="AE220">
        <f t="shared" ca="1" si="33"/>
        <v>0</v>
      </c>
      <c r="AG220" s="63">
        <f t="shared" ca="1" si="37"/>
        <v>-24.751257121051903</v>
      </c>
      <c r="AH220" s="63">
        <f t="shared" ca="1" si="38"/>
        <v>-24.751257121051903</v>
      </c>
      <c r="AI220" s="3">
        <f t="shared" ca="1" si="39"/>
        <v>0</v>
      </c>
    </row>
    <row r="221" spans="7:35">
      <c r="G221" s="3">
        <f t="shared" ca="1" si="34"/>
        <v>94</v>
      </c>
      <c r="H221" s="95">
        <f t="shared" ca="1" si="36"/>
        <v>45384</v>
      </c>
      <c r="I221" s="119">
        <f ca="1">HLOOKUP($H$5,'Met Data'!$A$2:$F$368,G221,FALSE)</f>
        <v>13.6090909090909</v>
      </c>
      <c r="J221" s="119">
        <f ca="1">HLOOKUP($H$5,'Met Data'!$H$2:$M$368,G221,FALSE)*L221</f>
        <v>1.49117647058823</v>
      </c>
      <c r="K221" s="96">
        <f ca="1">HLOOKUP($H$5,'Met Data'!$O$2:$T$368,G221,FALSE)</f>
        <v>3.07176916757397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45430</v>
      </c>
      <c r="Q221">
        <f ca="1"/>
        <v>-28.161773104634939</v>
      </c>
      <c r="R221">
        <f ca="1"/>
        <v>1.8624996140208765</v>
      </c>
      <c r="S221">
        <f ca="1"/>
        <v>9.4355861301558264E-3</v>
      </c>
      <c r="T221">
        <f ca="1"/>
        <v>0.22812342599701352</v>
      </c>
      <c r="U221">
        <f ca="1"/>
        <v>0</v>
      </c>
      <c r="V221">
        <f ca="1"/>
        <v>75.054030755840543</v>
      </c>
      <c r="W221">
        <f ca="1"/>
        <v>68.660539247009694</v>
      </c>
      <c r="X221">
        <f ca="1"/>
        <v>0</v>
      </c>
      <c r="Y221">
        <f ca="1"/>
        <v>0.38414059683073087</v>
      </c>
      <c r="Z221">
        <f ca="1"/>
        <v>0</v>
      </c>
      <c r="AA221">
        <f ca="1"/>
        <v>0</v>
      </c>
      <c r="AB221">
        <f ca="1"/>
        <v>0.99842572231055238</v>
      </c>
      <c r="AD221" s="2">
        <f t="shared" ca="1" si="32"/>
        <v>45430</v>
      </c>
      <c r="AE221">
        <f t="shared" ca="1" si="33"/>
        <v>0</v>
      </c>
      <c r="AG221" s="63">
        <f t="shared" ca="1" si="37"/>
        <v>-26.299273490614063</v>
      </c>
      <c r="AH221" s="63">
        <f t="shared" ca="1" si="38"/>
        <v>-26.299273490614063</v>
      </c>
      <c r="AI221" s="3">
        <f t="shared" ca="1" si="39"/>
        <v>0</v>
      </c>
    </row>
    <row r="222" spans="7:35">
      <c r="G222" s="3">
        <f t="shared" ca="1" si="34"/>
        <v>95</v>
      </c>
      <c r="H222" s="95">
        <f t="shared" ca="1" si="36"/>
        <v>45385</v>
      </c>
      <c r="I222" s="119">
        <f ca="1">HLOOKUP($H$5,'Met Data'!$A$2:$F$368,G222,FALSE)</f>
        <v>13.085294117647001</v>
      </c>
      <c r="J222" s="119">
        <f ca="1">HLOOKUP($H$5,'Met Data'!$H$2:$M$368,G222,FALSE)*L222</f>
        <v>1.72941176470588</v>
      </c>
      <c r="K222" s="96">
        <f ca="1">HLOOKUP($H$5,'Met Data'!$O$2:$T$368,G222,FALSE)</f>
        <v>2.7784232053438802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45431</v>
      </c>
      <c r="Q222">
        <f ca="1"/>
        <v>-29.80855853069011</v>
      </c>
      <c r="R222">
        <f ca="1"/>
        <v>1.8899431158886841</v>
      </c>
      <c r="S222">
        <f ca="1"/>
        <v>1.0606094534839627E-2</v>
      </c>
      <c r="T222">
        <f ca="1"/>
        <v>0.23255159529867264</v>
      </c>
      <c r="U222">
        <f ca="1"/>
        <v>0</v>
      </c>
      <c r="V222">
        <f ca="1"/>
        <v>76.943973871729227</v>
      </c>
      <c r="W222">
        <f ca="1"/>
        <v>70.389487208581926</v>
      </c>
      <c r="X222">
        <f ca="1"/>
        <v>0</v>
      </c>
      <c r="Y222">
        <f ca="1"/>
        <v>0.39384444673446495</v>
      </c>
      <c r="Z222">
        <f ca="1"/>
        <v>0</v>
      </c>
      <c r="AA222">
        <f ca="1"/>
        <v>0</v>
      </c>
      <c r="AB222">
        <f ca="1"/>
        <v>0.99862357710622862</v>
      </c>
      <c r="AD222" s="2">
        <f t="shared" ca="1" si="32"/>
        <v>45431</v>
      </c>
      <c r="AE222">
        <f t="shared" ca="1" si="33"/>
        <v>0</v>
      </c>
      <c r="AG222" s="63">
        <f t="shared" ca="1" si="37"/>
        <v>-27.918615414801426</v>
      </c>
      <c r="AH222" s="63">
        <f t="shared" ca="1" si="38"/>
        <v>-27.918615414801426</v>
      </c>
      <c r="AI222" s="3">
        <f t="shared" ca="1" si="39"/>
        <v>0</v>
      </c>
    </row>
    <row r="223" spans="7:35">
      <c r="G223" s="3">
        <f t="shared" ca="1" si="34"/>
        <v>96</v>
      </c>
      <c r="H223" s="95">
        <f t="shared" ca="1" si="36"/>
        <v>45386</v>
      </c>
      <c r="I223" s="119">
        <f ca="1">HLOOKUP($H$5,'Met Data'!$A$2:$F$368,G223,FALSE)</f>
        <v>12.85</v>
      </c>
      <c r="J223" s="119">
        <f ca="1">HLOOKUP($H$5,'Met Data'!$H$2:$M$368,G223,FALSE)*L223</f>
        <v>1.3441176470588201</v>
      </c>
      <c r="K223" s="96">
        <f ca="1">HLOOKUP($H$5,'Met Data'!$O$2:$T$368,G223,FALSE)</f>
        <v>2.61431180626996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45432</v>
      </c>
      <c r="Q223">
        <f ca="1"/>
        <v>-31.41278421394318</v>
      </c>
      <c r="R223">
        <f ca="1"/>
        <v>1.8482783446336128</v>
      </c>
      <c r="S223">
        <f ca="1"/>
        <v>1.1850733197171337E-2</v>
      </c>
      <c r="T223">
        <f ca="1"/>
        <v>0.23220192818337154</v>
      </c>
      <c r="U223">
        <f ca="1"/>
        <v>0</v>
      </c>
      <c r="V223">
        <f ca="1"/>
        <v>78.79225221636284</v>
      </c>
      <c r="W223">
        <f ca="1"/>
        <v>72.080319620154157</v>
      </c>
      <c r="X223">
        <f ca="1"/>
        <v>0</v>
      </c>
      <c r="Y223">
        <f ca="1"/>
        <v>0.41379490506405708</v>
      </c>
      <c r="Z223">
        <f ca="1"/>
        <v>0</v>
      </c>
      <c r="AA223">
        <f ca="1"/>
        <v>0</v>
      </c>
      <c r="AB223">
        <f ca="1"/>
        <v>0.9987920513262587</v>
      </c>
      <c r="AD223" s="2">
        <f t="shared" ca="1" si="32"/>
        <v>45432</v>
      </c>
      <c r="AE223">
        <f t="shared" ca="1" si="33"/>
        <v>0</v>
      </c>
      <c r="AG223" s="63">
        <f t="shared" ca="1" si="37"/>
        <v>-29.564505869309567</v>
      </c>
      <c r="AH223" s="63">
        <f t="shared" ca="1" si="38"/>
        <v>-29.564505869309567</v>
      </c>
      <c r="AI223" s="3">
        <f t="shared" ca="1" si="39"/>
        <v>0</v>
      </c>
    </row>
    <row r="224" spans="7:35">
      <c r="G224" s="3">
        <f t="shared" ca="1" si="34"/>
        <v>97</v>
      </c>
      <c r="H224" s="95">
        <f t="shared" ca="1" si="36"/>
        <v>45387</v>
      </c>
      <c r="I224" s="119">
        <f ca="1">HLOOKUP($H$5,'Met Data'!$A$2:$F$368,G224,FALSE)</f>
        <v>12.9941176470588</v>
      </c>
      <c r="J224" s="119">
        <f ca="1">HLOOKUP($H$5,'Met Data'!$H$2:$M$368,G224,FALSE)*L224</f>
        <v>2.2911764705882298</v>
      </c>
      <c r="K224" s="96">
        <f ca="1">HLOOKUP($H$5,'Met Data'!$O$2:$T$368,G224,FALSE)</f>
        <v>2.55102036350638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45433</v>
      </c>
      <c r="Q224">
        <f ca="1"/>
        <v>-32.876833893058624</v>
      </c>
      <c r="R224">
        <f ca="1"/>
        <v>1.6919266493881508</v>
      </c>
      <c r="S224">
        <f ca="1"/>
        <v>1.2254456322203566E-2</v>
      </c>
      <c r="T224">
        <f ca="1"/>
        <v>0.21562251395050383</v>
      </c>
      <c r="U224">
        <f ca="1"/>
        <v>0</v>
      </c>
      <c r="V224">
        <f ca="1"/>
        <v>80.484178865750991</v>
      </c>
      <c r="W224">
        <f ca="1"/>
        <v>73.628119184594425</v>
      </c>
      <c r="X224">
        <f ca="1"/>
        <v>0</v>
      </c>
      <c r="Y224">
        <f ca="1"/>
        <v>0.42164989685524928</v>
      </c>
      <c r="Z224">
        <f ca="1"/>
        <v>0</v>
      </c>
      <c r="AA224">
        <f ca="1"/>
        <v>0</v>
      </c>
      <c r="AB224">
        <f ca="1"/>
        <v>0.99892751086497733</v>
      </c>
      <c r="AD224" s="2">
        <f t="shared" ca="1" si="32"/>
        <v>45433</v>
      </c>
      <c r="AE224">
        <f t="shared" ca="1" si="33"/>
        <v>0</v>
      </c>
      <c r="AG224" s="63">
        <f t="shared" ca="1" si="37"/>
        <v>-31.184907243670473</v>
      </c>
      <c r="AH224" s="63">
        <f t="shared" ca="1" si="38"/>
        <v>-31.184907243670473</v>
      </c>
      <c r="AI224" s="3">
        <f t="shared" ca="1" si="39"/>
        <v>0</v>
      </c>
    </row>
    <row r="225" spans="7:35">
      <c r="G225" s="3">
        <f t="shared" ca="1" si="34"/>
        <v>98</v>
      </c>
      <c r="H225" s="95">
        <f t="shared" ca="1" si="36"/>
        <v>45388</v>
      </c>
      <c r="I225" s="119">
        <f ca="1">HLOOKUP($H$5,'Met Data'!$A$2:$F$368,G225,FALSE)</f>
        <v>12.891176470588199</v>
      </c>
      <c r="J225" s="119">
        <f ca="1">HLOOKUP($H$5,'Met Data'!$H$2:$M$368,G225,FALSE)*L225</f>
        <v>3.5058823529411698</v>
      </c>
      <c r="K225" s="96">
        <f ca="1">HLOOKUP($H$5,'Met Data'!$O$2:$T$368,G225,FALSE)</f>
        <v>2.5900977274770201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45434</v>
      </c>
      <c r="Q225">
        <f ca="1"/>
        <v>-34.464209778450225</v>
      </c>
      <c r="R225">
        <f ca="1"/>
        <v>1.833297543386351</v>
      </c>
      <c r="S225">
        <f ca="1"/>
        <v>1.3830007414934897E-2</v>
      </c>
      <c r="T225">
        <f ca="1"/>
        <v>0.23209165057982017</v>
      </c>
      <c r="U225">
        <f ca="1"/>
        <v>0</v>
      </c>
      <c r="V225">
        <f ca="1"/>
        <v>82.317476409137342</v>
      </c>
      <c r="W225">
        <f ca="1"/>
        <v>75.305246937247858</v>
      </c>
      <c r="X225">
        <f ca="1"/>
        <v>0</v>
      </c>
      <c r="Y225">
        <f ca="1"/>
        <v>0.42597013708311854</v>
      </c>
      <c r="Z225">
        <f ca="1"/>
        <v>0</v>
      </c>
      <c r="AA225">
        <f ca="1"/>
        <v>0</v>
      </c>
      <c r="AB225">
        <f ca="1"/>
        <v>0.99905670703081151</v>
      </c>
      <c r="AD225" s="2">
        <f t="shared" ca="1" si="32"/>
        <v>45434</v>
      </c>
      <c r="AE225">
        <f t="shared" ca="1" si="33"/>
        <v>0</v>
      </c>
      <c r="AG225" s="63">
        <f t="shared" ca="1" si="37"/>
        <v>-32.630912235063875</v>
      </c>
      <c r="AH225" s="63">
        <f t="shared" ca="1" si="38"/>
        <v>-32.630912235063875</v>
      </c>
      <c r="AI225" s="3">
        <f t="shared" ca="1" si="39"/>
        <v>0</v>
      </c>
    </row>
    <row r="226" spans="7:35">
      <c r="G226" s="3">
        <f t="shared" ca="1" si="34"/>
        <v>99</v>
      </c>
      <c r="H226" s="95">
        <f t="shared" ca="1" si="36"/>
        <v>45389</v>
      </c>
      <c r="I226" s="119">
        <f ca="1">HLOOKUP($H$5,'Met Data'!$A$2:$F$368,G226,FALSE)</f>
        <v>12.924999999999899</v>
      </c>
      <c r="J226" s="119">
        <f ca="1">HLOOKUP($H$5,'Met Data'!$H$2:$M$368,G226,FALSE)*L226</f>
        <v>2.1029411764705799</v>
      </c>
      <c r="K226" s="96">
        <f ca="1">HLOOKUP($H$5,'Met Data'!$O$2:$T$368,G226,FALSE)</f>
        <v>2.6944935581784701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45435</v>
      </c>
      <c r="Q226">
        <f ca="1"/>
        <v>-36.004212682640102</v>
      </c>
      <c r="R226">
        <f ca="1"/>
        <v>1.7943513602689904</v>
      </c>
      <c r="S226">
        <f ca="1"/>
        <v>1.5821374552043466E-2</v>
      </c>
      <c r="T226">
        <f ca="1"/>
        <v>0.23852708152707028</v>
      </c>
      <c r="U226">
        <f ca="1"/>
        <v>0</v>
      </c>
      <c r="V226">
        <f ca="1"/>
        <v>84.111827769406332</v>
      </c>
      <c r="W226">
        <f ca="1"/>
        <v>76.946746144605058</v>
      </c>
      <c r="X226">
        <f ca="1"/>
        <v>0</v>
      </c>
      <c r="Y226">
        <f ca="1"/>
        <v>0.46478914624819923</v>
      </c>
      <c r="Z226">
        <f ca="1"/>
        <v>0</v>
      </c>
      <c r="AA226">
        <f ca="1"/>
        <v>0</v>
      </c>
      <c r="AB226">
        <f ca="1"/>
        <v>0.99916772434960377</v>
      </c>
      <c r="AD226" s="2">
        <f t="shared" ca="1" si="32"/>
        <v>45435</v>
      </c>
      <c r="AE226">
        <f t="shared" ca="1" si="33"/>
        <v>0</v>
      </c>
      <c r="AG226" s="63">
        <f t="shared" ca="1" si="37"/>
        <v>-34.209861322371111</v>
      </c>
      <c r="AH226" s="63">
        <f t="shared" ca="1" si="38"/>
        <v>-34.209861322371111</v>
      </c>
      <c r="AI226" s="3">
        <f t="shared" ca="1" si="39"/>
        <v>0</v>
      </c>
    </row>
    <row r="227" spans="7:35">
      <c r="G227" s="3">
        <f t="shared" ca="1" si="34"/>
        <v>100</v>
      </c>
      <c r="H227" s="95">
        <f t="shared" ca="1" si="36"/>
        <v>45390</v>
      </c>
      <c r="I227" s="119">
        <f ca="1">HLOOKUP($H$5,'Met Data'!$A$2:$F$368,G227,FALSE)</f>
        <v>12.363235294117599</v>
      </c>
      <c r="J227" s="119">
        <f ca="1">HLOOKUP($H$5,'Met Data'!$H$2:$M$368,G227,FALSE)*L227</f>
        <v>2.8117647058823501</v>
      </c>
      <c r="K227" s="96">
        <f ca="1">HLOOKUP($H$5,'Met Data'!$O$2:$T$368,G227,FALSE)</f>
        <v>2.27410330215878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45436</v>
      </c>
      <c r="Q227">
        <f ca="1"/>
        <v>-37.468875014944892</v>
      </c>
      <c r="R227">
        <f ca="1"/>
        <v>1.7132089001521535</v>
      </c>
      <c r="S227">
        <f ca="1"/>
        <v>1.6700420167325092E-2</v>
      </c>
      <c r="T227">
        <f ca="1"/>
        <v>0.23184614768004147</v>
      </c>
      <c r="U227">
        <f ca="1"/>
        <v>0</v>
      </c>
      <c r="V227">
        <f ca="1"/>
        <v>85.825036669558486</v>
      </c>
      <c r="W227">
        <f ca="1"/>
        <v>78.514015027336825</v>
      </c>
      <c r="X227">
        <f ca="1"/>
        <v>0</v>
      </c>
      <c r="Y227">
        <f ca="1"/>
        <v>0.476277412603753</v>
      </c>
      <c r="Z227">
        <f ca="1"/>
        <v>0</v>
      </c>
      <c r="AA227">
        <f ca="1"/>
        <v>0</v>
      </c>
      <c r="AB227">
        <f ca="1"/>
        <v>0.99926128823154903</v>
      </c>
      <c r="AD227" s="2">
        <f t="shared" ca="1" si="32"/>
        <v>45436</v>
      </c>
      <c r="AE227">
        <f t="shared" ca="1" si="33"/>
        <v>0</v>
      </c>
      <c r="AG227" s="63">
        <f t="shared" ca="1" si="37"/>
        <v>-35.755666114792739</v>
      </c>
      <c r="AH227" s="63">
        <f t="shared" ca="1" si="38"/>
        <v>-35.755666114792739</v>
      </c>
      <c r="AI227" s="3">
        <f t="shared" ca="1" si="39"/>
        <v>0</v>
      </c>
    </row>
    <row r="228" spans="7:35">
      <c r="G228" s="3">
        <f t="shared" ca="1" si="34"/>
        <v>101</v>
      </c>
      <c r="H228" s="95">
        <f t="shared" ca="1" si="36"/>
        <v>45391</v>
      </c>
      <c r="I228" s="119">
        <f ca="1">HLOOKUP($H$5,'Met Data'!$A$2:$F$368,G228,FALSE)</f>
        <v>11.3573529411764</v>
      </c>
      <c r="J228" s="119">
        <f ca="1">HLOOKUP($H$5,'Met Data'!$H$2:$M$368,G228,FALSE)*L228</f>
        <v>2.0676470588235198</v>
      </c>
      <c r="K228" s="96">
        <f ca="1">HLOOKUP($H$5,'Met Data'!$O$2:$T$368,G228,FALSE)</f>
        <v>2.42845739075634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45437</v>
      </c>
      <c r="Q228">
        <f ca="1"/>
        <v>-38.950854796285036</v>
      </c>
      <c r="R228">
        <f ca="1"/>
        <v>1.755462713303757</v>
      </c>
      <c r="S228">
        <f ca="1"/>
        <v>1.8767929179148268E-2</v>
      </c>
      <c r="T228">
        <f ca="1"/>
        <v>0.25471500278446263</v>
      </c>
      <c r="U228">
        <f ca="1"/>
        <v>0</v>
      </c>
      <c r="V228">
        <f ca="1"/>
        <v>87.580499382862243</v>
      </c>
      <c r="W228">
        <f ca="1"/>
        <v>80.119938324322135</v>
      </c>
      <c r="X228">
        <f ca="1"/>
        <v>0</v>
      </c>
      <c r="Y228">
        <f ca="1"/>
        <v>0.53265646599413163</v>
      </c>
      <c r="Z228">
        <f ca="1"/>
        <v>0</v>
      </c>
      <c r="AA228">
        <f ca="1"/>
        <v>0</v>
      </c>
      <c r="AB228">
        <f ca="1"/>
        <v>0.99934612392954303</v>
      </c>
      <c r="AD228" s="2">
        <f t="shared" ca="1" si="32"/>
        <v>45437</v>
      </c>
      <c r="AE228">
        <f t="shared" ca="1" si="33"/>
        <v>0</v>
      </c>
      <c r="AG228" s="63">
        <f t="shared" ca="1" si="37"/>
        <v>-37.195392082981279</v>
      </c>
      <c r="AH228" s="63">
        <f t="shared" ca="1" si="38"/>
        <v>-37.195392082981279</v>
      </c>
      <c r="AI228" s="3">
        <f t="shared" ca="1" si="39"/>
        <v>0</v>
      </c>
    </row>
    <row r="229" spans="7:35">
      <c r="G229" s="3">
        <f t="shared" ca="1" si="34"/>
        <v>102</v>
      </c>
      <c r="H229" s="95">
        <f t="shared" ca="1" si="36"/>
        <v>45392</v>
      </c>
      <c r="I229" s="119">
        <f ca="1">HLOOKUP($H$5,'Met Data'!$A$2:$F$368,G229,FALSE)</f>
        <v>11.6044117647058</v>
      </c>
      <c r="J229" s="119">
        <f ca="1">HLOOKUP($H$5,'Met Data'!$H$2:$M$368,G229,FALSE)*L229</f>
        <v>1.3794117647058799</v>
      </c>
      <c r="K229" s="96">
        <f ca="1">HLOOKUP($H$5,'Met Data'!$O$2:$T$368,G229,FALSE)</f>
        <v>2.30587050945396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45438</v>
      </c>
      <c r="Q229">
        <f ca="1"/>
        <v>-40.417708268628054</v>
      </c>
      <c r="R229">
        <f ca="1"/>
        <v>1.7355724544213302</v>
      </c>
      <c r="S229">
        <f ca="1"/>
        <v>1.9610869313247292E-2</v>
      </c>
      <c r="T229">
        <f ca="1"/>
        <v>0.24910811276506456</v>
      </c>
      <c r="U229">
        <f ca="1"/>
        <v>0</v>
      </c>
      <c r="V229">
        <f ca="1"/>
        <v>89.316071837283573</v>
      </c>
      <c r="W229">
        <f ca="1"/>
        <v>81.707665717811267</v>
      </c>
      <c r="X229">
        <f ca="1"/>
        <v>0</v>
      </c>
      <c r="Y229">
        <f ca="1"/>
        <v>0.52414129010061972</v>
      </c>
      <c r="Z229">
        <f ca="1"/>
        <v>0</v>
      </c>
      <c r="AA229">
        <f ca="1"/>
        <v>0</v>
      </c>
      <c r="AB229">
        <f ca="1"/>
        <v>0.99942034872993224</v>
      </c>
      <c r="AD229" s="2">
        <f t="shared" ca="1" si="32"/>
        <v>45438</v>
      </c>
      <c r="AE229">
        <f t="shared" ca="1" si="33"/>
        <v>0</v>
      </c>
      <c r="AG229" s="63">
        <f t="shared" ca="1" si="37"/>
        <v>-38.682135814206724</v>
      </c>
      <c r="AH229" s="63">
        <f t="shared" ca="1" si="38"/>
        <v>-38.682135814206724</v>
      </c>
      <c r="AI229" s="3">
        <f t="shared" ca="1" si="39"/>
        <v>0</v>
      </c>
    </row>
    <row r="230" spans="7:35">
      <c r="G230" s="3">
        <f t="shared" ca="1" si="34"/>
        <v>103</v>
      </c>
      <c r="H230" s="95">
        <f t="shared" ca="1" si="36"/>
        <v>45393</v>
      </c>
      <c r="I230" s="119">
        <f ca="1">HLOOKUP($H$5,'Met Data'!$A$2:$F$368,G230,FALSE)</f>
        <v>11.445454545454499</v>
      </c>
      <c r="J230" s="119">
        <f ca="1">HLOOKUP($H$5,'Met Data'!$H$2:$M$368,G230,FALSE)*L230</f>
        <v>1.8117647058823501</v>
      </c>
      <c r="K230" s="96">
        <f ca="1">HLOOKUP($H$5,'Met Data'!$O$2:$T$368,G230,FALSE)</f>
        <v>2.1258259155745698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45439</v>
      </c>
      <c r="Q230">
        <f ca="1"/>
        <v>-41.831885586654415</v>
      </c>
      <c r="R230">
        <f ca="1"/>
        <v>1.6811453062421435</v>
      </c>
      <c r="S230">
        <f ca="1"/>
        <v>2.016090608266552E-2</v>
      </c>
      <c r="T230">
        <f ca="1"/>
        <v>0.24680708213311872</v>
      </c>
      <c r="U230">
        <f ca="1"/>
        <v>0</v>
      </c>
      <c r="V230">
        <f ca="1"/>
        <v>90.997217143525717</v>
      </c>
      <c r="W230">
        <f ca="1"/>
        <v>83.245602349817972</v>
      </c>
      <c r="X230">
        <f ca="1"/>
        <v>0</v>
      </c>
      <c r="Y230">
        <f ca="1"/>
        <v>0.53825009274426161</v>
      </c>
      <c r="Z230">
        <f ca="1"/>
        <v>0</v>
      </c>
      <c r="AA230">
        <f ca="1"/>
        <v>0</v>
      </c>
      <c r="AB230">
        <f ca="1"/>
        <v>0.99948418891244117</v>
      </c>
      <c r="AD230" s="2">
        <f t="shared" ca="1" si="32"/>
        <v>45439</v>
      </c>
      <c r="AE230">
        <f t="shared" ca="1" si="33"/>
        <v>0</v>
      </c>
      <c r="AG230" s="63">
        <f t="shared" ca="1" si="37"/>
        <v>-40.150740280412272</v>
      </c>
      <c r="AH230" s="63">
        <f t="shared" ca="1" si="38"/>
        <v>-40.150740280412272</v>
      </c>
      <c r="AI230" s="3">
        <f t="shared" ca="1" si="39"/>
        <v>0</v>
      </c>
    </row>
    <row r="231" spans="7:35">
      <c r="G231" s="3">
        <f t="shared" ca="1" si="34"/>
        <v>104</v>
      </c>
      <c r="H231" s="95">
        <f t="shared" ca="1" si="36"/>
        <v>45394</v>
      </c>
      <c r="I231" s="119">
        <f ca="1">HLOOKUP($H$5,'Met Data'!$A$2:$F$368,G231,FALSE)</f>
        <v>11.897058823529401</v>
      </c>
      <c r="J231" s="119">
        <f ca="1">HLOOKUP($H$5,'Met Data'!$H$2:$M$368,G231,FALSE)*L231</f>
        <v>1.4117647058823499</v>
      </c>
      <c r="K231" s="96">
        <f ca="1">HLOOKUP($H$5,'Met Data'!$O$2:$T$368,G231,FALSE)</f>
        <v>2.2855460299238599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45440</v>
      </c>
      <c r="Q231">
        <f ca="1"/>
        <v>-43.269222612559879</v>
      </c>
      <c r="R231">
        <f ca="1"/>
        <v>1.718754620794698</v>
      </c>
      <c r="S231">
        <f ca="1"/>
        <v>2.1304987526036712E-2</v>
      </c>
      <c r="T231">
        <f ca="1"/>
        <v>0.26011260736319786</v>
      </c>
      <c r="U231">
        <f ca="1"/>
        <v>0</v>
      </c>
      <c r="V231">
        <f ca="1"/>
        <v>92.715971764320415</v>
      </c>
      <c r="W231">
        <f ca="1"/>
        <v>84.817944539952393</v>
      </c>
      <c r="X231">
        <f ca="1"/>
        <v>0</v>
      </c>
      <c r="Y231">
        <f ca="1"/>
        <v>0.56306523384403551</v>
      </c>
      <c r="Z231">
        <f ca="1"/>
        <v>0</v>
      </c>
      <c r="AA231">
        <f ca="1"/>
        <v>0</v>
      </c>
      <c r="AB231">
        <f ca="1"/>
        <v>0.99954222113567459</v>
      </c>
      <c r="AD231" s="2">
        <f t="shared" ca="1" si="32"/>
        <v>45440</v>
      </c>
      <c r="AE231">
        <f t="shared" ca="1" si="33"/>
        <v>0</v>
      </c>
      <c r="AG231" s="63">
        <f t="shared" ca="1" si="37"/>
        <v>-41.550467991765181</v>
      </c>
      <c r="AH231" s="63">
        <f t="shared" ca="1" si="38"/>
        <v>-41.550467991765181</v>
      </c>
      <c r="AI231" s="3">
        <f t="shared" ca="1" si="39"/>
        <v>0</v>
      </c>
    </row>
    <row r="232" spans="7:35">
      <c r="G232" s="3">
        <f t="shared" ca="1" si="34"/>
        <v>105</v>
      </c>
      <c r="H232" s="95">
        <f t="shared" ca="1" si="36"/>
        <v>45395</v>
      </c>
      <c r="I232" s="119">
        <f ca="1">HLOOKUP($H$5,'Met Data'!$A$2:$F$368,G232,FALSE)</f>
        <v>11.5014705882352</v>
      </c>
      <c r="J232" s="119">
        <f ca="1">HLOOKUP($H$5,'Met Data'!$H$2:$M$368,G232,FALSE)*L232</f>
        <v>1.26470588235294</v>
      </c>
      <c r="K232" s="96">
        <f ca="1">HLOOKUP($H$5,'Met Data'!$O$2:$T$368,G232,FALSE)</f>
        <v>2.1675311808748998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45441</v>
      </c>
      <c r="Q232">
        <f ca="1"/>
        <v>-44.621872128403879</v>
      </c>
      <c r="R232">
        <f ca="1"/>
        <v>1.6240142317187036</v>
      </c>
      <c r="S232">
        <f ca="1"/>
        <v>2.1457564487267433E-2</v>
      </c>
      <c r="T232">
        <f ca="1"/>
        <v>0.24990715138743072</v>
      </c>
      <c r="U232">
        <f ca="1"/>
        <v>0</v>
      </c>
      <c r="V232">
        <f ca="1"/>
        <v>94.339985996039118</v>
      </c>
      <c r="W232">
        <f ca="1"/>
        <v>86.303616818598755</v>
      </c>
      <c r="X232">
        <f ca="1"/>
        <v>0</v>
      </c>
      <c r="Y232">
        <f ca="1"/>
        <v>0.56877840511012301</v>
      </c>
      <c r="Z232">
        <f ca="1"/>
        <v>0</v>
      </c>
      <c r="AA232">
        <f ca="1"/>
        <v>0</v>
      </c>
      <c r="AB232">
        <f ca="1"/>
        <v>0.9995910962839808</v>
      </c>
      <c r="AD232" s="2">
        <f t="shared" ca="1" si="32"/>
        <v>45441</v>
      </c>
      <c r="AE232">
        <f t="shared" ca="1" si="33"/>
        <v>0</v>
      </c>
      <c r="AG232" s="63">
        <f t="shared" ca="1" si="37"/>
        <v>-42.997857896685176</v>
      </c>
      <c r="AH232" s="63">
        <f t="shared" ca="1" si="38"/>
        <v>-42.997857896685176</v>
      </c>
      <c r="AI232" s="3">
        <f t="shared" ca="1" si="39"/>
        <v>0</v>
      </c>
    </row>
    <row r="233" spans="7:35">
      <c r="G233" s="3">
        <f t="shared" ca="1" si="34"/>
        <v>106</v>
      </c>
      <c r="H233" s="95">
        <f t="shared" ca="1" si="36"/>
        <v>45396</v>
      </c>
      <c r="I233" s="119">
        <f ca="1">HLOOKUP($H$5,'Met Data'!$A$2:$F$368,G233,FALSE)</f>
        <v>12.461764705882301</v>
      </c>
      <c r="J233" s="119">
        <f ca="1">HLOOKUP($H$5,'Met Data'!$H$2:$M$368,G233,FALSE)*L233</f>
        <v>0.48529411764705799</v>
      </c>
      <c r="K233" s="96">
        <f ca="1">HLOOKUP($H$5,'Met Data'!$O$2:$T$368,G233,FALSE)</f>
        <v>2.6480171040382698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45442</v>
      </c>
      <c r="Q233">
        <f ca="1"/>
        <v>-45.9845240925277</v>
      </c>
      <c r="R233">
        <f ca="1"/>
        <v>1.6315510294452764</v>
      </c>
      <c r="S233">
        <f ca="1"/>
        <v>2.2301918451955061E-2</v>
      </c>
      <c r="T233">
        <f ca="1"/>
        <v>0.24659714686950043</v>
      </c>
      <c r="U233">
        <f ca="1"/>
        <v>0</v>
      </c>
      <c r="V233">
        <f ca="1"/>
        <v>95.971537025484395</v>
      </c>
      <c r="W233">
        <f ca="1"/>
        <v>87.796183871461636</v>
      </c>
      <c r="X233">
        <f ca="1"/>
        <v>0</v>
      </c>
      <c r="Y233">
        <f ca="1"/>
        <v>0.55471708675668119</v>
      </c>
      <c r="Z233">
        <f ca="1"/>
        <v>0</v>
      </c>
      <c r="AA233">
        <f ca="1"/>
        <v>0</v>
      </c>
      <c r="AB233">
        <f ca="1"/>
        <v>0.99963501900418916</v>
      </c>
      <c r="AD233" s="2">
        <f t="shared" ca="1" si="32"/>
        <v>45442</v>
      </c>
      <c r="AE233">
        <f t="shared" ca="1" si="33"/>
        <v>0</v>
      </c>
      <c r="AG233" s="63">
        <f t="shared" ca="1" si="37"/>
        <v>-44.352973063082423</v>
      </c>
      <c r="AH233" s="63">
        <f t="shared" ca="1" si="38"/>
        <v>-44.352973063082423</v>
      </c>
      <c r="AI233" s="3">
        <f t="shared" ca="1" si="39"/>
        <v>0</v>
      </c>
    </row>
    <row r="234" spans="7:35">
      <c r="G234" s="3">
        <f t="shared" ca="1" si="34"/>
        <v>107</v>
      </c>
      <c r="H234" s="95">
        <f t="shared" ca="1" si="36"/>
        <v>45397</v>
      </c>
      <c r="I234" s="119">
        <f ca="1">HLOOKUP($H$5,'Met Data'!$A$2:$F$368,G234,FALSE)</f>
        <v>12.083823529411699</v>
      </c>
      <c r="J234" s="119">
        <f ca="1">HLOOKUP($H$5,'Met Data'!$H$2:$M$368,G234,FALSE)*L234</f>
        <v>1.1558823529411699</v>
      </c>
      <c r="K234" s="96">
        <f ca="1">HLOOKUP($H$5,'Met Data'!$O$2:$T$368,G234,FALSE)</f>
        <v>2.1774423034333599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45443</v>
      </c>
      <c r="Q234">
        <f ca="1"/>
        <v>-47.35122092512637</v>
      </c>
      <c r="R234">
        <f ca="1"/>
        <v>1.6470732861319135</v>
      </c>
      <c r="S234">
        <f ca="1"/>
        <v>2.3194876466511971E-2</v>
      </c>
      <c r="T234">
        <f ca="1"/>
        <v>0.25718157706673372</v>
      </c>
      <c r="U234">
        <f ca="1"/>
        <v>0</v>
      </c>
      <c r="V234">
        <f ca="1"/>
        <v>97.618610311616308</v>
      </c>
      <c r="W234">
        <f ca="1"/>
        <v>89.302950914700844</v>
      </c>
      <c r="X234">
        <f ca="1"/>
        <v>0</v>
      </c>
      <c r="Y234">
        <f ca="1"/>
        <v>0.5787157178541853</v>
      </c>
      <c r="Z234">
        <f ca="1"/>
        <v>0</v>
      </c>
      <c r="AA234">
        <f ca="1"/>
        <v>0</v>
      </c>
      <c r="AB234">
        <f ca="1"/>
        <v>0.9996746681270251</v>
      </c>
      <c r="AD234" s="2">
        <f t="shared" ca="1" si="32"/>
        <v>45443</v>
      </c>
      <c r="AE234">
        <f t="shared" ca="1" si="33"/>
        <v>0</v>
      </c>
      <c r="AG234" s="63">
        <f t="shared" ca="1" si="37"/>
        <v>-45.704147638994456</v>
      </c>
      <c r="AH234" s="63">
        <f t="shared" ca="1" si="38"/>
        <v>-45.704147638994456</v>
      </c>
      <c r="AI234" s="3">
        <f t="shared" ca="1" si="39"/>
        <v>0</v>
      </c>
    </row>
    <row r="235" spans="7:35">
      <c r="G235" s="3">
        <f t="shared" ca="1" si="34"/>
        <v>108</v>
      </c>
      <c r="H235" s="95">
        <f t="shared" ca="1" si="36"/>
        <v>45398</v>
      </c>
      <c r="I235" s="119">
        <f ca="1">HLOOKUP($H$5,'Met Data'!$A$2:$F$368,G235,FALSE)</f>
        <v>12.307352941176401</v>
      </c>
      <c r="J235" s="119">
        <f ca="1">HLOOKUP($H$5,'Met Data'!$H$2:$M$368,G235,FALSE)*L235</f>
        <v>1.68823529411764</v>
      </c>
      <c r="K235" s="96">
        <f ca="1">HLOOKUP($H$5,'Met Data'!$O$2:$T$368,G235,FALSE)</f>
        <v>2.0825962231468602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45444</v>
      </c>
      <c r="Q235">
        <f ca="1"/>
        <v>-48.652819939651678</v>
      </c>
      <c r="R235">
        <f ca="1"/>
        <v>1.5770111302495735</v>
      </c>
      <c r="S235">
        <f ca="1"/>
        <v>2.3378623039867819E-2</v>
      </c>
      <c r="T235">
        <f ca="1"/>
        <v>0.25203349268440034</v>
      </c>
      <c r="U235">
        <f ca="1"/>
        <v>0</v>
      </c>
      <c r="V235">
        <f ca="1"/>
        <v>99.195621441865882</v>
      </c>
      <c r="W235">
        <f ca="1"/>
        <v>90.745624059781008</v>
      </c>
      <c r="X235">
        <f ca="1"/>
        <v>0</v>
      </c>
      <c r="Y235">
        <f ca="1"/>
        <v>0.58899178956126752</v>
      </c>
      <c r="Z235">
        <f ca="1"/>
        <v>0</v>
      </c>
      <c r="AA235">
        <f ca="1"/>
        <v>0</v>
      </c>
      <c r="AB235">
        <f ca="1"/>
        <v>0.9997086870260683</v>
      </c>
      <c r="AD235" s="2">
        <f t="shared" ca="1" si="32"/>
        <v>45444</v>
      </c>
      <c r="AE235">
        <f t="shared" ca="1" si="33"/>
        <v>0</v>
      </c>
      <c r="AG235" s="63">
        <f t="shared" ca="1" si="37"/>
        <v>-47.075808809402105</v>
      </c>
      <c r="AH235" s="63">
        <f t="shared" ca="1" si="38"/>
        <v>-47.075808809402105</v>
      </c>
      <c r="AI235" s="3">
        <f t="shared" ca="1" si="39"/>
        <v>0</v>
      </c>
    </row>
    <row r="236" spans="7:35">
      <c r="G236" s="3">
        <f t="shared" ca="1" si="34"/>
        <v>109</v>
      </c>
      <c r="H236" s="95">
        <f t="shared" ca="1" si="36"/>
        <v>45399</v>
      </c>
      <c r="I236" s="119">
        <f ca="1">HLOOKUP($H$5,'Met Data'!$A$2:$F$368,G236,FALSE)</f>
        <v>11.5970588235294</v>
      </c>
      <c r="J236" s="119">
        <f ca="1">HLOOKUP($H$5,'Met Data'!$H$2:$M$368,G236,FALSE)*L236</f>
        <v>1.19117647058823</v>
      </c>
      <c r="K236" s="96">
        <f ca="1">HLOOKUP($H$5,'Met Data'!$O$2:$T$368,G236,FALSE)</f>
        <v>1.83123332157564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45445</v>
      </c>
      <c r="Q236">
        <f ca="1"/>
        <v>-49.891602257415258</v>
      </c>
      <c r="R236">
        <f ca="1"/>
        <v>1.5103106251261664</v>
      </c>
      <c r="S236">
        <f ca="1"/>
        <v>2.3530008659466972E-2</v>
      </c>
      <c r="T236">
        <f ca="1"/>
        <v>0.24799829870312079</v>
      </c>
      <c r="U236">
        <f ca="1"/>
        <v>0</v>
      </c>
      <c r="V236">
        <f ca="1"/>
        <v>100.70593206699205</v>
      </c>
      <c r="W236">
        <f ca="1"/>
        <v>92.127278594618659</v>
      </c>
      <c r="X236">
        <f ca="1"/>
        <v>0</v>
      </c>
      <c r="Y236">
        <f ca="1"/>
        <v>0.60115341424941482</v>
      </c>
      <c r="Z236">
        <f ca="1"/>
        <v>0</v>
      </c>
      <c r="AA236">
        <f ca="1"/>
        <v>0</v>
      </c>
      <c r="AB236">
        <f ca="1"/>
        <v>0.99973802627324893</v>
      </c>
      <c r="AD236" s="2">
        <f t="shared" ca="1" si="32"/>
        <v>45445</v>
      </c>
      <c r="AE236">
        <f t="shared" ca="1" si="33"/>
        <v>0</v>
      </c>
      <c r="AG236" s="63">
        <f t="shared" ca="1" si="37"/>
        <v>-48.381291632289091</v>
      </c>
      <c r="AH236" s="63">
        <f t="shared" ca="1" si="38"/>
        <v>-48.381291632289091</v>
      </c>
      <c r="AI236" s="3">
        <f t="shared" ca="1" si="39"/>
        <v>0</v>
      </c>
    </row>
    <row r="237" spans="7:35">
      <c r="G237" s="3">
        <f t="shared" ca="1" si="34"/>
        <v>110</v>
      </c>
      <c r="H237" s="95">
        <f t="shared" ca="1" si="36"/>
        <v>45400</v>
      </c>
      <c r="I237" s="119">
        <f ca="1">HLOOKUP($H$5,'Met Data'!$A$2:$F$368,G237,FALSE)</f>
        <v>11.710294117647001</v>
      </c>
      <c r="J237" s="119">
        <f ca="1">HLOOKUP($H$5,'Met Data'!$H$2:$M$368,G237,FALSE)*L237</f>
        <v>0.876470588235294</v>
      </c>
      <c r="K237" s="96">
        <f ca="1">HLOOKUP($H$5,'Met Data'!$O$2:$T$368,G237,FALSE)</f>
        <v>1.9918324383127699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45446</v>
      </c>
      <c r="Q237">
        <f ca="1"/>
        <v>-51.088547572447212</v>
      </c>
      <c r="R237">
        <f ca="1"/>
        <v>1.4691065905650476</v>
      </c>
      <c r="S237">
        <f ca="1"/>
        <v>2.3838213284687271E-2</v>
      </c>
      <c r="T237">
        <f ca="1"/>
        <v>0.24832306224840597</v>
      </c>
      <c r="U237">
        <f ca="1"/>
        <v>0</v>
      </c>
      <c r="V237">
        <f ca="1"/>
        <v>102.1750386575571</v>
      </c>
      <c r="W237">
        <f ca="1"/>
        <v>93.471239068209641</v>
      </c>
      <c r="X237">
        <f ca="1"/>
        <v>0</v>
      </c>
      <c r="Y237">
        <f ca="1"/>
        <v>0.61627533752900387</v>
      </c>
      <c r="Z237">
        <f ca="1"/>
        <v>0</v>
      </c>
      <c r="AA237">
        <f ca="1"/>
        <v>0</v>
      </c>
      <c r="AB237">
        <f ca="1"/>
        <v>0.99976382556991761</v>
      </c>
      <c r="AD237" s="2">
        <f t="shared" ca="1" si="32"/>
        <v>45446</v>
      </c>
      <c r="AE237">
        <f t="shared" ca="1" si="33"/>
        <v>0</v>
      </c>
      <c r="AG237" s="63">
        <f t="shared" ca="1" si="37"/>
        <v>-49.619440981882164</v>
      </c>
      <c r="AH237" s="63">
        <f t="shared" ca="1" si="38"/>
        <v>-49.619440981882164</v>
      </c>
      <c r="AI237" s="3">
        <f t="shared" ca="1" si="39"/>
        <v>0</v>
      </c>
    </row>
    <row r="238" spans="7:35">
      <c r="G238" s="3">
        <f t="shared" ca="1" si="34"/>
        <v>111</v>
      </c>
      <c r="H238" s="95">
        <f t="shared" ca="1" si="36"/>
        <v>45401</v>
      </c>
      <c r="I238" s="119">
        <f ca="1">HLOOKUP($H$5,'Met Data'!$A$2:$F$368,G238,FALSE)</f>
        <v>12.0897058823529</v>
      </c>
      <c r="J238" s="119">
        <f ca="1">HLOOKUP($H$5,'Met Data'!$H$2:$M$368,G238,FALSE)*L238</f>
        <v>1.6147058823529401</v>
      </c>
      <c r="K238" s="96">
        <f ca="1">HLOOKUP($H$5,'Met Data'!$O$2:$T$368,G238,FALSE)</f>
        <v>2.3214267905608299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45447</v>
      </c>
      <c r="Q238">
        <f ca="1"/>
        <v>-52.26474720094587</v>
      </c>
      <c r="R238">
        <f ca="1"/>
        <v>1.4470281833242922</v>
      </c>
      <c r="S238">
        <f ca="1"/>
        <v>2.4268385313057195E-2</v>
      </c>
      <c r="T238">
        <f ca="1"/>
        <v>0.24656016951257601</v>
      </c>
      <c r="U238">
        <f ca="1"/>
        <v>0</v>
      </c>
      <c r="V238">
        <f ca="1"/>
        <v>103.62206684088139</v>
      </c>
      <c r="W238">
        <f ca="1"/>
        <v>94.795001887769274</v>
      </c>
      <c r="X238">
        <f ca="1"/>
        <v>0</v>
      </c>
      <c r="Y238">
        <f ca="1"/>
        <v>0.61723638446174167</v>
      </c>
      <c r="Z238">
        <f ca="1"/>
        <v>0</v>
      </c>
      <c r="AA238">
        <f ca="1"/>
        <v>0</v>
      </c>
      <c r="AB238">
        <f ca="1"/>
        <v>0.99978685005902435</v>
      </c>
      <c r="AD238" s="2">
        <f t="shared" ca="1" si="32"/>
        <v>45447</v>
      </c>
      <c r="AE238">
        <f t="shared" ca="1" si="33"/>
        <v>0</v>
      </c>
      <c r="AG238" s="63">
        <f t="shared" ca="1" si="37"/>
        <v>-50.817719017621577</v>
      </c>
      <c r="AH238" s="63">
        <f t="shared" ca="1" si="38"/>
        <v>-50.817719017621577</v>
      </c>
      <c r="AI238" s="3">
        <f t="shared" ca="1" si="39"/>
        <v>0</v>
      </c>
    </row>
    <row r="239" spans="7:35">
      <c r="G239" s="3">
        <f t="shared" ca="1" si="34"/>
        <v>112</v>
      </c>
      <c r="H239" s="95">
        <f t="shared" ca="1" si="36"/>
        <v>45402</v>
      </c>
      <c r="I239" s="119">
        <f ca="1">HLOOKUP($H$5,'Met Data'!$A$2:$F$368,G239,FALSE)</f>
        <v>11.1882352941176</v>
      </c>
      <c r="J239" s="119">
        <f ca="1">HLOOKUP($H$5,'Met Data'!$H$2:$M$368,G239,FALSE)*L239</f>
        <v>1.6352941176470499</v>
      </c>
      <c r="K239" s="96">
        <f ca="1">HLOOKUP($H$5,'Met Data'!$O$2:$T$368,G239,FALSE)</f>
        <v>1.88439420500637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45448</v>
      </c>
      <c r="Q239">
        <f ca="1"/>
        <v>-53.374804699981532</v>
      </c>
      <c r="R239">
        <f ca="1"/>
        <v>1.3733367381386614</v>
      </c>
      <c r="S239">
        <f ca="1"/>
        <v>2.4228197110613081E-2</v>
      </c>
      <c r="T239">
        <f ca="1"/>
        <v>0.23905104199239138</v>
      </c>
      <c r="U239">
        <f ca="1"/>
        <v>0</v>
      </c>
      <c r="V239">
        <f ca="1"/>
        <v>104.99540357902005</v>
      </c>
      <c r="W239">
        <f ca="1"/>
        <v>96.051350681547973</v>
      </c>
      <c r="X239">
        <f ca="1"/>
        <v>0</v>
      </c>
      <c r="Y239">
        <f ca="1"/>
        <v>0.6214463775196033</v>
      </c>
      <c r="Z239">
        <f ca="1"/>
        <v>0</v>
      </c>
      <c r="AA239">
        <f ca="1"/>
        <v>0</v>
      </c>
      <c r="AB239">
        <f ca="1"/>
        <v>0.999806714218479</v>
      </c>
      <c r="AD239" s="2">
        <f t="shared" ca="1" si="32"/>
        <v>45448</v>
      </c>
      <c r="AE239">
        <f t="shared" ca="1" si="33"/>
        <v>0</v>
      </c>
      <c r="AG239" s="63">
        <f t="shared" ca="1" si="37"/>
        <v>-52.00146796184287</v>
      </c>
      <c r="AH239" s="63">
        <f t="shared" ca="1" si="38"/>
        <v>-52.00146796184287</v>
      </c>
      <c r="AI239" s="3">
        <f t="shared" ca="1" si="39"/>
        <v>0</v>
      </c>
    </row>
    <row r="240" spans="7:35">
      <c r="G240" s="3">
        <f t="shared" ca="1" si="34"/>
        <v>113</v>
      </c>
      <c r="H240" s="95">
        <f t="shared" ca="1" si="36"/>
        <v>45403</v>
      </c>
      <c r="I240" s="119">
        <f ca="1">HLOOKUP($H$5,'Met Data'!$A$2:$F$368,G240,FALSE)</f>
        <v>11.0044117647058</v>
      </c>
      <c r="J240" s="119">
        <f ca="1">HLOOKUP($H$5,'Met Data'!$H$2:$M$368,G240,FALSE)*L240</f>
        <v>0.81176470588235194</v>
      </c>
      <c r="K240" s="96">
        <f ca="1">HLOOKUP($H$5,'Met Data'!$O$2:$T$368,G240,FALSE)</f>
        <v>1.9179571566201901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45449</v>
      </c>
      <c r="Q240">
        <f ca="1"/>
        <v>-54.507960279918578</v>
      </c>
      <c r="R240">
        <f ca="1"/>
        <v>1.4085939978361779</v>
      </c>
      <c r="S240">
        <f ca="1"/>
        <v>2.5086727174706169E-2</v>
      </c>
      <c r="T240">
        <f ca="1"/>
        <v>0.2503516907244282</v>
      </c>
      <c r="U240">
        <f ca="1"/>
        <v>0</v>
      </c>
      <c r="V240">
        <f ca="1"/>
        <v>106.40399757685623</v>
      </c>
      <c r="W240">
        <f ca="1"/>
        <v>97.33995333882774</v>
      </c>
      <c r="X240">
        <f ca="1"/>
        <v>0</v>
      </c>
      <c r="Y240">
        <f ca="1"/>
        <v>0.63847111499739928</v>
      </c>
      <c r="Z240">
        <f ca="1"/>
        <v>0</v>
      </c>
      <c r="AA240">
        <f ca="1"/>
        <v>0</v>
      </c>
      <c r="AB240">
        <f ca="1"/>
        <v>0.99982526038804664</v>
      </c>
      <c r="AD240" s="2">
        <f t="shared" ca="1" si="32"/>
        <v>45449</v>
      </c>
      <c r="AE240">
        <f t="shared" ca="1" si="33"/>
        <v>0</v>
      </c>
      <c r="AG240" s="63">
        <f t="shared" ca="1" si="37"/>
        <v>-53.0993662820824</v>
      </c>
      <c r="AH240" s="63">
        <f t="shared" ca="1" si="38"/>
        <v>-53.0993662820824</v>
      </c>
      <c r="AI240" s="3">
        <f t="shared" ca="1" si="39"/>
        <v>0</v>
      </c>
    </row>
    <row r="241" spans="7:35">
      <c r="G241" s="3">
        <f t="shared" ca="1" si="34"/>
        <v>114</v>
      </c>
      <c r="H241" s="95">
        <f t="shared" ca="1" si="36"/>
        <v>45404</v>
      </c>
      <c r="I241" s="119">
        <f ca="1">HLOOKUP($H$5,'Met Data'!$A$2:$F$368,G241,FALSE)</f>
        <v>11.586764705882301</v>
      </c>
      <c r="J241" s="119">
        <f ca="1">HLOOKUP($H$5,'Met Data'!$H$2:$M$368,G241,FALSE)*L241</f>
        <v>0.77352941176470502</v>
      </c>
      <c r="K241" s="96">
        <f ca="1">HLOOKUP($H$5,'Met Data'!$O$2:$T$368,G241,FALSE)</f>
        <v>2.1115808573458499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45450</v>
      </c>
      <c r="Q241">
        <f ca="1"/>
        <v>-55.7170948266251</v>
      </c>
      <c r="R241">
        <f ca="1"/>
        <v>1.5063999929327565</v>
      </c>
      <c r="S241">
        <f ca="1"/>
        <v>2.654581188864924E-2</v>
      </c>
      <c r="T241">
        <f ca="1"/>
        <v>0.27071963433758317</v>
      </c>
      <c r="U241">
        <f ca="1"/>
        <v>0</v>
      </c>
      <c r="V241">
        <f ca="1"/>
        <v>107.91039756978898</v>
      </c>
      <c r="W241">
        <f ca="1"/>
        <v>98.718030369399543</v>
      </c>
      <c r="X241">
        <f ca="1"/>
        <v>0</v>
      </c>
      <c r="Y241">
        <f ca="1"/>
        <v>0.65342446129492993</v>
      </c>
      <c r="Z241">
        <f ca="1"/>
        <v>0</v>
      </c>
      <c r="AA241">
        <f ca="1"/>
        <v>0</v>
      </c>
      <c r="AB241">
        <f ca="1"/>
        <v>0.99984323378296525</v>
      </c>
      <c r="AD241" s="2">
        <f t="shared" ca="1" si="32"/>
        <v>45450</v>
      </c>
      <c r="AE241">
        <f t="shared" ca="1" si="33"/>
        <v>0</v>
      </c>
      <c r="AG241" s="63">
        <f t="shared" ca="1" si="37"/>
        <v>-54.210694833692344</v>
      </c>
      <c r="AH241" s="63">
        <f t="shared" ca="1" si="38"/>
        <v>-54.210694833692344</v>
      </c>
      <c r="AI241" s="3">
        <f t="shared" ca="1" si="39"/>
        <v>0</v>
      </c>
    </row>
    <row r="242" spans="7:35">
      <c r="G242" s="3">
        <f t="shared" ca="1" si="34"/>
        <v>115</v>
      </c>
      <c r="H242" s="95">
        <f t="shared" ca="1" si="36"/>
        <v>45405</v>
      </c>
      <c r="I242" s="119">
        <f ca="1">HLOOKUP($H$5,'Met Data'!$A$2:$F$368,G242,FALSE)</f>
        <v>10.9985294117647</v>
      </c>
      <c r="J242" s="119">
        <f ca="1">HLOOKUP($H$5,'Met Data'!$H$2:$M$368,G242,FALSE)*L242</f>
        <v>1.75294117647058</v>
      </c>
      <c r="K242" s="96">
        <f ca="1">HLOOKUP($H$5,'Met Data'!$O$2:$T$368,G242,FALSE)</f>
        <v>1.81614923585608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45451</v>
      </c>
      <c r="Q242">
        <f ca="1"/>
        <v>-56.948629227176305</v>
      </c>
      <c r="R242">
        <f ca="1"/>
        <v>1.5375385760657991</v>
      </c>
      <c r="S242">
        <f ca="1"/>
        <v>2.744172247951937E-2</v>
      </c>
      <c r="T242">
        <f ca="1"/>
        <v>0.27856245303507021</v>
      </c>
      <c r="U242">
        <f ca="1"/>
        <v>0</v>
      </c>
      <c r="V242">
        <f ca="1"/>
        <v>109.44793614585478</v>
      </c>
      <c r="W242">
        <f ca="1"/>
        <v>100.12459343713381</v>
      </c>
      <c r="X242">
        <f ca="1"/>
        <v>0</v>
      </c>
      <c r="Y242">
        <f ca="1"/>
        <v>0.65784834879824083</v>
      </c>
      <c r="Z242">
        <f ca="1"/>
        <v>0</v>
      </c>
      <c r="AA242">
        <f ca="1"/>
        <v>0</v>
      </c>
      <c r="AB242">
        <f ca="1"/>
        <v>0.99985978331580128</v>
      </c>
      <c r="AD242" s="2">
        <f t="shared" ca="1" si="32"/>
        <v>45451</v>
      </c>
      <c r="AE242">
        <f t="shared" ca="1" si="33"/>
        <v>0</v>
      </c>
      <c r="AG242" s="63">
        <f t="shared" ca="1" si="37"/>
        <v>-55.411090651110506</v>
      </c>
      <c r="AH242" s="63">
        <f t="shared" ca="1" si="38"/>
        <v>-55.411090651110506</v>
      </c>
      <c r="AI242" s="3">
        <f t="shared" ca="1" si="39"/>
        <v>0</v>
      </c>
    </row>
    <row r="243" spans="7:35">
      <c r="G243" s="3">
        <f t="shared" ca="1" si="34"/>
        <v>116</v>
      </c>
      <c r="H243" s="95">
        <f t="shared" ca="1" si="36"/>
        <v>45406</v>
      </c>
      <c r="I243" s="119">
        <f ca="1">HLOOKUP($H$5,'Met Data'!$A$2:$F$368,G243,FALSE)</f>
        <v>11.547058823529399</v>
      </c>
      <c r="J243" s="119">
        <f ca="1">HLOOKUP($H$5,'Met Data'!$H$2:$M$368,G243,FALSE)*L243</f>
        <v>1.70294117647058</v>
      </c>
      <c r="K243" s="96">
        <f ca="1">HLOOKUP($H$5,'Met Data'!$O$2:$T$368,G243,FALSE)</f>
        <v>1.8798608741396901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45452</v>
      </c>
      <c r="Q243">
        <f ca="1"/>
        <v>-58.162380174238521</v>
      </c>
      <c r="R243">
        <f ca="1"/>
        <v>1.5257221082463559</v>
      </c>
      <c r="S243">
        <f ca="1"/>
        <v>2.7923913893801E-2</v>
      </c>
      <c r="T243">
        <f ca="1"/>
        <v>0.2840472472903372</v>
      </c>
      <c r="U243">
        <f ca="1"/>
        <v>0</v>
      </c>
      <c r="V243">
        <f ca="1"/>
        <v>110.97365825410114</v>
      </c>
      <c r="W243">
        <f ca="1"/>
        <v>101.52034662504809</v>
      </c>
      <c r="X243">
        <f ca="1"/>
        <v>0</v>
      </c>
      <c r="Y243">
        <f ca="1"/>
        <v>0.67248841769671452</v>
      </c>
      <c r="Z243">
        <f ca="1"/>
        <v>0</v>
      </c>
      <c r="AA243">
        <f ca="1"/>
        <v>0</v>
      </c>
      <c r="AB243">
        <f ca="1"/>
        <v>0.99987458596281209</v>
      </c>
      <c r="AD243" s="2">
        <f t="shared" ca="1" si="32"/>
        <v>45452</v>
      </c>
      <c r="AE243">
        <f t="shared" ca="1" si="33"/>
        <v>0</v>
      </c>
      <c r="AG243" s="63">
        <f t="shared" ca="1" si="37"/>
        <v>-56.636658065992165</v>
      </c>
      <c r="AH243" s="63">
        <f t="shared" ca="1" si="38"/>
        <v>-56.636658065992165</v>
      </c>
      <c r="AI243" s="3">
        <f t="shared" ca="1" si="39"/>
        <v>0</v>
      </c>
    </row>
    <row r="244" spans="7:35">
      <c r="G244" s="3">
        <f t="shared" ca="1" si="34"/>
        <v>117</v>
      </c>
      <c r="H244" s="95">
        <f t="shared" ca="1" si="36"/>
        <v>45407</v>
      </c>
      <c r="I244" s="119">
        <f ca="1">HLOOKUP($H$5,'Met Data'!$A$2:$F$368,G244,FALSE)</f>
        <v>11.6955882352941</v>
      </c>
      <c r="J244" s="119">
        <f ca="1">HLOOKUP($H$5,'Met Data'!$H$2:$M$368,G244,FALSE)*L244</f>
        <v>0.41176470588235198</v>
      </c>
      <c r="K244" s="96">
        <f ca="1">HLOOKUP($H$5,'Met Data'!$O$2:$T$368,G244,FALSE)</f>
        <v>1.88699621875139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45453</v>
      </c>
      <c r="Q244">
        <f ca="1"/>
        <v>-59.327589462505827</v>
      </c>
      <c r="R244">
        <f ca="1"/>
        <v>1.4707906593114188</v>
      </c>
      <c r="S244">
        <f ca="1"/>
        <v>2.7950241118617214E-2</v>
      </c>
      <c r="T244">
        <f ca="1"/>
        <v>0.27763112992549699</v>
      </c>
      <c r="U244">
        <f ca="1"/>
        <v>0</v>
      </c>
      <c r="V244">
        <f ca="1"/>
        <v>112.44444891341256</v>
      </c>
      <c r="W244">
        <f ca="1"/>
        <v>102.86584770967741</v>
      </c>
      <c r="X244">
        <f ca="1"/>
        <v>0</v>
      </c>
      <c r="Y244">
        <f ca="1"/>
        <v>0.67296031343626983</v>
      </c>
      <c r="Z244">
        <f ca="1"/>
        <v>0</v>
      </c>
      <c r="AA244">
        <f ca="1"/>
        <v>0</v>
      </c>
      <c r="AB244">
        <f ca="1"/>
        <v>0.99988747424032542</v>
      </c>
      <c r="AD244" s="2">
        <f t="shared" ca="1" si="32"/>
        <v>45453</v>
      </c>
      <c r="AE244">
        <f t="shared" ca="1" si="33"/>
        <v>0</v>
      </c>
      <c r="AG244" s="63">
        <f t="shared" ca="1" si="37"/>
        <v>-57.856798803194408</v>
      </c>
      <c r="AH244" s="63">
        <f t="shared" ca="1" si="38"/>
        <v>-57.856798803194408</v>
      </c>
      <c r="AI244" s="3">
        <f t="shared" ca="1" si="39"/>
        <v>0</v>
      </c>
    </row>
    <row r="245" spans="7:35">
      <c r="G245" s="3">
        <f t="shared" ca="1" si="34"/>
        <v>118</v>
      </c>
      <c r="H245" s="95">
        <f t="shared" ca="1" si="36"/>
        <v>45408</v>
      </c>
      <c r="I245" s="119">
        <f ca="1">HLOOKUP($H$5,'Met Data'!$A$2:$F$368,G245,FALSE)</f>
        <v>11.833823529411699</v>
      </c>
      <c r="J245" s="119">
        <f ca="1">HLOOKUP($H$5,'Met Data'!$H$2:$M$368,G245,FALSE)*L245</f>
        <v>1.79705882352941</v>
      </c>
      <c r="K245" s="96">
        <f ca="1">HLOOKUP($H$5,'Met Data'!$O$2:$T$368,G245,FALSE)</f>
        <v>1.76466679700699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45454</v>
      </c>
      <c r="Q245">
        <f ca="1"/>
        <v>-60.476364276909713</v>
      </c>
      <c r="R245">
        <f ca="1"/>
        <v>1.4763294562134774</v>
      </c>
      <c r="S245">
        <f ca="1"/>
        <v>2.8562863456215837E-2</v>
      </c>
      <c r="T245">
        <f ca="1"/>
        <v>0.29899177835337631</v>
      </c>
      <c r="U245">
        <f ca="1"/>
        <v>0</v>
      </c>
      <c r="V245">
        <f ca="1"/>
        <v>113.92077836962603</v>
      </c>
      <c r="W245">
        <f ca="1"/>
        <v>104.21641576776901</v>
      </c>
      <c r="X245">
        <f ca="1"/>
        <v>0</v>
      </c>
      <c r="Y245">
        <f ca="1"/>
        <v>0.72109577034109107</v>
      </c>
      <c r="Z245">
        <f ca="1"/>
        <v>0</v>
      </c>
      <c r="AA245">
        <f ca="1"/>
        <v>0</v>
      </c>
      <c r="AB245">
        <f ca="1"/>
        <v>0.99989917545568763</v>
      </c>
      <c r="AD245" s="2">
        <f t="shared" ca="1" si="32"/>
        <v>45454</v>
      </c>
      <c r="AE245">
        <f t="shared" ca="1" si="33"/>
        <v>0</v>
      </c>
      <c r="AG245" s="63">
        <f t="shared" ca="1" si="37"/>
        <v>-59.000034820696236</v>
      </c>
      <c r="AH245" s="63">
        <f t="shared" ca="1" si="38"/>
        <v>-59.000034820696236</v>
      </c>
      <c r="AI245" s="3">
        <f t="shared" ca="1" si="39"/>
        <v>0</v>
      </c>
    </row>
    <row r="246" spans="7:35">
      <c r="G246" s="3">
        <f t="shared" ca="1" si="34"/>
        <v>119</v>
      </c>
      <c r="H246" s="95">
        <f t="shared" ca="1" si="36"/>
        <v>45409</v>
      </c>
      <c r="I246" s="119">
        <f ca="1">HLOOKUP($H$5,'Met Data'!$A$2:$F$368,G246,FALSE)</f>
        <v>12.1279411764705</v>
      </c>
      <c r="J246" s="119">
        <f ca="1">HLOOKUP($H$5,'Met Data'!$H$2:$M$368,G246,FALSE)*L246</f>
        <v>2.1588235294117601</v>
      </c>
      <c r="K246" s="96">
        <f ca="1">HLOOKUP($H$5,'Met Data'!$O$2:$T$368,G246,FALSE)</f>
        <v>1.95217239254561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45455</v>
      </c>
      <c r="Q246">
        <f ca="1"/>
        <v>-61.474766919394035</v>
      </c>
      <c r="R246">
        <f ca="1"/>
        <v>1.3047749425128785</v>
      </c>
      <c r="S246">
        <f ca="1"/>
        <v>2.7330473918006248E-2</v>
      </c>
      <c r="T246">
        <f ca="1"/>
        <v>0.27904182611055212</v>
      </c>
      <c r="U246">
        <f ca="1"/>
        <v>0</v>
      </c>
      <c r="V246">
        <f ca="1"/>
        <v>115.22555331213891</v>
      </c>
      <c r="W246">
        <f ca="1"/>
        <v>105.41004321517893</v>
      </c>
      <c r="X246">
        <f ca="1"/>
        <v>0</v>
      </c>
      <c r="Y246">
        <f ca="1"/>
        <v>0.7374454784088933</v>
      </c>
      <c r="Z246">
        <f ca="1"/>
        <v>0</v>
      </c>
      <c r="AA246">
        <f ca="1"/>
        <v>0</v>
      </c>
      <c r="AB246">
        <f ca="1"/>
        <v>0.99990857851477133</v>
      </c>
      <c r="AD246" s="2">
        <f t="shared" ca="1" si="32"/>
        <v>45455</v>
      </c>
      <c r="AE246">
        <f t="shared" ca="1" si="33"/>
        <v>0</v>
      </c>
      <c r="AG246" s="63">
        <f t="shared" ca="1" si="37"/>
        <v>-60.169991976881157</v>
      </c>
      <c r="AH246" s="63">
        <f t="shared" ca="1" si="38"/>
        <v>-60.169991976881157</v>
      </c>
      <c r="AI246" s="3">
        <f t="shared" ca="1" si="39"/>
        <v>0</v>
      </c>
    </row>
    <row r="247" spans="7:35">
      <c r="G247" s="3">
        <f t="shared" ca="1" si="34"/>
        <v>120</v>
      </c>
      <c r="H247" s="95">
        <f t="shared" ca="1" si="36"/>
        <v>45410</v>
      </c>
      <c r="I247" s="119">
        <f ca="1">HLOOKUP($H$5,'Met Data'!$A$2:$F$368,G247,FALSE)</f>
        <v>10.824999999999999</v>
      </c>
      <c r="J247" s="119">
        <f ca="1">HLOOKUP($H$5,'Met Data'!$H$2:$M$368,G247,FALSE)*L247</f>
        <v>5.4352941176470502</v>
      </c>
      <c r="K247" s="96">
        <f ca="1">HLOOKUP($H$5,'Met Data'!$O$2:$T$368,G247,FALSE)</f>
        <v>1.6384329462009699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45456</v>
      </c>
      <c r="Q247">
        <f ca="1"/>
        <v>-62.515406334258181</v>
      </c>
      <c r="R247">
        <f ca="1"/>
        <v>1.3615181167217116</v>
      </c>
      <c r="S247">
        <f ca="1"/>
        <v>2.8385946539259521E-2</v>
      </c>
      <c r="T247">
        <f ca="1"/>
        <v>0.29249275531830926</v>
      </c>
      <c r="U247">
        <f ca="1"/>
        <v>0</v>
      </c>
      <c r="V247">
        <f ca="1"/>
        <v>116.58707142886063</v>
      </c>
      <c r="W247">
        <f ca="1"/>
        <v>106.65558015899472</v>
      </c>
      <c r="X247">
        <f ca="1"/>
        <v>0</v>
      </c>
      <c r="Y247">
        <f ca="1"/>
        <v>0.74293248809436263</v>
      </c>
      <c r="Z247">
        <f ca="1"/>
        <v>0</v>
      </c>
      <c r="AA247">
        <f ca="1"/>
        <v>0</v>
      </c>
      <c r="AB247">
        <f ca="1"/>
        <v>0.9999175332749507</v>
      </c>
      <c r="AD247" s="2">
        <f t="shared" ca="1" si="32"/>
        <v>45456</v>
      </c>
      <c r="AE247">
        <f t="shared" ca="1" si="33"/>
        <v>0</v>
      </c>
      <c r="AG247" s="63">
        <f t="shared" ca="1" si="37"/>
        <v>-61.153888217536469</v>
      </c>
      <c r="AH247" s="63">
        <f t="shared" ca="1" si="38"/>
        <v>-61.153888217536469</v>
      </c>
      <c r="AI247" s="3">
        <f t="shared" ca="1" si="39"/>
        <v>0</v>
      </c>
    </row>
    <row r="248" spans="7:35">
      <c r="G248" s="3">
        <f t="shared" ca="1" si="34"/>
        <v>121</v>
      </c>
      <c r="H248" s="95">
        <f t="shared" ca="1" si="36"/>
        <v>45411</v>
      </c>
      <c r="I248" s="119">
        <f ca="1">HLOOKUP($H$5,'Met Data'!$A$2:$F$368,G248,FALSE)</f>
        <v>10.554411764705799</v>
      </c>
      <c r="J248" s="119">
        <f ca="1">HLOOKUP($H$5,'Met Data'!$H$2:$M$368,G248,FALSE)*L248</f>
        <v>2.5852941176470501</v>
      </c>
      <c r="K248" s="96">
        <f ca="1">HLOOKUP($H$5,'Met Data'!$O$2:$T$368,G248,FALSE)</f>
        <v>1.6462620711534199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45457</v>
      </c>
      <c r="Q248">
        <f ca="1"/>
        <v>-63.542128168632345</v>
      </c>
      <c r="R248">
        <f ca="1"/>
        <v>1.3682074553652086</v>
      </c>
      <c r="S248">
        <f ca="1"/>
        <v>2.8945519112532736E-2</v>
      </c>
      <c r="T248">
        <f ca="1"/>
        <v>0.31254010187851339</v>
      </c>
      <c r="U248">
        <f ca="1"/>
        <v>0</v>
      </c>
      <c r="V248">
        <f ca="1"/>
        <v>117.95527888422583</v>
      </c>
      <c r="W248">
        <f ca="1"/>
        <v>107.90723660890288</v>
      </c>
      <c r="X248">
        <f ca="1"/>
        <v>0</v>
      </c>
      <c r="Y248">
        <f ca="1"/>
        <v>0.78453863558971271</v>
      </c>
      <c r="Z248">
        <f ca="1"/>
        <v>0</v>
      </c>
      <c r="AA248">
        <f ca="1"/>
        <v>0</v>
      </c>
      <c r="AB248">
        <f ca="1"/>
        <v>0.99992572461285589</v>
      </c>
      <c r="AD248" s="2">
        <f t="shared" ca="1" si="32"/>
        <v>45457</v>
      </c>
      <c r="AE248">
        <f t="shared" ca="1" si="33"/>
        <v>0</v>
      </c>
      <c r="AG248" s="63">
        <f t="shared" ca="1" si="37"/>
        <v>-62.173920713267137</v>
      </c>
      <c r="AH248" s="63">
        <f t="shared" ca="1" si="38"/>
        <v>-62.173920713267137</v>
      </c>
      <c r="AI248" s="3">
        <f t="shared" ca="1" si="39"/>
        <v>0</v>
      </c>
    </row>
    <row r="249" spans="7:35">
      <c r="G249" s="3">
        <f t="shared" ca="1" si="34"/>
        <v>122</v>
      </c>
      <c r="H249" s="95">
        <f t="shared" ca="1" si="36"/>
        <v>45412</v>
      </c>
      <c r="I249" s="119">
        <f ca="1">HLOOKUP($H$5,'Met Data'!$A$2:$F$368,G249,FALSE)</f>
        <v>10.2014705882352</v>
      </c>
      <c r="J249" s="119">
        <f ca="1">HLOOKUP($H$5,'Met Data'!$H$2:$M$368,G249,FALSE)*L249</f>
        <v>1.01176470588235</v>
      </c>
      <c r="K249" s="96">
        <f ca="1">HLOOKUP($H$5,'Met Data'!$O$2:$T$368,G249,FALSE)</f>
        <v>1.5886994013641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45458</v>
      </c>
      <c r="Q249">
        <f ca="1"/>
        <v>-64.443050119434545</v>
      </c>
      <c r="R249">
        <f ca="1"/>
        <v>1.2298350777452498</v>
      </c>
      <c r="S249">
        <f ca="1"/>
        <v>2.7928013118319939E-2</v>
      </c>
      <c r="T249">
        <f ca="1"/>
        <v>0.30098511382472737</v>
      </c>
      <c r="U249">
        <f ca="1"/>
        <v>0</v>
      </c>
      <c r="V249">
        <f ca="1"/>
        <v>119.18511396197108</v>
      </c>
      <c r="W249">
        <f ca="1"/>
        <v>109.03230795780317</v>
      </c>
      <c r="X249">
        <f ca="1"/>
        <v>0</v>
      </c>
      <c r="Y249">
        <f ca="1"/>
        <v>0.81260403443359641</v>
      </c>
      <c r="Z249">
        <f ca="1"/>
        <v>0</v>
      </c>
      <c r="AA249">
        <f ca="1"/>
        <v>0</v>
      </c>
      <c r="AB249">
        <f ca="1"/>
        <v>0.99993245407109377</v>
      </c>
      <c r="AD249" s="2">
        <f t="shared" ca="1" si="32"/>
        <v>45458</v>
      </c>
      <c r="AE249">
        <f t="shared" ca="1" si="33"/>
        <v>0</v>
      </c>
      <c r="AG249" s="63">
        <f t="shared" ca="1" si="37"/>
        <v>-63.213215041689296</v>
      </c>
      <c r="AH249" s="63">
        <f t="shared" ca="1" si="38"/>
        <v>-63.213215041689296</v>
      </c>
      <c r="AI249" s="3">
        <f t="shared" ca="1" si="39"/>
        <v>0</v>
      </c>
    </row>
    <row r="250" spans="7:35">
      <c r="G250" s="3">
        <f t="shared" ca="1" si="34"/>
        <v>123</v>
      </c>
      <c r="H250" s="95">
        <f t="shared" ca="1" si="36"/>
        <v>45413</v>
      </c>
      <c r="I250" s="119">
        <f ca="1">HLOOKUP($H$5,'Met Data'!$A$2:$F$368,G250,FALSE)</f>
        <v>10.3191176470588</v>
      </c>
      <c r="J250" s="119">
        <f ca="1">HLOOKUP($H$5,'Met Data'!$H$2:$M$368,G250,FALSE)*L250</f>
        <v>0.91470588235294104</v>
      </c>
      <c r="K250" s="96">
        <f ca="1">HLOOKUP($H$5,'Met Data'!$O$2:$T$368,G250,FALSE)</f>
        <v>1.52724346363737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45459</v>
      </c>
      <c r="Q250">
        <f ca="1"/>
        <v>-65.223033193314862</v>
      </c>
      <c r="R250">
        <f ca="1"/>
        <v>1.1000775851722437</v>
      </c>
      <c r="S250">
        <f ca="1"/>
        <v>2.6970688572301782E-2</v>
      </c>
      <c r="T250">
        <f ca="1"/>
        <v>0.2931238227196209</v>
      </c>
      <c r="U250">
        <f ca="1"/>
        <v>0</v>
      </c>
      <c r="V250">
        <f ca="1"/>
        <v>120.28519154714333</v>
      </c>
      <c r="W250">
        <f ca="1"/>
        <v>110.03867523016444</v>
      </c>
      <c r="X250">
        <f ca="1"/>
        <v>0</v>
      </c>
      <c r="Y250">
        <f ca="1"/>
        <v>0.84842641519163009</v>
      </c>
      <c r="Z250">
        <f ca="1"/>
        <v>0</v>
      </c>
      <c r="AA250">
        <f ca="1"/>
        <v>0</v>
      </c>
      <c r="AB250">
        <f ca="1"/>
        <v>0.99993800483303663</v>
      </c>
      <c r="AD250" s="2">
        <f t="shared" ca="1" si="32"/>
        <v>45459</v>
      </c>
      <c r="AE250">
        <f t="shared" ca="1" si="33"/>
        <v>0</v>
      </c>
      <c r="AG250" s="63">
        <f t="shared" ca="1" si="37"/>
        <v>-64.122955608142618</v>
      </c>
      <c r="AH250" s="63">
        <f t="shared" ca="1" si="38"/>
        <v>-64.122955608142618</v>
      </c>
      <c r="AI250" s="3">
        <f t="shared" ca="1" si="39"/>
        <v>0</v>
      </c>
    </row>
    <row r="251" spans="7:35">
      <c r="G251" s="3">
        <f t="shared" ca="1" si="34"/>
        <v>124</v>
      </c>
      <c r="H251" s="95">
        <f t="shared" ca="1" si="36"/>
        <v>45414</v>
      </c>
      <c r="I251" s="119">
        <f ca="1">HLOOKUP($H$5,'Met Data'!$A$2:$F$368,G251,FALSE)</f>
        <v>10.267647058823499</v>
      </c>
      <c r="J251" s="119">
        <f ca="1">HLOOKUP($H$5,'Met Data'!$H$2:$M$368,G251,FALSE)*L251</f>
        <v>0.91764705882352904</v>
      </c>
      <c r="K251" s="96">
        <f ca="1">HLOOKUP($H$5,'Met Data'!$O$2:$T$368,G251,FALSE)</f>
        <v>1.7604236957874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45460</v>
      </c>
      <c r="Q251">
        <f ca="1"/>
        <v>-66.050774639240842</v>
      </c>
      <c r="R251">
        <f ca="1"/>
        <v>1.1731865430918589</v>
      </c>
      <c r="S251">
        <f ca="1"/>
        <v>2.8107595561468912E-2</v>
      </c>
      <c r="T251">
        <f ca="1"/>
        <v>0.31733750160441526</v>
      </c>
      <c r="U251">
        <f ca="1"/>
        <v>0</v>
      </c>
      <c r="V251">
        <f ca="1"/>
        <v>121.45837809023519</v>
      </c>
      <c r="W251">
        <f ca="1"/>
        <v>111.11192366032626</v>
      </c>
      <c r="X251">
        <f ca="1"/>
        <v>0</v>
      </c>
      <c r="Y251">
        <f ca="1"/>
        <v>0.86962960556495683</v>
      </c>
      <c r="Z251">
        <f ca="1"/>
        <v>0</v>
      </c>
      <c r="AA251">
        <f ca="1"/>
        <v>0</v>
      </c>
      <c r="AB251">
        <f ca="1"/>
        <v>0.99994347269065187</v>
      </c>
      <c r="AD251" s="2">
        <f t="shared" ca="1" si="32"/>
        <v>45460</v>
      </c>
      <c r="AE251">
        <f t="shared" ca="1" si="33"/>
        <v>0</v>
      </c>
      <c r="AG251" s="63">
        <f t="shared" ca="1" si="37"/>
        <v>-64.877588096148983</v>
      </c>
      <c r="AH251" s="63">
        <f t="shared" ca="1" si="38"/>
        <v>-64.877588096148983</v>
      </c>
      <c r="AI251" s="3">
        <f t="shared" ca="1" si="39"/>
        <v>0</v>
      </c>
    </row>
    <row r="252" spans="7:35">
      <c r="G252" s="3">
        <f t="shared" ca="1" si="34"/>
        <v>125</v>
      </c>
      <c r="H252" s="95">
        <f t="shared" ca="1" si="36"/>
        <v>45415</v>
      </c>
      <c r="I252" s="119">
        <f ca="1">HLOOKUP($H$5,'Met Data'!$A$2:$F$368,G252,FALSE)</f>
        <v>10.807352941176401</v>
      </c>
      <c r="J252" s="119">
        <f ca="1">HLOOKUP($H$5,'Met Data'!$H$2:$M$368,G252,FALSE)*L252</f>
        <v>1.78529411764705</v>
      </c>
      <c r="K252" s="96">
        <f ca="1">HLOOKUP($H$5,'Met Data'!$O$2:$T$368,G252,FALSE)</f>
        <v>1.87410891042832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45461</v>
      </c>
      <c r="Q252">
        <f ca="1"/>
        <v>-66.84433482861661</v>
      </c>
      <c r="R252">
        <f ca="1"/>
        <v>1.1438401589991685</v>
      </c>
      <c r="S252">
        <f ca="1"/>
        <v>2.8166909967097808E-2</v>
      </c>
      <c r="T252">
        <f ca="1"/>
        <v>0.32211305965630466</v>
      </c>
      <c r="U252">
        <f ca="1"/>
        <v>0</v>
      </c>
      <c r="V252">
        <f ca="1"/>
        <v>122.60221824923435</v>
      </c>
      <c r="W252">
        <f ca="1"/>
        <v>112.15832558355882</v>
      </c>
      <c r="X252">
        <f ca="1"/>
        <v>0</v>
      </c>
      <c r="Y252">
        <f ca="1"/>
        <v>0.88985046456431527</v>
      </c>
      <c r="Z252">
        <f ca="1"/>
        <v>0</v>
      </c>
      <c r="AA252">
        <f ca="1"/>
        <v>0</v>
      </c>
      <c r="AB252">
        <f ca="1"/>
        <v>0.99994838702303734</v>
      </c>
      <c r="AD252" s="2">
        <f t="shared" ca="1" si="32"/>
        <v>45461</v>
      </c>
      <c r="AE252">
        <f t="shared" ca="1" si="33"/>
        <v>0</v>
      </c>
      <c r="AG252" s="63">
        <f t="shared" ca="1" si="37"/>
        <v>-65.700494669617441</v>
      </c>
      <c r="AH252" s="63">
        <f t="shared" ca="1" si="38"/>
        <v>-65.700494669617441</v>
      </c>
      <c r="AI252" s="3">
        <f t="shared" ca="1" si="39"/>
        <v>0</v>
      </c>
    </row>
    <row r="253" spans="7:35">
      <c r="G253" s="3">
        <f t="shared" ca="1" si="34"/>
        <v>126</v>
      </c>
      <c r="H253" s="95">
        <f t="shared" ca="1" si="36"/>
        <v>45416</v>
      </c>
      <c r="I253" s="119">
        <f ca="1">HLOOKUP($H$5,'Met Data'!$A$2:$F$368,G253,FALSE)</f>
        <v>10.7742424242424</v>
      </c>
      <c r="J253" s="119">
        <f ca="1">HLOOKUP($H$5,'Met Data'!$H$2:$M$368,G253,FALSE)*L253</f>
        <v>1.0941176470588201</v>
      </c>
      <c r="K253" s="96">
        <f ca="1">HLOOKUP($H$5,'Met Data'!$O$2:$T$368,G253,FALSE)</f>
        <v>1.5837713381857701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45462</v>
      </c>
      <c r="Q253">
        <f ca="1"/>
        <v>-67.62664063756614</v>
      </c>
      <c r="R253">
        <f ca="1"/>
        <v>1.1430716637296001</v>
      </c>
      <c r="S253">
        <f ca="1"/>
        <v>2.8526220095091759E-2</v>
      </c>
      <c r="T253">
        <f ca="1"/>
        <v>0.33223963468497458</v>
      </c>
      <c r="U253">
        <f ca="1"/>
        <v>0</v>
      </c>
      <c r="V253">
        <f ca="1"/>
        <v>123.74528991296395</v>
      </c>
      <c r="W253">
        <f ca="1"/>
        <v>113.20402447593369</v>
      </c>
      <c r="X253">
        <f ca="1"/>
        <v>0</v>
      </c>
      <c r="Y253">
        <f ca="1"/>
        <v>0.90860989476647569</v>
      </c>
      <c r="Z253">
        <f ca="1"/>
        <v>0</v>
      </c>
      <c r="AA253">
        <f ca="1"/>
        <v>0</v>
      </c>
      <c r="AB253">
        <f ca="1"/>
        <v>0.99995291686697629</v>
      </c>
      <c r="AD253" s="2">
        <f t="shared" ca="1" si="32"/>
        <v>45462</v>
      </c>
      <c r="AE253">
        <f t="shared" ca="1" si="33"/>
        <v>0</v>
      </c>
      <c r="AG253" s="63">
        <f t="shared" ca="1" si="37"/>
        <v>-66.48356897383654</v>
      </c>
      <c r="AH253" s="63">
        <f t="shared" ca="1" si="38"/>
        <v>-66.48356897383654</v>
      </c>
      <c r="AI253" s="3">
        <f t="shared" ca="1" si="39"/>
        <v>0</v>
      </c>
    </row>
    <row r="254" spans="7:35">
      <c r="G254" s="3">
        <f t="shared" ca="1" si="34"/>
        <v>127</v>
      </c>
      <c r="H254" s="95">
        <f t="shared" ca="1" si="36"/>
        <v>45417</v>
      </c>
      <c r="I254" s="119">
        <f ca="1">HLOOKUP($H$5,'Met Data'!$A$2:$F$368,G254,FALSE)</f>
        <v>11.583823529411699</v>
      </c>
      <c r="J254" s="119">
        <f ca="1">HLOOKUP($H$5,'Met Data'!$H$2:$M$368,G254,FALSE)*L254</f>
        <v>3.2617647058823498</v>
      </c>
      <c r="K254" s="96">
        <f ca="1">HLOOKUP($H$5,'Met Data'!$O$2:$T$368,G254,FALSE)</f>
        <v>1.9285474517201799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45463</v>
      </c>
      <c r="Q254">
        <f ca="1"/>
        <v>-68.404223545131487</v>
      </c>
      <c r="R254">
        <f ca="1"/>
        <v>1.1508937950006839</v>
      </c>
      <c r="S254">
        <f ca="1"/>
        <v>2.8982569716450968E-2</v>
      </c>
      <c r="T254">
        <f ca="1"/>
        <v>0.344328317718886</v>
      </c>
      <c r="U254">
        <f ca="1"/>
        <v>0</v>
      </c>
      <c r="V254">
        <f ca="1"/>
        <v>124.89618370796464</v>
      </c>
      <c r="W254">
        <f ca="1"/>
        <v>114.25687916987877</v>
      </c>
      <c r="X254">
        <f ca="1"/>
        <v>0</v>
      </c>
      <c r="Y254">
        <f ca="1"/>
        <v>0.92658554415844818</v>
      </c>
      <c r="Z254">
        <f ca="1"/>
        <v>0</v>
      </c>
      <c r="AA254">
        <f ca="1"/>
        <v>0</v>
      </c>
      <c r="AB254">
        <f ca="1"/>
        <v>0.99995712053538888</v>
      </c>
      <c r="AD254" s="2">
        <f t="shared" ca="1" si="32"/>
        <v>45463</v>
      </c>
      <c r="AE254">
        <f t="shared" ca="1" si="33"/>
        <v>0</v>
      </c>
      <c r="AG254" s="63">
        <f t="shared" ca="1" si="37"/>
        <v>-67.253329750130803</v>
      </c>
      <c r="AH254" s="63">
        <f t="shared" ca="1" si="38"/>
        <v>-67.253329750130803</v>
      </c>
      <c r="AI254" s="3">
        <f t="shared" ca="1" si="39"/>
        <v>0</v>
      </c>
    </row>
    <row r="255" spans="7:35">
      <c r="G255" s="3">
        <f t="shared" ca="1" si="34"/>
        <v>128</v>
      </c>
      <c r="H255" s="95">
        <f t="shared" ca="1" si="36"/>
        <v>45418</v>
      </c>
      <c r="I255" s="119">
        <f ca="1">HLOOKUP($H$5,'Met Data'!$A$2:$F$368,G255,FALSE)</f>
        <v>11.138235294117599</v>
      </c>
      <c r="J255" s="119">
        <f ca="1">HLOOKUP($H$5,'Met Data'!$H$2:$M$368,G255,FALSE)*L255</f>
        <v>1.1176470588235199</v>
      </c>
      <c r="K255" s="96">
        <f ca="1">HLOOKUP($H$5,'Met Data'!$O$2:$T$368,G255,FALSE)</f>
        <v>1.69465579062546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45464</v>
      </c>
      <c r="Q255">
        <f ca="1"/>
        <v>-69.104554532338184</v>
      </c>
      <c r="R255">
        <f ca="1"/>
        <v>1.065504857463651</v>
      </c>
      <c r="S255">
        <f ca="1"/>
        <v>2.8358091328126278E-2</v>
      </c>
      <c r="T255">
        <f ca="1"/>
        <v>0.33681577892881664</v>
      </c>
      <c r="U255">
        <f ca="1"/>
        <v>0</v>
      </c>
      <c r="V255">
        <f ca="1"/>
        <v>125.96168856542829</v>
      </c>
      <c r="W255">
        <f ca="1"/>
        <v>115.23161879874365</v>
      </c>
      <c r="X255">
        <f ca="1"/>
        <v>0</v>
      </c>
      <c r="Y255">
        <f ca="1"/>
        <v>0.94649901582355633</v>
      </c>
      <c r="Z255">
        <f ca="1"/>
        <v>0</v>
      </c>
      <c r="AA255">
        <f ca="1"/>
        <v>0</v>
      </c>
      <c r="AB255">
        <f ca="1"/>
        <v>0.99996071541909226</v>
      </c>
      <c r="AD255" s="2">
        <f t="shared" ca="1" si="32"/>
        <v>45464</v>
      </c>
      <c r="AE255">
        <f t="shared" ca="1" si="33"/>
        <v>0</v>
      </c>
      <c r="AG255" s="63">
        <f t="shared" ca="1" si="37"/>
        <v>-68.039049674874533</v>
      </c>
      <c r="AH255" s="63">
        <f t="shared" ca="1" si="38"/>
        <v>-68.039049674874533</v>
      </c>
      <c r="AI255" s="3">
        <f t="shared" ca="1" si="39"/>
        <v>0</v>
      </c>
    </row>
    <row r="256" spans="7:35">
      <c r="G256" s="3">
        <f t="shared" ca="1" si="34"/>
        <v>129</v>
      </c>
      <c r="H256" s="95">
        <f t="shared" ca="1" si="36"/>
        <v>45419</v>
      </c>
      <c r="I256" s="119">
        <f ca="1">HLOOKUP($H$5,'Met Data'!$A$2:$F$368,G256,FALSE)</f>
        <v>10.079411764705799</v>
      </c>
      <c r="J256" s="119">
        <f ca="1">HLOOKUP($H$5,'Met Data'!$H$2:$M$368,G256,FALSE)*L256</f>
        <v>3.0588235294117601</v>
      </c>
      <c r="K256" s="96">
        <f ca="1">HLOOKUP($H$5,'Met Data'!$O$2:$T$368,G256,FALSE)</f>
        <v>1.6998944555739099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45465</v>
      </c>
      <c r="Q256">
        <f ca="1"/>
        <v>-69.799390836721088</v>
      </c>
      <c r="R256">
        <f ca="1"/>
        <v>1.0647537332109778</v>
      </c>
      <c r="S256">
        <f ca="1"/>
        <v>2.8676419039005197E-2</v>
      </c>
      <c r="T256">
        <f ca="1"/>
        <v>0.34124100978906996</v>
      </c>
      <c r="U256">
        <f ca="1"/>
        <v>0</v>
      </c>
      <c r="V256">
        <f ca="1"/>
        <v>127.02644229863927</v>
      </c>
      <c r="W256">
        <f ca="1"/>
        <v>116.20567128801443</v>
      </c>
      <c r="X256">
        <f ca="1"/>
        <v>0</v>
      </c>
      <c r="Y256">
        <f ca="1"/>
        <v>0.95103859301865568</v>
      </c>
      <c r="Z256">
        <f ca="1"/>
        <v>0</v>
      </c>
      <c r="AA256">
        <f ca="1"/>
        <v>0</v>
      </c>
      <c r="AB256">
        <f ca="1"/>
        <v>0.99996404234061464</v>
      </c>
      <c r="AD256" s="2">
        <f t="shared" ca="1" si="32"/>
        <v>45465</v>
      </c>
      <c r="AE256">
        <f t="shared" ca="1" si="33"/>
        <v>0</v>
      </c>
      <c r="AG256" s="63">
        <f t="shared" ca="1" si="37"/>
        <v>-68.73463710351011</v>
      </c>
      <c r="AH256" s="63">
        <f t="shared" ca="1" si="38"/>
        <v>-68.73463710351011</v>
      </c>
      <c r="AI256" s="3">
        <f t="shared" ca="1" si="39"/>
        <v>0</v>
      </c>
    </row>
    <row r="257" spans="7:35">
      <c r="G257" s="3">
        <f t="shared" ca="1" si="34"/>
        <v>130</v>
      </c>
      <c r="H257" s="95">
        <f t="shared" ca="1" si="36"/>
        <v>45420</v>
      </c>
      <c r="I257" s="119">
        <f ca="1">HLOOKUP($H$5,'Met Data'!$A$2:$F$368,G257,FALSE)</f>
        <v>10.2279411764705</v>
      </c>
      <c r="J257" s="119">
        <f ca="1">HLOOKUP($H$5,'Met Data'!$H$2:$M$368,G257,FALSE)*L257</f>
        <v>0.78235294117647003</v>
      </c>
      <c r="K257" s="96">
        <f ca="1">HLOOKUP($H$5,'Met Data'!$O$2:$T$368,G257,FALSE)</f>
        <v>1.6080556103689001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45466</v>
      </c>
      <c r="Q257">
        <f ca="1"/>
        <v>-70.516114046932486</v>
      </c>
      <c r="R257">
        <f ca="1"/>
        <v>1.103477866595739</v>
      </c>
      <c r="S257">
        <f ca="1"/>
        <v>2.9469584329490317E-2</v>
      </c>
      <c r="T257">
        <f ca="1"/>
        <v>0.35728507205484988</v>
      </c>
      <c r="U257">
        <f ca="1"/>
        <v>0</v>
      </c>
      <c r="V257">
        <f ca="1"/>
        <v>128.12992016523501</v>
      </c>
      <c r="W257">
        <f ca="1"/>
        <v>117.21514918819648</v>
      </c>
      <c r="X257">
        <f ca="1"/>
        <v>0</v>
      </c>
      <c r="Y257">
        <f ca="1"/>
        <v>0.96458378381817489</v>
      </c>
      <c r="Z257">
        <f ca="1"/>
        <v>0</v>
      </c>
      <c r="AA257">
        <f ca="1"/>
        <v>0</v>
      </c>
      <c r="AB257">
        <f ca="1"/>
        <v>0.99996722938957505</v>
      </c>
      <c r="AD257" s="2">
        <f t="shared" ca="1" si="32"/>
        <v>45466</v>
      </c>
      <c r="AE257">
        <f t="shared" ca="1" si="33"/>
        <v>0</v>
      </c>
      <c r="AG257" s="63">
        <f t="shared" ca="1" si="37"/>
        <v>-69.412636180336747</v>
      </c>
      <c r="AH257" s="63">
        <f t="shared" ca="1" si="38"/>
        <v>-69.412636180336747</v>
      </c>
      <c r="AI257" s="3">
        <f t="shared" ca="1" si="39"/>
        <v>0</v>
      </c>
    </row>
    <row r="258" spans="7:35">
      <c r="G258" s="3">
        <f t="shared" ca="1" si="34"/>
        <v>131</v>
      </c>
      <c r="H258" s="95">
        <f t="shared" ca="1" si="36"/>
        <v>45421</v>
      </c>
      <c r="I258" s="119">
        <f ca="1">HLOOKUP($H$5,'Met Data'!$A$2:$F$368,G258,FALSE)</f>
        <v>10.1044117647058</v>
      </c>
      <c r="J258" s="119">
        <f ca="1">HLOOKUP($H$5,'Met Data'!$H$2:$M$368,G258,FALSE)*L258</f>
        <v>1.99411764705882</v>
      </c>
      <c r="K258" s="96">
        <f ca="1">HLOOKUP($H$5,'Met Data'!$O$2:$T$368,G258,FALSE)</f>
        <v>1.41413311869791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45467</v>
      </c>
      <c r="Q258">
        <f ca="1"/>
        <v>-71.210572144579899</v>
      </c>
      <c r="R258">
        <f ca="1"/>
        <v>1.0785933026715213</v>
      </c>
      <c r="S258">
        <f ca="1"/>
        <v>2.9507001942480571E-2</v>
      </c>
      <c r="T258">
        <f ca="1"/>
        <v>0.35462820308163462</v>
      </c>
      <c r="U258">
        <f ca="1"/>
        <v>0</v>
      </c>
      <c r="V258">
        <f ca="1"/>
        <v>129.20851346790653</v>
      </c>
      <c r="W258">
        <f ca="1"/>
        <v>118.2018623206404</v>
      </c>
      <c r="X258">
        <f ca="1"/>
        <v>0</v>
      </c>
      <c r="Y258">
        <f ca="1"/>
        <v>0.97138311025864277</v>
      </c>
      <c r="Z258">
        <f ca="1"/>
        <v>0</v>
      </c>
      <c r="AA258">
        <f ca="1"/>
        <v>0</v>
      </c>
      <c r="AB258">
        <f ca="1"/>
        <v>0.99997010557133104</v>
      </c>
      <c r="AD258" s="2">
        <f t="shared" ca="1" si="32"/>
        <v>45467</v>
      </c>
      <c r="AE258">
        <f t="shared" ca="1" si="33"/>
        <v>0</v>
      </c>
      <c r="AG258" s="63">
        <f t="shared" ca="1" si="37"/>
        <v>-70.131978841908378</v>
      </c>
      <c r="AH258" s="63">
        <f t="shared" ca="1" si="38"/>
        <v>-70.131978841908378</v>
      </c>
      <c r="AI258" s="3">
        <f t="shared" ca="1" si="39"/>
        <v>0</v>
      </c>
    </row>
    <row r="259" spans="7:35">
      <c r="G259" s="3">
        <f t="shared" ca="1" si="34"/>
        <v>132</v>
      </c>
      <c r="H259" s="95">
        <f t="shared" ca="1" si="36"/>
        <v>45422</v>
      </c>
      <c r="I259" s="119">
        <f ca="1">HLOOKUP($H$5,'Met Data'!$A$2:$F$368,G259,FALSE)</f>
        <v>10.4441176470588</v>
      </c>
      <c r="J259" s="119">
        <f ca="1">HLOOKUP($H$5,'Met Data'!$H$2:$M$368,G259,FALSE)*L259</f>
        <v>0.92058823529411704</v>
      </c>
      <c r="K259" s="96">
        <f ca="1">HLOOKUP($H$5,'Met Data'!$O$2:$T$368,G259,FALSE)</f>
        <v>1.66219643843515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45468</v>
      </c>
      <c r="Q259">
        <f ca="1"/>
        <v>-71.921259433363616</v>
      </c>
      <c r="R259">
        <f ca="1"/>
        <v>1.1054056016988056</v>
      </c>
      <c r="S259">
        <f ca="1"/>
        <v>3.0181957134075788E-2</v>
      </c>
      <c r="T259">
        <f ca="1"/>
        <v>0.36453635578101234</v>
      </c>
      <c r="U259">
        <f ca="1"/>
        <v>0</v>
      </c>
      <c r="V259">
        <f ca="1"/>
        <v>130.31391906960533</v>
      </c>
      <c r="W259">
        <f ca="1"/>
        <v>119.21310374145375</v>
      </c>
      <c r="X259">
        <f ca="1"/>
        <v>0</v>
      </c>
      <c r="Y259">
        <f ca="1"/>
        <v>0.97415845372896426</v>
      </c>
      <c r="Z259">
        <f ca="1"/>
        <v>0</v>
      </c>
      <c r="AA259">
        <f ca="1"/>
        <v>0</v>
      </c>
      <c r="AB259">
        <f ca="1"/>
        <v>0.99997282516692521</v>
      </c>
      <c r="AD259" s="2">
        <f t="shared" ca="1" si="32"/>
        <v>45468</v>
      </c>
      <c r="AE259">
        <f t="shared" ca="1" si="33"/>
        <v>0</v>
      </c>
      <c r="AG259" s="63">
        <f t="shared" ca="1" si="37"/>
        <v>-70.815853831664811</v>
      </c>
      <c r="AH259" s="63">
        <f t="shared" ca="1" si="38"/>
        <v>-70.815853831664811</v>
      </c>
      <c r="AI259" s="3">
        <f t="shared" ca="1" si="39"/>
        <v>0</v>
      </c>
    </row>
    <row r="260" spans="7:35">
      <c r="G260" s="3">
        <f t="shared" ca="1" si="34"/>
        <v>133</v>
      </c>
      <c r="H260" s="95">
        <f t="shared" ca="1" si="36"/>
        <v>45423</v>
      </c>
      <c r="I260" s="119">
        <f ca="1">HLOOKUP($H$5,'Met Data'!$A$2:$F$368,G260,FALSE)</f>
        <v>10.801470588235199</v>
      </c>
      <c r="J260" s="119">
        <f ca="1">HLOOKUP($H$5,'Met Data'!$H$2:$M$368,G260,FALSE)*L260</f>
        <v>1.73823529411764</v>
      </c>
      <c r="K260" s="96">
        <f ca="1">HLOOKUP($H$5,'Met Data'!$O$2:$T$368,G260,FALSE)</f>
        <v>1.5723667757897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45469</v>
      </c>
      <c r="Q260">
        <f ca="1"/>
        <v>-72.555998073081426</v>
      </c>
      <c r="R260">
        <f ca="1"/>
        <v>1.0084541920979575</v>
      </c>
      <c r="S260">
        <f ca="1"/>
        <v>2.928899952150843E-2</v>
      </c>
      <c r="T260">
        <f ca="1"/>
        <v>0.34442655285863394</v>
      </c>
      <c r="U260">
        <f ca="1"/>
        <v>0</v>
      </c>
      <c r="V260">
        <f ca="1"/>
        <v>131.32237326170329</v>
      </c>
      <c r="W260">
        <f ca="1"/>
        <v>120.13565257644707</v>
      </c>
      <c r="X260">
        <f ca="1"/>
        <v>0</v>
      </c>
      <c r="Y260">
        <f ca="1"/>
        <v>0.98760174827441682</v>
      </c>
      <c r="Z260">
        <f ca="1"/>
        <v>0</v>
      </c>
      <c r="AA260">
        <f ca="1"/>
        <v>0</v>
      </c>
      <c r="AB260">
        <f ca="1"/>
        <v>0.99997511850711907</v>
      </c>
      <c r="AD260" s="2">
        <f t="shared" ca="1" si="32"/>
        <v>45469</v>
      </c>
      <c r="AE260">
        <f t="shared" ca="1" si="33"/>
        <v>0</v>
      </c>
      <c r="AG260" s="63">
        <f t="shared" ca="1" si="37"/>
        <v>-71.547543880983469</v>
      </c>
      <c r="AH260" s="63">
        <f t="shared" ca="1" si="38"/>
        <v>-71.547543880983469</v>
      </c>
      <c r="AI260" s="3">
        <f t="shared" ca="1" si="39"/>
        <v>0</v>
      </c>
    </row>
    <row r="261" spans="7:35">
      <c r="G261" s="3">
        <f t="shared" ca="1" si="34"/>
        <v>134</v>
      </c>
      <c r="H261" s="95">
        <f t="shared" ca="1" si="36"/>
        <v>45424</v>
      </c>
      <c r="I261" s="119">
        <f ca="1">HLOOKUP($H$5,'Met Data'!$A$2:$F$368,G261,FALSE)</f>
        <v>10.149999999999901</v>
      </c>
      <c r="J261" s="119">
        <f ca="1">HLOOKUP($H$5,'Met Data'!$H$2:$M$368,G261,FALSE)*L261</f>
        <v>1.23235294117647</v>
      </c>
      <c r="K261" s="96">
        <f ca="1">HLOOKUP($H$5,'Met Data'!$O$2:$T$368,G261,FALSE)</f>
        <v>1.62543661304557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45470</v>
      </c>
      <c r="Q261">
        <f ca="1"/>
        <v>-73.146533137394727</v>
      </c>
      <c r="R261">
        <f ca="1"/>
        <v>0.95379365695416141</v>
      </c>
      <c r="S261">
        <f ca="1"/>
        <v>2.8895544240498339E-2</v>
      </c>
      <c r="T261">
        <f ca="1"/>
        <v>0.33436304840036202</v>
      </c>
      <c r="U261">
        <f ca="1"/>
        <v>0</v>
      </c>
      <c r="V261">
        <f ca="1"/>
        <v>132.27616691865745</v>
      </c>
      <c r="W261">
        <f ca="1"/>
        <v>121.00819714410517</v>
      </c>
      <c r="X261">
        <f ca="1"/>
        <v>0</v>
      </c>
      <c r="Y261">
        <f ca="1"/>
        <v>1</v>
      </c>
      <c r="Z261">
        <f ca="1"/>
        <v>3.2032391821658734E-2</v>
      </c>
      <c r="AA261">
        <f ca="1"/>
        <v>0</v>
      </c>
      <c r="AB261">
        <f ca="1"/>
        <v>0.99997713351982387</v>
      </c>
      <c r="AD261" s="2">
        <f t="shared" ca="1" si="32"/>
        <v>45470</v>
      </c>
      <c r="AE261">
        <f t="shared" ca="1" si="33"/>
        <v>0</v>
      </c>
      <c r="AG261" s="63">
        <f t="shared" ca="1" si="37"/>
        <v>-72.192739480440565</v>
      </c>
      <c r="AH261" s="63">
        <f t="shared" ca="1" si="38"/>
        <v>-72.192739480440565</v>
      </c>
      <c r="AI261" s="3">
        <f t="shared" ca="1" si="39"/>
        <v>0</v>
      </c>
    </row>
    <row r="262" spans="7:35">
      <c r="G262" s="3">
        <f t="shared" ca="1" si="34"/>
        <v>135</v>
      </c>
      <c r="H262" s="95">
        <f t="shared" ca="1" si="36"/>
        <v>45425</v>
      </c>
      <c r="I262" s="119">
        <f ca="1">HLOOKUP($H$5,'Met Data'!$A$2:$F$368,G262,FALSE)</f>
        <v>10.029411764705801</v>
      </c>
      <c r="J262" s="119">
        <f ca="1">HLOOKUP($H$5,'Met Data'!$H$2:$M$368,G262,FALSE)*L262</f>
        <v>1.69705882352941</v>
      </c>
      <c r="K262" s="96">
        <f ca="1">HLOOKUP($H$5,'Met Data'!$O$2:$T$368,G262,FALSE)</f>
        <v>1.6139957133282601</v>
      </c>
      <c r="L262">
        <f t="shared" ca="1" si="30"/>
        <v>1</v>
      </c>
      <c r="N262" t="b">
        <f t="shared" ca="1" si="35"/>
        <v>0</v>
      </c>
      <c r="O262" t="b">
        <f t="shared" ca="1" si="31"/>
        <v>0</v>
      </c>
      <c r="P262" s="2">
        <f ca="1"/>
        <v>45471</v>
      </c>
      <c r="Q262">
        <f ca="1"/>
        <v>-73.751400733071009</v>
      </c>
      <c r="R262">
        <f ca="1"/>
        <v>0.97741121447262458</v>
      </c>
      <c r="S262">
        <f ca="1"/>
        <v>2.9474227124445918E-2</v>
      </c>
      <c r="T262">
        <f ca="1"/>
        <v>0.34306939167190842</v>
      </c>
      <c r="U262">
        <f ca="1"/>
        <v>0</v>
      </c>
      <c r="V262">
        <f ca="1"/>
        <v>133.25357813313008</v>
      </c>
      <c r="W262">
        <f ca="1"/>
        <v>121.90234740327085</v>
      </c>
      <c r="X262">
        <f ca="1"/>
        <v>0</v>
      </c>
      <c r="Y262">
        <f ca="1"/>
        <v>1</v>
      </c>
      <c r="Z262">
        <f ca="1"/>
        <v>2.1128395976634877</v>
      </c>
      <c r="AA262">
        <f ca="1"/>
        <v>0</v>
      </c>
      <c r="AB262">
        <f ca="1"/>
        <v>0.99997905287333821</v>
      </c>
      <c r="AD262" s="2">
        <f t="shared" ca="1" si="32"/>
        <v>45471</v>
      </c>
      <c r="AE262">
        <f t="shared" ca="1" si="33"/>
        <v>0</v>
      </c>
      <c r="AG262" s="63">
        <f t="shared" ca="1" si="37"/>
        <v>-72.773989518598384</v>
      </c>
      <c r="AH262" s="63">
        <f t="shared" ca="1" si="38"/>
        <v>-72.773989518598384</v>
      </c>
      <c r="AI262" s="3">
        <f t="shared" ca="1" si="39"/>
        <v>0</v>
      </c>
    </row>
    <row r="263" spans="7:35">
      <c r="G263" s="3">
        <f t="shared" ca="1" si="34"/>
        <v>136</v>
      </c>
      <c r="H263" s="95">
        <f t="shared" ca="1" si="36"/>
        <v>45426</v>
      </c>
      <c r="I263" s="119">
        <f ca="1">HLOOKUP($H$5,'Met Data'!$A$2:$F$368,G263,FALSE)</f>
        <v>9.6235294117647001</v>
      </c>
      <c r="J263" s="119">
        <f ca="1">HLOOKUP($H$5,'Met Data'!$H$2:$M$368,G263,FALSE)*L263</f>
        <v>1.51764705882352</v>
      </c>
      <c r="K263" s="96">
        <f ca="1">HLOOKUP($H$5,'Met Data'!$O$2:$T$368,G263,FALSE)</f>
        <v>1.6005498237626701</v>
      </c>
      <c r="L263">
        <f t="shared" ref="L263:L326" ca="1" si="40">IF(H263&lt;$B$32,$J$4,$J$5)</f>
        <v>1</v>
      </c>
      <c r="N263" t="b">
        <f t="shared" ca="1" si="35"/>
        <v>0</v>
      </c>
      <c r="O263" t="b">
        <f t="shared" ref="O263:O326" ca="1" si="41">AND(IF(P263&gt;($P$3-1),TRUE,FALSE),IF(P263&lt;($P$4+1),TRUE,FALSE))</f>
        <v>0</v>
      </c>
      <c r="P263" s="2">
        <f ca="1"/>
        <v>45472</v>
      </c>
      <c r="Q263">
        <f ca="1"/>
        <v>-74.381995771346851</v>
      </c>
      <c r="R263">
        <f ca="1"/>
        <v>1.0173911408507195</v>
      </c>
      <c r="S263">
        <f ca="1"/>
        <v>3.0297376387487418E-2</v>
      </c>
      <c r="T263">
        <f ca="1"/>
        <v>0.35649872618739115</v>
      </c>
      <c r="U263">
        <f ca="1"/>
        <v>0</v>
      </c>
      <c r="V263">
        <f ca="1"/>
        <v>134.2709692739808</v>
      </c>
      <c r="W263">
        <f ca="1"/>
        <v>122.83307189138245</v>
      </c>
      <c r="X263">
        <f ca="1"/>
        <v>0</v>
      </c>
      <c r="Y263">
        <f ca="1"/>
        <v>1</v>
      </c>
      <c r="Z263">
        <f ca="1"/>
        <v>0.95963097731662828</v>
      </c>
      <c r="AA263">
        <f ca="1"/>
        <v>0</v>
      </c>
      <c r="AB263">
        <f ca="1"/>
        <v>0.99998090415227281</v>
      </c>
      <c r="AD263" s="2">
        <f t="shared" ref="AD263:AD326" ca="1" si="42">IFERROR(P263,$AD$5)</f>
        <v>45472</v>
      </c>
      <c r="AE263">
        <f t="shared" ref="AE263:AE326" ca="1" si="43">IFERROR(U263,0)</f>
        <v>0</v>
      </c>
      <c r="AG263" s="63">
        <f t="shared" ca="1" si="37"/>
        <v>-73.364604630496132</v>
      </c>
      <c r="AH263" s="63">
        <f t="shared" ca="1" si="38"/>
        <v>-73.364604630496132</v>
      </c>
      <c r="AI263" s="3">
        <f t="shared" ca="1" si="39"/>
        <v>0</v>
      </c>
    </row>
    <row r="264" spans="7:35">
      <c r="G264" s="3">
        <f t="shared" ref="G264:G327" ca="1" si="44">H264-DATE(YEAR(H264),1,0)+1</f>
        <v>137</v>
      </c>
      <c r="H264" s="95">
        <f t="shared" ca="1" si="36"/>
        <v>45427</v>
      </c>
      <c r="I264" s="119">
        <f ca="1">HLOOKUP($H$5,'Met Data'!$A$2:$F$368,G264,FALSE)</f>
        <v>10.177941176470499</v>
      </c>
      <c r="J264" s="119">
        <f ca="1">HLOOKUP($H$5,'Met Data'!$H$2:$M$368,G264,FALSE)*L264</f>
        <v>2.0147058823529398</v>
      </c>
      <c r="K264" s="96">
        <f ca="1">HLOOKUP($H$5,'Met Data'!$O$2:$T$368,G264,FALSE)</f>
        <v>1.76114821084059</v>
      </c>
      <c r="L264">
        <f t="shared" ca="1" si="40"/>
        <v>1</v>
      </c>
      <c r="N264" t="b">
        <f t="shared" ref="N264:N327" ca="1" si="45">IF(P264&lt;$P$4,TRUE,FALSE)</f>
        <v>0</v>
      </c>
      <c r="O264" t="b">
        <f t="shared" ca="1" si="41"/>
        <v>0</v>
      </c>
      <c r="P264" s="2">
        <f ca="1"/>
        <v>45473</v>
      </c>
      <c r="Q264">
        <f ca="1"/>
        <v>-74.920206175124932</v>
      </c>
      <c r="R264">
        <f ca="1"/>
        <v>0.89688858913262948</v>
      </c>
      <c r="S264">
        <f ca="1"/>
        <v>2.8986033086781049E-2</v>
      </c>
      <c r="T264">
        <f ca="1"/>
        <v>0.32969215226777121</v>
      </c>
      <c r="U264">
        <f ca="1"/>
        <v>0</v>
      </c>
      <c r="V264">
        <f ca="1"/>
        <v>135.16785786311343</v>
      </c>
      <c r="W264">
        <f ca="1"/>
        <v>123.65355885995933</v>
      </c>
      <c r="X264">
        <f ca="1"/>
        <v>0</v>
      </c>
      <c r="Y264">
        <f ca="1"/>
        <v>1</v>
      </c>
      <c r="Z264">
        <f ca="1"/>
        <v>0.26610385407418136</v>
      </c>
      <c r="AA264">
        <f ca="1"/>
        <v>0</v>
      </c>
      <c r="AB264">
        <f ca="1"/>
        <v>0.99998241989615244</v>
      </c>
      <c r="AD264" s="2">
        <f t="shared" ca="1" si="42"/>
        <v>45473</v>
      </c>
      <c r="AE264">
        <f t="shared" ca="1" si="43"/>
        <v>0</v>
      </c>
      <c r="AG264" s="63">
        <f t="shared" ca="1" si="37"/>
        <v>-74.023317585992302</v>
      </c>
      <c r="AH264" s="63">
        <f t="shared" ca="1" si="38"/>
        <v>-74.023317585992302</v>
      </c>
      <c r="AI264" s="3">
        <f t="shared" ca="1" si="39"/>
        <v>0</v>
      </c>
    </row>
    <row r="265" spans="7:35">
      <c r="G265" s="3">
        <f t="shared" ca="1" si="44"/>
        <v>138</v>
      </c>
      <c r="H265" s="95">
        <f t="shared" ref="H265:H328" ca="1" si="46">H264+1</f>
        <v>45428</v>
      </c>
      <c r="I265" s="119">
        <f ca="1">HLOOKUP($H$5,'Met Data'!$A$2:$F$368,G265,FALSE)</f>
        <v>9.2779411764705806</v>
      </c>
      <c r="J265" s="119">
        <f ca="1">HLOOKUP($H$5,'Met Data'!$H$2:$M$368,G265,FALSE)*L265</f>
        <v>2.7235294117647002</v>
      </c>
      <c r="K265" s="96">
        <f ca="1">HLOOKUP($H$5,'Met Data'!$O$2:$T$368,G265,FALSE)</f>
        <v>1.51265723824432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45474</v>
      </c>
      <c r="Q265">
        <f ca="1"/>
        <v>-75.409264744135626</v>
      </c>
      <c r="R265">
        <f ca="1"/>
        <v>0.83475481983111877</v>
      </c>
      <c r="S265">
        <f ca="1"/>
        <v>2.8415257536146044E-2</v>
      </c>
      <c r="T265">
        <f ca="1"/>
        <v>0.31728099328427972</v>
      </c>
      <c r="U265">
        <f ca="1"/>
        <v>0</v>
      </c>
      <c r="V265">
        <f ca="1"/>
        <v>136.00261268294454</v>
      </c>
      <c r="W265">
        <f ca="1"/>
        <v>124.4172049358789</v>
      </c>
      <c r="X265">
        <f ca="1"/>
        <v>0</v>
      </c>
      <c r="Y265">
        <f ca="1"/>
        <v>1</v>
      </c>
      <c r="Z265">
        <f ca="1"/>
        <v>0.56586575188849508</v>
      </c>
      <c r="AA265">
        <f ca="1"/>
        <v>0</v>
      </c>
      <c r="AB265">
        <f ca="1"/>
        <v>0.99998373859049783</v>
      </c>
      <c r="AD265" s="2">
        <f t="shared" ca="1" si="42"/>
        <v>45474</v>
      </c>
      <c r="AE265">
        <f t="shared" ca="1" si="43"/>
        <v>0</v>
      </c>
      <c r="AG265" s="63">
        <f t="shared" ca="1" si="37"/>
        <v>-74.574509924304508</v>
      </c>
      <c r="AH265" s="63">
        <f t="shared" ca="1" si="38"/>
        <v>-74.574509924304508</v>
      </c>
      <c r="AI265" s="3">
        <f t="shared" ca="1" si="39"/>
        <v>0</v>
      </c>
    </row>
    <row r="266" spans="7:35">
      <c r="G266" s="3">
        <f t="shared" ca="1" si="44"/>
        <v>139</v>
      </c>
      <c r="H266" s="95">
        <f t="shared" ca="1" si="46"/>
        <v>45429</v>
      </c>
      <c r="I266" s="119">
        <f ca="1">HLOOKUP($H$5,'Met Data'!$A$2:$F$368,G266,FALSE)</f>
        <v>9.0485294117647008</v>
      </c>
      <c r="J266" s="119">
        <f ca="1">HLOOKUP($H$5,'Met Data'!$H$2:$M$368,G266,FALSE)*L266</f>
        <v>1.5</v>
      </c>
      <c r="K266" s="96">
        <f ca="1">HLOOKUP($H$5,'Met Data'!$O$2:$T$368,G266,FALSE)</f>
        <v>1.42917243065086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45475</v>
      </c>
      <c r="Q266">
        <f ca="1"/>
        <v>-75.94727289250531</v>
      </c>
      <c r="R266">
        <f ca="1"/>
        <v>0.9053306335013076</v>
      </c>
      <c r="S266">
        <f ca="1"/>
        <v>2.9588012600516578E-2</v>
      </c>
      <c r="T266">
        <f ca="1"/>
        <v>0.33773447253110345</v>
      </c>
      <c r="U266">
        <f ca="1"/>
        <v>0</v>
      </c>
      <c r="V266">
        <f ca="1"/>
        <v>136.90794331644585</v>
      </c>
      <c r="W266">
        <f ca="1"/>
        <v>125.24541481171157</v>
      </c>
      <c r="X266">
        <f ca="1"/>
        <v>0</v>
      </c>
      <c r="Y266">
        <f ca="1"/>
        <v>1</v>
      </c>
      <c r="Z266">
        <f ca="1"/>
        <v>0.55546408333935915</v>
      </c>
      <c r="AA266">
        <f ca="1"/>
        <v>0</v>
      </c>
      <c r="AB266">
        <f ca="1"/>
        <v>0.99998507423141925</v>
      </c>
      <c r="AD266" s="2">
        <f t="shared" ca="1" si="42"/>
        <v>45475</v>
      </c>
      <c r="AE266">
        <f t="shared" ca="1" si="43"/>
        <v>0</v>
      </c>
      <c r="AG266" s="63">
        <f t="shared" ca="1" si="37"/>
        <v>-75.041942259004003</v>
      </c>
      <c r="AH266" s="63">
        <f t="shared" ca="1" si="38"/>
        <v>-75.041942259004003</v>
      </c>
      <c r="AI266" s="3">
        <f t="shared" ca="1" si="39"/>
        <v>0</v>
      </c>
    </row>
    <row r="267" spans="7:35">
      <c r="G267" s="3">
        <f t="shared" ca="1" si="44"/>
        <v>140</v>
      </c>
      <c r="H267" s="95">
        <f t="shared" ca="1" si="46"/>
        <v>45430</v>
      </c>
      <c r="I267" s="119">
        <f ca="1">HLOOKUP($H$5,'Met Data'!$A$2:$F$368,G267,FALSE)</f>
        <v>9.3647058823529399</v>
      </c>
      <c r="J267" s="119">
        <f ca="1">HLOOKUP($H$5,'Met Data'!$H$2:$M$368,G267,FALSE)*L267</f>
        <v>1.5735294117647001</v>
      </c>
      <c r="K267" s="96">
        <f ca="1">HLOOKUP($H$5,'Met Data'!$O$2:$T$368,G267,FALSE)</f>
        <v>1.4324355889067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45476</v>
      </c>
      <c r="Q267">
        <f ca="1"/>
        <v>-76.50007811151724</v>
      </c>
      <c r="R267">
        <f ca="1"/>
        <v>0.93087674536783993</v>
      </c>
      <c r="S267">
        <f ca="1"/>
        <v>3.0206807495467558E-2</v>
      </c>
      <c r="T267">
        <f ca="1"/>
        <v>0.34786471886045556</v>
      </c>
      <c r="U267">
        <f ca="1"/>
        <v>0</v>
      </c>
      <c r="V267">
        <f ca="1"/>
        <v>137.83882006181369</v>
      </c>
      <c r="W267">
        <f ca="1"/>
        <v>126.09699464914065</v>
      </c>
      <c r="X267">
        <f ca="1"/>
        <v>0</v>
      </c>
      <c r="Y267">
        <f ca="1"/>
        <v>1</v>
      </c>
      <c r="Z267">
        <f ca="1"/>
        <v>0.25888452436453946</v>
      </c>
      <c r="AA267">
        <f ca="1"/>
        <v>0</v>
      </c>
      <c r="AB267">
        <f ca="1"/>
        <v>0.99998635097155031</v>
      </c>
      <c r="AD267" s="2">
        <f t="shared" ca="1" si="42"/>
        <v>45476</v>
      </c>
      <c r="AE267">
        <f t="shared" ca="1" si="43"/>
        <v>0</v>
      </c>
      <c r="AG267" s="63">
        <f t="shared" ca="1" si="37"/>
        <v>-75.5692013661494</v>
      </c>
      <c r="AH267" s="63">
        <f t="shared" ca="1" si="38"/>
        <v>-75.5692013661494</v>
      </c>
      <c r="AI267" s="3">
        <f t="shared" ca="1" si="39"/>
        <v>0</v>
      </c>
    </row>
    <row r="268" spans="7:35">
      <c r="G268" s="3">
        <f t="shared" ca="1" si="44"/>
        <v>141</v>
      </c>
      <c r="H268" s="95">
        <f t="shared" ca="1" si="46"/>
        <v>45431</v>
      </c>
      <c r="I268" s="119">
        <f ca="1">HLOOKUP($H$5,'Met Data'!$A$2:$F$368,G268,FALSE)</f>
        <v>9.4352941176470502</v>
      </c>
      <c r="J268" s="119">
        <f ca="1">HLOOKUP($H$5,'Met Data'!$H$2:$M$368,G268,FALSE)*L268</f>
        <v>1.9352941176470499</v>
      </c>
      <c r="K268" s="96">
        <f ca="1">HLOOKUP($H$5,'Met Data'!$O$2:$T$368,G268,FALSE)</f>
        <v>1.4124835611223401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45477</v>
      </c>
      <c r="Q268">
        <f ca="1"/>
        <v>-77.066287536102479</v>
      </c>
      <c r="R268">
        <f ca="1"/>
        <v>0.95548979999392714</v>
      </c>
      <c r="S268">
        <f ca="1"/>
        <v>3.0843972325069302E-2</v>
      </c>
      <c r="T268">
        <f ca="1"/>
        <v>0.35843640308361502</v>
      </c>
      <c r="U268">
        <f ca="1"/>
        <v>0</v>
      </c>
      <c r="V268">
        <f ca="1"/>
        <v>138.79430986180762</v>
      </c>
      <c r="W268">
        <f ca="1"/>
        <v>126.97109087357957</v>
      </c>
      <c r="X268">
        <f ca="1"/>
        <v>0</v>
      </c>
      <c r="Y268">
        <f ca="1"/>
        <v>0.99805218294332265</v>
      </c>
      <c r="Z268">
        <f ca="1"/>
        <v>0</v>
      </c>
      <c r="AA268">
        <f ca="1"/>
        <v>0</v>
      </c>
      <c r="AB268">
        <f ca="1"/>
        <v>0.99998756585954574</v>
      </c>
      <c r="AD268" s="2">
        <f t="shared" ca="1" si="42"/>
        <v>45477</v>
      </c>
      <c r="AE268">
        <f t="shared" ca="1" si="43"/>
        <v>0</v>
      </c>
      <c r="AG268" s="63">
        <f t="shared" ref="AG268:AG331" ca="1" si="47">Q267+S268+T268+U268</f>
        <v>-76.110797736108552</v>
      </c>
      <c r="AH268" s="63">
        <f t="shared" ref="AH268:AH331" ca="1" si="48">Q268+R268+X268</f>
        <v>-76.110797736108552</v>
      </c>
      <c r="AI268" s="3">
        <f t="shared" ref="AI268:AI331" ca="1" si="49">AH268-AG268</f>
        <v>0</v>
      </c>
    </row>
    <row r="269" spans="7:35">
      <c r="G269" s="3">
        <f t="shared" ca="1" si="44"/>
        <v>142</v>
      </c>
      <c r="H269" s="95">
        <f t="shared" ca="1" si="46"/>
        <v>45432</v>
      </c>
      <c r="I269" s="119">
        <f ca="1">HLOOKUP($H$5,'Met Data'!$A$2:$F$368,G269,FALSE)</f>
        <v>9.1705882352941099</v>
      </c>
      <c r="J269" s="119">
        <f ca="1">HLOOKUP($H$5,'Met Data'!$H$2:$M$368,G269,FALSE)*L269</f>
        <v>2.3529411764705799</v>
      </c>
      <c r="K269" s="96">
        <f ca="1">HLOOKUP($H$5,'Met Data'!$O$2:$T$368,G269,FALSE)</f>
        <v>1.2765511235284199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45478</v>
      </c>
      <c r="Q269">
        <f ca="1"/>
        <v>-77.595725355839107</v>
      </c>
      <c r="R269">
        <f ca="1"/>
        <v>0.90990592231534606</v>
      </c>
      <c r="S269">
        <f ca="1"/>
        <v>3.0457980060106138E-2</v>
      </c>
      <c r="T269">
        <f ca="1"/>
        <v>0.35001012251861702</v>
      </c>
      <c r="U269">
        <f ca="1"/>
        <v>0</v>
      </c>
      <c r="V269">
        <f ca="1"/>
        <v>139.70421578412297</v>
      </c>
      <c r="W269">
        <f ca="1"/>
        <v>127.80348629140138</v>
      </c>
      <c r="X269">
        <f ca="1"/>
        <v>0</v>
      </c>
      <c r="Y269">
        <f ca="1"/>
        <v>1</v>
      </c>
      <c r="Z269">
        <f ca="1"/>
        <v>1.993086795561581</v>
      </c>
      <c r="AA269">
        <f ca="1"/>
        <v>0</v>
      </c>
      <c r="AB269">
        <f ca="1"/>
        <v>0.99998863830791673</v>
      </c>
      <c r="AD269" s="2">
        <f t="shared" ca="1" si="42"/>
        <v>45478</v>
      </c>
      <c r="AE269">
        <f t="shared" ca="1" si="43"/>
        <v>0</v>
      </c>
      <c r="AG269" s="63">
        <f t="shared" ca="1" si="47"/>
        <v>-76.685819433523761</v>
      </c>
      <c r="AH269" s="63">
        <f t="shared" ca="1" si="48"/>
        <v>-76.685819433523761</v>
      </c>
      <c r="AI269" s="3">
        <f t="shared" ca="1" si="49"/>
        <v>0</v>
      </c>
    </row>
    <row r="270" spans="7:35">
      <c r="G270" s="3">
        <f t="shared" ca="1" si="44"/>
        <v>143</v>
      </c>
      <c r="H270" s="95">
        <f t="shared" ca="1" si="46"/>
        <v>45433</v>
      </c>
      <c r="I270" s="119">
        <f ca="1">HLOOKUP($H$5,'Met Data'!$A$2:$F$368,G270,FALSE)</f>
        <v>8.3529411764705799</v>
      </c>
      <c r="J270" s="119">
        <f ca="1">HLOOKUP($H$5,'Met Data'!$H$2:$M$368,G270,FALSE)*L270</f>
        <v>1.5852941176470501</v>
      </c>
      <c r="K270" s="96">
        <f ca="1">HLOOKUP($H$5,'Met Data'!$O$2:$T$368,G270,FALSE)</f>
        <v>1.1618550175400399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45479</v>
      </c>
      <c r="Q270">
        <f ca="1"/>
        <v>-78.035301565719578</v>
      </c>
      <c r="R270">
        <f ca="1"/>
        <v>0.78969386313355017</v>
      </c>
      <c r="S270">
        <f ca="1"/>
        <v>2.8960455018136599E-2</v>
      </c>
      <c r="T270">
        <f ca="1"/>
        <v>0.32115719823494687</v>
      </c>
      <c r="U270">
        <f ca="1"/>
        <v>0</v>
      </c>
      <c r="V270">
        <f ca="1"/>
        <v>140.49390964725652</v>
      </c>
      <c r="W270">
        <f ca="1"/>
        <v>128.52590993656429</v>
      </c>
      <c r="X270">
        <f ca="1"/>
        <v>0</v>
      </c>
      <c r="Y270">
        <f ca="1"/>
        <v>0.99868638772353724</v>
      </c>
      <c r="Z270">
        <f ca="1"/>
        <v>0</v>
      </c>
      <c r="AA270">
        <f ca="1"/>
        <v>0</v>
      </c>
      <c r="AB270">
        <f ca="1"/>
        <v>0.99998950621139726</v>
      </c>
      <c r="AD270" s="2">
        <f t="shared" ca="1" si="42"/>
        <v>45479</v>
      </c>
      <c r="AE270">
        <f t="shared" ca="1" si="43"/>
        <v>0</v>
      </c>
      <c r="AG270" s="63">
        <f t="shared" ca="1" si="47"/>
        <v>-77.245607702586028</v>
      </c>
      <c r="AH270" s="63">
        <f t="shared" ca="1" si="48"/>
        <v>-77.245607702586028</v>
      </c>
      <c r="AI270" s="3">
        <f t="shared" ca="1" si="49"/>
        <v>0</v>
      </c>
    </row>
    <row r="271" spans="7:35">
      <c r="G271" s="3">
        <f t="shared" ca="1" si="44"/>
        <v>144</v>
      </c>
      <c r="H271" s="95">
        <f t="shared" ca="1" si="46"/>
        <v>45434</v>
      </c>
      <c r="I271" s="119">
        <f ca="1">HLOOKUP($H$5,'Met Data'!$A$2:$F$368,G271,FALSE)</f>
        <v>9.0132352941176404</v>
      </c>
      <c r="J271" s="119">
        <f ca="1">HLOOKUP($H$5,'Met Data'!$H$2:$M$368,G271,FALSE)*L271</f>
        <v>1.6205882352941099</v>
      </c>
      <c r="K271" s="96">
        <f ca="1">HLOOKUP($H$5,'Met Data'!$O$2:$T$368,G271,FALSE)</f>
        <v>1.3880525200190601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45480</v>
      </c>
      <c r="Q271">
        <f ca="1"/>
        <v>-78.428661340990701</v>
      </c>
      <c r="R271">
        <f ca="1"/>
        <v>0.72997680697230294</v>
      </c>
      <c r="S271">
        <f ca="1"/>
        <v>2.8308376295225202E-2</v>
      </c>
      <c r="T271">
        <f ca="1"/>
        <v>0.30830865540595559</v>
      </c>
      <c r="U271">
        <f ca="1"/>
        <v>0</v>
      </c>
      <c r="V271">
        <f ca="1"/>
        <v>141.22388645422882</v>
      </c>
      <c r="W271">
        <f ca="1"/>
        <v>129.19370353405378</v>
      </c>
      <c r="X271">
        <f ca="1"/>
        <v>0</v>
      </c>
      <c r="Y271">
        <f ca="1"/>
        <v>1</v>
      </c>
      <c r="Z271">
        <f ca="1"/>
        <v>0.64132672178693895</v>
      </c>
      <c r="AA271">
        <f ca="1"/>
        <v>0</v>
      </c>
      <c r="AB271">
        <f ca="1"/>
        <v>0.99999025935919672</v>
      </c>
      <c r="AD271" s="2">
        <f t="shared" ca="1" si="42"/>
        <v>45480</v>
      </c>
      <c r="AE271">
        <f t="shared" ca="1" si="43"/>
        <v>0</v>
      </c>
      <c r="AG271" s="63">
        <f t="shared" ca="1" si="47"/>
        <v>-77.698684534018398</v>
      </c>
      <c r="AH271" s="63">
        <f t="shared" ca="1" si="48"/>
        <v>-77.698684534018398</v>
      </c>
      <c r="AI271" s="3">
        <f t="shared" ca="1" si="49"/>
        <v>0</v>
      </c>
    </row>
    <row r="272" spans="7:35">
      <c r="G272" s="3">
        <f t="shared" ca="1" si="44"/>
        <v>145</v>
      </c>
      <c r="H272" s="95">
        <f t="shared" ca="1" si="46"/>
        <v>45435</v>
      </c>
      <c r="I272" s="119">
        <f ca="1">HLOOKUP($H$5,'Met Data'!$A$2:$F$368,G272,FALSE)</f>
        <v>8.7911764705882298</v>
      </c>
      <c r="J272" s="119">
        <f ca="1">HLOOKUP($H$5,'Met Data'!$H$2:$M$368,G272,FALSE)*L272</f>
        <v>3.3764705882352901</v>
      </c>
      <c r="K272" s="96">
        <f ca="1">HLOOKUP($H$5,'Met Data'!$O$2:$T$368,G272,FALSE)</f>
        <v>1.28085602366637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45481</v>
      </c>
      <c r="Q272">
        <f ca="1"/>
        <v>-78.835225714369358</v>
      </c>
      <c r="R272">
        <f ca="1"/>
        <v>0.75226245396612512</v>
      </c>
      <c r="S272">
        <f ca="1"/>
        <v>2.8808575352840649E-2</v>
      </c>
      <c r="T272">
        <f ca="1"/>
        <v>0.31688950523462894</v>
      </c>
      <c r="U272">
        <f ca="1"/>
        <v>0</v>
      </c>
      <c r="V272">
        <f ca="1"/>
        <v>141.97614890819494</v>
      </c>
      <c r="W272">
        <f ca="1"/>
        <v>129.88188437157092</v>
      </c>
      <c r="X272">
        <f ca="1"/>
        <v>0</v>
      </c>
      <c r="Y272">
        <f ca="1"/>
        <v>1</v>
      </c>
      <c r="Z272">
        <f ca="1"/>
        <v>0.1671233152343703</v>
      </c>
      <c r="AA272">
        <f ca="1"/>
        <v>0</v>
      </c>
      <c r="AB272">
        <f ca="1"/>
        <v>0.99999098865355007</v>
      </c>
      <c r="AD272" s="2">
        <f t="shared" ca="1" si="42"/>
        <v>45481</v>
      </c>
      <c r="AE272">
        <f t="shared" ca="1" si="43"/>
        <v>0</v>
      </c>
      <c r="AG272" s="63">
        <f t="shared" ca="1" si="47"/>
        <v>-78.082963260403233</v>
      </c>
      <c r="AH272" s="63">
        <f t="shared" ca="1" si="48"/>
        <v>-78.082963260403233</v>
      </c>
      <c r="AI272" s="3">
        <f t="shared" ca="1" si="49"/>
        <v>0</v>
      </c>
    </row>
    <row r="273" spans="7:35">
      <c r="G273" s="3">
        <f t="shared" ca="1" si="44"/>
        <v>146</v>
      </c>
      <c r="H273" s="95">
        <f t="shared" ca="1" si="46"/>
        <v>45436</v>
      </c>
      <c r="I273" s="119">
        <f ca="1">HLOOKUP($H$5,'Met Data'!$A$2:$F$368,G273,FALSE)</f>
        <v>8.3720588235294109</v>
      </c>
      <c r="J273" s="119">
        <f ca="1">HLOOKUP($H$5,'Met Data'!$H$2:$M$368,G273,FALSE)*L273</f>
        <v>1.9058823529411699</v>
      </c>
      <c r="K273" s="96">
        <f ca="1">HLOOKUP($H$5,'Met Data'!$O$2:$T$368,G273,FALSE)</f>
        <v>1.28602442078779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45482</v>
      </c>
      <c r="Q273">
        <f ca="1"/>
        <v>-79.251296563574741</v>
      </c>
      <c r="R273">
        <f ca="1"/>
        <v>0.77011734264794995</v>
      </c>
      <c r="S273">
        <f ca="1"/>
        <v>2.9265915554912425E-2</v>
      </c>
      <c r="T273">
        <f ca="1"/>
        <v>0.32478057788764436</v>
      </c>
      <c r="U273">
        <f ca="1"/>
        <v>0</v>
      </c>
      <c r="V273">
        <f ca="1"/>
        <v>142.74626625084289</v>
      </c>
      <c r="W273">
        <f ca="1"/>
        <v>130.58639912577109</v>
      </c>
      <c r="X273">
        <f ca="1"/>
        <v>0</v>
      </c>
      <c r="Y273">
        <f ca="1"/>
        <v>0.99903601342554438</v>
      </c>
      <c r="Z273">
        <f ca="1"/>
        <v>0</v>
      </c>
      <c r="AA273">
        <f ca="1"/>
        <v>0</v>
      </c>
      <c r="AB273">
        <f ca="1"/>
        <v>0.99999168851636699</v>
      </c>
      <c r="AD273" s="2">
        <f t="shared" ca="1" si="42"/>
        <v>45482</v>
      </c>
      <c r="AE273">
        <f t="shared" ca="1" si="43"/>
        <v>0</v>
      </c>
      <c r="AG273" s="63">
        <f t="shared" ca="1" si="47"/>
        <v>-78.481179220926791</v>
      </c>
      <c r="AH273" s="63">
        <f t="shared" ca="1" si="48"/>
        <v>-78.481179220926791</v>
      </c>
      <c r="AI273" s="3">
        <f t="shared" ca="1" si="49"/>
        <v>0</v>
      </c>
    </row>
    <row r="274" spans="7:35">
      <c r="G274" s="3">
        <f t="shared" ca="1" si="44"/>
        <v>147</v>
      </c>
      <c r="H274" s="95">
        <f t="shared" ca="1" si="46"/>
        <v>45437</v>
      </c>
      <c r="I274" s="119">
        <f ca="1">HLOOKUP($H$5,'Met Data'!$A$2:$F$368,G274,FALSE)</f>
        <v>8.5632352941176393</v>
      </c>
      <c r="J274" s="119">
        <f ca="1">HLOOKUP($H$5,'Met Data'!$H$2:$M$368,G274,FALSE)*L274</f>
        <v>4.3794117647058801</v>
      </c>
      <c r="K274" s="96">
        <f ca="1">HLOOKUP($H$5,'Met Data'!$O$2:$T$368,G274,FALSE)</f>
        <v>1.33540018897607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45483</v>
      </c>
      <c r="Q274">
        <f ca="1"/>
        <v>-79.64726858952416</v>
      </c>
      <c r="R274">
        <f ca="1"/>
        <v>0.74646131036240604</v>
      </c>
      <c r="S274">
        <f ca="1"/>
        <v>2.9106416926012457E-2</v>
      </c>
      <c r="T274">
        <f ca="1"/>
        <v>0.32138286748697792</v>
      </c>
      <c r="U274">
        <f ca="1"/>
        <v>0</v>
      </c>
      <c r="V274">
        <f ca="1"/>
        <v>143.4927275612053</v>
      </c>
      <c r="W274">
        <f ca="1"/>
        <v>131.26927299117671</v>
      </c>
      <c r="X274">
        <f ca="1"/>
        <v>0</v>
      </c>
      <c r="Y274">
        <f ca="1"/>
        <v>1</v>
      </c>
      <c r="Z274">
        <f ca="1"/>
        <v>0.52481808677949005</v>
      </c>
      <c r="AA274">
        <f ca="1"/>
        <v>0</v>
      </c>
      <c r="AB274">
        <f ca="1"/>
        <v>0.99999232408376437</v>
      </c>
      <c r="AD274" s="2">
        <f t="shared" ca="1" si="42"/>
        <v>45483</v>
      </c>
      <c r="AE274">
        <f t="shared" ca="1" si="43"/>
        <v>0</v>
      </c>
      <c r="AG274" s="63">
        <f t="shared" ca="1" si="47"/>
        <v>-78.900807279161754</v>
      </c>
      <c r="AH274" s="63">
        <f t="shared" ca="1" si="48"/>
        <v>-78.900807279161754</v>
      </c>
      <c r="AI274" s="3">
        <f t="shared" ca="1" si="49"/>
        <v>0</v>
      </c>
    </row>
    <row r="275" spans="7:35">
      <c r="G275" s="3">
        <f t="shared" ca="1" si="44"/>
        <v>148</v>
      </c>
      <c r="H275" s="95">
        <f t="shared" ca="1" si="46"/>
        <v>45438</v>
      </c>
      <c r="I275" s="119">
        <f ca="1">HLOOKUP($H$5,'Met Data'!$A$2:$F$368,G275,FALSE)</f>
        <v>8.4573529411764703</v>
      </c>
      <c r="J275" s="119">
        <f ca="1">HLOOKUP($H$5,'Met Data'!$H$2:$M$368,G275,FALSE)*L275</f>
        <v>0.997058823529411</v>
      </c>
      <c r="K275" s="96">
        <f ca="1">HLOOKUP($H$5,'Met Data'!$O$2:$T$368,G275,FALSE)</f>
        <v>1.45727309162839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45484</v>
      </c>
      <c r="Q275">
        <f ca="1"/>
        <v>-80.053681947106114</v>
      </c>
      <c r="R275">
        <f ca="1"/>
        <v>0.76634621850584494</v>
      </c>
      <c r="S275">
        <f ca="1"/>
        <v>2.9608947547885123E-2</v>
      </c>
      <c r="T275">
        <f ca="1"/>
        <v>0.33032391337599937</v>
      </c>
      <c r="U275">
        <f ca="1"/>
        <v>0</v>
      </c>
      <c r="V275">
        <f ca="1"/>
        <v>144.25907377971114</v>
      </c>
      <c r="W275">
        <f ca="1"/>
        <v>131.97033786514316</v>
      </c>
      <c r="X275">
        <f ca="1"/>
        <v>0</v>
      </c>
      <c r="Y275">
        <f ca="1"/>
        <v>1</v>
      </c>
      <c r="Z275">
        <f ca="1"/>
        <v>3.6124554221188987E-2</v>
      </c>
      <c r="AA275">
        <f ca="1"/>
        <v>0</v>
      </c>
      <c r="AB275">
        <f ca="1"/>
        <v>0.99999293504921338</v>
      </c>
      <c r="AD275" s="2">
        <f t="shared" ca="1" si="42"/>
        <v>45484</v>
      </c>
      <c r="AE275">
        <f t="shared" ca="1" si="43"/>
        <v>0</v>
      </c>
      <c r="AG275" s="63">
        <f t="shared" ca="1" si="47"/>
        <v>-79.287335728600269</v>
      </c>
      <c r="AH275" s="63">
        <f t="shared" ca="1" si="48"/>
        <v>-79.287335728600269</v>
      </c>
      <c r="AI275" s="3">
        <f t="shared" ca="1" si="49"/>
        <v>0</v>
      </c>
    </row>
    <row r="276" spans="7:35">
      <c r="G276" s="3">
        <f t="shared" ca="1" si="44"/>
        <v>149</v>
      </c>
      <c r="H276" s="95">
        <f t="shared" ca="1" si="46"/>
        <v>45439</v>
      </c>
      <c r="I276" s="119">
        <f ca="1">HLOOKUP($H$5,'Met Data'!$A$2:$F$368,G276,FALSE)</f>
        <v>8.1897058823529392</v>
      </c>
      <c r="J276" s="119">
        <f ca="1">HLOOKUP($H$5,'Met Data'!$H$2:$M$368,G276,FALSE)*L276</f>
        <v>2.3676470588235201</v>
      </c>
      <c r="K276" s="96">
        <f ca="1">HLOOKUP($H$5,'Met Data'!$O$2:$T$368,G276,FALSE)</f>
        <v>1.60616595463803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45485</v>
      </c>
      <c r="Q276">
        <f ca="1"/>
        <v>-80.455021864748289</v>
      </c>
      <c r="R276">
        <f ca="1"/>
        <v>0.76450600864413332</v>
      </c>
      <c r="S276">
        <f ca="1"/>
        <v>2.978697141347908E-2</v>
      </c>
      <c r="T276">
        <f ca="1"/>
        <v>0.33337911958846494</v>
      </c>
      <c r="U276">
        <f ca="1"/>
        <v>0</v>
      </c>
      <c r="V276">
        <f ca="1"/>
        <v>145.02357978835528</v>
      </c>
      <c r="W276">
        <f ca="1"/>
        <v>132.66971928786575</v>
      </c>
      <c r="X276">
        <f ca="1"/>
        <v>0</v>
      </c>
      <c r="Y276">
        <f ca="1"/>
        <v>1</v>
      </c>
      <c r="Z276">
        <f ca="1"/>
        <v>0.24082627426229664</v>
      </c>
      <c r="AA276">
        <f ca="1"/>
        <v>0</v>
      </c>
      <c r="AB276">
        <f ca="1"/>
        <v>0.99999350482483917</v>
      </c>
      <c r="AD276" s="2">
        <f t="shared" ca="1" si="42"/>
        <v>45485</v>
      </c>
      <c r="AE276">
        <f t="shared" ca="1" si="43"/>
        <v>0</v>
      </c>
      <c r="AG276" s="63">
        <f t="shared" ca="1" si="47"/>
        <v>-79.690515856104156</v>
      </c>
      <c r="AH276" s="63">
        <f t="shared" ca="1" si="48"/>
        <v>-79.690515856104156</v>
      </c>
      <c r="AI276" s="3">
        <f t="shared" ca="1" si="49"/>
        <v>0</v>
      </c>
    </row>
    <row r="277" spans="7:35">
      <c r="G277" s="3">
        <f t="shared" ca="1" si="44"/>
        <v>150</v>
      </c>
      <c r="H277" s="95">
        <f t="shared" ca="1" si="46"/>
        <v>45440</v>
      </c>
      <c r="I277" s="119">
        <f ca="1">HLOOKUP($H$5,'Met Data'!$A$2:$F$368,G277,FALSE)</f>
        <v>8.3764705882352892</v>
      </c>
      <c r="J277" s="119">
        <f ca="1">HLOOKUP($H$5,'Met Data'!$H$2:$M$368,G277,FALSE)*L277</f>
        <v>2.75</v>
      </c>
      <c r="K277" s="96">
        <f ca="1">HLOOKUP($H$5,'Met Data'!$O$2:$T$368,G277,FALSE)</f>
        <v>1.41028048478178</v>
      </c>
      <c r="L277">
        <f t="shared" ca="1" si="40"/>
        <v>1</v>
      </c>
      <c r="N277" t="e">
        <f t="shared" ca="1" si="45"/>
        <v>#N/A</v>
      </c>
      <c r="O277" t="e">
        <f t="shared" ca="1" si="41"/>
        <v>#N/A</v>
      </c>
      <c r="P277" s="2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W277" t="e">
        <f ca="1"/>
        <v>#N/A</v>
      </c>
      <c r="X277" t="e">
        <f ca="1"/>
        <v>#N/A</v>
      </c>
      <c r="Y277" t="e">
        <f ca="1"/>
        <v>#N/A</v>
      </c>
      <c r="Z277" t="e">
        <f ca="1"/>
        <v>#N/A</v>
      </c>
      <c r="AA277" t="e">
        <f ca="1"/>
        <v>#N/A</v>
      </c>
      <c r="AB277" t="e">
        <f ca="1"/>
        <v>#N/A</v>
      </c>
      <c r="AD277" s="2">
        <f t="shared" ca="1" si="42"/>
        <v>0</v>
      </c>
      <c r="AE277">
        <f t="shared" ca="1" si="43"/>
        <v>0</v>
      </c>
      <c r="AG277" s="63" t="e">
        <f t="shared" ca="1" si="47"/>
        <v>#N/A</v>
      </c>
      <c r="AH277" s="63" t="e">
        <f t="shared" ca="1" si="48"/>
        <v>#N/A</v>
      </c>
      <c r="AI277" s="3" t="e">
        <f t="shared" ca="1" si="49"/>
        <v>#N/A</v>
      </c>
    </row>
    <row r="278" spans="7:35">
      <c r="G278" s="3">
        <f t="shared" ca="1" si="44"/>
        <v>151</v>
      </c>
      <c r="H278" s="95">
        <f t="shared" ca="1" si="46"/>
        <v>45441</v>
      </c>
      <c r="I278" s="119">
        <f ca="1">HLOOKUP($H$5,'Met Data'!$A$2:$F$368,G278,FALSE)</f>
        <v>7.9235294117646999</v>
      </c>
      <c r="J278" s="119">
        <f ca="1">HLOOKUP($H$5,'Met Data'!$H$2:$M$368,G278,FALSE)*L278</f>
        <v>1.52647058823529</v>
      </c>
      <c r="K278" s="96">
        <f ca="1">HLOOKUP($H$5,'Met Data'!$O$2:$T$368,G278,FALSE)</f>
        <v>1.2181769845433199</v>
      </c>
      <c r="L278">
        <f t="shared" ca="1" si="40"/>
        <v>1</v>
      </c>
      <c r="N278" t="e">
        <f t="shared" ca="1" si="45"/>
        <v>#N/A</v>
      </c>
      <c r="O278" t="e">
        <f t="shared" ca="1" si="41"/>
        <v>#N/A</v>
      </c>
      <c r="P278" s="2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W278" t="e">
        <f ca="1"/>
        <v>#N/A</v>
      </c>
      <c r="X278" t="e">
        <f ca="1"/>
        <v>#N/A</v>
      </c>
      <c r="Y278" t="e">
        <f ca="1"/>
        <v>#N/A</v>
      </c>
      <c r="Z278" t="e">
        <f ca="1"/>
        <v>#N/A</v>
      </c>
      <c r="AA278" t="e">
        <f ca="1"/>
        <v>#N/A</v>
      </c>
      <c r="AB278" t="e">
        <f ca="1"/>
        <v>#N/A</v>
      </c>
      <c r="AD278" s="2">
        <f t="shared" ca="1" si="42"/>
        <v>0</v>
      </c>
      <c r="AE278">
        <f t="shared" ca="1" si="43"/>
        <v>0</v>
      </c>
      <c r="AG278" s="63" t="e">
        <f t="shared" ca="1" si="47"/>
        <v>#N/A</v>
      </c>
      <c r="AH278" s="63" t="e">
        <f t="shared" ca="1" si="48"/>
        <v>#N/A</v>
      </c>
      <c r="AI278" s="3" t="e">
        <f t="shared" ca="1" si="49"/>
        <v>#N/A</v>
      </c>
    </row>
    <row r="279" spans="7:35">
      <c r="G279" s="3">
        <f t="shared" ca="1" si="44"/>
        <v>152</v>
      </c>
      <c r="H279" s="95">
        <f t="shared" ca="1" si="46"/>
        <v>45442</v>
      </c>
      <c r="I279" s="119">
        <f ca="1">HLOOKUP($H$5,'Met Data'!$A$2:$F$368,G279,FALSE)</f>
        <v>7.9742424242424201</v>
      </c>
      <c r="J279" s="119">
        <f ca="1">HLOOKUP($H$5,'Met Data'!$H$2:$M$368,G279,FALSE)*L279</f>
        <v>0.65454545454545399</v>
      </c>
      <c r="K279" s="96">
        <f ca="1">HLOOKUP($H$5,'Met Data'!$O$2:$T$368,G279,FALSE)</f>
        <v>1.4140792042866701</v>
      </c>
      <c r="L279">
        <f t="shared" ca="1" si="40"/>
        <v>1</v>
      </c>
      <c r="N279" t="e">
        <f t="shared" ca="1" si="45"/>
        <v>#N/A</v>
      </c>
      <c r="O279" t="e">
        <f t="shared" ca="1" si="41"/>
        <v>#N/A</v>
      </c>
      <c r="P279" s="2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W279" t="e">
        <f ca="1"/>
        <v>#N/A</v>
      </c>
      <c r="X279" t="e">
        <f ca="1"/>
        <v>#N/A</v>
      </c>
      <c r="Y279" t="e">
        <f ca="1"/>
        <v>#N/A</v>
      </c>
      <c r="Z279" t="e">
        <f ca="1"/>
        <v>#N/A</v>
      </c>
      <c r="AA279" t="e">
        <f ca="1"/>
        <v>#N/A</v>
      </c>
      <c r="AB279" t="e">
        <f ca="1"/>
        <v>#N/A</v>
      </c>
      <c r="AD279" s="2">
        <f t="shared" ca="1" si="42"/>
        <v>0</v>
      </c>
      <c r="AE279">
        <f t="shared" ca="1" si="43"/>
        <v>0</v>
      </c>
      <c r="AG279" s="63" t="e">
        <f t="shared" ca="1" si="47"/>
        <v>#N/A</v>
      </c>
      <c r="AH279" s="63" t="e">
        <f t="shared" ca="1" si="48"/>
        <v>#N/A</v>
      </c>
      <c r="AI279" s="3" t="e">
        <f t="shared" ca="1" si="49"/>
        <v>#N/A</v>
      </c>
    </row>
    <row r="280" spans="7:35">
      <c r="G280" s="3">
        <f t="shared" ca="1" si="44"/>
        <v>153</v>
      </c>
      <c r="H280" s="95">
        <f t="shared" ca="1" si="46"/>
        <v>45443</v>
      </c>
      <c r="I280" s="119">
        <f ca="1">HLOOKUP($H$5,'Met Data'!$A$2:$F$368,G280,FALSE)</f>
        <v>8.0696969696969596</v>
      </c>
      <c r="J280" s="119">
        <f ca="1">HLOOKUP($H$5,'Met Data'!$H$2:$M$368,G280,FALSE)*L280</f>
        <v>2.6606060606060602</v>
      </c>
      <c r="K280" s="96">
        <f ca="1">HLOOKUP($H$5,'Met Data'!$O$2:$T$368,G280,FALSE)</f>
        <v>1.3648777039729501</v>
      </c>
      <c r="L280">
        <f t="shared" ca="1" si="40"/>
        <v>1</v>
      </c>
      <c r="N280" t="e">
        <f t="shared" ca="1" si="45"/>
        <v>#N/A</v>
      </c>
      <c r="O280" t="e">
        <f t="shared" ca="1" si="41"/>
        <v>#N/A</v>
      </c>
      <c r="P280" s="2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W280" t="e">
        <f ca="1"/>
        <v>#N/A</v>
      </c>
      <c r="X280" t="e">
        <f ca="1"/>
        <v>#N/A</v>
      </c>
      <c r="Y280" t="e">
        <f ca="1"/>
        <v>#N/A</v>
      </c>
      <c r="Z280" t="e">
        <f ca="1"/>
        <v>#N/A</v>
      </c>
      <c r="AA280" t="e">
        <f ca="1"/>
        <v>#N/A</v>
      </c>
      <c r="AB280" t="e">
        <f ca="1"/>
        <v>#N/A</v>
      </c>
      <c r="AD280" s="2">
        <f t="shared" ca="1" si="42"/>
        <v>0</v>
      </c>
      <c r="AE280">
        <f t="shared" ca="1" si="43"/>
        <v>0</v>
      </c>
      <c r="AG280" s="63" t="e">
        <f t="shared" ca="1" si="47"/>
        <v>#N/A</v>
      </c>
      <c r="AH280" s="63" t="e">
        <f t="shared" ca="1" si="48"/>
        <v>#N/A</v>
      </c>
      <c r="AI280" s="3" t="e">
        <f t="shared" ca="1" si="49"/>
        <v>#N/A</v>
      </c>
    </row>
    <row r="281" spans="7:35">
      <c r="G281" s="3">
        <f t="shared" ca="1" si="44"/>
        <v>154</v>
      </c>
      <c r="H281" s="95">
        <f t="shared" ca="1" si="46"/>
        <v>45444</v>
      </c>
      <c r="I281" s="119">
        <f ca="1">HLOOKUP($H$5,'Met Data'!$A$2:$F$368,G281,FALSE)</f>
        <v>7.75</v>
      </c>
      <c r="J281" s="119">
        <f ca="1">HLOOKUP($H$5,'Met Data'!$H$2:$M$368,G281,FALSE)*L281</f>
        <v>1.6818181818181801</v>
      </c>
      <c r="K281" s="96">
        <f ca="1">HLOOKUP($H$5,'Met Data'!$O$2:$T$368,G281,FALSE)</f>
        <v>1.1270486273289499</v>
      </c>
      <c r="L281">
        <f t="shared" ca="1" si="40"/>
        <v>1</v>
      </c>
      <c r="N281" t="e">
        <f t="shared" ca="1" si="45"/>
        <v>#N/A</v>
      </c>
      <c r="O281" t="e">
        <f t="shared" ca="1" si="41"/>
        <v>#N/A</v>
      </c>
      <c r="P281" s="2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W281" t="e">
        <f ca="1"/>
        <v>#N/A</v>
      </c>
      <c r="X281" t="e">
        <f ca="1"/>
        <v>#N/A</v>
      </c>
      <c r="Y281" t="e">
        <f ca="1"/>
        <v>#N/A</v>
      </c>
      <c r="Z281" t="e">
        <f ca="1"/>
        <v>#N/A</v>
      </c>
      <c r="AA281" t="e">
        <f ca="1"/>
        <v>#N/A</v>
      </c>
      <c r="AB281" t="e">
        <f ca="1"/>
        <v>#N/A</v>
      </c>
      <c r="AD281" s="2">
        <f t="shared" ca="1" si="42"/>
        <v>0</v>
      </c>
      <c r="AE281">
        <f t="shared" ca="1" si="43"/>
        <v>0</v>
      </c>
      <c r="AG281" s="63" t="e">
        <f t="shared" ca="1" si="47"/>
        <v>#N/A</v>
      </c>
      <c r="AH281" s="63" t="e">
        <f t="shared" ca="1" si="48"/>
        <v>#N/A</v>
      </c>
      <c r="AI281" s="3" t="e">
        <f t="shared" ca="1" si="49"/>
        <v>#N/A</v>
      </c>
    </row>
    <row r="282" spans="7:35">
      <c r="G282" s="3">
        <f t="shared" ca="1" si="44"/>
        <v>155</v>
      </c>
      <c r="H282" s="95">
        <f t="shared" ca="1" si="46"/>
        <v>45445</v>
      </c>
      <c r="I282" s="119">
        <f ca="1">HLOOKUP($H$5,'Met Data'!$A$2:$F$368,G282,FALSE)</f>
        <v>7.4484848484848403</v>
      </c>
      <c r="J282" s="119">
        <f ca="1">HLOOKUP($H$5,'Met Data'!$H$2:$M$368,G282,FALSE)*L282</f>
        <v>1.9090909090909001</v>
      </c>
      <c r="K282" s="96">
        <f ca="1">HLOOKUP($H$5,'Met Data'!$O$2:$T$368,G282,FALSE)</f>
        <v>1.25249803659369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3" t="e">
        <f t="shared" ca="1" si="47"/>
        <v>#N/A</v>
      </c>
      <c r="AH282" s="63" t="e">
        <f t="shared" ca="1" si="48"/>
        <v>#N/A</v>
      </c>
      <c r="AI282" s="3" t="e">
        <f t="shared" ca="1" si="49"/>
        <v>#N/A</v>
      </c>
    </row>
    <row r="283" spans="7:35">
      <c r="G283" s="3">
        <f t="shared" ca="1" si="44"/>
        <v>156</v>
      </c>
      <c r="H283" s="95">
        <f t="shared" ca="1" si="46"/>
        <v>45446</v>
      </c>
      <c r="I283" s="119">
        <f ca="1">HLOOKUP($H$5,'Met Data'!$A$2:$F$368,G283,FALSE)</f>
        <v>7.27424242424242</v>
      </c>
      <c r="J283" s="119">
        <f ca="1">HLOOKUP($H$5,'Met Data'!$H$2:$M$368,G283,FALSE)*L283</f>
        <v>2.05151515151515</v>
      </c>
      <c r="K283" s="96">
        <f ca="1">HLOOKUP($H$5,'Met Data'!$O$2:$T$368,G283,FALSE)</f>
        <v>1.2350476326500801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157</v>
      </c>
      <c r="H284" s="95">
        <f t="shared" ca="1" si="46"/>
        <v>45447</v>
      </c>
      <c r="I284" s="119">
        <f ca="1">HLOOKUP($H$5,'Met Data'!$A$2:$F$368,G284,FALSE)</f>
        <v>7.1969696969696901</v>
      </c>
      <c r="J284" s="119">
        <f ca="1">HLOOKUP($H$5,'Met Data'!$H$2:$M$368,G284,FALSE)*L284</f>
        <v>1.2333333333333301</v>
      </c>
      <c r="K284" s="96">
        <f ca="1">HLOOKUP($H$5,'Met Data'!$O$2:$T$368,G284,FALSE)</f>
        <v>1.1815334376359199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158</v>
      </c>
      <c r="H285" s="95">
        <f t="shared" ca="1" si="46"/>
        <v>45448</v>
      </c>
      <c r="I285" s="119">
        <f ca="1">HLOOKUP($H$5,'Met Data'!$A$2:$F$368,G285,FALSE)</f>
        <v>6.8636363636363598</v>
      </c>
      <c r="J285" s="119">
        <f ca="1">HLOOKUP($H$5,'Met Data'!$H$2:$M$368,G285,FALSE)*L285</f>
        <v>1.3454545454545399</v>
      </c>
      <c r="K285" s="96">
        <f ca="1">HLOOKUP($H$5,'Met Data'!$O$2:$T$368,G285,FALSE)</f>
        <v>1.11819764768331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159</v>
      </c>
      <c r="H286" s="95">
        <f t="shared" ca="1" si="46"/>
        <v>45449</v>
      </c>
      <c r="I286" s="119">
        <f ca="1">HLOOKUP($H$5,'Met Data'!$A$2:$F$368,G286,FALSE)</f>
        <v>7.0772727272727201</v>
      </c>
      <c r="J286" s="119">
        <f ca="1">HLOOKUP($H$5,'Met Data'!$H$2:$M$368,G286,FALSE)*L286</f>
        <v>2.1393939393939299</v>
      </c>
      <c r="K286" s="96">
        <f ca="1">HLOOKUP($H$5,'Met Data'!$O$2:$T$368,G286,FALSE)</f>
        <v>1.2201388257180199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160</v>
      </c>
      <c r="H287" s="95">
        <f t="shared" ca="1" si="46"/>
        <v>45450</v>
      </c>
      <c r="I287" s="119">
        <f ca="1">HLOOKUP($H$5,'Met Data'!$A$2:$F$368,G287,FALSE)</f>
        <v>7.6151515151515099</v>
      </c>
      <c r="J287" s="119">
        <f ca="1">HLOOKUP($H$5,'Met Data'!$H$2:$M$368,G287,FALSE)*L287</f>
        <v>2.0727272727272701</v>
      </c>
      <c r="K287" s="96">
        <f ca="1">HLOOKUP($H$5,'Met Data'!$O$2:$T$368,G287,FALSE)</f>
        <v>1.26531828522689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161</v>
      </c>
      <c r="H288" s="95">
        <f t="shared" ca="1" si="46"/>
        <v>45451</v>
      </c>
      <c r="I288" s="119">
        <f ca="1">HLOOKUP($H$5,'Met Data'!$A$2:$F$368,G288,FALSE)</f>
        <v>7.8272727272727201</v>
      </c>
      <c r="J288" s="119">
        <f ca="1">HLOOKUP($H$5,'Met Data'!$H$2:$M$368,G288,FALSE)*L288</f>
        <v>1.4757575757575701</v>
      </c>
      <c r="K288" s="96">
        <f ca="1">HLOOKUP($H$5,'Met Data'!$O$2:$T$368,G288,FALSE)</f>
        <v>1.2369277599155599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162</v>
      </c>
      <c r="H289" s="95">
        <f t="shared" ca="1" si="46"/>
        <v>45452</v>
      </c>
      <c r="I289" s="119">
        <f ca="1">HLOOKUP($H$5,'Met Data'!$A$2:$F$368,G289,FALSE)</f>
        <v>7.8272727272727201</v>
      </c>
      <c r="J289" s="119">
        <f ca="1">HLOOKUP($H$5,'Met Data'!$H$2:$M$368,G289,FALSE)*L289</f>
        <v>1.8848484848484801</v>
      </c>
      <c r="K289" s="96">
        <f ca="1">HLOOKUP($H$5,'Met Data'!$O$2:$T$368,G289,FALSE)</f>
        <v>1.0943317227835101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163</v>
      </c>
      <c r="H290" s="95">
        <f t="shared" ca="1" si="46"/>
        <v>45453</v>
      </c>
      <c r="I290" s="119">
        <f ca="1">HLOOKUP($H$5,'Met Data'!$A$2:$F$368,G290,FALSE)</f>
        <v>7.6075757575757503</v>
      </c>
      <c r="J290" s="119">
        <f ca="1">HLOOKUP($H$5,'Met Data'!$H$2:$M$368,G290,FALSE)*L290</f>
        <v>1.28484848484848</v>
      </c>
      <c r="K290" s="96">
        <f ca="1">HLOOKUP($H$5,'Met Data'!$O$2:$T$368,G290,FALSE)</f>
        <v>1.2594125286590201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164</v>
      </c>
      <c r="H291" s="95">
        <f t="shared" ca="1" si="46"/>
        <v>45454</v>
      </c>
      <c r="I291" s="119">
        <f ca="1">HLOOKUP($H$5,'Met Data'!$A$2:$F$368,G291,FALSE)</f>
        <v>7.7030303030302996</v>
      </c>
      <c r="J291" s="119">
        <f ca="1">HLOOKUP($H$5,'Met Data'!$H$2:$M$368,G291,FALSE)*L291</f>
        <v>3.9121212121212099</v>
      </c>
      <c r="K291" s="96">
        <f ca="1">HLOOKUP($H$5,'Met Data'!$O$2:$T$368,G291,FALSE)</f>
        <v>1.3128498286819099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165</v>
      </c>
      <c r="H292" s="95">
        <f t="shared" ca="1" si="46"/>
        <v>45455</v>
      </c>
      <c r="I292" s="119">
        <f ca="1">HLOOKUP($H$5,'Met Data'!$A$2:$F$368,G292,FALSE)</f>
        <v>6.8681818181818102</v>
      </c>
      <c r="J292" s="119">
        <f ca="1">HLOOKUP($H$5,'Met Data'!$H$2:$M$368,G292,FALSE)*L292</f>
        <v>2.0303030303030298</v>
      </c>
      <c r="K292" s="96">
        <f ca="1">HLOOKUP($H$5,'Met Data'!$O$2:$T$368,G292,FALSE)</f>
        <v>1.1474480520873001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166</v>
      </c>
      <c r="H293" s="95">
        <f t="shared" ca="1" si="46"/>
        <v>45456</v>
      </c>
      <c r="I293" s="119">
        <f ca="1">HLOOKUP($H$5,'Met Data'!$A$2:$F$368,G293,FALSE)</f>
        <v>7.2318181818181797</v>
      </c>
      <c r="J293" s="119">
        <f ca="1">HLOOKUP($H$5,'Met Data'!$H$2:$M$368,G293,FALSE)*L293</f>
        <v>1.5575757575757501</v>
      </c>
      <c r="K293" s="96">
        <f ca="1">HLOOKUP($H$5,'Met Data'!$O$2:$T$368,G293,FALSE)</f>
        <v>1.2613045443409601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167</v>
      </c>
      <c r="H294" s="95">
        <f t="shared" ca="1" si="46"/>
        <v>45457</v>
      </c>
      <c r="I294" s="119">
        <f ca="1">HLOOKUP($H$5,'Met Data'!$A$2:$F$368,G294,FALSE)</f>
        <v>7.3390624999999998</v>
      </c>
      <c r="J294" s="119">
        <f ca="1">HLOOKUP($H$5,'Met Data'!$H$2:$M$368,G294,FALSE)*L294</f>
        <v>3.41818181818181</v>
      </c>
      <c r="K294" s="96">
        <f ca="1">HLOOKUP($H$5,'Met Data'!$O$2:$T$368,G294,FALSE)</f>
        <v>1.17147222127628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168</v>
      </c>
      <c r="H295" s="95">
        <f t="shared" ca="1" si="46"/>
        <v>45458</v>
      </c>
      <c r="I295" s="119">
        <f ca="1">HLOOKUP($H$5,'Met Data'!$A$2:$F$368,G295,FALSE)</f>
        <v>6.6624999999999996</v>
      </c>
      <c r="J295" s="119">
        <f ca="1">HLOOKUP($H$5,'Met Data'!$H$2:$M$368,G295,FALSE)*L295</f>
        <v>2.5727272727272701</v>
      </c>
      <c r="K295" s="96">
        <f ca="1">HLOOKUP($H$5,'Met Data'!$O$2:$T$368,G295,FALSE)</f>
        <v>1.0572111213197799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169</v>
      </c>
      <c r="H296" s="95">
        <f t="shared" ca="1" si="46"/>
        <v>45459</v>
      </c>
      <c r="I296" s="119">
        <f ca="1">HLOOKUP($H$5,'Met Data'!$A$2:$F$368,G296,FALSE)</f>
        <v>6.015625</v>
      </c>
      <c r="J296" s="119">
        <f ca="1">HLOOKUP($H$5,'Met Data'!$H$2:$M$368,G296,FALSE)*L296</f>
        <v>3.0060606060606001</v>
      </c>
      <c r="K296" s="96">
        <f ca="1">HLOOKUP($H$5,'Met Data'!$O$2:$T$368,G296,FALSE)</f>
        <v>1.0716644953435599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170</v>
      </c>
      <c r="H297" s="95">
        <f t="shared" ca="1" si="46"/>
        <v>45460</v>
      </c>
      <c r="I297" s="119">
        <f ca="1">HLOOKUP($H$5,'Met Data'!$A$2:$F$368,G297,FALSE)</f>
        <v>6.4772727272727204</v>
      </c>
      <c r="J297" s="119">
        <f ca="1">HLOOKUP($H$5,'Met Data'!$H$2:$M$368,G297,FALSE)*L297</f>
        <v>2.2727272727272698</v>
      </c>
      <c r="K297" s="96">
        <f ca="1">HLOOKUP($H$5,'Met Data'!$O$2:$T$368,G297,FALSE)</f>
        <v>1.12776465530811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171</v>
      </c>
      <c r="H298" s="95">
        <f t="shared" ca="1" si="46"/>
        <v>45461</v>
      </c>
      <c r="I298" s="119">
        <f ca="1">HLOOKUP($H$5,'Met Data'!$A$2:$F$368,G298,FALSE)</f>
        <v>6.3803030303030299</v>
      </c>
      <c r="J298" s="119">
        <f ca="1">HLOOKUP($H$5,'Met Data'!$H$2:$M$368,G298,FALSE)*L298</f>
        <v>2.1939393939393899</v>
      </c>
      <c r="K298" s="96">
        <f ca="1">HLOOKUP($H$5,'Met Data'!$O$2:$T$368,G298,FALSE)</f>
        <v>1.1020204232536399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172</v>
      </c>
      <c r="H299" s="95">
        <f t="shared" ca="1" si="46"/>
        <v>45462</v>
      </c>
      <c r="I299" s="119">
        <f ca="1">HLOOKUP($H$5,'Met Data'!$A$2:$F$368,G299,FALSE)</f>
        <v>6.4439393939393899</v>
      </c>
      <c r="J299" s="119">
        <f ca="1">HLOOKUP($H$5,'Met Data'!$H$2:$M$368,G299,FALSE)*L299</f>
        <v>2.1121212121212101</v>
      </c>
      <c r="K299" s="96">
        <f ca="1">HLOOKUP($H$5,'Met Data'!$O$2:$T$368,G299,FALSE)</f>
        <v>1.0991176814324299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173</v>
      </c>
      <c r="H300" s="95">
        <f t="shared" ca="1" si="46"/>
        <v>45463</v>
      </c>
      <c r="I300" s="119">
        <f ca="1">HLOOKUP($H$5,'Met Data'!$A$2:$F$368,G300,FALSE)</f>
        <v>6.5606060606060597</v>
      </c>
      <c r="J300" s="119">
        <f ca="1">HLOOKUP($H$5,'Met Data'!$H$2:$M$368,G300,FALSE)*L300</f>
        <v>2.0333333333333301</v>
      </c>
      <c r="K300" s="96">
        <f ca="1">HLOOKUP($H$5,'Met Data'!$O$2:$T$368,G300,FALSE)</f>
        <v>1.06265243044536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174</v>
      </c>
      <c r="H301" s="95">
        <f t="shared" ca="1" si="46"/>
        <v>45464</v>
      </c>
      <c r="I301" s="119">
        <f ca="1">HLOOKUP($H$5,'Met Data'!$A$2:$F$368,G301,FALSE)</f>
        <v>6.1424242424242399</v>
      </c>
      <c r="J301" s="119">
        <f ca="1">HLOOKUP($H$5,'Met Data'!$H$2:$M$368,G301,FALSE)*L301</f>
        <v>2.0939393939393902</v>
      </c>
      <c r="K301" s="96">
        <f ca="1">HLOOKUP($H$5,'Met Data'!$O$2:$T$368,G301,FALSE)</f>
        <v>1.01861486176599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175</v>
      </c>
      <c r="H302" s="95">
        <f t="shared" ca="1" si="46"/>
        <v>45465</v>
      </c>
      <c r="I302" s="119">
        <f ca="1">HLOOKUP($H$5,'Met Data'!$A$2:$F$368,G302,FALSE)</f>
        <v>6.20757575757575</v>
      </c>
      <c r="J302" s="119">
        <f ca="1">HLOOKUP($H$5,'Met Data'!$H$2:$M$368,G302,FALSE)*L302</f>
        <v>1.41818181818181</v>
      </c>
      <c r="K302" s="96">
        <f ca="1">HLOOKUP($H$5,'Met Data'!$O$2:$T$368,G302,FALSE)</f>
        <v>1.17304690631908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176</v>
      </c>
      <c r="H303" s="95">
        <f t="shared" ca="1" si="46"/>
        <v>45466</v>
      </c>
      <c r="I303" s="119">
        <f ca="1">HLOOKUP($H$5,'Met Data'!$A$2:$F$368,G303,FALSE)</f>
        <v>6.5106060606060598</v>
      </c>
      <c r="J303" s="119">
        <f ca="1">HLOOKUP($H$5,'Met Data'!$H$2:$M$368,G303,FALSE)*L303</f>
        <v>1.78484848484848</v>
      </c>
      <c r="K303" s="96">
        <f ca="1">HLOOKUP($H$5,'Met Data'!$O$2:$T$368,G303,FALSE)</f>
        <v>1.05340987186552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177</v>
      </c>
      <c r="H304" s="95">
        <f t="shared" ca="1" si="46"/>
        <v>45467</v>
      </c>
      <c r="I304" s="119">
        <f ca="1">HLOOKUP($H$5,'Met Data'!$A$2:$F$368,G304,FALSE)</f>
        <v>6.4439393939393899</v>
      </c>
      <c r="J304" s="119">
        <f ca="1">HLOOKUP($H$5,'Met Data'!$H$2:$M$368,G304,FALSE)*L304</f>
        <v>1.4909090909090901</v>
      </c>
      <c r="K304" s="96">
        <f ca="1">HLOOKUP($H$5,'Met Data'!$O$2:$T$368,G304,FALSE)</f>
        <v>1.1237466528878399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178</v>
      </c>
      <c r="H305" s="95">
        <f t="shared" ca="1" si="46"/>
        <v>45468</v>
      </c>
      <c r="I305" s="119">
        <f ca="1">HLOOKUP($H$5,'Met Data'!$A$2:$F$368,G305,FALSE)</f>
        <v>6.6909090909090896</v>
      </c>
      <c r="J305" s="119">
        <f ca="1">HLOOKUP($H$5,'Met Data'!$H$2:$M$368,G305,FALSE)*L305</f>
        <v>1.3090909090909</v>
      </c>
      <c r="K305" s="96">
        <f ca="1">HLOOKUP($H$5,'Met Data'!$O$2:$T$368,G305,FALSE)</f>
        <v>1.1592232631741799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179</v>
      </c>
      <c r="H306" s="95">
        <f t="shared" ca="1" si="46"/>
        <v>45469</v>
      </c>
      <c r="I306" s="119">
        <f ca="1">HLOOKUP($H$5,'Met Data'!$A$2:$F$368,G306,FALSE)</f>
        <v>6.1848484848484802</v>
      </c>
      <c r="J306" s="119">
        <f ca="1">HLOOKUP($H$5,'Met Data'!$H$2:$M$368,G306,FALSE)*L306</f>
        <v>1.8060606060605999</v>
      </c>
      <c r="K306" s="96">
        <f ca="1">HLOOKUP($H$5,'Met Data'!$O$2:$T$368,G306,FALSE)</f>
        <v>1.0801233950998499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180</v>
      </c>
      <c r="H307" s="95">
        <f t="shared" ca="1" si="46"/>
        <v>45470</v>
      </c>
      <c r="I307" s="119">
        <f ca="1">HLOOKUP($H$5,'Met Data'!$A$2:$F$368,G307,FALSE)</f>
        <v>5.9242424242424203</v>
      </c>
      <c r="J307" s="119">
        <f ca="1">HLOOKUP($H$5,'Met Data'!$H$2:$M$368,G307,FALSE)*L307</f>
        <v>1.7121212121212099</v>
      </c>
      <c r="K307" s="96">
        <f ca="1">HLOOKUP($H$5,'Met Data'!$O$2:$T$368,G307,FALSE)</f>
        <v>1.01058351362291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181</v>
      </c>
      <c r="H308" s="95">
        <f t="shared" ca="1" si="46"/>
        <v>45471</v>
      </c>
      <c r="I308" s="119">
        <f ca="1">HLOOKUP($H$5,'Met Data'!$A$2:$F$368,G308,FALSE)</f>
        <v>6.1499999999999897</v>
      </c>
      <c r="J308" s="119">
        <f ca="1">HLOOKUP($H$5,'Met Data'!$H$2:$M$368,G308,FALSE)*L308</f>
        <v>3.14848484848484</v>
      </c>
      <c r="K308" s="96">
        <f ca="1">HLOOKUP($H$5,'Met Data'!$O$2:$T$368,G308,FALSE)</f>
        <v>1.0356452508213501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182</v>
      </c>
      <c r="H309" s="95">
        <f t="shared" ca="1" si="46"/>
        <v>45472</v>
      </c>
      <c r="I309" s="119">
        <f ca="1">HLOOKUP($H$5,'Met Data'!$A$2:$F$368,G309,FALSE)</f>
        <v>6.4909090909090903</v>
      </c>
      <c r="J309" s="119">
        <f ca="1">HLOOKUP($H$5,'Met Data'!$H$2:$M$368,G309,FALSE)*L309</f>
        <v>2.17575757575757</v>
      </c>
      <c r="K309" s="96">
        <f ca="1">HLOOKUP($H$5,'Met Data'!$O$2:$T$368,G309,FALSE)</f>
        <v>1.2161265984409499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183</v>
      </c>
      <c r="H310" s="95">
        <f t="shared" ca="1" si="46"/>
        <v>45473</v>
      </c>
      <c r="I310" s="119">
        <f ca="1">HLOOKUP($H$5,'Met Data'!$A$2:$F$368,G310,FALSE)</f>
        <v>5.80151515151515</v>
      </c>
      <c r="J310" s="119">
        <f ca="1">HLOOKUP($H$5,'Met Data'!$H$2:$M$368,G310,FALSE)*L310</f>
        <v>1.3575757575757501</v>
      </c>
      <c r="K310" s="96">
        <f ca="1">HLOOKUP($H$5,'Met Data'!$O$2:$T$368,G310,FALSE)</f>
        <v>1.0914719035015701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184</v>
      </c>
      <c r="H311" s="95">
        <f t="shared" ca="1" si="46"/>
        <v>45474</v>
      </c>
      <c r="I311" s="119">
        <f ca="1">HLOOKUP($H$5,'Met Data'!$A$2:$F$368,G311,FALSE)</f>
        <v>5.4696969696969697</v>
      </c>
      <c r="J311" s="119">
        <f ca="1">HLOOKUP($H$5,'Met Data'!$H$2:$M$368,G311,FALSE)*L311</f>
        <v>1.66363636363636</v>
      </c>
      <c r="K311" s="96">
        <f ca="1">HLOOKUP($H$5,'Met Data'!$O$2:$T$368,G311,FALSE)</f>
        <v>1.0977706117478601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185</v>
      </c>
      <c r="H312" s="95">
        <f t="shared" ca="1" si="46"/>
        <v>45475</v>
      </c>
      <c r="I312" s="119">
        <f ca="1">HLOOKUP($H$5,'Met Data'!$A$2:$F$368,G312,FALSE)</f>
        <v>6.01212121212121</v>
      </c>
      <c r="J312" s="119">
        <f ca="1">HLOOKUP($H$5,'Met Data'!$H$2:$M$368,G312,FALSE)*L312</f>
        <v>1.73030303030303</v>
      </c>
      <c r="K312" s="96">
        <f ca="1">HLOOKUP($H$5,'Met Data'!$O$2:$T$368,G312,FALSE)</f>
        <v>1.17483894696367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186</v>
      </c>
      <c r="H313" s="95">
        <f t="shared" ca="1" si="46"/>
        <v>45476</v>
      </c>
      <c r="I313" s="119">
        <f ca="1">HLOOKUP($H$5,'Met Data'!$A$2:$F$368,G313,FALSE)</f>
        <v>6.2727272727272698</v>
      </c>
      <c r="J313" s="119">
        <f ca="1">HLOOKUP($H$5,'Met Data'!$H$2:$M$368,G313,FALSE)*L313</f>
        <v>1.39393939393939</v>
      </c>
      <c r="K313" s="96">
        <f ca="1">HLOOKUP($H$5,'Met Data'!$O$2:$T$368,G313,FALSE)</f>
        <v>1.1350548695748499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187</v>
      </c>
      <c r="H314" s="95">
        <f t="shared" ca="1" si="46"/>
        <v>45477</v>
      </c>
      <c r="I314" s="119">
        <f ca="1">HLOOKUP($H$5,'Met Data'!$A$2:$F$368,G314,FALSE)</f>
        <v>6.5393939393939302</v>
      </c>
      <c r="J314" s="119">
        <f ca="1">HLOOKUP($H$5,'Met Data'!$H$2:$M$368,G314,FALSE)*L314</f>
        <v>1.2030303030303</v>
      </c>
      <c r="K314" s="96">
        <f ca="1">HLOOKUP($H$5,'Met Data'!$O$2:$T$368,G314,FALSE)</f>
        <v>1.3082124240908799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188</v>
      </c>
      <c r="H315" s="95">
        <f t="shared" ca="1" si="46"/>
        <v>45478</v>
      </c>
      <c r="I315" s="119">
        <f ca="1">HLOOKUP($H$5,'Met Data'!$A$2:$F$368,G315,FALSE)</f>
        <v>6.3272727272727201</v>
      </c>
      <c r="J315" s="119">
        <f ca="1">HLOOKUP($H$5,'Met Data'!$H$2:$M$368,G315,FALSE)*L315</f>
        <v>3.2515151515151501</v>
      </c>
      <c r="K315" s="96">
        <f ca="1">HLOOKUP($H$5,'Met Data'!$O$2:$T$368,G315,FALSE)</f>
        <v>1.1532462604149001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189</v>
      </c>
      <c r="H316" s="95">
        <f t="shared" ca="1" si="46"/>
        <v>45479</v>
      </c>
      <c r="I316" s="119">
        <f ca="1">HLOOKUP($H$5,'Met Data'!$A$2:$F$368,G316,FALSE)</f>
        <v>5.5742424242424198</v>
      </c>
      <c r="J316" s="119">
        <f ca="1">HLOOKUP($H$5,'Met Data'!$H$2:$M$368,G316,FALSE)*L316</f>
        <v>1.1151515151515099</v>
      </c>
      <c r="K316" s="96">
        <f ca="1">HLOOKUP($H$5,'Met Data'!$O$2:$T$368,G316,FALSE)</f>
        <v>1.1860865780805001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190</v>
      </c>
      <c r="H317" s="95">
        <f t="shared" ca="1" si="46"/>
        <v>45480</v>
      </c>
      <c r="I317" s="119">
        <f ca="1">HLOOKUP($H$5,'Met Data'!$A$2:$F$368,G317,FALSE)</f>
        <v>5.2243939393939298</v>
      </c>
      <c r="J317" s="119">
        <f ca="1">HLOOKUP($H$5,'Met Data'!$H$2:$M$368,G317,FALSE)*L317</f>
        <v>1.7878787878787801</v>
      </c>
      <c r="K317" s="96">
        <f ca="1">HLOOKUP($H$5,'Met Data'!$O$2:$T$368,G317,FALSE)</f>
        <v>1.0756170169258299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191</v>
      </c>
      <c r="H318" s="95">
        <f t="shared" ca="1" si="46"/>
        <v>45481</v>
      </c>
      <c r="I318" s="119">
        <f ca="1">HLOOKUP($H$5,'Met Data'!$A$2:$F$368,G318,FALSE)</f>
        <v>5.4590909090909001</v>
      </c>
      <c r="J318" s="119">
        <f ca="1">HLOOKUP($H$5,'Met Data'!$H$2:$M$368,G318,FALSE)*L318</f>
        <v>1.32424242424242</v>
      </c>
      <c r="K318" s="96">
        <f ca="1">HLOOKUP($H$5,'Met Data'!$O$2:$T$368,G318,FALSE)</f>
        <v>1.1571191090080499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192</v>
      </c>
      <c r="H319" s="95">
        <f t="shared" ca="1" si="46"/>
        <v>45482</v>
      </c>
      <c r="I319" s="119">
        <f ca="1">HLOOKUP($H$5,'Met Data'!$A$2:$F$368,G319,FALSE)</f>
        <v>5.67121212121212</v>
      </c>
      <c r="J319" s="119">
        <f ca="1">HLOOKUP($H$5,'Met Data'!$H$2:$M$368,G319,FALSE)*L319</f>
        <v>1.1303030303030299</v>
      </c>
      <c r="K319" s="96">
        <f ca="1">HLOOKUP($H$5,'Met Data'!$O$2:$T$368,G319,FALSE)</f>
        <v>1.1823583053236399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193</v>
      </c>
      <c r="H320" s="95">
        <f t="shared" ca="1" si="46"/>
        <v>45483</v>
      </c>
      <c r="I320" s="119">
        <f ca="1">HLOOKUP($H$5,'Met Data'!$A$2:$F$368,G320,FALSE)</f>
        <v>5.5803030303030301</v>
      </c>
      <c r="J320" s="119">
        <f ca="1">HLOOKUP($H$5,'Met Data'!$H$2:$M$368,G320,FALSE)*L320</f>
        <v>1.71818181818181</v>
      </c>
      <c r="K320" s="96">
        <f ca="1">HLOOKUP($H$5,'Met Data'!$O$2:$T$368,G320,FALSE)</f>
        <v>1.1413084648267999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194</v>
      </c>
      <c r="H321" s="95">
        <f t="shared" ca="1" si="46"/>
        <v>45484</v>
      </c>
      <c r="I321" s="119">
        <f ca="1">HLOOKUP($H$5,'Met Data'!$A$2:$F$368,G321,FALSE)</f>
        <v>5.8181818181818103</v>
      </c>
      <c r="J321" s="119">
        <f ca="1">HLOOKUP($H$5,'Met Data'!$H$2:$M$368,G321,FALSE)*L321</f>
        <v>1.27272727272727</v>
      </c>
      <c r="K321" s="96">
        <f ca="1">HLOOKUP($H$5,'Met Data'!$O$2:$T$368,G321,FALSE)</f>
        <v>1.2366027185060899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195</v>
      </c>
      <c r="H322" s="95">
        <f t="shared" ca="1" si="46"/>
        <v>45485</v>
      </c>
      <c r="I322" s="119">
        <f ca="1">HLOOKUP($H$5,'Met Data'!$A$2:$F$368,G322,FALSE)</f>
        <v>5.8984848484848396</v>
      </c>
      <c r="J322" s="119">
        <f ca="1">HLOOKUP($H$5,'Met Data'!$H$2:$M$368,G322,FALSE)*L322</f>
        <v>1.44545454545454</v>
      </c>
      <c r="K322" s="96">
        <f ca="1">HLOOKUP($H$5,'Met Data'!$O$2:$T$368,G322,FALSE)</f>
        <v>1.20462827119224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196</v>
      </c>
      <c r="H323" s="95">
        <f t="shared" ca="1" si="46"/>
        <v>45486</v>
      </c>
      <c r="I323" s="119">
        <f ca="1">HLOOKUP($H$5,'Met Data'!$A$2:$F$368,G323,FALSE)</f>
        <v>6.1590909090909003</v>
      </c>
      <c r="J323" s="119">
        <f ca="1">HLOOKUP($H$5,'Met Data'!$H$2:$M$368,G323,FALSE)*L323</f>
        <v>0.93333333333333302</v>
      </c>
      <c r="K323" s="96">
        <f ca="1">HLOOKUP($H$5,'Met Data'!$O$2:$T$368,G323,FALSE)</f>
        <v>1.08107866384151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197</v>
      </c>
      <c r="H324" s="95">
        <f t="shared" ca="1" si="46"/>
        <v>45487</v>
      </c>
      <c r="I324" s="119">
        <f ca="1">HLOOKUP($H$5,'Met Data'!$A$2:$F$368,G324,FALSE)</f>
        <v>5.8606060606060604</v>
      </c>
      <c r="J324" s="119">
        <f ca="1">HLOOKUP($H$5,'Met Data'!$H$2:$M$368,G324,FALSE)*L324</f>
        <v>0.95454545454545403</v>
      </c>
      <c r="K324" s="96">
        <f ca="1">HLOOKUP($H$5,'Met Data'!$O$2:$T$368,G324,FALSE)</f>
        <v>1.0543699556166799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198</v>
      </c>
      <c r="H325" s="95">
        <f t="shared" ca="1" si="46"/>
        <v>45488</v>
      </c>
      <c r="I325" s="119">
        <f ca="1">HLOOKUP($H$5,'Met Data'!$A$2:$F$368,G325,FALSE)</f>
        <v>6.3318181818181802</v>
      </c>
      <c r="J325" s="119">
        <f ca="1">HLOOKUP($H$5,'Met Data'!$H$2:$M$368,G325,FALSE)*L325</f>
        <v>1.9030303030303</v>
      </c>
      <c r="K325" s="96">
        <f ca="1">HLOOKUP($H$5,'Met Data'!$O$2:$T$368,G325,FALSE)</f>
        <v>1.0854702771695099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199</v>
      </c>
      <c r="H326" s="95">
        <f t="shared" ca="1" si="46"/>
        <v>45489</v>
      </c>
      <c r="I326" s="119">
        <f ca="1">HLOOKUP($H$5,'Met Data'!$A$2:$F$368,G326,FALSE)</f>
        <v>6.4424242424242397</v>
      </c>
      <c r="J326" s="119">
        <f ca="1">HLOOKUP($H$5,'Met Data'!$H$2:$M$368,G326,FALSE)*L326</f>
        <v>2.3454545454545399</v>
      </c>
      <c r="K326" s="96">
        <f ca="1">HLOOKUP($H$5,'Met Data'!$O$2:$T$368,G326,FALSE)</f>
        <v>0.98557119798157899</v>
      </c>
      <c r="L326">
        <f t="shared" ca="1" si="40"/>
        <v>1</v>
      </c>
      <c r="N326" t="e">
        <f t="shared" ca="1" si="45"/>
        <v>#N/A</v>
      </c>
      <c r="O326" t="e">
        <f t="shared" ca="1" si="41"/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ca="1" si="42"/>
        <v>0</v>
      </c>
      <c r="AE326">
        <f t="shared" ca="1" si="43"/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ca="1" si="44"/>
        <v>200</v>
      </c>
      <c r="H327" s="95">
        <f t="shared" ca="1" si="46"/>
        <v>45490</v>
      </c>
      <c r="I327" s="119">
        <f ca="1">HLOOKUP($H$5,'Met Data'!$A$2:$F$368,G327,FALSE)</f>
        <v>6.3242424242424198</v>
      </c>
      <c r="J327" s="119">
        <f ca="1">HLOOKUP($H$5,'Met Data'!$H$2:$M$368,G327,FALSE)*L327</f>
        <v>3.6</v>
      </c>
      <c r="K327" s="96">
        <f ca="1">HLOOKUP($H$5,'Met Data'!$O$2:$T$368,G327,FALSE)</f>
        <v>1.0101770597585</v>
      </c>
      <c r="L327">
        <f t="shared" ref="L327:L390" ca="1" si="50">IF(H327&lt;$B$32,$J$4,$J$5)</f>
        <v>1</v>
      </c>
      <c r="N327" t="e">
        <f t="shared" ca="1" si="45"/>
        <v>#N/A</v>
      </c>
      <c r="O327" t="e">
        <f t="shared" ref="O327:O390" ca="1" si="51">AND(IF(P327&gt;($P$3-1),TRUE,FALSE),IF(P327&lt;($P$4+1),TRUE,FALSE))</f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ref="AD327:AD390" ca="1" si="52">IFERROR(P327,$AD$5)</f>
        <v>0</v>
      </c>
      <c r="AE327">
        <f t="shared" ref="AE327:AE390" ca="1" si="53">IFERROR(U327,0)</f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ref="G328:G391" ca="1" si="54">H328-DATE(YEAR(H328),1,0)+1</f>
        <v>201</v>
      </c>
      <c r="H328" s="95">
        <f t="shared" ca="1" si="46"/>
        <v>45491</v>
      </c>
      <c r="I328" s="119">
        <f ca="1">HLOOKUP($H$5,'Met Data'!$A$2:$F$368,G328,FALSE)</f>
        <v>6.5333333333333297</v>
      </c>
      <c r="J328" s="119">
        <f ca="1">HLOOKUP($H$5,'Met Data'!$H$2:$M$368,G328,FALSE)*L328</f>
        <v>1.92121212121212</v>
      </c>
      <c r="K328" s="96">
        <f ca="1">HLOOKUP($H$5,'Met Data'!$O$2:$T$368,G328,FALSE)</f>
        <v>1.0019139083521</v>
      </c>
      <c r="L328">
        <f t="shared" ca="1" si="50"/>
        <v>1</v>
      </c>
      <c r="N328" t="e">
        <f t="shared" ref="N328:N391" ca="1" si="55">IF(P328&lt;$P$4,TRUE,FALSE)</f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202</v>
      </c>
      <c r="H329" s="95">
        <f t="shared" ref="H329:H392" ca="1" si="56">H328+1</f>
        <v>45492</v>
      </c>
      <c r="I329" s="119">
        <f ca="1">HLOOKUP($H$5,'Met Data'!$A$2:$F$368,G329,FALSE)</f>
        <v>6.70757575757575</v>
      </c>
      <c r="J329" s="119">
        <f ca="1">HLOOKUP($H$5,'Met Data'!$H$2:$M$368,G329,FALSE)*L329</f>
        <v>1.76969696969696</v>
      </c>
      <c r="K329" s="96">
        <f ca="1">HLOOKUP($H$5,'Met Data'!$O$2:$T$368,G329,FALSE)</f>
        <v>1.1757544824616699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203</v>
      </c>
      <c r="H330" s="95">
        <f t="shared" ca="1" si="56"/>
        <v>45493</v>
      </c>
      <c r="I330" s="119">
        <f ca="1">HLOOKUP($H$5,'Met Data'!$A$2:$F$368,G330,FALSE)</f>
        <v>6.2909090909090901</v>
      </c>
      <c r="J330" s="119">
        <f ca="1">HLOOKUP($H$5,'Met Data'!$H$2:$M$368,G330,FALSE)*L330</f>
        <v>2.1</v>
      </c>
      <c r="K330" s="96">
        <f ca="1">HLOOKUP($H$5,'Met Data'!$O$2:$T$368,G330,FALSE)</f>
        <v>1.0943315234208899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204</v>
      </c>
      <c r="H331" s="95">
        <f t="shared" ca="1" si="56"/>
        <v>45494</v>
      </c>
      <c r="I331" s="119">
        <f ca="1">HLOOKUP($H$5,'Met Data'!$A$2:$F$368,G331,FALSE)</f>
        <v>6.5757575757575699</v>
      </c>
      <c r="J331" s="119">
        <f ca="1">HLOOKUP($H$5,'Met Data'!$H$2:$M$368,G331,FALSE)*L331</f>
        <v>2.55151515151515</v>
      </c>
      <c r="K331" s="96">
        <f ca="1">HLOOKUP($H$5,'Met Data'!$O$2:$T$368,G331,FALSE)</f>
        <v>1.2263410572015001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ca="1" si="47"/>
        <v>#N/A</v>
      </c>
      <c r="AH331" s="63" t="e">
        <f t="shared" ca="1" si="48"/>
        <v>#N/A</v>
      </c>
      <c r="AI331" s="3" t="e">
        <f t="shared" ca="1" si="49"/>
        <v>#N/A</v>
      </c>
    </row>
    <row r="332" spans="7:35">
      <c r="G332" s="3">
        <f t="shared" ca="1" si="54"/>
        <v>205</v>
      </c>
      <c r="H332" s="95">
        <f t="shared" ca="1" si="56"/>
        <v>45495</v>
      </c>
      <c r="I332" s="119">
        <f ca="1">HLOOKUP($H$5,'Met Data'!$A$2:$F$368,G332,FALSE)</f>
        <v>6.8424242424242401</v>
      </c>
      <c r="J332" s="119">
        <f ca="1">HLOOKUP($H$5,'Met Data'!$H$2:$M$368,G332,FALSE)*L332</f>
        <v>0.84545454545454501</v>
      </c>
      <c r="K332" s="96">
        <f ca="1">HLOOKUP($H$5,'Met Data'!$O$2:$T$368,G332,FALSE)</f>
        <v>1.3752263361541199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ref="AG332:AG395" ca="1" si="57">Q331+S332+T332+U332</f>
        <v>#N/A</v>
      </c>
      <c r="AH332" s="63" t="e">
        <f t="shared" ref="AH332:AH395" ca="1" si="58">Q332+R332+X332</f>
        <v>#N/A</v>
      </c>
      <c r="AI332" s="3" t="e">
        <f t="shared" ref="AI332:AI395" ca="1" si="59">AH332-AG332</f>
        <v>#N/A</v>
      </c>
    </row>
    <row r="333" spans="7:35">
      <c r="G333" s="3">
        <f t="shared" ca="1" si="54"/>
        <v>206</v>
      </c>
      <c r="H333" s="95">
        <f t="shared" ca="1" si="56"/>
        <v>45496</v>
      </c>
      <c r="I333" s="119">
        <f ca="1">HLOOKUP($H$5,'Met Data'!$A$2:$F$368,G333,FALSE)</f>
        <v>6.7236363636363601</v>
      </c>
      <c r="J333" s="119">
        <f ca="1">HLOOKUP($H$5,'Met Data'!$H$2:$M$368,G333,FALSE)*L333</f>
        <v>0.62727272727272698</v>
      </c>
      <c r="K333" s="96">
        <f ca="1">HLOOKUP($H$5,'Met Data'!$O$2:$T$368,G333,FALSE)</f>
        <v>1.3244433723498701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207</v>
      </c>
      <c r="H334" s="95">
        <f t="shared" ca="1" si="56"/>
        <v>45497</v>
      </c>
      <c r="I334" s="119">
        <f ca="1">HLOOKUP($H$5,'Met Data'!$A$2:$F$368,G334,FALSE)</f>
        <v>6.8075757575757496</v>
      </c>
      <c r="J334" s="119">
        <f ca="1">HLOOKUP($H$5,'Met Data'!$H$2:$M$368,G334,FALSE)*L334</f>
        <v>2.63636363636363</v>
      </c>
      <c r="K334" s="96">
        <f ca="1">HLOOKUP($H$5,'Met Data'!$O$2:$T$368,G334,FALSE)</f>
        <v>1.44760057498724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208</v>
      </c>
      <c r="H335" s="95">
        <f t="shared" ca="1" si="56"/>
        <v>45498</v>
      </c>
      <c r="I335" s="119">
        <f ca="1">HLOOKUP($H$5,'Met Data'!$A$2:$F$368,G335,FALSE)</f>
        <v>6.7636363636363601</v>
      </c>
      <c r="J335" s="119">
        <f ca="1">HLOOKUP($H$5,'Met Data'!$H$2:$M$368,G335,FALSE)*L335</f>
        <v>1.49696969696969</v>
      </c>
      <c r="K335" s="96">
        <f ca="1">HLOOKUP($H$5,'Met Data'!$O$2:$T$368,G335,FALSE)</f>
        <v>1.60850212631903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209</v>
      </c>
      <c r="H336" s="95">
        <f t="shared" ca="1" si="56"/>
        <v>45499</v>
      </c>
      <c r="I336" s="119">
        <f ca="1">HLOOKUP($H$5,'Met Data'!$A$2:$F$368,G336,FALSE)</f>
        <v>7.0954545454545404</v>
      </c>
      <c r="J336" s="119">
        <f ca="1">HLOOKUP($H$5,'Met Data'!$H$2:$M$368,G336,FALSE)*L336</f>
        <v>2.4303030303030302</v>
      </c>
      <c r="K336" s="96">
        <f ca="1">HLOOKUP($H$5,'Met Data'!$O$2:$T$368,G336,FALSE)</f>
        <v>1.55883335001025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210</v>
      </c>
      <c r="H337" s="95">
        <f t="shared" ca="1" si="56"/>
        <v>45500</v>
      </c>
      <c r="I337" s="119">
        <f ca="1">HLOOKUP($H$5,'Met Data'!$A$2:$F$368,G337,FALSE)</f>
        <v>7.0287878787878704</v>
      </c>
      <c r="J337" s="119">
        <f ca="1">HLOOKUP($H$5,'Met Data'!$H$2:$M$368,G337,FALSE)*L337</f>
        <v>0.79090909090909101</v>
      </c>
      <c r="K337" s="96">
        <f ca="1">HLOOKUP($H$5,'Met Data'!$O$2:$T$368,G337,FALSE)</f>
        <v>1.4832490994765199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211</v>
      </c>
      <c r="H338" s="95">
        <f t="shared" ca="1" si="56"/>
        <v>45501</v>
      </c>
      <c r="I338" s="119">
        <f ca="1">HLOOKUP($H$5,'Met Data'!$A$2:$F$368,G338,FALSE)</f>
        <v>7.4492424242424198</v>
      </c>
      <c r="J338" s="119">
        <f ca="1">HLOOKUP($H$5,'Met Data'!$H$2:$M$368,G338,FALSE)*L338</f>
        <v>0.79696969696969699</v>
      </c>
      <c r="K338" s="96">
        <f ca="1">HLOOKUP($H$5,'Met Data'!$O$2:$T$368,G338,FALSE)</f>
        <v>1.5379059871907199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212</v>
      </c>
      <c r="H339" s="95">
        <f t="shared" ca="1" si="56"/>
        <v>45502</v>
      </c>
      <c r="I339" s="119">
        <f ca="1">HLOOKUP($H$5,'Met Data'!$A$2:$F$368,G339,FALSE)</f>
        <v>6.8409090909090899</v>
      </c>
      <c r="J339" s="119">
        <f ca="1">HLOOKUP($H$5,'Met Data'!$H$2:$M$368,G339,FALSE)*L339</f>
        <v>1.59393939393939</v>
      </c>
      <c r="K339" s="96">
        <f ca="1">HLOOKUP($H$5,'Met Data'!$O$2:$T$368,G339,FALSE)</f>
        <v>1.61262260286068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213</v>
      </c>
      <c r="H340" s="95">
        <f t="shared" ca="1" si="56"/>
        <v>45503</v>
      </c>
      <c r="I340" s="119">
        <f ca="1">HLOOKUP($H$5,'Met Data'!$A$2:$F$368,G340,FALSE)</f>
        <v>7.1918181818181797</v>
      </c>
      <c r="J340" s="119">
        <f ca="1">HLOOKUP($H$5,'Met Data'!$H$2:$M$368,G340,FALSE)*L340</f>
        <v>0.86060606060606004</v>
      </c>
      <c r="K340" s="96">
        <f ca="1">HLOOKUP($H$5,'Met Data'!$O$2:$T$368,G340,FALSE)</f>
        <v>1.7014054560095799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214</v>
      </c>
      <c r="H341" s="95">
        <f t="shared" ca="1" si="56"/>
        <v>45504</v>
      </c>
      <c r="I341" s="119">
        <f ca="1">HLOOKUP($H$5,'Met Data'!$A$2:$F$368,G341,FALSE)</f>
        <v>7.4148484848484797</v>
      </c>
      <c r="J341" s="119">
        <f ca="1">HLOOKUP($H$5,'Met Data'!$H$2:$M$368,G341,FALSE)*L341</f>
        <v>1.7787878787878699</v>
      </c>
      <c r="K341" s="96">
        <f ca="1">HLOOKUP($H$5,'Met Data'!$O$2:$T$368,G341,FALSE)</f>
        <v>1.57863389711225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215</v>
      </c>
      <c r="H342" s="95">
        <f t="shared" ca="1" si="56"/>
        <v>45505</v>
      </c>
      <c r="I342" s="119">
        <f ca="1">HLOOKUP($H$5,'Met Data'!$A$2:$F$368,G342,FALSE)</f>
        <v>7.1409090909090898</v>
      </c>
      <c r="J342" s="119">
        <f ca="1">HLOOKUP($H$5,'Met Data'!$H$2:$M$368,G342,FALSE)*L342</f>
        <v>1.47272727272727</v>
      </c>
      <c r="K342" s="96">
        <f ca="1">HLOOKUP($H$5,'Met Data'!$O$2:$T$368,G342,FALSE)</f>
        <v>1.5098843625253899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216</v>
      </c>
      <c r="H343" s="95">
        <f t="shared" ca="1" si="56"/>
        <v>45506</v>
      </c>
      <c r="I343" s="119">
        <f ca="1">HLOOKUP($H$5,'Met Data'!$A$2:$F$368,G343,FALSE)</f>
        <v>6.7681818181818096</v>
      </c>
      <c r="J343" s="119">
        <f ca="1">HLOOKUP($H$5,'Met Data'!$H$2:$M$368,G343,FALSE)*L343</f>
        <v>0.76666666666666605</v>
      </c>
      <c r="K343" s="96">
        <f ca="1">HLOOKUP($H$5,'Met Data'!$O$2:$T$368,G343,FALSE)</f>
        <v>1.28491883482887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217</v>
      </c>
      <c r="H344" s="95">
        <f t="shared" ca="1" si="56"/>
        <v>45507</v>
      </c>
      <c r="I344" s="119">
        <f ca="1">HLOOKUP($H$5,'Met Data'!$A$2:$F$368,G344,FALSE)</f>
        <v>7.2015151515151503</v>
      </c>
      <c r="J344" s="119">
        <f ca="1">HLOOKUP($H$5,'Met Data'!$H$2:$M$368,G344,FALSE)*L344</f>
        <v>1.47272727272727</v>
      </c>
      <c r="K344" s="96">
        <f ca="1">HLOOKUP($H$5,'Met Data'!$O$2:$T$368,G344,FALSE)</f>
        <v>1.3386149785468899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218</v>
      </c>
      <c r="H345" s="95">
        <f t="shared" ca="1" si="56"/>
        <v>45508</v>
      </c>
      <c r="I345" s="119">
        <f ca="1">HLOOKUP($H$5,'Met Data'!$A$2:$F$368,G345,FALSE)</f>
        <v>7.3742424242424196</v>
      </c>
      <c r="J345" s="119">
        <f ca="1">HLOOKUP($H$5,'Met Data'!$H$2:$M$368,G345,FALSE)*L345</f>
        <v>1.75757575757575</v>
      </c>
      <c r="K345" s="96">
        <f ca="1">HLOOKUP($H$5,'Met Data'!$O$2:$T$368,G345,FALSE)</f>
        <v>1.55222576978494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219</v>
      </c>
      <c r="H346" s="95">
        <f t="shared" ca="1" si="56"/>
        <v>45509</v>
      </c>
      <c r="I346" s="119">
        <f ca="1">HLOOKUP($H$5,'Met Data'!$A$2:$F$368,G346,FALSE)</f>
        <v>7.4590909090909001</v>
      </c>
      <c r="J346" s="119">
        <f ca="1">HLOOKUP($H$5,'Met Data'!$H$2:$M$368,G346,FALSE)*L346</f>
        <v>0.60909090909090902</v>
      </c>
      <c r="K346" s="96">
        <f ca="1">HLOOKUP($H$5,'Met Data'!$O$2:$T$368,G346,FALSE)</f>
        <v>1.4979769801628799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220</v>
      </c>
      <c r="H347" s="95">
        <f t="shared" ca="1" si="56"/>
        <v>45510</v>
      </c>
      <c r="I347" s="119">
        <f ca="1">HLOOKUP($H$5,'Met Data'!$A$2:$F$368,G347,FALSE)</f>
        <v>7.5939393939393902</v>
      </c>
      <c r="J347" s="119">
        <f ca="1">HLOOKUP($H$5,'Met Data'!$H$2:$M$368,G347,FALSE)*L347</f>
        <v>3.3848484848484799</v>
      </c>
      <c r="K347" s="96">
        <f ca="1">HLOOKUP($H$5,'Met Data'!$O$2:$T$368,G347,FALSE)</f>
        <v>1.51963915749211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221</v>
      </c>
      <c r="H348" s="95">
        <f t="shared" ca="1" si="56"/>
        <v>45511</v>
      </c>
      <c r="I348" s="119">
        <f ca="1">HLOOKUP($H$5,'Met Data'!$A$2:$F$368,G348,FALSE)</f>
        <v>7.3257575757575699</v>
      </c>
      <c r="J348" s="119">
        <f ca="1">HLOOKUP($H$5,'Met Data'!$H$2:$M$368,G348,FALSE)*L348</f>
        <v>3.2363636363636301</v>
      </c>
      <c r="K348" s="96">
        <f ca="1">HLOOKUP($H$5,'Met Data'!$O$2:$T$368,G348,FALSE)</f>
        <v>1.7182656587563401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222</v>
      </c>
      <c r="H349" s="95">
        <f t="shared" ca="1" si="56"/>
        <v>45512</v>
      </c>
      <c r="I349" s="119">
        <f ca="1">HLOOKUP($H$5,'Met Data'!$A$2:$F$368,G349,FALSE)</f>
        <v>6.6333333333333302</v>
      </c>
      <c r="J349" s="119">
        <f ca="1">HLOOKUP($H$5,'Met Data'!$H$2:$M$368,G349,FALSE)*L349</f>
        <v>1.55151515151515</v>
      </c>
      <c r="K349" s="96">
        <f ca="1">HLOOKUP($H$5,'Met Data'!$O$2:$T$368,G349,FALSE)</f>
        <v>1.45992841951307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223</v>
      </c>
      <c r="H350" s="95">
        <f t="shared" ca="1" si="56"/>
        <v>45513</v>
      </c>
      <c r="I350" s="119">
        <f ca="1">HLOOKUP($H$5,'Met Data'!$A$2:$F$368,G350,FALSE)</f>
        <v>7.0696969696969703</v>
      </c>
      <c r="J350" s="119">
        <f ca="1">HLOOKUP($H$5,'Met Data'!$H$2:$M$368,G350,FALSE)*L350</f>
        <v>1.4545454545454499</v>
      </c>
      <c r="K350" s="96">
        <f ca="1">HLOOKUP($H$5,'Met Data'!$O$2:$T$368,G350,FALSE)</f>
        <v>1.43429877915796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224</v>
      </c>
      <c r="H351" s="95">
        <f t="shared" ca="1" si="56"/>
        <v>45514</v>
      </c>
      <c r="I351" s="119">
        <f ca="1">HLOOKUP($H$5,'Met Data'!$A$2:$F$368,G351,FALSE)</f>
        <v>7.5106060606060598</v>
      </c>
      <c r="J351" s="119">
        <f ca="1">HLOOKUP($H$5,'Met Data'!$H$2:$M$368,G351,FALSE)*L351</f>
        <v>1.6030303030302999</v>
      </c>
      <c r="K351" s="96">
        <f ca="1">HLOOKUP($H$5,'Met Data'!$O$2:$T$368,G351,FALSE)</f>
        <v>1.4617211304547399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225</v>
      </c>
      <c r="H352" s="95">
        <f t="shared" ca="1" si="56"/>
        <v>45515</v>
      </c>
      <c r="I352" s="119">
        <f ca="1">HLOOKUP($H$5,'Met Data'!$A$2:$F$368,G352,FALSE)</f>
        <v>7.7378787878787803</v>
      </c>
      <c r="J352" s="119">
        <f ca="1">HLOOKUP($H$5,'Met Data'!$H$2:$M$368,G352,FALSE)*L352</f>
        <v>1.2</v>
      </c>
      <c r="K352" s="96">
        <f ca="1">HLOOKUP($H$5,'Met Data'!$O$2:$T$368,G352,FALSE)</f>
        <v>1.64327704752056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226</v>
      </c>
      <c r="H353" s="95">
        <f t="shared" ca="1" si="56"/>
        <v>45516</v>
      </c>
      <c r="I353" s="119">
        <f ca="1">HLOOKUP($H$5,'Met Data'!$A$2:$F$368,G353,FALSE)</f>
        <v>7.4378787878787804</v>
      </c>
      <c r="J353" s="119">
        <f ca="1">HLOOKUP($H$5,'Met Data'!$H$2:$M$368,G353,FALSE)*L353</f>
        <v>2.0151515151515098</v>
      </c>
      <c r="K353" s="96">
        <f ca="1">HLOOKUP($H$5,'Met Data'!$O$2:$T$368,G353,FALSE)</f>
        <v>1.7219137683755099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227</v>
      </c>
      <c r="H354" s="95">
        <f t="shared" ca="1" si="56"/>
        <v>45517</v>
      </c>
      <c r="I354" s="119">
        <f ca="1">HLOOKUP($H$5,'Met Data'!$A$2:$F$368,G354,FALSE)</f>
        <v>7.3203125</v>
      </c>
      <c r="J354" s="119">
        <f ca="1">HLOOKUP($H$5,'Met Data'!$H$2:$M$368,G354,FALSE)*L354</f>
        <v>2.2093750000000001</v>
      </c>
      <c r="K354" s="96">
        <f ca="1">HLOOKUP($H$5,'Met Data'!$O$2:$T$368,G354,FALSE)</f>
        <v>1.6752410691035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228</v>
      </c>
      <c r="H355" s="95">
        <f t="shared" ca="1" si="56"/>
        <v>45518</v>
      </c>
      <c r="I355" s="119">
        <f ca="1">HLOOKUP($H$5,'Met Data'!$A$2:$F$368,G355,FALSE)</f>
        <v>6.9593749999999996</v>
      </c>
      <c r="J355" s="119">
        <f ca="1">HLOOKUP($H$5,'Met Data'!$H$2:$M$368,G355,FALSE)*L355</f>
        <v>2.0531250000000001</v>
      </c>
      <c r="K355" s="96">
        <f ca="1">HLOOKUP($H$5,'Met Data'!$O$2:$T$368,G355,FALSE)</f>
        <v>1.6478784943890401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229</v>
      </c>
      <c r="H356" s="95">
        <f t="shared" ca="1" si="56"/>
        <v>45519</v>
      </c>
      <c r="I356" s="119">
        <f ca="1">HLOOKUP($H$5,'Met Data'!$A$2:$F$368,G356,FALSE)</f>
        <v>7.1937499999999996</v>
      </c>
      <c r="J356" s="119">
        <f ca="1">HLOOKUP($H$5,'Met Data'!$H$2:$M$368,G356,FALSE)*L356</f>
        <v>2.03125</v>
      </c>
      <c r="K356" s="96">
        <f ca="1">HLOOKUP($H$5,'Met Data'!$O$2:$T$368,G356,FALSE)</f>
        <v>1.7164445634915999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230</v>
      </c>
      <c r="H357" s="95">
        <f t="shared" ca="1" si="56"/>
        <v>45520</v>
      </c>
      <c r="I357" s="119">
        <f ca="1">HLOOKUP($H$5,'Met Data'!$A$2:$F$368,G357,FALSE)</f>
        <v>7.7437500000000004</v>
      </c>
      <c r="J357" s="119">
        <f ca="1">HLOOKUP($H$5,'Met Data'!$H$2:$M$368,G357,FALSE)*L357</f>
        <v>2.4874999999999998</v>
      </c>
      <c r="K357" s="96">
        <f ca="1">HLOOKUP($H$5,'Met Data'!$O$2:$T$368,G357,FALSE)</f>
        <v>1.83858279668266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231</v>
      </c>
      <c r="H358" s="95">
        <f t="shared" ca="1" si="56"/>
        <v>45521</v>
      </c>
      <c r="I358" s="119">
        <f ca="1">HLOOKUP($H$5,'Met Data'!$A$2:$F$368,G358,FALSE)</f>
        <v>7.8</v>
      </c>
      <c r="J358" s="119">
        <f ca="1">HLOOKUP($H$5,'Met Data'!$H$2:$M$368,G358,FALSE)*L358</f>
        <v>2.4656250000000002</v>
      </c>
      <c r="K358" s="96">
        <f ca="1">HLOOKUP($H$5,'Met Data'!$O$2:$T$368,G358,FALSE)</f>
        <v>1.65941446777998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232</v>
      </c>
      <c r="H359" s="95">
        <f t="shared" ca="1" si="56"/>
        <v>45522</v>
      </c>
      <c r="I359" s="119">
        <f ca="1">HLOOKUP($H$5,'Met Data'!$A$2:$F$368,G359,FALSE)</f>
        <v>7.5171875000000004</v>
      </c>
      <c r="J359" s="119">
        <f ca="1">HLOOKUP($H$5,'Met Data'!$H$2:$M$368,G359,FALSE)*L359</f>
        <v>2.0375000000000001</v>
      </c>
      <c r="K359" s="96">
        <f ca="1">HLOOKUP($H$5,'Met Data'!$O$2:$T$368,G359,FALSE)</f>
        <v>1.8302956478085199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233</v>
      </c>
      <c r="H360" s="95">
        <f t="shared" ca="1" si="56"/>
        <v>45523</v>
      </c>
      <c r="I360" s="119">
        <f ca="1">HLOOKUP($H$5,'Met Data'!$A$2:$F$368,G360,FALSE)</f>
        <v>7.5671875000000002</v>
      </c>
      <c r="J360" s="119">
        <f ca="1">HLOOKUP($H$5,'Met Data'!$H$2:$M$368,G360,FALSE)*L360</f>
        <v>1.278125</v>
      </c>
      <c r="K360" s="96">
        <f ca="1">HLOOKUP($H$5,'Met Data'!$O$2:$T$368,G360,FALSE)</f>
        <v>1.86992300057723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234</v>
      </c>
      <c r="H361" s="95">
        <f t="shared" ca="1" si="56"/>
        <v>45524</v>
      </c>
      <c r="I361" s="119">
        <f ca="1">HLOOKUP($H$5,'Met Data'!$A$2:$F$368,G361,FALSE)</f>
        <v>7.2593750000000004</v>
      </c>
      <c r="J361" s="119">
        <f ca="1">HLOOKUP($H$5,'Met Data'!$H$2:$M$368,G361,FALSE)*L361</f>
        <v>2.7843749999999998</v>
      </c>
      <c r="K361" s="96">
        <f ca="1">HLOOKUP($H$5,'Met Data'!$O$2:$T$368,G361,FALSE)</f>
        <v>1.7326605302545099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235</v>
      </c>
      <c r="H362" s="95">
        <f t="shared" ca="1" si="56"/>
        <v>45525</v>
      </c>
      <c r="I362" s="119">
        <f ca="1">HLOOKUP($H$5,'Met Data'!$A$2:$F$368,G362,FALSE)</f>
        <v>7.5062499999999996</v>
      </c>
      <c r="J362" s="119">
        <f ca="1">HLOOKUP($H$5,'Met Data'!$H$2:$M$368,G362,FALSE)*L362</f>
        <v>3.6281249999999998</v>
      </c>
      <c r="K362" s="96">
        <f ca="1">HLOOKUP($H$5,'Met Data'!$O$2:$T$368,G362,FALSE)</f>
        <v>1.7739522546512301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236</v>
      </c>
      <c r="H363" s="95">
        <f t="shared" ca="1" si="56"/>
        <v>45526</v>
      </c>
      <c r="I363" s="119">
        <f ca="1">HLOOKUP($H$5,'Met Data'!$A$2:$F$368,G363,FALSE)</f>
        <v>7.6363636363636296</v>
      </c>
      <c r="J363" s="119">
        <f ca="1">HLOOKUP($H$5,'Met Data'!$H$2:$M$368,G363,FALSE)*L363</f>
        <v>2.0787878787878702</v>
      </c>
      <c r="K363" s="96">
        <f ca="1">HLOOKUP($H$5,'Met Data'!$O$2:$T$368,G363,FALSE)</f>
        <v>1.8600874849981099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237</v>
      </c>
      <c r="H364" s="95">
        <f t="shared" ca="1" si="56"/>
        <v>45527</v>
      </c>
      <c r="I364" s="119">
        <f ca="1">HLOOKUP($H$5,'Met Data'!$A$2:$F$368,G364,FALSE)</f>
        <v>8.1045454545454501</v>
      </c>
      <c r="J364" s="119">
        <f ca="1">HLOOKUP($H$5,'Met Data'!$H$2:$M$368,G364,FALSE)*L364</f>
        <v>0.324242424242424</v>
      </c>
      <c r="K364" s="96">
        <f ca="1">HLOOKUP($H$5,'Met Data'!$O$2:$T$368,G364,FALSE)</f>
        <v>1.9096330242923301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238</v>
      </c>
      <c r="H365" s="95">
        <f t="shared" ca="1" si="56"/>
        <v>45528</v>
      </c>
      <c r="I365" s="119">
        <f ca="1">HLOOKUP($H$5,'Met Data'!$A$2:$F$368,G365,FALSE)</f>
        <v>8.2954545454545396</v>
      </c>
      <c r="J365" s="119">
        <f ca="1">HLOOKUP($H$5,'Met Data'!$H$2:$M$368,G365,FALSE)*L365</f>
        <v>1.3424242424242401</v>
      </c>
      <c r="K365" s="96">
        <f ca="1">HLOOKUP($H$5,'Met Data'!$O$2:$T$368,G365,FALSE)</f>
        <v>1.9397244182821201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239</v>
      </c>
      <c r="H366" s="95">
        <f t="shared" ca="1" si="56"/>
        <v>45529</v>
      </c>
      <c r="I366" s="119">
        <f ca="1">HLOOKUP($H$5,'Met Data'!$A$2:$F$368,G366,FALSE)</f>
        <v>8.2378787878787794</v>
      </c>
      <c r="J366" s="119">
        <f ca="1">HLOOKUP($H$5,'Met Data'!$H$2:$M$368,G366,FALSE)*L366</f>
        <v>2.47272727272727</v>
      </c>
      <c r="K366" s="96">
        <f ca="1">HLOOKUP($H$5,'Met Data'!$O$2:$T$368,G366,FALSE)</f>
        <v>1.7062659547971699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240</v>
      </c>
      <c r="H367" s="95">
        <f t="shared" ca="1" si="56"/>
        <v>45530</v>
      </c>
      <c r="I367" s="119">
        <f ca="1">HLOOKUP($H$5,'Met Data'!$A$2:$F$368,G367,FALSE)</f>
        <v>8.2484848484848392</v>
      </c>
      <c r="J367" s="119">
        <f ca="1">HLOOKUP($H$5,'Met Data'!$H$2:$M$368,G367,FALSE)*L367</f>
        <v>2.9151515151515102</v>
      </c>
      <c r="K367" s="96">
        <f ca="1">HLOOKUP($H$5,'Met Data'!$O$2:$T$368,G367,FALSE)</f>
        <v>1.9297175584059301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241</v>
      </c>
      <c r="H368" s="95">
        <f t="shared" ca="1" si="56"/>
        <v>45531</v>
      </c>
      <c r="I368" s="119">
        <f ca="1">HLOOKUP($H$5,'Met Data'!$A$2:$F$368,G368,FALSE)</f>
        <v>8.5593939393939298</v>
      </c>
      <c r="J368" s="119">
        <f ca="1">HLOOKUP($H$5,'Met Data'!$H$2:$M$368,G368,FALSE)*L368</f>
        <v>1.8696969696969601</v>
      </c>
      <c r="K368" s="96">
        <f ca="1">HLOOKUP($H$5,'Met Data'!$O$2:$T$368,G368,FALSE)</f>
        <v>2.0109048192884398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242</v>
      </c>
      <c r="H369" s="95">
        <f t="shared" ca="1" si="56"/>
        <v>45532</v>
      </c>
      <c r="I369" s="119">
        <f ca="1">HLOOKUP($H$5,'Met Data'!$A$2:$F$368,G369,FALSE)</f>
        <v>8.2121212121212093</v>
      </c>
      <c r="J369" s="119">
        <f ca="1">HLOOKUP($H$5,'Met Data'!$H$2:$M$368,G369,FALSE)*L369</f>
        <v>2.1333333333333302</v>
      </c>
      <c r="K369" s="96">
        <f ca="1">HLOOKUP($H$5,'Met Data'!$O$2:$T$368,G369,FALSE)</f>
        <v>1.9004966666128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243</v>
      </c>
      <c r="H370" s="95">
        <f t="shared" ca="1" si="56"/>
        <v>45533</v>
      </c>
      <c r="I370" s="119">
        <f ca="1">HLOOKUP($H$5,'Met Data'!$A$2:$F$368,G370,FALSE)</f>
        <v>8.8015151515151508</v>
      </c>
      <c r="J370" s="119">
        <f ca="1">HLOOKUP($H$5,'Met Data'!$H$2:$M$368,G370,FALSE)*L370</f>
        <v>1.3060606060605999</v>
      </c>
      <c r="K370" s="96">
        <f ca="1">HLOOKUP($H$5,'Met Data'!$O$2:$T$368,G370,FALSE)</f>
        <v>2.0203052831425601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244</v>
      </c>
      <c r="H371" s="95">
        <f t="shared" ca="1" si="56"/>
        <v>45534</v>
      </c>
      <c r="I371" s="119">
        <f ca="1">HLOOKUP($H$5,'Met Data'!$A$2:$F$368,G371,FALSE)</f>
        <v>7.8968181818181797</v>
      </c>
      <c r="J371" s="119">
        <f ca="1">HLOOKUP($H$5,'Met Data'!$H$2:$M$368,G371,FALSE)*L371</f>
        <v>0.73030303030303001</v>
      </c>
      <c r="K371" s="96">
        <f ca="1">HLOOKUP($H$5,'Met Data'!$O$2:$T$368,G371,FALSE)</f>
        <v>2.13768236411026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245</v>
      </c>
      <c r="H372" s="95">
        <f t="shared" ca="1" si="56"/>
        <v>45535</v>
      </c>
      <c r="I372" s="119">
        <f ca="1">HLOOKUP($H$5,'Met Data'!$A$2:$F$368,G372,FALSE)</f>
        <v>8.5848484848484805</v>
      </c>
      <c r="J372" s="119">
        <f ca="1">HLOOKUP($H$5,'Met Data'!$H$2:$M$368,G372,FALSE)*L372</f>
        <v>1.66363636363636</v>
      </c>
      <c r="K372" s="96">
        <f ca="1">HLOOKUP($H$5,'Met Data'!$O$2:$T$368,G372,FALSE)</f>
        <v>2.4306848632987301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246</v>
      </c>
      <c r="H373" s="95">
        <f t="shared" ca="1" si="56"/>
        <v>45536</v>
      </c>
      <c r="I373" s="119">
        <f ca="1">HLOOKUP($H$5,'Met Data'!$A$2:$F$368,G373,FALSE)</f>
        <v>9.0333333333333297</v>
      </c>
      <c r="J373" s="119">
        <f ca="1">HLOOKUP($H$5,'Met Data'!$H$2:$M$368,G373,FALSE)*L373</f>
        <v>1.2393939393939299</v>
      </c>
      <c r="K373" s="96">
        <f ca="1">HLOOKUP($H$5,'Met Data'!$O$2:$T$368,G373,FALSE)</f>
        <v>2.2838857553046599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247</v>
      </c>
      <c r="H374" s="95">
        <f t="shared" ca="1" si="56"/>
        <v>45537</v>
      </c>
      <c r="I374" s="119">
        <f ca="1">HLOOKUP($H$5,'Met Data'!$A$2:$F$368,G374,FALSE)</f>
        <v>8.7469696969696908</v>
      </c>
      <c r="J374" s="119">
        <f ca="1">HLOOKUP($H$5,'Met Data'!$H$2:$M$368,G374,FALSE)*L374</f>
        <v>1.06969696969696</v>
      </c>
      <c r="K374" s="96">
        <f ca="1">HLOOKUP($H$5,'Met Data'!$O$2:$T$368,G374,FALSE)</f>
        <v>2.13744572746974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248</v>
      </c>
      <c r="H375" s="95">
        <f t="shared" ca="1" si="56"/>
        <v>45538</v>
      </c>
      <c r="I375" s="119">
        <f ca="1">HLOOKUP($H$5,'Met Data'!$A$2:$F$368,G375,FALSE)</f>
        <v>8.7227272727272709</v>
      </c>
      <c r="J375" s="119">
        <f ca="1">HLOOKUP($H$5,'Met Data'!$H$2:$M$368,G375,FALSE)*L375</f>
        <v>1.0878787878787799</v>
      </c>
      <c r="K375" s="96">
        <f ca="1">HLOOKUP($H$5,'Met Data'!$O$2:$T$368,G375,FALSE)</f>
        <v>2.20158976988608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249</v>
      </c>
      <c r="H376" s="95">
        <f t="shared" ca="1" si="56"/>
        <v>45539</v>
      </c>
      <c r="I376" s="119">
        <f ca="1">HLOOKUP($H$5,'Met Data'!$A$2:$F$368,G376,FALSE)</f>
        <v>8.4803030303030305</v>
      </c>
      <c r="J376" s="119">
        <f ca="1">HLOOKUP($H$5,'Met Data'!$H$2:$M$368,G376,FALSE)*L376</f>
        <v>0.95151515151515098</v>
      </c>
      <c r="K376" s="96">
        <f ca="1">HLOOKUP($H$5,'Met Data'!$O$2:$T$368,G376,FALSE)</f>
        <v>2.0118416889679498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250</v>
      </c>
      <c r="H377" s="95">
        <f t="shared" ca="1" si="56"/>
        <v>45540</v>
      </c>
      <c r="I377" s="119">
        <f ca="1">HLOOKUP($H$5,'Met Data'!$A$2:$F$368,G377,FALSE)</f>
        <v>8.9078125000000004</v>
      </c>
      <c r="J377" s="119">
        <f ca="1">HLOOKUP($H$5,'Met Data'!$H$2:$M$368,G377,FALSE)*L377</f>
        <v>1.4151515151515099</v>
      </c>
      <c r="K377" s="96">
        <f ca="1">HLOOKUP($H$5,'Met Data'!$O$2:$T$368,G377,FALSE)</f>
        <v>2.43907717587116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251</v>
      </c>
      <c r="H378" s="95">
        <f t="shared" ca="1" si="56"/>
        <v>45541</v>
      </c>
      <c r="I378" s="119">
        <f ca="1">HLOOKUP($H$5,'Met Data'!$A$2:$F$368,G378,FALSE)</f>
        <v>8.9656249999999993</v>
      </c>
      <c r="J378" s="119">
        <f ca="1">HLOOKUP($H$5,'Met Data'!$H$2:$M$368,G378,FALSE)*L378</f>
        <v>0.51818181818181797</v>
      </c>
      <c r="K378" s="96">
        <f ca="1">HLOOKUP($H$5,'Met Data'!$O$2:$T$368,G378,FALSE)</f>
        <v>2.4631446914892501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252</v>
      </c>
      <c r="H379" s="95">
        <f t="shared" ca="1" si="56"/>
        <v>45542</v>
      </c>
      <c r="I379" s="119">
        <f ca="1">HLOOKUP($H$5,'Met Data'!$A$2:$F$368,G379,FALSE)</f>
        <v>8.6015625</v>
      </c>
      <c r="J379" s="119">
        <f ca="1">HLOOKUP($H$5,'Met Data'!$H$2:$M$368,G379,FALSE)*L379</f>
        <v>1.0757575757575699</v>
      </c>
      <c r="K379" s="96">
        <f ca="1">HLOOKUP($H$5,'Met Data'!$O$2:$T$368,G379,FALSE)</f>
        <v>2.5132482169425701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253</v>
      </c>
      <c r="H380" s="95">
        <f t="shared" ca="1" si="56"/>
        <v>45543</v>
      </c>
      <c r="I380" s="119">
        <f ca="1">HLOOKUP($H$5,'Met Data'!$A$2:$F$368,G380,FALSE)</f>
        <v>8.0227272727272698</v>
      </c>
      <c r="J380" s="119">
        <f ca="1">HLOOKUP($H$5,'Met Data'!$H$2:$M$368,G380,FALSE)*L380</f>
        <v>1.0878787878787799</v>
      </c>
      <c r="K380" s="96">
        <f ca="1">HLOOKUP($H$5,'Met Data'!$O$2:$T$368,G380,FALSE)</f>
        <v>2.2941202547295898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254</v>
      </c>
      <c r="H381" s="95">
        <f t="shared" ca="1" si="56"/>
        <v>45544</v>
      </c>
      <c r="I381" s="119">
        <f ca="1">HLOOKUP($H$5,'Met Data'!$A$2:$F$368,G381,FALSE)</f>
        <v>9.0060606060606005</v>
      </c>
      <c r="J381" s="119">
        <f ca="1">HLOOKUP($H$5,'Met Data'!$H$2:$M$368,G381,FALSE)*L381</f>
        <v>1.08181818181818</v>
      </c>
      <c r="K381" s="96">
        <f ca="1">HLOOKUP($H$5,'Met Data'!$O$2:$T$368,G381,FALSE)</f>
        <v>2.6251015131954198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255</v>
      </c>
      <c r="H382" s="95">
        <f t="shared" ca="1" si="56"/>
        <v>45545</v>
      </c>
      <c r="I382" s="119">
        <f ca="1">HLOOKUP($H$5,'Met Data'!$A$2:$F$368,G382,FALSE)</f>
        <v>9.7090909090909001</v>
      </c>
      <c r="J382" s="119">
        <f ca="1">HLOOKUP($H$5,'Met Data'!$H$2:$M$368,G382,FALSE)*L382</f>
        <v>2.0393939393939302</v>
      </c>
      <c r="K382" s="96">
        <f ca="1">HLOOKUP($H$5,'Met Data'!$O$2:$T$368,G382,FALSE)</f>
        <v>2.7986809667616899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256</v>
      </c>
      <c r="H383" s="95">
        <f t="shared" ca="1" si="56"/>
        <v>45546</v>
      </c>
      <c r="I383" s="119">
        <f ca="1">HLOOKUP($H$5,'Met Data'!$A$2:$F$368,G383,FALSE)</f>
        <v>9.6212121212121193</v>
      </c>
      <c r="J383" s="119">
        <f ca="1">HLOOKUP($H$5,'Met Data'!$H$2:$M$368,G383,FALSE)*L383</f>
        <v>1.4424242424242399</v>
      </c>
      <c r="K383" s="96">
        <f ca="1">HLOOKUP($H$5,'Met Data'!$O$2:$T$368,G383,FALSE)</f>
        <v>2.6610711999077199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257</v>
      </c>
      <c r="H384" s="95">
        <f t="shared" ca="1" si="56"/>
        <v>45547</v>
      </c>
      <c r="I384" s="119">
        <f ca="1">HLOOKUP($H$5,'Met Data'!$A$2:$F$368,G384,FALSE)</f>
        <v>9.3833333333333293</v>
      </c>
      <c r="J384" s="119">
        <f ca="1">HLOOKUP($H$5,'Met Data'!$H$2:$M$368,G384,FALSE)*L384</f>
        <v>1.5181818181818101</v>
      </c>
      <c r="K384" s="96">
        <f ca="1">HLOOKUP($H$5,'Met Data'!$O$2:$T$368,G384,FALSE)</f>
        <v>2.3076791368567799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258</v>
      </c>
      <c r="H385" s="95">
        <f t="shared" ca="1" si="56"/>
        <v>45548</v>
      </c>
      <c r="I385" s="119">
        <f ca="1">HLOOKUP($H$5,'Met Data'!$A$2:$F$368,G385,FALSE)</f>
        <v>9.8590909090909093</v>
      </c>
      <c r="J385" s="119">
        <f ca="1">HLOOKUP($H$5,'Met Data'!$H$2:$M$368,G385,FALSE)*L385</f>
        <v>1.0060606060606001</v>
      </c>
      <c r="K385" s="96">
        <f ca="1">HLOOKUP($H$5,'Met Data'!$O$2:$T$368,G385,FALSE)</f>
        <v>2.7166636421386499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259</v>
      </c>
      <c r="H386" s="95">
        <f t="shared" ca="1" si="56"/>
        <v>45549</v>
      </c>
      <c r="I386" s="119">
        <f ca="1">HLOOKUP($H$5,'Met Data'!$A$2:$F$368,G386,FALSE)</f>
        <v>10.654545454545399</v>
      </c>
      <c r="J386" s="119">
        <f ca="1">HLOOKUP($H$5,'Met Data'!$H$2:$M$368,G386,FALSE)*L386</f>
        <v>0.69090909090909003</v>
      </c>
      <c r="K386" s="96">
        <f ca="1">HLOOKUP($H$5,'Met Data'!$O$2:$T$368,G386,FALSE)</f>
        <v>2.8776450917507499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260</v>
      </c>
      <c r="H387" s="95">
        <f t="shared" ca="1" si="56"/>
        <v>45550</v>
      </c>
      <c r="I387" s="119">
        <f ca="1">HLOOKUP($H$5,'Met Data'!$A$2:$F$368,G387,FALSE)</f>
        <v>10.4757575757575</v>
      </c>
      <c r="J387" s="119">
        <f ca="1">HLOOKUP($H$5,'Met Data'!$H$2:$M$368,G387,FALSE)*L387</f>
        <v>0.112121212121212</v>
      </c>
      <c r="K387" s="96">
        <f ca="1">HLOOKUP($H$5,'Met Data'!$O$2:$T$368,G387,FALSE)</f>
        <v>2.9007479200825799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261</v>
      </c>
      <c r="H388" s="95">
        <f t="shared" ca="1" si="56"/>
        <v>45551</v>
      </c>
      <c r="I388" s="119">
        <f ca="1">HLOOKUP($H$5,'Met Data'!$A$2:$F$368,G388,FALSE)</f>
        <v>9.8469696969696905</v>
      </c>
      <c r="J388" s="119">
        <f ca="1">HLOOKUP($H$5,'Met Data'!$H$2:$M$368,G388,FALSE)*L388</f>
        <v>0.26969696969696899</v>
      </c>
      <c r="K388" s="96">
        <f ca="1">HLOOKUP($H$5,'Met Data'!$O$2:$T$368,G388,FALSE)</f>
        <v>2.7216431909543002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262</v>
      </c>
      <c r="H389" s="95">
        <f t="shared" ca="1" si="56"/>
        <v>45552</v>
      </c>
      <c r="I389" s="119">
        <f ca="1">HLOOKUP($H$5,'Met Data'!$A$2:$F$368,G389,FALSE)</f>
        <v>9.6045454545454501</v>
      </c>
      <c r="J389" s="119">
        <f ca="1">HLOOKUP($H$5,'Met Data'!$H$2:$M$368,G389,FALSE)*L389</f>
        <v>1.3212121212121199</v>
      </c>
      <c r="K389" s="96">
        <f ca="1">HLOOKUP($H$5,'Met Data'!$O$2:$T$368,G389,FALSE)</f>
        <v>2.6828140641286899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263</v>
      </c>
      <c r="H390" s="95">
        <f t="shared" ca="1" si="56"/>
        <v>45553</v>
      </c>
      <c r="I390" s="119">
        <f ca="1">HLOOKUP($H$5,'Met Data'!$A$2:$F$368,G390,FALSE)</f>
        <v>9.8772727272727199</v>
      </c>
      <c r="J390" s="119">
        <f ca="1">HLOOKUP($H$5,'Met Data'!$H$2:$M$368,G390,FALSE)*L390</f>
        <v>1.83636363636363</v>
      </c>
      <c r="K390" s="96">
        <f ca="1">HLOOKUP($H$5,'Met Data'!$O$2:$T$368,G390,FALSE)</f>
        <v>2.84418375617479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ca="1" si="54"/>
        <v>264</v>
      </c>
      <c r="H391" s="95">
        <f t="shared" ca="1" si="56"/>
        <v>45554</v>
      </c>
      <c r="I391" s="119">
        <f ca="1">HLOOKUP($H$5,'Met Data'!$A$2:$F$368,G391,FALSE)</f>
        <v>9.4984848484848392</v>
      </c>
      <c r="J391" s="119">
        <f ca="1">HLOOKUP($H$5,'Met Data'!$H$2:$M$368,G391,FALSE)*L391</f>
        <v>1.47272727272727</v>
      </c>
      <c r="K391" s="96">
        <f ca="1">HLOOKUP($H$5,'Met Data'!$O$2:$T$368,G391,FALSE)</f>
        <v>2.76130603025703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ca="1" si="64">H392-DATE(YEAR(H392),1,0)+1</f>
        <v>265</v>
      </c>
      <c r="H392" s="95">
        <f t="shared" ca="1" si="56"/>
        <v>45555</v>
      </c>
      <c r="I392" s="119">
        <f ca="1">HLOOKUP($H$5,'Met Data'!$A$2:$F$368,G392,FALSE)</f>
        <v>9.9712121212121207</v>
      </c>
      <c r="J392" s="119">
        <f ca="1">HLOOKUP($H$5,'Met Data'!$H$2:$M$368,G392,FALSE)*L392</f>
        <v>1.39090909090909</v>
      </c>
      <c r="K392" s="96">
        <f ca="1">HLOOKUP($H$5,'Met Data'!$O$2:$T$368,G392,FALSE)</f>
        <v>2.9434337638791899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266</v>
      </c>
      <c r="H393" s="95">
        <f t="shared" ref="H393:H456" ca="1" si="66">H392+1</f>
        <v>45556</v>
      </c>
      <c r="I393" s="119">
        <f ca="1">HLOOKUP($H$5,'Met Data'!$A$2:$F$368,G393,FALSE)</f>
        <v>9.6348484848484794</v>
      </c>
      <c r="J393" s="119">
        <f ca="1">HLOOKUP($H$5,'Met Data'!$H$2:$M$368,G393,FALSE)*L393</f>
        <v>1.4060606060606</v>
      </c>
      <c r="K393" s="96">
        <f ca="1">HLOOKUP($H$5,'Met Data'!$O$2:$T$368,G393,FALSE)</f>
        <v>2.8650949205126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267</v>
      </c>
      <c r="H394" s="95">
        <f t="shared" ca="1" si="66"/>
        <v>45557</v>
      </c>
      <c r="I394" s="119">
        <f ca="1">HLOOKUP($H$5,'Met Data'!$A$2:$F$368,G394,FALSE)</f>
        <v>9.4318181818181799</v>
      </c>
      <c r="J394" s="119">
        <f ca="1">HLOOKUP($H$5,'Met Data'!$H$2:$M$368,G394,FALSE)*L394</f>
        <v>0.86060606060606004</v>
      </c>
      <c r="K394" s="96">
        <f ca="1">HLOOKUP($H$5,'Met Data'!$O$2:$T$368,G394,FALSE)</f>
        <v>2.84690777824148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268</v>
      </c>
      <c r="H395" s="95">
        <f t="shared" ca="1" si="66"/>
        <v>45558</v>
      </c>
      <c r="I395" s="119">
        <f ca="1">HLOOKUP($H$5,'Met Data'!$A$2:$F$368,G395,FALSE)</f>
        <v>9.9181818181818109</v>
      </c>
      <c r="J395" s="119">
        <f ca="1">HLOOKUP($H$5,'Met Data'!$H$2:$M$368,G395,FALSE)*L395</f>
        <v>2.1454545454545402</v>
      </c>
      <c r="K395" s="96">
        <f ca="1">HLOOKUP($H$5,'Met Data'!$O$2:$T$368,G395,FALSE)</f>
        <v>2.75735755546836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ca="1" si="64"/>
        <v>269</v>
      </c>
      <c r="H396" s="95">
        <f t="shared" ca="1" si="66"/>
        <v>45559</v>
      </c>
      <c r="I396" s="119">
        <f ca="1">HLOOKUP($H$5,'Met Data'!$A$2:$F$368,G396,FALSE)</f>
        <v>9.4424242424242397</v>
      </c>
      <c r="J396" s="119">
        <f ca="1">HLOOKUP($H$5,'Met Data'!$H$2:$M$368,G396,FALSE)*L396</f>
        <v>2.4363636363636298</v>
      </c>
      <c r="K396" s="96">
        <f ca="1">HLOOKUP($H$5,'Met Data'!$O$2:$T$368,G396,FALSE)</f>
        <v>2.5822558734868299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ca="1" si="64"/>
        <v>270</v>
      </c>
      <c r="H397" s="95">
        <f t="shared" ca="1" si="66"/>
        <v>45560</v>
      </c>
      <c r="I397" s="119">
        <f ca="1">HLOOKUP($H$5,'Met Data'!$A$2:$F$368,G397,FALSE)</f>
        <v>10.2424242424242</v>
      </c>
      <c r="J397" s="119">
        <f ca="1">HLOOKUP($H$5,'Met Data'!$H$2:$M$368,G397,FALSE)*L397</f>
        <v>1.5363636363636299</v>
      </c>
      <c r="K397" s="96">
        <f ca="1">HLOOKUP($H$5,'Met Data'!$O$2:$T$368,G397,FALSE)</f>
        <v>3.0759435950739098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271</v>
      </c>
      <c r="H398" s="95">
        <f t="shared" ca="1" si="66"/>
        <v>45561</v>
      </c>
      <c r="I398" s="119">
        <f ca="1">HLOOKUP($H$5,'Met Data'!$A$2:$F$368,G398,FALSE)</f>
        <v>10.445454545454499</v>
      </c>
      <c r="J398" s="119">
        <f ca="1">HLOOKUP($H$5,'Met Data'!$H$2:$M$368,G398,FALSE)*L398</f>
        <v>0.384848484848484</v>
      </c>
      <c r="K398" s="96">
        <f ca="1">HLOOKUP($H$5,'Met Data'!$O$2:$T$368,G398,FALSE)</f>
        <v>3.0351526425456301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272</v>
      </c>
      <c r="H399" s="95">
        <f t="shared" ca="1" si="66"/>
        <v>45562</v>
      </c>
      <c r="I399" s="119">
        <f ca="1">HLOOKUP($H$5,'Met Data'!$A$2:$F$368,G399,FALSE)</f>
        <v>10.198484848484799</v>
      </c>
      <c r="J399" s="119">
        <f ca="1">HLOOKUP($H$5,'Met Data'!$H$2:$M$368,G399,FALSE)*L399</f>
        <v>2.6393939393939299</v>
      </c>
      <c r="K399" s="96">
        <f ca="1">HLOOKUP($H$5,'Met Data'!$O$2:$T$368,G399,FALSE)</f>
        <v>2.92273242129352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273</v>
      </c>
      <c r="H400" s="95">
        <f t="shared" ca="1" si="66"/>
        <v>45563</v>
      </c>
      <c r="I400" s="119">
        <f ca="1">HLOOKUP($H$5,'Met Data'!$A$2:$F$368,G400,FALSE)</f>
        <v>10.072727272727199</v>
      </c>
      <c r="J400" s="119">
        <f ca="1">HLOOKUP($H$5,'Met Data'!$H$2:$M$368,G400,FALSE)*L400</f>
        <v>2.21515151515151</v>
      </c>
      <c r="K400" s="96">
        <f ca="1">HLOOKUP($H$5,'Met Data'!$O$2:$T$368,G400,FALSE)</f>
        <v>3.0079671587405801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274</v>
      </c>
      <c r="H401" s="95">
        <f t="shared" ca="1" si="66"/>
        <v>45564</v>
      </c>
      <c r="I401" s="119">
        <f ca="1">HLOOKUP($H$5,'Met Data'!$A$2:$F$368,G401,FALSE)</f>
        <v>11.2515151515151</v>
      </c>
      <c r="J401" s="119">
        <f ca="1">HLOOKUP($H$5,'Met Data'!$H$2:$M$368,G401,FALSE)*L401</f>
        <v>0.33939393939393903</v>
      </c>
      <c r="K401" s="96">
        <f ca="1">HLOOKUP($H$5,'Met Data'!$O$2:$T$368,G401,FALSE)</f>
        <v>3.4114061949116499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275</v>
      </c>
      <c r="H402" s="95">
        <f t="shared" ca="1" si="66"/>
        <v>45565</v>
      </c>
      <c r="I402" s="119">
        <f ca="1">HLOOKUP($H$5,'Met Data'!$A$2:$F$368,G402,FALSE)</f>
        <v>11.2893939393939</v>
      </c>
      <c r="J402" s="119">
        <f ca="1">HLOOKUP($H$5,'Met Data'!$H$2:$M$368,G402,FALSE)*L402</f>
        <v>0.36060606060605999</v>
      </c>
      <c r="K402" s="96">
        <f ca="1">HLOOKUP($H$5,'Met Data'!$O$2:$T$368,G402,FALSE)</f>
        <v>3.4573036102364698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276</v>
      </c>
      <c r="H403" s="95">
        <f t="shared" ca="1" si="66"/>
        <v>45566</v>
      </c>
      <c r="I403" s="119">
        <f ca="1">HLOOKUP($H$5,'Met Data'!$A$2:$F$368,G403,FALSE)</f>
        <v>11.590909090908999</v>
      </c>
      <c r="J403" s="119">
        <f ca="1">HLOOKUP($H$5,'Met Data'!$H$2:$M$368,G403,FALSE)*L403</f>
        <v>0.86969696969696897</v>
      </c>
      <c r="K403" s="96">
        <f ca="1">HLOOKUP($H$5,'Met Data'!$O$2:$T$368,G403,FALSE)</f>
        <v>3.4181246576745901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277</v>
      </c>
      <c r="H404" s="95">
        <f t="shared" ca="1" si="66"/>
        <v>45567</v>
      </c>
      <c r="I404" s="119">
        <f ca="1">HLOOKUP($H$5,'Met Data'!$A$2:$F$368,G404,FALSE)</f>
        <v>10.8530303030303</v>
      </c>
      <c r="J404" s="119">
        <f ca="1">HLOOKUP($H$5,'Met Data'!$H$2:$M$368,G404,FALSE)*L404</f>
        <v>2.9272727272727201</v>
      </c>
      <c r="K404" s="96">
        <f ca="1">HLOOKUP($H$5,'Met Data'!$O$2:$T$368,G404,FALSE)</f>
        <v>3.28237222726839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278</v>
      </c>
      <c r="H405" s="95">
        <f t="shared" ca="1" si="66"/>
        <v>45568</v>
      </c>
      <c r="I405" s="119">
        <f ca="1">HLOOKUP($H$5,'Met Data'!$A$2:$F$368,G405,FALSE)</f>
        <v>10.580303030303</v>
      </c>
      <c r="J405" s="119">
        <f ca="1">HLOOKUP($H$5,'Met Data'!$H$2:$M$368,G405,FALSE)*L405</f>
        <v>3.0151515151515098</v>
      </c>
      <c r="K405" s="96">
        <f ca="1">HLOOKUP($H$5,'Met Data'!$O$2:$T$368,G405,FALSE)</f>
        <v>2.9435441276045902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279</v>
      </c>
      <c r="H406" s="95">
        <f t="shared" ca="1" si="66"/>
        <v>45569</v>
      </c>
      <c r="I406" s="119">
        <f ca="1">HLOOKUP($H$5,'Met Data'!$A$2:$F$368,G406,FALSE)</f>
        <v>10.5</v>
      </c>
      <c r="J406" s="119">
        <f ca="1">HLOOKUP($H$5,'Met Data'!$H$2:$M$368,G406,FALSE)*L406</f>
        <v>1.5060606060606001</v>
      </c>
      <c r="K406" s="96">
        <f ca="1">HLOOKUP($H$5,'Met Data'!$O$2:$T$368,G406,FALSE)</f>
        <v>3.3810413875387701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280</v>
      </c>
      <c r="H407" s="95">
        <f t="shared" ca="1" si="66"/>
        <v>45570</v>
      </c>
      <c r="I407" s="119">
        <f ca="1">HLOOKUP($H$5,'Met Data'!$A$2:$F$368,G407,FALSE)</f>
        <v>11.0757575757575</v>
      </c>
      <c r="J407" s="119">
        <f ca="1">HLOOKUP($H$5,'Met Data'!$H$2:$M$368,G407,FALSE)*L407</f>
        <v>0.86666666666666603</v>
      </c>
      <c r="K407" s="96">
        <f ca="1">HLOOKUP($H$5,'Met Data'!$O$2:$T$368,G407,FALSE)</f>
        <v>3.3814368699018198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281</v>
      </c>
      <c r="H408" s="95">
        <f t="shared" ca="1" si="66"/>
        <v>45571</v>
      </c>
      <c r="I408" s="119">
        <f ca="1">HLOOKUP($H$5,'Met Data'!$A$2:$F$368,G408,FALSE)</f>
        <v>11.1621212121212</v>
      </c>
      <c r="J408" s="119">
        <f ca="1">HLOOKUP($H$5,'Met Data'!$H$2:$M$368,G408,FALSE)*L408</f>
        <v>1.1424242424242399</v>
      </c>
      <c r="K408" s="96">
        <f ca="1">HLOOKUP($H$5,'Met Data'!$O$2:$T$368,G408,FALSE)</f>
        <v>3.44855016002714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282</v>
      </c>
      <c r="H409" s="95">
        <f t="shared" ca="1" si="66"/>
        <v>45572</v>
      </c>
      <c r="I409" s="119">
        <f ca="1">HLOOKUP($H$5,'Met Data'!$A$2:$F$368,G409,FALSE)</f>
        <v>10.442424242424201</v>
      </c>
      <c r="J409" s="119">
        <f ca="1">HLOOKUP($H$5,'Met Data'!$H$2:$M$368,G409,FALSE)*L409</f>
        <v>3.97272727272727</v>
      </c>
      <c r="K409" s="96">
        <f ca="1">HLOOKUP($H$5,'Met Data'!$O$2:$T$368,G409,FALSE)</f>
        <v>3.0735601882933201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283</v>
      </c>
      <c r="H410" s="95">
        <f t="shared" ca="1" si="66"/>
        <v>45573</v>
      </c>
      <c r="I410" s="119">
        <f ca="1">HLOOKUP($H$5,'Met Data'!$A$2:$F$368,G410,FALSE)</f>
        <v>10.1257575757575</v>
      </c>
      <c r="J410" s="119">
        <f ca="1">HLOOKUP($H$5,'Met Data'!$H$2:$M$368,G410,FALSE)*L410</f>
        <v>2.9363636363636298</v>
      </c>
      <c r="K410" s="96">
        <f ca="1">HLOOKUP($H$5,'Met Data'!$O$2:$T$368,G410,FALSE)</f>
        <v>2.8856583502815898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284</v>
      </c>
      <c r="H411" s="95">
        <f t="shared" ca="1" si="66"/>
        <v>45574</v>
      </c>
      <c r="I411" s="119">
        <f ca="1">HLOOKUP($H$5,'Met Data'!$A$2:$F$368,G411,FALSE)</f>
        <v>10.0590909090909</v>
      </c>
      <c r="J411" s="119">
        <f ca="1">HLOOKUP($H$5,'Met Data'!$H$2:$M$368,G411,FALSE)*L411</f>
        <v>2.5939393939393902</v>
      </c>
      <c r="K411" s="96">
        <f ca="1">HLOOKUP($H$5,'Met Data'!$O$2:$T$368,G411,FALSE)</f>
        <v>2.97068142496583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285</v>
      </c>
      <c r="H412" s="95">
        <f t="shared" ca="1" si="66"/>
        <v>45575</v>
      </c>
      <c r="I412" s="119">
        <f ca="1">HLOOKUP($H$5,'Met Data'!$A$2:$F$368,G412,FALSE)</f>
        <v>10.7469696969696</v>
      </c>
      <c r="J412" s="119">
        <f ca="1">HLOOKUP($H$5,'Met Data'!$H$2:$M$368,G412,FALSE)*L412</f>
        <v>1.8181818181818099</v>
      </c>
      <c r="K412" s="96">
        <f ca="1">HLOOKUP($H$5,'Met Data'!$O$2:$T$368,G412,FALSE)</f>
        <v>3.3415142660940802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286</v>
      </c>
      <c r="H413" s="95">
        <f t="shared" ca="1" si="66"/>
        <v>45576</v>
      </c>
      <c r="I413" s="119">
        <f ca="1">HLOOKUP($H$5,'Met Data'!$A$2:$F$368,G413,FALSE)</f>
        <v>12.012121212121199</v>
      </c>
      <c r="J413" s="119">
        <f ca="1">HLOOKUP($H$5,'Met Data'!$H$2:$M$368,G413,FALSE)*L413</f>
        <v>1.7393939393939299</v>
      </c>
      <c r="K413" s="96">
        <f ca="1">HLOOKUP($H$5,'Met Data'!$O$2:$T$368,G413,FALSE)</f>
        <v>3.8727634784268798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287</v>
      </c>
      <c r="H414" s="95">
        <f t="shared" ca="1" si="66"/>
        <v>45577</v>
      </c>
      <c r="I414" s="119">
        <f ca="1">HLOOKUP($H$5,'Met Data'!$A$2:$F$368,G414,FALSE)</f>
        <v>11.445454545454499</v>
      </c>
      <c r="J414" s="119">
        <f ca="1">HLOOKUP($H$5,'Met Data'!$H$2:$M$368,G414,FALSE)*L414</f>
        <v>3.22727272727272</v>
      </c>
      <c r="K414" s="96">
        <f ca="1">HLOOKUP($H$5,'Met Data'!$O$2:$T$368,G414,FALSE)</f>
        <v>3.7654187532628201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288</v>
      </c>
      <c r="H415" s="95">
        <f t="shared" ca="1" si="66"/>
        <v>45578</v>
      </c>
      <c r="I415" s="119">
        <f ca="1">HLOOKUP($H$5,'Met Data'!$A$2:$F$368,G415,FALSE)</f>
        <v>11.0863636363636</v>
      </c>
      <c r="J415" s="119">
        <f ca="1">HLOOKUP($H$5,'Met Data'!$H$2:$M$368,G415,FALSE)*L415</f>
        <v>1.8060606060605999</v>
      </c>
      <c r="K415" s="96">
        <f ca="1">HLOOKUP($H$5,'Met Data'!$O$2:$T$368,G415,FALSE)</f>
        <v>3.5839169020731898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289</v>
      </c>
      <c r="H416" s="95">
        <f t="shared" ca="1" si="66"/>
        <v>45579</v>
      </c>
      <c r="I416" s="119">
        <f ca="1">HLOOKUP($H$5,'Met Data'!$A$2:$F$368,G416,FALSE)</f>
        <v>10.820454545454499</v>
      </c>
      <c r="J416" s="119">
        <f ca="1">HLOOKUP($H$5,'Met Data'!$H$2:$M$368,G416,FALSE)*L416</f>
        <v>1.17272727272727</v>
      </c>
      <c r="K416" s="96">
        <f ca="1">HLOOKUP($H$5,'Met Data'!$O$2:$T$368,G416,FALSE)</f>
        <v>3.5135934353686902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290</v>
      </c>
      <c r="H417" s="95">
        <f t="shared" ca="1" si="66"/>
        <v>45580</v>
      </c>
      <c r="I417" s="119">
        <f ca="1">HLOOKUP($H$5,'Met Data'!$A$2:$F$368,G417,FALSE)</f>
        <v>11.382575757575699</v>
      </c>
      <c r="J417" s="119">
        <f ca="1">HLOOKUP($H$5,'Met Data'!$H$2:$M$368,G417,FALSE)*L417</f>
        <v>0.98181818181818103</v>
      </c>
      <c r="K417" s="96">
        <f ca="1">HLOOKUP($H$5,'Met Data'!$O$2:$T$368,G417,FALSE)</f>
        <v>3.66659887182134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291</v>
      </c>
      <c r="H418" s="95">
        <f t="shared" ca="1" si="66"/>
        <v>45581</v>
      </c>
      <c r="I418" s="119">
        <f ca="1">HLOOKUP($H$5,'Met Data'!$A$2:$F$368,G418,FALSE)</f>
        <v>12.1743939393939</v>
      </c>
      <c r="J418" s="119">
        <f ca="1">HLOOKUP($H$5,'Met Data'!$H$2:$M$368,G418,FALSE)*L418</f>
        <v>1.93030303030303</v>
      </c>
      <c r="K418" s="96">
        <f ca="1">HLOOKUP($H$5,'Met Data'!$O$2:$T$368,G418,FALSE)</f>
        <v>4.4221266913625099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292</v>
      </c>
      <c r="H419" s="95">
        <f t="shared" ca="1" si="66"/>
        <v>45582</v>
      </c>
      <c r="I419" s="119">
        <f ca="1">HLOOKUP($H$5,'Met Data'!$A$2:$F$368,G419,FALSE)</f>
        <v>11.5590909090909</v>
      </c>
      <c r="J419" s="119">
        <f ca="1">HLOOKUP($H$5,'Met Data'!$H$2:$M$368,G419,FALSE)*L419</f>
        <v>0.9</v>
      </c>
      <c r="K419" s="96">
        <f ca="1">HLOOKUP($H$5,'Met Data'!$O$2:$T$368,G419,FALSE)</f>
        <v>4.1615819400289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293</v>
      </c>
      <c r="H420" s="95">
        <f t="shared" ca="1" si="66"/>
        <v>45583</v>
      </c>
      <c r="I420" s="119">
        <f ca="1">HLOOKUP($H$5,'Met Data'!$A$2:$F$368,G420,FALSE)</f>
        <v>11.530303030302999</v>
      </c>
      <c r="J420" s="119">
        <f ca="1">HLOOKUP($H$5,'Met Data'!$H$2:$M$368,G420,FALSE)*L420</f>
        <v>2.16363636363636</v>
      </c>
      <c r="K420" s="96">
        <f ca="1">HLOOKUP($H$5,'Met Data'!$O$2:$T$368,G420,FALSE)</f>
        <v>4.1616928735003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294</v>
      </c>
      <c r="H421" s="95">
        <f t="shared" ca="1" si="66"/>
        <v>45584</v>
      </c>
      <c r="I421" s="119">
        <f ca="1">HLOOKUP($H$5,'Met Data'!$A$2:$F$368,G421,FALSE)</f>
        <v>11.592424242424199</v>
      </c>
      <c r="J421" s="119">
        <f ca="1">HLOOKUP($H$5,'Met Data'!$H$2:$M$368,G421,FALSE)*L421</f>
        <v>0.68787878787878698</v>
      </c>
      <c r="K421" s="96">
        <f ca="1">HLOOKUP($H$5,'Met Data'!$O$2:$T$368,G421,FALSE)</f>
        <v>4.1355638104854497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295</v>
      </c>
      <c r="H422" s="95">
        <f t="shared" ca="1" si="66"/>
        <v>45585</v>
      </c>
      <c r="I422" s="119">
        <f ca="1">HLOOKUP($H$5,'Met Data'!$A$2:$F$368,G422,FALSE)</f>
        <v>12.6712121212121</v>
      </c>
      <c r="J422" s="119">
        <f ca="1">HLOOKUP($H$5,'Met Data'!$H$2:$M$368,G422,FALSE)*L422</f>
        <v>0.91515151515151505</v>
      </c>
      <c r="K422" s="96">
        <f ca="1">HLOOKUP($H$5,'Met Data'!$O$2:$T$368,G422,FALSE)</f>
        <v>4.2548689124348202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296</v>
      </c>
      <c r="H423" s="95">
        <f t="shared" ca="1" si="66"/>
        <v>45586</v>
      </c>
      <c r="I423" s="119">
        <f ca="1">HLOOKUP($H$5,'Met Data'!$A$2:$F$368,G423,FALSE)</f>
        <v>11.5966666666666</v>
      </c>
      <c r="J423" s="119">
        <f ca="1">HLOOKUP($H$5,'Met Data'!$H$2:$M$368,G423,FALSE)*L423</f>
        <v>1.0757575757575699</v>
      </c>
      <c r="K423" s="96">
        <f ca="1">HLOOKUP($H$5,'Met Data'!$O$2:$T$368,G423,FALSE)</f>
        <v>3.8892850116651498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297</v>
      </c>
      <c r="H424" s="95">
        <f t="shared" ca="1" si="66"/>
        <v>45587</v>
      </c>
      <c r="I424" s="119">
        <f ca="1">HLOOKUP($H$5,'Met Data'!$A$2:$F$368,G424,FALSE)</f>
        <v>11.5331818181818</v>
      </c>
      <c r="J424" s="119">
        <f ca="1">HLOOKUP($H$5,'Met Data'!$H$2:$M$368,G424,FALSE)*L424</f>
        <v>1.5757575757575699</v>
      </c>
      <c r="K424" s="96">
        <f ca="1">HLOOKUP($H$5,'Met Data'!$O$2:$T$368,G424,FALSE)</f>
        <v>3.7538214127918499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298</v>
      </c>
      <c r="H425" s="95">
        <f t="shared" ca="1" si="66"/>
        <v>45588</v>
      </c>
      <c r="I425" s="119">
        <f ca="1">HLOOKUP($H$5,'Met Data'!$A$2:$F$368,G425,FALSE)</f>
        <v>11.6060606060606</v>
      </c>
      <c r="J425" s="119">
        <f ca="1">HLOOKUP($H$5,'Met Data'!$H$2:$M$368,G425,FALSE)*L425</f>
        <v>0.95454545454545403</v>
      </c>
      <c r="K425" s="96">
        <f ca="1">HLOOKUP($H$5,'Met Data'!$O$2:$T$368,G425,FALSE)</f>
        <v>3.9920282440950898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299</v>
      </c>
      <c r="H426" s="95">
        <f t="shared" ca="1" si="66"/>
        <v>45589</v>
      </c>
      <c r="I426" s="119">
        <f ca="1">HLOOKUP($H$5,'Met Data'!$A$2:$F$368,G426,FALSE)</f>
        <v>11.821212121212101</v>
      </c>
      <c r="J426" s="119">
        <f ca="1">HLOOKUP($H$5,'Met Data'!$H$2:$M$368,G426,FALSE)*L426</f>
        <v>0.13030303030303</v>
      </c>
      <c r="K426" s="96">
        <f ca="1">HLOOKUP($H$5,'Met Data'!$O$2:$T$368,G426,FALSE)</f>
        <v>3.94572673133468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300</v>
      </c>
      <c r="H427" s="95">
        <f t="shared" ca="1" si="66"/>
        <v>45590</v>
      </c>
      <c r="I427" s="119">
        <f ca="1">HLOOKUP($H$5,'Met Data'!$A$2:$F$368,G427,FALSE)</f>
        <v>12.8742424242424</v>
      </c>
      <c r="J427" s="119">
        <f ca="1">HLOOKUP($H$5,'Met Data'!$H$2:$M$368,G427,FALSE)*L427</f>
        <v>1.03939393939393</v>
      </c>
      <c r="K427" s="96">
        <f ca="1">HLOOKUP($H$5,'Met Data'!$O$2:$T$368,G427,FALSE)</f>
        <v>4.24133991088486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301</v>
      </c>
      <c r="H428" s="95">
        <f t="shared" ca="1" si="66"/>
        <v>45591</v>
      </c>
      <c r="I428" s="119">
        <f ca="1">HLOOKUP($H$5,'Met Data'!$A$2:$F$368,G428,FALSE)</f>
        <v>12.3921212121212</v>
      </c>
      <c r="J428" s="119">
        <f ca="1">HLOOKUP($H$5,'Met Data'!$H$2:$M$368,G428,FALSE)*L428</f>
        <v>1.66060606060606</v>
      </c>
      <c r="K428" s="96">
        <f ca="1">HLOOKUP($H$5,'Met Data'!$O$2:$T$368,G428,FALSE)</f>
        <v>3.98512648995679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302</v>
      </c>
      <c r="H429" s="95">
        <f t="shared" ca="1" si="66"/>
        <v>45592</v>
      </c>
      <c r="I429" s="119">
        <f ca="1">HLOOKUP($H$5,'Met Data'!$A$2:$F$368,G429,FALSE)</f>
        <v>13.0242424242424</v>
      </c>
      <c r="J429" s="119">
        <f ca="1">HLOOKUP($H$5,'Met Data'!$H$2:$M$368,G429,FALSE)*L429</f>
        <v>1.6848484848484799</v>
      </c>
      <c r="K429" s="96">
        <f ca="1">HLOOKUP($H$5,'Met Data'!$O$2:$T$368,G429,FALSE)</f>
        <v>4.06785476536513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303</v>
      </c>
      <c r="H430" s="95">
        <f t="shared" ca="1" si="66"/>
        <v>45593</v>
      </c>
      <c r="I430" s="119">
        <f ca="1">HLOOKUP($H$5,'Met Data'!$A$2:$F$368,G430,FALSE)</f>
        <v>13.2075757575757</v>
      </c>
      <c r="J430" s="119">
        <f ca="1">HLOOKUP($H$5,'Met Data'!$H$2:$M$368,G430,FALSE)*L430</f>
        <v>1</v>
      </c>
      <c r="K430" s="96">
        <f ca="1">HLOOKUP($H$5,'Met Data'!$O$2:$T$368,G430,FALSE)</f>
        <v>3.8638743234578601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304</v>
      </c>
      <c r="H431" s="95">
        <f t="shared" ca="1" si="66"/>
        <v>45594</v>
      </c>
      <c r="I431" s="119">
        <f ca="1">HLOOKUP($H$5,'Met Data'!$A$2:$F$368,G431,FALSE)</f>
        <v>12.865151515151499</v>
      </c>
      <c r="J431" s="119">
        <f ca="1">HLOOKUP($H$5,'Met Data'!$H$2:$M$368,G431,FALSE)*L431</f>
        <v>1.44848484848484</v>
      </c>
      <c r="K431" s="96">
        <f ca="1">HLOOKUP($H$5,'Met Data'!$O$2:$T$368,G431,FALSE)</f>
        <v>4.2171092806571897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305</v>
      </c>
      <c r="H432" s="95">
        <f t="shared" ca="1" si="66"/>
        <v>45595</v>
      </c>
      <c r="I432" s="119">
        <f ca="1">HLOOKUP($H$5,'Met Data'!$A$2:$F$368,G432,FALSE)</f>
        <v>12.8045454545454</v>
      </c>
      <c r="J432" s="119">
        <f ca="1">HLOOKUP($H$5,'Met Data'!$H$2:$M$368,G432,FALSE)*L432</f>
        <v>0.38787878787878699</v>
      </c>
      <c r="K432" s="96">
        <f ca="1">HLOOKUP($H$5,'Met Data'!$O$2:$T$368,G432,FALSE)</f>
        <v>4.4006301765887699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306</v>
      </c>
      <c r="H433" s="95">
        <f t="shared" ca="1" si="66"/>
        <v>45596</v>
      </c>
      <c r="I433" s="119">
        <f ca="1">HLOOKUP($H$5,'Met Data'!$A$2:$F$368,G433,FALSE)</f>
        <v>13.4363636363636</v>
      </c>
      <c r="J433" s="119">
        <f ca="1">HLOOKUP($H$5,'Met Data'!$H$2:$M$368,G433,FALSE)*L433</f>
        <v>0.82121212121212095</v>
      </c>
      <c r="K433" s="96">
        <f ca="1">HLOOKUP($H$5,'Met Data'!$O$2:$T$368,G433,FALSE)</f>
        <v>4.6060103377193604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307</v>
      </c>
      <c r="H434" s="95">
        <f t="shared" ca="1" si="66"/>
        <v>45597</v>
      </c>
      <c r="I434" s="119">
        <f ca="1">HLOOKUP($H$5,'Met Data'!$A$2:$F$368,G434,FALSE)</f>
        <v>12.756060606060601</v>
      </c>
      <c r="J434" s="119">
        <f ca="1">HLOOKUP($H$5,'Met Data'!$H$2:$M$368,G434,FALSE)*L434</f>
        <v>1.5727272727272701</v>
      </c>
      <c r="K434" s="96">
        <f ca="1">HLOOKUP($H$5,'Met Data'!$O$2:$T$368,G434,FALSE)</f>
        <v>4.4078340774843401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308</v>
      </c>
      <c r="H435" s="95">
        <f t="shared" ca="1" si="66"/>
        <v>45598</v>
      </c>
      <c r="I435" s="119">
        <f ca="1">HLOOKUP($H$5,'Met Data'!$A$2:$F$368,G435,FALSE)</f>
        <v>12.960606060606001</v>
      </c>
      <c r="J435" s="119">
        <f ca="1">HLOOKUP($H$5,'Met Data'!$H$2:$M$368,G435,FALSE)*L435</f>
        <v>0.86969696969696897</v>
      </c>
      <c r="K435" s="96">
        <f ca="1">HLOOKUP($H$5,'Met Data'!$O$2:$T$368,G435,FALSE)</f>
        <v>4.7355757109775203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309</v>
      </c>
      <c r="H436" s="95">
        <f t="shared" ca="1" si="66"/>
        <v>45599</v>
      </c>
      <c r="I436" s="119">
        <f ca="1">HLOOKUP($H$5,'Met Data'!$A$2:$F$368,G436,FALSE)</f>
        <v>13.0166666666666</v>
      </c>
      <c r="J436" s="119">
        <f ca="1">HLOOKUP($H$5,'Met Data'!$H$2:$M$368,G436,FALSE)*L436</f>
        <v>0.972727272727272</v>
      </c>
      <c r="K436" s="96">
        <f ca="1">HLOOKUP($H$5,'Met Data'!$O$2:$T$368,G436,FALSE)</f>
        <v>4.6816234323257397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310</v>
      </c>
      <c r="H437" s="95">
        <f t="shared" ca="1" si="66"/>
        <v>45600</v>
      </c>
      <c r="I437" s="119">
        <f ca="1">HLOOKUP($H$5,'Met Data'!$A$2:$F$368,G437,FALSE)</f>
        <v>12.8439393939393</v>
      </c>
      <c r="J437" s="119">
        <f ca="1">HLOOKUP($H$5,'Met Data'!$H$2:$M$368,G437,FALSE)*L437</f>
        <v>1.7090909090908999</v>
      </c>
      <c r="K437" s="96">
        <f ca="1">HLOOKUP($H$5,'Met Data'!$O$2:$T$368,G437,FALSE)</f>
        <v>4.6727463269062399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311</v>
      </c>
      <c r="H438" s="95">
        <f t="shared" ca="1" si="66"/>
        <v>45601</v>
      </c>
      <c r="I438" s="119">
        <f ca="1">HLOOKUP($H$5,'Met Data'!$A$2:$F$368,G438,FALSE)</f>
        <v>12.319696969696899</v>
      </c>
      <c r="J438" s="119">
        <f ca="1">HLOOKUP($H$5,'Met Data'!$H$2:$M$368,G438,FALSE)*L438</f>
        <v>1.2030303030303</v>
      </c>
      <c r="K438" s="96">
        <f ca="1">HLOOKUP($H$5,'Met Data'!$O$2:$T$368,G438,FALSE)</f>
        <v>4.2180058763468802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312</v>
      </c>
      <c r="H439" s="95">
        <f t="shared" ca="1" si="66"/>
        <v>45602</v>
      </c>
      <c r="I439" s="119">
        <f ca="1">HLOOKUP($H$5,'Met Data'!$A$2:$F$368,G439,FALSE)</f>
        <v>12.6025757575757</v>
      </c>
      <c r="J439" s="119">
        <f ca="1">HLOOKUP($H$5,'Met Data'!$H$2:$M$368,G439,FALSE)*L439</f>
        <v>2.3060606060605999</v>
      </c>
      <c r="K439" s="96">
        <f ca="1">HLOOKUP($H$5,'Met Data'!$O$2:$T$368,G439,FALSE)</f>
        <v>4.3094672807614902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313</v>
      </c>
      <c r="H440" s="95">
        <f t="shared" ca="1" si="66"/>
        <v>45603</v>
      </c>
      <c r="I440" s="119">
        <f ca="1">HLOOKUP($H$5,'Met Data'!$A$2:$F$368,G440,FALSE)</f>
        <v>12.547121212121199</v>
      </c>
      <c r="J440" s="119">
        <f ca="1">HLOOKUP($H$5,'Met Data'!$H$2:$M$368,G440,FALSE)*L440</f>
        <v>0.92727272727272703</v>
      </c>
      <c r="K440" s="96">
        <f ca="1">HLOOKUP($H$5,'Met Data'!$O$2:$T$368,G440,FALSE)</f>
        <v>4.1336721636417497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314</v>
      </c>
      <c r="H441" s="95">
        <f t="shared" ca="1" si="66"/>
        <v>45604</v>
      </c>
      <c r="I441" s="119">
        <f ca="1">HLOOKUP($H$5,'Met Data'!$A$2:$F$368,G441,FALSE)</f>
        <v>12.8168181818181</v>
      </c>
      <c r="J441" s="119">
        <f ca="1">HLOOKUP($H$5,'Met Data'!$H$2:$M$368,G441,FALSE)*L441</f>
        <v>1.0212121212121199</v>
      </c>
      <c r="K441" s="96">
        <f ca="1">HLOOKUP($H$5,'Met Data'!$O$2:$T$368,G441,FALSE)</f>
        <v>4.3938915359457704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315</v>
      </c>
      <c r="H442" s="95">
        <f t="shared" ca="1" si="66"/>
        <v>45605</v>
      </c>
      <c r="I442" s="119">
        <f ca="1">HLOOKUP($H$5,'Met Data'!$A$2:$F$368,G442,FALSE)</f>
        <v>14.334848484848401</v>
      </c>
      <c r="J442" s="119">
        <f ca="1">HLOOKUP($H$5,'Met Data'!$H$2:$M$368,G442,FALSE)*L442</f>
        <v>0.51818181818181797</v>
      </c>
      <c r="K442" s="96">
        <f ca="1">HLOOKUP($H$5,'Met Data'!$O$2:$T$368,G442,FALSE)</f>
        <v>5.1862560436492702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316</v>
      </c>
      <c r="H443" s="95">
        <f t="shared" ca="1" si="66"/>
        <v>45606</v>
      </c>
      <c r="I443" s="119">
        <f ca="1">HLOOKUP($H$5,'Met Data'!$A$2:$F$368,G443,FALSE)</f>
        <v>13.660606060606</v>
      </c>
      <c r="J443" s="119">
        <f ca="1">HLOOKUP($H$5,'Met Data'!$H$2:$M$368,G443,FALSE)*L443</f>
        <v>0.90606060606060601</v>
      </c>
      <c r="K443" s="96">
        <f ca="1">HLOOKUP($H$5,'Met Data'!$O$2:$T$368,G443,FALSE)</f>
        <v>4.8906124961293598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317</v>
      </c>
      <c r="H444" s="95">
        <f t="shared" ca="1" si="66"/>
        <v>45607</v>
      </c>
      <c r="I444" s="119">
        <f ca="1">HLOOKUP($H$5,'Met Data'!$A$2:$F$368,G444,FALSE)</f>
        <v>13.3045454545454</v>
      </c>
      <c r="J444" s="119">
        <f ca="1">HLOOKUP($H$5,'Met Data'!$H$2:$M$368,G444,FALSE)*L444</f>
        <v>2.2575757575757498</v>
      </c>
      <c r="K444" s="96">
        <f ca="1">HLOOKUP($H$5,'Met Data'!$O$2:$T$368,G444,FALSE)</f>
        <v>4.5262878878537398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318</v>
      </c>
      <c r="H445" s="95">
        <f t="shared" ca="1" si="66"/>
        <v>45608</v>
      </c>
      <c r="I445" s="119">
        <f ca="1">HLOOKUP($H$5,'Met Data'!$A$2:$F$368,G445,FALSE)</f>
        <v>12.422727272727199</v>
      </c>
      <c r="J445" s="119">
        <f ca="1">HLOOKUP($H$5,'Met Data'!$H$2:$M$368,G445,FALSE)*L445</f>
        <v>1.1818181818181801</v>
      </c>
      <c r="K445" s="96">
        <f ca="1">HLOOKUP($H$5,'Met Data'!$O$2:$T$368,G445,FALSE)</f>
        <v>4.3459922348738003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319</v>
      </c>
      <c r="H446" s="95">
        <f t="shared" ca="1" si="66"/>
        <v>45609</v>
      </c>
      <c r="I446" s="119">
        <f ca="1">HLOOKUP($H$5,'Met Data'!$A$2:$F$368,G446,FALSE)</f>
        <v>12.9954545454545</v>
      </c>
      <c r="J446" s="119">
        <f ca="1">HLOOKUP($H$5,'Met Data'!$H$2:$M$368,G446,FALSE)*L446</f>
        <v>0.324242424242424</v>
      </c>
      <c r="K446" s="96">
        <f ca="1">HLOOKUP($H$5,'Met Data'!$O$2:$T$368,G446,FALSE)</f>
        <v>4.6406514807717096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320</v>
      </c>
      <c r="H447" s="95">
        <f t="shared" ca="1" si="66"/>
        <v>45610</v>
      </c>
      <c r="I447" s="119">
        <f ca="1">HLOOKUP($H$5,'Met Data'!$A$2:$F$368,G447,FALSE)</f>
        <v>13.430303030303</v>
      </c>
      <c r="J447" s="119">
        <f ca="1">HLOOKUP($H$5,'Met Data'!$H$2:$M$368,G447,FALSE)*L447</f>
        <v>0.469696969696969</v>
      </c>
      <c r="K447" s="96">
        <f ca="1">HLOOKUP($H$5,'Met Data'!$O$2:$T$368,G447,FALSE)</f>
        <v>5.0457035491188602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321</v>
      </c>
      <c r="H448" s="95">
        <f t="shared" ca="1" si="66"/>
        <v>45611</v>
      </c>
      <c r="I448" s="119">
        <f ca="1">HLOOKUP($H$5,'Met Data'!$A$2:$F$368,G448,FALSE)</f>
        <v>13.7712121212121</v>
      </c>
      <c r="J448" s="119">
        <f ca="1">HLOOKUP($H$5,'Met Data'!$H$2:$M$368,G448,FALSE)*L448</f>
        <v>1.79696969696969</v>
      </c>
      <c r="K448" s="96">
        <f ca="1">HLOOKUP($H$5,'Met Data'!$O$2:$T$368,G448,FALSE)</f>
        <v>4.8091723913410096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322</v>
      </c>
      <c r="H449" s="95">
        <f t="shared" ca="1" si="66"/>
        <v>45612</v>
      </c>
      <c r="I449" s="119">
        <f ca="1">HLOOKUP($H$5,'Met Data'!$A$2:$F$368,G449,FALSE)</f>
        <v>12.8924242424242</v>
      </c>
      <c r="J449" s="119">
        <f ca="1">HLOOKUP($H$5,'Met Data'!$H$2:$M$368,G449,FALSE)*L449</f>
        <v>1.46969696969696</v>
      </c>
      <c r="K449" s="96">
        <f ca="1">HLOOKUP($H$5,'Met Data'!$O$2:$T$368,G449,FALSE)</f>
        <v>4.4924353878463998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323</v>
      </c>
      <c r="H450" s="95">
        <f t="shared" ca="1" si="66"/>
        <v>45613</v>
      </c>
      <c r="I450" s="119">
        <f ca="1">HLOOKUP($H$5,'Met Data'!$A$2:$F$368,G450,FALSE)</f>
        <v>12.363636363636299</v>
      </c>
      <c r="J450" s="119">
        <f ca="1">HLOOKUP($H$5,'Met Data'!$H$2:$M$368,G450,FALSE)*L450</f>
        <v>2.6151515151515099</v>
      </c>
      <c r="K450" s="96">
        <f ca="1">HLOOKUP($H$5,'Met Data'!$O$2:$T$368,G450,FALSE)</f>
        <v>4.3049572040258504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324</v>
      </c>
      <c r="H451" s="95">
        <f t="shared" ca="1" si="66"/>
        <v>45614</v>
      </c>
      <c r="I451" s="119">
        <f ca="1">HLOOKUP($H$5,'Met Data'!$A$2:$F$368,G451,FALSE)</f>
        <v>12.159090909090899</v>
      </c>
      <c r="J451" s="119">
        <f ca="1">HLOOKUP($H$5,'Met Data'!$H$2:$M$368,G451,FALSE)*L451</f>
        <v>2.7848484848484798</v>
      </c>
      <c r="K451" s="96">
        <f ca="1">HLOOKUP($H$5,'Met Data'!$O$2:$T$368,G451,FALSE)</f>
        <v>4.1173997511743199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325</v>
      </c>
      <c r="H452" s="95">
        <f t="shared" ca="1" si="66"/>
        <v>45615</v>
      </c>
      <c r="I452" s="119">
        <f ca="1">HLOOKUP($H$5,'Met Data'!$A$2:$F$368,G452,FALSE)</f>
        <v>13.048484848484801</v>
      </c>
      <c r="J452" s="119">
        <f ca="1">HLOOKUP($H$5,'Met Data'!$H$2:$M$368,G452,FALSE)*L452</f>
        <v>1.49696969696969</v>
      </c>
      <c r="K452" s="96">
        <f ca="1">HLOOKUP($H$5,'Met Data'!$O$2:$T$368,G452,FALSE)</f>
        <v>4.5766974923540298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326</v>
      </c>
      <c r="H453" s="95">
        <f t="shared" ca="1" si="66"/>
        <v>45616</v>
      </c>
      <c r="I453" s="119">
        <f ca="1">HLOOKUP($H$5,'Met Data'!$A$2:$F$368,G453,FALSE)</f>
        <v>12.9621212121212</v>
      </c>
      <c r="J453" s="119">
        <f ca="1">HLOOKUP($H$5,'Met Data'!$H$2:$M$368,G453,FALSE)*L453</f>
        <v>2.8727272727272699</v>
      </c>
      <c r="K453" s="96">
        <f ca="1">HLOOKUP($H$5,'Met Data'!$O$2:$T$368,G453,FALSE)</f>
        <v>4.2114496325231201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327</v>
      </c>
      <c r="H454" s="95">
        <f t="shared" ca="1" si="66"/>
        <v>45617</v>
      </c>
      <c r="I454" s="119">
        <f ca="1">HLOOKUP($H$5,'Met Data'!$A$2:$F$368,G454,FALSE)</f>
        <v>12.268749999999899</v>
      </c>
      <c r="J454" s="119">
        <f ca="1">HLOOKUP($H$5,'Met Data'!$H$2:$M$368,G454,FALSE)*L454</f>
        <v>1.4437500000000001</v>
      </c>
      <c r="K454" s="96">
        <f ca="1">HLOOKUP($H$5,'Met Data'!$O$2:$T$368,G454,FALSE)</f>
        <v>4.3766355597309001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ca="1" si="64"/>
        <v>328</v>
      </c>
      <c r="H455" s="95">
        <f t="shared" ca="1" si="66"/>
        <v>45618</v>
      </c>
      <c r="I455" s="119">
        <f ca="1">HLOOKUP($H$5,'Met Data'!$A$2:$F$368,G455,FALSE)</f>
        <v>13.610937499999901</v>
      </c>
      <c r="J455" s="119">
        <f ca="1">HLOOKUP($H$5,'Met Data'!$H$2:$M$368,G455,FALSE)*L455</f>
        <v>0.90937499999999905</v>
      </c>
      <c r="K455" s="96">
        <f ca="1">HLOOKUP($H$5,'Met Data'!$O$2:$T$368,G455,FALSE)</f>
        <v>4.8353730549956699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ca="1" si="74">H456-DATE(YEAR(H456),1,0)+1</f>
        <v>329</v>
      </c>
      <c r="H456" s="95">
        <f t="shared" ca="1" si="66"/>
        <v>45619</v>
      </c>
      <c r="I456" s="119">
        <f ca="1">HLOOKUP($H$5,'Met Data'!$A$2:$F$368,G456,FALSE)</f>
        <v>13.9</v>
      </c>
      <c r="J456" s="119">
        <f ca="1">HLOOKUP($H$5,'Met Data'!$H$2:$M$368,G456,FALSE)*L456</f>
        <v>1.096875</v>
      </c>
      <c r="K456" s="96">
        <f ca="1">HLOOKUP($H$5,'Met Data'!$O$2:$T$368,G456,FALSE)</f>
        <v>4.8959034423889598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330</v>
      </c>
      <c r="H457" s="95">
        <f t="shared" ref="H457:H520" ca="1" si="76">H456+1</f>
        <v>45620</v>
      </c>
      <c r="I457" s="119">
        <f ca="1">HLOOKUP($H$5,'Met Data'!$A$2:$F$368,G457,FALSE)</f>
        <v>14.229687499999899</v>
      </c>
      <c r="J457" s="119">
        <f ca="1">HLOOKUP($H$5,'Met Data'!$H$2:$M$368,G457,FALSE)*L457</f>
        <v>2.9937499999999999</v>
      </c>
      <c r="K457" s="96">
        <f ca="1">HLOOKUP($H$5,'Met Data'!$O$2:$T$368,G457,FALSE)</f>
        <v>4.5291120809301404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331</v>
      </c>
      <c r="H458" s="95">
        <f t="shared" ca="1" si="76"/>
        <v>45621</v>
      </c>
      <c r="I458" s="119">
        <f ca="1">HLOOKUP($H$5,'Met Data'!$A$2:$F$368,G458,FALSE)</f>
        <v>13.9375</v>
      </c>
      <c r="J458" s="119">
        <f ca="1">HLOOKUP($H$5,'Met Data'!$H$2:$M$368,G458,FALSE)*L458</f>
        <v>1.871875</v>
      </c>
      <c r="K458" s="96">
        <f ca="1">HLOOKUP($H$5,'Met Data'!$O$2:$T$368,G458,FALSE)</f>
        <v>4.6952794682709396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332</v>
      </c>
      <c r="H459" s="95">
        <f t="shared" ca="1" si="76"/>
        <v>45622</v>
      </c>
      <c r="I459" s="119">
        <f ca="1">HLOOKUP($H$5,'Met Data'!$A$2:$F$368,G459,FALSE)</f>
        <v>13.6234375</v>
      </c>
      <c r="J459" s="119">
        <f ca="1">HLOOKUP($H$5,'Met Data'!$H$2:$M$368,G459,FALSE)*L459</f>
        <v>0.89375000000000004</v>
      </c>
      <c r="K459" s="96">
        <f ca="1">HLOOKUP($H$5,'Met Data'!$O$2:$T$368,G459,FALSE)</f>
        <v>4.7009583495068297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ca="1" si="74"/>
        <v>333</v>
      </c>
      <c r="H460" s="95">
        <f t="shared" ca="1" si="76"/>
        <v>45623</v>
      </c>
      <c r="I460" s="119">
        <f ca="1">HLOOKUP($H$5,'Met Data'!$A$2:$F$368,G460,FALSE)</f>
        <v>13.4125</v>
      </c>
      <c r="J460" s="119">
        <f ca="1">HLOOKUP($H$5,'Met Data'!$H$2:$M$368,G460,FALSE)*L460</f>
        <v>2.8031250000000001</v>
      </c>
      <c r="K460" s="96">
        <f ca="1">HLOOKUP($H$5,'Met Data'!$O$2:$T$368,G460,FALSE)</f>
        <v>4.6692836926226899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ca="1" si="74"/>
        <v>334</v>
      </c>
      <c r="H461" s="95">
        <f t="shared" ca="1" si="76"/>
        <v>45624</v>
      </c>
      <c r="I461" s="119">
        <f ca="1">HLOOKUP($H$5,'Met Data'!$A$2:$F$368,G461,FALSE)</f>
        <v>13.120312499999899</v>
      </c>
      <c r="J461" s="119">
        <f ca="1">HLOOKUP($H$5,'Met Data'!$H$2:$M$368,G461,FALSE)*L461</f>
        <v>1.125</v>
      </c>
      <c r="K461" s="96">
        <f ca="1">HLOOKUP($H$5,'Met Data'!$O$2:$T$368,G461,FALSE)</f>
        <v>4.5223331629764099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335</v>
      </c>
      <c r="H462" s="95">
        <f t="shared" ca="1" si="76"/>
        <v>45625</v>
      </c>
      <c r="I462" s="119">
        <f ca="1">HLOOKUP($H$5,'Met Data'!$A$2:$F$368,G462,FALSE)</f>
        <v>13.534375000000001</v>
      </c>
      <c r="J462" s="119">
        <f ca="1">HLOOKUP($H$5,'Met Data'!$H$2:$M$368,G462,FALSE)*L462</f>
        <v>1.659375</v>
      </c>
      <c r="K462" s="96">
        <f ca="1">HLOOKUP($H$5,'Met Data'!$O$2:$T$368,G462,FALSE)</f>
        <v>4.4045021528656898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336</v>
      </c>
      <c r="H463" s="95">
        <f t="shared" ca="1" si="76"/>
        <v>45626</v>
      </c>
      <c r="I463" s="119">
        <f ca="1">HLOOKUP($H$5,'Met Data'!$A$2:$F$368,G463,FALSE)</f>
        <v>14.5196969696969</v>
      </c>
      <c r="J463" s="119">
        <f ca="1">HLOOKUP($H$5,'Met Data'!$H$2:$M$368,G463,FALSE)*L463</f>
        <v>1.1545454545454501</v>
      </c>
      <c r="K463" s="96">
        <f ca="1">HLOOKUP($H$5,'Met Data'!$O$2:$T$368,G463,FALSE)</f>
        <v>4.9008684982534403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337</v>
      </c>
      <c r="H464" s="95">
        <f t="shared" ca="1" si="76"/>
        <v>45627</v>
      </c>
      <c r="I464" s="119">
        <f ca="1">HLOOKUP($H$5,'Met Data'!$A$2:$F$368,G464,FALSE)</f>
        <v>14.7863636363636</v>
      </c>
      <c r="J464" s="119">
        <f ca="1">HLOOKUP($H$5,'Met Data'!$H$2:$M$368,G464,FALSE)*L464</f>
        <v>0.68484848484848404</v>
      </c>
      <c r="K464" s="96">
        <f ca="1">HLOOKUP($H$5,'Met Data'!$O$2:$T$368,G464,FALSE)</f>
        <v>4.4310616880942204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338</v>
      </c>
      <c r="H465" s="95">
        <f t="shared" ca="1" si="76"/>
        <v>45628</v>
      </c>
      <c r="I465" s="119">
        <f ca="1">HLOOKUP($H$5,'Met Data'!$A$2:$F$368,G465,FALSE)</f>
        <v>15.427272727272699</v>
      </c>
      <c r="J465" s="119">
        <f ca="1">HLOOKUP($H$5,'Met Data'!$H$2:$M$368,G465,FALSE)*L465</f>
        <v>0.94242424242424205</v>
      </c>
      <c r="K465" s="96">
        <f ca="1">HLOOKUP($H$5,'Met Data'!$O$2:$T$368,G465,FALSE)</f>
        <v>4.8682330205678701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339</v>
      </c>
      <c r="H466" s="95">
        <f t="shared" ca="1" si="76"/>
        <v>45629</v>
      </c>
      <c r="I466" s="119">
        <f ca="1">HLOOKUP($H$5,'Met Data'!$A$2:$F$368,G466,FALSE)</f>
        <v>15.004545454545401</v>
      </c>
      <c r="J466" s="119">
        <f ca="1">HLOOKUP($H$5,'Met Data'!$H$2:$M$368,G466,FALSE)*L466</f>
        <v>0.98787878787878702</v>
      </c>
      <c r="K466" s="96">
        <f ca="1">HLOOKUP($H$5,'Met Data'!$O$2:$T$368,G466,FALSE)</f>
        <v>5.2050138478161401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340</v>
      </c>
      <c r="H467" s="95">
        <f t="shared" ca="1" si="76"/>
        <v>45630</v>
      </c>
      <c r="I467" s="119">
        <f ca="1">HLOOKUP($H$5,'Met Data'!$A$2:$F$368,G467,FALSE)</f>
        <v>14.903030303030301</v>
      </c>
      <c r="J467" s="119">
        <f ca="1">HLOOKUP($H$5,'Met Data'!$H$2:$M$368,G467,FALSE)*L467</f>
        <v>1.5848484848484801</v>
      </c>
      <c r="K467" s="96">
        <f ca="1">HLOOKUP($H$5,'Met Data'!$O$2:$T$368,G467,FALSE)</f>
        <v>4.6641306366413202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341</v>
      </c>
      <c r="H468" s="95">
        <f t="shared" ca="1" si="76"/>
        <v>45631</v>
      </c>
      <c r="I468" s="119">
        <f ca="1">HLOOKUP($H$5,'Met Data'!$A$2:$F$368,G468,FALSE)</f>
        <v>14.301515151515099</v>
      </c>
      <c r="J468" s="119">
        <f ca="1">HLOOKUP($H$5,'Met Data'!$H$2:$M$368,G468,FALSE)*L468</f>
        <v>1.8545454545454501</v>
      </c>
      <c r="K468" s="96">
        <f ca="1">HLOOKUP($H$5,'Met Data'!$O$2:$T$368,G468,FALSE)</f>
        <v>4.1875145428280103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342</v>
      </c>
      <c r="H469" s="95">
        <f t="shared" ca="1" si="76"/>
        <v>45632</v>
      </c>
      <c r="I469" s="119">
        <f ca="1">HLOOKUP($H$5,'Met Data'!$A$2:$F$368,G469,FALSE)</f>
        <v>14.8272727272727</v>
      </c>
      <c r="J469" s="119">
        <f ca="1">HLOOKUP($H$5,'Met Data'!$H$2:$M$368,G469,FALSE)*L469</f>
        <v>1.1151515151515099</v>
      </c>
      <c r="K469" s="96">
        <f ca="1">HLOOKUP($H$5,'Met Data'!$O$2:$T$368,G469,FALSE)</f>
        <v>4.78641268464904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343</v>
      </c>
      <c r="H470" s="95">
        <f t="shared" ca="1" si="76"/>
        <v>45633</v>
      </c>
      <c r="I470" s="119">
        <f ca="1">HLOOKUP($H$5,'Met Data'!$A$2:$F$368,G470,FALSE)</f>
        <v>14.8772727272727</v>
      </c>
      <c r="J470" s="119">
        <f ca="1">HLOOKUP($H$5,'Met Data'!$H$2:$M$368,G470,FALSE)*L470</f>
        <v>2.8242424242424198</v>
      </c>
      <c r="K470" s="96">
        <f ca="1">HLOOKUP($H$5,'Met Data'!$O$2:$T$368,G470,FALSE)</f>
        <v>4.7928671108875296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344</v>
      </c>
      <c r="H471" s="95">
        <f t="shared" ca="1" si="76"/>
        <v>45634</v>
      </c>
      <c r="I471" s="119">
        <f ca="1">HLOOKUP($H$5,'Met Data'!$A$2:$F$368,G471,FALSE)</f>
        <v>14.215151515151501</v>
      </c>
      <c r="J471" s="119">
        <f ca="1">HLOOKUP($H$5,'Met Data'!$H$2:$M$368,G471,FALSE)*L471</f>
        <v>0.49393939393939301</v>
      </c>
      <c r="K471" s="96">
        <f ca="1">HLOOKUP($H$5,'Met Data'!$O$2:$T$368,G471,FALSE)</f>
        <v>4.8235358630714096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345</v>
      </c>
      <c r="H472" s="95">
        <f t="shared" ca="1" si="76"/>
        <v>45635</v>
      </c>
      <c r="I472" s="119">
        <f ca="1">HLOOKUP($H$5,'Met Data'!$A$2:$F$368,G472,FALSE)</f>
        <v>14.9121212121212</v>
      </c>
      <c r="J472" s="119">
        <f ca="1">HLOOKUP($H$5,'Met Data'!$H$2:$M$368,G472,FALSE)*L472</f>
        <v>0.67878787878787805</v>
      </c>
      <c r="K472" s="96">
        <f ca="1">HLOOKUP($H$5,'Met Data'!$O$2:$T$368,G472,FALSE)</f>
        <v>4.3850054551207398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346</v>
      </c>
      <c r="H473" s="95">
        <f t="shared" ca="1" si="76"/>
        <v>45636</v>
      </c>
      <c r="I473" s="119">
        <f ca="1">HLOOKUP($H$5,'Met Data'!$A$2:$F$368,G473,FALSE)</f>
        <v>15.940909090909001</v>
      </c>
      <c r="J473" s="119">
        <f ca="1">HLOOKUP($H$5,'Met Data'!$H$2:$M$368,G473,FALSE)*L473</f>
        <v>0.221212121212121</v>
      </c>
      <c r="K473" s="96">
        <f ca="1">HLOOKUP($H$5,'Met Data'!$O$2:$T$368,G473,FALSE)</f>
        <v>5.2714081938624204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347</v>
      </c>
      <c r="H474" s="95">
        <f t="shared" ca="1" si="76"/>
        <v>45637</v>
      </c>
      <c r="I474" s="119">
        <f ca="1">HLOOKUP($H$5,'Met Data'!$A$2:$F$368,G474,FALSE)</f>
        <v>16.6272727272727</v>
      </c>
      <c r="J474" s="119">
        <f ca="1">HLOOKUP($H$5,'Met Data'!$H$2:$M$368,G474,FALSE)*L474</f>
        <v>1.21818181818181</v>
      </c>
      <c r="K474" s="96">
        <f ca="1">HLOOKUP($H$5,'Met Data'!$O$2:$T$368,G474,FALSE)</f>
        <v>5.2469107263269903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348</v>
      </c>
      <c r="H475" s="95">
        <f t="shared" ca="1" si="76"/>
        <v>45638</v>
      </c>
      <c r="I475" s="119">
        <f ca="1">HLOOKUP($H$5,'Met Data'!$A$2:$F$368,G475,FALSE)</f>
        <v>15.6196969696969</v>
      </c>
      <c r="J475" s="119">
        <f ca="1">HLOOKUP($H$5,'Met Data'!$H$2:$M$368,G475,FALSE)*L475</f>
        <v>2.59696969696969</v>
      </c>
      <c r="K475" s="96">
        <f ca="1">HLOOKUP($H$5,'Met Data'!$O$2:$T$368,G475,FALSE)</f>
        <v>5.0310266433765403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349</v>
      </c>
      <c r="H476" s="95">
        <f t="shared" ca="1" si="76"/>
        <v>45639</v>
      </c>
      <c r="I476" s="119">
        <f ca="1">HLOOKUP($H$5,'Met Data'!$A$2:$F$368,G476,FALSE)</f>
        <v>14.8939393939393</v>
      </c>
      <c r="J476" s="119">
        <f ca="1">HLOOKUP($H$5,'Met Data'!$H$2:$M$368,G476,FALSE)*L476</f>
        <v>1.05151515151515</v>
      </c>
      <c r="K476" s="96">
        <f ca="1">HLOOKUP($H$5,'Met Data'!$O$2:$T$368,G476,FALSE)</f>
        <v>5.1072739426404103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350</v>
      </c>
      <c r="H477" s="95">
        <f t="shared" ca="1" si="76"/>
        <v>45640</v>
      </c>
      <c r="I477" s="119">
        <f ca="1">HLOOKUP($H$5,'Met Data'!$A$2:$F$368,G477,FALSE)</f>
        <v>16</v>
      </c>
      <c r="J477" s="119">
        <f ca="1">HLOOKUP($H$5,'Met Data'!$H$2:$M$368,G477,FALSE)*L477</f>
        <v>1.04242424242424</v>
      </c>
      <c r="K477" s="96">
        <f ca="1">HLOOKUP($H$5,'Met Data'!$O$2:$T$368,G477,FALSE)</f>
        <v>5.4539790972000102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351</v>
      </c>
      <c r="H478" s="95">
        <f t="shared" ca="1" si="76"/>
        <v>45641</v>
      </c>
      <c r="I478" s="119">
        <f ca="1">HLOOKUP($H$5,'Met Data'!$A$2:$F$368,G478,FALSE)</f>
        <v>15.5590909090909</v>
      </c>
      <c r="J478" s="119">
        <f ca="1">HLOOKUP($H$5,'Met Data'!$H$2:$M$368,G478,FALSE)*L478</f>
        <v>1.9272727272727199</v>
      </c>
      <c r="K478" s="96">
        <f ca="1">HLOOKUP($H$5,'Met Data'!$O$2:$T$368,G478,FALSE)</f>
        <v>4.5883036332124396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352</v>
      </c>
      <c r="H479" s="95">
        <f t="shared" ca="1" si="76"/>
        <v>45642</v>
      </c>
      <c r="I479" s="119">
        <f ca="1">HLOOKUP($H$5,'Met Data'!$A$2:$F$368,G479,FALSE)</f>
        <v>15.2454545454545</v>
      </c>
      <c r="J479" s="119">
        <f ca="1">HLOOKUP($H$5,'Met Data'!$H$2:$M$368,G479,FALSE)*L479</f>
        <v>2.4060606060606</v>
      </c>
      <c r="K479" s="96">
        <f ca="1">HLOOKUP($H$5,'Met Data'!$O$2:$T$368,G479,FALSE)</f>
        <v>4.7700419489867203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353</v>
      </c>
      <c r="H480" s="95">
        <f t="shared" ca="1" si="76"/>
        <v>45643</v>
      </c>
      <c r="I480" s="119">
        <f ca="1">HLOOKUP($H$5,'Met Data'!$A$2:$F$368,G480,FALSE)</f>
        <v>15.4969696969696</v>
      </c>
      <c r="J480" s="119">
        <f ca="1">HLOOKUP($H$5,'Met Data'!$H$2:$M$368,G480,FALSE)*L480</f>
        <v>1.9363636363636301</v>
      </c>
      <c r="K480" s="96">
        <f ca="1">HLOOKUP($H$5,'Met Data'!$O$2:$T$368,G480,FALSE)</f>
        <v>5.0336294289784602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354</v>
      </c>
      <c r="H481" s="95">
        <f t="shared" ca="1" si="76"/>
        <v>45644</v>
      </c>
      <c r="I481" s="119">
        <f ca="1">HLOOKUP($H$5,'Met Data'!$A$2:$F$368,G481,FALSE)</f>
        <v>15.5242424242424</v>
      </c>
      <c r="J481" s="119">
        <f ca="1">HLOOKUP($H$5,'Met Data'!$H$2:$M$368,G481,FALSE)*L481</f>
        <v>1.78181818181818</v>
      </c>
      <c r="K481" s="96">
        <f ca="1">HLOOKUP($H$5,'Met Data'!$O$2:$T$368,G481,FALSE)</f>
        <v>4.98855977845243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355</v>
      </c>
      <c r="H482" s="95">
        <f t="shared" ca="1" si="76"/>
        <v>45645</v>
      </c>
      <c r="I482" s="119">
        <f ca="1">HLOOKUP($H$5,'Met Data'!$A$2:$F$368,G482,FALSE)</f>
        <v>15.1863636363636</v>
      </c>
      <c r="J482" s="119">
        <f ca="1">HLOOKUP($H$5,'Met Data'!$H$2:$M$368,G482,FALSE)*L482</f>
        <v>4.1696969696969699</v>
      </c>
      <c r="K482" s="96">
        <f ca="1">HLOOKUP($H$5,'Met Data'!$O$2:$T$368,G482,FALSE)</f>
        <v>4.9791838222051101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356</v>
      </c>
      <c r="H483" s="95">
        <f t="shared" ca="1" si="76"/>
        <v>45646</v>
      </c>
      <c r="I483" s="119">
        <f ca="1">HLOOKUP($H$5,'Met Data'!$A$2:$F$368,G483,FALSE)</f>
        <v>14.9893480257116</v>
      </c>
      <c r="J483" s="119">
        <f ca="1">HLOOKUP($H$5,'Met Data'!$H$2:$M$368,G483,FALSE)*L483</f>
        <v>2.6030303030302999</v>
      </c>
      <c r="K483" s="96">
        <f ca="1">HLOOKUP($H$5,'Met Data'!$O$2:$T$368,G483,FALSE)</f>
        <v>5.3026714900844496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357</v>
      </c>
      <c r="H484" s="95">
        <f t="shared" ca="1" si="76"/>
        <v>45647</v>
      </c>
      <c r="I484" s="119">
        <f ca="1">HLOOKUP($H$5,'Met Data'!$A$2:$F$368,G484,FALSE)</f>
        <v>15.318181818181801</v>
      </c>
      <c r="J484" s="119">
        <f ca="1">HLOOKUP($H$5,'Met Data'!$H$2:$M$368,G484,FALSE)*L484</f>
        <v>2.1333333333333302</v>
      </c>
      <c r="K484" s="96">
        <f ca="1">HLOOKUP($H$5,'Met Data'!$O$2:$T$368,G484,FALSE)</f>
        <v>5.2799428567790896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358</v>
      </c>
      <c r="H485" s="95">
        <f t="shared" ca="1" si="76"/>
        <v>45648</v>
      </c>
      <c r="I485" s="119">
        <f ca="1">HLOOKUP($H$5,'Met Data'!$A$2:$F$368,G485,FALSE)</f>
        <v>15.1030303030303</v>
      </c>
      <c r="J485" s="119">
        <f ca="1">HLOOKUP($H$5,'Met Data'!$H$2:$M$368,G485,FALSE)*L485</f>
        <v>1.7606060606060601</v>
      </c>
      <c r="K485" s="96">
        <f ca="1">HLOOKUP($H$5,'Met Data'!$O$2:$T$368,G485,FALSE)</f>
        <v>4.9208206081117201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359</v>
      </c>
      <c r="H486" s="95">
        <f t="shared" ca="1" si="76"/>
        <v>45649</v>
      </c>
      <c r="I486" s="119">
        <f ca="1">HLOOKUP($H$5,'Met Data'!$A$2:$F$368,G486,FALSE)</f>
        <v>15.75</v>
      </c>
      <c r="J486" s="119">
        <f ca="1">HLOOKUP($H$5,'Met Data'!$H$2:$M$368,G486,FALSE)*L486</f>
        <v>0.44545454545454499</v>
      </c>
      <c r="K486" s="96">
        <f ca="1">HLOOKUP($H$5,'Met Data'!$O$2:$T$368,G486,FALSE)</f>
        <v>5.2220060011835203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360</v>
      </c>
      <c r="H487" s="95">
        <f t="shared" ca="1" si="76"/>
        <v>45650</v>
      </c>
      <c r="I487" s="119">
        <f ca="1">HLOOKUP($H$5,'Met Data'!$A$2:$F$368,G487,FALSE)</f>
        <v>15.801515151515099</v>
      </c>
      <c r="J487" s="119">
        <f ca="1">HLOOKUP($H$5,'Met Data'!$H$2:$M$368,G487,FALSE)*L487</f>
        <v>0.86969696969696897</v>
      </c>
      <c r="K487" s="96">
        <f ca="1">HLOOKUP($H$5,'Met Data'!$O$2:$T$368,G487,FALSE)</f>
        <v>5.4909304436539399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361</v>
      </c>
      <c r="H488" s="95">
        <f t="shared" ca="1" si="76"/>
        <v>45651</v>
      </c>
      <c r="I488" s="119">
        <f ca="1">HLOOKUP($H$5,'Met Data'!$A$2:$F$368,G488,FALSE)</f>
        <v>15.1378787878787</v>
      </c>
      <c r="J488" s="119">
        <f ca="1">HLOOKUP($H$5,'Met Data'!$H$2:$M$368,G488,FALSE)*L488</f>
        <v>0.68181818181818099</v>
      </c>
      <c r="K488" s="96">
        <f ca="1">HLOOKUP($H$5,'Met Data'!$O$2:$T$368,G488,FALSE)</f>
        <v>4.9163537354420397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362</v>
      </c>
      <c r="H489" s="95">
        <f t="shared" ca="1" si="76"/>
        <v>45652</v>
      </c>
      <c r="I489" s="119">
        <f ca="1">HLOOKUP($H$5,'Met Data'!$A$2:$F$368,G489,FALSE)</f>
        <v>16.901515151515099</v>
      </c>
      <c r="J489" s="119">
        <f ca="1">HLOOKUP($H$5,'Met Data'!$H$2:$M$368,G489,FALSE)*L489</f>
        <v>1.11818181818181</v>
      </c>
      <c r="K489" s="96">
        <f ca="1">HLOOKUP($H$5,'Met Data'!$O$2:$T$368,G489,FALSE)</f>
        <v>5.7188006673869101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363</v>
      </c>
      <c r="H490" s="95">
        <f t="shared" ca="1" si="76"/>
        <v>45653</v>
      </c>
      <c r="I490" s="119">
        <f ca="1">HLOOKUP($H$5,'Met Data'!$A$2:$F$368,G490,FALSE)</f>
        <v>17.143939393939299</v>
      </c>
      <c r="J490" s="119">
        <f ca="1">HLOOKUP($H$5,'Met Data'!$H$2:$M$368,G490,FALSE)*L490</f>
        <v>2.9666666666666601</v>
      </c>
      <c r="K490" s="96">
        <f ca="1">HLOOKUP($H$5,'Met Data'!$O$2:$T$368,G490,FALSE)</f>
        <v>5.7794443898681997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364</v>
      </c>
      <c r="H491" s="95">
        <f t="shared" ca="1" si="76"/>
        <v>45654</v>
      </c>
      <c r="I491" s="119">
        <f ca="1">HLOOKUP($H$5,'Met Data'!$A$2:$F$368,G491,FALSE)</f>
        <v>15.795454545454501</v>
      </c>
      <c r="J491" s="119">
        <f ca="1">HLOOKUP($H$5,'Met Data'!$H$2:$M$368,G491,FALSE)*L491</f>
        <v>1.01212121212121</v>
      </c>
      <c r="K491" s="96">
        <f ca="1">HLOOKUP($H$5,'Met Data'!$O$2:$T$368,G491,FALSE)</f>
        <v>4.8778466207725302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365</v>
      </c>
      <c r="H492" s="95">
        <f t="shared" ca="1" si="76"/>
        <v>45655</v>
      </c>
      <c r="I492" s="119">
        <f ca="1">HLOOKUP($H$5,'Met Data'!$A$2:$F$368,G492,FALSE)</f>
        <v>16.3359375</v>
      </c>
      <c r="J492" s="119">
        <f ca="1">HLOOKUP($H$5,'Met Data'!$H$2:$M$368,G492,FALSE)*L492</f>
        <v>2.5656249999999998</v>
      </c>
      <c r="K492" s="96">
        <f ca="1">HLOOKUP($H$5,'Met Data'!$O$2:$T$368,G492,FALSE)</f>
        <v>4.8055507109703601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366</v>
      </c>
      <c r="H493" s="95">
        <f t="shared" ca="1" si="76"/>
        <v>45656</v>
      </c>
      <c r="I493" s="119">
        <f ca="1">HLOOKUP($H$5,'Met Data'!$A$2:$F$368,G493,FALSE)</f>
        <v>15.832812499999999</v>
      </c>
      <c r="J493" s="119">
        <f ca="1">HLOOKUP($H$5,'Met Data'!$H$2:$M$368,G493,FALSE)*L493</f>
        <v>1.0062500000000001</v>
      </c>
      <c r="K493" s="96">
        <f ca="1">HLOOKUP($H$5,'Met Data'!$O$2:$T$368,G493,FALSE)</f>
        <v>5.3791049074685899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367</v>
      </c>
      <c r="H494" s="95">
        <f t="shared" ca="1" si="76"/>
        <v>45657</v>
      </c>
      <c r="I494" s="119">
        <f ca="1">HLOOKUP($H$5,'Met Data'!$A$2:$F$368,G494,FALSE)</f>
        <v>16.3</v>
      </c>
      <c r="J494" s="119">
        <f ca="1">HLOOKUP($H$5,'Met Data'!$H$2:$M$368,G494,FALSE)*L494</f>
        <v>2.4874999999999998</v>
      </c>
      <c r="K494" s="96">
        <f ca="1">HLOOKUP($H$5,'Met Data'!$O$2:$T$368,G494,FALSE)</f>
        <v>5.4752128018447301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ca="1" si="74"/>
        <v>2</v>
      </c>
      <c r="H495" s="95">
        <f t="shared" ca="1" si="76"/>
        <v>45658</v>
      </c>
      <c r="I495" s="119">
        <f ca="1">HLOOKUP($H$5,'Met Data'!$A$2:$F$368,G495,FALSE)</f>
        <v>16.179411764705801</v>
      </c>
      <c r="J495" s="119">
        <f ca="1">HLOOKUP($H$5,'Met Data'!$H$2:$M$368,G495,FALSE)*L495</f>
        <v>0.69411764705882295</v>
      </c>
      <c r="K495" s="96">
        <f ca="1">HLOOKUP($H$5,'Met Data'!$O$2:$T$368,G495,FALSE)</f>
        <v>5.6670911405215199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" thickBot="1">
      <c r="G496" s="3">
        <f t="shared" ca="1" si="74"/>
        <v>3</v>
      </c>
      <c r="H496" s="97">
        <f t="shared" ca="1" si="76"/>
        <v>45659</v>
      </c>
      <c r="I496" s="121">
        <f ca="1">HLOOKUP($H$5,'Met Data'!$A$2:$F$368,G496,FALSE)</f>
        <v>17.160294117646998</v>
      </c>
      <c r="J496" s="119">
        <f ca="1">HLOOKUP($H$5,'Met Data'!$H$2:$M$368,G496,FALSE)*L496</f>
        <v>1.5735294117647001</v>
      </c>
      <c r="K496" s="98">
        <f ca="1">HLOOKUP($H$5,'Met Data'!$O$2:$T$368,G496,FALSE)</f>
        <v>5.47016136211003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" thickBot="1">
      <c r="G497" s="3">
        <f t="shared" ref="G497:G560" ca="1" si="80">H497-DATE(YEAR(H497),1,0)+1</f>
        <v>4</v>
      </c>
      <c r="H497" s="97">
        <f t="shared" ca="1" si="76"/>
        <v>45660</v>
      </c>
      <c r="I497" s="121">
        <f ca="1">HLOOKUP($H$5,'Met Data'!$A$2:$F$368,G497,FALSE)</f>
        <v>16.8117647058823</v>
      </c>
      <c r="J497" s="119">
        <f ca="1">HLOOKUP($H$5,'Met Data'!$H$2:$M$368,G497,FALSE)*L497</f>
        <v>2.3529411764705799</v>
      </c>
      <c r="K497" s="98">
        <f ca="1">HLOOKUP($H$5,'Met Data'!$O$2:$T$368,G497,FALSE)</f>
        <v>5.5060411752421698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" thickBot="1">
      <c r="G498" s="3">
        <f t="shared" ca="1" si="80"/>
        <v>5</v>
      </c>
      <c r="H498" s="97">
        <f t="shared" ca="1" si="76"/>
        <v>45661</v>
      </c>
      <c r="I498" s="121">
        <f ca="1">HLOOKUP($H$5,'Met Data'!$A$2:$F$368,G498,FALSE)</f>
        <v>15.772058823529401</v>
      </c>
      <c r="J498" s="119">
        <f ca="1">HLOOKUP($H$5,'Met Data'!$H$2:$M$368,G498,FALSE)*L498</f>
        <v>1.96470588235294</v>
      </c>
      <c r="K498" s="98">
        <f ca="1">HLOOKUP($H$5,'Met Data'!$O$2:$T$368,G498,FALSE)</f>
        <v>4.9972624433289496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" thickBot="1">
      <c r="G499" s="3">
        <f t="shared" ca="1" si="80"/>
        <v>6</v>
      </c>
      <c r="H499" s="97">
        <f t="shared" ca="1" si="76"/>
        <v>45662</v>
      </c>
      <c r="I499" s="121">
        <f ca="1">HLOOKUP($H$5,'Met Data'!$A$2:$F$368,G499,FALSE)</f>
        <v>16.045588235294101</v>
      </c>
      <c r="J499" s="119">
        <f ca="1">HLOOKUP($H$5,'Met Data'!$H$2:$M$368,G499,FALSE)*L499</f>
        <v>1.5588235294117601</v>
      </c>
      <c r="K499" s="98">
        <f ca="1">HLOOKUP($H$5,'Met Data'!$O$2:$T$368,G499,FALSE)</f>
        <v>5.1481016165606404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" thickBot="1">
      <c r="G500" s="3">
        <f t="shared" ca="1" si="80"/>
        <v>7</v>
      </c>
      <c r="H500" s="97">
        <f t="shared" ca="1" si="76"/>
        <v>45663</v>
      </c>
      <c r="I500" s="121">
        <f ca="1">HLOOKUP($H$5,'Met Data'!$A$2:$F$368,G500,FALSE)</f>
        <v>16.1955882352941</v>
      </c>
      <c r="J500" s="119">
        <f ca="1">HLOOKUP($H$5,'Met Data'!$H$2:$M$368,G500,FALSE)*L500</f>
        <v>0.438235294117647</v>
      </c>
      <c r="K500" s="98">
        <f ca="1">HLOOKUP($H$5,'Met Data'!$O$2:$T$368,G500,FALSE)</f>
        <v>5.1335474577147604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" thickBot="1">
      <c r="G501" s="3">
        <f t="shared" ca="1" si="80"/>
        <v>8</v>
      </c>
      <c r="H501" s="97">
        <f t="shared" ca="1" si="76"/>
        <v>45664</v>
      </c>
      <c r="I501" s="121">
        <f ca="1">HLOOKUP($H$5,'Met Data'!$A$2:$F$368,G501,FALSE)</f>
        <v>17.395588235294099</v>
      </c>
      <c r="J501" s="119">
        <f ca="1">HLOOKUP($H$5,'Met Data'!$H$2:$M$368,G501,FALSE)*L501</f>
        <v>0.92647058823529405</v>
      </c>
      <c r="K501" s="98">
        <f ca="1">HLOOKUP($H$5,'Met Data'!$O$2:$T$368,G501,FALSE)</f>
        <v>5.4532643793489903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" thickBot="1">
      <c r="G502" s="3">
        <f t="shared" ca="1" si="80"/>
        <v>9</v>
      </c>
      <c r="H502" s="97">
        <f t="shared" ca="1" si="76"/>
        <v>45665</v>
      </c>
      <c r="I502" s="121">
        <f ca="1">HLOOKUP($H$5,'Met Data'!$A$2:$F$368,G502,FALSE)</f>
        <v>17.102249134948</v>
      </c>
      <c r="J502" s="119">
        <f ca="1">HLOOKUP($H$5,'Met Data'!$H$2:$M$368,G502,FALSE)*L502</f>
        <v>2.3176470588235198</v>
      </c>
      <c r="K502" s="98">
        <f ca="1">HLOOKUP($H$5,'Met Data'!$O$2:$T$368,G502,FALSE)</f>
        <v>5.57690448669634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" thickBot="1">
      <c r="G503" s="3">
        <f t="shared" ca="1" si="80"/>
        <v>10</v>
      </c>
      <c r="H503" s="97">
        <f t="shared" ca="1" si="76"/>
        <v>45666</v>
      </c>
      <c r="I503" s="121">
        <f ca="1">HLOOKUP($H$5,'Met Data'!$A$2:$F$368,G503,FALSE)</f>
        <v>16.213235294117599</v>
      </c>
      <c r="J503" s="119">
        <f ca="1">HLOOKUP($H$5,'Met Data'!$H$2:$M$368,G503,FALSE)*L503</f>
        <v>0.90882352941176403</v>
      </c>
      <c r="K503" s="98">
        <f ca="1">HLOOKUP($H$5,'Met Data'!$O$2:$T$368,G503,FALSE)</f>
        <v>5.14581424029529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" thickBot="1">
      <c r="G504" s="3">
        <f t="shared" ca="1" si="80"/>
        <v>11</v>
      </c>
      <c r="H504" s="97">
        <f t="shared" ca="1" si="76"/>
        <v>45667</v>
      </c>
      <c r="I504" s="121">
        <f ca="1">HLOOKUP($H$5,'Met Data'!$A$2:$F$368,G504,FALSE)</f>
        <v>15.8947058823529</v>
      </c>
      <c r="J504" s="119">
        <f ca="1">HLOOKUP($H$5,'Met Data'!$H$2:$M$368,G504,FALSE)*L504</f>
        <v>2.69999999999999</v>
      </c>
      <c r="K504" s="98">
        <f ca="1">HLOOKUP($H$5,'Met Data'!$O$2:$T$368,G504,FALSE)</f>
        <v>4.7411675639454902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" thickBot="1">
      <c r="G505" s="3">
        <f t="shared" ca="1" si="80"/>
        <v>12</v>
      </c>
      <c r="H505" s="97">
        <f t="shared" ca="1" si="76"/>
        <v>45668</v>
      </c>
      <c r="I505" s="121">
        <f ca="1">HLOOKUP($H$5,'Met Data'!$A$2:$F$368,G505,FALSE)</f>
        <v>16.250588235294099</v>
      </c>
      <c r="J505" s="119">
        <f ca="1">HLOOKUP($H$5,'Met Data'!$H$2:$M$368,G505,FALSE)*L505</f>
        <v>2.3529411764705799</v>
      </c>
      <c r="K505" s="98">
        <f ca="1">HLOOKUP($H$5,'Met Data'!$O$2:$T$368,G505,FALSE)</f>
        <v>4.6490051927409599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" thickBot="1">
      <c r="G506" s="3">
        <f t="shared" ca="1" si="80"/>
        <v>13</v>
      </c>
      <c r="H506" s="97">
        <f t="shared" ca="1" si="76"/>
        <v>45669</v>
      </c>
      <c r="I506" s="121">
        <f ca="1">HLOOKUP($H$5,'Met Data'!$A$2:$F$368,G506,FALSE)</f>
        <v>16.662352941176401</v>
      </c>
      <c r="J506" s="119">
        <f ca="1">HLOOKUP($H$5,'Met Data'!$H$2:$M$368,G506,FALSE)*L506</f>
        <v>2.74705882352941</v>
      </c>
      <c r="K506" s="98">
        <f ca="1">HLOOKUP($H$5,'Met Data'!$O$2:$T$368,G506,FALSE)</f>
        <v>4.8719680350014798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" thickBot="1">
      <c r="G507" s="3">
        <f t="shared" ca="1" si="80"/>
        <v>14</v>
      </c>
      <c r="H507" s="97">
        <f t="shared" ca="1" si="76"/>
        <v>45670</v>
      </c>
      <c r="I507" s="121">
        <f ca="1">HLOOKUP($H$5,'Met Data'!$A$2:$F$368,G507,FALSE)</f>
        <v>16.830882352941099</v>
      </c>
      <c r="J507" s="119">
        <f ca="1">HLOOKUP($H$5,'Met Data'!$H$2:$M$368,G507,FALSE)*L507</f>
        <v>1.29411764705882</v>
      </c>
      <c r="K507" s="98">
        <f ca="1">HLOOKUP($H$5,'Met Data'!$O$2:$T$368,G507,FALSE)</f>
        <v>5.1562686308583903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" thickBot="1">
      <c r="G508" s="3">
        <f t="shared" ca="1" si="80"/>
        <v>15</v>
      </c>
      <c r="H508" s="97">
        <f t="shared" ca="1" si="76"/>
        <v>45671</v>
      </c>
      <c r="I508" s="121">
        <f ca="1">HLOOKUP($H$5,'Met Data'!$A$2:$F$368,G508,FALSE)</f>
        <v>16.835294117646999</v>
      </c>
      <c r="J508" s="119">
        <f ca="1">HLOOKUP($H$5,'Met Data'!$H$2:$M$368,G508,FALSE)*L508</f>
        <v>0.93823529411764695</v>
      </c>
      <c r="K508" s="98">
        <f ca="1">HLOOKUP($H$5,'Met Data'!$O$2:$T$368,G508,FALSE)</f>
        <v>5.3875143634853799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" thickBot="1">
      <c r="G509" s="3">
        <f t="shared" ca="1" si="80"/>
        <v>16</v>
      </c>
      <c r="H509" s="97">
        <f t="shared" ca="1" si="76"/>
        <v>45672</v>
      </c>
      <c r="I509" s="121">
        <f ca="1">HLOOKUP($H$5,'Met Data'!$A$2:$F$368,G509,FALSE)</f>
        <v>17.335294117646999</v>
      </c>
      <c r="J509" s="119">
        <f ca="1">HLOOKUP($H$5,'Met Data'!$H$2:$M$368,G509,FALSE)*L509</f>
        <v>1.0911764705882301</v>
      </c>
      <c r="K509" s="98">
        <f ca="1">HLOOKUP($H$5,'Met Data'!$O$2:$T$368,G509,FALSE)</f>
        <v>5.8399033494252999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" thickBot="1">
      <c r="G510" s="3">
        <f t="shared" ca="1" si="80"/>
        <v>17</v>
      </c>
      <c r="H510" s="97">
        <f t="shared" ca="1" si="76"/>
        <v>45673</v>
      </c>
      <c r="I510" s="121">
        <f ca="1">HLOOKUP($H$5,'Met Data'!$A$2:$F$368,G510,FALSE)</f>
        <v>16.8279411764705</v>
      </c>
      <c r="J510" s="119">
        <f ca="1">HLOOKUP($H$5,'Met Data'!$H$2:$M$368,G510,FALSE)*L510</f>
        <v>0.77647058823529402</v>
      </c>
      <c r="K510" s="98">
        <f ca="1">HLOOKUP($H$5,'Met Data'!$O$2:$T$368,G510,FALSE)</f>
        <v>5.6587590306219901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" thickBot="1">
      <c r="G511" s="3">
        <f t="shared" ca="1" si="80"/>
        <v>18</v>
      </c>
      <c r="H511" s="97">
        <f t="shared" ca="1" si="76"/>
        <v>45674</v>
      </c>
      <c r="I511" s="121">
        <f ca="1">HLOOKUP($H$5,'Met Data'!$A$2:$F$368,G511,FALSE)</f>
        <v>16.722058823529402</v>
      </c>
      <c r="J511" s="119">
        <f ca="1">HLOOKUP($H$5,'Met Data'!$H$2:$M$368,G511,FALSE)*L511</f>
        <v>0.57058823529411695</v>
      </c>
      <c r="K511" s="98">
        <f ca="1">HLOOKUP($H$5,'Met Data'!$O$2:$T$368,G511,FALSE)</f>
        <v>5.3270431561074503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" thickBot="1">
      <c r="G512" s="3">
        <f t="shared" ca="1" si="80"/>
        <v>19</v>
      </c>
      <c r="H512" s="97">
        <f t="shared" ca="1" si="76"/>
        <v>45675</v>
      </c>
      <c r="I512" s="121">
        <f ca="1">HLOOKUP($H$5,'Met Data'!$A$2:$F$368,G512,FALSE)</f>
        <v>17.301470588235201</v>
      </c>
      <c r="J512" s="119">
        <f ca="1">HLOOKUP($H$5,'Met Data'!$H$2:$M$368,G512,FALSE)*L512</f>
        <v>3.48529411764705</v>
      </c>
      <c r="K512" s="98">
        <f ca="1">HLOOKUP($H$5,'Met Data'!$O$2:$T$368,G512,FALSE)</f>
        <v>5.0203920634541701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" thickBot="1">
      <c r="G513" s="3">
        <f t="shared" ca="1" si="80"/>
        <v>20</v>
      </c>
      <c r="H513" s="97">
        <f t="shared" ca="1" si="76"/>
        <v>45676</v>
      </c>
      <c r="I513" s="121">
        <f ca="1">HLOOKUP($H$5,'Met Data'!$A$2:$F$368,G513,FALSE)</f>
        <v>17.052941176470501</v>
      </c>
      <c r="J513" s="119">
        <f ca="1">HLOOKUP($H$5,'Met Data'!$H$2:$M$368,G513,FALSE)*L513</f>
        <v>0.99117647058823499</v>
      </c>
      <c r="K513" s="98">
        <f ca="1">HLOOKUP($H$5,'Met Data'!$O$2:$T$368,G513,FALSE)</f>
        <v>5.3707211610908496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" thickBot="1">
      <c r="G514" s="3">
        <f t="shared" ca="1" si="80"/>
        <v>21</v>
      </c>
      <c r="H514" s="97">
        <f t="shared" ca="1" si="76"/>
        <v>45677</v>
      </c>
      <c r="I514" s="121">
        <f ca="1">HLOOKUP($H$5,'Met Data'!$A$2:$F$368,G514,FALSE)</f>
        <v>15.9367647058823</v>
      </c>
      <c r="J514" s="119">
        <f ca="1">HLOOKUP($H$5,'Met Data'!$H$2:$M$368,G514,FALSE)*L514</f>
        <v>0.25588235294117601</v>
      </c>
      <c r="K514" s="98">
        <f ca="1">HLOOKUP($H$5,'Met Data'!$O$2:$T$368,G514,FALSE)</f>
        <v>5.3547882621027503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" thickBot="1">
      <c r="G515" s="3">
        <f t="shared" ca="1" si="80"/>
        <v>22</v>
      </c>
      <c r="H515" s="97">
        <f t="shared" ca="1" si="76"/>
        <v>45678</v>
      </c>
      <c r="I515" s="121">
        <f ca="1">HLOOKUP($H$5,'Met Data'!$A$2:$F$368,G515,FALSE)</f>
        <v>17.475000000000001</v>
      </c>
      <c r="J515" s="119">
        <f ca="1">HLOOKUP($H$5,'Met Data'!$H$2:$M$368,G515,FALSE)*L515</f>
        <v>0.35882352941176399</v>
      </c>
      <c r="K515" s="98">
        <f ca="1">HLOOKUP($H$5,'Met Data'!$O$2:$T$368,G515,FALSE)</f>
        <v>5.3930487438230301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" thickBot="1">
      <c r="G516" s="3">
        <f t="shared" ca="1" si="80"/>
        <v>23</v>
      </c>
      <c r="H516" s="97">
        <f t="shared" ca="1" si="76"/>
        <v>45679</v>
      </c>
      <c r="I516" s="121">
        <f ca="1">HLOOKUP($H$5,'Met Data'!$A$2:$F$368,G516,FALSE)</f>
        <v>18.2514705882352</v>
      </c>
      <c r="J516" s="119">
        <f ca="1">HLOOKUP($H$5,'Met Data'!$H$2:$M$368,G516,FALSE)*L516</f>
        <v>1.94705882352941</v>
      </c>
      <c r="K516" s="98">
        <f ca="1">HLOOKUP($H$5,'Met Data'!$O$2:$T$368,G516,FALSE)</f>
        <v>5.5152286930917596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" thickBot="1">
      <c r="G517" s="3">
        <f t="shared" ca="1" si="80"/>
        <v>24</v>
      </c>
      <c r="H517" s="97">
        <f t="shared" ca="1" si="76"/>
        <v>45680</v>
      </c>
      <c r="I517" s="121">
        <f ca="1">HLOOKUP($H$5,'Met Data'!$A$2:$F$368,G517,FALSE)</f>
        <v>17.176470588235201</v>
      </c>
      <c r="J517" s="119">
        <f ca="1">HLOOKUP($H$5,'Met Data'!$H$2:$M$368,G517,FALSE)*L517</f>
        <v>0.744117647058823</v>
      </c>
      <c r="K517" s="98">
        <f ca="1">HLOOKUP($H$5,'Met Data'!$O$2:$T$368,G517,FALSE)</f>
        <v>5.2065069869691296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" thickBot="1">
      <c r="G518" s="3">
        <f t="shared" ca="1" si="80"/>
        <v>25</v>
      </c>
      <c r="H518" s="97">
        <f t="shared" ca="1" si="76"/>
        <v>45681</v>
      </c>
      <c r="I518" s="121">
        <f ca="1">HLOOKUP($H$5,'Met Data'!$A$2:$F$368,G518,FALSE)</f>
        <v>16.835294117646999</v>
      </c>
      <c r="J518" s="119">
        <f ca="1">HLOOKUP($H$5,'Met Data'!$H$2:$M$368,G518,FALSE)*L518</f>
        <v>1.4117647058823499</v>
      </c>
      <c r="K518" s="98">
        <f ca="1">HLOOKUP($H$5,'Met Data'!$O$2:$T$368,G518,FALSE)</f>
        <v>4.7133252171052504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" thickBot="1">
      <c r="G519" s="3">
        <f t="shared" ca="1" si="80"/>
        <v>26</v>
      </c>
      <c r="H519" s="97">
        <f t="shared" ca="1" si="76"/>
        <v>45682</v>
      </c>
      <c r="I519" s="121">
        <f ca="1">HLOOKUP($H$5,'Met Data'!$A$2:$F$368,G519,FALSE)</f>
        <v>16.6941176470588</v>
      </c>
      <c r="J519" s="119">
        <f ca="1">HLOOKUP($H$5,'Met Data'!$H$2:$M$368,G519,FALSE)*L519</f>
        <v>1.25588235294117</v>
      </c>
      <c r="K519" s="98">
        <f ca="1">HLOOKUP($H$5,'Met Data'!$O$2:$T$368,G519,FALSE)</f>
        <v>4.3325050650897401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" thickBot="1">
      <c r="G520" s="3">
        <f t="shared" ca="1" si="80"/>
        <v>27</v>
      </c>
      <c r="H520" s="97">
        <f t="shared" ca="1" si="76"/>
        <v>45683</v>
      </c>
      <c r="I520" s="121">
        <f ca="1">HLOOKUP($H$5,'Met Data'!$A$2:$F$368,G520,FALSE)</f>
        <v>16.433823529411701</v>
      </c>
      <c r="J520" s="119">
        <f ca="1">HLOOKUP($H$5,'Met Data'!$H$2:$M$368,G520,FALSE)*L520</f>
        <v>0.91470588235294104</v>
      </c>
      <c r="K520" s="98">
        <f ca="1">HLOOKUP($H$5,'Met Data'!$O$2:$T$368,G520,FALSE)</f>
        <v>4.7335288521335803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" thickBot="1">
      <c r="G521" s="3">
        <f t="shared" ca="1" si="80"/>
        <v>28</v>
      </c>
      <c r="H521" s="97">
        <f t="shared" ref="H521:H584" ca="1" si="89">H520+1</f>
        <v>45684</v>
      </c>
      <c r="I521" s="121">
        <f ca="1">HLOOKUP($H$5,'Met Data'!$A$2:$F$368,G521,FALSE)</f>
        <v>16.332352941176399</v>
      </c>
      <c r="J521" s="119">
        <f ca="1">HLOOKUP($H$5,'Met Data'!$H$2:$M$368,G521,FALSE)*L521</f>
        <v>2.3441176470588201</v>
      </c>
      <c r="K521" s="98">
        <f ca="1">HLOOKUP($H$5,'Met Data'!$O$2:$T$368,G521,FALSE)</f>
        <v>4.92375694808094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" thickBot="1">
      <c r="G522" s="3">
        <f t="shared" ca="1" si="80"/>
        <v>29</v>
      </c>
      <c r="H522" s="97">
        <f t="shared" ca="1" si="89"/>
        <v>45685</v>
      </c>
      <c r="I522" s="121">
        <f ca="1">HLOOKUP($H$5,'Met Data'!$A$2:$F$368,G522,FALSE)</f>
        <v>17.044117647058801</v>
      </c>
      <c r="J522" s="119">
        <f ca="1">HLOOKUP($H$5,'Met Data'!$H$2:$M$368,G522,FALSE)*L522</f>
        <v>1.02941176470588</v>
      </c>
      <c r="K522" s="98">
        <f ca="1">HLOOKUP($H$5,'Met Data'!$O$2:$T$368,G522,FALSE)</f>
        <v>4.99641153289756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" thickBot="1">
      <c r="G523" s="3">
        <f t="shared" ca="1" si="80"/>
        <v>30</v>
      </c>
      <c r="H523" s="97">
        <f t="shared" ca="1" si="89"/>
        <v>45686</v>
      </c>
      <c r="I523" s="121">
        <f ca="1">HLOOKUP($H$5,'Met Data'!$A$2:$F$368,G523,FALSE)</f>
        <v>17.480882352941101</v>
      </c>
      <c r="J523" s="119">
        <f ca="1">HLOOKUP($H$5,'Met Data'!$H$2:$M$368,G523,FALSE)*L523</f>
        <v>6.4705882352941099E-2</v>
      </c>
      <c r="K523" s="98">
        <f ca="1">HLOOKUP($H$5,'Met Data'!$O$2:$T$368,G523,FALSE)</f>
        <v>5.19563668339761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" thickBot="1">
      <c r="G524" s="3">
        <f t="shared" ca="1" si="80"/>
        <v>31</v>
      </c>
      <c r="H524" s="97">
        <f t="shared" ca="1" si="89"/>
        <v>45687</v>
      </c>
      <c r="I524" s="121">
        <f ca="1">HLOOKUP($H$5,'Met Data'!$A$2:$F$368,G524,FALSE)</f>
        <v>18.010294117647</v>
      </c>
      <c r="J524" s="119">
        <f ca="1">HLOOKUP($H$5,'Met Data'!$H$2:$M$368,G524,FALSE)*L524</f>
        <v>0.61176470588235299</v>
      </c>
      <c r="K524" s="98">
        <f ca="1">HLOOKUP($H$5,'Met Data'!$O$2:$T$368,G524,FALSE)</f>
        <v>5.2986070991408996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" thickBot="1">
      <c r="G525" s="3">
        <f t="shared" ca="1" si="80"/>
        <v>32</v>
      </c>
      <c r="H525" s="97">
        <f t="shared" ca="1" si="89"/>
        <v>45688</v>
      </c>
      <c r="I525" s="121">
        <f ca="1">HLOOKUP($H$5,'Met Data'!$A$2:$F$368,G525,FALSE)</f>
        <v>18.1264705882352</v>
      </c>
      <c r="J525" s="119">
        <f ca="1">HLOOKUP($H$5,'Met Data'!$H$2:$M$368,G525,FALSE)*L525</f>
        <v>1.01176470588235</v>
      </c>
      <c r="K525" s="98">
        <f ca="1">HLOOKUP($H$5,'Met Data'!$O$2:$T$368,G525,FALSE)</f>
        <v>5.6287813361802304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" thickBot="1">
      <c r="G526" s="3">
        <f t="shared" ca="1" si="80"/>
        <v>33</v>
      </c>
      <c r="H526" s="97">
        <f t="shared" ca="1" si="89"/>
        <v>45689</v>
      </c>
      <c r="I526" s="121">
        <f ca="1">HLOOKUP($H$5,'Met Data'!$A$2:$F$368,G526,FALSE)</f>
        <v>17.5632352941176</v>
      </c>
      <c r="J526" s="119">
        <f ca="1">HLOOKUP($H$5,'Met Data'!$H$2:$M$368,G526,FALSE)*L526</f>
        <v>0.26764705882352902</v>
      </c>
      <c r="K526" s="98">
        <f ca="1">HLOOKUP($H$5,'Met Data'!$O$2:$T$368,G526,FALSE)</f>
        <v>5.5733898517327303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" thickBot="1">
      <c r="G527" s="3">
        <f t="shared" ca="1" si="80"/>
        <v>34</v>
      </c>
      <c r="H527" s="97">
        <f t="shared" ca="1" si="89"/>
        <v>45690</v>
      </c>
      <c r="I527" s="121">
        <f ca="1">HLOOKUP($H$5,'Met Data'!$A$2:$F$368,G527,FALSE)</f>
        <v>16.530882352941099</v>
      </c>
      <c r="J527" s="119">
        <f ca="1">HLOOKUP($H$5,'Met Data'!$H$2:$M$368,G527,FALSE)*L527</f>
        <v>1.22058823529411</v>
      </c>
      <c r="K527" s="98">
        <f ca="1">HLOOKUP($H$5,'Met Data'!$O$2:$T$368,G527,FALSE)</f>
        <v>4.8866884380741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" thickBot="1">
      <c r="G528" s="3">
        <f t="shared" ca="1" si="80"/>
        <v>35</v>
      </c>
      <c r="H528" s="97">
        <f t="shared" ca="1" si="89"/>
        <v>45691</v>
      </c>
      <c r="I528" s="121">
        <f ca="1">HLOOKUP($H$5,'Met Data'!$A$2:$F$368,G528,FALSE)</f>
        <v>16.339705882352899</v>
      </c>
      <c r="J528" s="119">
        <f ca="1">HLOOKUP($H$5,'Met Data'!$H$2:$M$368,G528,FALSE)*L528</f>
        <v>0.72352941176470498</v>
      </c>
      <c r="K528" s="98">
        <f ca="1">HLOOKUP($H$5,'Met Data'!$O$2:$T$368,G528,FALSE)</f>
        <v>4.6016509460585002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" thickBot="1">
      <c r="G529" s="3">
        <f t="shared" ca="1" si="80"/>
        <v>36</v>
      </c>
      <c r="H529" s="97">
        <f t="shared" ca="1" si="89"/>
        <v>45692</v>
      </c>
      <c r="I529" s="121">
        <f ca="1">HLOOKUP($H$5,'Met Data'!$A$2:$F$368,G529,FALSE)</f>
        <v>17.920588235294101</v>
      </c>
      <c r="J529" s="119">
        <f ca="1">HLOOKUP($H$5,'Met Data'!$H$2:$M$368,G529,FALSE)*L529</f>
        <v>1.75294117647058</v>
      </c>
      <c r="K529" s="98">
        <f ca="1">HLOOKUP($H$5,'Met Data'!$O$2:$T$368,G529,FALSE)</f>
        <v>5.2770860248475602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" thickBot="1">
      <c r="G530" s="3">
        <f t="shared" ca="1" si="80"/>
        <v>37</v>
      </c>
      <c r="H530" s="97">
        <f t="shared" ca="1" si="89"/>
        <v>45693</v>
      </c>
      <c r="I530" s="121">
        <f ca="1">HLOOKUP($H$5,'Met Data'!$A$2:$F$368,G530,FALSE)</f>
        <v>16.083823529411699</v>
      </c>
      <c r="J530" s="119">
        <f ca="1">HLOOKUP($H$5,'Met Data'!$H$2:$M$368,G530,FALSE)*L530</f>
        <v>2.20882352941176</v>
      </c>
      <c r="K530" s="98">
        <f ca="1">HLOOKUP($H$5,'Met Data'!$O$2:$T$368,G530,FALSE)</f>
        <v>4.27430593476155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" thickBot="1">
      <c r="G531" s="3">
        <f t="shared" ca="1" si="80"/>
        <v>38</v>
      </c>
      <c r="H531" s="97">
        <f t="shared" ca="1" si="89"/>
        <v>45694</v>
      </c>
      <c r="I531" s="121">
        <f ca="1">HLOOKUP($H$5,'Met Data'!$A$2:$F$368,G531,FALSE)</f>
        <v>16.539705882352902</v>
      </c>
      <c r="J531" s="119">
        <f ca="1">HLOOKUP($H$5,'Met Data'!$H$2:$M$368,G531,FALSE)*L531</f>
        <v>0.49117647058823499</v>
      </c>
      <c r="K531" s="98">
        <f ca="1">HLOOKUP($H$5,'Met Data'!$O$2:$T$368,G531,FALSE)</f>
        <v>4.96013704262971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" thickBot="1">
      <c r="G532" s="3">
        <f t="shared" ca="1" si="80"/>
        <v>39</v>
      </c>
      <c r="H532" s="97">
        <f t="shared" ca="1" si="89"/>
        <v>45695</v>
      </c>
      <c r="I532" s="121">
        <f ca="1">HLOOKUP($H$5,'Met Data'!$A$2:$F$368,G532,FALSE)</f>
        <v>16.527941176470499</v>
      </c>
      <c r="J532" s="119">
        <f ca="1">HLOOKUP($H$5,'Met Data'!$H$2:$M$368,G532,FALSE)*L532</f>
        <v>1.98235294117647</v>
      </c>
      <c r="K532" s="98">
        <f ca="1">HLOOKUP($H$5,'Met Data'!$O$2:$T$368,G532,FALSE)</f>
        <v>4.6946370204271801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" thickBot="1">
      <c r="G533" s="3">
        <f t="shared" ca="1" si="80"/>
        <v>40</v>
      </c>
      <c r="H533" s="97">
        <f t="shared" ca="1" si="89"/>
        <v>45696</v>
      </c>
      <c r="I533" s="121">
        <f ca="1">HLOOKUP($H$5,'Met Data'!$A$2:$F$368,G533,FALSE)</f>
        <v>16.855882352941101</v>
      </c>
      <c r="J533" s="119">
        <f ca="1">HLOOKUP($H$5,'Met Data'!$H$2:$M$368,G533,FALSE)*L533</f>
        <v>0.79411764705882304</v>
      </c>
      <c r="K533" s="98">
        <f ca="1">HLOOKUP($H$5,'Met Data'!$O$2:$T$368,G533,FALSE)</f>
        <v>5.0220708698278598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" thickBot="1">
      <c r="G534" s="3">
        <f t="shared" ca="1" si="80"/>
        <v>41</v>
      </c>
      <c r="H534" s="97">
        <f t="shared" ca="1" si="89"/>
        <v>45697</v>
      </c>
      <c r="I534" s="121">
        <f ca="1">HLOOKUP($H$5,'Met Data'!$A$2:$F$368,G534,FALSE)</f>
        <v>16.957352941176399</v>
      </c>
      <c r="J534" s="119">
        <f ca="1">HLOOKUP($H$5,'Met Data'!$H$2:$M$368,G534,FALSE)*L534</f>
        <v>1.1352941176470499</v>
      </c>
      <c r="K534" s="98">
        <f ca="1">HLOOKUP($H$5,'Met Data'!$O$2:$T$368,G534,FALSE)</f>
        <v>4.61421103176027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" thickBot="1">
      <c r="G535" s="3">
        <f t="shared" ca="1" si="80"/>
        <v>42</v>
      </c>
      <c r="H535" s="97">
        <f t="shared" ca="1" si="89"/>
        <v>45698</v>
      </c>
      <c r="I535" s="121">
        <f ca="1">HLOOKUP($H$5,'Met Data'!$A$2:$F$368,G535,FALSE)</f>
        <v>16.866176470588201</v>
      </c>
      <c r="J535" s="119">
        <f ca="1">HLOOKUP($H$5,'Met Data'!$H$2:$M$368,G535,FALSE)*L535</f>
        <v>0.77647058823529402</v>
      </c>
      <c r="K535" s="98">
        <f ca="1">HLOOKUP($H$5,'Met Data'!$O$2:$T$368,G535,FALSE)</f>
        <v>4.40551625163656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" thickBot="1">
      <c r="G536" s="3">
        <f t="shared" ca="1" si="80"/>
        <v>43</v>
      </c>
      <c r="H536" s="97">
        <f t="shared" ca="1" si="89"/>
        <v>45699</v>
      </c>
      <c r="I536" s="121">
        <f ca="1">HLOOKUP($H$5,'Met Data'!$A$2:$F$368,G536,FALSE)</f>
        <v>17.485294117647001</v>
      </c>
      <c r="J536" s="119">
        <f ca="1">HLOOKUP($H$5,'Met Data'!$H$2:$M$368,G536,FALSE)*L536</f>
        <v>1.0529411764705801</v>
      </c>
      <c r="K536" s="98">
        <f ca="1">HLOOKUP($H$5,'Met Data'!$O$2:$T$368,G536,FALSE)</f>
        <v>4.4685640225242098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" thickBot="1">
      <c r="G537" s="3">
        <f t="shared" ca="1" si="80"/>
        <v>44</v>
      </c>
      <c r="H537" s="97">
        <f t="shared" ca="1" si="89"/>
        <v>45700</v>
      </c>
      <c r="I537" s="121">
        <f ca="1">HLOOKUP($H$5,'Met Data'!$A$2:$F$368,G537,FALSE)</f>
        <v>17.980882352941101</v>
      </c>
      <c r="J537" s="119">
        <f ca="1">HLOOKUP($H$5,'Met Data'!$H$2:$M$368,G537,FALSE)*L537</f>
        <v>2.1735294117646999</v>
      </c>
      <c r="K537" s="98">
        <f ca="1">HLOOKUP($H$5,'Met Data'!$O$2:$T$368,G537,FALSE)</f>
        <v>4.3571116145332098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" thickBot="1">
      <c r="G538" s="3">
        <f t="shared" ca="1" si="80"/>
        <v>45</v>
      </c>
      <c r="H538" s="97">
        <f t="shared" ca="1" si="89"/>
        <v>45701</v>
      </c>
      <c r="I538" s="121">
        <f ca="1">HLOOKUP($H$5,'Met Data'!$A$2:$F$368,G538,FALSE)</f>
        <v>16.401470588235199</v>
      </c>
      <c r="J538" s="119">
        <f ca="1">HLOOKUP($H$5,'Met Data'!$H$2:$M$368,G538,FALSE)*L538</f>
        <v>1.78235294117647</v>
      </c>
      <c r="K538" s="98">
        <f ca="1">HLOOKUP($H$5,'Met Data'!$O$2:$T$368,G538,FALSE)</f>
        <v>3.9824902366083998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" thickBot="1">
      <c r="G539" s="3">
        <f t="shared" ca="1" si="80"/>
        <v>46</v>
      </c>
      <c r="H539" s="97">
        <f t="shared" ca="1" si="89"/>
        <v>45702</v>
      </c>
      <c r="I539" s="121">
        <f ca="1">HLOOKUP($H$5,'Met Data'!$A$2:$F$368,G539,FALSE)</f>
        <v>15.8867647058823</v>
      </c>
      <c r="J539" s="119">
        <f ca="1">HLOOKUP($H$5,'Met Data'!$H$2:$M$368,G539,FALSE)*L539</f>
        <v>2.5647058823529401</v>
      </c>
      <c r="K539" s="98">
        <f ca="1">HLOOKUP($H$5,'Met Data'!$O$2:$T$368,G539,FALSE)</f>
        <v>3.6699943049553201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" thickBot="1">
      <c r="G540" s="3">
        <f t="shared" ca="1" si="80"/>
        <v>47</v>
      </c>
      <c r="H540" s="97">
        <f t="shared" ca="1" si="89"/>
        <v>45703</v>
      </c>
      <c r="I540" s="121">
        <f ca="1">HLOOKUP($H$5,'Met Data'!$A$2:$F$368,G540,FALSE)</f>
        <v>15.4705882352941</v>
      </c>
      <c r="J540" s="119">
        <f ca="1">HLOOKUP($H$5,'Met Data'!$H$2:$M$368,G540,FALSE)*L540</f>
        <v>2.2558823529411698</v>
      </c>
      <c r="K540" s="98">
        <f ca="1">HLOOKUP($H$5,'Met Data'!$O$2:$T$368,G540,FALSE)</f>
        <v>4.0108603157722298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" thickBot="1">
      <c r="G541" s="3">
        <f t="shared" ca="1" si="80"/>
        <v>48</v>
      </c>
      <c r="H541" s="97">
        <f t="shared" ca="1" si="89"/>
        <v>45704</v>
      </c>
      <c r="I541" s="121">
        <f ca="1">HLOOKUP($H$5,'Met Data'!$A$2:$F$368,G541,FALSE)</f>
        <v>16.035294117646998</v>
      </c>
      <c r="J541" s="119">
        <f ca="1">HLOOKUP($H$5,'Met Data'!$H$2:$M$368,G541,FALSE)*L541</f>
        <v>1.3529411764705801</v>
      </c>
      <c r="K541" s="98">
        <f ca="1">HLOOKUP($H$5,'Met Data'!$O$2:$T$368,G541,FALSE)</f>
        <v>4.2159434978261299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" thickBot="1">
      <c r="G542" s="3">
        <f t="shared" ca="1" si="80"/>
        <v>49</v>
      </c>
      <c r="H542" s="97">
        <f t="shared" ca="1" si="89"/>
        <v>45705</v>
      </c>
      <c r="I542" s="121">
        <f ca="1">HLOOKUP($H$5,'Met Data'!$A$2:$F$368,G542,FALSE)</f>
        <v>17.155882352941099</v>
      </c>
      <c r="J542" s="119">
        <f ca="1">HLOOKUP($H$5,'Met Data'!$H$2:$M$368,G542,FALSE)*L542</f>
        <v>1.3794117647058799</v>
      </c>
      <c r="K542" s="98">
        <f ca="1">HLOOKUP($H$5,'Met Data'!$O$2:$T$368,G542,FALSE)</f>
        <v>4.4742152890515898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" thickBot="1">
      <c r="G543" s="3">
        <f t="shared" ca="1" si="80"/>
        <v>50</v>
      </c>
      <c r="H543" s="97">
        <f t="shared" ca="1" si="89"/>
        <v>45706</v>
      </c>
      <c r="I543" s="121">
        <f ca="1">HLOOKUP($H$5,'Met Data'!$A$2:$F$368,G543,FALSE)</f>
        <v>17.5720588235294</v>
      </c>
      <c r="J543" s="119">
        <f ca="1">HLOOKUP($H$5,'Met Data'!$H$2:$M$368,G543,FALSE)*L543</f>
        <v>2.15</v>
      </c>
      <c r="K543" s="98">
        <f ca="1">HLOOKUP($H$5,'Met Data'!$O$2:$T$368,G543,FALSE)</f>
        <v>4.8952010783751296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" thickBot="1">
      <c r="G544" s="3">
        <f t="shared" ca="1" si="80"/>
        <v>51</v>
      </c>
      <c r="H544" s="97">
        <f t="shared" ca="1" si="89"/>
        <v>45707</v>
      </c>
      <c r="I544" s="121">
        <f ca="1">HLOOKUP($H$5,'Met Data'!$A$2:$F$368,G544,FALSE)</f>
        <v>16.991176470588201</v>
      </c>
      <c r="J544" s="119">
        <f ca="1">HLOOKUP($H$5,'Met Data'!$H$2:$M$368,G544,FALSE)*L544</f>
        <v>0.64117647058823501</v>
      </c>
      <c r="K544" s="98">
        <f ca="1">HLOOKUP($H$5,'Met Data'!$O$2:$T$368,G544,FALSE)</f>
        <v>4.3668387336618597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" thickBot="1">
      <c r="G545" s="3">
        <f t="shared" ca="1" si="80"/>
        <v>52</v>
      </c>
      <c r="H545" s="97">
        <f t="shared" ca="1" si="89"/>
        <v>45708</v>
      </c>
      <c r="I545" s="121">
        <f ca="1">HLOOKUP($H$5,'Met Data'!$A$2:$F$368,G545,FALSE)</f>
        <v>16.655882352941099</v>
      </c>
      <c r="J545" s="119">
        <f ca="1">HLOOKUP($H$5,'Met Data'!$H$2:$M$368,G545,FALSE)*L545</f>
        <v>2.5705882352941098</v>
      </c>
      <c r="K545" s="98">
        <f ca="1">HLOOKUP($H$5,'Met Data'!$O$2:$T$368,G545,FALSE)</f>
        <v>4.6555880727780803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" thickBot="1">
      <c r="G546" s="3">
        <f t="shared" ca="1" si="80"/>
        <v>53</v>
      </c>
      <c r="H546" s="97">
        <f t="shared" ca="1" si="89"/>
        <v>45709</v>
      </c>
      <c r="I546" s="121">
        <f ca="1">HLOOKUP($H$5,'Met Data'!$A$2:$F$368,G546,FALSE)</f>
        <v>16.6955882352941</v>
      </c>
      <c r="J546" s="119">
        <f ca="1">HLOOKUP($H$5,'Met Data'!$H$2:$M$368,G546,FALSE)*L546</f>
        <v>0.76470588235294101</v>
      </c>
      <c r="K546" s="98">
        <f ca="1">HLOOKUP($H$5,'Met Data'!$O$2:$T$368,G546,FALSE)</f>
        <v>4.46937460417998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" thickBot="1">
      <c r="G547" s="3">
        <f t="shared" ca="1" si="80"/>
        <v>54</v>
      </c>
      <c r="H547" s="97">
        <f t="shared" ca="1" si="89"/>
        <v>45710</v>
      </c>
      <c r="I547" s="121">
        <f ca="1">HLOOKUP($H$5,'Met Data'!$A$2:$F$368,G547,FALSE)</f>
        <v>16.394117647058799</v>
      </c>
      <c r="J547" s="119">
        <f ca="1">HLOOKUP($H$5,'Met Data'!$H$2:$M$368,G547,FALSE)*L547</f>
        <v>1.52647058823529</v>
      </c>
      <c r="K547" s="98">
        <f ca="1">HLOOKUP($H$5,'Met Data'!$O$2:$T$368,G547,FALSE)</f>
        <v>4.4113780272088796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" thickBot="1">
      <c r="G548" s="3">
        <f t="shared" ca="1" si="80"/>
        <v>55</v>
      </c>
      <c r="H548" s="97">
        <f t="shared" ca="1" si="89"/>
        <v>45711</v>
      </c>
      <c r="I548" s="121">
        <f ca="1">HLOOKUP($H$5,'Met Data'!$A$2:$F$368,G548,FALSE)</f>
        <v>16.088235294117599</v>
      </c>
      <c r="J548" s="119">
        <f ca="1">HLOOKUP($H$5,'Met Data'!$H$2:$M$368,G548,FALSE)*L548</f>
        <v>1.78529411764705</v>
      </c>
      <c r="K548" s="98">
        <f ca="1">HLOOKUP($H$5,'Met Data'!$O$2:$T$368,G548,FALSE)</f>
        <v>3.9052160279772399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" thickBot="1">
      <c r="G549" s="3">
        <f t="shared" ca="1" si="80"/>
        <v>56</v>
      </c>
      <c r="H549" s="97">
        <f t="shared" ca="1" si="89"/>
        <v>45712</v>
      </c>
      <c r="I549" s="121">
        <f ca="1">HLOOKUP($H$5,'Met Data'!$A$2:$F$368,G549,FALSE)</f>
        <v>16.782352941176399</v>
      </c>
      <c r="J549" s="119">
        <f ca="1">HLOOKUP($H$5,'Met Data'!$H$2:$M$368,G549,FALSE)*L549</f>
        <v>1.6794117647058799</v>
      </c>
      <c r="K549" s="98">
        <f ca="1">HLOOKUP($H$5,'Met Data'!$O$2:$T$368,G549,FALSE)</f>
        <v>4.8281000917338197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" thickBot="1">
      <c r="G550" s="3">
        <f t="shared" ca="1" si="80"/>
        <v>57</v>
      </c>
      <c r="H550" s="97">
        <f t="shared" ca="1" si="89"/>
        <v>45713</v>
      </c>
      <c r="I550" s="121">
        <f ca="1">HLOOKUP($H$5,'Met Data'!$A$2:$F$368,G550,FALSE)</f>
        <v>16.1897058823529</v>
      </c>
      <c r="J550" s="119">
        <f ca="1">HLOOKUP($H$5,'Met Data'!$H$2:$M$368,G550,FALSE)*L550</f>
        <v>0.59411764705882297</v>
      </c>
      <c r="K550" s="98">
        <f ca="1">HLOOKUP($H$5,'Met Data'!$O$2:$T$368,G550,FALSE)</f>
        <v>4.4819172090086496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" thickBot="1">
      <c r="G551" s="3">
        <f t="shared" ca="1" si="80"/>
        <v>58</v>
      </c>
      <c r="H551" s="97">
        <f t="shared" ca="1" si="89"/>
        <v>45714</v>
      </c>
      <c r="I551" s="121">
        <f ca="1">HLOOKUP($H$5,'Met Data'!$A$2:$F$368,G551,FALSE)</f>
        <v>16.1941176470588</v>
      </c>
      <c r="J551" s="119">
        <f ca="1">HLOOKUP($H$5,'Met Data'!$H$2:$M$368,G551,FALSE)*L551</f>
        <v>1.93333333333333</v>
      </c>
      <c r="K551" s="98">
        <f ca="1">HLOOKUP($H$5,'Met Data'!$O$2:$T$368,G551,FALSE)</f>
        <v>4.3896941334323998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" thickBot="1">
      <c r="G552" s="3">
        <f t="shared" ca="1" si="80"/>
        <v>59</v>
      </c>
      <c r="H552" s="97">
        <f t="shared" ca="1" si="89"/>
        <v>45715</v>
      </c>
      <c r="I552" s="121">
        <f ca="1">HLOOKUP($H$5,'Met Data'!$A$2:$F$368,G552,FALSE)</f>
        <v>16.208823529411699</v>
      </c>
      <c r="J552" s="119">
        <f ca="1">HLOOKUP($H$5,'Met Data'!$H$2:$M$368,G552,FALSE)*L552</f>
        <v>1.1676470588235199</v>
      </c>
      <c r="K552" s="98">
        <f ca="1">HLOOKUP($H$5,'Met Data'!$O$2:$T$368,G552,FALSE)</f>
        <v>4.0964729959716299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" thickBot="1">
      <c r="G553" s="3">
        <f t="shared" ca="1" si="80"/>
        <v>60</v>
      </c>
      <c r="H553" s="97">
        <f t="shared" ca="1" si="89"/>
        <v>45716</v>
      </c>
      <c r="I553" s="121">
        <f ca="1">HLOOKUP($H$5,'Met Data'!$A$2:$F$368,G553,FALSE)</f>
        <v>16.074999999999999</v>
      </c>
      <c r="J553" s="119">
        <f ca="1">HLOOKUP($H$5,'Met Data'!$H$2:$M$368,G553,FALSE)*L553</f>
        <v>1.3352941176470501</v>
      </c>
      <c r="K553" s="98">
        <f ca="1">HLOOKUP($H$5,'Met Data'!$O$2:$T$368,G553,FALSE)</f>
        <v>4.1211840462926297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" thickBot="1">
      <c r="G554" s="3">
        <f t="shared" ca="1" si="80"/>
        <v>61</v>
      </c>
      <c r="H554" s="97">
        <f t="shared" ca="1" si="89"/>
        <v>45717</v>
      </c>
      <c r="I554" s="121">
        <f ca="1">HLOOKUP($H$5,'Met Data'!$A$2:$F$368,G554,FALSE)</f>
        <v>16.264705882352899</v>
      </c>
      <c r="J554" s="119">
        <f ca="1">HLOOKUP($H$5,'Met Data'!$H$2:$M$368,G554,FALSE)*L554</f>
        <v>0.48235294117646998</v>
      </c>
      <c r="K554" s="98">
        <f ca="1">HLOOKUP($H$5,'Met Data'!$O$2:$T$368,G554,FALSE)</f>
        <v>4.4835430215906102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" thickBot="1">
      <c r="G555" s="3">
        <f t="shared" ca="1" si="80"/>
        <v>62</v>
      </c>
      <c r="H555" s="97">
        <f t="shared" ca="1" si="89"/>
        <v>45718</v>
      </c>
      <c r="I555" s="121">
        <f ca="1">HLOOKUP($H$5,'Met Data'!$A$2:$F$368,G555,FALSE)</f>
        <v>15.9727272727272</v>
      </c>
      <c r="J555" s="119">
        <f ca="1">HLOOKUP($H$5,'Met Data'!$H$2:$M$368,G555,FALSE)*L555</f>
        <v>1.65151515151515</v>
      </c>
      <c r="K555" s="98">
        <f ca="1">HLOOKUP($H$5,'Met Data'!$O$2:$T$368,G555,FALSE)</f>
        <v>4.3251674269725902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" thickBot="1">
      <c r="G556" s="3">
        <f t="shared" ca="1" si="80"/>
        <v>63</v>
      </c>
      <c r="H556" s="97">
        <f t="shared" ca="1" si="89"/>
        <v>45719</v>
      </c>
      <c r="I556" s="121">
        <f ca="1">HLOOKUP($H$5,'Met Data'!$A$2:$F$368,G556,FALSE)</f>
        <v>15.216666666666599</v>
      </c>
      <c r="J556" s="119">
        <f ca="1">HLOOKUP($H$5,'Met Data'!$H$2:$M$368,G556,FALSE)*L556</f>
        <v>3.5272727272727198</v>
      </c>
      <c r="K556" s="98">
        <f ca="1">HLOOKUP($H$5,'Met Data'!$O$2:$T$368,G556,FALSE)</f>
        <v>3.8149865129266902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" thickBot="1">
      <c r="G557" s="3">
        <f t="shared" ca="1" si="80"/>
        <v>64</v>
      </c>
      <c r="H557" s="97">
        <f t="shared" ca="1" si="89"/>
        <v>45720</v>
      </c>
      <c r="I557" s="121">
        <f ca="1">HLOOKUP($H$5,'Met Data'!$A$2:$F$368,G557,FALSE)</f>
        <v>14.612121212121201</v>
      </c>
      <c r="J557" s="119">
        <f ca="1">HLOOKUP($H$5,'Met Data'!$H$2:$M$368,G557,FALSE)*L557</f>
        <v>2.1212121212121202</v>
      </c>
      <c r="K557" s="98">
        <f ca="1">HLOOKUP($H$5,'Met Data'!$O$2:$T$368,G557,FALSE)</f>
        <v>3.8891905260327699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" thickBot="1">
      <c r="G558" s="3">
        <f t="shared" ca="1" si="80"/>
        <v>65</v>
      </c>
      <c r="H558" s="97">
        <f t="shared" ca="1" si="89"/>
        <v>45721</v>
      </c>
      <c r="I558" s="121">
        <f ca="1">HLOOKUP($H$5,'Met Data'!$A$2:$F$368,G558,FALSE)</f>
        <v>15.7681818181818</v>
      </c>
      <c r="J558" s="119">
        <f ca="1">HLOOKUP($H$5,'Met Data'!$H$2:$M$368,G558,FALSE)*L558</f>
        <v>2.5606060606060601</v>
      </c>
      <c r="K558" s="98">
        <f ca="1">HLOOKUP($H$5,'Met Data'!$O$2:$T$368,G558,FALSE)</f>
        <v>4.10786263681889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" thickBot="1">
      <c r="G559" s="3">
        <f t="shared" ca="1" si="80"/>
        <v>66</v>
      </c>
      <c r="H559" s="97">
        <f t="shared" ca="1" si="89"/>
        <v>45722</v>
      </c>
      <c r="I559" s="121">
        <f ca="1">HLOOKUP($H$5,'Met Data'!$A$2:$F$368,G559,FALSE)</f>
        <v>15.9954545454545</v>
      </c>
      <c r="J559" s="119">
        <f ca="1">HLOOKUP($H$5,'Met Data'!$H$2:$M$368,G559,FALSE)*L559</f>
        <v>0.50303030303030305</v>
      </c>
      <c r="K559" s="98">
        <f ca="1">HLOOKUP($H$5,'Met Data'!$O$2:$T$368,G559,FALSE)</f>
        <v>4.0766889307448597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" thickBot="1">
      <c r="G560" s="3">
        <f t="shared" ca="1" si="80"/>
        <v>67</v>
      </c>
      <c r="H560" s="97">
        <f t="shared" ca="1" si="89"/>
        <v>45723</v>
      </c>
      <c r="I560" s="121">
        <f ca="1">HLOOKUP($H$5,'Met Data'!$A$2:$F$368,G560,FALSE)</f>
        <v>15.0166666666666</v>
      </c>
      <c r="J560" s="119">
        <f ca="1">HLOOKUP($H$5,'Met Data'!$H$2:$M$368,G560,FALSE)*L560</f>
        <v>0.884848484848484</v>
      </c>
      <c r="K560" s="98">
        <f ca="1">HLOOKUP($H$5,'Met Data'!$O$2:$T$368,G560,FALSE)</f>
        <v>3.8855543781492301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" thickBot="1">
      <c r="G561" s="3">
        <f t="shared" ref="G561:G624" ca="1" si="90">H561-DATE(YEAR(H561),1,0)+1</f>
        <v>68</v>
      </c>
      <c r="H561" s="97">
        <f t="shared" ca="1" si="89"/>
        <v>45724</v>
      </c>
      <c r="I561" s="121">
        <f ca="1">HLOOKUP($H$5,'Met Data'!$A$2:$F$368,G561,FALSE)</f>
        <v>15.3257575757575</v>
      </c>
      <c r="J561" s="119">
        <f ca="1">HLOOKUP($H$5,'Met Data'!$H$2:$M$368,G561,FALSE)*L561</f>
        <v>0.98787878787878702</v>
      </c>
      <c r="K561" s="98">
        <f ca="1">HLOOKUP($H$5,'Met Data'!$O$2:$T$368,G561,FALSE)</f>
        <v>3.6905019360086202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" thickBot="1">
      <c r="G562" s="3">
        <f t="shared" ca="1" si="90"/>
        <v>69</v>
      </c>
      <c r="H562" s="97">
        <f t="shared" ca="1" si="89"/>
        <v>45725</v>
      </c>
      <c r="I562" s="121">
        <f ca="1">HLOOKUP($H$5,'Met Data'!$A$2:$F$368,G562,FALSE)</f>
        <v>14.630303030303001</v>
      </c>
      <c r="J562" s="119">
        <f ca="1">HLOOKUP($H$5,'Met Data'!$H$2:$M$368,G562,FALSE)*L562</f>
        <v>0.82121212121212095</v>
      </c>
      <c r="K562" s="98">
        <f ca="1">HLOOKUP($H$5,'Met Data'!$O$2:$T$368,G562,FALSE)</f>
        <v>3.5528537387163399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" thickBot="1">
      <c r="G563" s="3">
        <f t="shared" ca="1" si="90"/>
        <v>70</v>
      </c>
      <c r="H563" s="97">
        <f t="shared" ca="1" si="89"/>
        <v>45726</v>
      </c>
      <c r="I563" s="121">
        <f ca="1">HLOOKUP($H$5,'Met Data'!$A$2:$F$368,G563,FALSE)</f>
        <v>15.7924242424242</v>
      </c>
      <c r="J563" s="119">
        <f ca="1">HLOOKUP($H$5,'Met Data'!$H$2:$M$368,G563,FALSE)*L563</f>
        <v>1.4909090909090901</v>
      </c>
      <c r="K563" s="98">
        <f ca="1">HLOOKUP($H$5,'Met Data'!$O$2:$T$368,G563,FALSE)</f>
        <v>3.7245673615528201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" thickBot="1">
      <c r="G564" s="3">
        <f t="shared" ca="1" si="90"/>
        <v>71</v>
      </c>
      <c r="H564" s="97">
        <f t="shared" ca="1" si="89"/>
        <v>45727</v>
      </c>
      <c r="I564" s="121">
        <f ca="1">HLOOKUP($H$5,'Met Data'!$A$2:$F$368,G564,FALSE)</f>
        <v>15.055882352941101</v>
      </c>
      <c r="J564" s="119">
        <f ca="1">HLOOKUP($H$5,'Met Data'!$H$2:$M$368,G564,FALSE)*L564</f>
        <v>1.93823529411764</v>
      </c>
      <c r="K564" s="98">
        <f ca="1">HLOOKUP($H$5,'Met Data'!$O$2:$T$368,G564,FALSE)</f>
        <v>3.2545752102886598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" thickBot="1">
      <c r="G565" s="3">
        <f t="shared" ca="1" si="90"/>
        <v>72</v>
      </c>
      <c r="H565" s="97">
        <f t="shared" ca="1" si="89"/>
        <v>45728</v>
      </c>
      <c r="I565" s="121">
        <f ca="1">HLOOKUP($H$5,'Met Data'!$A$2:$F$368,G565,FALSE)</f>
        <v>14.958823529411699</v>
      </c>
      <c r="J565" s="119">
        <f ca="1">HLOOKUP($H$5,'Met Data'!$H$2:$M$368,G565,FALSE)*L565</f>
        <v>3.24705882352941</v>
      </c>
      <c r="K565" s="98">
        <f ca="1">HLOOKUP($H$5,'Met Data'!$O$2:$T$368,G565,FALSE)</f>
        <v>3.17975180664317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" thickBot="1">
      <c r="G566" s="3">
        <f t="shared" ca="1" si="90"/>
        <v>73</v>
      </c>
      <c r="H566" s="97">
        <f t="shared" ca="1" si="89"/>
        <v>45729</v>
      </c>
      <c r="I566" s="121">
        <f ca="1">HLOOKUP($H$5,'Met Data'!$A$2:$F$368,G566,FALSE)</f>
        <v>15.205882352941099</v>
      </c>
      <c r="J566" s="119">
        <f ca="1">HLOOKUP($H$5,'Met Data'!$H$2:$M$368,G566,FALSE)*L566</f>
        <v>2.9088235294117601</v>
      </c>
      <c r="K566" s="98">
        <f ca="1">HLOOKUP($H$5,'Met Data'!$O$2:$T$368,G566,FALSE)</f>
        <v>3.3146668186599602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" thickBot="1">
      <c r="G567" s="3">
        <f t="shared" ca="1" si="90"/>
        <v>74</v>
      </c>
      <c r="H567" s="97">
        <f t="shared" ca="1" si="89"/>
        <v>45730</v>
      </c>
      <c r="I567" s="121">
        <f ca="1">HLOOKUP($H$5,'Met Data'!$A$2:$F$368,G567,FALSE)</f>
        <v>14.888235294117599</v>
      </c>
      <c r="J567" s="119">
        <f ca="1">HLOOKUP($H$5,'Met Data'!$H$2:$M$368,G567,FALSE)*L567</f>
        <v>2.2999999999999998</v>
      </c>
      <c r="K567" s="98">
        <f ca="1">HLOOKUP($H$5,'Met Data'!$O$2:$T$368,G567,FALSE)</f>
        <v>3.3312157637355302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" thickBot="1">
      <c r="G568" s="3">
        <f t="shared" ca="1" si="90"/>
        <v>75</v>
      </c>
      <c r="H568" s="97">
        <f t="shared" ca="1" si="89"/>
        <v>45731</v>
      </c>
      <c r="I568" s="121">
        <f ca="1">HLOOKUP($H$5,'Met Data'!$A$2:$F$368,G568,FALSE)</f>
        <v>14.9794117647058</v>
      </c>
      <c r="J568" s="119">
        <f ca="1">HLOOKUP($H$5,'Met Data'!$H$2:$M$368,G568,FALSE)*L568</f>
        <v>0.34411764705882297</v>
      </c>
      <c r="K568" s="98">
        <f ca="1">HLOOKUP($H$5,'Met Data'!$O$2:$T$368,G568,FALSE)</f>
        <v>3.9291146060483402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" thickBot="1">
      <c r="G569" s="3">
        <f t="shared" ca="1" si="90"/>
        <v>76</v>
      </c>
      <c r="H569" s="97">
        <f t="shared" ca="1" si="89"/>
        <v>45732</v>
      </c>
      <c r="I569" s="121">
        <f ca="1">HLOOKUP($H$5,'Met Data'!$A$2:$F$368,G569,FALSE)</f>
        <v>15</v>
      </c>
      <c r="J569" s="119">
        <f ca="1">HLOOKUP($H$5,'Met Data'!$H$2:$M$368,G569,FALSE)*L569</f>
        <v>1.3499999999999901</v>
      </c>
      <c r="K569" s="98">
        <f ca="1">HLOOKUP($H$5,'Met Data'!$O$2:$T$368,G569,FALSE)</f>
        <v>3.4649343661814198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" thickBot="1">
      <c r="G570" s="3">
        <f t="shared" ca="1" si="90"/>
        <v>77</v>
      </c>
      <c r="H570" s="97">
        <f t="shared" ca="1" si="89"/>
        <v>45733</v>
      </c>
      <c r="I570" s="121">
        <f ca="1">HLOOKUP($H$5,'Met Data'!$A$2:$F$368,G570,FALSE)</f>
        <v>14.8191176470588</v>
      </c>
      <c r="J570" s="119">
        <f ca="1">HLOOKUP($H$5,'Met Data'!$H$2:$M$368,G570,FALSE)*L570</f>
        <v>1.49117647058823</v>
      </c>
      <c r="K570" s="98">
        <f ca="1">HLOOKUP($H$5,'Met Data'!$O$2:$T$368,G570,FALSE)</f>
        <v>3.6481150031845502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" thickBot="1">
      <c r="G571" s="3">
        <f t="shared" ca="1" si="90"/>
        <v>78</v>
      </c>
      <c r="H571" s="97">
        <f t="shared" ca="1" si="89"/>
        <v>45734</v>
      </c>
      <c r="I571" s="121">
        <f ca="1">HLOOKUP($H$5,'Met Data'!$A$2:$F$368,G571,FALSE)</f>
        <v>13.742647058823501</v>
      </c>
      <c r="J571" s="119">
        <f ca="1">HLOOKUP($H$5,'Met Data'!$H$2:$M$368,G571,FALSE)*L571</f>
        <v>1.8470588235294101</v>
      </c>
      <c r="K571" s="98">
        <f ca="1">HLOOKUP($H$5,'Met Data'!$O$2:$T$368,G571,FALSE)</f>
        <v>3.23711449028497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" thickBot="1">
      <c r="G572" s="3">
        <f t="shared" ca="1" si="90"/>
        <v>79</v>
      </c>
      <c r="H572" s="97">
        <f t="shared" ca="1" si="89"/>
        <v>45735</v>
      </c>
      <c r="I572" s="121">
        <f ca="1">HLOOKUP($H$5,'Met Data'!$A$2:$F$368,G572,FALSE)</f>
        <v>14.5911764705882</v>
      </c>
      <c r="J572" s="119">
        <f ca="1">HLOOKUP($H$5,'Met Data'!$H$2:$M$368,G572,FALSE)*L572</f>
        <v>1.1617647058823499</v>
      </c>
      <c r="K572" s="98">
        <f ca="1">HLOOKUP($H$5,'Met Data'!$O$2:$T$368,G572,FALSE)</f>
        <v>3.5497173485221101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" thickBot="1">
      <c r="G573" s="3">
        <f t="shared" ca="1" si="90"/>
        <v>80</v>
      </c>
      <c r="H573" s="97">
        <f t="shared" ca="1" si="89"/>
        <v>45736</v>
      </c>
      <c r="I573" s="121">
        <f ca="1">HLOOKUP($H$5,'Met Data'!$A$2:$F$368,G573,FALSE)</f>
        <v>15.358823529411699</v>
      </c>
      <c r="J573" s="119">
        <f ca="1">HLOOKUP($H$5,'Met Data'!$H$2:$M$368,G573,FALSE)*L573</f>
        <v>0.66176470588235203</v>
      </c>
      <c r="K573" s="98">
        <f ca="1">HLOOKUP($H$5,'Met Data'!$O$2:$T$368,G573,FALSE)</f>
        <v>3.6735377917360399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" thickBot="1">
      <c r="G574" s="3">
        <f t="shared" ca="1" si="90"/>
        <v>81</v>
      </c>
      <c r="H574" s="97">
        <f t="shared" ca="1" si="89"/>
        <v>45737</v>
      </c>
      <c r="I574" s="121">
        <f ca="1">HLOOKUP($H$5,'Met Data'!$A$2:$F$368,G574,FALSE)</f>
        <v>14.954411764705799</v>
      </c>
      <c r="J574" s="119">
        <f ca="1">HLOOKUP($H$5,'Met Data'!$H$2:$M$368,G574,FALSE)*L574</f>
        <v>0.95588235294117596</v>
      </c>
      <c r="K574" s="98">
        <f ca="1">HLOOKUP($H$5,'Met Data'!$O$2:$T$368,G574,FALSE)</f>
        <v>3.2764370104371201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" thickBot="1">
      <c r="G575" s="3">
        <f t="shared" ca="1" si="90"/>
        <v>82</v>
      </c>
      <c r="H575" s="97">
        <f t="shared" ca="1" si="89"/>
        <v>45738</v>
      </c>
      <c r="I575" s="121">
        <f ca="1">HLOOKUP($H$5,'Met Data'!$A$2:$F$368,G575,FALSE)</f>
        <v>14.5426470588235</v>
      </c>
      <c r="J575" s="119">
        <f ca="1">HLOOKUP($H$5,'Met Data'!$H$2:$M$368,G575,FALSE)*L575</f>
        <v>1.0823529411764701</v>
      </c>
      <c r="K575" s="98">
        <f ca="1">HLOOKUP($H$5,'Met Data'!$O$2:$T$368,G575,FALSE)</f>
        <v>3.2063273498641101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" thickBot="1">
      <c r="G576" s="3">
        <f t="shared" ca="1" si="90"/>
        <v>83</v>
      </c>
      <c r="H576" s="97">
        <f t="shared" ca="1" si="89"/>
        <v>45739</v>
      </c>
      <c r="I576" s="121">
        <f ca="1">HLOOKUP($H$5,'Met Data'!$A$2:$F$368,G576,FALSE)</f>
        <v>13.9808823529411</v>
      </c>
      <c r="J576" s="119">
        <f ca="1">HLOOKUP($H$5,'Met Data'!$H$2:$M$368,G576,FALSE)*L576</f>
        <v>2.1911764705882302</v>
      </c>
      <c r="K576" s="98">
        <f ca="1">HLOOKUP($H$5,'Met Data'!$O$2:$T$368,G576,FALSE)</f>
        <v>2.9655145666728702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" thickBot="1">
      <c r="G577" s="3">
        <f t="shared" ca="1" si="90"/>
        <v>84</v>
      </c>
      <c r="H577" s="97">
        <f t="shared" ca="1" si="89"/>
        <v>45740</v>
      </c>
      <c r="I577" s="121">
        <f ca="1">HLOOKUP($H$5,'Met Data'!$A$2:$F$368,G577,FALSE)</f>
        <v>14.1040998217468</v>
      </c>
      <c r="J577" s="119">
        <f ca="1">HLOOKUP($H$5,'Met Data'!$H$2:$M$368,G577,FALSE)*L577</f>
        <v>1.0235294117647</v>
      </c>
      <c r="K577" s="98">
        <f ca="1">HLOOKUP($H$5,'Met Data'!$O$2:$T$368,G577,FALSE)</f>
        <v>3.1669873410987299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" thickBot="1">
      <c r="G578" s="3">
        <f t="shared" ca="1" si="90"/>
        <v>85</v>
      </c>
      <c r="H578" s="97">
        <f t="shared" ca="1" si="89"/>
        <v>45741</v>
      </c>
      <c r="I578" s="121">
        <f ca="1">HLOOKUP($H$5,'Met Data'!$A$2:$F$368,G578,FALSE)</f>
        <v>14.397058823529401</v>
      </c>
      <c r="J578" s="119">
        <f ca="1">HLOOKUP($H$5,'Met Data'!$H$2:$M$368,G578,FALSE)*L578</f>
        <v>2.0852941176470501</v>
      </c>
      <c r="K578" s="98">
        <f ca="1">HLOOKUP($H$5,'Met Data'!$O$2:$T$368,G578,FALSE)</f>
        <v>3.15831903524233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" thickBot="1">
      <c r="G579" s="3">
        <f t="shared" ca="1" si="90"/>
        <v>86</v>
      </c>
      <c r="H579" s="97">
        <f t="shared" ca="1" si="89"/>
        <v>45742</v>
      </c>
      <c r="I579" s="121">
        <f ca="1">HLOOKUP($H$5,'Met Data'!$A$2:$F$368,G579,FALSE)</f>
        <v>13.613235294117599</v>
      </c>
      <c r="J579" s="119">
        <f ca="1">HLOOKUP($H$5,'Met Data'!$H$2:$M$368,G579,FALSE)*L579</f>
        <v>0.36764705882352899</v>
      </c>
      <c r="K579" s="98">
        <f ca="1">HLOOKUP($H$5,'Met Data'!$O$2:$T$368,G579,FALSE)</f>
        <v>2.9834653601225298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" thickBot="1">
      <c r="G580" s="3">
        <f t="shared" ca="1" si="90"/>
        <v>87</v>
      </c>
      <c r="H580" s="97">
        <f t="shared" ca="1" si="89"/>
        <v>45743</v>
      </c>
      <c r="I580" s="121">
        <f ca="1">HLOOKUP($H$5,'Met Data'!$A$2:$F$368,G580,FALSE)</f>
        <v>14.4676470588235</v>
      </c>
      <c r="J580" s="119">
        <f ca="1">HLOOKUP($H$5,'Met Data'!$H$2:$M$368,G580,FALSE)*L580</f>
        <v>1.0823529411764701</v>
      </c>
      <c r="K580" s="98">
        <f ca="1">HLOOKUP($H$5,'Met Data'!$O$2:$T$368,G580,FALSE)</f>
        <v>2.8333092043964401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" thickBot="1">
      <c r="G581" s="3">
        <f t="shared" ca="1" si="90"/>
        <v>88</v>
      </c>
      <c r="H581" s="97">
        <f t="shared" ca="1" si="89"/>
        <v>45744</v>
      </c>
      <c r="I581" s="121">
        <f ca="1">HLOOKUP($H$5,'Met Data'!$A$2:$F$368,G581,FALSE)</f>
        <v>14.926470588235199</v>
      </c>
      <c r="J581" s="119">
        <f ca="1">HLOOKUP($H$5,'Met Data'!$H$2:$M$368,G581,FALSE)*L581</f>
        <v>0.94705882352941095</v>
      </c>
      <c r="K581" s="98">
        <f ca="1">HLOOKUP($H$5,'Met Data'!$O$2:$T$368,G581,FALSE)</f>
        <v>3.21972745270357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" thickBot="1">
      <c r="G582" s="3">
        <f t="shared" ca="1" si="90"/>
        <v>89</v>
      </c>
      <c r="H582" s="97">
        <f t="shared" ca="1" si="89"/>
        <v>45745</v>
      </c>
      <c r="I582" s="121">
        <f ca="1">HLOOKUP($H$5,'Met Data'!$A$2:$F$368,G582,FALSE)</f>
        <v>14.8691176470588</v>
      </c>
      <c r="J582" s="119">
        <f ca="1">HLOOKUP($H$5,'Met Data'!$H$2:$M$368,G582,FALSE)*L582</f>
        <v>1.0558823529411701</v>
      </c>
      <c r="K582" s="98">
        <f ca="1">HLOOKUP($H$5,'Met Data'!$O$2:$T$368,G582,FALSE)</f>
        <v>3.2466735955910102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" thickBot="1">
      <c r="G583" s="3">
        <f t="shared" ca="1" si="90"/>
        <v>90</v>
      </c>
      <c r="H583" s="97">
        <f t="shared" ca="1" si="89"/>
        <v>45746</v>
      </c>
      <c r="I583" s="121">
        <f ca="1">HLOOKUP($H$5,'Met Data'!$A$2:$F$368,G583,FALSE)</f>
        <v>14.9382352941176</v>
      </c>
      <c r="J583" s="119">
        <f ca="1">HLOOKUP($H$5,'Met Data'!$H$2:$M$368,G583,FALSE)*L583</f>
        <v>2.7852941176470498</v>
      </c>
      <c r="K583" s="98">
        <f ca="1">HLOOKUP($H$5,'Met Data'!$O$2:$T$368,G583,FALSE)</f>
        <v>3.4072037420100298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" thickBot="1">
      <c r="G584" s="3">
        <f t="shared" ca="1" si="90"/>
        <v>91</v>
      </c>
      <c r="H584" s="97">
        <f t="shared" ca="1" si="89"/>
        <v>45747</v>
      </c>
      <c r="I584" s="121">
        <f ca="1">HLOOKUP($H$5,'Met Data'!$A$2:$F$368,G584,FALSE)</f>
        <v>14.0308823529411</v>
      </c>
      <c r="J584" s="119">
        <f ca="1">HLOOKUP($H$5,'Met Data'!$H$2:$M$368,G584,FALSE)*L584</f>
        <v>1.8794117647058799</v>
      </c>
      <c r="K584" s="98">
        <f ca="1">HLOOKUP($H$5,'Met Data'!$O$2:$T$368,G584,FALSE)</f>
        <v>3.0552812923505202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" thickBot="1">
      <c r="G585" s="3">
        <f t="shared" ca="1" si="90"/>
        <v>92</v>
      </c>
      <c r="H585" s="97">
        <f t="shared" ref="H585:H648" ca="1" si="99">H584+1</f>
        <v>45748</v>
      </c>
      <c r="I585" s="121">
        <f ca="1">HLOOKUP($H$5,'Met Data'!$A$2:$F$368,G585,FALSE)</f>
        <v>13.4647058823529</v>
      </c>
      <c r="J585" s="119">
        <f ca="1">HLOOKUP($H$5,'Met Data'!$H$2:$M$368,G585,FALSE)*L585</f>
        <v>1.0852941176470501</v>
      </c>
      <c r="K585" s="98">
        <f ca="1">HLOOKUP($H$5,'Met Data'!$O$2:$T$368,G585,FALSE)</f>
        <v>3.01312511683413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" thickBot="1">
      <c r="G586" s="3">
        <f t="shared" ca="1" si="90"/>
        <v>93</v>
      </c>
      <c r="H586" s="97">
        <f t="shared" ca="1" si="99"/>
        <v>45749</v>
      </c>
      <c r="I586" s="121">
        <f ca="1">HLOOKUP($H$5,'Met Data'!$A$2:$F$368,G586,FALSE)</f>
        <v>14.017647058823499</v>
      </c>
      <c r="J586" s="119">
        <f ca="1">HLOOKUP($H$5,'Met Data'!$H$2:$M$368,G586,FALSE)*L586</f>
        <v>0.94117647058823495</v>
      </c>
      <c r="K586" s="98">
        <f ca="1">HLOOKUP($H$5,'Met Data'!$O$2:$T$368,G586,FALSE)</f>
        <v>3.2186093862229201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" thickBot="1">
      <c r="G587" s="3">
        <f t="shared" ca="1" si="90"/>
        <v>94</v>
      </c>
      <c r="H587" s="97">
        <f t="shared" ca="1" si="99"/>
        <v>45750</v>
      </c>
      <c r="I587" s="121">
        <f ca="1">HLOOKUP($H$5,'Met Data'!$A$2:$F$368,G587,FALSE)</f>
        <v>13.6090909090909</v>
      </c>
      <c r="J587" s="119">
        <f ca="1">HLOOKUP($H$5,'Met Data'!$H$2:$M$368,G587,FALSE)*L587</f>
        <v>1.49117647058823</v>
      </c>
      <c r="K587" s="98">
        <f ca="1">HLOOKUP($H$5,'Met Data'!$O$2:$T$368,G587,FALSE)</f>
        <v>3.07176916757397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" thickBot="1">
      <c r="G588" s="3">
        <f t="shared" ca="1" si="90"/>
        <v>95</v>
      </c>
      <c r="H588" s="97">
        <f t="shared" ca="1" si="99"/>
        <v>45751</v>
      </c>
      <c r="I588" s="121">
        <f ca="1">HLOOKUP($H$5,'Met Data'!$A$2:$F$368,G588,FALSE)</f>
        <v>13.085294117647001</v>
      </c>
      <c r="J588" s="119">
        <f ca="1">HLOOKUP($H$5,'Met Data'!$H$2:$M$368,G588,FALSE)*L588</f>
        <v>1.72941176470588</v>
      </c>
      <c r="K588" s="98">
        <f ca="1">HLOOKUP($H$5,'Met Data'!$O$2:$T$368,G588,FALSE)</f>
        <v>2.7784232053438802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" thickBot="1">
      <c r="G589" s="3">
        <f t="shared" ca="1" si="90"/>
        <v>96</v>
      </c>
      <c r="H589" s="97">
        <f t="shared" ca="1" si="99"/>
        <v>45752</v>
      </c>
      <c r="I589" s="121">
        <f ca="1">HLOOKUP($H$5,'Met Data'!$A$2:$F$368,G589,FALSE)</f>
        <v>12.85</v>
      </c>
      <c r="J589" s="119">
        <f ca="1">HLOOKUP($H$5,'Met Data'!$H$2:$M$368,G589,FALSE)*L589</f>
        <v>1.3441176470588201</v>
      </c>
      <c r="K589" s="98">
        <f ca="1">HLOOKUP($H$5,'Met Data'!$O$2:$T$368,G589,FALSE)</f>
        <v>2.61431180626996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" thickBot="1">
      <c r="G590" s="3">
        <f t="shared" ca="1" si="90"/>
        <v>97</v>
      </c>
      <c r="H590" s="97">
        <f t="shared" ca="1" si="99"/>
        <v>45753</v>
      </c>
      <c r="I590" s="121">
        <f ca="1">HLOOKUP($H$5,'Met Data'!$A$2:$F$368,G590,FALSE)</f>
        <v>12.9941176470588</v>
      </c>
      <c r="J590" s="119">
        <f ca="1">HLOOKUP($H$5,'Met Data'!$H$2:$M$368,G590,FALSE)*L590</f>
        <v>2.2911764705882298</v>
      </c>
      <c r="K590" s="98">
        <f ca="1">HLOOKUP($H$5,'Met Data'!$O$2:$T$368,G590,FALSE)</f>
        <v>2.55102036350638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" thickBot="1">
      <c r="G591" s="3">
        <f t="shared" ca="1" si="90"/>
        <v>98</v>
      </c>
      <c r="H591" s="97">
        <f t="shared" ca="1" si="99"/>
        <v>45754</v>
      </c>
      <c r="I591" s="121">
        <f ca="1">HLOOKUP($H$5,'Met Data'!$A$2:$F$368,G591,FALSE)</f>
        <v>12.891176470588199</v>
      </c>
      <c r="J591" s="119">
        <f ca="1">HLOOKUP($H$5,'Met Data'!$H$2:$M$368,G591,FALSE)*L591</f>
        <v>3.5058823529411698</v>
      </c>
      <c r="K591" s="98">
        <f ca="1">HLOOKUP($H$5,'Met Data'!$O$2:$T$368,G591,FALSE)</f>
        <v>2.5900977274770201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" thickBot="1">
      <c r="G592" s="3">
        <f t="shared" ca="1" si="90"/>
        <v>99</v>
      </c>
      <c r="H592" s="97">
        <f t="shared" ca="1" si="99"/>
        <v>45755</v>
      </c>
      <c r="I592" s="121">
        <f ca="1">HLOOKUP($H$5,'Met Data'!$A$2:$F$368,G592,FALSE)</f>
        <v>12.924999999999899</v>
      </c>
      <c r="J592" s="119">
        <f ca="1">HLOOKUP($H$5,'Met Data'!$H$2:$M$368,G592,FALSE)*L592</f>
        <v>2.1029411764705799</v>
      </c>
      <c r="K592" s="98">
        <f ca="1">HLOOKUP($H$5,'Met Data'!$O$2:$T$368,G592,FALSE)</f>
        <v>2.6944935581784701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" thickBot="1">
      <c r="G593" s="3">
        <f t="shared" ca="1" si="90"/>
        <v>100</v>
      </c>
      <c r="H593" s="97">
        <f t="shared" ca="1" si="99"/>
        <v>45756</v>
      </c>
      <c r="I593" s="121">
        <f ca="1">HLOOKUP($H$5,'Met Data'!$A$2:$F$368,G593,FALSE)</f>
        <v>12.363235294117599</v>
      </c>
      <c r="J593" s="119">
        <f ca="1">HLOOKUP($H$5,'Met Data'!$H$2:$M$368,G593,FALSE)*L593</f>
        <v>2.8117647058823501</v>
      </c>
      <c r="K593" s="98">
        <f ca="1">HLOOKUP($H$5,'Met Data'!$O$2:$T$368,G593,FALSE)</f>
        <v>2.27410330215878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" thickBot="1">
      <c r="G594" s="3">
        <f t="shared" ca="1" si="90"/>
        <v>101</v>
      </c>
      <c r="H594" s="97">
        <f t="shared" ca="1" si="99"/>
        <v>45757</v>
      </c>
      <c r="I594" s="121">
        <f ca="1">HLOOKUP($H$5,'Met Data'!$A$2:$F$368,G594,FALSE)</f>
        <v>11.3573529411764</v>
      </c>
      <c r="J594" s="119">
        <f ca="1">HLOOKUP($H$5,'Met Data'!$H$2:$M$368,G594,FALSE)*L594</f>
        <v>2.0676470588235198</v>
      </c>
      <c r="K594" s="98">
        <f ca="1">HLOOKUP($H$5,'Met Data'!$O$2:$T$368,G594,FALSE)</f>
        <v>2.42845739075634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" thickBot="1">
      <c r="G595" s="3">
        <f t="shared" ca="1" si="90"/>
        <v>102</v>
      </c>
      <c r="H595" s="97">
        <f t="shared" ca="1" si="99"/>
        <v>45758</v>
      </c>
      <c r="I595" s="121">
        <f ca="1">HLOOKUP($H$5,'Met Data'!$A$2:$F$368,G595,FALSE)</f>
        <v>11.6044117647058</v>
      </c>
      <c r="J595" s="119">
        <f ca="1">HLOOKUP($H$5,'Met Data'!$H$2:$M$368,G595,FALSE)*L595</f>
        <v>1.3794117647058799</v>
      </c>
      <c r="K595" s="98">
        <f ca="1">HLOOKUP($H$5,'Met Data'!$O$2:$T$368,G595,FALSE)</f>
        <v>2.30587050945396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" thickBot="1">
      <c r="G596" s="3">
        <f t="shared" ca="1" si="90"/>
        <v>103</v>
      </c>
      <c r="H596" s="97">
        <f t="shared" ca="1" si="99"/>
        <v>45759</v>
      </c>
      <c r="I596" s="121">
        <f ca="1">HLOOKUP($H$5,'Met Data'!$A$2:$F$368,G596,FALSE)</f>
        <v>11.445454545454499</v>
      </c>
      <c r="J596" s="119">
        <f ca="1">HLOOKUP($H$5,'Met Data'!$H$2:$M$368,G596,FALSE)*L596</f>
        <v>1.8117647058823501</v>
      </c>
      <c r="K596" s="98">
        <f ca="1">HLOOKUP($H$5,'Met Data'!$O$2:$T$368,G596,FALSE)</f>
        <v>2.1258259155745698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" thickBot="1">
      <c r="G597" s="3">
        <f t="shared" ca="1" si="90"/>
        <v>104</v>
      </c>
      <c r="H597" s="97">
        <f t="shared" ca="1" si="99"/>
        <v>45760</v>
      </c>
      <c r="I597" s="121">
        <f ca="1">HLOOKUP($H$5,'Met Data'!$A$2:$F$368,G597,FALSE)</f>
        <v>11.897058823529401</v>
      </c>
      <c r="J597" s="119">
        <f ca="1">HLOOKUP($H$5,'Met Data'!$H$2:$M$368,G597,FALSE)*L597</f>
        <v>1.4117647058823499</v>
      </c>
      <c r="K597" s="98">
        <f ca="1">HLOOKUP($H$5,'Met Data'!$O$2:$T$368,G597,FALSE)</f>
        <v>2.2855460299238599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" thickBot="1">
      <c r="G598" s="3">
        <f t="shared" ca="1" si="90"/>
        <v>105</v>
      </c>
      <c r="H598" s="97">
        <f t="shared" ca="1" si="99"/>
        <v>45761</v>
      </c>
      <c r="I598" s="121">
        <f ca="1">HLOOKUP($H$5,'Met Data'!$A$2:$F$368,G598,FALSE)</f>
        <v>11.5014705882352</v>
      </c>
      <c r="J598" s="119">
        <f ca="1">HLOOKUP($H$5,'Met Data'!$H$2:$M$368,G598,FALSE)*L598</f>
        <v>1.26470588235294</v>
      </c>
      <c r="K598" s="98">
        <f ca="1">HLOOKUP($H$5,'Met Data'!$O$2:$T$368,G598,FALSE)</f>
        <v>2.1675311808748998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" thickBot="1">
      <c r="G599" s="3">
        <f t="shared" ca="1" si="90"/>
        <v>106</v>
      </c>
      <c r="H599" s="97">
        <f t="shared" ca="1" si="99"/>
        <v>45762</v>
      </c>
      <c r="I599" s="121">
        <f ca="1">HLOOKUP($H$5,'Met Data'!$A$2:$F$368,G599,FALSE)</f>
        <v>12.461764705882301</v>
      </c>
      <c r="J599" s="119">
        <f ca="1">HLOOKUP($H$5,'Met Data'!$H$2:$M$368,G599,FALSE)*L599</f>
        <v>0.48529411764705799</v>
      </c>
      <c r="K599" s="98">
        <f ca="1">HLOOKUP($H$5,'Met Data'!$O$2:$T$368,G599,FALSE)</f>
        <v>2.6480171040382698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" thickBot="1">
      <c r="G600" s="3">
        <f t="shared" ca="1" si="90"/>
        <v>107</v>
      </c>
      <c r="H600" s="97">
        <f t="shared" ca="1" si="99"/>
        <v>45763</v>
      </c>
      <c r="I600" s="121">
        <f ca="1">HLOOKUP($H$5,'Met Data'!$A$2:$F$368,G600,FALSE)</f>
        <v>12.083823529411699</v>
      </c>
      <c r="J600" s="119">
        <f ca="1">HLOOKUP($H$5,'Met Data'!$H$2:$M$368,G600,FALSE)*L600</f>
        <v>1.1558823529411699</v>
      </c>
      <c r="K600" s="98">
        <f ca="1">HLOOKUP($H$5,'Met Data'!$O$2:$T$368,G600,FALSE)</f>
        <v>2.1774423034333599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" thickBot="1">
      <c r="G601" s="3">
        <f t="shared" ca="1" si="90"/>
        <v>108</v>
      </c>
      <c r="H601" s="97">
        <f t="shared" ca="1" si="99"/>
        <v>45764</v>
      </c>
      <c r="I601" s="121">
        <f ca="1">HLOOKUP($H$5,'Met Data'!$A$2:$F$368,G601,FALSE)</f>
        <v>12.307352941176401</v>
      </c>
      <c r="J601" s="119">
        <f ca="1">HLOOKUP($H$5,'Met Data'!$H$2:$M$368,G601,FALSE)*L601</f>
        <v>1.68823529411764</v>
      </c>
      <c r="K601" s="98">
        <f ca="1">HLOOKUP($H$5,'Met Data'!$O$2:$T$368,G601,FALSE)</f>
        <v>2.0825962231468602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" thickBot="1">
      <c r="G602" s="3">
        <f t="shared" ca="1" si="90"/>
        <v>109</v>
      </c>
      <c r="H602" s="97">
        <f t="shared" ca="1" si="99"/>
        <v>45765</v>
      </c>
      <c r="I602" s="121">
        <f ca="1">HLOOKUP($H$5,'Met Data'!$A$2:$F$368,G602,FALSE)</f>
        <v>11.5970588235294</v>
      </c>
      <c r="J602" s="119">
        <f ca="1">HLOOKUP($H$5,'Met Data'!$H$2:$M$368,G602,FALSE)*L602</f>
        <v>1.19117647058823</v>
      </c>
      <c r="K602" s="98">
        <f ca="1">HLOOKUP($H$5,'Met Data'!$O$2:$T$368,G602,FALSE)</f>
        <v>1.83123332157564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" thickBot="1">
      <c r="G603" s="3">
        <f t="shared" ca="1" si="90"/>
        <v>110</v>
      </c>
      <c r="H603" s="97">
        <f t="shared" ca="1" si="99"/>
        <v>45766</v>
      </c>
      <c r="I603" s="121">
        <f ca="1">HLOOKUP($H$5,'Met Data'!$A$2:$F$368,G603,FALSE)</f>
        <v>11.710294117647001</v>
      </c>
      <c r="J603" s="119">
        <f ca="1">HLOOKUP($H$5,'Met Data'!$H$2:$M$368,G603,FALSE)*L603</f>
        <v>0.876470588235294</v>
      </c>
      <c r="K603" s="98">
        <f ca="1">HLOOKUP($H$5,'Met Data'!$O$2:$T$368,G603,FALSE)</f>
        <v>1.9918324383127699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" thickBot="1">
      <c r="G604" s="3">
        <f t="shared" ca="1" si="90"/>
        <v>111</v>
      </c>
      <c r="H604" s="97">
        <f t="shared" ca="1" si="99"/>
        <v>45767</v>
      </c>
      <c r="I604" s="121">
        <f ca="1">HLOOKUP($H$5,'Met Data'!$A$2:$F$368,G604,FALSE)</f>
        <v>12.0897058823529</v>
      </c>
      <c r="J604" s="119">
        <f ca="1">HLOOKUP($H$5,'Met Data'!$H$2:$M$368,G604,FALSE)*L604</f>
        <v>1.6147058823529401</v>
      </c>
      <c r="K604" s="98">
        <f ca="1">HLOOKUP($H$5,'Met Data'!$O$2:$T$368,G604,FALSE)</f>
        <v>2.3214267905608299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" thickBot="1">
      <c r="G605" s="3">
        <f t="shared" ca="1" si="90"/>
        <v>112</v>
      </c>
      <c r="H605" s="97">
        <f t="shared" ca="1" si="99"/>
        <v>45768</v>
      </c>
      <c r="I605" s="121">
        <f ca="1">HLOOKUP($H$5,'Met Data'!$A$2:$F$368,G605,FALSE)</f>
        <v>11.1882352941176</v>
      </c>
      <c r="J605" s="119">
        <f ca="1">HLOOKUP($H$5,'Met Data'!$H$2:$M$368,G605,FALSE)*L605</f>
        <v>1.6352941176470499</v>
      </c>
      <c r="K605" s="98">
        <f ca="1">HLOOKUP($H$5,'Met Data'!$O$2:$T$368,G605,FALSE)</f>
        <v>1.88439420500637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" thickBot="1">
      <c r="G606" s="3">
        <f t="shared" ca="1" si="90"/>
        <v>113</v>
      </c>
      <c r="H606" s="97">
        <f t="shared" ca="1" si="99"/>
        <v>45769</v>
      </c>
      <c r="I606" s="121">
        <f ca="1">HLOOKUP($H$5,'Met Data'!$A$2:$F$368,G606,FALSE)</f>
        <v>11.0044117647058</v>
      </c>
      <c r="J606" s="119">
        <f ca="1">HLOOKUP($H$5,'Met Data'!$H$2:$M$368,G606,FALSE)*L606</f>
        <v>0.81176470588235194</v>
      </c>
      <c r="K606" s="98">
        <f ca="1">HLOOKUP($H$5,'Met Data'!$O$2:$T$368,G606,FALSE)</f>
        <v>1.9179571566201901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" thickBot="1">
      <c r="G607" s="3">
        <f t="shared" ca="1" si="90"/>
        <v>114</v>
      </c>
      <c r="H607" s="97">
        <f t="shared" ca="1" si="99"/>
        <v>45770</v>
      </c>
      <c r="I607" s="121">
        <f ca="1">HLOOKUP($H$5,'Met Data'!$A$2:$F$368,G607,FALSE)</f>
        <v>11.586764705882301</v>
      </c>
      <c r="J607" s="119">
        <f ca="1">HLOOKUP($H$5,'Met Data'!$H$2:$M$368,G607,FALSE)*L607</f>
        <v>0.77352941176470502</v>
      </c>
      <c r="K607" s="98">
        <f ca="1">HLOOKUP($H$5,'Met Data'!$O$2:$T$368,G607,FALSE)</f>
        <v>2.1115808573458499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" thickBot="1">
      <c r="G608" s="3">
        <f t="shared" ca="1" si="90"/>
        <v>115</v>
      </c>
      <c r="H608" s="97">
        <f t="shared" ca="1" si="99"/>
        <v>45771</v>
      </c>
      <c r="I608" s="121">
        <f ca="1">HLOOKUP($H$5,'Met Data'!$A$2:$F$368,G608,FALSE)</f>
        <v>10.9985294117647</v>
      </c>
      <c r="J608" s="119">
        <f ca="1">HLOOKUP($H$5,'Met Data'!$H$2:$M$368,G608,FALSE)*L608</f>
        <v>1.75294117647058</v>
      </c>
      <c r="K608" s="98">
        <f ca="1">HLOOKUP($H$5,'Met Data'!$O$2:$T$368,G608,FALSE)</f>
        <v>1.81614923585608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" thickBot="1">
      <c r="G609" s="3">
        <f t="shared" ca="1" si="90"/>
        <v>116</v>
      </c>
      <c r="H609" s="97">
        <f t="shared" ca="1" si="99"/>
        <v>45772</v>
      </c>
      <c r="I609" s="121">
        <f ca="1">HLOOKUP($H$5,'Met Data'!$A$2:$F$368,G609,FALSE)</f>
        <v>11.547058823529399</v>
      </c>
      <c r="J609" s="119">
        <f ca="1">HLOOKUP($H$5,'Met Data'!$H$2:$M$368,G609,FALSE)*L609</f>
        <v>1.70294117647058</v>
      </c>
      <c r="K609" s="98">
        <f ca="1">HLOOKUP($H$5,'Met Data'!$O$2:$T$368,G609,FALSE)</f>
        <v>1.8798608741396901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" thickBot="1">
      <c r="G610" s="3">
        <f t="shared" ca="1" si="90"/>
        <v>117</v>
      </c>
      <c r="H610" s="97">
        <f t="shared" ca="1" si="99"/>
        <v>45773</v>
      </c>
      <c r="I610" s="121">
        <f ca="1">HLOOKUP($H$5,'Met Data'!$A$2:$F$368,G610,FALSE)</f>
        <v>11.6955882352941</v>
      </c>
      <c r="J610" s="119">
        <f ca="1">HLOOKUP($H$5,'Met Data'!$H$2:$M$368,G610,FALSE)*L610</f>
        <v>0.41176470588235198</v>
      </c>
      <c r="K610" s="98">
        <f ca="1">HLOOKUP($H$5,'Met Data'!$O$2:$T$368,G610,FALSE)</f>
        <v>1.88699621875139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" thickBot="1">
      <c r="G611" s="3">
        <f t="shared" ca="1" si="90"/>
        <v>118</v>
      </c>
      <c r="H611" s="97">
        <f t="shared" ca="1" si="99"/>
        <v>45774</v>
      </c>
      <c r="I611" s="121">
        <f ca="1">HLOOKUP($H$5,'Met Data'!$A$2:$F$368,G611,FALSE)</f>
        <v>11.833823529411699</v>
      </c>
      <c r="J611" s="119">
        <f ca="1">HLOOKUP($H$5,'Met Data'!$H$2:$M$368,G611,FALSE)*L611</f>
        <v>1.79705882352941</v>
      </c>
      <c r="K611" s="98">
        <f ca="1">HLOOKUP($H$5,'Met Data'!$O$2:$T$368,G611,FALSE)</f>
        <v>1.76466679700699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" thickBot="1">
      <c r="G612" s="3">
        <f t="shared" ca="1" si="90"/>
        <v>119</v>
      </c>
      <c r="H612" s="97">
        <f t="shared" ca="1" si="99"/>
        <v>45775</v>
      </c>
      <c r="I612" s="121">
        <f ca="1">HLOOKUP($H$5,'Met Data'!$A$2:$F$368,G612,FALSE)</f>
        <v>12.1279411764705</v>
      </c>
      <c r="J612" s="119">
        <f ca="1">HLOOKUP($H$5,'Met Data'!$H$2:$M$368,G612,FALSE)*L612</f>
        <v>2.1588235294117601</v>
      </c>
      <c r="K612" s="98">
        <f ca="1">HLOOKUP($H$5,'Met Data'!$O$2:$T$368,G612,FALSE)</f>
        <v>1.95217239254561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" thickBot="1">
      <c r="G613" s="3">
        <f t="shared" ca="1" si="90"/>
        <v>120</v>
      </c>
      <c r="H613" s="97">
        <f t="shared" ca="1" si="99"/>
        <v>45776</v>
      </c>
      <c r="I613" s="121">
        <f ca="1">HLOOKUP($H$5,'Met Data'!$A$2:$F$368,G613,FALSE)</f>
        <v>10.824999999999999</v>
      </c>
      <c r="J613" s="119">
        <f ca="1">HLOOKUP($H$5,'Met Data'!$H$2:$M$368,G613,FALSE)*L613</f>
        <v>5.4352941176470502</v>
      </c>
      <c r="K613" s="98">
        <f ca="1">HLOOKUP($H$5,'Met Data'!$O$2:$T$368,G613,FALSE)</f>
        <v>1.6384329462009699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" thickBot="1">
      <c r="G614" s="3">
        <f t="shared" ca="1" si="90"/>
        <v>121</v>
      </c>
      <c r="H614" s="97">
        <f t="shared" ca="1" si="99"/>
        <v>45777</v>
      </c>
      <c r="I614" s="121">
        <f ca="1">HLOOKUP($H$5,'Met Data'!$A$2:$F$368,G614,FALSE)</f>
        <v>10.554411764705799</v>
      </c>
      <c r="J614" s="119">
        <f ca="1">HLOOKUP($H$5,'Met Data'!$H$2:$M$368,G614,FALSE)*L614</f>
        <v>2.5852941176470501</v>
      </c>
      <c r="K614" s="98">
        <f ca="1">HLOOKUP($H$5,'Met Data'!$O$2:$T$368,G614,FALSE)</f>
        <v>1.6462620711534199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" thickBot="1">
      <c r="G615" s="3">
        <f t="shared" ca="1" si="90"/>
        <v>122</v>
      </c>
      <c r="H615" s="97">
        <f t="shared" ca="1" si="99"/>
        <v>45778</v>
      </c>
      <c r="I615" s="121">
        <f ca="1">HLOOKUP($H$5,'Met Data'!$A$2:$F$368,G615,FALSE)</f>
        <v>10.2014705882352</v>
      </c>
      <c r="J615" s="119">
        <f ca="1">HLOOKUP($H$5,'Met Data'!$H$2:$M$368,G615,FALSE)*L615</f>
        <v>1.01176470588235</v>
      </c>
      <c r="K615" s="98">
        <f ca="1">HLOOKUP($H$5,'Met Data'!$O$2:$T$368,G615,FALSE)</f>
        <v>1.5886994013641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" thickBot="1">
      <c r="G616" s="3">
        <f t="shared" ca="1" si="90"/>
        <v>123</v>
      </c>
      <c r="H616" s="97">
        <f t="shared" ca="1" si="99"/>
        <v>45779</v>
      </c>
      <c r="I616" s="121">
        <f ca="1">HLOOKUP($H$5,'Met Data'!$A$2:$F$368,G616,FALSE)</f>
        <v>10.3191176470588</v>
      </c>
      <c r="J616" s="119">
        <f ca="1">HLOOKUP($H$5,'Met Data'!$H$2:$M$368,G616,FALSE)*L616</f>
        <v>0.91470588235294104</v>
      </c>
      <c r="K616" s="98">
        <f ca="1">HLOOKUP($H$5,'Met Data'!$O$2:$T$368,G616,FALSE)</f>
        <v>1.52724346363737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" thickBot="1">
      <c r="G617" s="3">
        <f t="shared" ca="1" si="90"/>
        <v>124</v>
      </c>
      <c r="H617" s="97">
        <f t="shared" ca="1" si="99"/>
        <v>45780</v>
      </c>
      <c r="I617" s="121">
        <f ca="1">HLOOKUP($H$5,'Met Data'!$A$2:$F$368,G617,FALSE)</f>
        <v>10.267647058823499</v>
      </c>
      <c r="J617" s="119">
        <f ca="1">HLOOKUP($H$5,'Met Data'!$H$2:$M$368,G617,FALSE)*L617</f>
        <v>0.91764705882352904</v>
      </c>
      <c r="K617" s="98">
        <f ca="1">HLOOKUP($H$5,'Met Data'!$O$2:$T$368,G617,FALSE)</f>
        <v>1.7604236957874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" thickBot="1">
      <c r="G618" s="3">
        <f t="shared" ca="1" si="90"/>
        <v>125</v>
      </c>
      <c r="H618" s="97">
        <f t="shared" ca="1" si="99"/>
        <v>45781</v>
      </c>
      <c r="I618" s="121">
        <f ca="1">HLOOKUP($H$5,'Met Data'!$A$2:$F$368,G618,FALSE)</f>
        <v>10.807352941176401</v>
      </c>
      <c r="J618" s="119">
        <f ca="1">HLOOKUP($H$5,'Met Data'!$H$2:$M$368,G618,FALSE)*L618</f>
        <v>1.78529411764705</v>
      </c>
      <c r="K618" s="98">
        <f ca="1">HLOOKUP($H$5,'Met Data'!$O$2:$T$368,G618,FALSE)</f>
        <v>1.87410891042832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" thickBot="1">
      <c r="G619" s="3">
        <f t="shared" ca="1" si="90"/>
        <v>126</v>
      </c>
      <c r="H619" s="97">
        <f t="shared" ca="1" si="99"/>
        <v>45782</v>
      </c>
      <c r="I619" s="121">
        <f ca="1">HLOOKUP($H$5,'Met Data'!$A$2:$F$368,G619,FALSE)</f>
        <v>10.7742424242424</v>
      </c>
      <c r="J619" s="119">
        <f ca="1">HLOOKUP($H$5,'Met Data'!$H$2:$M$368,G619,FALSE)*L619</f>
        <v>1.0941176470588201</v>
      </c>
      <c r="K619" s="98">
        <f ca="1">HLOOKUP($H$5,'Met Data'!$O$2:$T$368,G619,FALSE)</f>
        <v>1.5837713381857701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" thickBot="1">
      <c r="G620" s="3">
        <f t="shared" ca="1" si="90"/>
        <v>127</v>
      </c>
      <c r="H620" s="97">
        <f t="shared" ca="1" si="99"/>
        <v>45783</v>
      </c>
      <c r="I620" s="121">
        <f ca="1">HLOOKUP($H$5,'Met Data'!$A$2:$F$368,G620,FALSE)</f>
        <v>11.583823529411699</v>
      </c>
      <c r="J620" s="119">
        <f ca="1">HLOOKUP($H$5,'Met Data'!$H$2:$M$368,G620,FALSE)*L620</f>
        <v>3.2617647058823498</v>
      </c>
      <c r="K620" s="98">
        <f ca="1">HLOOKUP($H$5,'Met Data'!$O$2:$T$368,G620,FALSE)</f>
        <v>1.9285474517201799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" thickBot="1">
      <c r="G621" s="3">
        <f t="shared" ca="1" si="90"/>
        <v>128</v>
      </c>
      <c r="H621" s="97">
        <f t="shared" ca="1" si="99"/>
        <v>45784</v>
      </c>
      <c r="I621" s="121">
        <f ca="1">HLOOKUP($H$5,'Met Data'!$A$2:$F$368,G621,FALSE)</f>
        <v>11.138235294117599</v>
      </c>
      <c r="J621" s="119">
        <f ca="1">HLOOKUP($H$5,'Met Data'!$H$2:$M$368,G621,FALSE)*L621</f>
        <v>1.1176470588235199</v>
      </c>
      <c r="K621" s="98">
        <f ca="1">HLOOKUP($H$5,'Met Data'!$O$2:$T$368,G621,FALSE)</f>
        <v>1.69465579062546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" thickBot="1">
      <c r="G622" s="3">
        <f t="shared" ca="1" si="90"/>
        <v>129</v>
      </c>
      <c r="H622" s="97">
        <f t="shared" ca="1" si="99"/>
        <v>45785</v>
      </c>
      <c r="I622" s="121">
        <f ca="1">HLOOKUP($H$5,'Met Data'!$A$2:$F$368,G622,FALSE)</f>
        <v>10.079411764705799</v>
      </c>
      <c r="J622" s="119">
        <f ca="1">HLOOKUP($H$5,'Met Data'!$H$2:$M$368,G622,FALSE)*L622</f>
        <v>3.0588235294117601</v>
      </c>
      <c r="K622" s="98">
        <f ca="1">HLOOKUP($H$5,'Met Data'!$O$2:$T$368,G622,FALSE)</f>
        <v>1.6998944555739099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" thickBot="1">
      <c r="G623" s="3">
        <f t="shared" ca="1" si="90"/>
        <v>130</v>
      </c>
      <c r="H623" s="97">
        <f t="shared" ca="1" si="99"/>
        <v>45786</v>
      </c>
      <c r="I623" s="121">
        <f ca="1">HLOOKUP($H$5,'Met Data'!$A$2:$F$368,G623,FALSE)</f>
        <v>10.2279411764705</v>
      </c>
      <c r="J623" s="119">
        <f ca="1">HLOOKUP($H$5,'Met Data'!$H$2:$M$368,G623,FALSE)*L623</f>
        <v>0.78235294117647003</v>
      </c>
      <c r="K623" s="98">
        <f ca="1">HLOOKUP($H$5,'Met Data'!$O$2:$T$368,G623,FALSE)</f>
        <v>1.6080556103689001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" thickBot="1">
      <c r="G624" s="3">
        <f t="shared" ca="1" si="90"/>
        <v>131</v>
      </c>
      <c r="H624" s="97">
        <f t="shared" ca="1" si="99"/>
        <v>45787</v>
      </c>
      <c r="I624" s="121">
        <f ca="1">HLOOKUP($H$5,'Met Data'!$A$2:$F$368,G624,FALSE)</f>
        <v>10.1044117647058</v>
      </c>
      <c r="J624" s="119">
        <f ca="1">HLOOKUP($H$5,'Met Data'!$H$2:$M$368,G624,FALSE)*L624</f>
        <v>1.99411764705882</v>
      </c>
      <c r="K624" s="98">
        <f ca="1">HLOOKUP($H$5,'Met Data'!$O$2:$T$368,G624,FALSE)</f>
        <v>1.41413311869791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" thickBot="1">
      <c r="G625" s="3">
        <f t="shared" ref="G625:G688" ca="1" si="100">H625-DATE(YEAR(H625),1,0)+1</f>
        <v>132</v>
      </c>
      <c r="H625" s="97">
        <f t="shared" ca="1" si="99"/>
        <v>45788</v>
      </c>
      <c r="I625" s="121">
        <f ca="1">HLOOKUP($H$5,'Met Data'!$A$2:$F$368,G625,FALSE)</f>
        <v>10.4441176470588</v>
      </c>
      <c r="J625" s="119">
        <f ca="1">HLOOKUP($H$5,'Met Data'!$H$2:$M$368,G625,FALSE)*L625</f>
        <v>0.92058823529411704</v>
      </c>
      <c r="K625" s="98">
        <f ca="1">HLOOKUP($H$5,'Met Data'!$O$2:$T$368,G625,FALSE)</f>
        <v>1.66219643843515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" thickBot="1">
      <c r="G626" s="3">
        <f t="shared" ca="1" si="100"/>
        <v>133</v>
      </c>
      <c r="H626" s="97">
        <f t="shared" ca="1" si="99"/>
        <v>45789</v>
      </c>
      <c r="I626" s="121">
        <f ca="1">HLOOKUP($H$5,'Met Data'!$A$2:$F$368,G626,FALSE)</f>
        <v>10.801470588235199</v>
      </c>
      <c r="J626" s="119">
        <f ca="1">HLOOKUP($H$5,'Met Data'!$H$2:$M$368,G626,FALSE)*L626</f>
        <v>1.73823529411764</v>
      </c>
      <c r="K626" s="98">
        <f ca="1">HLOOKUP($H$5,'Met Data'!$O$2:$T$368,G626,FALSE)</f>
        <v>1.5723667757897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" thickBot="1">
      <c r="G627" s="3">
        <f t="shared" ca="1" si="100"/>
        <v>134</v>
      </c>
      <c r="H627" s="97">
        <f t="shared" ca="1" si="99"/>
        <v>45790</v>
      </c>
      <c r="I627" s="121">
        <f ca="1">HLOOKUP($H$5,'Met Data'!$A$2:$F$368,G627,FALSE)</f>
        <v>10.149999999999901</v>
      </c>
      <c r="J627" s="119">
        <f ca="1">HLOOKUP($H$5,'Met Data'!$H$2:$M$368,G627,FALSE)*L627</f>
        <v>1.23235294117647</v>
      </c>
      <c r="K627" s="98">
        <f ca="1">HLOOKUP($H$5,'Met Data'!$O$2:$T$368,G627,FALSE)</f>
        <v>1.62543661304557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" thickBot="1">
      <c r="G628" s="3">
        <f t="shared" ca="1" si="100"/>
        <v>135</v>
      </c>
      <c r="H628" s="97">
        <f t="shared" ca="1" si="99"/>
        <v>45791</v>
      </c>
      <c r="I628" s="121">
        <f ca="1">HLOOKUP($H$5,'Met Data'!$A$2:$F$368,G628,FALSE)</f>
        <v>10.029411764705801</v>
      </c>
      <c r="J628" s="119">
        <f ca="1">HLOOKUP($H$5,'Met Data'!$H$2:$M$368,G628,FALSE)*L628</f>
        <v>1.69705882352941</v>
      </c>
      <c r="K628" s="98">
        <f ca="1">HLOOKUP($H$5,'Met Data'!$O$2:$T$368,G628,FALSE)</f>
        <v>1.6139957133282601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" thickBot="1">
      <c r="G629" s="3">
        <f t="shared" ca="1" si="100"/>
        <v>136</v>
      </c>
      <c r="H629" s="97">
        <f t="shared" ca="1" si="99"/>
        <v>45792</v>
      </c>
      <c r="I629" s="121">
        <f ca="1">HLOOKUP($H$5,'Met Data'!$A$2:$F$368,G629,FALSE)</f>
        <v>9.6235294117647001</v>
      </c>
      <c r="J629" s="119">
        <f ca="1">HLOOKUP($H$5,'Met Data'!$H$2:$M$368,G629,FALSE)*L629</f>
        <v>1.51764705882352</v>
      </c>
      <c r="K629" s="98">
        <f ca="1">HLOOKUP($H$5,'Met Data'!$O$2:$T$368,G629,FALSE)</f>
        <v>1.6005498237626701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" thickBot="1">
      <c r="G630" s="3">
        <f t="shared" ca="1" si="100"/>
        <v>137</v>
      </c>
      <c r="H630" s="97">
        <f t="shared" ca="1" si="99"/>
        <v>45793</v>
      </c>
      <c r="I630" s="121">
        <f ca="1">HLOOKUP($H$5,'Met Data'!$A$2:$F$368,G630,FALSE)</f>
        <v>10.177941176470499</v>
      </c>
      <c r="J630" s="119">
        <f ca="1">HLOOKUP($H$5,'Met Data'!$H$2:$M$368,G630,FALSE)*L630</f>
        <v>2.0147058823529398</v>
      </c>
      <c r="K630" s="98">
        <f ca="1">HLOOKUP($H$5,'Met Data'!$O$2:$T$368,G630,FALSE)</f>
        <v>1.76114821084059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" thickBot="1">
      <c r="G631" s="3">
        <f t="shared" ca="1" si="100"/>
        <v>138</v>
      </c>
      <c r="H631" s="97">
        <f t="shared" ca="1" si="99"/>
        <v>45794</v>
      </c>
      <c r="I631" s="121">
        <f ca="1">HLOOKUP($H$5,'Met Data'!$A$2:$F$368,G631,FALSE)</f>
        <v>9.2779411764705806</v>
      </c>
      <c r="J631" s="119">
        <f ca="1">HLOOKUP($H$5,'Met Data'!$H$2:$M$368,G631,FALSE)*L631</f>
        <v>2.7235294117647002</v>
      </c>
      <c r="K631" s="98">
        <f ca="1">HLOOKUP($H$5,'Met Data'!$O$2:$T$368,G631,FALSE)</f>
        <v>1.51265723824432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" thickBot="1">
      <c r="G632" s="3">
        <f t="shared" ca="1" si="100"/>
        <v>139</v>
      </c>
      <c r="H632" s="97">
        <f t="shared" ca="1" si="99"/>
        <v>45795</v>
      </c>
      <c r="I632" s="121">
        <f ca="1">HLOOKUP($H$5,'Met Data'!$A$2:$F$368,G632,FALSE)</f>
        <v>9.0485294117647008</v>
      </c>
      <c r="J632" s="119">
        <f ca="1">HLOOKUP($H$5,'Met Data'!$H$2:$M$368,G632,FALSE)*L632</f>
        <v>1.5</v>
      </c>
      <c r="K632" s="98">
        <f ca="1">HLOOKUP($H$5,'Met Data'!$O$2:$T$368,G632,FALSE)</f>
        <v>1.42917243065086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" thickBot="1">
      <c r="G633" s="3">
        <f t="shared" ca="1" si="100"/>
        <v>140</v>
      </c>
      <c r="H633" s="97">
        <f t="shared" ca="1" si="99"/>
        <v>45796</v>
      </c>
      <c r="I633" s="121">
        <f ca="1">HLOOKUP($H$5,'Met Data'!$A$2:$F$368,G633,FALSE)</f>
        <v>9.3647058823529399</v>
      </c>
      <c r="J633" s="119">
        <f ca="1">HLOOKUP($H$5,'Met Data'!$H$2:$M$368,G633,FALSE)*L633</f>
        <v>1.5735294117647001</v>
      </c>
      <c r="K633" s="98">
        <f ca="1">HLOOKUP($H$5,'Met Data'!$O$2:$T$368,G633,FALSE)</f>
        <v>1.4324355889067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" thickBot="1">
      <c r="G634" s="3">
        <f t="shared" ca="1" si="100"/>
        <v>141</v>
      </c>
      <c r="H634" s="97">
        <f t="shared" ca="1" si="99"/>
        <v>45797</v>
      </c>
      <c r="I634" s="121">
        <f ca="1">HLOOKUP($H$5,'Met Data'!$A$2:$F$368,G634,FALSE)</f>
        <v>9.4352941176470502</v>
      </c>
      <c r="J634" s="119">
        <f ca="1">HLOOKUP($H$5,'Met Data'!$H$2:$M$368,G634,FALSE)*L634</f>
        <v>1.9352941176470499</v>
      </c>
      <c r="K634" s="98">
        <f ca="1">HLOOKUP($H$5,'Met Data'!$O$2:$T$368,G634,FALSE)</f>
        <v>1.4124835611223401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" thickBot="1">
      <c r="G635" s="3">
        <f t="shared" ca="1" si="100"/>
        <v>142</v>
      </c>
      <c r="H635" s="97">
        <f t="shared" ca="1" si="99"/>
        <v>45798</v>
      </c>
      <c r="I635" s="121">
        <f ca="1">HLOOKUP($H$5,'Met Data'!$A$2:$F$368,G635,FALSE)</f>
        <v>9.1705882352941099</v>
      </c>
      <c r="J635" s="119">
        <f ca="1">HLOOKUP($H$5,'Met Data'!$H$2:$M$368,G635,FALSE)*L635</f>
        <v>2.3529411764705799</v>
      </c>
      <c r="K635" s="98">
        <f ca="1">HLOOKUP($H$5,'Met Data'!$O$2:$T$368,G635,FALSE)</f>
        <v>1.2765511235284199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" thickBot="1">
      <c r="G636" s="3">
        <f t="shared" ca="1" si="100"/>
        <v>143</v>
      </c>
      <c r="H636" s="97">
        <f t="shared" ca="1" si="99"/>
        <v>45799</v>
      </c>
      <c r="I636" s="121">
        <f ca="1">HLOOKUP($H$5,'Met Data'!$A$2:$F$368,G636,FALSE)</f>
        <v>8.3529411764705799</v>
      </c>
      <c r="J636" s="119">
        <f ca="1">HLOOKUP($H$5,'Met Data'!$H$2:$M$368,G636,FALSE)*L636</f>
        <v>1.5852941176470501</v>
      </c>
      <c r="K636" s="98">
        <f ca="1">HLOOKUP($H$5,'Met Data'!$O$2:$T$368,G636,FALSE)</f>
        <v>1.1618550175400399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" thickBot="1">
      <c r="G637" s="3">
        <f t="shared" ca="1" si="100"/>
        <v>144</v>
      </c>
      <c r="H637" s="97">
        <f t="shared" ca="1" si="99"/>
        <v>45800</v>
      </c>
      <c r="I637" s="121">
        <f ca="1">HLOOKUP($H$5,'Met Data'!$A$2:$F$368,G637,FALSE)</f>
        <v>9.0132352941176404</v>
      </c>
      <c r="J637" s="119">
        <f ca="1">HLOOKUP($H$5,'Met Data'!$H$2:$M$368,G637,FALSE)*L637</f>
        <v>1.6205882352941099</v>
      </c>
      <c r="K637" s="98">
        <f ca="1">HLOOKUP($H$5,'Met Data'!$O$2:$T$368,G637,FALSE)</f>
        <v>1.3880525200190601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" thickBot="1">
      <c r="G638" s="3">
        <f t="shared" ca="1" si="100"/>
        <v>145</v>
      </c>
      <c r="H638" s="97">
        <f t="shared" ca="1" si="99"/>
        <v>45801</v>
      </c>
      <c r="I638" s="121">
        <f ca="1">HLOOKUP($H$5,'Met Data'!$A$2:$F$368,G638,FALSE)</f>
        <v>8.7911764705882298</v>
      </c>
      <c r="J638" s="119">
        <f ca="1">HLOOKUP($H$5,'Met Data'!$H$2:$M$368,G638,FALSE)*L638</f>
        <v>3.3764705882352901</v>
      </c>
      <c r="K638" s="98">
        <f ca="1">HLOOKUP($H$5,'Met Data'!$O$2:$T$368,G638,FALSE)</f>
        <v>1.28085602366637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" thickBot="1">
      <c r="G639" s="3">
        <f t="shared" ca="1" si="100"/>
        <v>146</v>
      </c>
      <c r="H639" s="97">
        <f t="shared" ca="1" si="99"/>
        <v>45802</v>
      </c>
      <c r="I639" s="121">
        <f ca="1">HLOOKUP($H$5,'Met Data'!$A$2:$F$368,G639,FALSE)</f>
        <v>8.3720588235294109</v>
      </c>
      <c r="J639" s="119">
        <f ca="1">HLOOKUP($H$5,'Met Data'!$H$2:$M$368,G639,FALSE)*L639</f>
        <v>1.9058823529411699</v>
      </c>
      <c r="K639" s="98">
        <f ca="1">HLOOKUP($H$5,'Met Data'!$O$2:$T$368,G639,FALSE)</f>
        <v>1.28602442078779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" thickBot="1">
      <c r="G640" s="3">
        <f t="shared" ca="1" si="100"/>
        <v>147</v>
      </c>
      <c r="H640" s="97">
        <f t="shared" ca="1" si="99"/>
        <v>45803</v>
      </c>
      <c r="I640" s="121">
        <f ca="1">HLOOKUP($H$5,'Met Data'!$A$2:$F$368,G640,FALSE)</f>
        <v>8.5632352941176393</v>
      </c>
      <c r="J640" s="119">
        <f ca="1">HLOOKUP($H$5,'Met Data'!$H$2:$M$368,G640,FALSE)*L640</f>
        <v>4.3794117647058801</v>
      </c>
      <c r="K640" s="98">
        <f ca="1">HLOOKUP($H$5,'Met Data'!$O$2:$T$368,G640,FALSE)</f>
        <v>1.33540018897607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" thickBot="1">
      <c r="G641" s="3">
        <f t="shared" ca="1" si="100"/>
        <v>148</v>
      </c>
      <c r="H641" s="97">
        <f t="shared" ca="1" si="99"/>
        <v>45804</v>
      </c>
      <c r="I641" s="121">
        <f ca="1">HLOOKUP($H$5,'Met Data'!$A$2:$F$368,G641,FALSE)</f>
        <v>8.4573529411764703</v>
      </c>
      <c r="J641" s="119">
        <f ca="1">HLOOKUP($H$5,'Met Data'!$H$2:$M$368,G641,FALSE)*L641</f>
        <v>0.997058823529411</v>
      </c>
      <c r="K641" s="98">
        <f ca="1">HLOOKUP($H$5,'Met Data'!$O$2:$T$368,G641,FALSE)</f>
        <v>1.45727309162839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" thickBot="1">
      <c r="G642" s="3">
        <f t="shared" ca="1" si="100"/>
        <v>149</v>
      </c>
      <c r="H642" s="97">
        <f t="shared" ca="1" si="99"/>
        <v>45805</v>
      </c>
      <c r="I642" s="121">
        <f ca="1">HLOOKUP($H$5,'Met Data'!$A$2:$F$368,G642,FALSE)</f>
        <v>8.1897058823529392</v>
      </c>
      <c r="J642" s="119">
        <f ca="1">HLOOKUP($H$5,'Met Data'!$H$2:$M$368,G642,FALSE)*L642</f>
        <v>2.3676470588235201</v>
      </c>
      <c r="K642" s="98">
        <f ca="1">HLOOKUP($H$5,'Met Data'!$O$2:$T$368,G642,FALSE)</f>
        <v>1.60616595463803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" thickBot="1">
      <c r="G643" s="3">
        <f t="shared" ca="1" si="100"/>
        <v>150</v>
      </c>
      <c r="H643" s="97">
        <f t="shared" ca="1" si="99"/>
        <v>45806</v>
      </c>
      <c r="I643" s="121">
        <f ca="1">HLOOKUP($H$5,'Met Data'!$A$2:$F$368,G643,FALSE)</f>
        <v>8.3764705882352892</v>
      </c>
      <c r="J643" s="119">
        <f ca="1">HLOOKUP($H$5,'Met Data'!$H$2:$M$368,G643,FALSE)*L643</f>
        <v>2.75</v>
      </c>
      <c r="K643" s="98">
        <f ca="1">HLOOKUP($H$5,'Met Data'!$O$2:$T$368,G643,FALSE)</f>
        <v>1.41028048478178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" thickBot="1">
      <c r="G644" s="3">
        <f t="shared" ca="1" si="100"/>
        <v>151</v>
      </c>
      <c r="H644" s="97">
        <f t="shared" ca="1" si="99"/>
        <v>45807</v>
      </c>
      <c r="I644" s="121">
        <f ca="1">HLOOKUP($H$5,'Met Data'!$A$2:$F$368,G644,FALSE)</f>
        <v>7.9235294117646999</v>
      </c>
      <c r="J644" s="119">
        <f ca="1">HLOOKUP($H$5,'Met Data'!$H$2:$M$368,G644,FALSE)*L644</f>
        <v>1.52647058823529</v>
      </c>
      <c r="K644" s="98">
        <f ca="1">HLOOKUP($H$5,'Met Data'!$O$2:$T$368,G644,FALSE)</f>
        <v>1.2181769845433199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" thickBot="1">
      <c r="G645" s="3">
        <f t="shared" ca="1" si="100"/>
        <v>152</v>
      </c>
      <c r="H645" s="97">
        <f t="shared" ca="1" si="99"/>
        <v>45808</v>
      </c>
      <c r="I645" s="121">
        <f ca="1">HLOOKUP($H$5,'Met Data'!$A$2:$F$368,G645,FALSE)</f>
        <v>7.9742424242424201</v>
      </c>
      <c r="J645" s="119">
        <f ca="1">HLOOKUP($H$5,'Met Data'!$H$2:$M$368,G645,FALSE)*L645</f>
        <v>0.65454545454545399</v>
      </c>
      <c r="K645" s="98">
        <f ca="1">HLOOKUP($H$5,'Met Data'!$O$2:$T$368,G645,FALSE)</f>
        <v>1.4140792042866701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" thickBot="1">
      <c r="G646" s="3">
        <f t="shared" ca="1" si="100"/>
        <v>153</v>
      </c>
      <c r="H646" s="97">
        <f t="shared" ca="1" si="99"/>
        <v>45809</v>
      </c>
      <c r="I646" s="121">
        <f ca="1">HLOOKUP($H$5,'Met Data'!$A$2:$F$368,G646,FALSE)</f>
        <v>8.0696969696969596</v>
      </c>
      <c r="J646" s="119">
        <f ca="1">HLOOKUP($H$5,'Met Data'!$H$2:$M$368,G646,FALSE)*L646</f>
        <v>2.6606060606060602</v>
      </c>
      <c r="K646" s="98">
        <f ca="1">HLOOKUP($H$5,'Met Data'!$O$2:$T$368,G646,FALSE)</f>
        <v>1.3648777039729501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" thickBot="1">
      <c r="G647" s="3">
        <f t="shared" ca="1" si="100"/>
        <v>154</v>
      </c>
      <c r="H647" s="97">
        <f t="shared" ca="1" si="99"/>
        <v>45810</v>
      </c>
      <c r="I647" s="121">
        <f ca="1">HLOOKUP($H$5,'Met Data'!$A$2:$F$368,G647,FALSE)</f>
        <v>7.75</v>
      </c>
      <c r="J647" s="119">
        <f ca="1">HLOOKUP($H$5,'Met Data'!$H$2:$M$368,G647,FALSE)*L647</f>
        <v>1.6818181818181801</v>
      </c>
      <c r="K647" s="98">
        <f ca="1">HLOOKUP($H$5,'Met Data'!$O$2:$T$368,G647,FALSE)</f>
        <v>1.1270486273289499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" thickBot="1">
      <c r="G648" s="3">
        <f t="shared" ca="1" si="100"/>
        <v>155</v>
      </c>
      <c r="H648" s="97">
        <f t="shared" ca="1" si="99"/>
        <v>45811</v>
      </c>
      <c r="I648" s="121">
        <f ca="1">HLOOKUP($H$5,'Met Data'!$A$2:$F$368,G648,FALSE)</f>
        <v>7.4484848484848403</v>
      </c>
      <c r="J648" s="119">
        <f ca="1">HLOOKUP($H$5,'Met Data'!$H$2:$M$368,G648,FALSE)*L648</f>
        <v>1.9090909090909001</v>
      </c>
      <c r="K648" s="98">
        <f ca="1">HLOOKUP($H$5,'Met Data'!$O$2:$T$368,G648,FALSE)</f>
        <v>1.25249803659369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" thickBot="1">
      <c r="G649" s="3">
        <f t="shared" ca="1" si="100"/>
        <v>156</v>
      </c>
      <c r="H649" s="97">
        <f t="shared" ref="H649:H712" ca="1" si="109">H648+1</f>
        <v>45812</v>
      </c>
      <c r="I649" s="121">
        <f ca="1">HLOOKUP($H$5,'Met Data'!$A$2:$F$368,G649,FALSE)</f>
        <v>7.27424242424242</v>
      </c>
      <c r="J649" s="119">
        <f ca="1">HLOOKUP($H$5,'Met Data'!$H$2:$M$368,G649,FALSE)*L649</f>
        <v>2.05151515151515</v>
      </c>
      <c r="K649" s="98">
        <f ca="1">HLOOKUP($H$5,'Met Data'!$O$2:$T$368,G649,FALSE)</f>
        <v>1.2350476326500801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" thickBot="1">
      <c r="G650" s="3">
        <f t="shared" ca="1" si="100"/>
        <v>157</v>
      </c>
      <c r="H650" s="97">
        <f t="shared" ca="1" si="109"/>
        <v>45813</v>
      </c>
      <c r="I650" s="121">
        <f ca="1">HLOOKUP($H$5,'Met Data'!$A$2:$F$368,G650,FALSE)</f>
        <v>7.1969696969696901</v>
      </c>
      <c r="J650" s="119">
        <f ca="1">HLOOKUP($H$5,'Met Data'!$H$2:$M$368,G650,FALSE)*L650</f>
        <v>1.2333333333333301</v>
      </c>
      <c r="K650" s="98">
        <f ca="1">HLOOKUP($H$5,'Met Data'!$O$2:$T$368,G650,FALSE)</f>
        <v>1.1815334376359199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" thickBot="1">
      <c r="G651" s="3">
        <f t="shared" ca="1" si="100"/>
        <v>158</v>
      </c>
      <c r="H651" s="97">
        <f t="shared" ca="1" si="109"/>
        <v>45814</v>
      </c>
      <c r="I651" s="121">
        <f ca="1">HLOOKUP($H$5,'Met Data'!$A$2:$F$368,G651,FALSE)</f>
        <v>6.8636363636363598</v>
      </c>
      <c r="J651" s="119">
        <f ca="1">HLOOKUP($H$5,'Met Data'!$H$2:$M$368,G651,FALSE)*L651</f>
        <v>1.3454545454545399</v>
      </c>
      <c r="K651" s="98">
        <f ca="1">HLOOKUP($H$5,'Met Data'!$O$2:$T$368,G651,FALSE)</f>
        <v>1.11819764768331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" thickBot="1">
      <c r="G652" s="3">
        <f t="shared" ca="1" si="100"/>
        <v>159</v>
      </c>
      <c r="H652" s="97">
        <f t="shared" ca="1" si="109"/>
        <v>45815</v>
      </c>
      <c r="I652" s="121">
        <f ca="1">HLOOKUP($H$5,'Met Data'!$A$2:$F$368,G652,FALSE)</f>
        <v>7.0772727272727201</v>
      </c>
      <c r="J652" s="119">
        <f ca="1">HLOOKUP($H$5,'Met Data'!$H$2:$M$368,G652,FALSE)*L652</f>
        <v>2.1393939393939299</v>
      </c>
      <c r="K652" s="98">
        <f ca="1">HLOOKUP($H$5,'Met Data'!$O$2:$T$368,G652,FALSE)</f>
        <v>1.2201388257180199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" thickBot="1">
      <c r="G653" s="3">
        <f t="shared" ca="1" si="100"/>
        <v>160</v>
      </c>
      <c r="H653" s="97">
        <f t="shared" ca="1" si="109"/>
        <v>45816</v>
      </c>
      <c r="I653" s="121">
        <f ca="1">HLOOKUP($H$5,'Met Data'!$A$2:$F$368,G653,FALSE)</f>
        <v>7.6151515151515099</v>
      </c>
      <c r="J653" s="119">
        <f ca="1">HLOOKUP($H$5,'Met Data'!$H$2:$M$368,G653,FALSE)*L653</f>
        <v>2.0727272727272701</v>
      </c>
      <c r="K653" s="98">
        <f ca="1">HLOOKUP($H$5,'Met Data'!$O$2:$T$368,G653,FALSE)</f>
        <v>1.26531828522689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" thickBot="1">
      <c r="G654" s="3">
        <f t="shared" ca="1" si="100"/>
        <v>161</v>
      </c>
      <c r="H654" s="97">
        <f t="shared" ca="1" si="109"/>
        <v>45817</v>
      </c>
      <c r="I654" s="121">
        <f ca="1">HLOOKUP($H$5,'Met Data'!$A$2:$F$368,G654,FALSE)</f>
        <v>7.8272727272727201</v>
      </c>
      <c r="J654" s="119">
        <f ca="1">HLOOKUP($H$5,'Met Data'!$H$2:$M$368,G654,FALSE)*L654</f>
        <v>1.4757575757575701</v>
      </c>
      <c r="K654" s="98">
        <f ca="1">HLOOKUP($H$5,'Met Data'!$O$2:$T$368,G654,FALSE)</f>
        <v>1.2369277599155599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" thickBot="1">
      <c r="G655" s="3">
        <f t="shared" ca="1" si="100"/>
        <v>162</v>
      </c>
      <c r="H655" s="97">
        <f t="shared" ca="1" si="109"/>
        <v>45818</v>
      </c>
      <c r="I655" s="121">
        <f ca="1">HLOOKUP($H$5,'Met Data'!$A$2:$F$368,G655,FALSE)</f>
        <v>7.8272727272727201</v>
      </c>
      <c r="J655" s="119">
        <f ca="1">HLOOKUP($H$5,'Met Data'!$H$2:$M$368,G655,FALSE)*L655</f>
        <v>1.8848484848484801</v>
      </c>
      <c r="K655" s="98">
        <f ca="1">HLOOKUP($H$5,'Met Data'!$O$2:$T$368,G655,FALSE)</f>
        <v>1.0943317227835101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" thickBot="1">
      <c r="G656" s="3">
        <f t="shared" ca="1" si="100"/>
        <v>163</v>
      </c>
      <c r="H656" s="97">
        <f t="shared" ca="1" si="109"/>
        <v>45819</v>
      </c>
      <c r="I656" s="121">
        <f ca="1">HLOOKUP($H$5,'Met Data'!$A$2:$F$368,G656,FALSE)</f>
        <v>7.6075757575757503</v>
      </c>
      <c r="J656" s="119">
        <f ca="1">HLOOKUP($H$5,'Met Data'!$H$2:$M$368,G656,FALSE)*L656</f>
        <v>1.28484848484848</v>
      </c>
      <c r="K656" s="98">
        <f ca="1">HLOOKUP($H$5,'Met Data'!$O$2:$T$368,G656,FALSE)</f>
        <v>1.2594125286590201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" thickBot="1">
      <c r="G657" s="3">
        <f t="shared" ca="1" si="100"/>
        <v>164</v>
      </c>
      <c r="H657" s="97">
        <f t="shared" ca="1" si="109"/>
        <v>45820</v>
      </c>
      <c r="I657" s="121">
        <f ca="1">HLOOKUP($H$5,'Met Data'!$A$2:$F$368,G657,FALSE)</f>
        <v>7.7030303030302996</v>
      </c>
      <c r="J657" s="119">
        <f ca="1">HLOOKUP($H$5,'Met Data'!$H$2:$M$368,G657,FALSE)*L657</f>
        <v>3.9121212121212099</v>
      </c>
      <c r="K657" s="98">
        <f ca="1">HLOOKUP($H$5,'Met Data'!$O$2:$T$368,G657,FALSE)</f>
        <v>1.3128498286819099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" thickBot="1">
      <c r="G658" s="3">
        <f t="shared" ca="1" si="100"/>
        <v>165</v>
      </c>
      <c r="H658" s="97">
        <f t="shared" ca="1" si="109"/>
        <v>45821</v>
      </c>
      <c r="I658" s="121">
        <f ca="1">HLOOKUP($H$5,'Met Data'!$A$2:$F$368,G658,FALSE)</f>
        <v>6.8681818181818102</v>
      </c>
      <c r="J658" s="119">
        <f ca="1">HLOOKUP($H$5,'Met Data'!$H$2:$M$368,G658,FALSE)*L658</f>
        <v>2.0303030303030298</v>
      </c>
      <c r="K658" s="98">
        <f ca="1">HLOOKUP($H$5,'Met Data'!$O$2:$T$368,G658,FALSE)</f>
        <v>1.1474480520873001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" thickBot="1">
      <c r="G659" s="3">
        <f t="shared" ca="1" si="100"/>
        <v>166</v>
      </c>
      <c r="H659" s="97">
        <f t="shared" ca="1" si="109"/>
        <v>45822</v>
      </c>
      <c r="I659" s="121">
        <f ca="1">HLOOKUP($H$5,'Met Data'!$A$2:$F$368,G659,FALSE)</f>
        <v>7.2318181818181797</v>
      </c>
      <c r="J659" s="119">
        <f ca="1">HLOOKUP($H$5,'Met Data'!$H$2:$M$368,G659,FALSE)*L659</f>
        <v>1.5575757575757501</v>
      </c>
      <c r="K659" s="98">
        <f ca="1">HLOOKUP($H$5,'Met Data'!$O$2:$T$368,G659,FALSE)</f>
        <v>1.2613045443409601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" thickBot="1">
      <c r="G660" s="3">
        <f t="shared" ca="1" si="100"/>
        <v>167</v>
      </c>
      <c r="H660" s="97">
        <f t="shared" ca="1" si="109"/>
        <v>45823</v>
      </c>
      <c r="I660" s="121">
        <f ca="1">HLOOKUP($H$5,'Met Data'!$A$2:$F$368,G660,FALSE)</f>
        <v>7.3390624999999998</v>
      </c>
      <c r="J660" s="119">
        <f ca="1">HLOOKUP($H$5,'Met Data'!$H$2:$M$368,G660,FALSE)*L660</f>
        <v>3.41818181818181</v>
      </c>
      <c r="K660" s="98">
        <f ca="1">HLOOKUP($H$5,'Met Data'!$O$2:$T$368,G660,FALSE)</f>
        <v>1.17147222127628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" thickBot="1">
      <c r="G661" s="3">
        <f t="shared" ca="1" si="100"/>
        <v>168</v>
      </c>
      <c r="H661" s="97">
        <f t="shared" ca="1" si="109"/>
        <v>45824</v>
      </c>
      <c r="I661" s="121">
        <f ca="1">HLOOKUP($H$5,'Met Data'!$A$2:$F$368,G661,FALSE)</f>
        <v>6.6624999999999996</v>
      </c>
      <c r="J661" s="119">
        <f ca="1">HLOOKUP($H$5,'Met Data'!$H$2:$M$368,G661,FALSE)*L661</f>
        <v>2.5727272727272701</v>
      </c>
      <c r="K661" s="98">
        <f ca="1">HLOOKUP($H$5,'Met Data'!$O$2:$T$368,G661,FALSE)</f>
        <v>1.0572111213197799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" thickBot="1">
      <c r="G662" s="3">
        <f t="shared" ca="1" si="100"/>
        <v>169</v>
      </c>
      <c r="H662" s="97">
        <f t="shared" ca="1" si="109"/>
        <v>45825</v>
      </c>
      <c r="I662" s="121">
        <f ca="1">HLOOKUP($H$5,'Met Data'!$A$2:$F$368,G662,FALSE)</f>
        <v>6.015625</v>
      </c>
      <c r="J662" s="119">
        <f ca="1">HLOOKUP($H$5,'Met Data'!$H$2:$M$368,G662,FALSE)*L662</f>
        <v>3.0060606060606001</v>
      </c>
      <c r="K662" s="98">
        <f ca="1">HLOOKUP($H$5,'Met Data'!$O$2:$T$368,G662,FALSE)</f>
        <v>1.0716644953435599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" thickBot="1">
      <c r="G663" s="3">
        <f t="shared" ca="1" si="100"/>
        <v>170</v>
      </c>
      <c r="H663" s="97">
        <f t="shared" ca="1" si="109"/>
        <v>45826</v>
      </c>
      <c r="I663" s="121">
        <f ca="1">HLOOKUP($H$5,'Met Data'!$A$2:$F$368,G663,FALSE)</f>
        <v>6.4772727272727204</v>
      </c>
      <c r="J663" s="119">
        <f ca="1">HLOOKUP($H$5,'Met Data'!$H$2:$M$368,G663,FALSE)*L663</f>
        <v>2.2727272727272698</v>
      </c>
      <c r="K663" s="98">
        <f ca="1">HLOOKUP($H$5,'Met Data'!$O$2:$T$368,G663,FALSE)</f>
        <v>1.12776465530811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" thickBot="1">
      <c r="G664" s="3">
        <f t="shared" ca="1" si="100"/>
        <v>171</v>
      </c>
      <c r="H664" s="97">
        <f t="shared" ca="1" si="109"/>
        <v>45827</v>
      </c>
      <c r="I664" s="121">
        <f ca="1">HLOOKUP($H$5,'Met Data'!$A$2:$F$368,G664,FALSE)</f>
        <v>6.3803030303030299</v>
      </c>
      <c r="J664" s="119">
        <f ca="1">HLOOKUP($H$5,'Met Data'!$H$2:$M$368,G664,FALSE)*L664</f>
        <v>2.1939393939393899</v>
      </c>
      <c r="K664" s="98">
        <f ca="1">HLOOKUP($H$5,'Met Data'!$O$2:$T$368,G664,FALSE)</f>
        <v>1.1020204232536399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" thickBot="1">
      <c r="G665" s="3">
        <f t="shared" ca="1" si="100"/>
        <v>172</v>
      </c>
      <c r="H665" s="97">
        <f t="shared" ca="1" si="109"/>
        <v>45828</v>
      </c>
      <c r="I665" s="121">
        <f ca="1">HLOOKUP($H$5,'Met Data'!$A$2:$F$368,G665,FALSE)</f>
        <v>6.4439393939393899</v>
      </c>
      <c r="J665" s="119">
        <f ca="1">HLOOKUP($H$5,'Met Data'!$H$2:$M$368,G665,FALSE)*L665</f>
        <v>2.1121212121212101</v>
      </c>
      <c r="K665" s="98">
        <f ca="1">HLOOKUP($H$5,'Met Data'!$O$2:$T$368,G665,FALSE)</f>
        <v>1.0991176814324299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" thickBot="1">
      <c r="G666" s="3">
        <f t="shared" ca="1" si="100"/>
        <v>173</v>
      </c>
      <c r="H666" s="97">
        <f t="shared" ca="1" si="109"/>
        <v>45829</v>
      </c>
      <c r="I666" s="121">
        <f ca="1">HLOOKUP($H$5,'Met Data'!$A$2:$F$368,G666,FALSE)</f>
        <v>6.5606060606060597</v>
      </c>
      <c r="J666" s="119">
        <f ca="1">HLOOKUP($H$5,'Met Data'!$H$2:$M$368,G666,FALSE)*L666</f>
        <v>2.0333333333333301</v>
      </c>
      <c r="K666" s="98">
        <f ca="1">HLOOKUP($H$5,'Met Data'!$O$2:$T$368,G666,FALSE)</f>
        <v>1.06265243044536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" thickBot="1">
      <c r="G667" s="3">
        <f t="shared" ca="1" si="100"/>
        <v>174</v>
      </c>
      <c r="H667" s="97">
        <f t="shared" ca="1" si="109"/>
        <v>45830</v>
      </c>
      <c r="I667" s="121">
        <f ca="1">HLOOKUP($H$5,'Met Data'!$A$2:$F$368,G667,FALSE)</f>
        <v>6.1424242424242399</v>
      </c>
      <c r="J667" s="119">
        <f ca="1">HLOOKUP($H$5,'Met Data'!$H$2:$M$368,G667,FALSE)*L667</f>
        <v>2.0939393939393902</v>
      </c>
      <c r="K667" s="98">
        <f ca="1">HLOOKUP($H$5,'Met Data'!$O$2:$T$368,G667,FALSE)</f>
        <v>1.01861486176599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" thickBot="1">
      <c r="G668" s="3">
        <f t="shared" ca="1" si="100"/>
        <v>175</v>
      </c>
      <c r="H668" s="97">
        <f t="shared" ca="1" si="109"/>
        <v>45831</v>
      </c>
      <c r="I668" s="121">
        <f ca="1">HLOOKUP($H$5,'Met Data'!$A$2:$F$368,G668,FALSE)</f>
        <v>6.20757575757575</v>
      </c>
      <c r="J668" s="119">
        <f ca="1">HLOOKUP($H$5,'Met Data'!$H$2:$M$368,G668,FALSE)*L668</f>
        <v>1.41818181818181</v>
      </c>
      <c r="K668" s="98">
        <f ca="1">HLOOKUP($H$5,'Met Data'!$O$2:$T$368,G668,FALSE)</f>
        <v>1.17304690631908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" thickBot="1">
      <c r="G669" s="3">
        <f t="shared" ca="1" si="100"/>
        <v>176</v>
      </c>
      <c r="H669" s="97">
        <f t="shared" ca="1" si="109"/>
        <v>45832</v>
      </c>
      <c r="I669" s="121">
        <f ca="1">HLOOKUP($H$5,'Met Data'!$A$2:$F$368,G669,FALSE)</f>
        <v>6.5106060606060598</v>
      </c>
      <c r="J669" s="119">
        <f ca="1">HLOOKUP($H$5,'Met Data'!$H$2:$M$368,G669,FALSE)*L669</f>
        <v>1.78484848484848</v>
      </c>
      <c r="K669" s="98">
        <f ca="1">HLOOKUP($H$5,'Met Data'!$O$2:$T$368,G669,FALSE)</f>
        <v>1.05340987186552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" thickBot="1">
      <c r="G670" s="3">
        <f t="shared" ca="1" si="100"/>
        <v>177</v>
      </c>
      <c r="H670" s="97">
        <f t="shared" ca="1" si="109"/>
        <v>45833</v>
      </c>
      <c r="I670" s="121">
        <f ca="1">HLOOKUP($H$5,'Met Data'!$A$2:$F$368,G670,FALSE)</f>
        <v>6.4439393939393899</v>
      </c>
      <c r="J670" s="119">
        <f ca="1">HLOOKUP($H$5,'Met Data'!$H$2:$M$368,G670,FALSE)*L670</f>
        <v>1.4909090909090901</v>
      </c>
      <c r="K670" s="98">
        <f ca="1">HLOOKUP($H$5,'Met Data'!$O$2:$T$368,G670,FALSE)</f>
        <v>1.1237466528878399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" thickBot="1">
      <c r="G671" s="3">
        <f t="shared" ca="1" si="100"/>
        <v>178</v>
      </c>
      <c r="H671" s="97">
        <f t="shared" ca="1" si="109"/>
        <v>45834</v>
      </c>
      <c r="I671" s="121">
        <f ca="1">HLOOKUP($H$5,'Met Data'!$A$2:$F$368,G671,FALSE)</f>
        <v>6.6909090909090896</v>
      </c>
      <c r="J671" s="119">
        <f ca="1">HLOOKUP($H$5,'Met Data'!$H$2:$M$368,G671,FALSE)*L671</f>
        <v>1.3090909090909</v>
      </c>
      <c r="K671" s="98">
        <f ca="1">HLOOKUP($H$5,'Met Data'!$O$2:$T$368,G671,FALSE)</f>
        <v>1.1592232631741799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" thickBot="1">
      <c r="G672" s="3">
        <f t="shared" ca="1" si="100"/>
        <v>179</v>
      </c>
      <c r="H672" s="97">
        <f t="shared" ca="1" si="109"/>
        <v>45835</v>
      </c>
      <c r="I672" s="121">
        <f ca="1">HLOOKUP($H$5,'Met Data'!$A$2:$F$368,G672,FALSE)</f>
        <v>6.1848484848484802</v>
      </c>
      <c r="J672" s="119">
        <f ca="1">HLOOKUP($H$5,'Met Data'!$H$2:$M$368,G672,FALSE)*L672</f>
        <v>1.8060606060605999</v>
      </c>
      <c r="K672" s="98">
        <f ca="1">HLOOKUP($H$5,'Met Data'!$O$2:$T$368,G672,FALSE)</f>
        <v>1.0801233950998499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" thickBot="1">
      <c r="G673" s="3">
        <f t="shared" ca="1" si="100"/>
        <v>180</v>
      </c>
      <c r="H673" s="97">
        <f t="shared" ca="1" si="109"/>
        <v>45836</v>
      </c>
      <c r="I673" s="121">
        <f ca="1">HLOOKUP($H$5,'Met Data'!$A$2:$F$368,G673,FALSE)</f>
        <v>5.9242424242424203</v>
      </c>
      <c r="J673" s="119">
        <f ca="1">HLOOKUP($H$5,'Met Data'!$H$2:$M$368,G673,FALSE)*L673</f>
        <v>1.7121212121212099</v>
      </c>
      <c r="K673" s="98">
        <f ca="1">HLOOKUP($H$5,'Met Data'!$O$2:$T$368,G673,FALSE)</f>
        <v>1.01058351362291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" thickBot="1">
      <c r="G674" s="3">
        <f t="shared" ca="1" si="100"/>
        <v>181</v>
      </c>
      <c r="H674" s="97">
        <f t="shared" ca="1" si="109"/>
        <v>45837</v>
      </c>
      <c r="I674" s="121">
        <f ca="1">HLOOKUP($H$5,'Met Data'!$A$2:$F$368,G674,FALSE)</f>
        <v>6.1499999999999897</v>
      </c>
      <c r="J674" s="119">
        <f ca="1">HLOOKUP($H$5,'Met Data'!$H$2:$M$368,G674,FALSE)*L674</f>
        <v>3.14848484848484</v>
      </c>
      <c r="K674" s="98">
        <f ca="1">HLOOKUP($H$5,'Met Data'!$O$2:$T$368,G674,FALSE)</f>
        <v>1.0356452508213501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" thickBot="1">
      <c r="G675" s="3">
        <f t="shared" ca="1" si="100"/>
        <v>182</v>
      </c>
      <c r="H675" s="97">
        <f t="shared" ca="1" si="109"/>
        <v>45838</v>
      </c>
      <c r="I675" s="121">
        <f ca="1">HLOOKUP($H$5,'Met Data'!$A$2:$F$368,G675,FALSE)</f>
        <v>6.4909090909090903</v>
      </c>
      <c r="J675" s="119">
        <f ca="1">HLOOKUP($H$5,'Met Data'!$H$2:$M$368,G675,FALSE)*L675</f>
        <v>2.17575757575757</v>
      </c>
      <c r="K675" s="98">
        <f ca="1">HLOOKUP($H$5,'Met Data'!$O$2:$T$368,G675,FALSE)</f>
        <v>1.2161265984409499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" thickBot="1">
      <c r="G676" s="3">
        <f t="shared" ca="1" si="100"/>
        <v>183</v>
      </c>
      <c r="H676" s="97">
        <f t="shared" ca="1" si="109"/>
        <v>45839</v>
      </c>
      <c r="I676" s="121">
        <f ca="1">HLOOKUP($H$5,'Met Data'!$A$2:$F$368,G676,FALSE)</f>
        <v>5.80151515151515</v>
      </c>
      <c r="J676" s="119">
        <f ca="1">HLOOKUP($H$5,'Met Data'!$H$2:$M$368,G676,FALSE)*L676</f>
        <v>1.3575757575757501</v>
      </c>
      <c r="K676" s="98">
        <f ca="1">HLOOKUP($H$5,'Met Data'!$O$2:$T$368,G676,FALSE)</f>
        <v>1.0914719035015701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" thickBot="1">
      <c r="G677" s="3">
        <f t="shared" ca="1" si="100"/>
        <v>184</v>
      </c>
      <c r="H677" s="97">
        <f t="shared" ca="1" si="109"/>
        <v>45840</v>
      </c>
      <c r="I677" s="121">
        <f ca="1">HLOOKUP($H$5,'Met Data'!$A$2:$F$368,G677,FALSE)</f>
        <v>5.4696969696969697</v>
      </c>
      <c r="J677" s="119">
        <f ca="1">HLOOKUP($H$5,'Met Data'!$H$2:$M$368,G677,FALSE)*L677</f>
        <v>1.66363636363636</v>
      </c>
      <c r="K677" s="98">
        <f ca="1">HLOOKUP($H$5,'Met Data'!$O$2:$T$368,G677,FALSE)</f>
        <v>1.0977706117478601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" thickBot="1">
      <c r="G678" s="3">
        <f t="shared" ca="1" si="100"/>
        <v>185</v>
      </c>
      <c r="H678" s="97">
        <f t="shared" ca="1" si="109"/>
        <v>45841</v>
      </c>
      <c r="I678" s="121">
        <f ca="1">HLOOKUP($H$5,'Met Data'!$A$2:$F$368,G678,FALSE)</f>
        <v>6.01212121212121</v>
      </c>
      <c r="J678" s="119">
        <f ca="1">HLOOKUP($H$5,'Met Data'!$H$2:$M$368,G678,FALSE)*L678</f>
        <v>1.73030303030303</v>
      </c>
      <c r="K678" s="98">
        <f ca="1">HLOOKUP($H$5,'Met Data'!$O$2:$T$368,G678,FALSE)</f>
        <v>1.17483894696367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" thickBot="1">
      <c r="G679" s="3">
        <f t="shared" ca="1" si="100"/>
        <v>186</v>
      </c>
      <c r="H679" s="97">
        <f t="shared" ca="1" si="109"/>
        <v>45842</v>
      </c>
      <c r="I679" s="121">
        <f ca="1">HLOOKUP($H$5,'Met Data'!$A$2:$F$368,G679,FALSE)</f>
        <v>6.2727272727272698</v>
      </c>
      <c r="J679" s="119">
        <f ca="1">HLOOKUP($H$5,'Met Data'!$H$2:$M$368,G679,FALSE)*L679</f>
        <v>1.39393939393939</v>
      </c>
      <c r="K679" s="98">
        <f ca="1">HLOOKUP($H$5,'Met Data'!$O$2:$T$368,G679,FALSE)</f>
        <v>1.1350548695748499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" thickBot="1">
      <c r="G680" s="3">
        <f t="shared" ca="1" si="100"/>
        <v>187</v>
      </c>
      <c r="H680" s="97">
        <f t="shared" ca="1" si="109"/>
        <v>45843</v>
      </c>
      <c r="I680" s="121">
        <f ca="1">HLOOKUP($H$5,'Met Data'!$A$2:$F$368,G680,FALSE)</f>
        <v>6.5393939393939302</v>
      </c>
      <c r="J680" s="119">
        <f ca="1">HLOOKUP($H$5,'Met Data'!$H$2:$M$368,G680,FALSE)*L680</f>
        <v>1.2030303030303</v>
      </c>
      <c r="K680" s="98">
        <f ca="1">HLOOKUP($H$5,'Met Data'!$O$2:$T$368,G680,FALSE)</f>
        <v>1.3082124240908799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" thickBot="1">
      <c r="G681" s="3">
        <f t="shared" ca="1" si="100"/>
        <v>188</v>
      </c>
      <c r="H681" s="97">
        <f t="shared" ca="1" si="109"/>
        <v>45844</v>
      </c>
      <c r="I681" s="121">
        <f ca="1">HLOOKUP($H$5,'Met Data'!$A$2:$F$368,G681,FALSE)</f>
        <v>6.3272727272727201</v>
      </c>
      <c r="J681" s="119">
        <f ca="1">HLOOKUP($H$5,'Met Data'!$H$2:$M$368,G681,FALSE)*L681</f>
        <v>3.2515151515151501</v>
      </c>
      <c r="K681" s="98">
        <f ca="1">HLOOKUP($H$5,'Met Data'!$O$2:$T$368,G681,FALSE)</f>
        <v>1.1532462604149001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" thickBot="1">
      <c r="G682" s="3">
        <f t="shared" ca="1" si="100"/>
        <v>189</v>
      </c>
      <c r="H682" s="97">
        <f t="shared" ca="1" si="109"/>
        <v>45845</v>
      </c>
      <c r="I682" s="121">
        <f ca="1">HLOOKUP($H$5,'Met Data'!$A$2:$F$368,G682,FALSE)</f>
        <v>5.5742424242424198</v>
      </c>
      <c r="J682" s="119">
        <f ca="1">HLOOKUP($H$5,'Met Data'!$H$2:$M$368,G682,FALSE)*L682</f>
        <v>1.1151515151515099</v>
      </c>
      <c r="K682" s="98">
        <f ca="1">HLOOKUP($H$5,'Met Data'!$O$2:$T$368,G682,FALSE)</f>
        <v>1.1860865780805001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" thickBot="1">
      <c r="G683" s="3">
        <f t="shared" ca="1" si="100"/>
        <v>190</v>
      </c>
      <c r="H683" s="97">
        <f t="shared" ca="1" si="109"/>
        <v>45846</v>
      </c>
      <c r="I683" s="121">
        <f ca="1">HLOOKUP($H$5,'Met Data'!$A$2:$F$368,G683,FALSE)</f>
        <v>5.2243939393939298</v>
      </c>
      <c r="J683" s="119">
        <f ca="1">HLOOKUP($H$5,'Met Data'!$H$2:$M$368,G683,FALSE)*L683</f>
        <v>1.7878787878787801</v>
      </c>
      <c r="K683" s="98">
        <f ca="1">HLOOKUP($H$5,'Met Data'!$O$2:$T$368,G683,FALSE)</f>
        <v>1.0756170169258299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" thickBot="1">
      <c r="G684" s="3">
        <f t="shared" ca="1" si="100"/>
        <v>191</v>
      </c>
      <c r="H684" s="97">
        <f t="shared" ca="1" si="109"/>
        <v>45847</v>
      </c>
      <c r="I684" s="121">
        <f ca="1">HLOOKUP($H$5,'Met Data'!$A$2:$F$368,G684,FALSE)</f>
        <v>5.4590909090909001</v>
      </c>
      <c r="J684" s="119">
        <f ca="1">HLOOKUP($H$5,'Met Data'!$H$2:$M$368,G684,FALSE)*L684</f>
        <v>1.32424242424242</v>
      </c>
      <c r="K684" s="98">
        <f ca="1">HLOOKUP($H$5,'Met Data'!$O$2:$T$368,G684,FALSE)</f>
        <v>1.1571191090080499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" thickBot="1">
      <c r="G685" s="3">
        <f t="shared" ca="1" si="100"/>
        <v>192</v>
      </c>
      <c r="H685" s="97">
        <f t="shared" ca="1" si="109"/>
        <v>45848</v>
      </c>
      <c r="I685" s="121">
        <f ca="1">HLOOKUP($H$5,'Met Data'!$A$2:$F$368,G685,FALSE)</f>
        <v>5.67121212121212</v>
      </c>
      <c r="J685" s="119">
        <f ca="1">HLOOKUP($H$5,'Met Data'!$H$2:$M$368,G685,FALSE)*L685</f>
        <v>1.1303030303030299</v>
      </c>
      <c r="K685" s="98">
        <f ca="1">HLOOKUP($H$5,'Met Data'!$O$2:$T$368,G685,FALSE)</f>
        <v>1.1823583053236399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" thickBot="1">
      <c r="G686" s="3">
        <f t="shared" ca="1" si="100"/>
        <v>193</v>
      </c>
      <c r="H686" s="97">
        <f t="shared" ca="1" si="109"/>
        <v>45849</v>
      </c>
      <c r="I686" s="121">
        <f ca="1">HLOOKUP($H$5,'Met Data'!$A$2:$F$368,G686,FALSE)</f>
        <v>5.5803030303030301</v>
      </c>
      <c r="J686" s="119">
        <f ca="1">HLOOKUP($H$5,'Met Data'!$H$2:$M$368,G686,FALSE)*L686</f>
        <v>1.71818181818181</v>
      </c>
      <c r="K686" s="98">
        <f ca="1">HLOOKUP($H$5,'Met Data'!$O$2:$T$368,G686,FALSE)</f>
        <v>1.1413084648267999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" thickBot="1">
      <c r="G687" s="3">
        <f t="shared" ca="1" si="100"/>
        <v>194</v>
      </c>
      <c r="H687" s="97">
        <f t="shared" ca="1" si="109"/>
        <v>45850</v>
      </c>
      <c r="I687" s="121">
        <f ca="1">HLOOKUP($H$5,'Met Data'!$A$2:$F$368,G687,FALSE)</f>
        <v>5.8181818181818103</v>
      </c>
      <c r="J687" s="119">
        <f ca="1">HLOOKUP($H$5,'Met Data'!$H$2:$M$368,G687,FALSE)*L687</f>
        <v>1.27272727272727</v>
      </c>
      <c r="K687" s="98">
        <f ca="1">HLOOKUP($H$5,'Met Data'!$O$2:$T$368,G687,FALSE)</f>
        <v>1.2366027185060899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" thickBot="1">
      <c r="G688" s="3">
        <f t="shared" ca="1" si="100"/>
        <v>195</v>
      </c>
      <c r="H688" s="97">
        <f t="shared" ca="1" si="109"/>
        <v>45851</v>
      </c>
      <c r="I688" s="121">
        <f ca="1">HLOOKUP($H$5,'Met Data'!$A$2:$F$368,G688,FALSE)</f>
        <v>5.8984848484848396</v>
      </c>
      <c r="J688" s="119">
        <f ca="1">HLOOKUP($H$5,'Met Data'!$H$2:$M$368,G688,FALSE)*L688</f>
        <v>1.44545454545454</v>
      </c>
      <c r="K688" s="98">
        <f ca="1">HLOOKUP($H$5,'Met Data'!$O$2:$T$368,G688,FALSE)</f>
        <v>1.20462827119224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" thickBot="1">
      <c r="G689" s="3">
        <f t="shared" ref="G689:G752" ca="1" si="110">H689-DATE(YEAR(H689),1,0)+1</f>
        <v>196</v>
      </c>
      <c r="H689" s="97">
        <f t="shared" ca="1" si="109"/>
        <v>45852</v>
      </c>
      <c r="I689" s="121">
        <f ca="1">HLOOKUP($H$5,'Met Data'!$A$2:$F$368,G689,FALSE)</f>
        <v>6.1590909090909003</v>
      </c>
      <c r="J689" s="119">
        <f ca="1">HLOOKUP($H$5,'Met Data'!$H$2:$M$368,G689,FALSE)*L689</f>
        <v>0.93333333333333302</v>
      </c>
      <c r="K689" s="98">
        <f ca="1">HLOOKUP($H$5,'Met Data'!$O$2:$T$368,G689,FALSE)</f>
        <v>1.08107866384151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" thickBot="1">
      <c r="G690" s="3">
        <f t="shared" ca="1" si="110"/>
        <v>197</v>
      </c>
      <c r="H690" s="97">
        <f t="shared" ca="1" si="109"/>
        <v>45853</v>
      </c>
      <c r="I690" s="121">
        <f ca="1">HLOOKUP($H$5,'Met Data'!$A$2:$F$368,G690,FALSE)</f>
        <v>5.8606060606060604</v>
      </c>
      <c r="J690" s="119">
        <f ca="1">HLOOKUP($H$5,'Met Data'!$H$2:$M$368,G690,FALSE)*L690</f>
        <v>0.95454545454545403</v>
      </c>
      <c r="K690" s="98">
        <f ca="1">HLOOKUP($H$5,'Met Data'!$O$2:$T$368,G690,FALSE)</f>
        <v>1.0543699556166799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" thickBot="1">
      <c r="G691" s="3">
        <f t="shared" ca="1" si="110"/>
        <v>198</v>
      </c>
      <c r="H691" s="97">
        <f t="shared" ca="1" si="109"/>
        <v>45854</v>
      </c>
      <c r="I691" s="121">
        <f ca="1">HLOOKUP($H$5,'Met Data'!$A$2:$F$368,G691,FALSE)</f>
        <v>6.3318181818181802</v>
      </c>
      <c r="J691" s="119">
        <f ca="1">HLOOKUP($H$5,'Met Data'!$H$2:$M$368,G691,FALSE)*L691</f>
        <v>1.9030303030303</v>
      </c>
      <c r="K691" s="98">
        <f ca="1">HLOOKUP($H$5,'Met Data'!$O$2:$T$368,G691,FALSE)</f>
        <v>1.0854702771695099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" thickBot="1">
      <c r="G692" s="3">
        <f t="shared" ca="1" si="110"/>
        <v>199</v>
      </c>
      <c r="H692" s="97">
        <f t="shared" ca="1" si="109"/>
        <v>45855</v>
      </c>
      <c r="I692" s="121">
        <f ca="1">HLOOKUP($H$5,'Met Data'!$A$2:$F$368,G692,FALSE)</f>
        <v>6.4424242424242397</v>
      </c>
      <c r="J692" s="119">
        <f ca="1">HLOOKUP($H$5,'Met Data'!$H$2:$M$368,G692,FALSE)*L692</f>
        <v>2.3454545454545399</v>
      </c>
      <c r="K692" s="98">
        <f ca="1">HLOOKUP($H$5,'Met Data'!$O$2:$T$368,G692,FALSE)</f>
        <v>0.98557119798157899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" thickBot="1">
      <c r="G693" s="3">
        <f t="shared" ca="1" si="110"/>
        <v>200</v>
      </c>
      <c r="H693" s="97">
        <f t="shared" ca="1" si="109"/>
        <v>45856</v>
      </c>
      <c r="I693" s="121">
        <f ca="1">HLOOKUP($H$5,'Met Data'!$A$2:$F$368,G693,FALSE)</f>
        <v>6.3242424242424198</v>
      </c>
      <c r="J693" s="119">
        <f ca="1">HLOOKUP($H$5,'Met Data'!$H$2:$M$368,G693,FALSE)*L693</f>
        <v>3.6</v>
      </c>
      <c r="K693" s="98">
        <f ca="1">HLOOKUP($H$5,'Met Data'!$O$2:$T$368,G693,FALSE)</f>
        <v>1.0101770597585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" thickBot="1">
      <c r="G694" s="3">
        <f t="shared" ca="1" si="110"/>
        <v>201</v>
      </c>
      <c r="H694" s="97">
        <f t="shared" ca="1" si="109"/>
        <v>45857</v>
      </c>
      <c r="I694" s="121">
        <f ca="1">HLOOKUP($H$5,'Met Data'!$A$2:$F$368,G694,FALSE)</f>
        <v>6.5333333333333297</v>
      </c>
      <c r="J694" s="119">
        <f ca="1">HLOOKUP($H$5,'Met Data'!$H$2:$M$368,G694,FALSE)*L694</f>
        <v>1.92121212121212</v>
      </c>
      <c r="K694" s="98">
        <f ca="1">HLOOKUP($H$5,'Met Data'!$O$2:$T$368,G694,FALSE)</f>
        <v>1.0019139083521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" thickBot="1">
      <c r="G695" s="3">
        <f t="shared" ca="1" si="110"/>
        <v>202</v>
      </c>
      <c r="H695" s="97">
        <f t="shared" ca="1" si="109"/>
        <v>45858</v>
      </c>
      <c r="I695" s="121">
        <f ca="1">HLOOKUP($H$5,'Met Data'!$A$2:$F$368,G695,FALSE)</f>
        <v>6.70757575757575</v>
      </c>
      <c r="J695" s="119">
        <f ca="1">HLOOKUP($H$5,'Met Data'!$H$2:$M$368,G695,FALSE)*L695</f>
        <v>1.76969696969696</v>
      </c>
      <c r="K695" s="98">
        <f ca="1">HLOOKUP($H$5,'Met Data'!$O$2:$T$368,G695,FALSE)</f>
        <v>1.1757544824616699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" thickBot="1">
      <c r="G696" s="3">
        <f t="shared" ca="1" si="110"/>
        <v>203</v>
      </c>
      <c r="H696" s="97">
        <f t="shared" ca="1" si="109"/>
        <v>45859</v>
      </c>
      <c r="I696" s="121">
        <f ca="1">HLOOKUP($H$5,'Met Data'!$A$2:$F$368,G696,FALSE)</f>
        <v>6.2909090909090901</v>
      </c>
      <c r="J696" s="119">
        <f ca="1">HLOOKUP($H$5,'Met Data'!$H$2:$M$368,G696,FALSE)*L696</f>
        <v>2.1</v>
      </c>
      <c r="K696" s="98">
        <f ca="1">HLOOKUP($H$5,'Met Data'!$O$2:$T$368,G696,FALSE)</f>
        <v>1.0943315234208899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" thickBot="1">
      <c r="G697" s="3">
        <f t="shared" ca="1" si="110"/>
        <v>204</v>
      </c>
      <c r="H697" s="97">
        <f t="shared" ca="1" si="109"/>
        <v>45860</v>
      </c>
      <c r="I697" s="121">
        <f ca="1">HLOOKUP($H$5,'Met Data'!$A$2:$F$368,G697,FALSE)</f>
        <v>6.5757575757575699</v>
      </c>
      <c r="J697" s="119">
        <f ca="1">HLOOKUP($H$5,'Met Data'!$H$2:$M$368,G697,FALSE)*L697</f>
        <v>2.55151515151515</v>
      </c>
      <c r="K697" s="98">
        <f ca="1">HLOOKUP($H$5,'Met Data'!$O$2:$T$368,G697,FALSE)</f>
        <v>1.2263410572015001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" thickBot="1">
      <c r="G698" s="3">
        <f t="shared" ca="1" si="110"/>
        <v>205</v>
      </c>
      <c r="H698" s="97">
        <f t="shared" ca="1" si="109"/>
        <v>45861</v>
      </c>
      <c r="I698" s="121">
        <f ca="1">HLOOKUP($H$5,'Met Data'!$A$2:$F$368,G698,FALSE)</f>
        <v>6.8424242424242401</v>
      </c>
      <c r="J698" s="119">
        <f ca="1">HLOOKUP($H$5,'Met Data'!$H$2:$M$368,G698,FALSE)*L698</f>
        <v>0.84545454545454501</v>
      </c>
      <c r="K698" s="98">
        <f ca="1">HLOOKUP($H$5,'Met Data'!$O$2:$T$368,G698,FALSE)</f>
        <v>1.3752263361541199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" thickBot="1">
      <c r="G699" s="3">
        <f t="shared" ca="1" si="110"/>
        <v>206</v>
      </c>
      <c r="H699" s="97">
        <f t="shared" ca="1" si="109"/>
        <v>45862</v>
      </c>
      <c r="I699" s="121">
        <f ca="1">HLOOKUP($H$5,'Met Data'!$A$2:$F$368,G699,FALSE)</f>
        <v>6.7236363636363601</v>
      </c>
      <c r="J699" s="119">
        <f ca="1">HLOOKUP($H$5,'Met Data'!$H$2:$M$368,G699,FALSE)*L699</f>
        <v>0.62727272727272698</v>
      </c>
      <c r="K699" s="98">
        <f ca="1">HLOOKUP($H$5,'Met Data'!$O$2:$T$368,G699,FALSE)</f>
        <v>1.3244433723498701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" thickBot="1">
      <c r="G700" s="3">
        <f t="shared" ca="1" si="110"/>
        <v>207</v>
      </c>
      <c r="H700" s="97">
        <f t="shared" ca="1" si="109"/>
        <v>45863</v>
      </c>
      <c r="I700" s="121">
        <f ca="1">HLOOKUP($H$5,'Met Data'!$A$2:$F$368,G700,FALSE)</f>
        <v>6.8075757575757496</v>
      </c>
      <c r="J700" s="119">
        <f ca="1">HLOOKUP($H$5,'Met Data'!$H$2:$M$368,G700,FALSE)*L700</f>
        <v>2.63636363636363</v>
      </c>
      <c r="K700" s="98">
        <f ca="1">HLOOKUP($H$5,'Met Data'!$O$2:$T$368,G700,FALSE)</f>
        <v>1.44760057498724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" thickBot="1">
      <c r="G701" s="3">
        <f t="shared" ca="1" si="110"/>
        <v>208</v>
      </c>
      <c r="H701" s="97">
        <f t="shared" ca="1" si="109"/>
        <v>45864</v>
      </c>
      <c r="I701" s="121">
        <f ca="1">HLOOKUP($H$5,'Met Data'!$A$2:$F$368,G701,FALSE)</f>
        <v>6.7636363636363601</v>
      </c>
      <c r="J701" s="119">
        <f ca="1">HLOOKUP($H$5,'Met Data'!$H$2:$M$368,G701,FALSE)*L701</f>
        <v>1.49696969696969</v>
      </c>
      <c r="K701" s="98">
        <f ca="1">HLOOKUP($H$5,'Met Data'!$O$2:$T$368,G701,FALSE)</f>
        <v>1.60850212631903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" thickBot="1">
      <c r="G702" s="3">
        <f t="shared" ca="1" si="110"/>
        <v>209</v>
      </c>
      <c r="H702" s="97">
        <f t="shared" ca="1" si="109"/>
        <v>45865</v>
      </c>
      <c r="I702" s="121">
        <f ca="1">HLOOKUP($H$5,'Met Data'!$A$2:$F$368,G702,FALSE)</f>
        <v>7.0954545454545404</v>
      </c>
      <c r="J702" s="119">
        <f ca="1">HLOOKUP($H$5,'Met Data'!$H$2:$M$368,G702,FALSE)*L702</f>
        <v>2.4303030303030302</v>
      </c>
      <c r="K702" s="98">
        <f ca="1">HLOOKUP($H$5,'Met Data'!$O$2:$T$368,G702,FALSE)</f>
        <v>1.55883335001025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" thickBot="1">
      <c r="G703" s="3">
        <f t="shared" ca="1" si="110"/>
        <v>210</v>
      </c>
      <c r="H703" s="97">
        <f t="shared" ca="1" si="109"/>
        <v>45866</v>
      </c>
      <c r="I703" s="121">
        <f ca="1">HLOOKUP($H$5,'Met Data'!$A$2:$F$368,G703,FALSE)</f>
        <v>7.0287878787878704</v>
      </c>
      <c r="J703" s="119">
        <f ca="1">HLOOKUP($H$5,'Met Data'!$H$2:$M$368,G703,FALSE)*L703</f>
        <v>0.79090909090909101</v>
      </c>
      <c r="K703" s="98">
        <f ca="1">HLOOKUP($H$5,'Met Data'!$O$2:$T$368,G703,FALSE)</f>
        <v>1.4832490994765199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" thickBot="1">
      <c r="G704" s="3">
        <f t="shared" ca="1" si="110"/>
        <v>211</v>
      </c>
      <c r="H704" s="97">
        <f t="shared" ca="1" si="109"/>
        <v>45867</v>
      </c>
      <c r="I704" s="121">
        <f ca="1">HLOOKUP($H$5,'Met Data'!$A$2:$F$368,G704,FALSE)</f>
        <v>7.4492424242424198</v>
      </c>
      <c r="J704" s="119">
        <f ca="1">HLOOKUP($H$5,'Met Data'!$H$2:$M$368,G704,FALSE)*L704</f>
        <v>0.79696969696969699</v>
      </c>
      <c r="K704" s="98">
        <f ca="1">HLOOKUP($H$5,'Met Data'!$O$2:$T$368,G704,FALSE)</f>
        <v>1.5379059871907199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" thickBot="1">
      <c r="G705" s="3">
        <f t="shared" ca="1" si="110"/>
        <v>212</v>
      </c>
      <c r="H705" s="97">
        <f t="shared" ca="1" si="109"/>
        <v>45868</v>
      </c>
      <c r="I705" s="121">
        <f ca="1">HLOOKUP($H$5,'Met Data'!$A$2:$F$368,G705,FALSE)</f>
        <v>6.8409090909090899</v>
      </c>
      <c r="J705" s="119">
        <f ca="1">HLOOKUP($H$5,'Met Data'!$H$2:$M$368,G705,FALSE)*L705</f>
        <v>1.59393939393939</v>
      </c>
      <c r="K705" s="98">
        <f ca="1">HLOOKUP($H$5,'Met Data'!$O$2:$T$368,G705,FALSE)</f>
        <v>1.61262260286068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" thickBot="1">
      <c r="G706" s="3">
        <f t="shared" ca="1" si="110"/>
        <v>213</v>
      </c>
      <c r="H706" s="97">
        <f t="shared" ca="1" si="109"/>
        <v>45869</v>
      </c>
      <c r="I706" s="121">
        <f ca="1">HLOOKUP($H$5,'Met Data'!$A$2:$F$368,G706,FALSE)</f>
        <v>7.1918181818181797</v>
      </c>
      <c r="J706" s="119">
        <f ca="1">HLOOKUP($H$5,'Met Data'!$H$2:$M$368,G706,FALSE)*L706</f>
        <v>0.86060606060606004</v>
      </c>
      <c r="K706" s="98">
        <f ca="1">HLOOKUP($H$5,'Met Data'!$O$2:$T$368,G706,FALSE)</f>
        <v>1.7014054560095799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" thickBot="1">
      <c r="G707" s="3">
        <f t="shared" ca="1" si="110"/>
        <v>214</v>
      </c>
      <c r="H707" s="97">
        <f t="shared" ca="1" si="109"/>
        <v>45870</v>
      </c>
      <c r="I707" s="121">
        <f ca="1">HLOOKUP($H$5,'Met Data'!$A$2:$F$368,G707,FALSE)</f>
        <v>7.4148484848484797</v>
      </c>
      <c r="J707" s="119">
        <f ca="1">HLOOKUP($H$5,'Met Data'!$H$2:$M$368,G707,FALSE)*L707</f>
        <v>1.7787878787878699</v>
      </c>
      <c r="K707" s="98">
        <f ca="1">HLOOKUP($H$5,'Met Data'!$O$2:$T$368,G707,FALSE)</f>
        <v>1.57863389711225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" thickBot="1">
      <c r="G708" s="3">
        <f t="shared" ca="1" si="110"/>
        <v>215</v>
      </c>
      <c r="H708" s="97">
        <f t="shared" ca="1" si="109"/>
        <v>45871</v>
      </c>
      <c r="I708" s="121">
        <f ca="1">HLOOKUP($H$5,'Met Data'!$A$2:$F$368,G708,FALSE)</f>
        <v>7.1409090909090898</v>
      </c>
      <c r="J708" s="119">
        <f ca="1">HLOOKUP($H$5,'Met Data'!$H$2:$M$368,G708,FALSE)*L708</f>
        <v>1.47272727272727</v>
      </c>
      <c r="K708" s="98">
        <f ca="1">HLOOKUP($H$5,'Met Data'!$O$2:$T$368,G708,FALSE)</f>
        <v>1.5098843625253899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" thickBot="1">
      <c r="G709" s="3">
        <f t="shared" ca="1" si="110"/>
        <v>216</v>
      </c>
      <c r="H709" s="97">
        <f t="shared" ca="1" si="109"/>
        <v>45872</v>
      </c>
      <c r="I709" s="121">
        <f ca="1">HLOOKUP($H$5,'Met Data'!$A$2:$F$368,G709,FALSE)</f>
        <v>6.7681818181818096</v>
      </c>
      <c r="J709" s="119">
        <f ca="1">HLOOKUP($H$5,'Met Data'!$H$2:$M$368,G709,FALSE)*L709</f>
        <v>0.76666666666666605</v>
      </c>
      <c r="K709" s="98">
        <f ca="1">HLOOKUP($H$5,'Met Data'!$O$2:$T$368,G709,FALSE)</f>
        <v>1.28491883482887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" thickBot="1">
      <c r="G710" s="3">
        <f t="shared" ca="1" si="110"/>
        <v>217</v>
      </c>
      <c r="H710" s="97">
        <f t="shared" ca="1" si="109"/>
        <v>45873</v>
      </c>
      <c r="I710" s="121">
        <f ca="1">HLOOKUP($H$5,'Met Data'!$A$2:$F$368,G710,FALSE)</f>
        <v>7.2015151515151503</v>
      </c>
      <c r="J710" s="119">
        <f ca="1">HLOOKUP($H$5,'Met Data'!$H$2:$M$368,G710,FALSE)*L710</f>
        <v>1.47272727272727</v>
      </c>
      <c r="K710" s="98">
        <f ca="1">HLOOKUP($H$5,'Met Data'!$O$2:$T$368,G710,FALSE)</f>
        <v>1.3386149785468899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" thickBot="1">
      <c r="G711" s="3">
        <f t="shared" ca="1" si="110"/>
        <v>218</v>
      </c>
      <c r="H711" s="97">
        <f t="shared" ca="1" si="109"/>
        <v>45874</v>
      </c>
      <c r="I711" s="121">
        <f ca="1">HLOOKUP($H$5,'Met Data'!$A$2:$F$368,G711,FALSE)</f>
        <v>7.3742424242424196</v>
      </c>
      <c r="J711" s="119">
        <f ca="1">HLOOKUP($H$5,'Met Data'!$H$2:$M$368,G711,FALSE)*L711</f>
        <v>1.75757575757575</v>
      </c>
      <c r="K711" s="98">
        <f ca="1">HLOOKUP($H$5,'Met Data'!$O$2:$T$368,G711,FALSE)</f>
        <v>1.55222576978494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" thickBot="1">
      <c r="G712" s="3">
        <f t="shared" ca="1" si="110"/>
        <v>219</v>
      </c>
      <c r="H712" s="97">
        <f t="shared" ca="1" si="109"/>
        <v>45875</v>
      </c>
      <c r="I712" s="121">
        <f ca="1">HLOOKUP($H$5,'Met Data'!$A$2:$F$368,G712,FALSE)</f>
        <v>7.4590909090909001</v>
      </c>
      <c r="J712" s="119">
        <f ca="1">HLOOKUP($H$5,'Met Data'!$H$2:$M$368,G712,FALSE)*L712</f>
        <v>0.60909090909090902</v>
      </c>
      <c r="K712" s="98">
        <f ca="1">HLOOKUP($H$5,'Met Data'!$O$2:$T$368,G712,FALSE)</f>
        <v>1.4979769801628799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" thickBot="1">
      <c r="G713" s="3">
        <f t="shared" ca="1" si="110"/>
        <v>220</v>
      </c>
      <c r="H713" s="97">
        <f t="shared" ref="H713:H776" ca="1" si="119">H712+1</f>
        <v>45876</v>
      </c>
      <c r="I713" s="121">
        <f ca="1">HLOOKUP($H$5,'Met Data'!$A$2:$F$368,G713,FALSE)</f>
        <v>7.5939393939393902</v>
      </c>
      <c r="J713" s="119">
        <f ca="1">HLOOKUP($H$5,'Met Data'!$H$2:$M$368,G713,FALSE)*L713</f>
        <v>3.3848484848484799</v>
      </c>
      <c r="K713" s="98">
        <f ca="1">HLOOKUP($H$5,'Met Data'!$O$2:$T$368,G713,FALSE)</f>
        <v>1.51963915749211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" thickBot="1">
      <c r="G714" s="3">
        <f t="shared" ca="1" si="110"/>
        <v>221</v>
      </c>
      <c r="H714" s="97">
        <f t="shared" ca="1" si="119"/>
        <v>45877</v>
      </c>
      <c r="I714" s="121">
        <f ca="1">HLOOKUP($H$5,'Met Data'!$A$2:$F$368,G714,FALSE)</f>
        <v>7.3257575757575699</v>
      </c>
      <c r="J714" s="119">
        <f ca="1">HLOOKUP($H$5,'Met Data'!$H$2:$M$368,G714,FALSE)*L714</f>
        <v>3.2363636363636301</v>
      </c>
      <c r="K714" s="98">
        <f ca="1">HLOOKUP($H$5,'Met Data'!$O$2:$T$368,G714,FALSE)</f>
        <v>1.7182656587563401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" thickBot="1">
      <c r="G715" s="3">
        <f t="shared" ca="1" si="110"/>
        <v>222</v>
      </c>
      <c r="H715" s="97">
        <f t="shared" ca="1" si="119"/>
        <v>45878</v>
      </c>
      <c r="I715" s="121">
        <f ca="1">HLOOKUP($H$5,'Met Data'!$A$2:$F$368,G715,FALSE)</f>
        <v>6.6333333333333302</v>
      </c>
      <c r="J715" s="119">
        <f ca="1">HLOOKUP($H$5,'Met Data'!$H$2:$M$368,G715,FALSE)*L715</f>
        <v>1.55151515151515</v>
      </c>
      <c r="K715" s="98">
        <f ca="1">HLOOKUP($H$5,'Met Data'!$O$2:$T$368,G715,FALSE)</f>
        <v>1.45992841951307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" thickBot="1">
      <c r="G716" s="3">
        <f t="shared" ca="1" si="110"/>
        <v>223</v>
      </c>
      <c r="H716" s="97">
        <f t="shared" ca="1" si="119"/>
        <v>45879</v>
      </c>
      <c r="I716" s="121">
        <f ca="1">HLOOKUP($H$5,'Met Data'!$A$2:$F$368,G716,FALSE)</f>
        <v>7.0696969696969703</v>
      </c>
      <c r="J716" s="119">
        <f ca="1">HLOOKUP($H$5,'Met Data'!$H$2:$M$368,G716,FALSE)*L716</f>
        <v>1.4545454545454499</v>
      </c>
      <c r="K716" s="98">
        <f ca="1">HLOOKUP($H$5,'Met Data'!$O$2:$T$368,G716,FALSE)</f>
        <v>1.43429877915796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" thickBot="1">
      <c r="G717" s="3">
        <f t="shared" ca="1" si="110"/>
        <v>224</v>
      </c>
      <c r="H717" s="97">
        <f t="shared" ca="1" si="119"/>
        <v>45880</v>
      </c>
      <c r="I717" s="121">
        <f ca="1">HLOOKUP($H$5,'Met Data'!$A$2:$F$368,G717,FALSE)</f>
        <v>7.5106060606060598</v>
      </c>
      <c r="J717" s="119">
        <f ca="1">HLOOKUP($H$5,'Met Data'!$H$2:$M$368,G717,FALSE)*L717</f>
        <v>1.6030303030302999</v>
      </c>
      <c r="K717" s="98">
        <f ca="1">HLOOKUP($H$5,'Met Data'!$O$2:$T$368,G717,FALSE)</f>
        <v>1.4617211304547399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" thickBot="1">
      <c r="G718" s="3">
        <f t="shared" ca="1" si="110"/>
        <v>225</v>
      </c>
      <c r="H718" s="97">
        <f t="shared" ca="1" si="119"/>
        <v>45881</v>
      </c>
      <c r="I718" s="121">
        <f ca="1">HLOOKUP($H$5,'Met Data'!$A$2:$F$368,G718,FALSE)</f>
        <v>7.7378787878787803</v>
      </c>
      <c r="J718" s="119">
        <f ca="1">HLOOKUP($H$5,'Met Data'!$H$2:$M$368,G718,FALSE)*L718</f>
        <v>1.2</v>
      </c>
      <c r="K718" s="98">
        <f ca="1">HLOOKUP($H$5,'Met Data'!$O$2:$T$368,G718,FALSE)</f>
        <v>1.64327704752056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" thickBot="1">
      <c r="G719" s="3">
        <f t="shared" ca="1" si="110"/>
        <v>226</v>
      </c>
      <c r="H719" s="97">
        <f t="shared" ca="1" si="119"/>
        <v>45882</v>
      </c>
      <c r="I719" s="121">
        <f ca="1">HLOOKUP($H$5,'Met Data'!$A$2:$F$368,G719,FALSE)</f>
        <v>7.4378787878787804</v>
      </c>
      <c r="J719" s="119">
        <f ca="1">HLOOKUP($H$5,'Met Data'!$H$2:$M$368,G719,FALSE)*L719</f>
        <v>2.0151515151515098</v>
      </c>
      <c r="K719" s="98">
        <f ca="1">HLOOKUP($H$5,'Met Data'!$O$2:$T$368,G719,FALSE)</f>
        <v>1.7219137683755099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" thickBot="1">
      <c r="G720" s="3">
        <f t="shared" ca="1" si="110"/>
        <v>227</v>
      </c>
      <c r="H720" s="97">
        <f t="shared" ca="1" si="119"/>
        <v>45883</v>
      </c>
      <c r="I720" s="121">
        <f ca="1">HLOOKUP($H$5,'Met Data'!$A$2:$F$368,G720,FALSE)</f>
        <v>7.3203125</v>
      </c>
      <c r="J720" s="119">
        <f ca="1">HLOOKUP($H$5,'Met Data'!$H$2:$M$368,G720,FALSE)*L720</f>
        <v>2.2093750000000001</v>
      </c>
      <c r="K720" s="98">
        <f ca="1">HLOOKUP($H$5,'Met Data'!$O$2:$T$368,G720,FALSE)</f>
        <v>1.6752410691035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" thickBot="1">
      <c r="G721" s="3">
        <f t="shared" ca="1" si="110"/>
        <v>228</v>
      </c>
      <c r="H721" s="97">
        <f t="shared" ca="1" si="119"/>
        <v>45884</v>
      </c>
      <c r="I721" s="121">
        <f ca="1">HLOOKUP($H$5,'Met Data'!$A$2:$F$368,G721,FALSE)</f>
        <v>6.9593749999999996</v>
      </c>
      <c r="J721" s="119">
        <f ca="1">HLOOKUP($H$5,'Met Data'!$H$2:$M$368,G721,FALSE)*L721</f>
        <v>2.0531250000000001</v>
      </c>
      <c r="K721" s="98">
        <f ca="1">HLOOKUP($H$5,'Met Data'!$O$2:$T$368,G721,FALSE)</f>
        <v>1.6478784943890401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" thickBot="1">
      <c r="G722" s="3">
        <f t="shared" ca="1" si="110"/>
        <v>229</v>
      </c>
      <c r="H722" s="97">
        <f t="shared" ca="1" si="119"/>
        <v>45885</v>
      </c>
      <c r="I722" s="121">
        <f ca="1">HLOOKUP($H$5,'Met Data'!$A$2:$F$368,G722,FALSE)</f>
        <v>7.1937499999999996</v>
      </c>
      <c r="J722" s="119">
        <f ca="1">HLOOKUP($H$5,'Met Data'!$H$2:$M$368,G722,FALSE)*L722</f>
        <v>2.03125</v>
      </c>
      <c r="K722" s="98">
        <f ca="1">HLOOKUP($H$5,'Met Data'!$O$2:$T$368,G722,FALSE)</f>
        <v>1.7164445634915999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" thickBot="1">
      <c r="G723" s="3">
        <f t="shared" ca="1" si="110"/>
        <v>230</v>
      </c>
      <c r="H723" s="97">
        <f t="shared" ca="1" si="119"/>
        <v>45886</v>
      </c>
      <c r="I723" s="121">
        <f ca="1">HLOOKUP($H$5,'Met Data'!$A$2:$F$368,G723,FALSE)</f>
        <v>7.7437500000000004</v>
      </c>
      <c r="J723" s="119">
        <f ca="1">HLOOKUP($H$5,'Met Data'!$H$2:$M$368,G723,FALSE)*L723</f>
        <v>2.4874999999999998</v>
      </c>
      <c r="K723" s="98">
        <f ca="1">HLOOKUP($H$5,'Met Data'!$O$2:$T$368,G723,FALSE)</f>
        <v>1.83858279668266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" thickBot="1">
      <c r="G724" s="3">
        <f t="shared" ca="1" si="110"/>
        <v>231</v>
      </c>
      <c r="H724" s="97">
        <f t="shared" ca="1" si="119"/>
        <v>45887</v>
      </c>
      <c r="I724" s="121">
        <f ca="1">HLOOKUP($H$5,'Met Data'!$A$2:$F$368,G724,FALSE)</f>
        <v>7.8</v>
      </c>
      <c r="J724" s="119">
        <f ca="1">HLOOKUP($H$5,'Met Data'!$H$2:$M$368,G724,FALSE)*L724</f>
        <v>2.4656250000000002</v>
      </c>
      <c r="K724" s="98">
        <f ca="1">HLOOKUP($H$5,'Met Data'!$O$2:$T$368,G724,FALSE)</f>
        <v>1.65941446777998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" thickBot="1">
      <c r="G725" s="3">
        <f t="shared" ca="1" si="110"/>
        <v>232</v>
      </c>
      <c r="H725" s="97">
        <f t="shared" ca="1" si="119"/>
        <v>45888</v>
      </c>
      <c r="I725" s="121">
        <f ca="1">HLOOKUP($H$5,'Met Data'!$A$2:$F$368,G725,FALSE)</f>
        <v>7.5171875000000004</v>
      </c>
      <c r="J725" s="119">
        <f ca="1">HLOOKUP($H$5,'Met Data'!$H$2:$M$368,G725,FALSE)*L725</f>
        <v>2.0375000000000001</v>
      </c>
      <c r="K725" s="98">
        <f ca="1">HLOOKUP($H$5,'Met Data'!$O$2:$T$368,G725,FALSE)</f>
        <v>1.8302956478085199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" thickBot="1">
      <c r="G726" s="3">
        <f t="shared" ca="1" si="110"/>
        <v>233</v>
      </c>
      <c r="H726" s="97">
        <f t="shared" ca="1" si="119"/>
        <v>45889</v>
      </c>
      <c r="I726" s="121">
        <f ca="1">HLOOKUP($H$5,'Met Data'!$A$2:$F$368,G726,FALSE)</f>
        <v>7.5671875000000002</v>
      </c>
      <c r="J726" s="119">
        <f ca="1">HLOOKUP($H$5,'Met Data'!$H$2:$M$368,G726,FALSE)*L726</f>
        <v>1.278125</v>
      </c>
      <c r="K726" s="98">
        <f ca="1">HLOOKUP($H$5,'Met Data'!$O$2:$T$368,G726,FALSE)</f>
        <v>1.86992300057723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" thickBot="1">
      <c r="G727" s="3">
        <f t="shared" ca="1" si="110"/>
        <v>234</v>
      </c>
      <c r="H727" s="97">
        <f t="shared" ca="1" si="119"/>
        <v>45890</v>
      </c>
      <c r="I727" s="121">
        <f ca="1">HLOOKUP($H$5,'Met Data'!$A$2:$F$368,G727,FALSE)</f>
        <v>7.2593750000000004</v>
      </c>
      <c r="J727" s="119">
        <f ca="1">HLOOKUP($H$5,'Met Data'!$H$2:$M$368,G727,FALSE)*L727</f>
        <v>2.7843749999999998</v>
      </c>
      <c r="K727" s="98">
        <f ca="1">HLOOKUP($H$5,'Met Data'!$O$2:$T$368,G727,FALSE)</f>
        <v>1.7326605302545099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" thickBot="1">
      <c r="G728" s="3">
        <f t="shared" ca="1" si="110"/>
        <v>235</v>
      </c>
      <c r="H728" s="97">
        <f t="shared" ca="1" si="119"/>
        <v>45891</v>
      </c>
      <c r="I728" s="121">
        <f ca="1">HLOOKUP($H$5,'Met Data'!$A$2:$F$368,G728,FALSE)</f>
        <v>7.5062499999999996</v>
      </c>
      <c r="J728" s="119">
        <f ca="1">HLOOKUP($H$5,'Met Data'!$H$2:$M$368,G728,FALSE)*L728</f>
        <v>3.6281249999999998</v>
      </c>
      <c r="K728" s="98">
        <f ca="1">HLOOKUP($H$5,'Met Data'!$O$2:$T$368,G728,FALSE)</f>
        <v>1.7739522546512301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" thickBot="1">
      <c r="G729" s="3">
        <f t="shared" ca="1" si="110"/>
        <v>236</v>
      </c>
      <c r="H729" s="97">
        <f t="shared" ca="1" si="119"/>
        <v>45892</v>
      </c>
      <c r="I729" s="121">
        <f ca="1">HLOOKUP($H$5,'Met Data'!$A$2:$F$368,G729,FALSE)</f>
        <v>7.6363636363636296</v>
      </c>
      <c r="J729" s="119">
        <f ca="1">HLOOKUP($H$5,'Met Data'!$H$2:$M$368,G729,FALSE)*L729</f>
        <v>2.0787878787878702</v>
      </c>
      <c r="K729" s="98">
        <f ca="1">HLOOKUP($H$5,'Met Data'!$O$2:$T$368,G729,FALSE)</f>
        <v>1.8600874849981099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" thickBot="1">
      <c r="G730" s="3">
        <f t="shared" ca="1" si="110"/>
        <v>237</v>
      </c>
      <c r="H730" s="97">
        <f t="shared" ca="1" si="119"/>
        <v>45893</v>
      </c>
      <c r="I730" s="121">
        <f ca="1">HLOOKUP($H$5,'Met Data'!$A$2:$F$368,G730,FALSE)</f>
        <v>8.1045454545454501</v>
      </c>
      <c r="J730" s="119">
        <f ca="1">HLOOKUP($H$5,'Met Data'!$H$2:$M$368,G730,FALSE)*L730</f>
        <v>0.324242424242424</v>
      </c>
      <c r="K730" s="98">
        <f ca="1">HLOOKUP($H$5,'Met Data'!$O$2:$T$368,G730,FALSE)</f>
        <v>1.9096330242923301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" thickBot="1">
      <c r="G731" s="3">
        <f t="shared" ca="1" si="110"/>
        <v>238</v>
      </c>
      <c r="H731" s="97">
        <f t="shared" ca="1" si="119"/>
        <v>45894</v>
      </c>
      <c r="I731" s="121">
        <f ca="1">HLOOKUP($H$5,'Met Data'!$A$2:$F$368,G731,FALSE)</f>
        <v>8.2954545454545396</v>
      </c>
      <c r="J731" s="119">
        <f ca="1">HLOOKUP($H$5,'Met Data'!$H$2:$M$368,G731,FALSE)*L731</f>
        <v>1.3424242424242401</v>
      </c>
      <c r="K731" s="98">
        <f ca="1">HLOOKUP($H$5,'Met Data'!$O$2:$T$368,G731,FALSE)</f>
        <v>1.9397244182821201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" thickBot="1">
      <c r="G732" s="3">
        <f t="shared" ca="1" si="110"/>
        <v>239</v>
      </c>
      <c r="H732" s="97">
        <f t="shared" ca="1" si="119"/>
        <v>45895</v>
      </c>
      <c r="I732" s="121">
        <f ca="1">HLOOKUP($H$5,'Met Data'!$A$2:$F$368,G732,FALSE)</f>
        <v>8.2378787878787794</v>
      </c>
      <c r="J732" s="119">
        <f ca="1">HLOOKUP($H$5,'Met Data'!$H$2:$M$368,G732,FALSE)*L732</f>
        <v>2.47272727272727</v>
      </c>
      <c r="K732" s="98">
        <f ca="1">HLOOKUP($H$5,'Met Data'!$O$2:$T$368,G732,FALSE)</f>
        <v>1.7062659547971699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" thickBot="1">
      <c r="G733" s="3">
        <f t="shared" ca="1" si="110"/>
        <v>240</v>
      </c>
      <c r="H733" s="97">
        <f t="shared" ca="1" si="119"/>
        <v>45896</v>
      </c>
      <c r="I733" s="121">
        <f ca="1">HLOOKUP($H$5,'Met Data'!$A$2:$F$368,G733,FALSE)</f>
        <v>8.2484848484848392</v>
      </c>
      <c r="J733" s="119">
        <f ca="1">HLOOKUP($H$5,'Met Data'!$H$2:$M$368,G733,FALSE)*L733</f>
        <v>2.9151515151515102</v>
      </c>
      <c r="K733" s="98">
        <f ca="1">HLOOKUP($H$5,'Met Data'!$O$2:$T$368,G733,FALSE)</f>
        <v>1.9297175584059301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" thickBot="1">
      <c r="G734" s="3">
        <f t="shared" ca="1" si="110"/>
        <v>241</v>
      </c>
      <c r="H734" s="97">
        <f t="shared" ca="1" si="119"/>
        <v>45897</v>
      </c>
      <c r="I734" s="121">
        <f ca="1">HLOOKUP($H$5,'Met Data'!$A$2:$F$368,G734,FALSE)</f>
        <v>8.5593939393939298</v>
      </c>
      <c r="J734" s="119">
        <f ca="1">HLOOKUP($H$5,'Met Data'!$H$2:$M$368,G734,FALSE)*L734</f>
        <v>1.8696969696969601</v>
      </c>
      <c r="K734" s="98">
        <f ca="1">HLOOKUP($H$5,'Met Data'!$O$2:$T$368,G734,FALSE)</f>
        <v>2.0109048192884398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" thickBot="1">
      <c r="G735" s="3">
        <f t="shared" ca="1" si="110"/>
        <v>242</v>
      </c>
      <c r="H735" s="97">
        <f t="shared" ca="1" si="119"/>
        <v>45898</v>
      </c>
      <c r="I735" s="121">
        <f ca="1">HLOOKUP($H$5,'Met Data'!$A$2:$F$368,G735,FALSE)</f>
        <v>8.2121212121212093</v>
      </c>
      <c r="J735" s="119">
        <f ca="1">HLOOKUP($H$5,'Met Data'!$H$2:$M$368,G735,FALSE)*L735</f>
        <v>2.1333333333333302</v>
      </c>
      <c r="K735" s="98">
        <f ca="1">HLOOKUP($H$5,'Met Data'!$O$2:$T$368,G735,FALSE)</f>
        <v>1.9004966666128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" thickBot="1">
      <c r="G736" s="3">
        <f t="shared" ca="1" si="110"/>
        <v>243</v>
      </c>
      <c r="H736" s="97">
        <f t="shared" ca="1" si="119"/>
        <v>45899</v>
      </c>
      <c r="I736" s="121">
        <f ca="1">HLOOKUP($H$5,'Met Data'!$A$2:$F$368,G736,FALSE)</f>
        <v>8.8015151515151508</v>
      </c>
      <c r="J736" s="119">
        <f ca="1">HLOOKUP($H$5,'Met Data'!$H$2:$M$368,G736,FALSE)*L736</f>
        <v>1.3060606060605999</v>
      </c>
      <c r="K736" s="98">
        <f ca="1">HLOOKUP($H$5,'Met Data'!$O$2:$T$368,G736,FALSE)</f>
        <v>2.0203052831425601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" thickBot="1">
      <c r="G737" s="3">
        <f t="shared" ca="1" si="110"/>
        <v>244</v>
      </c>
      <c r="H737" s="97">
        <f t="shared" ca="1" si="119"/>
        <v>45900</v>
      </c>
      <c r="I737" s="121">
        <f ca="1">HLOOKUP($H$5,'Met Data'!$A$2:$F$368,G737,FALSE)</f>
        <v>7.8968181818181797</v>
      </c>
      <c r="J737" s="119">
        <f ca="1">HLOOKUP($H$5,'Met Data'!$H$2:$M$368,G737,FALSE)*L737</f>
        <v>0.73030303030303001</v>
      </c>
      <c r="K737" s="98">
        <f ca="1">HLOOKUP($H$5,'Met Data'!$O$2:$T$368,G737,FALSE)</f>
        <v>2.13768236411026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" thickBot="1">
      <c r="G738" s="3">
        <f t="shared" ca="1" si="110"/>
        <v>245</v>
      </c>
      <c r="H738" s="97">
        <f t="shared" ca="1" si="119"/>
        <v>45901</v>
      </c>
      <c r="I738" s="121">
        <f ca="1">HLOOKUP($H$5,'Met Data'!$A$2:$F$368,G738,FALSE)</f>
        <v>8.5848484848484805</v>
      </c>
      <c r="J738" s="119">
        <f ca="1">HLOOKUP($H$5,'Met Data'!$H$2:$M$368,G738,FALSE)*L738</f>
        <v>1.66363636363636</v>
      </c>
      <c r="K738" s="98">
        <f ca="1">HLOOKUP($H$5,'Met Data'!$O$2:$T$368,G738,FALSE)</f>
        <v>2.4306848632987301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" thickBot="1">
      <c r="G739" s="3">
        <f t="shared" ca="1" si="110"/>
        <v>246</v>
      </c>
      <c r="H739" s="97">
        <f t="shared" ca="1" si="119"/>
        <v>45902</v>
      </c>
      <c r="I739" s="121">
        <f ca="1">HLOOKUP($H$5,'Met Data'!$A$2:$F$368,G739,FALSE)</f>
        <v>9.0333333333333297</v>
      </c>
      <c r="J739" s="119">
        <f ca="1">HLOOKUP($H$5,'Met Data'!$H$2:$M$368,G739,FALSE)*L739</f>
        <v>1.2393939393939299</v>
      </c>
      <c r="K739" s="98">
        <f ca="1">HLOOKUP($H$5,'Met Data'!$O$2:$T$368,G739,FALSE)</f>
        <v>2.2838857553046599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" thickBot="1">
      <c r="G740" s="3">
        <f t="shared" ca="1" si="110"/>
        <v>247</v>
      </c>
      <c r="H740" s="97">
        <f t="shared" ca="1" si="119"/>
        <v>45903</v>
      </c>
      <c r="I740" s="121">
        <f ca="1">HLOOKUP($H$5,'Met Data'!$A$2:$F$368,G740,FALSE)</f>
        <v>8.7469696969696908</v>
      </c>
      <c r="J740" s="119">
        <f ca="1">HLOOKUP($H$5,'Met Data'!$H$2:$M$368,G740,FALSE)*L740</f>
        <v>1.06969696969696</v>
      </c>
      <c r="K740" s="98">
        <f ca="1">HLOOKUP($H$5,'Met Data'!$O$2:$T$368,G740,FALSE)</f>
        <v>2.13744572746974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" thickBot="1">
      <c r="G741" s="3">
        <f t="shared" ca="1" si="110"/>
        <v>248</v>
      </c>
      <c r="H741" s="97">
        <f t="shared" ca="1" si="119"/>
        <v>45904</v>
      </c>
      <c r="I741" s="121">
        <f ca="1">HLOOKUP($H$5,'Met Data'!$A$2:$F$368,G741,FALSE)</f>
        <v>8.7227272727272709</v>
      </c>
      <c r="J741" s="119">
        <f ca="1">HLOOKUP($H$5,'Met Data'!$H$2:$M$368,G741,FALSE)*L741</f>
        <v>1.0878787878787799</v>
      </c>
      <c r="K741" s="98">
        <f ca="1">HLOOKUP($H$5,'Met Data'!$O$2:$T$368,G741,FALSE)</f>
        <v>2.20158976988608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" thickBot="1">
      <c r="G742" s="3">
        <f t="shared" ca="1" si="110"/>
        <v>249</v>
      </c>
      <c r="H742" s="97">
        <f t="shared" ca="1" si="119"/>
        <v>45905</v>
      </c>
      <c r="I742" s="121">
        <f ca="1">HLOOKUP($H$5,'Met Data'!$A$2:$F$368,G742,FALSE)</f>
        <v>8.4803030303030305</v>
      </c>
      <c r="J742" s="119">
        <f ca="1">HLOOKUP($H$5,'Met Data'!$H$2:$M$368,G742,FALSE)*L742</f>
        <v>0.95151515151515098</v>
      </c>
      <c r="K742" s="98">
        <f ca="1">HLOOKUP($H$5,'Met Data'!$O$2:$T$368,G742,FALSE)</f>
        <v>2.0118416889679498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" thickBot="1">
      <c r="G743" s="3">
        <f t="shared" ca="1" si="110"/>
        <v>250</v>
      </c>
      <c r="H743" s="97">
        <f t="shared" ca="1" si="119"/>
        <v>45906</v>
      </c>
      <c r="I743" s="121">
        <f ca="1">HLOOKUP($H$5,'Met Data'!$A$2:$F$368,G743,FALSE)</f>
        <v>8.9078125000000004</v>
      </c>
      <c r="J743" s="119">
        <f ca="1">HLOOKUP($H$5,'Met Data'!$H$2:$M$368,G743,FALSE)*L743</f>
        <v>1.4151515151515099</v>
      </c>
      <c r="K743" s="98">
        <f ca="1">HLOOKUP($H$5,'Met Data'!$O$2:$T$368,G743,FALSE)</f>
        <v>2.43907717587116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" thickBot="1">
      <c r="G744" s="3">
        <f t="shared" ca="1" si="110"/>
        <v>251</v>
      </c>
      <c r="H744" s="97">
        <f t="shared" ca="1" si="119"/>
        <v>45907</v>
      </c>
      <c r="I744" s="121">
        <f ca="1">HLOOKUP($H$5,'Met Data'!$A$2:$F$368,G744,FALSE)</f>
        <v>8.9656249999999993</v>
      </c>
      <c r="J744" s="119">
        <f ca="1">HLOOKUP($H$5,'Met Data'!$H$2:$M$368,G744,FALSE)*L744</f>
        <v>0.51818181818181797</v>
      </c>
      <c r="K744" s="98">
        <f ca="1">HLOOKUP($H$5,'Met Data'!$O$2:$T$368,G744,FALSE)</f>
        <v>2.4631446914892501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" thickBot="1">
      <c r="G745" s="3">
        <f t="shared" ca="1" si="110"/>
        <v>252</v>
      </c>
      <c r="H745" s="97">
        <f t="shared" ca="1" si="119"/>
        <v>45908</v>
      </c>
      <c r="I745" s="121">
        <f ca="1">HLOOKUP($H$5,'Met Data'!$A$2:$F$368,G745,FALSE)</f>
        <v>8.6015625</v>
      </c>
      <c r="J745" s="119">
        <f ca="1">HLOOKUP($H$5,'Met Data'!$H$2:$M$368,G745,FALSE)*L745</f>
        <v>1.0757575757575699</v>
      </c>
      <c r="K745" s="98">
        <f ca="1">HLOOKUP($H$5,'Met Data'!$O$2:$T$368,G745,FALSE)</f>
        <v>2.5132482169425701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" thickBot="1">
      <c r="G746" s="3">
        <f t="shared" ca="1" si="110"/>
        <v>253</v>
      </c>
      <c r="H746" s="97">
        <f t="shared" ca="1" si="119"/>
        <v>45909</v>
      </c>
      <c r="I746" s="121">
        <f ca="1">HLOOKUP($H$5,'Met Data'!$A$2:$F$368,G746,FALSE)</f>
        <v>8.0227272727272698</v>
      </c>
      <c r="J746" s="119">
        <f ca="1">HLOOKUP($H$5,'Met Data'!$H$2:$M$368,G746,FALSE)*L746</f>
        <v>1.0878787878787799</v>
      </c>
      <c r="K746" s="98">
        <f ca="1">HLOOKUP($H$5,'Met Data'!$O$2:$T$368,G746,FALSE)</f>
        <v>2.2941202547295898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" thickBot="1">
      <c r="G747" s="3">
        <f t="shared" ca="1" si="110"/>
        <v>254</v>
      </c>
      <c r="H747" s="97">
        <f t="shared" ca="1" si="119"/>
        <v>45910</v>
      </c>
      <c r="I747" s="121">
        <f ca="1">HLOOKUP($H$5,'Met Data'!$A$2:$F$368,G747,FALSE)</f>
        <v>9.0060606060606005</v>
      </c>
      <c r="J747" s="119">
        <f ca="1">HLOOKUP($H$5,'Met Data'!$H$2:$M$368,G747,FALSE)*L747</f>
        <v>1.08181818181818</v>
      </c>
      <c r="K747" s="98">
        <f ca="1">HLOOKUP($H$5,'Met Data'!$O$2:$T$368,G747,FALSE)</f>
        <v>2.6251015131954198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" thickBot="1">
      <c r="G748" s="3">
        <f t="shared" ca="1" si="110"/>
        <v>255</v>
      </c>
      <c r="H748" s="97">
        <f t="shared" ca="1" si="119"/>
        <v>45911</v>
      </c>
      <c r="I748" s="121">
        <f ca="1">HLOOKUP($H$5,'Met Data'!$A$2:$F$368,G748,FALSE)</f>
        <v>9.7090909090909001</v>
      </c>
      <c r="J748" s="119">
        <f ca="1">HLOOKUP($H$5,'Met Data'!$H$2:$M$368,G748,FALSE)*L748</f>
        <v>2.0393939393939302</v>
      </c>
      <c r="K748" s="98">
        <f ca="1">HLOOKUP($H$5,'Met Data'!$O$2:$T$368,G748,FALSE)</f>
        <v>2.7986809667616899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" thickBot="1">
      <c r="G749" s="3">
        <f t="shared" ca="1" si="110"/>
        <v>256</v>
      </c>
      <c r="H749" s="97">
        <f t="shared" ca="1" si="119"/>
        <v>45912</v>
      </c>
      <c r="I749" s="121">
        <f ca="1">HLOOKUP($H$5,'Met Data'!$A$2:$F$368,G749,FALSE)</f>
        <v>9.6212121212121193</v>
      </c>
      <c r="J749" s="119">
        <f ca="1">HLOOKUP($H$5,'Met Data'!$H$2:$M$368,G749,FALSE)*L749</f>
        <v>1.4424242424242399</v>
      </c>
      <c r="K749" s="98">
        <f ca="1">HLOOKUP($H$5,'Met Data'!$O$2:$T$368,G749,FALSE)</f>
        <v>2.6610711999077199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" thickBot="1">
      <c r="G750" s="3">
        <f t="shared" ca="1" si="110"/>
        <v>257</v>
      </c>
      <c r="H750" s="97">
        <f t="shared" ca="1" si="119"/>
        <v>45913</v>
      </c>
      <c r="I750" s="121">
        <f ca="1">HLOOKUP($H$5,'Met Data'!$A$2:$F$368,G750,FALSE)</f>
        <v>9.3833333333333293</v>
      </c>
      <c r="J750" s="119">
        <f ca="1">HLOOKUP($H$5,'Met Data'!$H$2:$M$368,G750,FALSE)*L750</f>
        <v>1.5181818181818101</v>
      </c>
      <c r="K750" s="98">
        <f ca="1">HLOOKUP($H$5,'Met Data'!$O$2:$T$368,G750,FALSE)</f>
        <v>2.3076791368567799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" thickBot="1">
      <c r="G751" s="3">
        <f t="shared" ca="1" si="110"/>
        <v>258</v>
      </c>
      <c r="H751" s="97">
        <f t="shared" ca="1" si="119"/>
        <v>45914</v>
      </c>
      <c r="I751" s="121">
        <f ca="1">HLOOKUP($H$5,'Met Data'!$A$2:$F$368,G751,FALSE)</f>
        <v>9.8590909090909093</v>
      </c>
      <c r="J751" s="119">
        <f ca="1">HLOOKUP($H$5,'Met Data'!$H$2:$M$368,G751,FALSE)*L751</f>
        <v>1.0060606060606001</v>
      </c>
      <c r="K751" s="98">
        <f ca="1">HLOOKUP($H$5,'Met Data'!$O$2:$T$368,G751,FALSE)</f>
        <v>2.7166636421386499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" thickBot="1">
      <c r="G752" s="3">
        <f t="shared" ca="1" si="110"/>
        <v>259</v>
      </c>
      <c r="H752" s="97">
        <f t="shared" ca="1" si="119"/>
        <v>45915</v>
      </c>
      <c r="I752" s="121">
        <f ca="1">HLOOKUP($H$5,'Met Data'!$A$2:$F$368,G752,FALSE)</f>
        <v>10.654545454545399</v>
      </c>
      <c r="J752" s="119">
        <f ca="1">HLOOKUP($H$5,'Met Data'!$H$2:$M$368,G752,FALSE)*L752</f>
        <v>0.69090909090909003</v>
      </c>
      <c r="K752" s="98">
        <f ca="1">HLOOKUP($H$5,'Met Data'!$O$2:$T$368,G752,FALSE)</f>
        <v>2.8776450917507499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" thickBot="1">
      <c r="G753" s="3">
        <f t="shared" ref="G753:G816" ca="1" si="120">H753-DATE(YEAR(H753),1,0)+1</f>
        <v>260</v>
      </c>
      <c r="H753" s="97">
        <f t="shared" ca="1" si="119"/>
        <v>45916</v>
      </c>
      <c r="I753" s="121">
        <f ca="1">HLOOKUP($H$5,'Met Data'!$A$2:$F$368,G753,FALSE)</f>
        <v>10.4757575757575</v>
      </c>
      <c r="J753" s="119">
        <f ca="1">HLOOKUP($H$5,'Met Data'!$H$2:$M$368,G753,FALSE)*L753</f>
        <v>0.112121212121212</v>
      </c>
      <c r="K753" s="98">
        <f ca="1">HLOOKUP($H$5,'Met Data'!$O$2:$T$368,G753,FALSE)</f>
        <v>2.9007479200825799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" thickBot="1">
      <c r="G754" s="3">
        <f t="shared" ca="1" si="120"/>
        <v>261</v>
      </c>
      <c r="H754" s="97">
        <f t="shared" ca="1" si="119"/>
        <v>45917</v>
      </c>
      <c r="I754" s="121">
        <f ca="1">HLOOKUP($H$5,'Met Data'!$A$2:$F$368,G754,FALSE)</f>
        <v>9.8469696969696905</v>
      </c>
      <c r="J754" s="119">
        <f ca="1">HLOOKUP($H$5,'Met Data'!$H$2:$M$368,G754,FALSE)*L754</f>
        <v>0.26969696969696899</v>
      </c>
      <c r="K754" s="98">
        <f ca="1">HLOOKUP($H$5,'Met Data'!$O$2:$T$368,G754,FALSE)</f>
        <v>2.7216431909543002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" thickBot="1">
      <c r="G755" s="3">
        <f t="shared" ca="1" si="120"/>
        <v>262</v>
      </c>
      <c r="H755" s="97">
        <f t="shared" ca="1" si="119"/>
        <v>45918</v>
      </c>
      <c r="I755" s="121">
        <f ca="1">HLOOKUP($H$5,'Met Data'!$A$2:$F$368,G755,FALSE)</f>
        <v>9.6045454545454501</v>
      </c>
      <c r="J755" s="119">
        <f ca="1">HLOOKUP($H$5,'Met Data'!$H$2:$M$368,G755,FALSE)*L755</f>
        <v>1.3212121212121199</v>
      </c>
      <c r="K755" s="98">
        <f ca="1">HLOOKUP($H$5,'Met Data'!$O$2:$T$368,G755,FALSE)</f>
        <v>2.6828140641286899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" thickBot="1">
      <c r="G756" s="3">
        <f t="shared" ca="1" si="120"/>
        <v>263</v>
      </c>
      <c r="H756" s="97">
        <f t="shared" ca="1" si="119"/>
        <v>45919</v>
      </c>
      <c r="I756" s="121">
        <f ca="1">HLOOKUP($H$5,'Met Data'!$A$2:$F$368,G756,FALSE)</f>
        <v>9.8772727272727199</v>
      </c>
      <c r="J756" s="119">
        <f ca="1">HLOOKUP($H$5,'Met Data'!$H$2:$M$368,G756,FALSE)*L756</f>
        <v>1.83636363636363</v>
      </c>
      <c r="K756" s="98">
        <f ca="1">HLOOKUP($H$5,'Met Data'!$O$2:$T$368,G756,FALSE)</f>
        <v>2.84418375617479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" thickBot="1">
      <c r="G757" s="3">
        <f t="shared" ca="1" si="120"/>
        <v>264</v>
      </c>
      <c r="H757" s="97">
        <f t="shared" ca="1" si="119"/>
        <v>45920</v>
      </c>
      <c r="I757" s="121">
        <f ca="1">HLOOKUP($H$5,'Met Data'!$A$2:$F$368,G757,FALSE)</f>
        <v>9.4984848484848392</v>
      </c>
      <c r="J757" s="119">
        <f ca="1">HLOOKUP($H$5,'Met Data'!$H$2:$M$368,G757,FALSE)*L757</f>
        <v>1.47272727272727</v>
      </c>
      <c r="K757" s="98">
        <f ca="1">HLOOKUP($H$5,'Met Data'!$O$2:$T$368,G757,FALSE)</f>
        <v>2.76130603025703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" thickBot="1">
      <c r="G758" s="3">
        <f t="shared" ca="1" si="120"/>
        <v>265</v>
      </c>
      <c r="H758" s="97">
        <f t="shared" ca="1" si="119"/>
        <v>45921</v>
      </c>
      <c r="I758" s="121">
        <f ca="1">HLOOKUP($H$5,'Met Data'!$A$2:$F$368,G758,FALSE)</f>
        <v>9.9712121212121207</v>
      </c>
      <c r="J758" s="119">
        <f ca="1">HLOOKUP($H$5,'Met Data'!$H$2:$M$368,G758,FALSE)*L758</f>
        <v>1.39090909090909</v>
      </c>
      <c r="K758" s="98">
        <f ca="1">HLOOKUP($H$5,'Met Data'!$O$2:$T$368,G758,FALSE)</f>
        <v>2.9434337638791899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" thickBot="1">
      <c r="G759" s="3">
        <f t="shared" ca="1" si="120"/>
        <v>266</v>
      </c>
      <c r="H759" s="97">
        <f t="shared" ca="1" si="119"/>
        <v>45922</v>
      </c>
      <c r="I759" s="121">
        <f ca="1">HLOOKUP($H$5,'Met Data'!$A$2:$F$368,G759,FALSE)</f>
        <v>9.6348484848484794</v>
      </c>
      <c r="J759" s="119">
        <f ca="1">HLOOKUP($H$5,'Met Data'!$H$2:$M$368,G759,FALSE)*L759</f>
        <v>1.4060606060606</v>
      </c>
      <c r="K759" s="98">
        <f ca="1">HLOOKUP($H$5,'Met Data'!$O$2:$T$368,G759,FALSE)</f>
        <v>2.8650949205126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" thickBot="1">
      <c r="G760" s="3">
        <f t="shared" ca="1" si="120"/>
        <v>267</v>
      </c>
      <c r="H760" s="97">
        <f t="shared" ca="1" si="119"/>
        <v>45923</v>
      </c>
      <c r="I760" s="121">
        <f ca="1">HLOOKUP($H$5,'Met Data'!$A$2:$F$368,G760,FALSE)</f>
        <v>9.4318181818181799</v>
      </c>
      <c r="J760" s="119">
        <f ca="1">HLOOKUP($H$5,'Met Data'!$H$2:$M$368,G760,FALSE)*L760</f>
        <v>0.86060606060606004</v>
      </c>
      <c r="K760" s="98">
        <f ca="1">HLOOKUP($H$5,'Met Data'!$O$2:$T$368,G760,FALSE)</f>
        <v>2.84690777824148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" thickBot="1">
      <c r="G761" s="3">
        <f t="shared" ca="1" si="120"/>
        <v>268</v>
      </c>
      <c r="H761" s="97">
        <f t="shared" ca="1" si="119"/>
        <v>45924</v>
      </c>
      <c r="I761" s="121">
        <f ca="1">HLOOKUP($H$5,'Met Data'!$A$2:$F$368,G761,FALSE)</f>
        <v>9.9181818181818109</v>
      </c>
      <c r="J761" s="119">
        <f ca="1">HLOOKUP($H$5,'Met Data'!$H$2:$M$368,G761,FALSE)*L761</f>
        <v>2.1454545454545402</v>
      </c>
      <c r="K761" s="98">
        <f ca="1">HLOOKUP($H$5,'Met Data'!$O$2:$T$368,G761,FALSE)</f>
        <v>2.75735755546836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" thickBot="1">
      <c r="G762" s="3">
        <f t="shared" ca="1" si="120"/>
        <v>269</v>
      </c>
      <c r="H762" s="97">
        <f t="shared" ca="1" si="119"/>
        <v>45925</v>
      </c>
      <c r="I762" s="121">
        <f ca="1">HLOOKUP($H$5,'Met Data'!$A$2:$F$368,G762,FALSE)</f>
        <v>9.4424242424242397</v>
      </c>
      <c r="J762" s="119">
        <f ca="1">HLOOKUP($H$5,'Met Data'!$H$2:$M$368,G762,FALSE)*L762</f>
        <v>2.4363636363636298</v>
      </c>
      <c r="K762" s="98">
        <f ca="1">HLOOKUP($H$5,'Met Data'!$O$2:$T$368,G762,FALSE)</f>
        <v>2.5822558734868299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" thickBot="1">
      <c r="G763" s="3">
        <f t="shared" ca="1" si="120"/>
        <v>270</v>
      </c>
      <c r="H763" s="97">
        <f t="shared" ca="1" si="119"/>
        <v>45926</v>
      </c>
      <c r="I763" s="121">
        <f ca="1">HLOOKUP($H$5,'Met Data'!$A$2:$F$368,G763,FALSE)</f>
        <v>10.2424242424242</v>
      </c>
      <c r="J763" s="119">
        <f ca="1">HLOOKUP($H$5,'Met Data'!$H$2:$M$368,G763,FALSE)*L763</f>
        <v>1.5363636363636299</v>
      </c>
      <c r="K763" s="98">
        <f ca="1">HLOOKUP($H$5,'Met Data'!$O$2:$T$368,G763,FALSE)</f>
        <v>3.0759435950739098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" thickBot="1">
      <c r="G764" s="3">
        <f t="shared" ca="1" si="120"/>
        <v>271</v>
      </c>
      <c r="H764" s="97">
        <f t="shared" ca="1" si="119"/>
        <v>45927</v>
      </c>
      <c r="I764" s="121">
        <f ca="1">HLOOKUP($H$5,'Met Data'!$A$2:$F$368,G764,FALSE)</f>
        <v>10.445454545454499</v>
      </c>
      <c r="J764" s="119">
        <f ca="1">HLOOKUP($H$5,'Met Data'!$H$2:$M$368,G764,FALSE)*L764</f>
        <v>0.384848484848484</v>
      </c>
      <c r="K764" s="98">
        <f ca="1">HLOOKUP($H$5,'Met Data'!$O$2:$T$368,G764,FALSE)</f>
        <v>3.0351526425456301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" thickBot="1">
      <c r="G765" s="3">
        <f t="shared" ca="1" si="120"/>
        <v>272</v>
      </c>
      <c r="H765" s="97">
        <f t="shared" ca="1" si="119"/>
        <v>45928</v>
      </c>
      <c r="I765" s="121">
        <f ca="1">HLOOKUP($H$5,'Met Data'!$A$2:$F$368,G765,FALSE)</f>
        <v>10.198484848484799</v>
      </c>
      <c r="J765" s="119">
        <f ca="1">HLOOKUP($H$5,'Met Data'!$H$2:$M$368,G765,FALSE)*L765</f>
        <v>2.6393939393939299</v>
      </c>
      <c r="K765" s="98">
        <f ca="1">HLOOKUP($H$5,'Met Data'!$O$2:$T$368,G765,FALSE)</f>
        <v>2.92273242129352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" thickBot="1">
      <c r="G766" s="3">
        <f t="shared" ca="1" si="120"/>
        <v>273</v>
      </c>
      <c r="H766" s="97">
        <f t="shared" ca="1" si="119"/>
        <v>45929</v>
      </c>
      <c r="I766" s="121">
        <f ca="1">HLOOKUP($H$5,'Met Data'!$A$2:$F$368,G766,FALSE)</f>
        <v>10.072727272727199</v>
      </c>
      <c r="J766" s="119">
        <f ca="1">HLOOKUP($H$5,'Met Data'!$H$2:$M$368,G766,FALSE)*L766</f>
        <v>2.21515151515151</v>
      </c>
      <c r="K766" s="98">
        <f ca="1">HLOOKUP($H$5,'Met Data'!$O$2:$T$368,G766,FALSE)</f>
        <v>3.0079671587405801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" thickBot="1">
      <c r="G767" s="3">
        <f t="shared" ca="1" si="120"/>
        <v>274</v>
      </c>
      <c r="H767" s="97">
        <f t="shared" ca="1" si="119"/>
        <v>45930</v>
      </c>
      <c r="I767" s="121">
        <f ca="1">HLOOKUP($H$5,'Met Data'!$A$2:$F$368,G767,FALSE)</f>
        <v>11.2515151515151</v>
      </c>
      <c r="J767" s="119">
        <f ca="1">HLOOKUP($H$5,'Met Data'!$H$2:$M$368,G767,FALSE)*L767</f>
        <v>0.33939393939393903</v>
      </c>
      <c r="K767" s="98">
        <f ca="1">HLOOKUP($H$5,'Met Data'!$O$2:$T$368,G767,FALSE)</f>
        <v>3.4114061949116499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" thickBot="1">
      <c r="G768" s="3">
        <f t="shared" ca="1" si="120"/>
        <v>275</v>
      </c>
      <c r="H768" s="97">
        <f t="shared" ca="1" si="119"/>
        <v>45931</v>
      </c>
      <c r="I768" s="121">
        <f ca="1">HLOOKUP($H$5,'Met Data'!$A$2:$F$368,G768,FALSE)</f>
        <v>11.2893939393939</v>
      </c>
      <c r="J768" s="119">
        <f ca="1">HLOOKUP($H$5,'Met Data'!$H$2:$M$368,G768,FALSE)*L768</f>
        <v>0.36060606060605999</v>
      </c>
      <c r="K768" s="98">
        <f ca="1">HLOOKUP($H$5,'Met Data'!$O$2:$T$368,G768,FALSE)</f>
        <v>3.4573036102364698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" thickBot="1">
      <c r="G769" s="3">
        <f t="shared" ca="1" si="120"/>
        <v>276</v>
      </c>
      <c r="H769" s="97">
        <f t="shared" ca="1" si="119"/>
        <v>45932</v>
      </c>
      <c r="I769" s="121">
        <f ca="1">HLOOKUP($H$5,'Met Data'!$A$2:$F$368,G769,FALSE)</f>
        <v>11.590909090908999</v>
      </c>
      <c r="J769" s="119">
        <f ca="1">HLOOKUP($H$5,'Met Data'!$H$2:$M$368,G769,FALSE)*L769</f>
        <v>0.86969696969696897</v>
      </c>
      <c r="K769" s="98">
        <f ca="1">HLOOKUP($H$5,'Met Data'!$O$2:$T$368,G769,FALSE)</f>
        <v>3.4181246576745901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" thickBot="1">
      <c r="G770" s="3">
        <f t="shared" ca="1" si="120"/>
        <v>277</v>
      </c>
      <c r="H770" s="97">
        <f t="shared" ca="1" si="119"/>
        <v>45933</v>
      </c>
      <c r="I770" s="121">
        <f ca="1">HLOOKUP($H$5,'Met Data'!$A$2:$F$368,G770,FALSE)</f>
        <v>10.8530303030303</v>
      </c>
      <c r="J770" s="119">
        <f ca="1">HLOOKUP($H$5,'Met Data'!$H$2:$M$368,G770,FALSE)*L770</f>
        <v>2.9272727272727201</v>
      </c>
      <c r="K770" s="98">
        <f ca="1">HLOOKUP($H$5,'Met Data'!$O$2:$T$368,G770,FALSE)</f>
        <v>3.28237222726839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" thickBot="1">
      <c r="G771" s="3">
        <f t="shared" ca="1" si="120"/>
        <v>278</v>
      </c>
      <c r="H771" s="97">
        <f t="shared" ca="1" si="119"/>
        <v>45934</v>
      </c>
      <c r="I771" s="121">
        <f ca="1">HLOOKUP($H$5,'Met Data'!$A$2:$F$368,G771,FALSE)</f>
        <v>10.580303030303</v>
      </c>
      <c r="J771" s="119">
        <f ca="1">HLOOKUP($H$5,'Met Data'!$H$2:$M$368,G771,FALSE)*L771</f>
        <v>3.0151515151515098</v>
      </c>
      <c r="K771" s="98">
        <f ca="1">HLOOKUP($H$5,'Met Data'!$O$2:$T$368,G771,FALSE)</f>
        <v>2.9435441276045902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" thickBot="1">
      <c r="G772" s="3">
        <f t="shared" ca="1" si="120"/>
        <v>279</v>
      </c>
      <c r="H772" s="97">
        <f t="shared" ca="1" si="119"/>
        <v>45935</v>
      </c>
      <c r="I772" s="121">
        <f ca="1">HLOOKUP($H$5,'Met Data'!$A$2:$F$368,G772,FALSE)</f>
        <v>10.5</v>
      </c>
      <c r="J772" s="119">
        <f ca="1">HLOOKUP($H$5,'Met Data'!$H$2:$M$368,G772,FALSE)*L772</f>
        <v>1.5060606060606001</v>
      </c>
      <c r="K772" s="98">
        <f ca="1">HLOOKUP($H$5,'Met Data'!$O$2:$T$368,G772,FALSE)</f>
        <v>3.3810413875387701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" thickBot="1">
      <c r="G773" s="3">
        <f t="shared" ca="1" si="120"/>
        <v>280</v>
      </c>
      <c r="H773" s="97">
        <f t="shared" ca="1" si="119"/>
        <v>45936</v>
      </c>
      <c r="I773" s="121">
        <f ca="1">HLOOKUP($H$5,'Met Data'!$A$2:$F$368,G773,FALSE)</f>
        <v>11.0757575757575</v>
      </c>
      <c r="J773" s="119">
        <f ca="1">HLOOKUP($H$5,'Met Data'!$H$2:$M$368,G773,FALSE)*L773</f>
        <v>0.86666666666666603</v>
      </c>
      <c r="K773" s="98">
        <f ca="1">HLOOKUP($H$5,'Met Data'!$O$2:$T$368,G773,FALSE)</f>
        <v>3.3814368699018198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" thickBot="1">
      <c r="G774" s="3">
        <f t="shared" ca="1" si="120"/>
        <v>281</v>
      </c>
      <c r="H774" s="97">
        <f t="shared" ca="1" si="119"/>
        <v>45937</v>
      </c>
      <c r="I774" s="121">
        <f ca="1">HLOOKUP($H$5,'Met Data'!$A$2:$F$368,G774,FALSE)</f>
        <v>11.1621212121212</v>
      </c>
      <c r="J774" s="119">
        <f ca="1">HLOOKUP($H$5,'Met Data'!$H$2:$M$368,G774,FALSE)*L774</f>
        <v>1.1424242424242399</v>
      </c>
      <c r="K774" s="98">
        <f ca="1">HLOOKUP($H$5,'Met Data'!$O$2:$T$368,G774,FALSE)</f>
        <v>3.44855016002714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" thickBot="1">
      <c r="G775" s="3">
        <f t="shared" ca="1" si="120"/>
        <v>282</v>
      </c>
      <c r="H775" s="97">
        <f t="shared" ca="1" si="119"/>
        <v>45938</v>
      </c>
      <c r="I775" s="121">
        <f ca="1">HLOOKUP($H$5,'Met Data'!$A$2:$F$368,G775,FALSE)</f>
        <v>10.442424242424201</v>
      </c>
      <c r="J775" s="119">
        <f ca="1">HLOOKUP($H$5,'Met Data'!$H$2:$M$368,G775,FALSE)*L775</f>
        <v>3.97272727272727</v>
      </c>
      <c r="K775" s="98">
        <f ca="1">HLOOKUP($H$5,'Met Data'!$O$2:$T$368,G775,FALSE)</f>
        <v>3.0735601882933201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" thickBot="1">
      <c r="G776" s="3">
        <f t="shared" ca="1" si="120"/>
        <v>283</v>
      </c>
      <c r="H776" s="97">
        <f t="shared" ca="1" si="119"/>
        <v>45939</v>
      </c>
      <c r="I776" s="121">
        <f ca="1">HLOOKUP($H$5,'Met Data'!$A$2:$F$368,G776,FALSE)</f>
        <v>10.1257575757575</v>
      </c>
      <c r="J776" s="119">
        <f ca="1">HLOOKUP($H$5,'Met Data'!$H$2:$M$368,G776,FALSE)*L776</f>
        <v>2.9363636363636298</v>
      </c>
      <c r="K776" s="98">
        <f ca="1">HLOOKUP($H$5,'Met Data'!$O$2:$T$368,G776,FALSE)</f>
        <v>2.8856583502815898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" thickBot="1">
      <c r="G777" s="3">
        <f t="shared" ca="1" si="120"/>
        <v>284</v>
      </c>
      <c r="H777" s="97">
        <f t="shared" ref="H777:H840" ca="1" si="129">H776+1</f>
        <v>45940</v>
      </c>
      <c r="I777" s="121">
        <f ca="1">HLOOKUP($H$5,'Met Data'!$A$2:$F$368,G777,FALSE)</f>
        <v>10.0590909090909</v>
      </c>
      <c r="J777" s="119">
        <f ca="1">HLOOKUP($H$5,'Met Data'!$H$2:$M$368,G777,FALSE)*L777</f>
        <v>2.5939393939393902</v>
      </c>
      <c r="K777" s="98">
        <f ca="1">HLOOKUP($H$5,'Met Data'!$O$2:$T$368,G777,FALSE)</f>
        <v>2.97068142496583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" thickBot="1">
      <c r="G778" s="3">
        <f t="shared" ca="1" si="120"/>
        <v>285</v>
      </c>
      <c r="H778" s="97">
        <f t="shared" ca="1" si="129"/>
        <v>45941</v>
      </c>
      <c r="I778" s="121">
        <f ca="1">HLOOKUP($H$5,'Met Data'!$A$2:$F$368,G778,FALSE)</f>
        <v>10.7469696969696</v>
      </c>
      <c r="J778" s="119">
        <f ca="1">HLOOKUP($H$5,'Met Data'!$H$2:$M$368,G778,FALSE)*L778</f>
        <v>1.8181818181818099</v>
      </c>
      <c r="K778" s="98">
        <f ca="1">HLOOKUP($H$5,'Met Data'!$O$2:$T$368,G778,FALSE)</f>
        <v>3.3415142660940802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" thickBot="1">
      <c r="G779" s="3">
        <f t="shared" ca="1" si="120"/>
        <v>286</v>
      </c>
      <c r="H779" s="97">
        <f t="shared" ca="1" si="129"/>
        <v>45942</v>
      </c>
      <c r="I779" s="121">
        <f ca="1">HLOOKUP($H$5,'Met Data'!$A$2:$F$368,G779,FALSE)</f>
        <v>12.012121212121199</v>
      </c>
      <c r="J779" s="119">
        <f ca="1">HLOOKUP($H$5,'Met Data'!$H$2:$M$368,G779,FALSE)*L779</f>
        <v>1.7393939393939299</v>
      </c>
      <c r="K779" s="98">
        <f ca="1">HLOOKUP($H$5,'Met Data'!$O$2:$T$368,G779,FALSE)</f>
        <v>3.8727634784268798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" thickBot="1">
      <c r="G780" s="3">
        <f t="shared" ca="1" si="120"/>
        <v>287</v>
      </c>
      <c r="H780" s="97">
        <f t="shared" ca="1" si="129"/>
        <v>45943</v>
      </c>
      <c r="I780" s="121">
        <f ca="1">HLOOKUP($H$5,'Met Data'!$A$2:$F$368,G780,FALSE)</f>
        <v>11.445454545454499</v>
      </c>
      <c r="J780" s="119">
        <f ca="1">HLOOKUP($H$5,'Met Data'!$H$2:$M$368,G780,FALSE)*L780</f>
        <v>3.22727272727272</v>
      </c>
      <c r="K780" s="98">
        <f ca="1">HLOOKUP($H$5,'Met Data'!$O$2:$T$368,G780,FALSE)</f>
        <v>3.7654187532628201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" thickBot="1">
      <c r="G781" s="3">
        <f t="shared" ca="1" si="120"/>
        <v>288</v>
      </c>
      <c r="H781" s="97">
        <f t="shared" ca="1" si="129"/>
        <v>45944</v>
      </c>
      <c r="I781" s="121">
        <f ca="1">HLOOKUP($H$5,'Met Data'!$A$2:$F$368,G781,FALSE)</f>
        <v>11.0863636363636</v>
      </c>
      <c r="J781" s="119">
        <f ca="1">HLOOKUP($H$5,'Met Data'!$H$2:$M$368,G781,FALSE)*L781</f>
        <v>1.8060606060605999</v>
      </c>
      <c r="K781" s="98">
        <f ca="1">HLOOKUP($H$5,'Met Data'!$O$2:$T$368,G781,FALSE)</f>
        <v>3.5839169020731898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" thickBot="1">
      <c r="G782" s="3">
        <f t="shared" ca="1" si="120"/>
        <v>289</v>
      </c>
      <c r="H782" s="97">
        <f t="shared" ca="1" si="129"/>
        <v>45945</v>
      </c>
      <c r="I782" s="121">
        <f ca="1">HLOOKUP($H$5,'Met Data'!$A$2:$F$368,G782,FALSE)</f>
        <v>10.820454545454499</v>
      </c>
      <c r="J782" s="119">
        <f ca="1">HLOOKUP($H$5,'Met Data'!$H$2:$M$368,G782,FALSE)*L782</f>
        <v>1.17272727272727</v>
      </c>
      <c r="K782" s="98">
        <f ca="1">HLOOKUP($H$5,'Met Data'!$O$2:$T$368,G782,FALSE)</f>
        <v>3.5135934353686902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" thickBot="1">
      <c r="G783" s="3">
        <f t="shared" ca="1" si="120"/>
        <v>290</v>
      </c>
      <c r="H783" s="97">
        <f t="shared" ca="1" si="129"/>
        <v>45946</v>
      </c>
      <c r="I783" s="121">
        <f ca="1">HLOOKUP($H$5,'Met Data'!$A$2:$F$368,G783,FALSE)</f>
        <v>11.382575757575699</v>
      </c>
      <c r="J783" s="119">
        <f ca="1">HLOOKUP($H$5,'Met Data'!$H$2:$M$368,G783,FALSE)*L783</f>
        <v>0.98181818181818103</v>
      </c>
      <c r="K783" s="98">
        <f ca="1">HLOOKUP($H$5,'Met Data'!$O$2:$T$368,G783,FALSE)</f>
        <v>3.66659887182134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" thickBot="1">
      <c r="G784" s="3">
        <f t="shared" ca="1" si="120"/>
        <v>291</v>
      </c>
      <c r="H784" s="97">
        <f t="shared" ca="1" si="129"/>
        <v>45947</v>
      </c>
      <c r="I784" s="121">
        <f ca="1">HLOOKUP($H$5,'Met Data'!$A$2:$F$368,G784,FALSE)</f>
        <v>12.1743939393939</v>
      </c>
      <c r="J784" s="119">
        <f ca="1">HLOOKUP($H$5,'Met Data'!$H$2:$M$368,G784,FALSE)*L784</f>
        <v>1.93030303030303</v>
      </c>
      <c r="K784" s="98">
        <f ca="1">HLOOKUP($H$5,'Met Data'!$O$2:$T$368,G784,FALSE)</f>
        <v>4.4221266913625099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" thickBot="1">
      <c r="G785" s="3">
        <f t="shared" ca="1" si="120"/>
        <v>292</v>
      </c>
      <c r="H785" s="97">
        <f t="shared" ca="1" si="129"/>
        <v>45948</v>
      </c>
      <c r="I785" s="121">
        <f ca="1">HLOOKUP($H$5,'Met Data'!$A$2:$F$368,G785,FALSE)</f>
        <v>11.5590909090909</v>
      </c>
      <c r="J785" s="119">
        <f ca="1">HLOOKUP($H$5,'Met Data'!$H$2:$M$368,G785,FALSE)*L785</f>
        <v>0.9</v>
      </c>
      <c r="K785" s="98">
        <f ca="1">HLOOKUP($H$5,'Met Data'!$O$2:$T$368,G785,FALSE)</f>
        <v>4.1615819400289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" thickBot="1">
      <c r="G786" s="3">
        <f t="shared" ca="1" si="120"/>
        <v>293</v>
      </c>
      <c r="H786" s="97">
        <f t="shared" ca="1" si="129"/>
        <v>45949</v>
      </c>
      <c r="I786" s="121">
        <f ca="1">HLOOKUP($H$5,'Met Data'!$A$2:$F$368,G786,FALSE)</f>
        <v>11.530303030302999</v>
      </c>
      <c r="J786" s="119">
        <f ca="1">HLOOKUP($H$5,'Met Data'!$H$2:$M$368,G786,FALSE)*L786</f>
        <v>2.16363636363636</v>
      </c>
      <c r="K786" s="98">
        <f ca="1">HLOOKUP($H$5,'Met Data'!$O$2:$T$368,G786,FALSE)</f>
        <v>4.1616928735003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" thickBot="1">
      <c r="G787" s="3">
        <f t="shared" ca="1" si="120"/>
        <v>294</v>
      </c>
      <c r="H787" s="97">
        <f t="shared" ca="1" si="129"/>
        <v>45950</v>
      </c>
      <c r="I787" s="121">
        <f ca="1">HLOOKUP($H$5,'Met Data'!$A$2:$F$368,G787,FALSE)</f>
        <v>11.592424242424199</v>
      </c>
      <c r="J787" s="119">
        <f ca="1">HLOOKUP($H$5,'Met Data'!$H$2:$M$368,G787,FALSE)*L787</f>
        <v>0.68787878787878698</v>
      </c>
      <c r="K787" s="98">
        <f ca="1">HLOOKUP($H$5,'Met Data'!$O$2:$T$368,G787,FALSE)</f>
        <v>4.1355638104854497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" thickBot="1">
      <c r="G788" s="3">
        <f t="shared" ca="1" si="120"/>
        <v>295</v>
      </c>
      <c r="H788" s="97">
        <f t="shared" ca="1" si="129"/>
        <v>45951</v>
      </c>
      <c r="I788" s="121">
        <f ca="1">HLOOKUP($H$5,'Met Data'!$A$2:$F$368,G788,FALSE)</f>
        <v>12.6712121212121</v>
      </c>
      <c r="J788" s="119">
        <f ca="1">HLOOKUP($H$5,'Met Data'!$H$2:$M$368,G788,FALSE)*L788</f>
        <v>0.91515151515151505</v>
      </c>
      <c r="K788" s="98">
        <f ca="1">HLOOKUP($H$5,'Met Data'!$O$2:$T$368,G788,FALSE)</f>
        <v>4.2548689124348202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" thickBot="1">
      <c r="G789" s="3">
        <f t="shared" ca="1" si="120"/>
        <v>296</v>
      </c>
      <c r="H789" s="97">
        <f t="shared" ca="1" si="129"/>
        <v>45952</v>
      </c>
      <c r="I789" s="121">
        <f ca="1">HLOOKUP($H$5,'Met Data'!$A$2:$F$368,G789,FALSE)</f>
        <v>11.5966666666666</v>
      </c>
      <c r="J789" s="119">
        <f ca="1">HLOOKUP($H$5,'Met Data'!$H$2:$M$368,G789,FALSE)*L789</f>
        <v>1.0757575757575699</v>
      </c>
      <c r="K789" s="98">
        <f ca="1">HLOOKUP($H$5,'Met Data'!$O$2:$T$368,G789,FALSE)</f>
        <v>3.8892850116651498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" thickBot="1">
      <c r="G790" s="3">
        <f t="shared" ca="1" si="120"/>
        <v>297</v>
      </c>
      <c r="H790" s="97">
        <f t="shared" ca="1" si="129"/>
        <v>45953</v>
      </c>
      <c r="I790" s="121">
        <f ca="1">HLOOKUP($H$5,'Met Data'!$A$2:$F$368,G790,FALSE)</f>
        <v>11.5331818181818</v>
      </c>
      <c r="J790" s="119">
        <f ca="1">HLOOKUP($H$5,'Met Data'!$H$2:$M$368,G790,FALSE)*L790</f>
        <v>1.5757575757575699</v>
      </c>
      <c r="K790" s="98">
        <f ca="1">HLOOKUP($H$5,'Met Data'!$O$2:$T$368,G790,FALSE)</f>
        <v>3.7538214127918499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" thickBot="1">
      <c r="G791" s="3">
        <f t="shared" ca="1" si="120"/>
        <v>298</v>
      </c>
      <c r="H791" s="97">
        <f t="shared" ca="1" si="129"/>
        <v>45954</v>
      </c>
      <c r="I791" s="121">
        <f ca="1">HLOOKUP($H$5,'Met Data'!$A$2:$F$368,G791,FALSE)</f>
        <v>11.6060606060606</v>
      </c>
      <c r="J791" s="119">
        <f ca="1">HLOOKUP($H$5,'Met Data'!$H$2:$M$368,G791,FALSE)*L791</f>
        <v>0.95454545454545403</v>
      </c>
      <c r="K791" s="98">
        <f ca="1">HLOOKUP($H$5,'Met Data'!$O$2:$T$368,G791,FALSE)</f>
        <v>3.9920282440950898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" thickBot="1">
      <c r="G792" s="3">
        <f t="shared" ca="1" si="120"/>
        <v>299</v>
      </c>
      <c r="H792" s="97">
        <f t="shared" ca="1" si="129"/>
        <v>45955</v>
      </c>
      <c r="I792" s="121">
        <f ca="1">HLOOKUP($H$5,'Met Data'!$A$2:$F$368,G792,FALSE)</f>
        <v>11.821212121212101</v>
      </c>
      <c r="J792" s="119">
        <f ca="1">HLOOKUP($H$5,'Met Data'!$H$2:$M$368,G792,FALSE)*L792</f>
        <v>0.13030303030303</v>
      </c>
      <c r="K792" s="98">
        <f ca="1">HLOOKUP($H$5,'Met Data'!$O$2:$T$368,G792,FALSE)</f>
        <v>3.94572673133468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" thickBot="1">
      <c r="G793" s="3">
        <f t="shared" ca="1" si="120"/>
        <v>300</v>
      </c>
      <c r="H793" s="97">
        <f t="shared" ca="1" si="129"/>
        <v>45956</v>
      </c>
      <c r="I793" s="121">
        <f ca="1">HLOOKUP($H$5,'Met Data'!$A$2:$F$368,G793,FALSE)</f>
        <v>12.8742424242424</v>
      </c>
      <c r="J793" s="119">
        <f ca="1">HLOOKUP($H$5,'Met Data'!$H$2:$M$368,G793,FALSE)*L793</f>
        <v>1.03939393939393</v>
      </c>
      <c r="K793" s="98">
        <f ca="1">HLOOKUP($H$5,'Met Data'!$O$2:$T$368,G793,FALSE)</f>
        <v>4.24133991088486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" thickBot="1">
      <c r="G794" s="3">
        <f t="shared" ca="1" si="120"/>
        <v>301</v>
      </c>
      <c r="H794" s="97">
        <f t="shared" ca="1" si="129"/>
        <v>45957</v>
      </c>
      <c r="I794" s="121">
        <f ca="1">HLOOKUP($H$5,'Met Data'!$A$2:$F$368,G794,FALSE)</f>
        <v>12.3921212121212</v>
      </c>
      <c r="J794" s="119">
        <f ca="1">HLOOKUP($H$5,'Met Data'!$H$2:$M$368,G794,FALSE)*L794</f>
        <v>1.66060606060606</v>
      </c>
      <c r="K794" s="98">
        <f ca="1">HLOOKUP($H$5,'Met Data'!$O$2:$T$368,G794,FALSE)</f>
        <v>3.98512648995679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" thickBot="1">
      <c r="G795" s="3">
        <f t="shared" ca="1" si="120"/>
        <v>302</v>
      </c>
      <c r="H795" s="97">
        <f t="shared" ca="1" si="129"/>
        <v>45958</v>
      </c>
      <c r="I795" s="121">
        <f ca="1">HLOOKUP($H$5,'Met Data'!$A$2:$F$368,G795,FALSE)</f>
        <v>13.0242424242424</v>
      </c>
      <c r="J795" s="119">
        <f ca="1">HLOOKUP($H$5,'Met Data'!$H$2:$M$368,G795,FALSE)*L795</f>
        <v>1.6848484848484799</v>
      </c>
      <c r="K795" s="98">
        <f ca="1">HLOOKUP($H$5,'Met Data'!$O$2:$T$368,G795,FALSE)</f>
        <v>4.06785476536513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" thickBot="1">
      <c r="G796" s="3">
        <f t="shared" ca="1" si="120"/>
        <v>303</v>
      </c>
      <c r="H796" s="97">
        <f t="shared" ca="1" si="129"/>
        <v>45959</v>
      </c>
      <c r="I796" s="121">
        <f ca="1">HLOOKUP($H$5,'Met Data'!$A$2:$F$368,G796,FALSE)</f>
        <v>13.2075757575757</v>
      </c>
      <c r="J796" s="119">
        <f ca="1">HLOOKUP($H$5,'Met Data'!$H$2:$M$368,G796,FALSE)*L796</f>
        <v>1</v>
      </c>
      <c r="K796" s="98">
        <f ca="1">HLOOKUP($H$5,'Met Data'!$O$2:$T$368,G796,FALSE)</f>
        <v>3.8638743234578601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" thickBot="1">
      <c r="G797" s="3">
        <f t="shared" ca="1" si="120"/>
        <v>304</v>
      </c>
      <c r="H797" s="97">
        <f t="shared" ca="1" si="129"/>
        <v>45960</v>
      </c>
      <c r="I797" s="121">
        <f ca="1">HLOOKUP($H$5,'Met Data'!$A$2:$F$368,G797,FALSE)</f>
        <v>12.865151515151499</v>
      </c>
      <c r="J797" s="119">
        <f ca="1">HLOOKUP($H$5,'Met Data'!$H$2:$M$368,G797,FALSE)*L797</f>
        <v>1.44848484848484</v>
      </c>
      <c r="K797" s="98">
        <f ca="1">HLOOKUP($H$5,'Met Data'!$O$2:$T$368,G797,FALSE)</f>
        <v>4.2171092806571897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" thickBot="1">
      <c r="G798" s="3">
        <f t="shared" ca="1" si="120"/>
        <v>305</v>
      </c>
      <c r="H798" s="97">
        <f t="shared" ca="1" si="129"/>
        <v>45961</v>
      </c>
      <c r="I798" s="121">
        <f ca="1">HLOOKUP($H$5,'Met Data'!$A$2:$F$368,G798,FALSE)</f>
        <v>12.8045454545454</v>
      </c>
      <c r="J798" s="119">
        <f ca="1">HLOOKUP($H$5,'Met Data'!$H$2:$M$368,G798,FALSE)*L798</f>
        <v>0.38787878787878699</v>
      </c>
      <c r="K798" s="98">
        <f ca="1">HLOOKUP($H$5,'Met Data'!$O$2:$T$368,G798,FALSE)</f>
        <v>4.4006301765887699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" thickBot="1">
      <c r="G799" s="3">
        <f t="shared" ca="1" si="120"/>
        <v>306</v>
      </c>
      <c r="H799" s="97">
        <f t="shared" ca="1" si="129"/>
        <v>45962</v>
      </c>
      <c r="I799" s="121">
        <f ca="1">HLOOKUP($H$5,'Met Data'!$A$2:$F$368,G799,FALSE)</f>
        <v>13.4363636363636</v>
      </c>
      <c r="J799" s="119">
        <f ca="1">HLOOKUP($H$5,'Met Data'!$H$2:$M$368,G799,FALSE)*L799</f>
        <v>0.82121212121212095</v>
      </c>
      <c r="K799" s="98">
        <f ca="1">HLOOKUP($H$5,'Met Data'!$O$2:$T$368,G799,FALSE)</f>
        <v>4.6060103377193604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" thickBot="1">
      <c r="G800" s="3">
        <f t="shared" ca="1" si="120"/>
        <v>307</v>
      </c>
      <c r="H800" s="97">
        <f t="shared" ca="1" si="129"/>
        <v>45963</v>
      </c>
      <c r="I800" s="121">
        <f ca="1">HLOOKUP($H$5,'Met Data'!$A$2:$F$368,G800,FALSE)</f>
        <v>12.756060606060601</v>
      </c>
      <c r="J800" s="119">
        <f ca="1">HLOOKUP($H$5,'Met Data'!$H$2:$M$368,G800,FALSE)*L800</f>
        <v>1.5727272727272701</v>
      </c>
      <c r="K800" s="98">
        <f ca="1">HLOOKUP($H$5,'Met Data'!$O$2:$T$368,G800,FALSE)</f>
        <v>4.4078340774843401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" thickBot="1">
      <c r="G801" s="3">
        <f t="shared" ca="1" si="120"/>
        <v>308</v>
      </c>
      <c r="H801" s="97">
        <f t="shared" ca="1" si="129"/>
        <v>45964</v>
      </c>
      <c r="I801" s="121">
        <f ca="1">HLOOKUP($H$5,'Met Data'!$A$2:$F$368,G801,FALSE)</f>
        <v>12.960606060606001</v>
      </c>
      <c r="J801" s="119">
        <f ca="1">HLOOKUP($H$5,'Met Data'!$H$2:$M$368,G801,FALSE)*L801</f>
        <v>0.86969696969696897</v>
      </c>
      <c r="K801" s="98">
        <f ca="1">HLOOKUP($H$5,'Met Data'!$O$2:$T$368,G801,FALSE)</f>
        <v>4.7355757109775203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" thickBot="1">
      <c r="G802" s="3">
        <f t="shared" ca="1" si="120"/>
        <v>309</v>
      </c>
      <c r="H802" s="97">
        <f t="shared" ca="1" si="129"/>
        <v>45965</v>
      </c>
      <c r="I802" s="121">
        <f ca="1">HLOOKUP($H$5,'Met Data'!$A$2:$F$368,G802,FALSE)</f>
        <v>13.0166666666666</v>
      </c>
      <c r="J802" s="119">
        <f ca="1">HLOOKUP($H$5,'Met Data'!$H$2:$M$368,G802,FALSE)*L802</f>
        <v>0.972727272727272</v>
      </c>
      <c r="K802" s="98">
        <f ca="1">HLOOKUP($H$5,'Met Data'!$O$2:$T$368,G802,FALSE)</f>
        <v>4.6816234323257397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" thickBot="1">
      <c r="G803" s="3">
        <f t="shared" ca="1" si="120"/>
        <v>310</v>
      </c>
      <c r="H803" s="97">
        <f t="shared" ca="1" si="129"/>
        <v>45966</v>
      </c>
      <c r="I803" s="121">
        <f ca="1">HLOOKUP($H$5,'Met Data'!$A$2:$F$368,G803,FALSE)</f>
        <v>12.8439393939393</v>
      </c>
      <c r="J803" s="119">
        <f ca="1">HLOOKUP($H$5,'Met Data'!$H$2:$M$368,G803,FALSE)*L803</f>
        <v>1.7090909090908999</v>
      </c>
      <c r="K803" s="98">
        <f ca="1">HLOOKUP($H$5,'Met Data'!$O$2:$T$368,G803,FALSE)</f>
        <v>4.6727463269062399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" thickBot="1">
      <c r="G804" s="3">
        <f t="shared" ca="1" si="120"/>
        <v>311</v>
      </c>
      <c r="H804" s="97">
        <f t="shared" ca="1" si="129"/>
        <v>45967</v>
      </c>
      <c r="I804" s="121">
        <f ca="1">HLOOKUP($H$5,'Met Data'!$A$2:$F$368,G804,FALSE)</f>
        <v>12.319696969696899</v>
      </c>
      <c r="J804" s="119">
        <f ca="1">HLOOKUP($H$5,'Met Data'!$H$2:$M$368,G804,FALSE)*L804</f>
        <v>1.2030303030303</v>
      </c>
      <c r="K804" s="98">
        <f ca="1">HLOOKUP($H$5,'Met Data'!$O$2:$T$368,G804,FALSE)</f>
        <v>4.2180058763468802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" thickBot="1">
      <c r="G805" s="3">
        <f t="shared" ca="1" si="120"/>
        <v>312</v>
      </c>
      <c r="H805" s="97">
        <f t="shared" ca="1" si="129"/>
        <v>45968</v>
      </c>
      <c r="I805" s="121">
        <f ca="1">HLOOKUP($H$5,'Met Data'!$A$2:$F$368,G805,FALSE)</f>
        <v>12.6025757575757</v>
      </c>
      <c r="J805" s="119">
        <f ca="1">HLOOKUP($H$5,'Met Data'!$H$2:$M$368,G805,FALSE)*L805</f>
        <v>2.3060606060605999</v>
      </c>
      <c r="K805" s="98">
        <f ca="1">HLOOKUP($H$5,'Met Data'!$O$2:$T$368,G805,FALSE)</f>
        <v>4.3094672807614902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" thickBot="1">
      <c r="G806" s="3">
        <f t="shared" ca="1" si="120"/>
        <v>313</v>
      </c>
      <c r="H806" s="97">
        <f t="shared" ca="1" si="129"/>
        <v>45969</v>
      </c>
      <c r="I806" s="121">
        <f ca="1">HLOOKUP($H$5,'Met Data'!$A$2:$F$368,G806,FALSE)</f>
        <v>12.547121212121199</v>
      </c>
      <c r="J806" s="119">
        <f ca="1">HLOOKUP($H$5,'Met Data'!$H$2:$M$368,G806,FALSE)*L806</f>
        <v>0.92727272727272703</v>
      </c>
      <c r="K806" s="98">
        <f ca="1">HLOOKUP($H$5,'Met Data'!$O$2:$T$368,G806,FALSE)</f>
        <v>4.1336721636417497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" thickBot="1">
      <c r="G807" s="3">
        <f t="shared" ca="1" si="120"/>
        <v>314</v>
      </c>
      <c r="H807" s="97">
        <f t="shared" ca="1" si="129"/>
        <v>45970</v>
      </c>
      <c r="I807" s="121">
        <f ca="1">HLOOKUP($H$5,'Met Data'!$A$2:$F$368,G807,FALSE)</f>
        <v>12.8168181818181</v>
      </c>
      <c r="J807" s="119">
        <f ca="1">HLOOKUP($H$5,'Met Data'!$H$2:$M$368,G807,FALSE)*L807</f>
        <v>1.0212121212121199</v>
      </c>
      <c r="K807" s="98">
        <f ca="1">HLOOKUP($H$5,'Met Data'!$O$2:$T$368,G807,FALSE)</f>
        <v>4.3938915359457704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" thickBot="1">
      <c r="G808" s="3">
        <f t="shared" ca="1" si="120"/>
        <v>315</v>
      </c>
      <c r="H808" s="97">
        <f t="shared" ca="1" si="129"/>
        <v>45971</v>
      </c>
      <c r="I808" s="121">
        <f ca="1">HLOOKUP($H$5,'Met Data'!$A$2:$F$368,G808,FALSE)</f>
        <v>14.334848484848401</v>
      </c>
      <c r="J808" s="119">
        <f ca="1">HLOOKUP($H$5,'Met Data'!$H$2:$M$368,G808,FALSE)*L808</f>
        <v>0.51818181818181797</v>
      </c>
      <c r="K808" s="98">
        <f ca="1">HLOOKUP($H$5,'Met Data'!$O$2:$T$368,G808,FALSE)</f>
        <v>5.1862560436492702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" thickBot="1">
      <c r="G809" s="3">
        <f t="shared" ca="1" si="120"/>
        <v>316</v>
      </c>
      <c r="H809" s="97">
        <f t="shared" ca="1" si="129"/>
        <v>45972</v>
      </c>
      <c r="I809" s="121">
        <f ca="1">HLOOKUP($H$5,'Met Data'!$A$2:$F$368,G809,FALSE)</f>
        <v>13.660606060606</v>
      </c>
      <c r="J809" s="119">
        <f ca="1">HLOOKUP($H$5,'Met Data'!$H$2:$M$368,G809,FALSE)*L809</f>
        <v>0.90606060606060601</v>
      </c>
      <c r="K809" s="98">
        <f ca="1">HLOOKUP($H$5,'Met Data'!$O$2:$T$368,G809,FALSE)</f>
        <v>4.8906124961293598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" thickBot="1">
      <c r="G810" s="3">
        <f t="shared" ca="1" si="120"/>
        <v>317</v>
      </c>
      <c r="H810" s="97">
        <f t="shared" ca="1" si="129"/>
        <v>45973</v>
      </c>
      <c r="I810" s="121">
        <f ca="1">HLOOKUP($H$5,'Met Data'!$A$2:$F$368,G810,FALSE)</f>
        <v>13.3045454545454</v>
      </c>
      <c r="J810" s="119">
        <f ca="1">HLOOKUP($H$5,'Met Data'!$H$2:$M$368,G810,FALSE)*L810</f>
        <v>2.2575757575757498</v>
      </c>
      <c r="K810" s="98">
        <f ca="1">HLOOKUP($H$5,'Met Data'!$O$2:$T$368,G810,FALSE)</f>
        <v>4.5262878878537398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" thickBot="1">
      <c r="G811" s="3">
        <f t="shared" ca="1" si="120"/>
        <v>318</v>
      </c>
      <c r="H811" s="97">
        <f t="shared" ca="1" si="129"/>
        <v>45974</v>
      </c>
      <c r="I811" s="121">
        <f ca="1">HLOOKUP($H$5,'Met Data'!$A$2:$F$368,G811,FALSE)</f>
        <v>12.422727272727199</v>
      </c>
      <c r="J811" s="119">
        <f ca="1">HLOOKUP($H$5,'Met Data'!$H$2:$M$368,G811,FALSE)*L811</f>
        <v>1.1818181818181801</v>
      </c>
      <c r="K811" s="98">
        <f ca="1">HLOOKUP($H$5,'Met Data'!$O$2:$T$368,G811,FALSE)</f>
        <v>4.3459922348738003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" thickBot="1">
      <c r="G812" s="3">
        <f t="shared" ca="1" si="120"/>
        <v>319</v>
      </c>
      <c r="H812" s="97">
        <f t="shared" ca="1" si="129"/>
        <v>45975</v>
      </c>
      <c r="I812" s="121">
        <f ca="1">HLOOKUP($H$5,'Met Data'!$A$2:$F$368,G812,FALSE)</f>
        <v>12.9954545454545</v>
      </c>
      <c r="J812" s="119">
        <f ca="1">HLOOKUP($H$5,'Met Data'!$H$2:$M$368,G812,FALSE)*L812</f>
        <v>0.324242424242424</v>
      </c>
      <c r="K812" s="98">
        <f ca="1">HLOOKUP($H$5,'Met Data'!$O$2:$T$368,G812,FALSE)</f>
        <v>4.6406514807717096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" thickBot="1">
      <c r="G813" s="3">
        <f t="shared" ca="1" si="120"/>
        <v>320</v>
      </c>
      <c r="H813" s="97">
        <f t="shared" ca="1" si="129"/>
        <v>45976</v>
      </c>
      <c r="I813" s="121">
        <f ca="1">HLOOKUP($H$5,'Met Data'!$A$2:$F$368,G813,FALSE)</f>
        <v>13.430303030303</v>
      </c>
      <c r="J813" s="119">
        <f ca="1">HLOOKUP($H$5,'Met Data'!$H$2:$M$368,G813,FALSE)*L813</f>
        <v>0.469696969696969</v>
      </c>
      <c r="K813" s="98">
        <f ca="1">HLOOKUP($H$5,'Met Data'!$O$2:$T$368,G813,FALSE)</f>
        <v>5.0457035491188602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" thickBot="1">
      <c r="G814" s="3">
        <f t="shared" ca="1" si="120"/>
        <v>321</v>
      </c>
      <c r="H814" s="97">
        <f t="shared" ca="1" si="129"/>
        <v>45977</v>
      </c>
      <c r="I814" s="121">
        <f ca="1">HLOOKUP($H$5,'Met Data'!$A$2:$F$368,G814,FALSE)</f>
        <v>13.7712121212121</v>
      </c>
      <c r="J814" s="119">
        <f ca="1">HLOOKUP($H$5,'Met Data'!$H$2:$M$368,G814,FALSE)*L814</f>
        <v>1.79696969696969</v>
      </c>
      <c r="K814" s="98">
        <f ca="1">HLOOKUP($H$5,'Met Data'!$O$2:$T$368,G814,FALSE)</f>
        <v>4.8091723913410096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" thickBot="1">
      <c r="G815" s="3">
        <f t="shared" ca="1" si="120"/>
        <v>322</v>
      </c>
      <c r="H815" s="97">
        <f t="shared" ca="1" si="129"/>
        <v>45978</v>
      </c>
      <c r="I815" s="121">
        <f ca="1">HLOOKUP($H$5,'Met Data'!$A$2:$F$368,G815,FALSE)</f>
        <v>12.8924242424242</v>
      </c>
      <c r="J815" s="119">
        <f ca="1">HLOOKUP($H$5,'Met Data'!$H$2:$M$368,G815,FALSE)*L815</f>
        <v>1.46969696969696</v>
      </c>
      <c r="K815" s="98">
        <f ca="1">HLOOKUP($H$5,'Met Data'!$O$2:$T$368,G815,FALSE)</f>
        <v>4.4924353878463998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" thickBot="1">
      <c r="G816" s="3">
        <f t="shared" ca="1" si="120"/>
        <v>323</v>
      </c>
      <c r="H816" s="97">
        <f t="shared" ca="1" si="129"/>
        <v>45979</v>
      </c>
      <c r="I816" s="121">
        <f ca="1">HLOOKUP($H$5,'Met Data'!$A$2:$F$368,G816,FALSE)</f>
        <v>12.363636363636299</v>
      </c>
      <c r="J816" s="119">
        <f ca="1">HLOOKUP($H$5,'Met Data'!$H$2:$M$368,G816,FALSE)*L816</f>
        <v>2.6151515151515099</v>
      </c>
      <c r="K816" s="98">
        <f ca="1">HLOOKUP($H$5,'Met Data'!$O$2:$T$368,G816,FALSE)</f>
        <v>4.3049572040258504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" thickBot="1">
      <c r="G817" s="3">
        <f t="shared" ref="G817:G880" ca="1" si="130">H817-DATE(YEAR(H817),1,0)+1</f>
        <v>324</v>
      </c>
      <c r="H817" s="97">
        <f t="shared" ca="1" si="129"/>
        <v>45980</v>
      </c>
      <c r="I817" s="121">
        <f ca="1">HLOOKUP($H$5,'Met Data'!$A$2:$F$368,G817,FALSE)</f>
        <v>12.159090909090899</v>
      </c>
      <c r="J817" s="119">
        <f ca="1">HLOOKUP($H$5,'Met Data'!$H$2:$M$368,G817,FALSE)*L817</f>
        <v>2.7848484848484798</v>
      </c>
      <c r="K817" s="98">
        <f ca="1">HLOOKUP($H$5,'Met Data'!$O$2:$T$368,G817,FALSE)</f>
        <v>4.1173997511743199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" thickBot="1">
      <c r="G818" s="3">
        <f t="shared" ca="1" si="130"/>
        <v>325</v>
      </c>
      <c r="H818" s="97">
        <f t="shared" ca="1" si="129"/>
        <v>45981</v>
      </c>
      <c r="I818" s="121">
        <f ca="1">HLOOKUP($H$5,'Met Data'!$A$2:$F$368,G818,FALSE)</f>
        <v>13.048484848484801</v>
      </c>
      <c r="J818" s="119">
        <f ca="1">HLOOKUP($H$5,'Met Data'!$H$2:$M$368,G818,FALSE)*L818</f>
        <v>1.49696969696969</v>
      </c>
      <c r="K818" s="98">
        <f ca="1">HLOOKUP($H$5,'Met Data'!$O$2:$T$368,G818,FALSE)</f>
        <v>4.5766974923540298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" thickBot="1">
      <c r="G819" s="3">
        <f t="shared" ca="1" si="130"/>
        <v>326</v>
      </c>
      <c r="H819" s="97">
        <f t="shared" ca="1" si="129"/>
        <v>45982</v>
      </c>
      <c r="I819" s="121">
        <f ca="1">HLOOKUP($H$5,'Met Data'!$A$2:$F$368,G819,FALSE)</f>
        <v>12.9621212121212</v>
      </c>
      <c r="J819" s="119">
        <f ca="1">HLOOKUP($H$5,'Met Data'!$H$2:$M$368,G819,FALSE)*L819</f>
        <v>2.8727272727272699</v>
      </c>
      <c r="K819" s="98">
        <f ca="1">HLOOKUP($H$5,'Met Data'!$O$2:$T$368,G819,FALSE)</f>
        <v>4.2114496325231201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" thickBot="1">
      <c r="G820" s="3">
        <f t="shared" ca="1" si="130"/>
        <v>327</v>
      </c>
      <c r="H820" s="97">
        <f t="shared" ca="1" si="129"/>
        <v>45983</v>
      </c>
      <c r="I820" s="121">
        <f ca="1">HLOOKUP($H$5,'Met Data'!$A$2:$F$368,G820,FALSE)</f>
        <v>12.268749999999899</v>
      </c>
      <c r="J820" s="119">
        <f ca="1">HLOOKUP($H$5,'Met Data'!$H$2:$M$368,G820,FALSE)*L820</f>
        <v>1.4437500000000001</v>
      </c>
      <c r="K820" s="98">
        <f ca="1">HLOOKUP($H$5,'Met Data'!$O$2:$T$368,G820,FALSE)</f>
        <v>4.3766355597309001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" thickBot="1">
      <c r="G821" s="3">
        <f t="shared" ca="1" si="130"/>
        <v>328</v>
      </c>
      <c r="H821" s="97">
        <f t="shared" ca="1" si="129"/>
        <v>45984</v>
      </c>
      <c r="I821" s="121">
        <f ca="1">HLOOKUP($H$5,'Met Data'!$A$2:$F$368,G821,FALSE)</f>
        <v>13.610937499999901</v>
      </c>
      <c r="J821" s="119">
        <f ca="1">HLOOKUP($H$5,'Met Data'!$H$2:$M$368,G821,FALSE)*L821</f>
        <v>0.90937499999999905</v>
      </c>
      <c r="K821" s="98">
        <f ca="1">HLOOKUP($H$5,'Met Data'!$O$2:$T$368,G821,FALSE)</f>
        <v>4.8353730549956699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" thickBot="1">
      <c r="G822" s="3">
        <f t="shared" ca="1" si="130"/>
        <v>329</v>
      </c>
      <c r="H822" s="97">
        <f t="shared" ca="1" si="129"/>
        <v>45985</v>
      </c>
      <c r="I822" s="121">
        <f ca="1">HLOOKUP($H$5,'Met Data'!$A$2:$F$368,G822,FALSE)</f>
        <v>13.9</v>
      </c>
      <c r="J822" s="119">
        <f ca="1">HLOOKUP($H$5,'Met Data'!$H$2:$M$368,G822,FALSE)*L822</f>
        <v>1.096875</v>
      </c>
      <c r="K822" s="98">
        <f ca="1">HLOOKUP($H$5,'Met Data'!$O$2:$T$368,G822,FALSE)</f>
        <v>4.8959034423889598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" thickBot="1">
      <c r="G823" s="3">
        <f t="shared" ca="1" si="130"/>
        <v>330</v>
      </c>
      <c r="H823" s="97">
        <f t="shared" ca="1" si="129"/>
        <v>45986</v>
      </c>
      <c r="I823" s="121">
        <f ca="1">HLOOKUP($H$5,'Met Data'!$A$2:$F$368,G823,FALSE)</f>
        <v>14.229687499999899</v>
      </c>
      <c r="J823" s="119">
        <f ca="1">HLOOKUP($H$5,'Met Data'!$H$2:$M$368,G823,FALSE)*L823</f>
        <v>2.9937499999999999</v>
      </c>
      <c r="K823" s="98">
        <f ca="1">HLOOKUP($H$5,'Met Data'!$O$2:$T$368,G823,FALSE)</f>
        <v>4.5291120809301404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" thickBot="1">
      <c r="G824" s="3">
        <f t="shared" ca="1" si="130"/>
        <v>331</v>
      </c>
      <c r="H824" s="97">
        <f t="shared" ca="1" si="129"/>
        <v>45987</v>
      </c>
      <c r="I824" s="121">
        <f ca="1">HLOOKUP($H$5,'Met Data'!$A$2:$F$368,G824,FALSE)</f>
        <v>13.9375</v>
      </c>
      <c r="J824" s="119">
        <f ca="1">HLOOKUP($H$5,'Met Data'!$H$2:$M$368,G824,FALSE)*L824</f>
        <v>1.871875</v>
      </c>
      <c r="K824" s="98">
        <f ca="1">HLOOKUP($H$5,'Met Data'!$O$2:$T$368,G824,FALSE)</f>
        <v>4.6952794682709396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" thickBot="1">
      <c r="G825" s="3">
        <f t="shared" ca="1" si="130"/>
        <v>332</v>
      </c>
      <c r="H825" s="97">
        <f t="shared" ca="1" si="129"/>
        <v>45988</v>
      </c>
      <c r="I825" s="121">
        <f ca="1">HLOOKUP($H$5,'Met Data'!$A$2:$F$368,G825,FALSE)</f>
        <v>13.6234375</v>
      </c>
      <c r="J825" s="119">
        <f ca="1">HLOOKUP($H$5,'Met Data'!$H$2:$M$368,G825,FALSE)*L825</f>
        <v>0.89375000000000004</v>
      </c>
      <c r="K825" s="98">
        <f ca="1">HLOOKUP($H$5,'Met Data'!$O$2:$T$368,G825,FALSE)</f>
        <v>4.7009583495068297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" thickBot="1">
      <c r="G826" s="3">
        <f t="shared" ca="1" si="130"/>
        <v>333</v>
      </c>
      <c r="H826" s="97">
        <f t="shared" ca="1" si="129"/>
        <v>45989</v>
      </c>
      <c r="I826" s="121">
        <f ca="1">HLOOKUP($H$5,'Met Data'!$A$2:$F$368,G826,FALSE)</f>
        <v>13.4125</v>
      </c>
      <c r="J826" s="119">
        <f ca="1">HLOOKUP($H$5,'Met Data'!$H$2:$M$368,G826,FALSE)*L826</f>
        <v>2.8031250000000001</v>
      </c>
      <c r="K826" s="98">
        <f ca="1">HLOOKUP($H$5,'Met Data'!$O$2:$T$368,G826,FALSE)</f>
        <v>4.6692836926226899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" thickBot="1">
      <c r="G827" s="3">
        <f t="shared" ca="1" si="130"/>
        <v>334</v>
      </c>
      <c r="H827" s="97">
        <f t="shared" ca="1" si="129"/>
        <v>45990</v>
      </c>
      <c r="I827" s="121">
        <f ca="1">HLOOKUP($H$5,'Met Data'!$A$2:$F$368,G827,FALSE)</f>
        <v>13.120312499999899</v>
      </c>
      <c r="J827" s="119">
        <f ca="1">HLOOKUP($H$5,'Met Data'!$H$2:$M$368,G827,FALSE)*L827</f>
        <v>1.125</v>
      </c>
      <c r="K827" s="98">
        <f ca="1">HLOOKUP($H$5,'Met Data'!$O$2:$T$368,G827,FALSE)</f>
        <v>4.5223331629764099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" thickBot="1">
      <c r="G828" s="3">
        <f t="shared" ca="1" si="130"/>
        <v>335</v>
      </c>
      <c r="H828" s="97">
        <f t="shared" ca="1" si="129"/>
        <v>45991</v>
      </c>
      <c r="I828" s="121">
        <f ca="1">HLOOKUP($H$5,'Met Data'!$A$2:$F$368,G828,FALSE)</f>
        <v>13.534375000000001</v>
      </c>
      <c r="J828" s="119">
        <f ca="1">HLOOKUP($H$5,'Met Data'!$H$2:$M$368,G828,FALSE)*L828</f>
        <v>1.659375</v>
      </c>
      <c r="K828" s="98">
        <f ca="1">HLOOKUP($H$5,'Met Data'!$O$2:$T$368,G828,FALSE)</f>
        <v>4.4045021528656898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" thickBot="1">
      <c r="G829" s="3">
        <f t="shared" ca="1" si="130"/>
        <v>336</v>
      </c>
      <c r="H829" s="97">
        <f t="shared" ca="1" si="129"/>
        <v>45992</v>
      </c>
      <c r="I829" s="121">
        <f ca="1">HLOOKUP($H$5,'Met Data'!$A$2:$F$368,G829,FALSE)</f>
        <v>14.5196969696969</v>
      </c>
      <c r="J829" s="119">
        <f ca="1">HLOOKUP($H$5,'Met Data'!$H$2:$M$368,G829,FALSE)*L829</f>
        <v>1.1545454545454501</v>
      </c>
      <c r="K829" s="98">
        <f ca="1">HLOOKUP($H$5,'Met Data'!$O$2:$T$368,G829,FALSE)</f>
        <v>4.9008684982534403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" thickBot="1">
      <c r="G830" s="3">
        <f t="shared" ca="1" si="130"/>
        <v>337</v>
      </c>
      <c r="H830" s="97">
        <f t="shared" ca="1" si="129"/>
        <v>45993</v>
      </c>
      <c r="I830" s="121">
        <f ca="1">HLOOKUP($H$5,'Met Data'!$A$2:$F$368,G830,FALSE)</f>
        <v>14.7863636363636</v>
      </c>
      <c r="J830" s="119">
        <f ca="1">HLOOKUP($H$5,'Met Data'!$H$2:$M$368,G830,FALSE)*L830</f>
        <v>0.68484848484848404</v>
      </c>
      <c r="K830" s="98">
        <f ca="1">HLOOKUP($H$5,'Met Data'!$O$2:$T$368,G830,FALSE)</f>
        <v>4.4310616880942204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" thickBot="1">
      <c r="G831" s="3">
        <f t="shared" ca="1" si="130"/>
        <v>338</v>
      </c>
      <c r="H831" s="97">
        <f t="shared" ca="1" si="129"/>
        <v>45994</v>
      </c>
      <c r="I831" s="121">
        <f ca="1">HLOOKUP($H$5,'Met Data'!$A$2:$F$368,G831,FALSE)</f>
        <v>15.427272727272699</v>
      </c>
      <c r="J831" s="119">
        <f ca="1">HLOOKUP($H$5,'Met Data'!$H$2:$M$368,G831,FALSE)*L831</f>
        <v>0.94242424242424205</v>
      </c>
      <c r="K831" s="98">
        <f ca="1">HLOOKUP($H$5,'Met Data'!$O$2:$T$368,G831,FALSE)</f>
        <v>4.8682330205678701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" thickBot="1">
      <c r="G832" s="3">
        <f t="shared" ca="1" si="130"/>
        <v>339</v>
      </c>
      <c r="H832" s="97">
        <f t="shared" ca="1" si="129"/>
        <v>45995</v>
      </c>
      <c r="I832" s="121">
        <f ca="1">HLOOKUP($H$5,'Met Data'!$A$2:$F$368,G832,FALSE)</f>
        <v>15.004545454545401</v>
      </c>
      <c r="J832" s="119">
        <f ca="1">HLOOKUP($H$5,'Met Data'!$H$2:$M$368,G832,FALSE)*L832</f>
        <v>0.98787878787878702</v>
      </c>
      <c r="K832" s="98">
        <f ca="1">HLOOKUP($H$5,'Met Data'!$O$2:$T$368,G832,FALSE)</f>
        <v>5.2050138478161401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" thickBot="1">
      <c r="G833" s="3">
        <f t="shared" ca="1" si="130"/>
        <v>340</v>
      </c>
      <c r="H833" s="97">
        <f t="shared" ca="1" si="129"/>
        <v>45996</v>
      </c>
      <c r="I833" s="121">
        <f ca="1">HLOOKUP($H$5,'Met Data'!$A$2:$F$368,G833,FALSE)</f>
        <v>14.903030303030301</v>
      </c>
      <c r="J833" s="119">
        <f ca="1">HLOOKUP($H$5,'Met Data'!$H$2:$M$368,G833,FALSE)*L833</f>
        <v>1.5848484848484801</v>
      </c>
      <c r="K833" s="98">
        <f ca="1">HLOOKUP($H$5,'Met Data'!$O$2:$T$368,G833,FALSE)</f>
        <v>4.6641306366413202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" thickBot="1">
      <c r="G834" s="3">
        <f t="shared" ca="1" si="130"/>
        <v>341</v>
      </c>
      <c r="H834" s="97">
        <f t="shared" ca="1" si="129"/>
        <v>45997</v>
      </c>
      <c r="I834" s="121">
        <f ca="1">HLOOKUP($H$5,'Met Data'!$A$2:$F$368,G834,FALSE)</f>
        <v>14.301515151515099</v>
      </c>
      <c r="J834" s="119">
        <f ca="1">HLOOKUP($H$5,'Met Data'!$H$2:$M$368,G834,FALSE)*L834</f>
        <v>1.8545454545454501</v>
      </c>
      <c r="K834" s="98">
        <f ca="1">HLOOKUP($H$5,'Met Data'!$O$2:$T$368,G834,FALSE)</f>
        <v>4.1875145428280103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" thickBot="1">
      <c r="G835" s="3">
        <f t="shared" ca="1" si="130"/>
        <v>342</v>
      </c>
      <c r="H835" s="97">
        <f t="shared" ca="1" si="129"/>
        <v>45998</v>
      </c>
      <c r="I835" s="121">
        <f ca="1">HLOOKUP($H$5,'Met Data'!$A$2:$F$368,G835,FALSE)</f>
        <v>14.8272727272727</v>
      </c>
      <c r="J835" s="119">
        <f ca="1">HLOOKUP($H$5,'Met Data'!$H$2:$M$368,G835,FALSE)*L835</f>
        <v>1.1151515151515099</v>
      </c>
      <c r="K835" s="98">
        <f ca="1">HLOOKUP($H$5,'Met Data'!$O$2:$T$368,G835,FALSE)</f>
        <v>4.78641268464904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" thickBot="1">
      <c r="G836" s="3">
        <f t="shared" ca="1" si="130"/>
        <v>343</v>
      </c>
      <c r="H836" s="97">
        <f t="shared" ca="1" si="129"/>
        <v>45999</v>
      </c>
      <c r="I836" s="121">
        <f ca="1">HLOOKUP($H$5,'Met Data'!$A$2:$F$368,G836,FALSE)</f>
        <v>14.8772727272727</v>
      </c>
      <c r="J836" s="119">
        <f ca="1">HLOOKUP($H$5,'Met Data'!$H$2:$M$368,G836,FALSE)*L836</f>
        <v>2.8242424242424198</v>
      </c>
      <c r="K836" s="98">
        <f ca="1">HLOOKUP($H$5,'Met Data'!$O$2:$T$368,G836,FALSE)</f>
        <v>4.7928671108875296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" thickBot="1">
      <c r="G837" s="3">
        <f t="shared" ca="1" si="130"/>
        <v>344</v>
      </c>
      <c r="H837" s="97">
        <f t="shared" ca="1" si="129"/>
        <v>46000</v>
      </c>
      <c r="I837" s="121">
        <f ca="1">HLOOKUP($H$5,'Met Data'!$A$2:$F$368,G837,FALSE)</f>
        <v>14.215151515151501</v>
      </c>
      <c r="J837" s="119">
        <f ca="1">HLOOKUP($H$5,'Met Data'!$H$2:$M$368,G837,FALSE)*L837</f>
        <v>0.49393939393939301</v>
      </c>
      <c r="K837" s="98">
        <f ca="1">HLOOKUP($H$5,'Met Data'!$O$2:$T$368,G837,FALSE)</f>
        <v>4.8235358630714096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" thickBot="1">
      <c r="G838" s="3">
        <f t="shared" ca="1" si="130"/>
        <v>345</v>
      </c>
      <c r="H838" s="97">
        <f t="shared" ca="1" si="129"/>
        <v>46001</v>
      </c>
      <c r="I838" s="121">
        <f ca="1">HLOOKUP($H$5,'Met Data'!$A$2:$F$368,G838,FALSE)</f>
        <v>14.9121212121212</v>
      </c>
      <c r="J838" s="119">
        <f ca="1">HLOOKUP($H$5,'Met Data'!$H$2:$M$368,G838,FALSE)*L838</f>
        <v>0.67878787878787805</v>
      </c>
      <c r="K838" s="98">
        <f ca="1">HLOOKUP($H$5,'Met Data'!$O$2:$T$368,G838,FALSE)</f>
        <v>4.3850054551207398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" thickBot="1">
      <c r="G839" s="3">
        <f t="shared" ca="1" si="130"/>
        <v>346</v>
      </c>
      <c r="H839" s="97">
        <f t="shared" ca="1" si="129"/>
        <v>46002</v>
      </c>
      <c r="I839" s="121">
        <f ca="1">HLOOKUP($H$5,'Met Data'!$A$2:$F$368,G839,FALSE)</f>
        <v>15.940909090909001</v>
      </c>
      <c r="J839" s="119">
        <f ca="1">HLOOKUP($H$5,'Met Data'!$H$2:$M$368,G839,FALSE)*L839</f>
        <v>0.221212121212121</v>
      </c>
      <c r="K839" s="98">
        <f ca="1">HLOOKUP($H$5,'Met Data'!$O$2:$T$368,G839,FALSE)</f>
        <v>5.2714081938624204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" thickBot="1">
      <c r="G840" s="3">
        <f t="shared" ca="1" si="130"/>
        <v>347</v>
      </c>
      <c r="H840" s="97">
        <f t="shared" ca="1" si="129"/>
        <v>46003</v>
      </c>
      <c r="I840" s="121">
        <f ca="1">HLOOKUP($H$5,'Met Data'!$A$2:$F$368,G840,FALSE)</f>
        <v>16.6272727272727</v>
      </c>
      <c r="J840" s="119">
        <f ca="1">HLOOKUP($H$5,'Met Data'!$H$2:$M$368,G840,FALSE)*L840</f>
        <v>1.21818181818181</v>
      </c>
      <c r="K840" s="98">
        <f ca="1">HLOOKUP($H$5,'Met Data'!$O$2:$T$368,G840,FALSE)</f>
        <v>5.2469107263269903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" thickBot="1">
      <c r="G841" s="3">
        <f t="shared" ca="1" si="130"/>
        <v>348</v>
      </c>
      <c r="H841" s="97">
        <f t="shared" ref="H841:H904" ca="1" si="139">H840+1</f>
        <v>46004</v>
      </c>
      <c r="I841" s="121">
        <f ca="1">HLOOKUP($H$5,'Met Data'!$A$2:$F$368,G841,FALSE)</f>
        <v>15.6196969696969</v>
      </c>
      <c r="J841" s="119">
        <f ca="1">HLOOKUP($H$5,'Met Data'!$H$2:$M$368,G841,FALSE)*L841</f>
        <v>2.59696969696969</v>
      </c>
      <c r="K841" s="98">
        <f ca="1">HLOOKUP($H$5,'Met Data'!$O$2:$T$368,G841,FALSE)</f>
        <v>5.0310266433765403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" thickBot="1">
      <c r="G842" s="3">
        <f t="shared" ca="1" si="130"/>
        <v>349</v>
      </c>
      <c r="H842" s="97">
        <f t="shared" ca="1" si="139"/>
        <v>46005</v>
      </c>
      <c r="I842" s="121">
        <f ca="1">HLOOKUP($H$5,'Met Data'!$A$2:$F$368,G842,FALSE)</f>
        <v>14.8939393939393</v>
      </c>
      <c r="J842" s="119">
        <f ca="1">HLOOKUP($H$5,'Met Data'!$H$2:$M$368,G842,FALSE)*L842</f>
        <v>1.05151515151515</v>
      </c>
      <c r="K842" s="98">
        <f ca="1">HLOOKUP($H$5,'Met Data'!$O$2:$T$368,G842,FALSE)</f>
        <v>5.1072739426404103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" thickBot="1">
      <c r="G843" s="3">
        <f t="shared" ca="1" si="130"/>
        <v>350</v>
      </c>
      <c r="H843" s="97">
        <f t="shared" ca="1" si="139"/>
        <v>46006</v>
      </c>
      <c r="I843" s="121">
        <f ca="1">HLOOKUP($H$5,'Met Data'!$A$2:$F$368,G843,FALSE)</f>
        <v>16</v>
      </c>
      <c r="J843" s="119">
        <f ca="1">HLOOKUP($H$5,'Met Data'!$H$2:$M$368,G843,FALSE)*L843</f>
        <v>1.04242424242424</v>
      </c>
      <c r="K843" s="98">
        <f ca="1">HLOOKUP($H$5,'Met Data'!$O$2:$T$368,G843,FALSE)</f>
        <v>5.4539790972000102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" thickBot="1">
      <c r="G844" s="3">
        <f t="shared" ca="1" si="130"/>
        <v>351</v>
      </c>
      <c r="H844" s="97">
        <f t="shared" ca="1" si="139"/>
        <v>46007</v>
      </c>
      <c r="I844" s="121">
        <f ca="1">HLOOKUP($H$5,'Met Data'!$A$2:$F$368,G844,FALSE)</f>
        <v>15.5590909090909</v>
      </c>
      <c r="J844" s="119">
        <f ca="1">HLOOKUP($H$5,'Met Data'!$H$2:$M$368,G844,FALSE)*L844</f>
        <v>1.9272727272727199</v>
      </c>
      <c r="K844" s="98">
        <f ca="1">HLOOKUP($H$5,'Met Data'!$O$2:$T$368,G844,FALSE)</f>
        <v>4.5883036332124396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" thickBot="1">
      <c r="G845" s="3">
        <f t="shared" ca="1" si="130"/>
        <v>352</v>
      </c>
      <c r="H845" s="97">
        <f t="shared" ca="1" si="139"/>
        <v>46008</v>
      </c>
      <c r="I845" s="121">
        <f ca="1">HLOOKUP($H$5,'Met Data'!$A$2:$F$368,G845,FALSE)</f>
        <v>15.2454545454545</v>
      </c>
      <c r="J845" s="119">
        <f ca="1">HLOOKUP($H$5,'Met Data'!$H$2:$M$368,G845,FALSE)*L845</f>
        <v>2.4060606060606</v>
      </c>
      <c r="K845" s="98">
        <f ca="1">HLOOKUP($H$5,'Met Data'!$O$2:$T$368,G845,FALSE)</f>
        <v>4.7700419489867203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" thickBot="1">
      <c r="G846" s="3">
        <f t="shared" ca="1" si="130"/>
        <v>353</v>
      </c>
      <c r="H846" s="97">
        <f t="shared" ca="1" si="139"/>
        <v>46009</v>
      </c>
      <c r="I846" s="121">
        <f ca="1">HLOOKUP($H$5,'Met Data'!$A$2:$F$368,G846,FALSE)</f>
        <v>15.4969696969696</v>
      </c>
      <c r="J846" s="119">
        <f ca="1">HLOOKUP($H$5,'Met Data'!$H$2:$M$368,G846,FALSE)*L846</f>
        <v>1.9363636363636301</v>
      </c>
      <c r="K846" s="98">
        <f ca="1">HLOOKUP($H$5,'Met Data'!$O$2:$T$368,G846,FALSE)</f>
        <v>5.0336294289784602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" thickBot="1">
      <c r="G847" s="3">
        <f t="shared" ca="1" si="130"/>
        <v>354</v>
      </c>
      <c r="H847" s="97">
        <f t="shared" ca="1" si="139"/>
        <v>46010</v>
      </c>
      <c r="I847" s="121">
        <f ca="1">HLOOKUP($H$5,'Met Data'!$A$2:$F$368,G847,FALSE)</f>
        <v>15.5242424242424</v>
      </c>
      <c r="J847" s="119">
        <f ca="1">HLOOKUP($H$5,'Met Data'!$H$2:$M$368,G847,FALSE)*L847</f>
        <v>1.78181818181818</v>
      </c>
      <c r="K847" s="98">
        <f ca="1">HLOOKUP($H$5,'Met Data'!$O$2:$T$368,G847,FALSE)</f>
        <v>4.98855977845243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" thickBot="1">
      <c r="G848" s="3">
        <f t="shared" ca="1" si="130"/>
        <v>355</v>
      </c>
      <c r="H848" s="97">
        <f t="shared" ca="1" si="139"/>
        <v>46011</v>
      </c>
      <c r="I848" s="121">
        <f ca="1">HLOOKUP($H$5,'Met Data'!$A$2:$F$368,G848,FALSE)</f>
        <v>15.1863636363636</v>
      </c>
      <c r="J848" s="119">
        <f ca="1">HLOOKUP($H$5,'Met Data'!$H$2:$M$368,G848,FALSE)*L848</f>
        <v>4.1696969696969699</v>
      </c>
      <c r="K848" s="98">
        <f ca="1">HLOOKUP($H$5,'Met Data'!$O$2:$T$368,G848,FALSE)</f>
        <v>4.9791838222051101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" thickBot="1">
      <c r="G849" s="3">
        <f t="shared" ca="1" si="130"/>
        <v>356</v>
      </c>
      <c r="H849" s="97">
        <f t="shared" ca="1" si="139"/>
        <v>46012</v>
      </c>
      <c r="I849" s="121">
        <f ca="1">HLOOKUP($H$5,'Met Data'!$A$2:$F$368,G849,FALSE)</f>
        <v>14.9893480257116</v>
      </c>
      <c r="J849" s="119">
        <f ca="1">HLOOKUP($H$5,'Met Data'!$H$2:$M$368,G849,FALSE)*L849</f>
        <v>2.6030303030302999</v>
      </c>
      <c r="K849" s="98">
        <f ca="1">HLOOKUP($H$5,'Met Data'!$O$2:$T$368,G849,FALSE)</f>
        <v>5.3026714900844496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" thickBot="1">
      <c r="G850" s="3">
        <f t="shared" ca="1" si="130"/>
        <v>357</v>
      </c>
      <c r="H850" s="97">
        <f t="shared" ca="1" si="139"/>
        <v>46013</v>
      </c>
      <c r="I850" s="121">
        <f ca="1">HLOOKUP($H$5,'Met Data'!$A$2:$F$368,G850,FALSE)</f>
        <v>15.318181818181801</v>
      </c>
      <c r="J850" s="119">
        <f ca="1">HLOOKUP($H$5,'Met Data'!$H$2:$M$368,G850,FALSE)*L850</f>
        <v>2.1333333333333302</v>
      </c>
      <c r="K850" s="98">
        <f ca="1">HLOOKUP($H$5,'Met Data'!$O$2:$T$368,G850,FALSE)</f>
        <v>5.2799428567790896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" thickBot="1">
      <c r="G851" s="3">
        <f t="shared" ca="1" si="130"/>
        <v>358</v>
      </c>
      <c r="H851" s="97">
        <f t="shared" ca="1" si="139"/>
        <v>46014</v>
      </c>
      <c r="I851" s="121">
        <f ca="1">HLOOKUP($H$5,'Met Data'!$A$2:$F$368,G851,FALSE)</f>
        <v>15.1030303030303</v>
      </c>
      <c r="J851" s="119">
        <f ca="1">HLOOKUP($H$5,'Met Data'!$H$2:$M$368,G851,FALSE)*L851</f>
        <v>1.7606060606060601</v>
      </c>
      <c r="K851" s="98">
        <f ca="1">HLOOKUP($H$5,'Met Data'!$O$2:$T$368,G851,FALSE)</f>
        <v>4.9208206081117201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" thickBot="1">
      <c r="G852" s="3">
        <f t="shared" ca="1" si="130"/>
        <v>359</v>
      </c>
      <c r="H852" s="97">
        <f t="shared" ca="1" si="139"/>
        <v>46015</v>
      </c>
      <c r="I852" s="121">
        <f ca="1">HLOOKUP($H$5,'Met Data'!$A$2:$F$368,G852,FALSE)</f>
        <v>15.75</v>
      </c>
      <c r="J852" s="119">
        <f ca="1">HLOOKUP($H$5,'Met Data'!$H$2:$M$368,G852,FALSE)*L852</f>
        <v>0.44545454545454499</v>
      </c>
      <c r="K852" s="98">
        <f ca="1">HLOOKUP($H$5,'Met Data'!$O$2:$T$368,G852,FALSE)</f>
        <v>5.2220060011835203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" thickBot="1">
      <c r="G853" s="3">
        <f t="shared" ca="1" si="130"/>
        <v>360</v>
      </c>
      <c r="H853" s="97">
        <f t="shared" ca="1" si="139"/>
        <v>46016</v>
      </c>
      <c r="I853" s="121">
        <f ca="1">HLOOKUP($H$5,'Met Data'!$A$2:$F$368,G853,FALSE)</f>
        <v>15.801515151515099</v>
      </c>
      <c r="J853" s="119">
        <f ca="1">HLOOKUP($H$5,'Met Data'!$H$2:$M$368,G853,FALSE)*L853</f>
        <v>0.86969696969696897</v>
      </c>
      <c r="K853" s="98">
        <f ca="1">HLOOKUP($H$5,'Met Data'!$O$2:$T$368,G853,FALSE)</f>
        <v>5.4909304436539399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" thickBot="1">
      <c r="G854" s="3">
        <f t="shared" ca="1" si="130"/>
        <v>361</v>
      </c>
      <c r="H854" s="97">
        <f t="shared" ca="1" si="139"/>
        <v>46017</v>
      </c>
      <c r="I854" s="121">
        <f ca="1">HLOOKUP($H$5,'Met Data'!$A$2:$F$368,G854,FALSE)</f>
        <v>15.1378787878787</v>
      </c>
      <c r="J854" s="119">
        <f ca="1">HLOOKUP($H$5,'Met Data'!$H$2:$M$368,G854,FALSE)*L854</f>
        <v>0.68181818181818099</v>
      </c>
      <c r="K854" s="98">
        <f ca="1">HLOOKUP($H$5,'Met Data'!$O$2:$T$368,G854,FALSE)</f>
        <v>4.9163537354420397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" thickBot="1">
      <c r="G855" s="3">
        <f t="shared" ca="1" si="130"/>
        <v>362</v>
      </c>
      <c r="H855" s="97">
        <f t="shared" ca="1" si="139"/>
        <v>46018</v>
      </c>
      <c r="I855" s="121">
        <f ca="1">HLOOKUP($H$5,'Met Data'!$A$2:$F$368,G855,FALSE)</f>
        <v>16.901515151515099</v>
      </c>
      <c r="J855" s="119">
        <f ca="1">HLOOKUP($H$5,'Met Data'!$H$2:$M$368,G855,FALSE)*L855</f>
        <v>1.11818181818181</v>
      </c>
      <c r="K855" s="98">
        <f ca="1">HLOOKUP($H$5,'Met Data'!$O$2:$T$368,G855,FALSE)</f>
        <v>5.7188006673869101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" thickBot="1">
      <c r="G856" s="3">
        <f t="shared" ca="1" si="130"/>
        <v>363</v>
      </c>
      <c r="H856" s="97">
        <f t="shared" ca="1" si="139"/>
        <v>46019</v>
      </c>
      <c r="I856" s="121">
        <f ca="1">HLOOKUP($H$5,'Met Data'!$A$2:$F$368,G856,FALSE)</f>
        <v>17.143939393939299</v>
      </c>
      <c r="J856" s="119">
        <f ca="1">HLOOKUP($H$5,'Met Data'!$H$2:$M$368,G856,FALSE)*L856</f>
        <v>2.9666666666666601</v>
      </c>
      <c r="K856" s="98">
        <f ca="1">HLOOKUP($H$5,'Met Data'!$O$2:$T$368,G856,FALSE)</f>
        <v>5.7794443898681997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" thickBot="1">
      <c r="G857" s="3">
        <f t="shared" ca="1" si="130"/>
        <v>364</v>
      </c>
      <c r="H857" s="97">
        <f t="shared" ca="1" si="139"/>
        <v>46020</v>
      </c>
      <c r="I857" s="121">
        <f ca="1">HLOOKUP($H$5,'Met Data'!$A$2:$F$368,G857,FALSE)</f>
        <v>15.795454545454501</v>
      </c>
      <c r="J857" s="119">
        <f ca="1">HLOOKUP($H$5,'Met Data'!$H$2:$M$368,G857,FALSE)*L857</f>
        <v>1.01212121212121</v>
      </c>
      <c r="K857" s="98">
        <f ca="1">HLOOKUP($H$5,'Met Data'!$O$2:$T$368,G857,FALSE)</f>
        <v>4.8778466207725302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" thickBot="1">
      <c r="G858" s="3">
        <f t="shared" ca="1" si="130"/>
        <v>365</v>
      </c>
      <c r="H858" s="97">
        <f t="shared" ca="1" si="139"/>
        <v>46021</v>
      </c>
      <c r="I858" s="121">
        <f ca="1">HLOOKUP($H$5,'Met Data'!$A$2:$F$368,G858,FALSE)</f>
        <v>16.3359375</v>
      </c>
      <c r="J858" s="119">
        <f ca="1">HLOOKUP($H$5,'Met Data'!$H$2:$M$368,G858,FALSE)*L858</f>
        <v>2.5656249999999998</v>
      </c>
      <c r="K858" s="98">
        <f ca="1">HLOOKUP($H$5,'Met Data'!$O$2:$T$368,G858,FALSE)</f>
        <v>4.8055507109703601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" thickBot="1">
      <c r="G859" s="3">
        <f t="shared" ca="1" si="130"/>
        <v>366</v>
      </c>
      <c r="H859" s="97">
        <f t="shared" ca="1" si="139"/>
        <v>46022</v>
      </c>
      <c r="I859" s="121">
        <f ca="1">HLOOKUP($H$5,'Met Data'!$A$2:$F$368,G859,FALSE)</f>
        <v>15.832812499999999</v>
      </c>
      <c r="J859" s="119">
        <f ca="1">HLOOKUP($H$5,'Met Data'!$H$2:$M$368,G859,FALSE)*L859</f>
        <v>1.0062500000000001</v>
      </c>
      <c r="K859" s="98">
        <f ca="1">HLOOKUP($H$5,'Met Data'!$O$2:$T$368,G859,FALSE)</f>
        <v>5.3791049074685899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" thickBot="1">
      <c r="G860" s="3">
        <f t="shared" ca="1" si="130"/>
        <v>2</v>
      </c>
      <c r="H860" s="97">
        <f t="shared" ca="1" si="139"/>
        <v>46023</v>
      </c>
      <c r="I860" s="121">
        <f ca="1">HLOOKUP($H$5,'Met Data'!$A$2:$F$368,G860,FALSE)</f>
        <v>16.179411764705801</v>
      </c>
      <c r="J860" s="119">
        <f ca="1">HLOOKUP($H$5,'Met Data'!$H$2:$M$368,G860,FALSE)*L860</f>
        <v>0.69411764705882295</v>
      </c>
      <c r="K860" s="98">
        <f ca="1">HLOOKUP($H$5,'Met Data'!$O$2:$T$368,G860,FALSE)</f>
        <v>5.6670911405215199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" thickBot="1">
      <c r="G861" s="3">
        <f t="shared" ca="1" si="130"/>
        <v>3</v>
      </c>
      <c r="H861" s="97">
        <f t="shared" ca="1" si="139"/>
        <v>46024</v>
      </c>
      <c r="I861" s="121">
        <f ca="1">HLOOKUP($H$5,'Met Data'!$A$2:$F$368,G861,FALSE)</f>
        <v>17.160294117646998</v>
      </c>
      <c r="J861" s="119">
        <f ca="1">HLOOKUP($H$5,'Met Data'!$H$2:$M$368,G861,FALSE)*L861</f>
        <v>1.5735294117647001</v>
      </c>
      <c r="K861" s="98">
        <f ca="1">HLOOKUP($H$5,'Met Data'!$O$2:$T$368,G861,FALSE)</f>
        <v>5.47016136211003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" thickBot="1">
      <c r="G862" s="3">
        <f t="shared" ca="1" si="130"/>
        <v>4</v>
      </c>
      <c r="H862" s="97">
        <f t="shared" ca="1" si="139"/>
        <v>46025</v>
      </c>
      <c r="I862" s="121">
        <f ca="1">HLOOKUP($H$5,'Met Data'!$A$2:$F$368,G862,FALSE)</f>
        <v>16.8117647058823</v>
      </c>
      <c r="J862" s="119">
        <f ca="1">HLOOKUP($H$5,'Met Data'!$H$2:$M$368,G862,FALSE)*L862</f>
        <v>2.3529411764705799</v>
      </c>
      <c r="K862" s="98">
        <f ca="1">HLOOKUP($H$5,'Met Data'!$O$2:$T$368,G862,FALSE)</f>
        <v>5.5060411752421698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" thickBot="1">
      <c r="G863" s="3">
        <f t="shared" ca="1" si="130"/>
        <v>5</v>
      </c>
      <c r="H863" s="97">
        <f t="shared" ca="1" si="139"/>
        <v>46026</v>
      </c>
      <c r="I863" s="121">
        <f ca="1">HLOOKUP($H$5,'Met Data'!$A$2:$F$368,G863,FALSE)</f>
        <v>15.772058823529401</v>
      </c>
      <c r="J863" s="119">
        <f ca="1">HLOOKUP($H$5,'Met Data'!$H$2:$M$368,G863,FALSE)*L863</f>
        <v>1.96470588235294</v>
      </c>
      <c r="K863" s="98">
        <f ca="1">HLOOKUP($H$5,'Met Data'!$O$2:$T$368,G863,FALSE)</f>
        <v>4.9972624433289496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" thickBot="1">
      <c r="G864" s="3">
        <f t="shared" ca="1" si="130"/>
        <v>6</v>
      </c>
      <c r="H864" s="97">
        <f t="shared" ca="1" si="139"/>
        <v>46027</v>
      </c>
      <c r="I864" s="121">
        <f ca="1">HLOOKUP($H$5,'Met Data'!$A$2:$F$368,G864,FALSE)</f>
        <v>16.045588235294101</v>
      </c>
      <c r="J864" s="119">
        <f ca="1">HLOOKUP($H$5,'Met Data'!$H$2:$M$368,G864,FALSE)*L864</f>
        <v>1.5588235294117601</v>
      </c>
      <c r="K864" s="98">
        <f ca="1">HLOOKUP($H$5,'Met Data'!$O$2:$T$368,G864,FALSE)</f>
        <v>5.1481016165606404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" thickBot="1">
      <c r="G865" s="3">
        <f t="shared" ca="1" si="130"/>
        <v>7</v>
      </c>
      <c r="H865" s="97">
        <f t="shared" ca="1" si="139"/>
        <v>46028</v>
      </c>
      <c r="I865" s="121">
        <f ca="1">HLOOKUP($H$5,'Met Data'!$A$2:$F$368,G865,FALSE)</f>
        <v>16.1955882352941</v>
      </c>
      <c r="J865" s="119">
        <f ca="1">HLOOKUP($H$5,'Met Data'!$H$2:$M$368,G865,FALSE)*L865</f>
        <v>0.438235294117647</v>
      </c>
      <c r="K865" s="98">
        <f ca="1">HLOOKUP($H$5,'Met Data'!$O$2:$T$368,G865,FALSE)</f>
        <v>5.1335474577147604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" thickBot="1">
      <c r="G866" s="3">
        <f t="shared" ca="1" si="130"/>
        <v>8</v>
      </c>
      <c r="H866" s="97">
        <f t="shared" ca="1" si="139"/>
        <v>46029</v>
      </c>
      <c r="I866" s="121">
        <f ca="1">HLOOKUP($H$5,'Met Data'!$A$2:$F$368,G866,FALSE)</f>
        <v>17.395588235294099</v>
      </c>
      <c r="J866" s="119">
        <f ca="1">HLOOKUP($H$5,'Met Data'!$H$2:$M$368,G866,FALSE)*L866</f>
        <v>0.92647058823529405</v>
      </c>
      <c r="K866" s="98">
        <f ca="1">HLOOKUP($H$5,'Met Data'!$O$2:$T$368,G866,FALSE)</f>
        <v>5.4532643793489903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" thickBot="1">
      <c r="G867" s="3">
        <f t="shared" ca="1" si="130"/>
        <v>9</v>
      </c>
      <c r="H867" s="97">
        <f t="shared" ca="1" si="139"/>
        <v>46030</v>
      </c>
      <c r="I867" s="121">
        <f ca="1">HLOOKUP($H$5,'Met Data'!$A$2:$F$368,G867,FALSE)</f>
        <v>17.102249134948</v>
      </c>
      <c r="J867" s="119">
        <f ca="1">HLOOKUP($H$5,'Met Data'!$H$2:$M$368,G867,FALSE)*L867</f>
        <v>2.3176470588235198</v>
      </c>
      <c r="K867" s="98">
        <f ca="1">HLOOKUP($H$5,'Met Data'!$O$2:$T$368,G867,FALSE)</f>
        <v>5.57690448669634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" thickBot="1">
      <c r="G868" s="3">
        <f t="shared" ca="1" si="130"/>
        <v>10</v>
      </c>
      <c r="H868" s="97">
        <f t="shared" ca="1" si="139"/>
        <v>46031</v>
      </c>
      <c r="I868" s="121">
        <f ca="1">HLOOKUP($H$5,'Met Data'!$A$2:$F$368,G868,FALSE)</f>
        <v>16.213235294117599</v>
      </c>
      <c r="J868" s="119">
        <f ca="1">HLOOKUP($H$5,'Met Data'!$H$2:$M$368,G868,FALSE)*L868</f>
        <v>0.90882352941176403</v>
      </c>
      <c r="K868" s="98">
        <f ca="1">HLOOKUP($H$5,'Met Data'!$O$2:$T$368,G868,FALSE)</f>
        <v>5.14581424029529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" thickBot="1">
      <c r="G869" s="3">
        <f t="shared" ca="1" si="130"/>
        <v>11</v>
      </c>
      <c r="H869" s="97">
        <f t="shared" ca="1" si="139"/>
        <v>46032</v>
      </c>
      <c r="I869" s="121">
        <f ca="1">HLOOKUP($H$5,'Met Data'!$A$2:$F$368,G869,FALSE)</f>
        <v>15.8947058823529</v>
      </c>
      <c r="J869" s="119">
        <f ca="1">HLOOKUP($H$5,'Met Data'!$H$2:$M$368,G869,FALSE)*L869</f>
        <v>2.69999999999999</v>
      </c>
      <c r="K869" s="98">
        <f ca="1">HLOOKUP($H$5,'Met Data'!$O$2:$T$368,G869,FALSE)</f>
        <v>4.7411675639454902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" thickBot="1">
      <c r="G870" s="3">
        <f t="shared" ca="1" si="130"/>
        <v>12</v>
      </c>
      <c r="H870" s="97">
        <f t="shared" ca="1" si="139"/>
        <v>46033</v>
      </c>
      <c r="I870" s="121">
        <f ca="1">HLOOKUP($H$5,'Met Data'!$A$2:$F$368,G870,FALSE)</f>
        <v>16.250588235294099</v>
      </c>
      <c r="J870" s="119">
        <f ca="1">HLOOKUP($H$5,'Met Data'!$H$2:$M$368,G870,FALSE)*L870</f>
        <v>2.3529411764705799</v>
      </c>
      <c r="K870" s="98">
        <f ca="1">HLOOKUP($H$5,'Met Data'!$O$2:$T$368,G870,FALSE)</f>
        <v>4.6490051927409599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" thickBot="1">
      <c r="G871" s="3">
        <f t="shared" ca="1" si="130"/>
        <v>13</v>
      </c>
      <c r="H871" s="97">
        <f t="shared" ca="1" si="139"/>
        <v>46034</v>
      </c>
      <c r="I871" s="121">
        <f ca="1">HLOOKUP($H$5,'Met Data'!$A$2:$F$368,G871,FALSE)</f>
        <v>16.662352941176401</v>
      </c>
      <c r="J871" s="119">
        <f ca="1">HLOOKUP($H$5,'Met Data'!$H$2:$M$368,G871,FALSE)*L871</f>
        <v>2.74705882352941</v>
      </c>
      <c r="K871" s="98">
        <f ca="1">HLOOKUP($H$5,'Met Data'!$O$2:$T$368,G871,FALSE)</f>
        <v>4.8719680350014798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" thickBot="1">
      <c r="G872" s="3">
        <f t="shared" ca="1" si="130"/>
        <v>14</v>
      </c>
      <c r="H872" s="97">
        <f t="shared" ca="1" si="139"/>
        <v>46035</v>
      </c>
      <c r="I872" s="121">
        <f ca="1">HLOOKUP($H$5,'Met Data'!$A$2:$F$368,G872,FALSE)</f>
        <v>16.830882352941099</v>
      </c>
      <c r="J872" s="119">
        <f ca="1">HLOOKUP($H$5,'Met Data'!$H$2:$M$368,G872,FALSE)*L872</f>
        <v>1.29411764705882</v>
      </c>
      <c r="K872" s="98">
        <f ca="1">HLOOKUP($H$5,'Met Data'!$O$2:$T$368,G872,FALSE)</f>
        <v>5.1562686308583903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" thickBot="1">
      <c r="G873" s="3">
        <f t="shared" ca="1" si="130"/>
        <v>15</v>
      </c>
      <c r="H873" s="97">
        <f t="shared" ca="1" si="139"/>
        <v>46036</v>
      </c>
      <c r="I873" s="121">
        <f ca="1">HLOOKUP($H$5,'Met Data'!$A$2:$F$368,G873,FALSE)</f>
        <v>16.835294117646999</v>
      </c>
      <c r="J873" s="119">
        <f ca="1">HLOOKUP($H$5,'Met Data'!$H$2:$M$368,G873,FALSE)*L873</f>
        <v>0.93823529411764695</v>
      </c>
      <c r="K873" s="98">
        <f ca="1">HLOOKUP($H$5,'Met Data'!$O$2:$T$368,G873,FALSE)</f>
        <v>5.3875143634853799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" thickBot="1">
      <c r="G874" s="3">
        <f t="shared" ca="1" si="130"/>
        <v>16</v>
      </c>
      <c r="H874" s="97">
        <f t="shared" ca="1" si="139"/>
        <v>46037</v>
      </c>
      <c r="I874" s="121">
        <f ca="1">HLOOKUP($H$5,'Met Data'!$A$2:$F$368,G874,FALSE)</f>
        <v>17.335294117646999</v>
      </c>
      <c r="J874" s="119">
        <f ca="1">HLOOKUP($H$5,'Met Data'!$H$2:$M$368,G874,FALSE)*L874</f>
        <v>1.0911764705882301</v>
      </c>
      <c r="K874" s="98">
        <f ca="1">HLOOKUP($H$5,'Met Data'!$O$2:$T$368,G874,FALSE)</f>
        <v>5.8399033494252999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" thickBot="1">
      <c r="G875" s="3">
        <f t="shared" ca="1" si="130"/>
        <v>17</v>
      </c>
      <c r="H875" s="97">
        <f t="shared" ca="1" si="139"/>
        <v>46038</v>
      </c>
      <c r="I875" s="121">
        <f ca="1">HLOOKUP($H$5,'Met Data'!$A$2:$F$368,G875,FALSE)</f>
        <v>16.8279411764705</v>
      </c>
      <c r="J875" s="119">
        <f ca="1">HLOOKUP($H$5,'Met Data'!$H$2:$M$368,G875,FALSE)*L875</f>
        <v>0.77647058823529402</v>
      </c>
      <c r="K875" s="98">
        <f ca="1">HLOOKUP($H$5,'Met Data'!$O$2:$T$368,G875,FALSE)</f>
        <v>5.6587590306219901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" thickBot="1">
      <c r="G876" s="3">
        <f t="shared" ca="1" si="130"/>
        <v>18</v>
      </c>
      <c r="H876" s="97">
        <f t="shared" ca="1" si="139"/>
        <v>46039</v>
      </c>
      <c r="I876" s="121">
        <f ca="1">HLOOKUP($H$5,'Met Data'!$A$2:$F$368,G876,FALSE)</f>
        <v>16.722058823529402</v>
      </c>
      <c r="J876" s="119">
        <f ca="1">HLOOKUP($H$5,'Met Data'!$H$2:$M$368,G876,FALSE)*L876</f>
        <v>0.57058823529411695</v>
      </c>
      <c r="K876" s="98">
        <f ca="1">HLOOKUP($H$5,'Met Data'!$O$2:$T$368,G876,FALSE)</f>
        <v>5.3270431561074503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" thickBot="1">
      <c r="G877" s="3">
        <f t="shared" ca="1" si="130"/>
        <v>19</v>
      </c>
      <c r="H877" s="97">
        <f t="shared" ca="1" si="139"/>
        <v>46040</v>
      </c>
      <c r="I877" s="121">
        <f ca="1">HLOOKUP($H$5,'Met Data'!$A$2:$F$368,G877,FALSE)</f>
        <v>17.301470588235201</v>
      </c>
      <c r="J877" s="119">
        <f ca="1">HLOOKUP($H$5,'Met Data'!$H$2:$M$368,G877,FALSE)*L877</f>
        <v>3.48529411764705</v>
      </c>
      <c r="K877" s="98">
        <f ca="1">HLOOKUP($H$5,'Met Data'!$O$2:$T$368,G877,FALSE)</f>
        <v>5.0203920634541701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" thickBot="1">
      <c r="G878" s="3">
        <f t="shared" ca="1" si="130"/>
        <v>20</v>
      </c>
      <c r="H878" s="97">
        <f t="shared" ca="1" si="139"/>
        <v>46041</v>
      </c>
      <c r="I878" s="121">
        <f ca="1">HLOOKUP($H$5,'Met Data'!$A$2:$F$368,G878,FALSE)</f>
        <v>17.052941176470501</v>
      </c>
      <c r="J878" s="119">
        <f ca="1">HLOOKUP($H$5,'Met Data'!$H$2:$M$368,G878,FALSE)*L878</f>
        <v>0.99117647058823499</v>
      </c>
      <c r="K878" s="98">
        <f ca="1">HLOOKUP($H$5,'Met Data'!$O$2:$T$368,G878,FALSE)</f>
        <v>5.3707211610908496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" thickBot="1">
      <c r="G879" s="3">
        <f t="shared" ca="1" si="130"/>
        <v>21</v>
      </c>
      <c r="H879" s="97">
        <f t="shared" ca="1" si="139"/>
        <v>46042</v>
      </c>
      <c r="I879" s="121">
        <f ca="1">HLOOKUP($H$5,'Met Data'!$A$2:$F$368,G879,FALSE)</f>
        <v>15.9367647058823</v>
      </c>
      <c r="J879" s="119">
        <f ca="1">HLOOKUP($H$5,'Met Data'!$H$2:$M$368,G879,FALSE)*L879</f>
        <v>0.25588235294117601</v>
      </c>
      <c r="K879" s="98">
        <f ca="1">HLOOKUP($H$5,'Met Data'!$O$2:$T$368,G879,FALSE)</f>
        <v>5.3547882621027503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" thickBot="1">
      <c r="G880" s="3">
        <f t="shared" ca="1" si="130"/>
        <v>22</v>
      </c>
      <c r="H880" s="97">
        <f t="shared" ca="1" si="139"/>
        <v>46043</v>
      </c>
      <c r="I880" s="121">
        <f ca="1">HLOOKUP($H$5,'Met Data'!$A$2:$F$368,G880,FALSE)</f>
        <v>17.475000000000001</v>
      </c>
      <c r="J880" s="119">
        <f ca="1">HLOOKUP($H$5,'Met Data'!$H$2:$M$368,G880,FALSE)*L880</f>
        <v>0.35882352941176399</v>
      </c>
      <c r="K880" s="98">
        <f ca="1">HLOOKUP($H$5,'Met Data'!$O$2:$T$368,G880,FALSE)</f>
        <v>5.3930487438230301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" thickBot="1">
      <c r="G881" s="3">
        <f t="shared" ref="G881:G944" ca="1" si="140">H881-DATE(YEAR(H881),1,0)+1</f>
        <v>23</v>
      </c>
      <c r="H881" s="97">
        <f t="shared" ca="1" si="139"/>
        <v>46044</v>
      </c>
      <c r="I881" s="121">
        <f ca="1">HLOOKUP($H$5,'Met Data'!$A$2:$F$368,G881,FALSE)</f>
        <v>18.2514705882352</v>
      </c>
      <c r="J881" s="119">
        <f ca="1">HLOOKUP($H$5,'Met Data'!$H$2:$M$368,G881,FALSE)*L881</f>
        <v>1.94705882352941</v>
      </c>
      <c r="K881" s="98">
        <f ca="1">HLOOKUP($H$5,'Met Data'!$O$2:$T$368,G881,FALSE)</f>
        <v>5.5152286930917596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" thickBot="1">
      <c r="G882" s="3">
        <f t="shared" ca="1" si="140"/>
        <v>24</v>
      </c>
      <c r="H882" s="97">
        <f t="shared" ca="1" si="139"/>
        <v>46045</v>
      </c>
      <c r="I882" s="121">
        <f ca="1">HLOOKUP($H$5,'Met Data'!$A$2:$F$368,G882,FALSE)</f>
        <v>17.176470588235201</v>
      </c>
      <c r="J882" s="119">
        <f ca="1">HLOOKUP($H$5,'Met Data'!$H$2:$M$368,G882,FALSE)*L882</f>
        <v>0.744117647058823</v>
      </c>
      <c r="K882" s="98">
        <f ca="1">HLOOKUP($H$5,'Met Data'!$O$2:$T$368,G882,FALSE)</f>
        <v>5.2065069869691296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" thickBot="1">
      <c r="G883" s="3">
        <f t="shared" ca="1" si="140"/>
        <v>25</v>
      </c>
      <c r="H883" s="97">
        <f t="shared" ca="1" si="139"/>
        <v>46046</v>
      </c>
      <c r="I883" s="121">
        <f ca="1">HLOOKUP($H$5,'Met Data'!$A$2:$F$368,G883,FALSE)</f>
        <v>16.835294117646999</v>
      </c>
      <c r="J883" s="119">
        <f ca="1">HLOOKUP($H$5,'Met Data'!$H$2:$M$368,G883,FALSE)*L883</f>
        <v>1.4117647058823499</v>
      </c>
      <c r="K883" s="98">
        <f ca="1">HLOOKUP($H$5,'Met Data'!$O$2:$T$368,G883,FALSE)</f>
        <v>4.7133252171052504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" thickBot="1">
      <c r="G884" s="3">
        <f t="shared" ca="1" si="140"/>
        <v>26</v>
      </c>
      <c r="H884" s="97">
        <f t="shared" ca="1" si="139"/>
        <v>46047</v>
      </c>
      <c r="I884" s="121">
        <f ca="1">HLOOKUP($H$5,'Met Data'!$A$2:$F$368,G884,FALSE)</f>
        <v>16.6941176470588</v>
      </c>
      <c r="J884" s="119">
        <f ca="1">HLOOKUP($H$5,'Met Data'!$H$2:$M$368,G884,FALSE)*L884</f>
        <v>1.25588235294117</v>
      </c>
      <c r="K884" s="98">
        <f ca="1">HLOOKUP($H$5,'Met Data'!$O$2:$T$368,G884,FALSE)</f>
        <v>4.3325050650897401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" thickBot="1">
      <c r="G885" s="3">
        <f t="shared" ca="1" si="140"/>
        <v>27</v>
      </c>
      <c r="H885" s="97">
        <f t="shared" ca="1" si="139"/>
        <v>46048</v>
      </c>
      <c r="I885" s="121">
        <f ca="1">HLOOKUP($H$5,'Met Data'!$A$2:$F$368,G885,FALSE)</f>
        <v>16.433823529411701</v>
      </c>
      <c r="J885" s="119">
        <f ca="1">HLOOKUP($H$5,'Met Data'!$H$2:$M$368,G885,FALSE)*L885</f>
        <v>0.91470588235294104</v>
      </c>
      <c r="K885" s="98">
        <f ca="1">HLOOKUP($H$5,'Met Data'!$O$2:$T$368,G885,FALSE)</f>
        <v>4.7335288521335803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" thickBot="1">
      <c r="G886" s="3">
        <f t="shared" ca="1" si="140"/>
        <v>28</v>
      </c>
      <c r="H886" s="97">
        <f t="shared" ca="1" si="139"/>
        <v>46049</v>
      </c>
      <c r="I886" s="121">
        <f ca="1">HLOOKUP($H$5,'Met Data'!$A$2:$F$368,G886,FALSE)</f>
        <v>16.332352941176399</v>
      </c>
      <c r="J886" s="119">
        <f ca="1">HLOOKUP($H$5,'Met Data'!$H$2:$M$368,G886,FALSE)*L886</f>
        <v>2.3441176470588201</v>
      </c>
      <c r="K886" s="98">
        <f ca="1">HLOOKUP($H$5,'Met Data'!$O$2:$T$368,G886,FALSE)</f>
        <v>4.92375694808094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" thickBot="1">
      <c r="G887" s="3">
        <f t="shared" ca="1" si="140"/>
        <v>29</v>
      </c>
      <c r="H887" s="97">
        <f t="shared" ca="1" si="139"/>
        <v>46050</v>
      </c>
      <c r="I887" s="121">
        <f ca="1">HLOOKUP($H$5,'Met Data'!$A$2:$F$368,G887,FALSE)</f>
        <v>17.044117647058801</v>
      </c>
      <c r="J887" s="119">
        <f ca="1">HLOOKUP($H$5,'Met Data'!$H$2:$M$368,G887,FALSE)*L887</f>
        <v>1.02941176470588</v>
      </c>
      <c r="K887" s="98">
        <f ca="1">HLOOKUP($H$5,'Met Data'!$O$2:$T$368,G887,FALSE)</f>
        <v>4.99641153289756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" thickBot="1">
      <c r="G888" s="3">
        <f t="shared" ca="1" si="140"/>
        <v>30</v>
      </c>
      <c r="H888" s="97">
        <f t="shared" ca="1" si="139"/>
        <v>46051</v>
      </c>
      <c r="I888" s="121">
        <f ca="1">HLOOKUP($H$5,'Met Data'!$A$2:$F$368,G888,FALSE)</f>
        <v>17.480882352941101</v>
      </c>
      <c r="J888" s="119">
        <f ca="1">HLOOKUP($H$5,'Met Data'!$H$2:$M$368,G888,FALSE)*L888</f>
        <v>6.4705882352941099E-2</v>
      </c>
      <c r="K888" s="98">
        <f ca="1">HLOOKUP($H$5,'Met Data'!$O$2:$T$368,G888,FALSE)</f>
        <v>5.19563668339761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" thickBot="1">
      <c r="G889" s="3">
        <f t="shared" ca="1" si="140"/>
        <v>31</v>
      </c>
      <c r="H889" s="97">
        <f t="shared" ca="1" si="139"/>
        <v>46052</v>
      </c>
      <c r="I889" s="121">
        <f ca="1">HLOOKUP($H$5,'Met Data'!$A$2:$F$368,G889,FALSE)</f>
        <v>18.010294117647</v>
      </c>
      <c r="J889" s="119">
        <f ca="1">HLOOKUP($H$5,'Met Data'!$H$2:$M$368,G889,FALSE)*L889</f>
        <v>0.61176470588235299</v>
      </c>
      <c r="K889" s="98">
        <f ca="1">HLOOKUP($H$5,'Met Data'!$O$2:$T$368,G889,FALSE)</f>
        <v>5.2986070991408996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" thickBot="1">
      <c r="G890" s="3">
        <f t="shared" ca="1" si="140"/>
        <v>32</v>
      </c>
      <c r="H890" s="97">
        <f t="shared" ca="1" si="139"/>
        <v>46053</v>
      </c>
      <c r="I890" s="121">
        <f ca="1">HLOOKUP($H$5,'Met Data'!$A$2:$F$368,G890,FALSE)</f>
        <v>18.1264705882352</v>
      </c>
      <c r="J890" s="119">
        <f ca="1">HLOOKUP($H$5,'Met Data'!$H$2:$M$368,G890,FALSE)*L890</f>
        <v>1.01176470588235</v>
      </c>
      <c r="K890" s="98">
        <f ca="1">HLOOKUP($H$5,'Met Data'!$O$2:$T$368,G890,FALSE)</f>
        <v>5.6287813361802304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" thickBot="1">
      <c r="G891" s="3">
        <f t="shared" ca="1" si="140"/>
        <v>33</v>
      </c>
      <c r="H891" s="97">
        <f t="shared" ca="1" si="139"/>
        <v>46054</v>
      </c>
      <c r="I891" s="121">
        <f ca="1">HLOOKUP($H$5,'Met Data'!$A$2:$F$368,G891,FALSE)</f>
        <v>17.5632352941176</v>
      </c>
      <c r="J891" s="119">
        <f ca="1">HLOOKUP($H$5,'Met Data'!$H$2:$M$368,G891,FALSE)*L891</f>
        <v>0.26764705882352902</v>
      </c>
      <c r="K891" s="98">
        <f ca="1">HLOOKUP($H$5,'Met Data'!$O$2:$T$368,G891,FALSE)</f>
        <v>5.5733898517327303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" thickBot="1">
      <c r="G892" s="3">
        <f t="shared" ca="1" si="140"/>
        <v>34</v>
      </c>
      <c r="H892" s="97">
        <f t="shared" ca="1" si="139"/>
        <v>46055</v>
      </c>
      <c r="I892" s="121">
        <f ca="1">HLOOKUP($H$5,'Met Data'!$A$2:$F$368,G892,FALSE)</f>
        <v>16.530882352941099</v>
      </c>
      <c r="J892" s="119">
        <f ca="1">HLOOKUP($H$5,'Met Data'!$H$2:$M$368,G892,FALSE)*L892</f>
        <v>1.22058823529411</v>
      </c>
      <c r="K892" s="98">
        <f ca="1">HLOOKUP($H$5,'Met Data'!$O$2:$T$368,G892,FALSE)</f>
        <v>4.8866884380741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" thickBot="1">
      <c r="G893" s="3">
        <f t="shared" ca="1" si="140"/>
        <v>35</v>
      </c>
      <c r="H893" s="97">
        <f t="shared" ca="1" si="139"/>
        <v>46056</v>
      </c>
      <c r="I893" s="121">
        <f ca="1">HLOOKUP($H$5,'Met Data'!$A$2:$F$368,G893,FALSE)</f>
        <v>16.339705882352899</v>
      </c>
      <c r="J893" s="119">
        <f ca="1">HLOOKUP($H$5,'Met Data'!$H$2:$M$368,G893,FALSE)*L893</f>
        <v>0.72352941176470498</v>
      </c>
      <c r="K893" s="98">
        <f ca="1">HLOOKUP($H$5,'Met Data'!$O$2:$T$368,G893,FALSE)</f>
        <v>4.6016509460585002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" thickBot="1">
      <c r="G894" s="3">
        <f t="shared" ca="1" si="140"/>
        <v>36</v>
      </c>
      <c r="H894" s="97">
        <f t="shared" ca="1" si="139"/>
        <v>46057</v>
      </c>
      <c r="I894" s="121">
        <f ca="1">HLOOKUP($H$5,'Met Data'!$A$2:$F$368,G894,FALSE)</f>
        <v>17.920588235294101</v>
      </c>
      <c r="J894" s="119">
        <f ca="1">HLOOKUP($H$5,'Met Data'!$H$2:$M$368,G894,FALSE)*L894</f>
        <v>1.75294117647058</v>
      </c>
      <c r="K894" s="98">
        <f ca="1">HLOOKUP($H$5,'Met Data'!$O$2:$T$368,G894,FALSE)</f>
        <v>5.2770860248475602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" thickBot="1">
      <c r="G895" s="3">
        <f t="shared" ca="1" si="140"/>
        <v>37</v>
      </c>
      <c r="H895" s="97">
        <f t="shared" ca="1" si="139"/>
        <v>46058</v>
      </c>
      <c r="I895" s="121">
        <f ca="1">HLOOKUP($H$5,'Met Data'!$A$2:$F$368,G895,FALSE)</f>
        <v>16.083823529411699</v>
      </c>
      <c r="J895" s="119">
        <f ca="1">HLOOKUP($H$5,'Met Data'!$H$2:$M$368,G895,FALSE)*L895</f>
        <v>2.20882352941176</v>
      </c>
      <c r="K895" s="98">
        <f ca="1">HLOOKUP($H$5,'Met Data'!$O$2:$T$368,G895,FALSE)</f>
        <v>4.27430593476155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" thickBot="1">
      <c r="G896" s="3">
        <f t="shared" ca="1" si="140"/>
        <v>38</v>
      </c>
      <c r="H896" s="97">
        <f t="shared" ca="1" si="139"/>
        <v>46059</v>
      </c>
      <c r="I896" s="121">
        <f ca="1">HLOOKUP($H$5,'Met Data'!$A$2:$F$368,G896,FALSE)</f>
        <v>16.539705882352902</v>
      </c>
      <c r="J896" s="119">
        <f ca="1">HLOOKUP($H$5,'Met Data'!$H$2:$M$368,G896,FALSE)*L896</f>
        <v>0.49117647058823499</v>
      </c>
      <c r="K896" s="98">
        <f ca="1">HLOOKUP($H$5,'Met Data'!$O$2:$T$368,G896,FALSE)</f>
        <v>4.96013704262971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" thickBot="1">
      <c r="G897" s="3">
        <f t="shared" ca="1" si="140"/>
        <v>39</v>
      </c>
      <c r="H897" s="97">
        <f t="shared" ca="1" si="139"/>
        <v>46060</v>
      </c>
      <c r="I897" s="121">
        <f ca="1">HLOOKUP($H$5,'Met Data'!$A$2:$F$368,G897,FALSE)</f>
        <v>16.527941176470499</v>
      </c>
      <c r="J897" s="119">
        <f ca="1">HLOOKUP($H$5,'Met Data'!$H$2:$M$368,G897,FALSE)*L897</f>
        <v>1.98235294117647</v>
      </c>
      <c r="K897" s="98">
        <f ca="1">HLOOKUP($H$5,'Met Data'!$O$2:$T$368,G897,FALSE)</f>
        <v>4.6946370204271801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" thickBot="1">
      <c r="G898" s="3">
        <f t="shared" ca="1" si="140"/>
        <v>40</v>
      </c>
      <c r="H898" s="97">
        <f t="shared" ca="1" si="139"/>
        <v>46061</v>
      </c>
      <c r="I898" s="121">
        <f ca="1">HLOOKUP($H$5,'Met Data'!$A$2:$F$368,G898,FALSE)</f>
        <v>16.855882352941101</v>
      </c>
      <c r="J898" s="119">
        <f ca="1">HLOOKUP($H$5,'Met Data'!$H$2:$M$368,G898,FALSE)*L898</f>
        <v>0.79411764705882304</v>
      </c>
      <c r="K898" s="98">
        <f ca="1">HLOOKUP($H$5,'Met Data'!$O$2:$T$368,G898,FALSE)</f>
        <v>5.0220708698278598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" thickBot="1">
      <c r="G899" s="3">
        <f t="shared" ca="1" si="140"/>
        <v>41</v>
      </c>
      <c r="H899" s="97">
        <f t="shared" ca="1" si="139"/>
        <v>46062</v>
      </c>
      <c r="I899" s="121">
        <f ca="1">HLOOKUP($H$5,'Met Data'!$A$2:$F$368,G899,FALSE)</f>
        <v>16.957352941176399</v>
      </c>
      <c r="J899" s="119">
        <f ca="1">HLOOKUP($H$5,'Met Data'!$H$2:$M$368,G899,FALSE)*L899</f>
        <v>1.1352941176470499</v>
      </c>
      <c r="K899" s="98">
        <f ca="1">HLOOKUP($H$5,'Met Data'!$O$2:$T$368,G899,FALSE)</f>
        <v>4.61421103176027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" thickBot="1">
      <c r="G900" s="3">
        <f t="shared" ca="1" si="140"/>
        <v>42</v>
      </c>
      <c r="H900" s="97">
        <f t="shared" ca="1" si="139"/>
        <v>46063</v>
      </c>
      <c r="I900" s="121">
        <f ca="1">HLOOKUP($H$5,'Met Data'!$A$2:$F$368,G900,FALSE)</f>
        <v>16.866176470588201</v>
      </c>
      <c r="J900" s="119">
        <f ca="1">HLOOKUP($H$5,'Met Data'!$H$2:$M$368,G900,FALSE)*L900</f>
        <v>0.77647058823529402</v>
      </c>
      <c r="K900" s="98">
        <f ca="1">HLOOKUP($H$5,'Met Data'!$O$2:$T$368,G900,FALSE)</f>
        <v>4.40551625163656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" thickBot="1">
      <c r="G901" s="3">
        <f t="shared" ca="1" si="140"/>
        <v>43</v>
      </c>
      <c r="H901" s="97">
        <f t="shared" ca="1" si="139"/>
        <v>46064</v>
      </c>
      <c r="I901" s="121">
        <f ca="1">HLOOKUP($H$5,'Met Data'!$A$2:$F$368,G901,FALSE)</f>
        <v>17.485294117647001</v>
      </c>
      <c r="J901" s="119">
        <f ca="1">HLOOKUP($H$5,'Met Data'!$H$2:$M$368,G901,FALSE)*L901</f>
        <v>1.0529411764705801</v>
      </c>
      <c r="K901" s="98">
        <f ca="1">HLOOKUP($H$5,'Met Data'!$O$2:$T$368,G901,FALSE)</f>
        <v>4.4685640225242098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" thickBot="1">
      <c r="G902" s="3">
        <f t="shared" ca="1" si="140"/>
        <v>44</v>
      </c>
      <c r="H902" s="97">
        <f t="shared" ca="1" si="139"/>
        <v>46065</v>
      </c>
      <c r="I902" s="121">
        <f ca="1">HLOOKUP($H$5,'Met Data'!$A$2:$F$368,G902,FALSE)</f>
        <v>17.980882352941101</v>
      </c>
      <c r="J902" s="119">
        <f ca="1">HLOOKUP($H$5,'Met Data'!$H$2:$M$368,G902,FALSE)*L902</f>
        <v>2.1735294117646999</v>
      </c>
      <c r="K902" s="98">
        <f ca="1">HLOOKUP($H$5,'Met Data'!$O$2:$T$368,G902,FALSE)</f>
        <v>4.3571116145332098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" thickBot="1">
      <c r="G903" s="3">
        <f t="shared" ca="1" si="140"/>
        <v>45</v>
      </c>
      <c r="H903" s="97">
        <f t="shared" ca="1" si="139"/>
        <v>46066</v>
      </c>
      <c r="I903" s="121">
        <f ca="1">HLOOKUP($H$5,'Met Data'!$A$2:$F$368,G903,FALSE)</f>
        <v>16.401470588235199</v>
      </c>
      <c r="J903" s="119">
        <f ca="1">HLOOKUP($H$5,'Met Data'!$H$2:$M$368,G903,FALSE)*L903</f>
        <v>1.78235294117647</v>
      </c>
      <c r="K903" s="98">
        <f ca="1">HLOOKUP($H$5,'Met Data'!$O$2:$T$368,G903,FALSE)</f>
        <v>3.9824902366083998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" thickBot="1">
      <c r="G904" s="3">
        <f t="shared" ca="1" si="140"/>
        <v>46</v>
      </c>
      <c r="H904" s="97">
        <f t="shared" ca="1" si="139"/>
        <v>46067</v>
      </c>
      <c r="I904" s="121">
        <f ca="1">HLOOKUP($H$5,'Met Data'!$A$2:$F$368,G904,FALSE)</f>
        <v>15.8867647058823</v>
      </c>
      <c r="J904" s="119">
        <f ca="1">HLOOKUP($H$5,'Met Data'!$H$2:$M$368,G904,FALSE)*L904</f>
        <v>2.5647058823529401</v>
      </c>
      <c r="K904" s="98">
        <f ca="1">HLOOKUP($H$5,'Met Data'!$O$2:$T$368,G904,FALSE)</f>
        <v>3.6699943049553201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" thickBot="1">
      <c r="G905" s="3">
        <f t="shared" ca="1" si="140"/>
        <v>47</v>
      </c>
      <c r="H905" s="97">
        <f t="shared" ref="H905:H968" ca="1" si="149">H904+1</f>
        <v>46068</v>
      </c>
      <c r="I905" s="121">
        <f ca="1">HLOOKUP($H$5,'Met Data'!$A$2:$F$368,G905,FALSE)</f>
        <v>15.4705882352941</v>
      </c>
      <c r="J905" s="119">
        <f ca="1">HLOOKUP($H$5,'Met Data'!$H$2:$M$368,G905,FALSE)*L905</f>
        <v>2.2558823529411698</v>
      </c>
      <c r="K905" s="98">
        <f ca="1">HLOOKUP($H$5,'Met Data'!$O$2:$T$368,G905,FALSE)</f>
        <v>4.0108603157722298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" thickBot="1">
      <c r="G906" s="3">
        <f t="shared" ca="1" si="140"/>
        <v>48</v>
      </c>
      <c r="H906" s="97">
        <f t="shared" ca="1" si="149"/>
        <v>46069</v>
      </c>
      <c r="I906" s="121">
        <f ca="1">HLOOKUP($H$5,'Met Data'!$A$2:$F$368,G906,FALSE)</f>
        <v>16.035294117646998</v>
      </c>
      <c r="J906" s="119">
        <f ca="1">HLOOKUP($H$5,'Met Data'!$H$2:$M$368,G906,FALSE)*L906</f>
        <v>1.3529411764705801</v>
      </c>
      <c r="K906" s="98">
        <f ca="1">HLOOKUP($H$5,'Met Data'!$O$2:$T$368,G906,FALSE)</f>
        <v>4.2159434978261299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" thickBot="1">
      <c r="G907" s="3">
        <f t="shared" ca="1" si="140"/>
        <v>49</v>
      </c>
      <c r="H907" s="97">
        <f t="shared" ca="1" si="149"/>
        <v>46070</v>
      </c>
      <c r="I907" s="121">
        <f ca="1">HLOOKUP($H$5,'Met Data'!$A$2:$F$368,G907,FALSE)</f>
        <v>17.155882352941099</v>
      </c>
      <c r="J907" s="119">
        <f ca="1">HLOOKUP($H$5,'Met Data'!$H$2:$M$368,G907,FALSE)*L907</f>
        <v>1.3794117647058799</v>
      </c>
      <c r="K907" s="98">
        <f ca="1">HLOOKUP($H$5,'Met Data'!$O$2:$T$368,G907,FALSE)</f>
        <v>4.4742152890515898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" thickBot="1">
      <c r="G908" s="3">
        <f t="shared" ca="1" si="140"/>
        <v>50</v>
      </c>
      <c r="H908" s="97">
        <f t="shared" ca="1" si="149"/>
        <v>46071</v>
      </c>
      <c r="I908" s="121">
        <f ca="1">HLOOKUP($H$5,'Met Data'!$A$2:$F$368,G908,FALSE)</f>
        <v>17.5720588235294</v>
      </c>
      <c r="J908" s="119">
        <f ca="1">HLOOKUP($H$5,'Met Data'!$H$2:$M$368,G908,FALSE)*L908</f>
        <v>2.15</v>
      </c>
      <c r="K908" s="98">
        <f ca="1">HLOOKUP($H$5,'Met Data'!$O$2:$T$368,G908,FALSE)</f>
        <v>4.8952010783751296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" thickBot="1">
      <c r="G909" s="3">
        <f t="shared" ca="1" si="140"/>
        <v>51</v>
      </c>
      <c r="H909" s="97">
        <f t="shared" ca="1" si="149"/>
        <v>46072</v>
      </c>
      <c r="I909" s="121">
        <f ca="1">HLOOKUP($H$5,'Met Data'!$A$2:$F$368,G909,FALSE)</f>
        <v>16.991176470588201</v>
      </c>
      <c r="J909" s="119">
        <f ca="1">HLOOKUP($H$5,'Met Data'!$H$2:$M$368,G909,FALSE)*L909</f>
        <v>0.64117647058823501</v>
      </c>
      <c r="K909" s="98">
        <f ca="1">HLOOKUP($H$5,'Met Data'!$O$2:$T$368,G909,FALSE)</f>
        <v>4.3668387336618597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" thickBot="1">
      <c r="G910" s="3">
        <f t="shared" ca="1" si="140"/>
        <v>52</v>
      </c>
      <c r="H910" s="97">
        <f t="shared" ca="1" si="149"/>
        <v>46073</v>
      </c>
      <c r="I910" s="121">
        <f ca="1">HLOOKUP($H$5,'Met Data'!$A$2:$F$368,G910,FALSE)</f>
        <v>16.655882352941099</v>
      </c>
      <c r="J910" s="119">
        <f ca="1">HLOOKUP($H$5,'Met Data'!$H$2:$M$368,G910,FALSE)*L910</f>
        <v>2.5705882352941098</v>
      </c>
      <c r="K910" s="98">
        <f ca="1">HLOOKUP($H$5,'Met Data'!$O$2:$T$368,G910,FALSE)</f>
        <v>4.6555880727780803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" thickBot="1">
      <c r="G911" s="3">
        <f t="shared" ca="1" si="140"/>
        <v>53</v>
      </c>
      <c r="H911" s="97">
        <f t="shared" ca="1" si="149"/>
        <v>46074</v>
      </c>
      <c r="I911" s="121">
        <f ca="1">HLOOKUP($H$5,'Met Data'!$A$2:$F$368,G911,FALSE)</f>
        <v>16.6955882352941</v>
      </c>
      <c r="J911" s="119">
        <f ca="1">HLOOKUP($H$5,'Met Data'!$H$2:$M$368,G911,FALSE)*L911</f>
        <v>0.76470588235294101</v>
      </c>
      <c r="K911" s="98">
        <f ca="1">HLOOKUP($H$5,'Met Data'!$O$2:$T$368,G911,FALSE)</f>
        <v>4.46937460417998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" thickBot="1">
      <c r="G912" s="3">
        <f t="shared" ca="1" si="140"/>
        <v>54</v>
      </c>
      <c r="H912" s="97">
        <f t="shared" ca="1" si="149"/>
        <v>46075</v>
      </c>
      <c r="I912" s="121">
        <f ca="1">HLOOKUP($H$5,'Met Data'!$A$2:$F$368,G912,FALSE)</f>
        <v>16.394117647058799</v>
      </c>
      <c r="J912" s="119">
        <f ca="1">HLOOKUP($H$5,'Met Data'!$H$2:$M$368,G912,FALSE)*L912</f>
        <v>1.52647058823529</v>
      </c>
      <c r="K912" s="98">
        <f ca="1">HLOOKUP($H$5,'Met Data'!$O$2:$T$368,G912,FALSE)</f>
        <v>4.4113780272088796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" thickBot="1">
      <c r="G913" s="3">
        <f t="shared" ca="1" si="140"/>
        <v>55</v>
      </c>
      <c r="H913" s="97">
        <f t="shared" ca="1" si="149"/>
        <v>46076</v>
      </c>
      <c r="I913" s="121">
        <f ca="1">HLOOKUP($H$5,'Met Data'!$A$2:$F$368,G913,FALSE)</f>
        <v>16.088235294117599</v>
      </c>
      <c r="J913" s="119">
        <f ca="1">HLOOKUP($H$5,'Met Data'!$H$2:$M$368,G913,FALSE)*L913</f>
        <v>1.78529411764705</v>
      </c>
      <c r="K913" s="98">
        <f ca="1">HLOOKUP($H$5,'Met Data'!$O$2:$T$368,G913,FALSE)</f>
        <v>3.9052160279772399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" thickBot="1">
      <c r="G914" s="3">
        <f t="shared" ca="1" si="140"/>
        <v>56</v>
      </c>
      <c r="H914" s="97">
        <f t="shared" ca="1" si="149"/>
        <v>46077</v>
      </c>
      <c r="I914" s="121">
        <f ca="1">HLOOKUP($H$5,'Met Data'!$A$2:$F$368,G914,FALSE)</f>
        <v>16.782352941176399</v>
      </c>
      <c r="J914" s="119">
        <f ca="1">HLOOKUP($H$5,'Met Data'!$H$2:$M$368,G914,FALSE)*L914</f>
        <v>1.6794117647058799</v>
      </c>
      <c r="K914" s="98">
        <f ca="1">HLOOKUP($H$5,'Met Data'!$O$2:$T$368,G914,FALSE)</f>
        <v>4.8281000917338197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" thickBot="1">
      <c r="G915" s="3">
        <f t="shared" ca="1" si="140"/>
        <v>57</v>
      </c>
      <c r="H915" s="97">
        <f t="shared" ca="1" si="149"/>
        <v>46078</v>
      </c>
      <c r="I915" s="121">
        <f ca="1">HLOOKUP($H$5,'Met Data'!$A$2:$F$368,G915,FALSE)</f>
        <v>16.1897058823529</v>
      </c>
      <c r="J915" s="119">
        <f ca="1">HLOOKUP($H$5,'Met Data'!$H$2:$M$368,G915,FALSE)*L915</f>
        <v>0.59411764705882297</v>
      </c>
      <c r="K915" s="98">
        <f ca="1">HLOOKUP($H$5,'Met Data'!$O$2:$T$368,G915,FALSE)</f>
        <v>4.4819172090086496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" thickBot="1">
      <c r="G916" s="3">
        <f t="shared" ca="1" si="140"/>
        <v>58</v>
      </c>
      <c r="H916" s="97">
        <f t="shared" ca="1" si="149"/>
        <v>46079</v>
      </c>
      <c r="I916" s="121">
        <f ca="1">HLOOKUP($H$5,'Met Data'!$A$2:$F$368,G916,FALSE)</f>
        <v>16.1941176470588</v>
      </c>
      <c r="J916" s="119">
        <f ca="1">HLOOKUP($H$5,'Met Data'!$H$2:$M$368,G916,FALSE)*L916</f>
        <v>1.93333333333333</v>
      </c>
      <c r="K916" s="98">
        <f ca="1">HLOOKUP($H$5,'Met Data'!$O$2:$T$368,G916,FALSE)</f>
        <v>4.3896941334323998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" thickBot="1">
      <c r="G917" s="3">
        <f t="shared" ca="1" si="140"/>
        <v>59</v>
      </c>
      <c r="H917" s="97">
        <f t="shared" ca="1" si="149"/>
        <v>46080</v>
      </c>
      <c r="I917" s="121">
        <f ca="1">HLOOKUP($H$5,'Met Data'!$A$2:$F$368,G917,FALSE)</f>
        <v>16.208823529411699</v>
      </c>
      <c r="J917" s="119">
        <f ca="1">HLOOKUP($H$5,'Met Data'!$H$2:$M$368,G917,FALSE)*L917</f>
        <v>1.1676470588235199</v>
      </c>
      <c r="K917" s="98">
        <f ca="1">HLOOKUP($H$5,'Met Data'!$O$2:$T$368,G917,FALSE)</f>
        <v>4.0964729959716299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" thickBot="1">
      <c r="G918" s="3">
        <f t="shared" ca="1" si="140"/>
        <v>60</v>
      </c>
      <c r="H918" s="97">
        <f t="shared" ca="1" si="149"/>
        <v>46081</v>
      </c>
      <c r="I918" s="121">
        <f ca="1">HLOOKUP($H$5,'Met Data'!$A$2:$F$368,G918,FALSE)</f>
        <v>16.074999999999999</v>
      </c>
      <c r="J918" s="119">
        <f ca="1">HLOOKUP($H$5,'Met Data'!$H$2:$M$368,G918,FALSE)*L918</f>
        <v>1.3352941176470501</v>
      </c>
      <c r="K918" s="98">
        <f ca="1">HLOOKUP($H$5,'Met Data'!$O$2:$T$368,G918,FALSE)</f>
        <v>4.1211840462926297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" thickBot="1">
      <c r="G919" s="3">
        <f t="shared" ca="1" si="140"/>
        <v>61</v>
      </c>
      <c r="H919" s="97">
        <f t="shared" ca="1" si="149"/>
        <v>46082</v>
      </c>
      <c r="I919" s="121">
        <f ca="1">HLOOKUP($H$5,'Met Data'!$A$2:$F$368,G919,FALSE)</f>
        <v>16.264705882352899</v>
      </c>
      <c r="J919" s="119">
        <f ca="1">HLOOKUP($H$5,'Met Data'!$H$2:$M$368,G919,FALSE)*L919</f>
        <v>0.48235294117646998</v>
      </c>
      <c r="K919" s="98">
        <f ca="1">HLOOKUP($H$5,'Met Data'!$O$2:$T$368,G919,FALSE)</f>
        <v>4.4835430215906102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" thickBot="1">
      <c r="G920" s="3">
        <f t="shared" ca="1" si="140"/>
        <v>62</v>
      </c>
      <c r="H920" s="97">
        <f t="shared" ca="1" si="149"/>
        <v>46083</v>
      </c>
      <c r="I920" s="121">
        <f ca="1">HLOOKUP($H$5,'Met Data'!$A$2:$F$368,G920,FALSE)</f>
        <v>15.9727272727272</v>
      </c>
      <c r="J920" s="119">
        <f ca="1">HLOOKUP($H$5,'Met Data'!$H$2:$M$368,G920,FALSE)*L920</f>
        <v>1.65151515151515</v>
      </c>
      <c r="K920" s="98">
        <f ca="1">HLOOKUP($H$5,'Met Data'!$O$2:$T$368,G920,FALSE)</f>
        <v>4.3251674269725902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" thickBot="1">
      <c r="G921" s="3">
        <f t="shared" ca="1" si="140"/>
        <v>63</v>
      </c>
      <c r="H921" s="97">
        <f t="shared" ca="1" si="149"/>
        <v>46084</v>
      </c>
      <c r="I921" s="121">
        <f ca="1">HLOOKUP($H$5,'Met Data'!$A$2:$F$368,G921,FALSE)</f>
        <v>15.216666666666599</v>
      </c>
      <c r="J921" s="119">
        <f ca="1">HLOOKUP($H$5,'Met Data'!$H$2:$M$368,G921,FALSE)*L921</f>
        <v>3.5272727272727198</v>
      </c>
      <c r="K921" s="98">
        <f ca="1">HLOOKUP($H$5,'Met Data'!$O$2:$T$368,G921,FALSE)</f>
        <v>3.8149865129266902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" thickBot="1">
      <c r="G922" s="3">
        <f t="shared" ca="1" si="140"/>
        <v>64</v>
      </c>
      <c r="H922" s="97">
        <f t="shared" ca="1" si="149"/>
        <v>46085</v>
      </c>
      <c r="I922" s="121">
        <f ca="1">HLOOKUP($H$5,'Met Data'!$A$2:$F$368,G922,FALSE)</f>
        <v>14.612121212121201</v>
      </c>
      <c r="J922" s="119">
        <f ca="1">HLOOKUP($H$5,'Met Data'!$H$2:$M$368,G922,FALSE)*L922</f>
        <v>2.1212121212121202</v>
      </c>
      <c r="K922" s="98">
        <f ca="1">HLOOKUP($H$5,'Met Data'!$O$2:$T$368,G922,FALSE)</f>
        <v>3.8891905260327699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" thickBot="1">
      <c r="G923" s="3">
        <f t="shared" ca="1" si="140"/>
        <v>65</v>
      </c>
      <c r="H923" s="97">
        <f t="shared" ca="1" si="149"/>
        <v>46086</v>
      </c>
      <c r="I923" s="121">
        <f ca="1">HLOOKUP($H$5,'Met Data'!$A$2:$F$368,G923,FALSE)</f>
        <v>15.7681818181818</v>
      </c>
      <c r="J923" s="119">
        <f ca="1">HLOOKUP($H$5,'Met Data'!$H$2:$M$368,G923,FALSE)*L923</f>
        <v>2.5606060606060601</v>
      </c>
      <c r="K923" s="98">
        <f ca="1">HLOOKUP($H$5,'Met Data'!$O$2:$T$368,G923,FALSE)</f>
        <v>4.10786263681889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" thickBot="1">
      <c r="G924" s="3">
        <f t="shared" ca="1" si="140"/>
        <v>66</v>
      </c>
      <c r="H924" s="97">
        <f t="shared" ca="1" si="149"/>
        <v>46087</v>
      </c>
      <c r="I924" s="121">
        <f ca="1">HLOOKUP($H$5,'Met Data'!$A$2:$F$368,G924,FALSE)</f>
        <v>15.9954545454545</v>
      </c>
      <c r="J924" s="119">
        <f ca="1">HLOOKUP($H$5,'Met Data'!$H$2:$M$368,G924,FALSE)*L924</f>
        <v>0.50303030303030305</v>
      </c>
      <c r="K924" s="98">
        <f ca="1">HLOOKUP($H$5,'Met Data'!$O$2:$T$368,G924,FALSE)</f>
        <v>4.0766889307448597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" thickBot="1">
      <c r="G925" s="3">
        <f t="shared" ca="1" si="140"/>
        <v>67</v>
      </c>
      <c r="H925" s="97">
        <f t="shared" ca="1" si="149"/>
        <v>46088</v>
      </c>
      <c r="I925" s="121">
        <f ca="1">HLOOKUP($H$5,'Met Data'!$A$2:$F$368,G925,FALSE)</f>
        <v>15.0166666666666</v>
      </c>
      <c r="J925" s="119">
        <f ca="1">HLOOKUP($H$5,'Met Data'!$H$2:$M$368,G925,FALSE)*L925</f>
        <v>0.884848484848484</v>
      </c>
      <c r="K925" s="98">
        <f ca="1">HLOOKUP($H$5,'Met Data'!$O$2:$T$368,G925,FALSE)</f>
        <v>3.8855543781492301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" thickBot="1">
      <c r="G926" s="3">
        <f t="shared" ca="1" si="140"/>
        <v>68</v>
      </c>
      <c r="H926" s="97">
        <f t="shared" ca="1" si="149"/>
        <v>46089</v>
      </c>
      <c r="I926" s="121">
        <f ca="1">HLOOKUP($H$5,'Met Data'!$A$2:$F$368,G926,FALSE)</f>
        <v>15.3257575757575</v>
      </c>
      <c r="J926" s="119">
        <f ca="1">HLOOKUP($H$5,'Met Data'!$H$2:$M$368,G926,FALSE)*L926</f>
        <v>0.98787878787878702</v>
      </c>
      <c r="K926" s="98">
        <f ca="1">HLOOKUP($H$5,'Met Data'!$O$2:$T$368,G926,FALSE)</f>
        <v>3.6905019360086202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" thickBot="1">
      <c r="G927" s="3">
        <f t="shared" ca="1" si="140"/>
        <v>69</v>
      </c>
      <c r="H927" s="97">
        <f t="shared" ca="1" si="149"/>
        <v>46090</v>
      </c>
      <c r="I927" s="121">
        <f ca="1">HLOOKUP($H$5,'Met Data'!$A$2:$F$368,G927,FALSE)</f>
        <v>14.630303030303001</v>
      </c>
      <c r="J927" s="119">
        <f ca="1">HLOOKUP($H$5,'Met Data'!$H$2:$M$368,G927,FALSE)*L927</f>
        <v>0.82121212121212095</v>
      </c>
      <c r="K927" s="98">
        <f ca="1">HLOOKUP($H$5,'Met Data'!$O$2:$T$368,G927,FALSE)</f>
        <v>3.5528537387163399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" thickBot="1">
      <c r="G928" s="3">
        <f t="shared" ca="1" si="140"/>
        <v>70</v>
      </c>
      <c r="H928" s="97">
        <f t="shared" ca="1" si="149"/>
        <v>46091</v>
      </c>
      <c r="I928" s="121">
        <f ca="1">HLOOKUP($H$5,'Met Data'!$A$2:$F$368,G928,FALSE)</f>
        <v>15.7924242424242</v>
      </c>
      <c r="J928" s="119">
        <f ca="1">HLOOKUP($H$5,'Met Data'!$H$2:$M$368,G928,FALSE)*L928</f>
        <v>1.4909090909090901</v>
      </c>
      <c r="K928" s="98">
        <f ca="1">HLOOKUP($H$5,'Met Data'!$O$2:$T$368,G928,FALSE)</f>
        <v>3.7245673615528201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" thickBot="1">
      <c r="G929" s="3">
        <f t="shared" ca="1" si="140"/>
        <v>71</v>
      </c>
      <c r="H929" s="97">
        <f t="shared" ca="1" si="149"/>
        <v>46092</v>
      </c>
      <c r="I929" s="121">
        <f ca="1">HLOOKUP($H$5,'Met Data'!$A$2:$F$368,G929,FALSE)</f>
        <v>15.055882352941101</v>
      </c>
      <c r="J929" s="119">
        <f ca="1">HLOOKUP($H$5,'Met Data'!$H$2:$M$368,G929,FALSE)*L929</f>
        <v>1.93823529411764</v>
      </c>
      <c r="K929" s="98">
        <f ca="1">HLOOKUP($H$5,'Met Data'!$O$2:$T$368,G929,FALSE)</f>
        <v>3.2545752102886598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" thickBot="1">
      <c r="G930" s="3">
        <f t="shared" ca="1" si="140"/>
        <v>72</v>
      </c>
      <c r="H930" s="97">
        <f t="shared" ca="1" si="149"/>
        <v>46093</v>
      </c>
      <c r="I930" s="121">
        <f ca="1">HLOOKUP($H$5,'Met Data'!$A$2:$F$368,G930,FALSE)</f>
        <v>14.958823529411699</v>
      </c>
      <c r="J930" s="119">
        <f ca="1">HLOOKUP($H$5,'Met Data'!$H$2:$M$368,G930,FALSE)*L930</f>
        <v>3.24705882352941</v>
      </c>
      <c r="K930" s="98">
        <f ca="1">HLOOKUP($H$5,'Met Data'!$O$2:$T$368,G930,FALSE)</f>
        <v>3.17975180664317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" thickBot="1">
      <c r="G931" s="3">
        <f t="shared" ca="1" si="140"/>
        <v>73</v>
      </c>
      <c r="H931" s="97">
        <f t="shared" ca="1" si="149"/>
        <v>46094</v>
      </c>
      <c r="I931" s="121">
        <f ca="1">HLOOKUP($H$5,'Met Data'!$A$2:$F$368,G931,FALSE)</f>
        <v>15.205882352941099</v>
      </c>
      <c r="J931" s="119">
        <f ca="1">HLOOKUP($H$5,'Met Data'!$H$2:$M$368,G931,FALSE)*L931</f>
        <v>2.9088235294117601</v>
      </c>
      <c r="K931" s="98">
        <f ca="1">HLOOKUP($H$5,'Met Data'!$O$2:$T$368,G931,FALSE)</f>
        <v>3.3146668186599602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" thickBot="1">
      <c r="G932" s="3">
        <f t="shared" ca="1" si="140"/>
        <v>74</v>
      </c>
      <c r="H932" s="97">
        <f t="shared" ca="1" si="149"/>
        <v>46095</v>
      </c>
      <c r="I932" s="121">
        <f ca="1">HLOOKUP($H$5,'Met Data'!$A$2:$F$368,G932,FALSE)</f>
        <v>14.888235294117599</v>
      </c>
      <c r="J932" s="119">
        <f ca="1">HLOOKUP($H$5,'Met Data'!$H$2:$M$368,G932,FALSE)*L932</f>
        <v>2.2999999999999998</v>
      </c>
      <c r="K932" s="98">
        <f ca="1">HLOOKUP($H$5,'Met Data'!$O$2:$T$368,G932,FALSE)</f>
        <v>3.3312157637355302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" thickBot="1">
      <c r="G933" s="3">
        <f t="shared" ca="1" si="140"/>
        <v>75</v>
      </c>
      <c r="H933" s="97">
        <f t="shared" ca="1" si="149"/>
        <v>46096</v>
      </c>
      <c r="I933" s="121">
        <f ca="1">HLOOKUP($H$5,'Met Data'!$A$2:$F$368,G933,FALSE)</f>
        <v>14.9794117647058</v>
      </c>
      <c r="J933" s="119">
        <f ca="1">HLOOKUP($H$5,'Met Data'!$H$2:$M$368,G933,FALSE)*L933</f>
        <v>0.34411764705882297</v>
      </c>
      <c r="K933" s="98">
        <f ca="1">HLOOKUP($H$5,'Met Data'!$O$2:$T$368,G933,FALSE)</f>
        <v>3.9291146060483402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" thickBot="1">
      <c r="G934" s="3">
        <f t="shared" ca="1" si="140"/>
        <v>76</v>
      </c>
      <c r="H934" s="97">
        <f t="shared" ca="1" si="149"/>
        <v>46097</v>
      </c>
      <c r="I934" s="121">
        <f ca="1">HLOOKUP($H$5,'Met Data'!$A$2:$F$368,G934,FALSE)</f>
        <v>15</v>
      </c>
      <c r="J934" s="119">
        <f ca="1">HLOOKUP($H$5,'Met Data'!$H$2:$M$368,G934,FALSE)*L934</f>
        <v>1.3499999999999901</v>
      </c>
      <c r="K934" s="98">
        <f ca="1">HLOOKUP($H$5,'Met Data'!$O$2:$T$368,G934,FALSE)</f>
        <v>3.4649343661814198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" thickBot="1">
      <c r="G935" s="3">
        <f t="shared" ca="1" si="140"/>
        <v>77</v>
      </c>
      <c r="H935" s="97">
        <f t="shared" ca="1" si="149"/>
        <v>46098</v>
      </c>
      <c r="I935" s="121">
        <f ca="1">HLOOKUP($H$5,'Met Data'!$A$2:$F$368,G935,FALSE)</f>
        <v>14.8191176470588</v>
      </c>
      <c r="J935" s="119">
        <f ca="1">HLOOKUP($H$5,'Met Data'!$H$2:$M$368,G935,FALSE)*L935</f>
        <v>1.49117647058823</v>
      </c>
      <c r="K935" s="98">
        <f ca="1">HLOOKUP($H$5,'Met Data'!$O$2:$T$368,G935,FALSE)</f>
        <v>3.6481150031845502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" thickBot="1">
      <c r="G936" s="3">
        <f t="shared" ca="1" si="140"/>
        <v>78</v>
      </c>
      <c r="H936" s="97">
        <f t="shared" ca="1" si="149"/>
        <v>46099</v>
      </c>
      <c r="I936" s="121">
        <f ca="1">HLOOKUP($H$5,'Met Data'!$A$2:$F$368,G936,FALSE)</f>
        <v>13.742647058823501</v>
      </c>
      <c r="J936" s="119">
        <f ca="1">HLOOKUP($H$5,'Met Data'!$H$2:$M$368,G936,FALSE)*L936</f>
        <v>1.8470588235294101</v>
      </c>
      <c r="K936" s="98">
        <f ca="1">HLOOKUP($H$5,'Met Data'!$O$2:$T$368,G936,FALSE)</f>
        <v>3.23711449028497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" thickBot="1">
      <c r="G937" s="3">
        <f t="shared" ca="1" si="140"/>
        <v>79</v>
      </c>
      <c r="H937" s="97">
        <f t="shared" ca="1" si="149"/>
        <v>46100</v>
      </c>
      <c r="I937" s="121">
        <f ca="1">HLOOKUP($H$5,'Met Data'!$A$2:$F$368,G937,FALSE)</f>
        <v>14.5911764705882</v>
      </c>
      <c r="J937" s="119">
        <f ca="1">HLOOKUP($H$5,'Met Data'!$H$2:$M$368,G937,FALSE)*L937</f>
        <v>1.1617647058823499</v>
      </c>
      <c r="K937" s="98">
        <f ca="1">HLOOKUP($H$5,'Met Data'!$O$2:$T$368,G937,FALSE)</f>
        <v>3.5497173485221101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" thickBot="1">
      <c r="G938" s="3">
        <f t="shared" ca="1" si="140"/>
        <v>80</v>
      </c>
      <c r="H938" s="97">
        <f t="shared" ca="1" si="149"/>
        <v>46101</v>
      </c>
      <c r="I938" s="121">
        <f ca="1">HLOOKUP($H$5,'Met Data'!$A$2:$F$368,G938,FALSE)</f>
        <v>15.358823529411699</v>
      </c>
      <c r="J938" s="119">
        <f ca="1">HLOOKUP($H$5,'Met Data'!$H$2:$M$368,G938,FALSE)*L938</f>
        <v>0.66176470588235203</v>
      </c>
      <c r="K938" s="98">
        <f ca="1">HLOOKUP($H$5,'Met Data'!$O$2:$T$368,G938,FALSE)</f>
        <v>3.6735377917360399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" thickBot="1">
      <c r="G939" s="3">
        <f t="shared" ca="1" si="140"/>
        <v>81</v>
      </c>
      <c r="H939" s="97">
        <f t="shared" ca="1" si="149"/>
        <v>46102</v>
      </c>
      <c r="I939" s="121">
        <f ca="1">HLOOKUP($H$5,'Met Data'!$A$2:$F$368,G939,FALSE)</f>
        <v>14.954411764705799</v>
      </c>
      <c r="J939" s="119">
        <f ca="1">HLOOKUP($H$5,'Met Data'!$H$2:$M$368,G939,FALSE)*L939</f>
        <v>0.95588235294117596</v>
      </c>
      <c r="K939" s="98">
        <f ca="1">HLOOKUP($H$5,'Met Data'!$O$2:$T$368,G939,FALSE)</f>
        <v>3.2764370104371201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" thickBot="1">
      <c r="G940" s="3">
        <f t="shared" ca="1" si="140"/>
        <v>82</v>
      </c>
      <c r="H940" s="97">
        <f t="shared" ca="1" si="149"/>
        <v>46103</v>
      </c>
      <c r="I940" s="121">
        <f ca="1">HLOOKUP($H$5,'Met Data'!$A$2:$F$368,G940,FALSE)</f>
        <v>14.5426470588235</v>
      </c>
      <c r="J940" s="119">
        <f ca="1">HLOOKUP($H$5,'Met Data'!$H$2:$M$368,G940,FALSE)*L940</f>
        <v>1.0823529411764701</v>
      </c>
      <c r="K940" s="98">
        <f ca="1">HLOOKUP($H$5,'Met Data'!$O$2:$T$368,G940,FALSE)</f>
        <v>3.2063273498641101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" thickBot="1">
      <c r="G941" s="3">
        <f t="shared" ca="1" si="140"/>
        <v>83</v>
      </c>
      <c r="H941" s="97">
        <f t="shared" ca="1" si="149"/>
        <v>46104</v>
      </c>
      <c r="I941" s="121">
        <f ca="1">HLOOKUP($H$5,'Met Data'!$A$2:$F$368,G941,FALSE)</f>
        <v>13.9808823529411</v>
      </c>
      <c r="J941" s="119">
        <f ca="1">HLOOKUP($H$5,'Met Data'!$H$2:$M$368,G941,FALSE)*L941</f>
        <v>2.1911764705882302</v>
      </c>
      <c r="K941" s="98">
        <f ca="1">HLOOKUP($H$5,'Met Data'!$O$2:$T$368,G941,FALSE)</f>
        <v>2.9655145666728702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" thickBot="1">
      <c r="G942" s="3">
        <f t="shared" ca="1" si="140"/>
        <v>84</v>
      </c>
      <c r="H942" s="97">
        <f t="shared" ca="1" si="149"/>
        <v>46105</v>
      </c>
      <c r="I942" s="121">
        <f ca="1">HLOOKUP($H$5,'Met Data'!$A$2:$F$368,G942,FALSE)</f>
        <v>14.1040998217468</v>
      </c>
      <c r="J942" s="119">
        <f ca="1">HLOOKUP($H$5,'Met Data'!$H$2:$M$368,G942,FALSE)*L942</f>
        <v>1.0235294117647</v>
      </c>
      <c r="K942" s="98">
        <f ca="1">HLOOKUP($H$5,'Met Data'!$O$2:$T$368,G942,FALSE)</f>
        <v>3.1669873410987299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" thickBot="1">
      <c r="G943" s="3">
        <f t="shared" ca="1" si="140"/>
        <v>85</v>
      </c>
      <c r="H943" s="97">
        <f t="shared" ca="1" si="149"/>
        <v>46106</v>
      </c>
      <c r="I943" s="121">
        <f ca="1">HLOOKUP($H$5,'Met Data'!$A$2:$F$368,G943,FALSE)</f>
        <v>14.397058823529401</v>
      </c>
      <c r="J943" s="119">
        <f ca="1">HLOOKUP($H$5,'Met Data'!$H$2:$M$368,G943,FALSE)*L943</f>
        <v>2.0852941176470501</v>
      </c>
      <c r="K943" s="98">
        <f ca="1">HLOOKUP($H$5,'Met Data'!$O$2:$T$368,G943,FALSE)</f>
        <v>3.15831903524233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" thickBot="1">
      <c r="G944" s="3">
        <f t="shared" ca="1" si="140"/>
        <v>86</v>
      </c>
      <c r="H944" s="97">
        <f t="shared" ca="1" si="149"/>
        <v>46107</v>
      </c>
      <c r="I944" s="121">
        <f ca="1">HLOOKUP($H$5,'Met Data'!$A$2:$F$368,G944,FALSE)</f>
        <v>13.613235294117599</v>
      </c>
      <c r="J944" s="119">
        <f ca="1">HLOOKUP($H$5,'Met Data'!$H$2:$M$368,G944,FALSE)*L944</f>
        <v>0.36764705882352899</v>
      </c>
      <c r="K944" s="98">
        <f ca="1">HLOOKUP($H$5,'Met Data'!$O$2:$T$368,G944,FALSE)</f>
        <v>2.9834653601225298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" thickBot="1">
      <c r="G945" s="3">
        <f t="shared" ref="G945:G1000" ca="1" si="150">H945-DATE(YEAR(H945),1,0)+1</f>
        <v>87</v>
      </c>
      <c r="H945" s="97">
        <f t="shared" ca="1" si="149"/>
        <v>46108</v>
      </c>
      <c r="I945" s="121">
        <f ca="1">HLOOKUP($H$5,'Met Data'!$A$2:$F$368,G945,FALSE)</f>
        <v>14.4676470588235</v>
      </c>
      <c r="J945" s="119">
        <f ca="1">HLOOKUP($H$5,'Met Data'!$H$2:$M$368,G945,FALSE)*L945</f>
        <v>1.0823529411764701</v>
      </c>
      <c r="K945" s="98">
        <f ca="1">HLOOKUP($H$5,'Met Data'!$O$2:$T$368,G945,FALSE)</f>
        <v>2.8333092043964401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" thickBot="1">
      <c r="G946" s="3">
        <f t="shared" ca="1" si="150"/>
        <v>88</v>
      </c>
      <c r="H946" s="97">
        <f t="shared" ca="1" si="149"/>
        <v>46109</v>
      </c>
      <c r="I946" s="121">
        <f ca="1">HLOOKUP($H$5,'Met Data'!$A$2:$F$368,G946,FALSE)</f>
        <v>14.926470588235199</v>
      </c>
      <c r="J946" s="119">
        <f ca="1">HLOOKUP($H$5,'Met Data'!$H$2:$M$368,G946,FALSE)*L946</f>
        <v>0.94705882352941095</v>
      </c>
      <c r="K946" s="98">
        <f ca="1">HLOOKUP($H$5,'Met Data'!$O$2:$T$368,G946,FALSE)</f>
        <v>3.21972745270357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" thickBot="1">
      <c r="G947" s="3">
        <f t="shared" ca="1" si="150"/>
        <v>89</v>
      </c>
      <c r="H947" s="97">
        <f t="shared" ca="1" si="149"/>
        <v>46110</v>
      </c>
      <c r="I947" s="121">
        <f ca="1">HLOOKUP($H$5,'Met Data'!$A$2:$F$368,G947,FALSE)</f>
        <v>14.8691176470588</v>
      </c>
      <c r="J947" s="119">
        <f ca="1">HLOOKUP($H$5,'Met Data'!$H$2:$M$368,G947,FALSE)*L947</f>
        <v>1.0558823529411701</v>
      </c>
      <c r="K947" s="98">
        <f ca="1">HLOOKUP($H$5,'Met Data'!$O$2:$T$368,G947,FALSE)</f>
        <v>3.2466735955910102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" thickBot="1">
      <c r="G948" s="3">
        <f t="shared" ca="1" si="150"/>
        <v>90</v>
      </c>
      <c r="H948" s="97">
        <f t="shared" ca="1" si="149"/>
        <v>46111</v>
      </c>
      <c r="I948" s="121">
        <f ca="1">HLOOKUP($H$5,'Met Data'!$A$2:$F$368,G948,FALSE)</f>
        <v>14.9382352941176</v>
      </c>
      <c r="J948" s="119">
        <f ca="1">HLOOKUP($H$5,'Met Data'!$H$2:$M$368,G948,FALSE)*L948</f>
        <v>2.7852941176470498</v>
      </c>
      <c r="K948" s="98">
        <f ca="1">HLOOKUP($H$5,'Met Data'!$O$2:$T$368,G948,FALSE)</f>
        <v>3.4072037420100298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" thickBot="1">
      <c r="G949" s="3">
        <f t="shared" ca="1" si="150"/>
        <v>91</v>
      </c>
      <c r="H949" s="97">
        <f t="shared" ca="1" si="149"/>
        <v>46112</v>
      </c>
      <c r="I949" s="121">
        <f ca="1">HLOOKUP($H$5,'Met Data'!$A$2:$F$368,G949,FALSE)</f>
        <v>14.0308823529411</v>
      </c>
      <c r="J949" s="119">
        <f ca="1">HLOOKUP($H$5,'Met Data'!$H$2:$M$368,G949,FALSE)*L949</f>
        <v>1.8794117647058799</v>
      </c>
      <c r="K949" s="98">
        <f ca="1">HLOOKUP($H$5,'Met Data'!$O$2:$T$368,G949,FALSE)</f>
        <v>3.0552812923505202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" thickBot="1">
      <c r="G950" s="3">
        <f t="shared" ca="1" si="150"/>
        <v>92</v>
      </c>
      <c r="H950" s="97">
        <f t="shared" ca="1" si="149"/>
        <v>46113</v>
      </c>
      <c r="I950" s="121">
        <f ca="1">HLOOKUP($H$5,'Met Data'!$A$2:$F$368,G950,FALSE)</f>
        <v>13.4647058823529</v>
      </c>
      <c r="J950" s="119">
        <f ca="1">HLOOKUP($H$5,'Met Data'!$H$2:$M$368,G950,FALSE)*L950</f>
        <v>1.0852941176470501</v>
      </c>
      <c r="K950" s="98">
        <f ca="1">HLOOKUP($H$5,'Met Data'!$O$2:$T$368,G950,FALSE)</f>
        <v>3.01312511683413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" thickBot="1">
      <c r="G951" s="3">
        <f t="shared" ca="1" si="150"/>
        <v>93</v>
      </c>
      <c r="H951" s="97">
        <f t="shared" ca="1" si="149"/>
        <v>46114</v>
      </c>
      <c r="I951" s="121">
        <f ca="1">HLOOKUP($H$5,'Met Data'!$A$2:$F$368,G951,FALSE)</f>
        <v>14.017647058823499</v>
      </c>
      <c r="J951" s="119">
        <f ca="1">HLOOKUP($H$5,'Met Data'!$H$2:$M$368,G951,FALSE)*L951</f>
        <v>0.94117647058823495</v>
      </c>
      <c r="K951" s="98">
        <f ca="1">HLOOKUP($H$5,'Met Data'!$O$2:$T$368,G951,FALSE)</f>
        <v>3.2186093862229201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" thickBot="1">
      <c r="G952" s="3">
        <f t="shared" ca="1" si="150"/>
        <v>94</v>
      </c>
      <c r="H952" s="97">
        <f t="shared" ca="1" si="149"/>
        <v>46115</v>
      </c>
      <c r="I952" s="121">
        <f ca="1">HLOOKUP($H$5,'Met Data'!$A$2:$F$368,G952,FALSE)</f>
        <v>13.6090909090909</v>
      </c>
      <c r="J952" s="119">
        <f ca="1">HLOOKUP($H$5,'Met Data'!$H$2:$M$368,G952,FALSE)*L952</f>
        <v>1.49117647058823</v>
      </c>
      <c r="K952" s="98">
        <f ca="1">HLOOKUP($H$5,'Met Data'!$O$2:$T$368,G952,FALSE)</f>
        <v>3.07176916757397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" thickBot="1">
      <c r="G953" s="3">
        <f t="shared" ca="1" si="150"/>
        <v>95</v>
      </c>
      <c r="H953" s="97">
        <f t="shared" ca="1" si="149"/>
        <v>46116</v>
      </c>
      <c r="I953" s="121">
        <f ca="1">HLOOKUP($H$5,'Met Data'!$A$2:$F$368,G953,FALSE)</f>
        <v>13.085294117647001</v>
      </c>
      <c r="J953" s="119">
        <f ca="1">HLOOKUP($H$5,'Met Data'!$H$2:$M$368,G953,FALSE)*L953</f>
        <v>1.72941176470588</v>
      </c>
      <c r="K953" s="98">
        <f ca="1">HLOOKUP($H$5,'Met Data'!$O$2:$T$368,G953,FALSE)</f>
        <v>2.7784232053438802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" thickBot="1">
      <c r="G954" s="3">
        <f t="shared" ca="1" si="150"/>
        <v>96</v>
      </c>
      <c r="H954" s="97">
        <f t="shared" ca="1" si="149"/>
        <v>46117</v>
      </c>
      <c r="I954" s="121">
        <f ca="1">HLOOKUP($H$5,'Met Data'!$A$2:$F$368,G954,FALSE)</f>
        <v>12.85</v>
      </c>
      <c r="J954" s="119">
        <f ca="1">HLOOKUP($H$5,'Met Data'!$H$2:$M$368,G954,FALSE)*L954</f>
        <v>1.3441176470588201</v>
      </c>
      <c r="K954" s="98">
        <f ca="1">HLOOKUP($H$5,'Met Data'!$O$2:$T$368,G954,FALSE)</f>
        <v>2.61431180626996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" thickBot="1">
      <c r="G955" s="3">
        <f t="shared" ca="1" si="150"/>
        <v>97</v>
      </c>
      <c r="H955" s="97">
        <f t="shared" ca="1" si="149"/>
        <v>46118</v>
      </c>
      <c r="I955" s="121">
        <f ca="1">HLOOKUP($H$5,'Met Data'!$A$2:$F$368,G955,FALSE)</f>
        <v>12.9941176470588</v>
      </c>
      <c r="J955" s="119">
        <f ca="1">HLOOKUP($H$5,'Met Data'!$H$2:$M$368,G955,FALSE)*L955</f>
        <v>2.2911764705882298</v>
      </c>
      <c r="K955" s="98">
        <f ca="1">HLOOKUP($H$5,'Met Data'!$O$2:$T$368,G955,FALSE)</f>
        <v>2.55102036350638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" thickBot="1">
      <c r="G956" s="3">
        <f t="shared" ca="1" si="150"/>
        <v>98</v>
      </c>
      <c r="H956" s="97">
        <f t="shared" ca="1" si="149"/>
        <v>46119</v>
      </c>
      <c r="I956" s="121">
        <f ca="1">HLOOKUP($H$5,'Met Data'!$A$2:$F$368,G956,FALSE)</f>
        <v>12.891176470588199</v>
      </c>
      <c r="J956" s="119">
        <f ca="1">HLOOKUP($H$5,'Met Data'!$H$2:$M$368,G956,FALSE)*L956</f>
        <v>3.5058823529411698</v>
      </c>
      <c r="K956" s="98">
        <f ca="1">HLOOKUP($H$5,'Met Data'!$O$2:$T$368,G956,FALSE)</f>
        <v>2.5900977274770201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" thickBot="1">
      <c r="G957" s="3">
        <f t="shared" ca="1" si="150"/>
        <v>99</v>
      </c>
      <c r="H957" s="97">
        <f t="shared" ca="1" si="149"/>
        <v>46120</v>
      </c>
      <c r="I957" s="121">
        <f ca="1">HLOOKUP($H$5,'Met Data'!$A$2:$F$368,G957,FALSE)</f>
        <v>12.924999999999899</v>
      </c>
      <c r="J957" s="119">
        <f ca="1">HLOOKUP($H$5,'Met Data'!$H$2:$M$368,G957,FALSE)*L957</f>
        <v>2.1029411764705799</v>
      </c>
      <c r="K957" s="98">
        <f ca="1">HLOOKUP($H$5,'Met Data'!$O$2:$T$368,G957,FALSE)</f>
        <v>2.6944935581784701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" thickBot="1">
      <c r="G958" s="3">
        <f t="shared" ca="1" si="150"/>
        <v>100</v>
      </c>
      <c r="H958" s="97">
        <f t="shared" ca="1" si="149"/>
        <v>46121</v>
      </c>
      <c r="I958" s="121">
        <f ca="1">HLOOKUP($H$5,'Met Data'!$A$2:$F$368,G958,FALSE)</f>
        <v>12.363235294117599</v>
      </c>
      <c r="J958" s="119">
        <f ca="1">HLOOKUP($H$5,'Met Data'!$H$2:$M$368,G958,FALSE)*L958</f>
        <v>2.8117647058823501</v>
      </c>
      <c r="K958" s="98">
        <f ca="1">HLOOKUP($H$5,'Met Data'!$O$2:$T$368,G958,FALSE)</f>
        <v>2.27410330215878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" thickBot="1">
      <c r="G959" s="3">
        <f t="shared" ca="1" si="150"/>
        <v>101</v>
      </c>
      <c r="H959" s="97">
        <f t="shared" ca="1" si="149"/>
        <v>46122</v>
      </c>
      <c r="I959" s="121">
        <f ca="1">HLOOKUP($H$5,'Met Data'!$A$2:$F$368,G959,FALSE)</f>
        <v>11.3573529411764</v>
      </c>
      <c r="J959" s="119">
        <f ca="1">HLOOKUP($H$5,'Met Data'!$H$2:$M$368,G959,FALSE)*L959</f>
        <v>2.0676470588235198</v>
      </c>
      <c r="K959" s="98">
        <f ca="1">HLOOKUP($H$5,'Met Data'!$O$2:$T$368,G959,FALSE)</f>
        <v>2.42845739075634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" thickBot="1">
      <c r="G960" s="3">
        <f t="shared" ca="1" si="150"/>
        <v>102</v>
      </c>
      <c r="H960" s="97">
        <f t="shared" ca="1" si="149"/>
        <v>46123</v>
      </c>
      <c r="I960" s="121">
        <f ca="1">HLOOKUP($H$5,'Met Data'!$A$2:$F$368,G960,FALSE)</f>
        <v>11.6044117647058</v>
      </c>
      <c r="J960" s="119">
        <f ca="1">HLOOKUP($H$5,'Met Data'!$H$2:$M$368,G960,FALSE)*L960</f>
        <v>1.3794117647058799</v>
      </c>
      <c r="K960" s="98">
        <f ca="1">HLOOKUP($H$5,'Met Data'!$O$2:$T$368,G960,FALSE)</f>
        <v>2.30587050945396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" thickBot="1">
      <c r="G961" s="3">
        <f t="shared" ca="1" si="150"/>
        <v>103</v>
      </c>
      <c r="H961" s="97">
        <f t="shared" ca="1" si="149"/>
        <v>46124</v>
      </c>
      <c r="I961" s="121">
        <f ca="1">HLOOKUP($H$5,'Met Data'!$A$2:$F$368,G961,FALSE)</f>
        <v>11.445454545454499</v>
      </c>
      <c r="J961" s="119">
        <f ca="1">HLOOKUP($H$5,'Met Data'!$H$2:$M$368,G961,FALSE)*L961</f>
        <v>1.8117647058823501</v>
      </c>
      <c r="K961" s="98">
        <f ca="1">HLOOKUP($H$5,'Met Data'!$O$2:$T$368,G961,FALSE)</f>
        <v>2.1258259155745698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" thickBot="1">
      <c r="G962" s="3">
        <f t="shared" ca="1" si="150"/>
        <v>104</v>
      </c>
      <c r="H962" s="97">
        <f t="shared" ca="1" si="149"/>
        <v>46125</v>
      </c>
      <c r="I962" s="121">
        <f ca="1">HLOOKUP($H$5,'Met Data'!$A$2:$F$368,G962,FALSE)</f>
        <v>11.897058823529401</v>
      </c>
      <c r="J962" s="119">
        <f ca="1">HLOOKUP($H$5,'Met Data'!$H$2:$M$368,G962,FALSE)*L962</f>
        <v>1.4117647058823499</v>
      </c>
      <c r="K962" s="98">
        <f ca="1">HLOOKUP($H$5,'Met Data'!$O$2:$T$368,G962,FALSE)</f>
        <v>2.2855460299238599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" thickBot="1">
      <c r="G963" s="3">
        <f t="shared" ca="1" si="150"/>
        <v>105</v>
      </c>
      <c r="H963" s="97">
        <f t="shared" ca="1" si="149"/>
        <v>46126</v>
      </c>
      <c r="I963" s="121">
        <f ca="1">HLOOKUP($H$5,'Met Data'!$A$2:$F$368,G963,FALSE)</f>
        <v>11.5014705882352</v>
      </c>
      <c r="J963" s="119">
        <f ca="1">HLOOKUP($H$5,'Met Data'!$H$2:$M$368,G963,FALSE)*L963</f>
        <v>1.26470588235294</v>
      </c>
      <c r="K963" s="98">
        <f ca="1">HLOOKUP($H$5,'Met Data'!$O$2:$T$368,G963,FALSE)</f>
        <v>2.1675311808748998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" thickBot="1">
      <c r="G964" s="3">
        <f t="shared" ca="1" si="150"/>
        <v>106</v>
      </c>
      <c r="H964" s="97">
        <f t="shared" ca="1" si="149"/>
        <v>46127</v>
      </c>
      <c r="I964" s="121">
        <f ca="1">HLOOKUP($H$5,'Met Data'!$A$2:$F$368,G964,FALSE)</f>
        <v>12.461764705882301</v>
      </c>
      <c r="J964" s="119">
        <f ca="1">HLOOKUP($H$5,'Met Data'!$H$2:$M$368,G964,FALSE)*L964</f>
        <v>0.48529411764705799</v>
      </c>
      <c r="K964" s="98">
        <f ca="1">HLOOKUP($H$5,'Met Data'!$O$2:$T$368,G964,FALSE)</f>
        <v>2.6480171040382698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" thickBot="1">
      <c r="G965" s="3">
        <f t="shared" ca="1" si="150"/>
        <v>107</v>
      </c>
      <c r="H965" s="97">
        <f t="shared" ca="1" si="149"/>
        <v>46128</v>
      </c>
      <c r="I965" s="121">
        <f ca="1">HLOOKUP($H$5,'Met Data'!$A$2:$F$368,G965,FALSE)</f>
        <v>12.083823529411699</v>
      </c>
      <c r="J965" s="119">
        <f ca="1">HLOOKUP($H$5,'Met Data'!$H$2:$M$368,G965,FALSE)*L965</f>
        <v>1.1558823529411699</v>
      </c>
      <c r="K965" s="98">
        <f ca="1">HLOOKUP($H$5,'Met Data'!$O$2:$T$368,G965,FALSE)</f>
        <v>2.1774423034333599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" thickBot="1">
      <c r="G966" s="3">
        <f t="shared" ca="1" si="150"/>
        <v>108</v>
      </c>
      <c r="H966" s="97">
        <f t="shared" ca="1" si="149"/>
        <v>46129</v>
      </c>
      <c r="I966" s="121">
        <f ca="1">HLOOKUP($H$5,'Met Data'!$A$2:$F$368,G966,FALSE)</f>
        <v>12.307352941176401</v>
      </c>
      <c r="J966" s="119">
        <f ca="1">HLOOKUP($H$5,'Met Data'!$H$2:$M$368,G966,FALSE)*L966</f>
        <v>1.68823529411764</v>
      </c>
      <c r="K966" s="98">
        <f ca="1">HLOOKUP($H$5,'Met Data'!$O$2:$T$368,G966,FALSE)</f>
        <v>2.0825962231468602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" thickBot="1">
      <c r="G967" s="3">
        <f t="shared" ca="1" si="150"/>
        <v>109</v>
      </c>
      <c r="H967" s="97">
        <f t="shared" ca="1" si="149"/>
        <v>46130</v>
      </c>
      <c r="I967" s="121">
        <f ca="1">HLOOKUP($H$5,'Met Data'!$A$2:$F$368,G967,FALSE)</f>
        <v>11.5970588235294</v>
      </c>
      <c r="J967" s="119">
        <f ca="1">HLOOKUP($H$5,'Met Data'!$H$2:$M$368,G967,FALSE)*L967</f>
        <v>1.19117647058823</v>
      </c>
      <c r="K967" s="98">
        <f ca="1">HLOOKUP($H$5,'Met Data'!$O$2:$T$368,G967,FALSE)</f>
        <v>1.83123332157564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" thickBot="1">
      <c r="G968" s="3">
        <f t="shared" ca="1" si="150"/>
        <v>110</v>
      </c>
      <c r="H968" s="97">
        <f t="shared" ca="1" si="149"/>
        <v>46131</v>
      </c>
      <c r="I968" s="121">
        <f ca="1">HLOOKUP($H$5,'Met Data'!$A$2:$F$368,G968,FALSE)</f>
        <v>11.710294117647001</v>
      </c>
      <c r="J968" s="119">
        <f ca="1">HLOOKUP($H$5,'Met Data'!$H$2:$M$368,G968,FALSE)*L968</f>
        <v>0.876470588235294</v>
      </c>
      <c r="K968" s="98">
        <f ca="1">HLOOKUP($H$5,'Met Data'!$O$2:$T$368,G968,FALSE)</f>
        <v>1.9918324383127699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" thickBot="1">
      <c r="G969" s="3">
        <f t="shared" ca="1" si="150"/>
        <v>111</v>
      </c>
      <c r="H969" s="97">
        <f t="shared" ref="H969:H1000" ca="1" si="159">H968+1</f>
        <v>46132</v>
      </c>
      <c r="I969" s="121">
        <f ca="1">HLOOKUP($H$5,'Met Data'!$A$2:$F$368,G969,FALSE)</f>
        <v>12.0897058823529</v>
      </c>
      <c r="J969" s="119">
        <f ca="1">HLOOKUP($H$5,'Met Data'!$H$2:$M$368,G969,FALSE)*L969</f>
        <v>1.6147058823529401</v>
      </c>
      <c r="K969" s="98">
        <f ca="1">HLOOKUP($H$5,'Met Data'!$O$2:$T$368,G969,FALSE)</f>
        <v>2.3214267905608299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" thickBot="1">
      <c r="G970" s="3">
        <f t="shared" ca="1" si="150"/>
        <v>112</v>
      </c>
      <c r="H970" s="97">
        <f t="shared" ca="1" si="159"/>
        <v>46133</v>
      </c>
      <c r="I970" s="121">
        <f ca="1">HLOOKUP($H$5,'Met Data'!$A$2:$F$368,G970,FALSE)</f>
        <v>11.1882352941176</v>
      </c>
      <c r="J970" s="119">
        <f ca="1">HLOOKUP($H$5,'Met Data'!$H$2:$M$368,G970,FALSE)*L970</f>
        <v>1.6352941176470499</v>
      </c>
      <c r="K970" s="98">
        <f ca="1">HLOOKUP($H$5,'Met Data'!$O$2:$T$368,G970,FALSE)</f>
        <v>1.88439420500637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" thickBot="1">
      <c r="G971" s="3">
        <f t="shared" ca="1" si="150"/>
        <v>113</v>
      </c>
      <c r="H971" s="97">
        <f t="shared" ca="1" si="159"/>
        <v>46134</v>
      </c>
      <c r="I971" s="121">
        <f ca="1">HLOOKUP($H$5,'Met Data'!$A$2:$F$368,G971,FALSE)</f>
        <v>11.0044117647058</v>
      </c>
      <c r="J971" s="119">
        <f ca="1">HLOOKUP($H$5,'Met Data'!$H$2:$M$368,G971,FALSE)*L971</f>
        <v>0.81176470588235194</v>
      </c>
      <c r="K971" s="98">
        <f ca="1">HLOOKUP($H$5,'Met Data'!$O$2:$T$368,G971,FALSE)</f>
        <v>1.9179571566201901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" thickBot="1">
      <c r="G972" s="3">
        <f t="shared" ca="1" si="150"/>
        <v>114</v>
      </c>
      <c r="H972" s="97">
        <f t="shared" ca="1" si="159"/>
        <v>46135</v>
      </c>
      <c r="I972" s="121">
        <f ca="1">HLOOKUP($H$5,'Met Data'!$A$2:$F$368,G972,FALSE)</f>
        <v>11.586764705882301</v>
      </c>
      <c r="J972" s="119">
        <f ca="1">HLOOKUP($H$5,'Met Data'!$H$2:$M$368,G972,FALSE)*L972</f>
        <v>0.77352941176470502</v>
      </c>
      <c r="K972" s="98">
        <f ca="1">HLOOKUP($H$5,'Met Data'!$O$2:$T$368,G972,FALSE)</f>
        <v>2.1115808573458499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" thickBot="1">
      <c r="G973" s="3">
        <f t="shared" ca="1" si="150"/>
        <v>115</v>
      </c>
      <c r="H973" s="97">
        <f t="shared" ca="1" si="159"/>
        <v>46136</v>
      </c>
      <c r="I973" s="121">
        <f ca="1">HLOOKUP($H$5,'Met Data'!$A$2:$F$368,G973,FALSE)</f>
        <v>10.9985294117647</v>
      </c>
      <c r="J973" s="119">
        <f ca="1">HLOOKUP($H$5,'Met Data'!$H$2:$M$368,G973,FALSE)*L973</f>
        <v>1.75294117647058</v>
      </c>
      <c r="K973" s="98">
        <f ca="1">HLOOKUP($H$5,'Met Data'!$O$2:$T$368,G973,FALSE)</f>
        <v>1.81614923585608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" thickBot="1">
      <c r="G974" s="3">
        <f t="shared" ca="1" si="150"/>
        <v>116</v>
      </c>
      <c r="H974" s="97">
        <f t="shared" ca="1" si="159"/>
        <v>46137</v>
      </c>
      <c r="I974" s="121">
        <f ca="1">HLOOKUP($H$5,'Met Data'!$A$2:$F$368,G974,FALSE)</f>
        <v>11.547058823529399</v>
      </c>
      <c r="J974" s="119">
        <f ca="1">HLOOKUP($H$5,'Met Data'!$H$2:$M$368,G974,FALSE)*L974</f>
        <v>1.70294117647058</v>
      </c>
      <c r="K974" s="98">
        <f ca="1">HLOOKUP($H$5,'Met Data'!$O$2:$T$368,G974,FALSE)</f>
        <v>1.8798608741396901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" thickBot="1">
      <c r="G975" s="3">
        <f t="shared" ca="1" si="150"/>
        <v>117</v>
      </c>
      <c r="H975" s="97">
        <f t="shared" ca="1" si="159"/>
        <v>46138</v>
      </c>
      <c r="I975" s="121">
        <f ca="1">HLOOKUP($H$5,'Met Data'!$A$2:$F$368,G975,FALSE)</f>
        <v>11.6955882352941</v>
      </c>
      <c r="J975" s="119">
        <f ca="1">HLOOKUP($H$5,'Met Data'!$H$2:$M$368,G975,FALSE)*L975</f>
        <v>0.41176470588235198</v>
      </c>
      <c r="K975" s="98">
        <f ca="1">HLOOKUP($H$5,'Met Data'!$O$2:$T$368,G975,FALSE)</f>
        <v>1.88699621875139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" thickBot="1">
      <c r="G976" s="3">
        <f t="shared" ca="1" si="150"/>
        <v>118</v>
      </c>
      <c r="H976" s="97">
        <f t="shared" ca="1" si="159"/>
        <v>46139</v>
      </c>
      <c r="I976" s="121">
        <f ca="1">HLOOKUP($H$5,'Met Data'!$A$2:$F$368,G976,FALSE)</f>
        <v>11.833823529411699</v>
      </c>
      <c r="J976" s="119">
        <f ca="1">HLOOKUP($H$5,'Met Data'!$H$2:$M$368,G976,FALSE)*L976</f>
        <v>1.79705882352941</v>
      </c>
      <c r="K976" s="98">
        <f ca="1">HLOOKUP($H$5,'Met Data'!$O$2:$T$368,G976,FALSE)</f>
        <v>1.76466679700699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" thickBot="1">
      <c r="G977" s="3">
        <f t="shared" ca="1" si="150"/>
        <v>119</v>
      </c>
      <c r="H977" s="97">
        <f t="shared" ca="1" si="159"/>
        <v>46140</v>
      </c>
      <c r="I977" s="121">
        <f ca="1">HLOOKUP($H$5,'Met Data'!$A$2:$F$368,G977,FALSE)</f>
        <v>12.1279411764705</v>
      </c>
      <c r="J977" s="119">
        <f ca="1">HLOOKUP($H$5,'Met Data'!$H$2:$M$368,G977,FALSE)*L977</f>
        <v>2.1588235294117601</v>
      </c>
      <c r="K977" s="98">
        <f ca="1">HLOOKUP($H$5,'Met Data'!$O$2:$T$368,G977,FALSE)</f>
        <v>1.95217239254561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" thickBot="1">
      <c r="G978" s="3">
        <f t="shared" ca="1" si="150"/>
        <v>120</v>
      </c>
      <c r="H978" s="97">
        <f t="shared" ca="1" si="159"/>
        <v>46141</v>
      </c>
      <c r="I978" s="121">
        <f ca="1">HLOOKUP($H$5,'Met Data'!$A$2:$F$368,G978,FALSE)</f>
        <v>10.824999999999999</v>
      </c>
      <c r="J978" s="119">
        <f ca="1">HLOOKUP($H$5,'Met Data'!$H$2:$M$368,G978,FALSE)*L978</f>
        <v>5.4352941176470502</v>
      </c>
      <c r="K978" s="98">
        <f ca="1">HLOOKUP($H$5,'Met Data'!$O$2:$T$368,G978,FALSE)</f>
        <v>1.6384329462009699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" thickBot="1">
      <c r="G979" s="3">
        <f t="shared" ca="1" si="150"/>
        <v>121</v>
      </c>
      <c r="H979" s="97">
        <f t="shared" ca="1" si="159"/>
        <v>46142</v>
      </c>
      <c r="I979" s="121">
        <f ca="1">HLOOKUP($H$5,'Met Data'!$A$2:$F$368,G979,FALSE)</f>
        <v>10.554411764705799</v>
      </c>
      <c r="J979" s="119">
        <f ca="1">HLOOKUP($H$5,'Met Data'!$H$2:$M$368,G979,FALSE)*L979</f>
        <v>2.5852941176470501</v>
      </c>
      <c r="K979" s="98">
        <f ca="1">HLOOKUP($H$5,'Met Data'!$O$2:$T$368,G979,FALSE)</f>
        <v>1.6462620711534199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" thickBot="1">
      <c r="G980" s="3">
        <f t="shared" ca="1" si="150"/>
        <v>122</v>
      </c>
      <c r="H980" s="97">
        <f t="shared" ca="1" si="159"/>
        <v>46143</v>
      </c>
      <c r="I980" s="121">
        <f ca="1">HLOOKUP($H$5,'Met Data'!$A$2:$F$368,G980,FALSE)</f>
        <v>10.2014705882352</v>
      </c>
      <c r="J980" s="119">
        <f ca="1">HLOOKUP($H$5,'Met Data'!$H$2:$M$368,G980,FALSE)*L980</f>
        <v>1.01176470588235</v>
      </c>
      <c r="K980" s="98">
        <f ca="1">HLOOKUP($H$5,'Met Data'!$O$2:$T$368,G980,FALSE)</f>
        <v>1.5886994013641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" thickBot="1">
      <c r="G981" s="3">
        <f t="shared" ca="1" si="150"/>
        <v>123</v>
      </c>
      <c r="H981" s="97">
        <f t="shared" ca="1" si="159"/>
        <v>46144</v>
      </c>
      <c r="I981" s="121">
        <f ca="1">HLOOKUP($H$5,'Met Data'!$A$2:$F$368,G981,FALSE)</f>
        <v>10.3191176470588</v>
      </c>
      <c r="J981" s="119">
        <f ca="1">HLOOKUP($H$5,'Met Data'!$H$2:$M$368,G981,FALSE)*L981</f>
        <v>0.91470588235294104</v>
      </c>
      <c r="K981" s="98">
        <f ca="1">HLOOKUP($H$5,'Met Data'!$O$2:$T$368,G981,FALSE)</f>
        <v>1.52724346363737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" thickBot="1">
      <c r="G982" s="3">
        <f t="shared" ca="1" si="150"/>
        <v>124</v>
      </c>
      <c r="H982" s="97">
        <f t="shared" ca="1" si="159"/>
        <v>46145</v>
      </c>
      <c r="I982" s="121">
        <f ca="1">HLOOKUP($H$5,'Met Data'!$A$2:$F$368,G982,FALSE)</f>
        <v>10.267647058823499</v>
      </c>
      <c r="J982" s="119">
        <f ca="1">HLOOKUP($H$5,'Met Data'!$H$2:$M$368,G982,FALSE)*L982</f>
        <v>0.91764705882352904</v>
      </c>
      <c r="K982" s="98">
        <f ca="1">HLOOKUP($H$5,'Met Data'!$O$2:$T$368,G982,FALSE)</f>
        <v>1.7604236957874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" thickBot="1">
      <c r="G983" s="3">
        <f t="shared" ca="1" si="150"/>
        <v>125</v>
      </c>
      <c r="H983" s="97">
        <f t="shared" ca="1" si="159"/>
        <v>46146</v>
      </c>
      <c r="I983" s="121">
        <f ca="1">HLOOKUP($H$5,'Met Data'!$A$2:$F$368,G983,FALSE)</f>
        <v>10.807352941176401</v>
      </c>
      <c r="J983" s="119">
        <f ca="1">HLOOKUP($H$5,'Met Data'!$H$2:$M$368,G983,FALSE)*L983</f>
        <v>1.78529411764705</v>
      </c>
      <c r="K983" s="98">
        <f ca="1">HLOOKUP($H$5,'Met Data'!$O$2:$T$368,G983,FALSE)</f>
        <v>1.87410891042832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" thickBot="1">
      <c r="G984" s="3">
        <f t="shared" ca="1" si="150"/>
        <v>126</v>
      </c>
      <c r="H984" s="97">
        <f t="shared" ca="1" si="159"/>
        <v>46147</v>
      </c>
      <c r="I984" s="121">
        <f ca="1">HLOOKUP($H$5,'Met Data'!$A$2:$F$368,G984,FALSE)</f>
        <v>10.7742424242424</v>
      </c>
      <c r="J984" s="119">
        <f ca="1">HLOOKUP($H$5,'Met Data'!$H$2:$M$368,G984,FALSE)*L984</f>
        <v>1.0941176470588201</v>
      </c>
      <c r="K984" s="98">
        <f ca="1">HLOOKUP($H$5,'Met Data'!$O$2:$T$368,G984,FALSE)</f>
        <v>1.5837713381857701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" thickBot="1">
      <c r="G985" s="3">
        <f t="shared" ca="1" si="150"/>
        <v>127</v>
      </c>
      <c r="H985" s="97">
        <f t="shared" ca="1" si="159"/>
        <v>46148</v>
      </c>
      <c r="I985" s="121">
        <f ca="1">HLOOKUP($H$5,'Met Data'!$A$2:$F$368,G985,FALSE)</f>
        <v>11.583823529411699</v>
      </c>
      <c r="J985" s="119">
        <f ca="1">HLOOKUP($H$5,'Met Data'!$H$2:$M$368,G985,FALSE)*L985</f>
        <v>3.2617647058823498</v>
      </c>
      <c r="K985" s="98">
        <f ca="1">HLOOKUP($H$5,'Met Data'!$O$2:$T$368,G985,FALSE)</f>
        <v>1.9285474517201799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" thickBot="1">
      <c r="G986" s="3">
        <f t="shared" ca="1" si="150"/>
        <v>128</v>
      </c>
      <c r="H986" s="97">
        <f t="shared" ca="1" si="159"/>
        <v>46149</v>
      </c>
      <c r="I986" s="121">
        <f ca="1">HLOOKUP($H$5,'Met Data'!$A$2:$F$368,G986,FALSE)</f>
        <v>11.138235294117599</v>
      </c>
      <c r="J986" s="119">
        <f ca="1">HLOOKUP($H$5,'Met Data'!$H$2:$M$368,G986,FALSE)*L986</f>
        <v>1.1176470588235199</v>
      </c>
      <c r="K986" s="98">
        <f ca="1">HLOOKUP($H$5,'Met Data'!$O$2:$T$368,G986,FALSE)</f>
        <v>1.69465579062546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" thickBot="1">
      <c r="G987" s="3">
        <f t="shared" ca="1" si="150"/>
        <v>129</v>
      </c>
      <c r="H987" s="97">
        <f t="shared" ca="1" si="159"/>
        <v>46150</v>
      </c>
      <c r="I987" s="121">
        <f ca="1">HLOOKUP($H$5,'Met Data'!$A$2:$F$368,G987,FALSE)</f>
        <v>10.079411764705799</v>
      </c>
      <c r="J987" s="119">
        <f ca="1">HLOOKUP($H$5,'Met Data'!$H$2:$M$368,G987,FALSE)*L987</f>
        <v>3.0588235294117601</v>
      </c>
      <c r="K987" s="98">
        <f ca="1">HLOOKUP($H$5,'Met Data'!$O$2:$T$368,G987,FALSE)</f>
        <v>1.6998944555739099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" thickBot="1">
      <c r="G988" s="3">
        <f t="shared" ca="1" si="150"/>
        <v>130</v>
      </c>
      <c r="H988" s="97">
        <f t="shared" ca="1" si="159"/>
        <v>46151</v>
      </c>
      <c r="I988" s="121">
        <f ca="1">HLOOKUP($H$5,'Met Data'!$A$2:$F$368,G988,FALSE)</f>
        <v>10.2279411764705</v>
      </c>
      <c r="J988" s="119">
        <f ca="1">HLOOKUP($H$5,'Met Data'!$H$2:$M$368,G988,FALSE)*L988</f>
        <v>0.78235294117647003</v>
      </c>
      <c r="K988" s="98">
        <f ca="1">HLOOKUP($H$5,'Met Data'!$O$2:$T$368,G988,FALSE)</f>
        <v>1.6080556103689001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" thickBot="1">
      <c r="G989" s="3">
        <f t="shared" ca="1" si="150"/>
        <v>131</v>
      </c>
      <c r="H989" s="97">
        <f t="shared" ca="1" si="159"/>
        <v>46152</v>
      </c>
      <c r="I989" s="121">
        <f ca="1">HLOOKUP($H$5,'Met Data'!$A$2:$F$368,G989,FALSE)</f>
        <v>10.1044117647058</v>
      </c>
      <c r="J989" s="119">
        <f ca="1">HLOOKUP($H$5,'Met Data'!$H$2:$M$368,G989,FALSE)*L989</f>
        <v>1.99411764705882</v>
      </c>
      <c r="K989" s="98">
        <f ca="1">HLOOKUP($H$5,'Met Data'!$O$2:$T$368,G989,FALSE)</f>
        <v>1.41413311869791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" thickBot="1">
      <c r="G990" s="3">
        <f t="shared" ca="1" si="150"/>
        <v>132</v>
      </c>
      <c r="H990" s="97">
        <f t="shared" ca="1" si="159"/>
        <v>46153</v>
      </c>
      <c r="I990" s="121">
        <f ca="1">HLOOKUP($H$5,'Met Data'!$A$2:$F$368,G990,FALSE)</f>
        <v>10.4441176470588</v>
      </c>
      <c r="J990" s="119">
        <f ca="1">HLOOKUP($H$5,'Met Data'!$H$2:$M$368,G990,FALSE)*L990</f>
        <v>0.92058823529411704</v>
      </c>
      <c r="K990" s="98">
        <f ca="1">HLOOKUP($H$5,'Met Data'!$O$2:$T$368,G990,FALSE)</f>
        <v>1.66219643843515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" thickBot="1">
      <c r="G991" s="3">
        <f t="shared" ca="1" si="150"/>
        <v>133</v>
      </c>
      <c r="H991" s="97">
        <f t="shared" ca="1" si="159"/>
        <v>46154</v>
      </c>
      <c r="I991" s="121">
        <f ca="1">HLOOKUP($H$5,'Met Data'!$A$2:$F$368,G991,FALSE)</f>
        <v>10.801470588235199</v>
      </c>
      <c r="J991" s="119">
        <f ca="1">HLOOKUP($H$5,'Met Data'!$H$2:$M$368,G991,FALSE)*L991</f>
        <v>1.73823529411764</v>
      </c>
      <c r="K991" s="98">
        <f ca="1">HLOOKUP($H$5,'Met Data'!$O$2:$T$368,G991,FALSE)</f>
        <v>1.5723667757897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" thickBot="1">
      <c r="G992" s="3">
        <f t="shared" ca="1" si="150"/>
        <v>134</v>
      </c>
      <c r="H992" s="97">
        <f t="shared" ca="1" si="159"/>
        <v>46155</v>
      </c>
      <c r="I992" s="121">
        <f ca="1">HLOOKUP($H$5,'Met Data'!$A$2:$F$368,G992,FALSE)</f>
        <v>10.149999999999901</v>
      </c>
      <c r="J992" s="119">
        <f ca="1">HLOOKUP($H$5,'Met Data'!$H$2:$M$368,G992,FALSE)*L992</f>
        <v>1.23235294117647</v>
      </c>
      <c r="K992" s="98">
        <f ca="1">HLOOKUP($H$5,'Met Data'!$O$2:$T$368,G992,FALSE)</f>
        <v>1.62543661304557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" thickBot="1">
      <c r="G993" s="3">
        <f t="shared" ca="1" si="150"/>
        <v>135</v>
      </c>
      <c r="H993" s="97">
        <f t="shared" ca="1" si="159"/>
        <v>46156</v>
      </c>
      <c r="I993" s="121">
        <f ca="1">HLOOKUP($H$5,'Met Data'!$A$2:$F$368,G993,FALSE)</f>
        <v>10.029411764705801</v>
      </c>
      <c r="J993" s="119">
        <f ca="1">HLOOKUP($H$5,'Met Data'!$H$2:$M$368,G993,FALSE)*L993</f>
        <v>1.69705882352941</v>
      </c>
      <c r="K993" s="98">
        <f ca="1">HLOOKUP($H$5,'Met Data'!$O$2:$T$368,G993,FALSE)</f>
        <v>1.6139957133282601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" thickBot="1">
      <c r="G994" s="3">
        <f t="shared" ca="1" si="150"/>
        <v>136</v>
      </c>
      <c r="H994" s="97">
        <f t="shared" ca="1" si="159"/>
        <v>46157</v>
      </c>
      <c r="I994" s="121">
        <f ca="1">HLOOKUP($H$5,'Met Data'!$A$2:$F$368,G994,FALSE)</f>
        <v>9.6235294117647001</v>
      </c>
      <c r="J994" s="119">
        <f ca="1">HLOOKUP($H$5,'Met Data'!$H$2:$M$368,G994,FALSE)*L994</f>
        <v>1.51764705882352</v>
      </c>
      <c r="K994" s="98">
        <f ca="1">HLOOKUP($H$5,'Met Data'!$O$2:$T$368,G994,FALSE)</f>
        <v>1.6005498237626701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" thickBot="1">
      <c r="G995" s="3">
        <f t="shared" ca="1" si="150"/>
        <v>137</v>
      </c>
      <c r="H995" s="97">
        <f t="shared" ca="1" si="159"/>
        <v>46158</v>
      </c>
      <c r="I995" s="121">
        <f ca="1">HLOOKUP($H$5,'Met Data'!$A$2:$F$368,G995,FALSE)</f>
        <v>10.177941176470499</v>
      </c>
      <c r="J995" s="119">
        <f ca="1">HLOOKUP($H$5,'Met Data'!$H$2:$M$368,G995,FALSE)*L995</f>
        <v>2.0147058823529398</v>
      </c>
      <c r="K995" s="98">
        <f ca="1">HLOOKUP($H$5,'Met Data'!$O$2:$T$368,G995,FALSE)</f>
        <v>1.76114821084059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" thickBot="1">
      <c r="G996" s="3">
        <f t="shared" ca="1" si="150"/>
        <v>138</v>
      </c>
      <c r="H996" s="97">
        <f t="shared" ca="1" si="159"/>
        <v>46159</v>
      </c>
      <c r="I996" s="121">
        <f ca="1">HLOOKUP($H$5,'Met Data'!$A$2:$F$368,G996,FALSE)</f>
        <v>9.2779411764705806</v>
      </c>
      <c r="J996" s="119">
        <f ca="1">HLOOKUP($H$5,'Met Data'!$H$2:$M$368,G996,FALSE)*L996</f>
        <v>2.7235294117647002</v>
      </c>
      <c r="K996" s="98">
        <f ca="1">HLOOKUP($H$5,'Met Data'!$O$2:$T$368,G996,FALSE)</f>
        <v>1.51265723824432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" thickBot="1">
      <c r="G997" s="3">
        <f t="shared" ca="1" si="150"/>
        <v>139</v>
      </c>
      <c r="H997" s="97">
        <f t="shared" ca="1" si="159"/>
        <v>46160</v>
      </c>
      <c r="I997" s="121">
        <f ca="1">HLOOKUP($H$5,'Met Data'!$A$2:$F$368,G997,FALSE)</f>
        <v>9.0485294117647008</v>
      </c>
      <c r="J997" s="119">
        <f ca="1">HLOOKUP($H$5,'Met Data'!$H$2:$M$368,G997,FALSE)*L997</f>
        <v>1.5</v>
      </c>
      <c r="K997" s="98">
        <f ca="1">HLOOKUP($H$5,'Met Data'!$O$2:$T$368,G997,FALSE)</f>
        <v>1.42917243065086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" thickBot="1">
      <c r="G998" s="3">
        <f t="shared" ca="1" si="150"/>
        <v>140</v>
      </c>
      <c r="H998" s="97">
        <f t="shared" ca="1" si="159"/>
        <v>46161</v>
      </c>
      <c r="I998" s="121">
        <f ca="1">HLOOKUP($H$5,'Met Data'!$A$2:$F$368,G998,FALSE)</f>
        <v>9.3647058823529399</v>
      </c>
      <c r="J998" s="119">
        <f ca="1">HLOOKUP($H$5,'Met Data'!$H$2:$M$368,G998,FALSE)*L998</f>
        <v>1.5735294117647001</v>
      </c>
      <c r="K998" s="98">
        <f ca="1">HLOOKUP($H$5,'Met Data'!$O$2:$T$368,G998,FALSE)</f>
        <v>1.4324355889067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" thickBot="1">
      <c r="G999" s="3">
        <f t="shared" ca="1" si="150"/>
        <v>141</v>
      </c>
      <c r="H999" s="97">
        <f t="shared" ca="1" si="159"/>
        <v>46162</v>
      </c>
      <c r="I999" s="121">
        <f ca="1">HLOOKUP($H$5,'Met Data'!$A$2:$F$368,G999,FALSE)</f>
        <v>9.4352941176470502</v>
      </c>
      <c r="J999" s="119">
        <f ca="1">HLOOKUP($H$5,'Met Data'!$H$2:$M$368,G999,FALSE)*L999</f>
        <v>1.9352941176470499</v>
      </c>
      <c r="K999" s="98">
        <f ca="1">HLOOKUP($H$5,'Met Data'!$O$2:$T$368,G999,FALSE)</f>
        <v>1.4124835611223401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" thickBot="1">
      <c r="G1000" s="3">
        <f t="shared" ca="1" si="150"/>
        <v>142</v>
      </c>
      <c r="H1000" s="97">
        <f t="shared" ca="1" si="159"/>
        <v>46163</v>
      </c>
      <c r="I1000" s="121">
        <f ca="1">HLOOKUP($H$5,'Met Data'!$A$2:$F$368,G1000,FALSE)</f>
        <v>9.1705882352941099</v>
      </c>
      <c r="J1000" s="119">
        <f ca="1">HLOOKUP($H$5,'Met Data'!$H$2:$M$368,G1000,FALSE)*L1000</f>
        <v>2.3529411764705799</v>
      </c>
      <c r="K1000" s="98">
        <f ca="1">HLOOKUP($H$5,'Met Data'!$O$2:$T$368,G1000,FALSE)</f>
        <v>1.2765511235284199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8" sqref="AP8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" thickBot="1">
      <c r="AI6" t="s">
        <v>221</v>
      </c>
      <c r="AJ6" t="s">
        <v>223</v>
      </c>
      <c r="AM6" s="125" t="s">
        <v>244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3" t="s">
        <v>245</v>
      </c>
      <c r="AN7">
        <v>15</v>
      </c>
      <c r="AP7" t="s">
        <v>258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3" t="s">
        <v>246</v>
      </c>
      <c r="AN8">
        <v>17</v>
      </c>
      <c r="AP8" t="s">
        <v>233</v>
      </c>
    </row>
    <row r="9" spans="1:53" ht="1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3" t="s">
        <v>247</v>
      </c>
      <c r="AN9">
        <v>20</v>
      </c>
    </row>
    <row r="10" spans="1:53" ht="1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3" t="s">
        <v>248</v>
      </c>
      <c r="AN10">
        <v>16</v>
      </c>
    </row>
    <row r="11" spans="1:53" ht="1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3" t="s">
        <v>249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3" t="s">
        <v>250</v>
      </c>
      <c r="AN12">
        <v>35</v>
      </c>
    </row>
    <row r="13" spans="1:53" ht="1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3" t="s">
        <v>251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3" t="s">
        <v>252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253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3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8" t="s">
        <v>198</v>
      </c>
      <c r="B1" s="148"/>
      <c r="C1" s="148"/>
      <c r="D1" s="148"/>
      <c r="E1" s="148"/>
      <c r="F1" s="148"/>
      <c r="H1" s="148" t="s">
        <v>199</v>
      </c>
      <c r="I1" s="148"/>
      <c r="J1" s="148"/>
      <c r="K1" s="148"/>
      <c r="L1" s="148"/>
      <c r="M1" s="148"/>
      <c r="O1" s="148" t="s">
        <v>200</v>
      </c>
      <c r="P1" s="148"/>
      <c r="Q1" s="148"/>
      <c r="R1" s="148"/>
      <c r="S1" s="148"/>
      <c r="T1" s="148"/>
      <c r="V1" s="148"/>
      <c r="W1" s="148"/>
      <c r="X1" s="148"/>
      <c r="Y1" s="148"/>
      <c r="Z1" s="148"/>
      <c r="AA1" s="148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2024-04-04T01:56:35Z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