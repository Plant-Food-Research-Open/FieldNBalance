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97079CD3-856F-4EDC-A016-364AA7A2C079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4" i="3" s="1"/>
  <c r="D24" i="1"/>
  <c r="B7" i="3" s="1"/>
  <c r="D22" i="1"/>
  <c r="B2" i="3" s="1"/>
  <c r="D19" i="1"/>
  <c r="B5" i="3" s="1"/>
  <c r="D21" i="1"/>
  <c r="B3" i="3" s="1"/>
  <c r="D9" i="1"/>
  <c r="D25" i="1"/>
  <c r="B6" i="3" s="1"/>
  <c r="G4" i="1"/>
  <c r="B8" i="3" s="1"/>
  <c r="G5" i="1"/>
  <c r="B9" i="3" s="1"/>
  <c r="G6" i="1"/>
  <c r="B10" i="3" s="1"/>
  <c r="C25" i="1"/>
  <c r="B1" i="1"/>
  <c r="G55" i="1"/>
  <c r="B23" i="3" s="1"/>
  <c r="G66" i="1"/>
  <c r="B49" i="3" s="1"/>
  <c r="G15" i="1"/>
  <c r="B36" i="3" s="1"/>
  <c r="G65" i="1"/>
  <c r="B48" i="3" s="1"/>
  <c r="G54" i="1"/>
  <c r="B22" i="3" s="1"/>
  <c r="G14" i="1"/>
  <c r="B35" i="3" s="1"/>
  <c r="D7" i="1"/>
  <c r="D8" i="1" s="1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10" i="1" l="1"/>
  <c r="B33" i="3" s="1"/>
  <c r="P3" i="3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4" i="3"/>
  <c r="J3" i="3"/>
  <c r="B44" i="1"/>
  <c r="D44" i="1"/>
  <c r="B31" i="3"/>
  <c r="D52" i="1"/>
  <c r="R14" i="1" s="1"/>
  <c r="D51" i="1"/>
  <c r="D61" i="1"/>
  <c r="D50" i="1"/>
  <c r="G52" i="1" s="1"/>
  <c r="B24" i="3"/>
  <c r="D13" i="3"/>
  <c r="D4" i="3"/>
  <c r="D62" i="1" l="1"/>
  <c r="B44" i="3" s="1"/>
  <c r="G58" i="1"/>
  <c r="G63" i="1"/>
  <c r="D13" i="1"/>
  <c r="G11" i="1"/>
  <c r="G10" i="1"/>
  <c r="D12" i="1"/>
  <c r="B25" i="3" s="1"/>
  <c r="G13" i="1"/>
  <c r="G12" i="1"/>
  <c r="D55" i="1"/>
  <c r="D53" i="1" s="1"/>
  <c r="D54" i="1"/>
  <c r="B12" i="3" s="1"/>
  <c r="G51" i="1"/>
  <c r="G49" i="1"/>
  <c r="G48" i="1"/>
  <c r="G47" i="1"/>
  <c r="G59" i="1"/>
  <c r="G62" i="1"/>
  <c r="G60" i="1"/>
  <c r="D65" i="1"/>
  <c r="B38" i="3" s="1"/>
  <c r="D66" i="1"/>
  <c r="D64" i="1" s="1"/>
  <c r="H4" i="3"/>
  <c r="B50" i="1" l="1"/>
  <c r="D63" i="1"/>
  <c r="B46" i="3" s="1"/>
  <c r="B39" i="3"/>
  <c r="B40" i="3"/>
  <c r="B13" i="3"/>
  <c r="B14" i="3"/>
  <c r="D11" i="1"/>
  <c r="B26" i="3" s="1"/>
  <c r="B27" i="3"/>
  <c r="C12" i="1"/>
  <c r="B30" i="3"/>
  <c r="B32" i="3"/>
  <c r="B29" i="3"/>
  <c r="B34" i="3"/>
  <c r="B28" i="3"/>
  <c r="B61" i="1" l="1"/>
  <c r="C67" i="1" s="1"/>
  <c r="C56" i="1"/>
  <c r="B14" i="1"/>
  <c r="C14" i="1" s="1"/>
  <c r="B37" i="3"/>
  <c r="B43" i="3"/>
  <c r="B42" i="3"/>
  <c r="B41" i="3"/>
  <c r="B47" i="3"/>
  <c r="B45" i="3"/>
  <c r="B11" i="3"/>
  <c r="B21" i="3"/>
  <c r="B17" i="3"/>
  <c r="B16" i="3"/>
  <c r="B15" i="3"/>
  <c r="B19" i="3"/>
  <c r="B20" i="3"/>
  <c r="P2" i="3" s="1"/>
  <c r="B18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V54" i="3"/>
  <c r="Q55" i="3"/>
  <c r="Y55" i="3"/>
  <c r="T56" i="3"/>
  <c r="AB56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AE13" i="3" s="1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AE37" i="3" s="1"/>
  <c r="P38" i="3"/>
  <c r="X38" i="3"/>
  <c r="S39" i="3"/>
  <c r="AA39" i="3"/>
  <c r="V40" i="3"/>
  <c r="Q41" i="3"/>
  <c r="Y41" i="3"/>
  <c r="T42" i="3"/>
  <c r="AB42" i="3"/>
  <c r="W43" i="3"/>
  <c r="R44" i="3"/>
  <c r="Z44" i="3"/>
  <c r="U45" i="3"/>
  <c r="P46" i="3"/>
  <c r="X46" i="3"/>
  <c r="S47" i="3"/>
  <c r="AA47" i="3"/>
  <c r="V48" i="3"/>
  <c r="Q49" i="3"/>
  <c r="Y49" i="3"/>
  <c r="T50" i="3"/>
  <c r="AB50" i="3"/>
  <c r="W51" i="3"/>
  <c r="R52" i="3"/>
  <c r="Z52" i="3"/>
  <c r="U53" i="3"/>
  <c r="P54" i="3"/>
  <c r="X54" i="3"/>
  <c r="S55" i="3"/>
  <c r="AA55" i="3"/>
  <c r="V56" i="3"/>
  <c r="P5" i="3"/>
  <c r="R17" i="1" s="1"/>
  <c r="Y6" i="3"/>
  <c r="U8" i="3"/>
  <c r="AB9" i="3"/>
  <c r="X11" i="3"/>
  <c r="T13" i="3"/>
  <c r="AA14" i="3"/>
  <c r="W16" i="3"/>
  <c r="S18" i="3"/>
  <c r="Z19" i="3"/>
  <c r="V21" i="3"/>
  <c r="R23" i="3"/>
  <c r="Y24" i="3"/>
  <c r="U26" i="3"/>
  <c r="Q28" i="3"/>
  <c r="X29" i="3"/>
  <c r="T31" i="3"/>
  <c r="P33" i="3"/>
  <c r="W34" i="3"/>
  <c r="S36" i="3"/>
  <c r="AB37" i="3"/>
  <c r="V39" i="3"/>
  <c r="R41" i="3"/>
  <c r="AA42" i="3"/>
  <c r="U44" i="3"/>
  <c r="AE44" i="3" s="1"/>
  <c r="Q46" i="3"/>
  <c r="Z47" i="3"/>
  <c r="T49" i="3"/>
  <c r="P51" i="3"/>
  <c r="Y52" i="3"/>
  <c r="S54" i="3"/>
  <c r="AB55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AE71" i="3" s="1"/>
  <c r="P72" i="3"/>
  <c r="V5" i="3"/>
  <c r="R7" i="3"/>
  <c r="Y8" i="3"/>
  <c r="U10" i="3"/>
  <c r="AE10" i="3" s="1"/>
  <c r="Q12" i="3"/>
  <c r="X13" i="3"/>
  <c r="T15" i="3"/>
  <c r="P17" i="3"/>
  <c r="W18" i="3"/>
  <c r="S20" i="3"/>
  <c r="AB21" i="3"/>
  <c r="V23" i="3"/>
  <c r="R25" i="3"/>
  <c r="AA26" i="3"/>
  <c r="U28" i="3"/>
  <c r="AE28" i="3" s="1"/>
  <c r="Q30" i="3"/>
  <c r="Z31" i="3"/>
  <c r="T33" i="3"/>
  <c r="P35" i="3"/>
  <c r="Y36" i="3"/>
  <c r="S38" i="3"/>
  <c r="AB39" i="3"/>
  <c r="X41" i="3"/>
  <c r="R43" i="3"/>
  <c r="AA44" i="3"/>
  <c r="W46" i="3"/>
  <c r="Q48" i="3"/>
  <c r="Z49" i="3"/>
  <c r="V51" i="3"/>
  <c r="P53" i="3"/>
  <c r="Y54" i="3"/>
  <c r="U56" i="3"/>
  <c r="AE56" i="3" s="1"/>
  <c r="U57" i="3"/>
  <c r="AE57" i="3" s="1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X5" i="3"/>
  <c r="T7" i="3"/>
  <c r="P9" i="3"/>
  <c r="W10" i="3"/>
  <c r="S12" i="3"/>
  <c r="AB13" i="3"/>
  <c r="V15" i="3"/>
  <c r="R17" i="3"/>
  <c r="AA18" i="3"/>
  <c r="U20" i="3"/>
  <c r="AE20" i="3" s="1"/>
  <c r="Q22" i="3"/>
  <c r="Z23" i="3"/>
  <c r="T25" i="3"/>
  <c r="P27" i="3"/>
  <c r="Y28" i="3"/>
  <c r="S30" i="3"/>
  <c r="AB31" i="3"/>
  <c r="X33" i="3"/>
  <c r="R35" i="3"/>
  <c r="AA36" i="3"/>
  <c r="W38" i="3"/>
  <c r="Q40" i="3"/>
  <c r="Z41" i="3"/>
  <c r="V43" i="3"/>
  <c r="P45" i="3"/>
  <c r="Y46" i="3"/>
  <c r="U48" i="3"/>
  <c r="AB49" i="3"/>
  <c r="X51" i="3"/>
  <c r="T53" i="3"/>
  <c r="AA54" i="3"/>
  <c r="W56" i="3"/>
  <c r="V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X79" i="3"/>
  <c r="S80" i="3"/>
  <c r="AA80" i="3"/>
  <c r="V81" i="3"/>
  <c r="Q82" i="3"/>
  <c r="Y82" i="3"/>
  <c r="T83" i="3"/>
  <c r="AB83" i="3"/>
  <c r="W84" i="3"/>
  <c r="R85" i="3"/>
  <c r="Z85" i="3"/>
  <c r="U86" i="3"/>
  <c r="P87" i="3"/>
  <c r="X87" i="3"/>
  <c r="S88" i="3"/>
  <c r="AA88" i="3"/>
  <c r="V89" i="3"/>
  <c r="Q90" i="3"/>
  <c r="Y90" i="3"/>
  <c r="T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AB5" i="3"/>
  <c r="V7" i="3"/>
  <c r="R9" i="3"/>
  <c r="AA10" i="3"/>
  <c r="U12" i="3"/>
  <c r="AE12" i="3" s="1"/>
  <c r="Q14" i="3"/>
  <c r="Z15" i="3"/>
  <c r="T17" i="3"/>
  <c r="P19" i="3"/>
  <c r="Y20" i="3"/>
  <c r="S22" i="3"/>
  <c r="AB23" i="3"/>
  <c r="X25" i="3"/>
  <c r="R27" i="3"/>
  <c r="AA28" i="3"/>
  <c r="W30" i="3"/>
  <c r="Q32" i="3"/>
  <c r="Z33" i="3"/>
  <c r="V35" i="3"/>
  <c r="P37" i="3"/>
  <c r="Y38" i="3"/>
  <c r="U40" i="3"/>
  <c r="AE40" i="3" s="1"/>
  <c r="AB41" i="3"/>
  <c r="X43" i="3"/>
  <c r="T45" i="3"/>
  <c r="AA46" i="3"/>
  <c r="W48" i="3"/>
  <c r="S50" i="3"/>
  <c r="Z51" i="3"/>
  <c r="V53" i="3"/>
  <c r="R55" i="3"/>
  <c r="Y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P68" i="3"/>
  <c r="X68" i="3"/>
  <c r="S69" i="3"/>
  <c r="AA69" i="3"/>
  <c r="V70" i="3"/>
  <c r="S6" i="3"/>
  <c r="AB7" i="3"/>
  <c r="X9" i="3"/>
  <c r="R11" i="3"/>
  <c r="AA12" i="3"/>
  <c r="W14" i="3"/>
  <c r="Q16" i="3"/>
  <c r="Z17" i="3"/>
  <c r="V19" i="3"/>
  <c r="P21" i="3"/>
  <c r="Y22" i="3"/>
  <c r="U24" i="3"/>
  <c r="AB25" i="3"/>
  <c r="X27" i="3"/>
  <c r="T29" i="3"/>
  <c r="AA30" i="3"/>
  <c r="W32" i="3"/>
  <c r="S34" i="3"/>
  <c r="Z35" i="3"/>
  <c r="V37" i="3"/>
  <c r="R39" i="3"/>
  <c r="Y40" i="3"/>
  <c r="U42" i="3"/>
  <c r="AE42" i="3" s="1"/>
  <c r="Q44" i="3"/>
  <c r="X45" i="3"/>
  <c r="T47" i="3"/>
  <c r="P49" i="3"/>
  <c r="W50" i="3"/>
  <c r="S52" i="3"/>
  <c r="AB53" i="3"/>
  <c r="V55" i="3"/>
  <c r="Q57" i="3"/>
  <c r="Y57" i="3"/>
  <c r="T58" i="3"/>
  <c r="AB58" i="3"/>
  <c r="W59" i="3"/>
  <c r="R60" i="3"/>
  <c r="Z60" i="3"/>
  <c r="U61" i="3"/>
  <c r="AE61" i="3" s="1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W6" i="3"/>
  <c r="Q8" i="3"/>
  <c r="Z9" i="3"/>
  <c r="V11" i="3"/>
  <c r="P13" i="3"/>
  <c r="Y14" i="3"/>
  <c r="U16" i="3"/>
  <c r="AB17" i="3"/>
  <c r="X19" i="3"/>
  <c r="T21" i="3"/>
  <c r="AA22" i="3"/>
  <c r="W24" i="3"/>
  <c r="S26" i="3"/>
  <c r="Z27" i="3"/>
  <c r="V29" i="3"/>
  <c r="R31" i="3"/>
  <c r="Y32" i="3"/>
  <c r="U34" i="3"/>
  <c r="Q36" i="3"/>
  <c r="X37" i="3"/>
  <c r="T39" i="3"/>
  <c r="P41" i="3"/>
  <c r="W42" i="3"/>
  <c r="S44" i="3"/>
  <c r="AB45" i="3"/>
  <c r="V47" i="3"/>
  <c r="R49" i="3"/>
  <c r="AA50" i="3"/>
  <c r="U52" i="3"/>
  <c r="AE52" i="3" s="1"/>
  <c r="Q54" i="3"/>
  <c r="Z55" i="3"/>
  <c r="R57" i="3"/>
  <c r="Z57" i="3"/>
  <c r="U58" i="3"/>
  <c r="T5" i="3"/>
  <c r="Z11" i="3"/>
  <c r="U18" i="3"/>
  <c r="AE18" i="3" s="1"/>
  <c r="P25" i="3"/>
  <c r="V31" i="3"/>
  <c r="Q38" i="3"/>
  <c r="Y44" i="3"/>
  <c r="R51" i="3"/>
  <c r="T57" i="3"/>
  <c r="V59" i="3"/>
  <c r="P61" i="3"/>
  <c r="Y62" i="3"/>
  <c r="U64" i="3"/>
  <c r="AB65" i="3"/>
  <c r="X67" i="3"/>
  <c r="T69" i="3"/>
  <c r="AA70" i="3"/>
  <c r="Q72" i="3"/>
  <c r="R73" i="3"/>
  <c r="R74" i="3"/>
  <c r="Q75" i="3"/>
  <c r="Q76" i="3"/>
  <c r="P77" i="3"/>
  <c r="Q78" i="3"/>
  <c r="Q79" i="3"/>
  <c r="P80" i="3"/>
  <c r="P81" i="3"/>
  <c r="AB81" i="3"/>
  <c r="P83" i="3"/>
  <c r="P84" i="3"/>
  <c r="Z84" i="3"/>
  <c r="W85" i="3"/>
  <c r="V86" i="3"/>
  <c r="S87" i="3"/>
  <c r="P88" i="3"/>
  <c r="AB88" i="3"/>
  <c r="Y89" i="3"/>
  <c r="V90" i="3"/>
  <c r="U91" i="3"/>
  <c r="R92" i="3"/>
  <c r="AB92" i="3"/>
  <c r="AA93" i="3"/>
  <c r="X94" i="3"/>
  <c r="U95" i="3"/>
  <c r="T96" i="3"/>
  <c r="Q97" i="3"/>
  <c r="AA97" i="3"/>
  <c r="Z98" i="3"/>
  <c r="W99" i="3"/>
  <c r="T100" i="3"/>
  <c r="S101" i="3"/>
  <c r="P102" i="3"/>
  <c r="Z102" i="3"/>
  <c r="Y103" i="3"/>
  <c r="V104" i="3"/>
  <c r="S105" i="3"/>
  <c r="R106" i="3"/>
  <c r="AB106" i="3"/>
  <c r="Y107" i="3"/>
  <c r="X108" i="3"/>
  <c r="U109" i="3"/>
  <c r="R110" i="3"/>
  <c r="Q111" i="3"/>
  <c r="AA111" i="3"/>
  <c r="X112" i="3"/>
  <c r="W113" i="3"/>
  <c r="T114" i="3"/>
  <c r="Q115" i="3"/>
  <c r="P116" i="3"/>
  <c r="Z116" i="3"/>
  <c r="V117" i="3"/>
  <c r="R118" i="3"/>
  <c r="AA118" i="3"/>
  <c r="X119" i="3"/>
  <c r="T120" i="3"/>
  <c r="P121" i="3"/>
  <c r="Y121" i="3"/>
  <c r="U122" i="3"/>
  <c r="AE122" i="3" s="1"/>
  <c r="Q123" i="3"/>
  <c r="Z123" i="3"/>
  <c r="W124" i="3"/>
  <c r="S125" i="3"/>
  <c r="AB125" i="3"/>
  <c r="X126" i="3"/>
  <c r="T127" i="3"/>
  <c r="P128" i="3"/>
  <c r="Y128" i="3"/>
  <c r="V129" i="3"/>
  <c r="R130" i="3"/>
  <c r="AA130" i="3"/>
  <c r="W131" i="3"/>
  <c r="S132" i="3"/>
  <c r="AB132" i="3"/>
  <c r="X133" i="3"/>
  <c r="U134" i="3"/>
  <c r="Q135" i="3"/>
  <c r="Z135" i="3"/>
  <c r="V136" i="3"/>
  <c r="R137" i="3"/>
  <c r="AA137" i="3"/>
  <c r="W138" i="3"/>
  <c r="T139" i="3"/>
  <c r="P140" i="3"/>
  <c r="Y140" i="3"/>
  <c r="U141" i="3"/>
  <c r="AE141" i="3" s="1"/>
  <c r="Q142" i="3"/>
  <c r="Y142" i="3"/>
  <c r="T143" i="3"/>
  <c r="AB143" i="3"/>
  <c r="W144" i="3"/>
  <c r="R145" i="3"/>
  <c r="Z145" i="3"/>
  <c r="U146" i="3"/>
  <c r="AE146" i="3" s="1"/>
  <c r="P147" i="3"/>
  <c r="X147" i="3"/>
  <c r="Q6" i="3"/>
  <c r="Y12" i="3"/>
  <c r="R19" i="3"/>
  <c r="Z25" i="3"/>
  <c r="U32" i="3"/>
  <c r="AA38" i="3"/>
  <c r="V45" i="3"/>
  <c r="Q52" i="3"/>
  <c r="X57" i="3"/>
  <c r="X59" i="3"/>
  <c r="T61" i="3"/>
  <c r="AA62" i="3"/>
  <c r="W64" i="3"/>
  <c r="S66" i="3"/>
  <c r="Z67" i="3"/>
  <c r="V69" i="3"/>
  <c r="Q71" i="3"/>
  <c r="T72" i="3"/>
  <c r="S73" i="3"/>
  <c r="S74" i="3"/>
  <c r="R75" i="3"/>
  <c r="S76" i="3"/>
  <c r="S77" i="3"/>
  <c r="R78" i="3"/>
  <c r="R79" i="3"/>
  <c r="Q80" i="3"/>
  <c r="R81" i="3"/>
  <c r="R82" i="3"/>
  <c r="Q83" i="3"/>
  <c r="Q84" i="3"/>
  <c r="AA84" i="3"/>
  <c r="X85" i="3"/>
  <c r="W86" i="3"/>
  <c r="T87" i="3"/>
  <c r="Q88" i="3"/>
  <c r="P89" i="3"/>
  <c r="Z89" i="3"/>
  <c r="W90" i="3"/>
  <c r="V91" i="3"/>
  <c r="S92" i="3"/>
  <c r="P93" i="3"/>
  <c r="AB93" i="3"/>
  <c r="Y94" i="3"/>
  <c r="V95" i="3"/>
  <c r="U96" i="3"/>
  <c r="R97" i="3"/>
  <c r="AB97" i="3"/>
  <c r="AA98" i="3"/>
  <c r="X99" i="3"/>
  <c r="U100" i="3"/>
  <c r="T101" i="3"/>
  <c r="Q102" i="3"/>
  <c r="AA102" i="3"/>
  <c r="Z103" i="3"/>
  <c r="W104" i="3"/>
  <c r="T105" i="3"/>
  <c r="S106" i="3"/>
  <c r="P107" i="3"/>
  <c r="Z107" i="3"/>
  <c r="Y108" i="3"/>
  <c r="V109" i="3"/>
  <c r="S110" i="3"/>
  <c r="R111" i="3"/>
  <c r="AB111" i="3"/>
  <c r="Y112" i="3"/>
  <c r="X113" i="3"/>
  <c r="U114" i="3"/>
  <c r="AE114" i="3" s="1"/>
  <c r="R115" i="3"/>
  <c r="Q116" i="3"/>
  <c r="AA116" i="3"/>
  <c r="W117" i="3"/>
  <c r="S118" i="3"/>
  <c r="P119" i="3"/>
  <c r="Y119" i="3"/>
  <c r="U120" i="3"/>
  <c r="Q121" i="3"/>
  <c r="Z121" i="3"/>
  <c r="V122" i="3"/>
  <c r="R123" i="3"/>
  <c r="AB123" i="3"/>
  <c r="X124" i="3"/>
  <c r="T125" i="3"/>
  <c r="P126" i="3"/>
  <c r="Y126" i="3"/>
  <c r="U127" i="3"/>
  <c r="AA6" i="3"/>
  <c r="V13" i="3"/>
  <c r="Q20" i="3"/>
  <c r="W26" i="3"/>
  <c r="R33" i="3"/>
  <c r="Z39" i="3"/>
  <c r="S46" i="3"/>
  <c r="AA52" i="3"/>
  <c r="AB57" i="3"/>
  <c r="Z59" i="3"/>
  <c r="V61" i="3"/>
  <c r="R63" i="3"/>
  <c r="Y64" i="3"/>
  <c r="U66" i="3"/>
  <c r="Q68" i="3"/>
  <c r="X69" i="3"/>
  <c r="R71" i="3"/>
  <c r="U72" i="3"/>
  <c r="AE72" i="3" s="1"/>
  <c r="T73" i="3"/>
  <c r="U74" i="3"/>
  <c r="U75" i="3"/>
  <c r="T76" i="3"/>
  <c r="T77" i="3"/>
  <c r="S78" i="3"/>
  <c r="T79" i="3"/>
  <c r="T80" i="3"/>
  <c r="S81" i="3"/>
  <c r="S82" i="3"/>
  <c r="R83" i="3"/>
  <c r="R84" i="3"/>
  <c r="AB84" i="3"/>
  <c r="AA85" i="3"/>
  <c r="X86" i="3"/>
  <c r="U87" i="3"/>
  <c r="AE87" i="3" s="1"/>
  <c r="T88" i="3"/>
  <c r="Q89" i="3"/>
  <c r="AA89" i="3"/>
  <c r="Z90" i="3"/>
  <c r="W91" i="3"/>
  <c r="T92" i="3"/>
  <c r="S93" i="3"/>
  <c r="P94" i="3"/>
  <c r="Z94" i="3"/>
  <c r="Y95" i="3"/>
  <c r="V96" i="3"/>
  <c r="S97" i="3"/>
  <c r="R98" i="3"/>
  <c r="AB98" i="3"/>
  <c r="Y99" i="3"/>
  <c r="X100" i="3"/>
  <c r="U101" i="3"/>
  <c r="AE101" i="3" s="1"/>
  <c r="R102" i="3"/>
  <c r="Q103" i="3"/>
  <c r="AA103" i="3"/>
  <c r="X104" i="3"/>
  <c r="W105" i="3"/>
  <c r="T106" i="3"/>
  <c r="Q107" i="3"/>
  <c r="P108" i="3"/>
  <c r="Z108" i="3"/>
  <c r="W109" i="3"/>
  <c r="V110" i="3"/>
  <c r="S111" i="3"/>
  <c r="P112" i="3"/>
  <c r="AB112" i="3"/>
  <c r="Y113" i="3"/>
  <c r="V114" i="3"/>
  <c r="U115" i="3"/>
  <c r="R116" i="3"/>
  <c r="AB116" i="3"/>
  <c r="X117" i="3"/>
  <c r="U118" i="3"/>
  <c r="Q119" i="3"/>
  <c r="Z119" i="3"/>
  <c r="V120" i="3"/>
  <c r="R121" i="3"/>
  <c r="AA121" i="3"/>
  <c r="W122" i="3"/>
  <c r="T123" i="3"/>
  <c r="P124" i="3"/>
  <c r="Y124" i="3"/>
  <c r="U125" i="3"/>
  <c r="AE125" i="3" s="1"/>
  <c r="Q126" i="3"/>
  <c r="Z126" i="3"/>
  <c r="V127" i="3"/>
  <c r="S128" i="3"/>
  <c r="AB128" i="3"/>
  <c r="X129" i="3"/>
  <c r="Z7" i="3"/>
  <c r="S14" i="3"/>
  <c r="AA20" i="3"/>
  <c r="V27" i="3"/>
  <c r="AB33" i="3"/>
  <c r="W40" i="3"/>
  <c r="R47" i="3"/>
  <c r="X53" i="3"/>
  <c r="S58" i="3"/>
  <c r="Q60" i="3"/>
  <c r="X61" i="3"/>
  <c r="T63" i="3"/>
  <c r="P65" i="3"/>
  <c r="W66" i="3"/>
  <c r="S68" i="3"/>
  <c r="AB69" i="3"/>
  <c r="T71" i="3"/>
  <c r="W72" i="3"/>
  <c r="W73" i="3"/>
  <c r="V74" i="3"/>
  <c r="V75" i="3"/>
  <c r="U76" i="3"/>
  <c r="AE76" i="3" s="1"/>
  <c r="V77" i="3"/>
  <c r="V78" i="3"/>
  <c r="U79" i="3"/>
  <c r="AE79" i="3" s="1"/>
  <c r="U80" i="3"/>
  <c r="AE80" i="3" s="1"/>
  <c r="T81" i="3"/>
  <c r="U82" i="3"/>
  <c r="U83" i="3"/>
  <c r="S84" i="3"/>
  <c r="P85" i="3"/>
  <c r="AB85" i="3"/>
  <c r="Y86" i="3"/>
  <c r="V87" i="3"/>
  <c r="U88" i="3"/>
  <c r="AE88" i="3" s="1"/>
  <c r="R89" i="3"/>
  <c r="AB89" i="3"/>
  <c r="AA90" i="3"/>
  <c r="X91" i="3"/>
  <c r="U92" i="3"/>
  <c r="T93" i="3"/>
  <c r="Q94" i="3"/>
  <c r="AA94" i="3"/>
  <c r="Z95" i="3"/>
  <c r="W96" i="3"/>
  <c r="T97" i="3"/>
  <c r="S98" i="3"/>
  <c r="P99" i="3"/>
  <c r="Z99" i="3"/>
  <c r="Y100" i="3"/>
  <c r="V101" i="3"/>
  <c r="S102" i="3"/>
  <c r="R103" i="3"/>
  <c r="AB103" i="3"/>
  <c r="Y104" i="3"/>
  <c r="X105" i="3"/>
  <c r="U106" i="3"/>
  <c r="AE106" i="3" s="1"/>
  <c r="R107" i="3"/>
  <c r="Q108" i="3"/>
  <c r="AA108" i="3"/>
  <c r="X109" i="3"/>
  <c r="W110" i="3"/>
  <c r="T111" i="3"/>
  <c r="Q112" i="3"/>
  <c r="P113" i="3"/>
  <c r="Z113" i="3"/>
  <c r="W114" i="3"/>
  <c r="V115" i="3"/>
  <c r="S116" i="3"/>
  <c r="P117" i="3"/>
  <c r="Z117" i="3"/>
  <c r="V118" i="3"/>
  <c r="R119" i="3"/>
  <c r="AA119" i="3"/>
  <c r="W120" i="3"/>
  <c r="S121" i="3"/>
  <c r="AB121" i="3"/>
  <c r="W8" i="3"/>
  <c r="R15" i="3"/>
  <c r="X21" i="3"/>
  <c r="S28" i="3"/>
  <c r="AA34" i="3"/>
  <c r="T41" i="3"/>
  <c r="AB47" i="3"/>
  <c r="W54" i="3"/>
  <c r="W58" i="3"/>
  <c r="S60" i="3"/>
  <c r="AB61" i="3"/>
  <c r="V63" i="3"/>
  <c r="R65" i="3"/>
  <c r="AA66" i="3"/>
  <c r="U68" i="3"/>
  <c r="Q70" i="3"/>
  <c r="V71" i="3"/>
  <c r="X72" i="3"/>
  <c r="X73" i="3"/>
  <c r="W74" i="3"/>
  <c r="X75" i="3"/>
  <c r="X76" i="3"/>
  <c r="W77" i="3"/>
  <c r="W78" i="3"/>
  <c r="V79" i="3"/>
  <c r="W80" i="3"/>
  <c r="W81" i="3"/>
  <c r="V82" i="3"/>
  <c r="V83" i="3"/>
  <c r="T84" i="3"/>
  <c r="S85" i="3"/>
  <c r="P86" i="3"/>
  <c r="Z86" i="3"/>
  <c r="Y87" i="3"/>
  <c r="V88" i="3"/>
  <c r="S89" i="3"/>
  <c r="R90" i="3"/>
  <c r="AB90" i="3"/>
  <c r="Y91" i="3"/>
  <c r="X92" i="3"/>
  <c r="U93" i="3"/>
  <c r="R94" i="3"/>
  <c r="Q95" i="3"/>
  <c r="AA95" i="3"/>
  <c r="X96" i="3"/>
  <c r="W97" i="3"/>
  <c r="T98" i="3"/>
  <c r="T9" i="3"/>
  <c r="AB15" i="3"/>
  <c r="W22" i="3"/>
  <c r="P29" i="3"/>
  <c r="X35" i="3"/>
  <c r="S42" i="3"/>
  <c r="Y48" i="3"/>
  <c r="T55" i="3"/>
  <c r="AA58" i="3"/>
  <c r="U60" i="3"/>
  <c r="AE60" i="3" s="1"/>
  <c r="Q62" i="3"/>
  <c r="Z63" i="3"/>
  <c r="T65" i="3"/>
  <c r="P67" i="3"/>
  <c r="Y68" i="3"/>
  <c r="S10" i="3"/>
  <c r="Y16" i="3"/>
  <c r="T23" i="3"/>
  <c r="AB29" i="3"/>
  <c r="U36" i="3"/>
  <c r="P43" i="3"/>
  <c r="X49" i="3"/>
  <c r="Q56" i="3"/>
  <c r="P59" i="3"/>
  <c r="Y60" i="3"/>
  <c r="S62" i="3"/>
  <c r="AB63" i="3"/>
  <c r="X65" i="3"/>
  <c r="R67" i="3"/>
  <c r="AA68" i="3"/>
  <c r="W70" i="3"/>
  <c r="Z71" i="3"/>
  <c r="AB72" i="3"/>
  <c r="AA73" i="3"/>
  <c r="AA74" i="3"/>
  <c r="Z75" i="3"/>
  <c r="AA76" i="3"/>
  <c r="AA77" i="3"/>
  <c r="Z78" i="3"/>
  <c r="Z79" i="3"/>
  <c r="Y80" i="3"/>
  <c r="Z81" i="3"/>
  <c r="Z82" i="3"/>
  <c r="Y83" i="3"/>
  <c r="X84" i="3"/>
  <c r="U85" i="3"/>
  <c r="AE85" i="3" s="1"/>
  <c r="R86" i="3"/>
  <c r="Q87" i="3"/>
  <c r="AA87" i="3"/>
  <c r="X88" i="3"/>
  <c r="W89" i="3"/>
  <c r="T90" i="3"/>
  <c r="P11" i="3"/>
  <c r="X17" i="3"/>
  <c r="Q24" i="3"/>
  <c r="Y30" i="3"/>
  <c r="T37" i="3"/>
  <c r="Z43" i="3"/>
  <c r="U50" i="3"/>
  <c r="P57" i="3"/>
  <c r="R59" i="3"/>
  <c r="AA60" i="3"/>
  <c r="W62" i="3"/>
  <c r="Q64" i="3"/>
  <c r="Z65" i="3"/>
  <c r="V67" i="3"/>
  <c r="P69" i="3"/>
  <c r="S70" i="3"/>
  <c r="Z74" i="3"/>
  <c r="Y78" i="3"/>
  <c r="W82" i="3"/>
  <c r="Q86" i="3"/>
  <c r="T89" i="3"/>
  <c r="P92" i="3"/>
  <c r="S94" i="3"/>
  <c r="Q96" i="3"/>
  <c r="V98" i="3"/>
  <c r="R100" i="3"/>
  <c r="AA101" i="3"/>
  <c r="U103" i="3"/>
  <c r="Q105" i="3"/>
  <c r="Z106" i="3"/>
  <c r="T108" i="3"/>
  <c r="P110" i="3"/>
  <c r="Y111" i="3"/>
  <c r="S113" i="3"/>
  <c r="AB114" i="3"/>
  <c r="X116" i="3"/>
  <c r="P118" i="3"/>
  <c r="U119" i="3"/>
  <c r="AE119" i="3" s="1"/>
  <c r="AA120" i="3"/>
  <c r="S122" i="3"/>
  <c r="V123" i="3"/>
  <c r="U124" i="3"/>
  <c r="AE124" i="3" s="1"/>
  <c r="X125" i="3"/>
  <c r="AA126" i="3"/>
  <c r="AA127" i="3"/>
  <c r="AA128" i="3"/>
  <c r="Z129" i="3"/>
  <c r="W130" i="3"/>
  <c r="U131" i="3"/>
  <c r="AE131" i="3" s="1"/>
  <c r="R132" i="3"/>
  <c r="P133" i="3"/>
  <c r="AA133" i="3"/>
  <c r="X134" i="3"/>
  <c r="U135" i="3"/>
  <c r="AE135" i="3" s="1"/>
  <c r="S136" i="3"/>
  <c r="P137" i="3"/>
  <c r="Z137" i="3"/>
  <c r="Y138" i="3"/>
  <c r="V139" i="3"/>
  <c r="S140" i="3"/>
  <c r="P141" i="3"/>
  <c r="AA141" i="3"/>
  <c r="W142" i="3"/>
  <c r="S143" i="3"/>
  <c r="P144" i="3"/>
  <c r="Y144" i="3"/>
  <c r="U145" i="3"/>
  <c r="AE145" i="3" s="1"/>
  <c r="Q146" i="3"/>
  <c r="Z146" i="3"/>
  <c r="V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AE189" i="3" s="1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Y70" i="3"/>
  <c r="P75" i="3"/>
  <c r="AA78" i="3"/>
  <c r="AA82" i="3"/>
  <c r="S86" i="3"/>
  <c r="X89" i="3"/>
  <c r="Q92" i="3"/>
  <c r="V94" i="3"/>
  <c r="Y96" i="3"/>
  <c r="W98" i="3"/>
  <c r="S100" i="3"/>
  <c r="AB101" i="3"/>
  <c r="V103" i="3"/>
  <c r="R105" i="3"/>
  <c r="AA106" i="3"/>
  <c r="U108" i="3"/>
  <c r="Q110" i="3"/>
  <c r="Z111" i="3"/>
  <c r="T113" i="3"/>
  <c r="P115" i="3"/>
  <c r="Y116" i="3"/>
  <c r="Q118" i="3"/>
  <c r="V119" i="3"/>
  <c r="AB120" i="3"/>
  <c r="T122" i="3"/>
  <c r="W123" i="3"/>
  <c r="Z124" i="3"/>
  <c r="Z125" i="3"/>
  <c r="P127" i="3"/>
  <c r="AB127" i="3"/>
  <c r="P129" i="3"/>
  <c r="AA129" i="3"/>
  <c r="Y130" i="3"/>
  <c r="V131" i="3"/>
  <c r="T132" i="3"/>
  <c r="R133" i="3"/>
  <c r="AB133" i="3"/>
  <c r="Y134" i="3"/>
  <c r="V135" i="3"/>
  <c r="T136" i="3"/>
  <c r="Q137" i="3"/>
  <c r="AB137" i="3"/>
  <c r="Z138" i="3"/>
  <c r="W139" i="3"/>
  <c r="T140" i="3"/>
  <c r="R141" i="3"/>
  <c r="AB141" i="3"/>
  <c r="X142" i="3"/>
  <c r="U143" i="3"/>
  <c r="AE143" i="3" s="1"/>
  <c r="Q144" i="3"/>
  <c r="Z144" i="3"/>
  <c r="V145" i="3"/>
  <c r="R146" i="3"/>
  <c r="AA146" i="3"/>
  <c r="W147" i="3"/>
  <c r="S148" i="3"/>
  <c r="AA148" i="3"/>
  <c r="V149" i="3"/>
  <c r="Q150" i="3"/>
  <c r="Y150" i="3"/>
  <c r="T151" i="3"/>
  <c r="AB151" i="3"/>
  <c r="W152" i="3"/>
  <c r="R153" i="3"/>
  <c r="Z153" i="3"/>
  <c r="U154" i="3"/>
  <c r="AE154" i="3" s="1"/>
  <c r="P155" i="3"/>
  <c r="X155" i="3"/>
  <c r="S156" i="3"/>
  <c r="AA156" i="3"/>
  <c r="V157" i="3"/>
  <c r="Q158" i="3"/>
  <c r="Y158" i="3"/>
  <c r="T159" i="3"/>
  <c r="AB159" i="3"/>
  <c r="W160" i="3"/>
  <c r="R161" i="3"/>
  <c r="Z161" i="3"/>
  <c r="U162" i="3"/>
  <c r="P163" i="3"/>
  <c r="X163" i="3"/>
  <c r="S164" i="3"/>
  <c r="AA164" i="3"/>
  <c r="V165" i="3"/>
  <c r="Q166" i="3"/>
  <c r="Y166" i="3"/>
  <c r="T167" i="3"/>
  <c r="AB167" i="3"/>
  <c r="W168" i="3"/>
  <c r="R169" i="3"/>
  <c r="Z169" i="3"/>
  <c r="U170" i="3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P211" i="3"/>
  <c r="X211" i="3"/>
  <c r="S212" i="3"/>
  <c r="AA212" i="3"/>
  <c r="V213" i="3"/>
  <c r="Q214" i="3"/>
  <c r="Y214" i="3"/>
  <c r="T215" i="3"/>
  <c r="AB215" i="3"/>
  <c r="W216" i="3"/>
  <c r="R217" i="3"/>
  <c r="Y71" i="3"/>
  <c r="Y75" i="3"/>
  <c r="Y79" i="3"/>
  <c r="X83" i="3"/>
  <c r="AA86" i="3"/>
  <c r="S90" i="3"/>
  <c r="Y92" i="3"/>
  <c r="W94" i="3"/>
  <c r="AB96" i="3"/>
  <c r="Q99" i="3"/>
  <c r="Z100" i="3"/>
  <c r="V102" i="3"/>
  <c r="P104" i="3"/>
  <c r="Y105" i="3"/>
  <c r="U107" i="3"/>
  <c r="AB108" i="3"/>
  <c r="X110" i="3"/>
  <c r="T112" i="3"/>
  <c r="AA113" i="3"/>
  <c r="W115" i="3"/>
  <c r="R117" i="3"/>
  <c r="W118" i="3"/>
  <c r="AB119" i="3"/>
  <c r="T121" i="3"/>
  <c r="Y122" i="3"/>
  <c r="X123" i="3"/>
  <c r="AA124" i="3"/>
  <c r="AA125" i="3"/>
  <c r="Q127" i="3"/>
  <c r="Q128" i="3"/>
  <c r="Q129" i="3"/>
  <c r="AB129" i="3"/>
  <c r="Z130" i="3"/>
  <c r="X131" i="3"/>
  <c r="U132" i="3"/>
  <c r="AE132" i="3" s="1"/>
  <c r="S133" i="3"/>
  <c r="P134" i="3"/>
  <c r="Z134" i="3"/>
  <c r="X135" i="3"/>
  <c r="U136" i="3"/>
  <c r="S137" i="3"/>
  <c r="Q138" i="3"/>
  <c r="AA138" i="3"/>
  <c r="X139" i="3"/>
  <c r="U140" i="3"/>
  <c r="AE140" i="3" s="1"/>
  <c r="S141" i="3"/>
  <c r="P142" i="3"/>
  <c r="Z142" i="3"/>
  <c r="V143" i="3"/>
  <c r="R144" i="3"/>
  <c r="AA144" i="3"/>
  <c r="W145" i="3"/>
  <c r="S146" i="3"/>
  <c r="AB146" i="3"/>
  <c r="Y147" i="3"/>
  <c r="T148" i="3"/>
  <c r="AB148" i="3"/>
  <c r="W149" i="3"/>
  <c r="R150" i="3"/>
  <c r="Z150" i="3"/>
  <c r="U151" i="3"/>
  <c r="AE151" i="3" s="1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X184" i="3"/>
  <c r="S185" i="3"/>
  <c r="AA185" i="3"/>
  <c r="V186" i="3"/>
  <c r="Q187" i="3"/>
  <c r="Y187" i="3"/>
  <c r="T188" i="3"/>
  <c r="AB188" i="3"/>
  <c r="W189" i="3"/>
  <c r="R190" i="3"/>
  <c r="Z190" i="3"/>
  <c r="U191" i="3"/>
  <c r="P192" i="3"/>
  <c r="X192" i="3"/>
  <c r="S193" i="3"/>
  <c r="AA193" i="3"/>
  <c r="V194" i="3"/>
  <c r="Q195" i="3"/>
  <c r="Y195" i="3"/>
  <c r="T196" i="3"/>
  <c r="AB196" i="3"/>
  <c r="W197" i="3"/>
  <c r="R198" i="3"/>
  <c r="Z198" i="3"/>
  <c r="U199" i="3"/>
  <c r="P200" i="3"/>
  <c r="X200" i="3"/>
  <c r="AB71" i="3"/>
  <c r="P76" i="3"/>
  <c r="AB79" i="3"/>
  <c r="Z83" i="3"/>
  <c r="R87" i="3"/>
  <c r="U90" i="3"/>
  <c r="AE90" i="3" s="1"/>
  <c r="Z92" i="3"/>
  <c r="R95" i="3"/>
  <c r="P97" i="3"/>
  <c r="R99" i="3"/>
  <c r="AA100" i="3"/>
  <c r="W102" i="3"/>
  <c r="Q104" i="3"/>
  <c r="Z105" i="3"/>
  <c r="V107" i="3"/>
  <c r="P109" i="3"/>
  <c r="Y110" i="3"/>
  <c r="U112" i="3"/>
  <c r="AB113" i="3"/>
  <c r="X115" i="3"/>
  <c r="S117" i="3"/>
  <c r="X118" i="3"/>
  <c r="P120" i="3"/>
  <c r="V121" i="3"/>
  <c r="Z122" i="3"/>
  <c r="Y123" i="3"/>
  <c r="AB124" i="3"/>
  <c r="R126" i="3"/>
  <c r="R127" i="3"/>
  <c r="T128" i="3"/>
  <c r="R129" i="3"/>
  <c r="Q130" i="3"/>
  <c r="AB130" i="3"/>
  <c r="Y131" i="3"/>
  <c r="W132" i="3"/>
  <c r="T133" i="3"/>
  <c r="Q134" i="3"/>
  <c r="AA134" i="3"/>
  <c r="Y135" i="3"/>
  <c r="W136" i="3"/>
  <c r="T137" i="3"/>
  <c r="R138" i="3"/>
  <c r="AB138" i="3"/>
  <c r="Y139" i="3"/>
  <c r="W140" i="3"/>
  <c r="T141" i="3"/>
  <c r="R142" i="3"/>
  <c r="AA142" i="3"/>
  <c r="W143" i="3"/>
  <c r="S144" i="3"/>
  <c r="AB144" i="3"/>
  <c r="X145" i="3"/>
  <c r="T146" i="3"/>
  <c r="Q147" i="3"/>
  <c r="Z147" i="3"/>
  <c r="U148" i="3"/>
  <c r="AE148" i="3" s="1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Y72" i="3"/>
  <c r="Y76" i="3"/>
  <c r="X80" i="3"/>
  <c r="U84" i="3"/>
  <c r="AE84" i="3" s="1"/>
  <c r="Z87" i="3"/>
  <c r="P91" i="3"/>
  <c r="AA92" i="3"/>
  <c r="S95" i="3"/>
  <c r="X97" i="3"/>
  <c r="U99" i="3"/>
  <c r="AE99" i="3" s="1"/>
  <c r="AB100" i="3"/>
  <c r="X102" i="3"/>
  <c r="T104" i="3"/>
  <c r="AA105" i="3"/>
  <c r="W107" i="3"/>
  <c r="S109" i="3"/>
  <c r="Z110" i="3"/>
  <c r="V112" i="3"/>
  <c r="R114" i="3"/>
  <c r="Y115" i="3"/>
  <c r="T117" i="3"/>
  <c r="Y118" i="3"/>
  <c r="Q120" i="3"/>
  <c r="W121" i="3"/>
  <c r="AA122" i="3"/>
  <c r="Q124" i="3"/>
  <c r="P125" i="3"/>
  <c r="S126" i="3"/>
  <c r="S127" i="3"/>
  <c r="U128" i="3"/>
  <c r="AE128" i="3" s="1"/>
  <c r="S129" i="3"/>
  <c r="S130" i="3"/>
  <c r="P131" i="3"/>
  <c r="Z131" i="3"/>
  <c r="X132" i="3"/>
  <c r="U133" i="3"/>
  <c r="AE133" i="3" s="1"/>
  <c r="R134" i="3"/>
  <c r="P135" i="3"/>
  <c r="AA135" i="3"/>
  <c r="X136" i="3"/>
  <c r="V137" i="3"/>
  <c r="S138" i="3"/>
  <c r="P139" i="3"/>
  <c r="Z139" i="3"/>
  <c r="X140" i="3"/>
  <c r="V141" i="3"/>
  <c r="S142" i="3"/>
  <c r="AB142" i="3"/>
  <c r="X143" i="3"/>
  <c r="T144" i="3"/>
  <c r="P145" i="3"/>
  <c r="Y145" i="3"/>
  <c r="V146" i="3"/>
  <c r="R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P73" i="3"/>
  <c r="AB76" i="3"/>
  <c r="AB80" i="3"/>
  <c r="Y84" i="3"/>
  <c r="AB87" i="3"/>
  <c r="Q91" i="3"/>
  <c r="V93" i="3"/>
  <c r="T95" i="3"/>
  <c r="Y97" i="3"/>
  <c r="V99" i="3"/>
  <c r="P101" i="3"/>
  <c r="Y102" i="3"/>
  <c r="U104" i="3"/>
  <c r="AE104" i="3" s="1"/>
  <c r="AB105" i="3"/>
  <c r="X107" i="3"/>
  <c r="T109" i="3"/>
  <c r="AA110" i="3"/>
  <c r="W112" i="3"/>
  <c r="S114" i="3"/>
  <c r="Z115" i="3"/>
  <c r="U117" i="3"/>
  <c r="AE117" i="3" s="1"/>
  <c r="Z118" i="3"/>
  <c r="S120" i="3"/>
  <c r="X121" i="3"/>
  <c r="AB122" i="3"/>
  <c r="R124" i="3"/>
  <c r="R125" i="3"/>
  <c r="U126" i="3"/>
  <c r="X127" i="3"/>
  <c r="V128" i="3"/>
  <c r="T129" i="3"/>
  <c r="T130" i="3"/>
  <c r="Q131" i="3"/>
  <c r="AB131" i="3"/>
  <c r="Y132" i="3"/>
  <c r="V133" i="3"/>
  <c r="S134" i="3"/>
  <c r="R135" i="3"/>
  <c r="AB135" i="3"/>
  <c r="Y136" i="3"/>
  <c r="W137" i="3"/>
  <c r="T138" i="3"/>
  <c r="Q139" i="3"/>
  <c r="AB139" i="3"/>
  <c r="Z140" i="3"/>
  <c r="W141" i="3"/>
  <c r="T142" i="3"/>
  <c r="P143" i="3"/>
  <c r="Y143" i="3"/>
  <c r="U144" i="3"/>
  <c r="AE144" i="3" s="1"/>
  <c r="Q145" i="3"/>
  <c r="AA145" i="3"/>
  <c r="W146" i="3"/>
  <c r="S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T155" i="3"/>
  <c r="AB155" i="3"/>
  <c r="W156" i="3"/>
  <c r="R157" i="3"/>
  <c r="Z157" i="3"/>
  <c r="U158" i="3"/>
  <c r="AE158" i="3" s="1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AE166" i="3" s="1"/>
  <c r="Z73" i="3"/>
  <c r="X77" i="3"/>
  <c r="X81" i="3"/>
  <c r="T85" i="3"/>
  <c r="W88" i="3"/>
  <c r="R91" i="3"/>
  <c r="W93" i="3"/>
  <c r="AB95" i="3"/>
  <c r="Z97" i="3"/>
  <c r="P100" i="3"/>
  <c r="W101" i="3"/>
  <c r="S103" i="3"/>
  <c r="AB104" i="3"/>
  <c r="V106" i="3"/>
  <c r="R108" i="3"/>
  <c r="AA109" i="3"/>
  <c r="U111" i="3"/>
  <c r="AE111" i="3" s="1"/>
  <c r="Q113" i="3"/>
  <c r="Z114" i="3"/>
  <c r="T116" i="3"/>
  <c r="AA117" i="3"/>
  <c r="S119" i="3"/>
  <c r="X120" i="3"/>
  <c r="Q122" i="3"/>
  <c r="P123" i="3"/>
  <c r="S124" i="3"/>
  <c r="V125" i="3"/>
  <c r="V126" i="3"/>
  <c r="Y127" i="3"/>
  <c r="W128" i="3"/>
  <c r="W129" i="3"/>
  <c r="U130" i="3"/>
  <c r="AE130" i="3" s="1"/>
  <c r="R131" i="3"/>
  <c r="P132" i="3"/>
  <c r="Z132" i="3"/>
  <c r="W133" i="3"/>
  <c r="V134" i="3"/>
  <c r="S135" i="3"/>
  <c r="P136" i="3"/>
  <c r="AA136" i="3"/>
  <c r="X137" i="3"/>
  <c r="U138" i="3"/>
  <c r="AE138" i="3" s="1"/>
  <c r="R139" i="3"/>
  <c r="Q140" i="3"/>
  <c r="AA140" i="3"/>
  <c r="X141" i="3"/>
  <c r="U142" i="3"/>
  <c r="Q143" i="3"/>
  <c r="Z143" i="3"/>
  <c r="V144" i="3"/>
  <c r="S145" i="3"/>
  <c r="AB145" i="3"/>
  <c r="X146" i="3"/>
  <c r="T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AE155" i="3" s="1"/>
  <c r="P156" i="3"/>
  <c r="X156" i="3"/>
  <c r="S157" i="3"/>
  <c r="AA157" i="3"/>
  <c r="V158" i="3"/>
  <c r="Q159" i="3"/>
  <c r="Y159" i="3"/>
  <c r="T160" i="3"/>
  <c r="AB160" i="3"/>
  <c r="W161" i="3"/>
  <c r="R162" i="3"/>
  <c r="Z162" i="3"/>
  <c r="AB73" i="3"/>
  <c r="U98" i="3"/>
  <c r="AE98" i="3" s="1"/>
  <c r="V111" i="3"/>
  <c r="U123" i="3"/>
  <c r="AE123" i="3" s="1"/>
  <c r="T131" i="3"/>
  <c r="Y137" i="3"/>
  <c r="AA143" i="3"/>
  <c r="T149" i="3"/>
  <c r="S154" i="3"/>
  <c r="R159" i="3"/>
  <c r="V163" i="3"/>
  <c r="AB165" i="3"/>
  <c r="Z167" i="3"/>
  <c r="W169" i="3"/>
  <c r="T171" i="3"/>
  <c r="Y172" i="3"/>
  <c r="V174" i="3"/>
  <c r="S176" i="3"/>
  <c r="X177" i="3"/>
  <c r="U179" i="3"/>
  <c r="AE179" i="3" s="1"/>
  <c r="R181" i="3"/>
  <c r="W182" i="3"/>
  <c r="T184" i="3"/>
  <c r="Q186" i="3"/>
  <c r="T187" i="3"/>
  <c r="W188" i="3"/>
  <c r="Z189" i="3"/>
  <c r="P191" i="3"/>
  <c r="S192" i="3"/>
  <c r="V193" i="3"/>
  <c r="X194" i="3"/>
  <c r="V195" i="3"/>
  <c r="W196" i="3"/>
  <c r="X197" i="3"/>
  <c r="V198" i="3"/>
  <c r="W199" i="3"/>
  <c r="U200" i="3"/>
  <c r="AE200" i="3" s="1"/>
  <c r="U201" i="3"/>
  <c r="AE201" i="3" s="1"/>
  <c r="R202" i="3"/>
  <c r="Q203" i="3"/>
  <c r="AA203" i="3"/>
  <c r="X204" i="3"/>
  <c r="W205" i="3"/>
  <c r="T206" i="3"/>
  <c r="Q207" i="3"/>
  <c r="P208" i="3"/>
  <c r="Z208" i="3"/>
  <c r="W209" i="3"/>
  <c r="V210" i="3"/>
  <c r="S211" i="3"/>
  <c r="P212" i="3"/>
  <c r="AB212" i="3"/>
  <c r="Y213" i="3"/>
  <c r="V214" i="3"/>
  <c r="U215" i="3"/>
  <c r="R216" i="3"/>
  <c r="AB216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AB77" i="3"/>
  <c r="Q100" i="3"/>
  <c r="R113" i="3"/>
  <c r="T124" i="3"/>
  <c r="Q132" i="3"/>
  <c r="V138" i="3"/>
  <c r="X144" i="3"/>
  <c r="AB149" i="3"/>
  <c r="AA154" i="3"/>
  <c r="Z159" i="3"/>
  <c r="P164" i="3"/>
  <c r="V166" i="3"/>
  <c r="S168" i="3"/>
  <c r="X169" i="3"/>
  <c r="U171" i="3"/>
  <c r="R173" i="3"/>
  <c r="W174" i="3"/>
  <c r="T176" i="3"/>
  <c r="Q178" i="3"/>
  <c r="V179" i="3"/>
  <c r="S181" i="3"/>
  <c r="P183" i="3"/>
  <c r="U184" i="3"/>
  <c r="R186" i="3"/>
  <c r="U187" i="3"/>
  <c r="AE187" i="3" s="1"/>
  <c r="X188" i="3"/>
  <c r="AA189" i="3"/>
  <c r="Q191" i="3"/>
  <c r="T192" i="3"/>
  <c r="W193" i="3"/>
  <c r="Y194" i="3"/>
  <c r="Z195" i="3"/>
  <c r="X196" i="3"/>
  <c r="Y197" i="3"/>
  <c r="W198" i="3"/>
  <c r="X199" i="3"/>
  <c r="Y200" i="3"/>
  <c r="V201" i="3"/>
  <c r="S202" i="3"/>
  <c r="R203" i="3"/>
  <c r="AB203" i="3"/>
  <c r="Y204" i="3"/>
  <c r="X205" i="3"/>
  <c r="U206" i="3"/>
  <c r="AE206" i="3" s="1"/>
  <c r="R207" i="3"/>
  <c r="Q208" i="3"/>
  <c r="AA208" i="3"/>
  <c r="X209" i="3"/>
  <c r="W210" i="3"/>
  <c r="T211" i="3"/>
  <c r="Q212" i="3"/>
  <c r="P213" i="3"/>
  <c r="Z213" i="3"/>
  <c r="W214" i="3"/>
  <c r="V215" i="3"/>
  <c r="S216" i="3"/>
  <c r="P217" i="3"/>
  <c r="AA217" i="3"/>
  <c r="V218" i="3"/>
  <c r="Q219" i="3"/>
  <c r="Y219" i="3"/>
  <c r="T220" i="3"/>
  <c r="AB220" i="3"/>
  <c r="W221" i="3"/>
  <c r="R222" i="3"/>
  <c r="Z222" i="3"/>
  <c r="U223" i="3"/>
  <c r="AE223" i="3" s="1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AE247" i="3" s="1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AE279" i="3" s="1"/>
  <c r="P280" i="3"/>
  <c r="X280" i="3"/>
  <c r="AA81" i="3"/>
  <c r="X101" i="3"/>
  <c r="AA114" i="3"/>
  <c r="W125" i="3"/>
  <c r="AA132" i="3"/>
  <c r="U139" i="3"/>
  <c r="AE139" i="3" s="1"/>
  <c r="T145" i="3"/>
  <c r="W150" i="3"/>
  <c r="V155" i="3"/>
  <c r="U160" i="3"/>
  <c r="AE160" i="3" s="1"/>
  <c r="Q164" i="3"/>
  <c r="W166" i="3"/>
  <c r="T168" i="3"/>
  <c r="Q170" i="3"/>
  <c r="V171" i="3"/>
  <c r="S173" i="3"/>
  <c r="P175" i="3"/>
  <c r="U176" i="3"/>
  <c r="AE176" i="3" s="1"/>
  <c r="R178" i="3"/>
  <c r="AB179" i="3"/>
  <c r="T181" i="3"/>
  <c r="Q183" i="3"/>
  <c r="AA184" i="3"/>
  <c r="S186" i="3"/>
  <c r="V187" i="3"/>
  <c r="Y188" i="3"/>
  <c r="AB189" i="3"/>
  <c r="R191" i="3"/>
  <c r="U192" i="3"/>
  <c r="X193" i="3"/>
  <c r="Z194" i="3"/>
  <c r="AA195" i="3"/>
  <c r="Y196" i="3"/>
  <c r="Z197" i="3"/>
  <c r="AA198" i="3"/>
  <c r="Y199" i="3"/>
  <c r="Z200" i="3"/>
  <c r="W201" i="3"/>
  <c r="V202" i="3"/>
  <c r="S203" i="3"/>
  <c r="P204" i="3"/>
  <c r="AB204" i="3"/>
  <c r="Y205" i="3"/>
  <c r="V206" i="3"/>
  <c r="U207" i="3"/>
  <c r="AE207" i="3" s="1"/>
  <c r="R208" i="3"/>
  <c r="AB208" i="3"/>
  <c r="AA209" i="3"/>
  <c r="X210" i="3"/>
  <c r="U211" i="3"/>
  <c r="AE211" i="3" s="1"/>
  <c r="T212" i="3"/>
  <c r="Q213" i="3"/>
  <c r="AA213" i="3"/>
  <c r="Z214" i="3"/>
  <c r="W215" i="3"/>
  <c r="T216" i="3"/>
  <c r="S217" i="3"/>
  <c r="AB217" i="3"/>
  <c r="W218" i="3"/>
  <c r="R219" i="3"/>
  <c r="Z219" i="3"/>
  <c r="U220" i="3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V85" i="3"/>
  <c r="T103" i="3"/>
  <c r="U116" i="3"/>
  <c r="W126" i="3"/>
  <c r="Z133" i="3"/>
  <c r="R140" i="3"/>
  <c r="P146" i="3"/>
  <c r="R151" i="3"/>
  <c r="Q156" i="3"/>
  <c r="P161" i="3"/>
  <c r="X164" i="3"/>
  <c r="P167" i="3"/>
  <c r="U168" i="3"/>
  <c r="AE168" i="3" s="1"/>
  <c r="R170" i="3"/>
  <c r="AB171" i="3"/>
  <c r="T173" i="3"/>
  <c r="Q175" i="3"/>
  <c r="AA176" i="3"/>
  <c r="S178" i="3"/>
  <c r="P180" i="3"/>
  <c r="Z181" i="3"/>
  <c r="R183" i="3"/>
  <c r="AB184" i="3"/>
  <c r="X186" i="3"/>
  <c r="AA187" i="3"/>
  <c r="Q189" i="3"/>
  <c r="T190" i="3"/>
  <c r="W191" i="3"/>
  <c r="Z192" i="3"/>
  <c r="P194" i="3"/>
  <c r="AA194" i="3"/>
  <c r="AB195" i="3"/>
  <c r="P197" i="3"/>
  <c r="AA197" i="3"/>
  <c r="AB198" i="3"/>
  <c r="Z199" i="3"/>
  <c r="AA200" i="3"/>
  <c r="X201" i="3"/>
  <c r="W202" i="3"/>
  <c r="T203" i="3"/>
  <c r="Q204" i="3"/>
  <c r="P205" i="3"/>
  <c r="Z205" i="3"/>
  <c r="W206" i="3"/>
  <c r="V207" i="3"/>
  <c r="S208" i="3"/>
  <c r="P209" i="3"/>
  <c r="AB209" i="3"/>
  <c r="Y210" i="3"/>
  <c r="V211" i="3"/>
  <c r="U212" i="3"/>
  <c r="AE212" i="3" s="1"/>
  <c r="R213" i="3"/>
  <c r="AB213" i="3"/>
  <c r="AA214" i="3"/>
  <c r="X215" i="3"/>
  <c r="U216" i="3"/>
  <c r="T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Y88" i="3"/>
  <c r="P105" i="3"/>
  <c r="AB117" i="3"/>
  <c r="Z127" i="3"/>
  <c r="W134" i="3"/>
  <c r="AB140" i="3"/>
  <c r="Y146" i="3"/>
  <c r="Z151" i="3"/>
  <c r="Y156" i="3"/>
  <c r="X161" i="3"/>
  <c r="Y164" i="3"/>
  <c r="Q167" i="3"/>
  <c r="AA168" i="3"/>
  <c r="S170" i="3"/>
  <c r="P172" i="3"/>
  <c r="Z173" i="3"/>
  <c r="R175" i="3"/>
  <c r="AB176" i="3"/>
  <c r="Y178" i="3"/>
  <c r="Q180" i="3"/>
  <c r="AA181" i="3"/>
  <c r="X183" i="3"/>
  <c r="P185" i="3"/>
  <c r="Y186" i="3"/>
  <c r="AB187" i="3"/>
  <c r="R189" i="3"/>
  <c r="U190" i="3"/>
  <c r="AE190" i="3" s="1"/>
  <c r="X191" i="3"/>
  <c r="AA192" i="3"/>
  <c r="Q194" i="3"/>
  <c r="R195" i="3"/>
  <c r="P196" i="3"/>
  <c r="Q197" i="3"/>
  <c r="AB197" i="3"/>
  <c r="P199" i="3"/>
  <c r="Q200" i="3"/>
  <c r="AB200" i="3"/>
  <c r="AA201" i="3"/>
  <c r="X202" i="3"/>
  <c r="U203" i="3"/>
  <c r="AE203" i="3" s="1"/>
  <c r="T204" i="3"/>
  <c r="Q205" i="3"/>
  <c r="AA205" i="3"/>
  <c r="Z206" i="3"/>
  <c r="W207" i="3"/>
  <c r="T208" i="3"/>
  <c r="S209" i="3"/>
  <c r="P210" i="3"/>
  <c r="Z210" i="3"/>
  <c r="Y211" i="3"/>
  <c r="V212" i="3"/>
  <c r="S213" i="3"/>
  <c r="R214" i="3"/>
  <c r="AB214" i="3"/>
  <c r="Y215" i="3"/>
  <c r="X216" i="3"/>
  <c r="U217" i="3"/>
  <c r="AE217" i="3" s="1"/>
  <c r="Q218" i="3"/>
  <c r="Y218" i="3"/>
  <c r="T219" i="3"/>
  <c r="AB219" i="3"/>
  <c r="W220" i="3"/>
  <c r="R221" i="3"/>
  <c r="Z221" i="3"/>
  <c r="U222" i="3"/>
  <c r="AE222" i="3" s="1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Z91" i="3"/>
  <c r="W106" i="3"/>
  <c r="T119" i="3"/>
  <c r="X128" i="3"/>
  <c r="T135" i="3"/>
  <c r="Z141" i="3"/>
  <c r="U147" i="3"/>
  <c r="AE147" i="3" s="1"/>
  <c r="U152" i="3"/>
  <c r="AE152" i="3" s="1"/>
  <c r="T157" i="3"/>
  <c r="S162" i="3"/>
  <c r="S165" i="3"/>
  <c r="R167" i="3"/>
  <c r="AB168" i="3"/>
  <c r="Y170" i="3"/>
  <c r="Q172" i="3"/>
  <c r="AA173" i="3"/>
  <c r="X175" i="3"/>
  <c r="P177" i="3"/>
  <c r="Z178" i="3"/>
  <c r="W180" i="3"/>
  <c r="AB181" i="3"/>
  <c r="Y183" i="3"/>
  <c r="V185" i="3"/>
  <c r="Z186" i="3"/>
  <c r="P188" i="3"/>
  <c r="S189" i="3"/>
  <c r="V190" i="3"/>
  <c r="Y191" i="3"/>
  <c r="AB192" i="3"/>
  <c r="R194" i="3"/>
  <c r="S195" i="3"/>
  <c r="Q196" i="3"/>
  <c r="R197" i="3"/>
  <c r="S198" i="3"/>
  <c r="Q199" i="3"/>
  <c r="R200" i="3"/>
  <c r="P201" i="3"/>
  <c r="AB201" i="3"/>
  <c r="Y202" i="3"/>
  <c r="V203" i="3"/>
  <c r="U204" i="3"/>
  <c r="AE204" i="3" s="1"/>
  <c r="R205" i="3"/>
  <c r="AB205" i="3"/>
  <c r="AA206" i="3"/>
  <c r="X207" i="3"/>
  <c r="U208" i="3"/>
  <c r="T209" i="3"/>
  <c r="Q210" i="3"/>
  <c r="AA210" i="3"/>
  <c r="Z211" i="3"/>
  <c r="W212" i="3"/>
  <c r="T213" i="3"/>
  <c r="S214" i="3"/>
  <c r="P215" i="3"/>
  <c r="Z215" i="3"/>
  <c r="Y216" i="3"/>
  <c r="V217" i="3"/>
  <c r="R218" i="3"/>
  <c r="Z218" i="3"/>
  <c r="U219" i="3"/>
  <c r="AE219" i="3" s="1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AE227" i="3" s="1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P236" i="3"/>
  <c r="X236" i="3"/>
  <c r="X93" i="3"/>
  <c r="S108" i="3"/>
  <c r="Y120" i="3"/>
  <c r="Y129" i="3"/>
  <c r="Q136" i="3"/>
  <c r="V142" i="3"/>
  <c r="Q148" i="3"/>
  <c r="P153" i="3"/>
  <c r="AB157" i="3"/>
  <c r="AA162" i="3"/>
  <c r="T165" i="3"/>
  <c r="X167" i="3"/>
  <c r="P169" i="3"/>
  <c r="Z170" i="3"/>
  <c r="W172" i="3"/>
  <c r="AB173" i="3"/>
  <c r="Y175" i="3"/>
  <c r="V177" i="3"/>
  <c r="AA178" i="3"/>
  <c r="X180" i="3"/>
  <c r="U182" i="3"/>
  <c r="Z183" i="3"/>
  <c r="W185" i="3"/>
  <c r="AA186" i="3"/>
  <c r="Q188" i="3"/>
  <c r="T189" i="3"/>
  <c r="W190" i="3"/>
  <c r="Z191" i="3"/>
  <c r="P193" i="3"/>
  <c r="S194" i="3"/>
  <c r="T195" i="3"/>
  <c r="U196" i="3"/>
  <c r="AE196" i="3" s="1"/>
  <c r="S197" i="3"/>
  <c r="T198" i="3"/>
  <c r="R199" i="3"/>
  <c r="S200" i="3"/>
  <c r="S201" i="3"/>
  <c r="P202" i="3"/>
  <c r="Z202" i="3"/>
  <c r="Y203" i="3"/>
  <c r="V204" i="3"/>
  <c r="S205" i="3"/>
  <c r="R206" i="3"/>
  <c r="AB206" i="3"/>
  <c r="Y207" i="3"/>
  <c r="X208" i="3"/>
  <c r="U209" i="3"/>
  <c r="AE209" i="3" s="1"/>
  <c r="R210" i="3"/>
  <c r="Q211" i="3"/>
  <c r="AA211" i="3"/>
  <c r="X212" i="3"/>
  <c r="W213" i="3"/>
  <c r="T214" i="3"/>
  <c r="Q215" i="3"/>
  <c r="P216" i="3"/>
  <c r="Z216" i="3"/>
  <c r="W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P96" i="3"/>
  <c r="AB109" i="3"/>
  <c r="R122" i="3"/>
  <c r="V130" i="3"/>
  <c r="AB136" i="3"/>
  <c r="R143" i="3"/>
  <c r="Y148" i="3"/>
  <c r="X153" i="3"/>
  <c r="W158" i="3"/>
  <c r="U163" i="3"/>
  <c r="AE163" i="3" s="1"/>
  <c r="AA165" i="3"/>
  <c r="Y167" i="3"/>
  <c r="V169" i="3"/>
  <c r="AA170" i="3"/>
  <c r="X172" i="3"/>
  <c r="U174" i="3"/>
  <c r="Z175" i="3"/>
  <c r="W177" i="3"/>
  <c r="T179" i="3"/>
  <c r="Y180" i="3"/>
  <c r="V182" i="3"/>
  <c r="S184" i="3"/>
  <c r="X185" i="3"/>
  <c r="S187" i="3"/>
  <c r="V188" i="3"/>
  <c r="Y189" i="3"/>
  <c r="AB190" i="3"/>
  <c r="R192" i="3"/>
  <c r="U193" i="3"/>
  <c r="AE193" i="3" s="1"/>
  <c r="W194" i="3"/>
  <c r="U195" i="3"/>
  <c r="V196" i="3"/>
  <c r="T197" i="3"/>
  <c r="U198" i="3"/>
  <c r="AE198" i="3" s="1"/>
  <c r="V199" i="3"/>
  <c r="T200" i="3"/>
  <c r="T201" i="3"/>
  <c r="Q202" i="3"/>
  <c r="AA202" i="3"/>
  <c r="Z203" i="3"/>
  <c r="W204" i="3"/>
  <c r="T205" i="3"/>
  <c r="S206" i="3"/>
  <c r="P207" i="3"/>
  <c r="Z207" i="3"/>
  <c r="Y208" i="3"/>
  <c r="V209" i="3"/>
  <c r="S210" i="3"/>
  <c r="R211" i="3"/>
  <c r="AB211" i="3"/>
  <c r="Y212" i="3"/>
  <c r="X213" i="3"/>
  <c r="U214" i="3"/>
  <c r="AE214" i="3" s="1"/>
  <c r="R215" i="3"/>
  <c r="Q216" i="3"/>
  <c r="AA216" i="3"/>
  <c r="X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R231" i="3"/>
  <c r="W235" i="3"/>
  <c r="AA237" i="3"/>
  <c r="S239" i="3"/>
  <c r="P241" i="3"/>
  <c r="Z242" i="3"/>
  <c r="R244" i="3"/>
  <c r="AB245" i="3"/>
  <c r="Y247" i="3"/>
  <c r="Q249" i="3"/>
  <c r="AA250" i="3"/>
  <c r="R252" i="3"/>
  <c r="U253" i="3"/>
  <c r="AE253" i="3" s="1"/>
  <c r="X254" i="3"/>
  <c r="AA255" i="3"/>
  <c r="Q257" i="3"/>
  <c r="T258" i="3"/>
  <c r="W259" i="3"/>
  <c r="Z260" i="3"/>
  <c r="P262" i="3"/>
  <c r="R263" i="3"/>
  <c r="S264" i="3"/>
  <c r="Q265" i="3"/>
  <c r="R266" i="3"/>
  <c r="S267" i="3"/>
  <c r="Q268" i="3"/>
  <c r="R269" i="3"/>
  <c r="P270" i="3"/>
  <c r="Q271" i="3"/>
  <c r="R272" i="3"/>
  <c r="P273" i="3"/>
  <c r="Q274" i="3"/>
  <c r="AB274" i="3"/>
  <c r="P276" i="3"/>
  <c r="Z276" i="3"/>
  <c r="Y277" i="3"/>
  <c r="V278" i="3"/>
  <c r="S279" i="3"/>
  <c r="R280" i="3"/>
  <c r="AB280" i="3"/>
  <c r="W281" i="3"/>
  <c r="R282" i="3"/>
  <c r="Z282" i="3"/>
  <c r="U283" i="3"/>
  <c r="AE283" i="3" s="1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AE315" i="3" s="1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AE339" i="3" s="1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AE347" i="3" s="1"/>
  <c r="P348" i="3"/>
  <c r="X348" i="3"/>
  <c r="S349" i="3"/>
  <c r="AA349" i="3"/>
  <c r="V350" i="3"/>
  <c r="Q351" i="3"/>
  <c r="Y351" i="3"/>
  <c r="T352" i="3"/>
  <c r="AB352" i="3"/>
  <c r="W353" i="3"/>
  <c r="R354" i="3"/>
  <c r="Z354" i="3"/>
  <c r="U355" i="3"/>
  <c r="AE355" i="3" s="1"/>
  <c r="P356" i="3"/>
  <c r="X356" i="3"/>
  <c r="S357" i="3"/>
  <c r="AA357" i="3"/>
  <c r="V358" i="3"/>
  <c r="Q359" i="3"/>
  <c r="Y359" i="3"/>
  <c r="T360" i="3"/>
  <c r="AB360" i="3"/>
  <c r="Z231" i="3"/>
  <c r="Q236" i="3"/>
  <c r="AB237" i="3"/>
  <c r="Y239" i="3"/>
  <c r="Q241" i="3"/>
  <c r="AA242" i="3"/>
  <c r="X244" i="3"/>
  <c r="P246" i="3"/>
  <c r="Z247" i="3"/>
  <c r="W249" i="3"/>
  <c r="AB250" i="3"/>
  <c r="W252" i="3"/>
  <c r="Z253" i="3"/>
  <c r="P255" i="3"/>
  <c r="S256" i="3"/>
  <c r="V257" i="3"/>
  <c r="Y258" i="3"/>
  <c r="AB259" i="3"/>
  <c r="R261" i="3"/>
  <c r="U262" i="3"/>
  <c r="S263" i="3"/>
  <c r="T264" i="3"/>
  <c r="U265" i="3"/>
  <c r="AE265" i="3" s="1"/>
  <c r="S266" i="3"/>
  <c r="T267" i="3"/>
  <c r="R268" i="3"/>
  <c r="S269" i="3"/>
  <c r="T270" i="3"/>
  <c r="R271" i="3"/>
  <c r="S272" i="3"/>
  <c r="Q273" i="3"/>
  <c r="R274" i="3"/>
  <c r="S275" i="3"/>
  <c r="Q276" i="3"/>
  <c r="P277" i="3"/>
  <c r="Z277" i="3"/>
  <c r="W278" i="3"/>
  <c r="V279" i="3"/>
  <c r="S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P353" i="3"/>
  <c r="X353" i="3"/>
  <c r="S354" i="3"/>
  <c r="AA354" i="3"/>
  <c r="V355" i="3"/>
  <c r="Q356" i="3"/>
  <c r="Y356" i="3"/>
  <c r="T357" i="3"/>
  <c r="AB357" i="3"/>
  <c r="W358" i="3"/>
  <c r="R359" i="3"/>
  <c r="U232" i="3"/>
  <c r="R236" i="3"/>
  <c r="P238" i="3"/>
  <c r="Z239" i="3"/>
  <c r="W241" i="3"/>
  <c r="AB242" i="3"/>
  <c r="Y244" i="3"/>
  <c r="V246" i="3"/>
  <c r="AA247" i="3"/>
  <c r="X249" i="3"/>
  <c r="U251" i="3"/>
  <c r="AE251" i="3" s="1"/>
  <c r="X252" i="3"/>
  <c r="AA253" i="3"/>
  <c r="Q255" i="3"/>
  <c r="T256" i="3"/>
  <c r="W257" i="3"/>
  <c r="Z258" i="3"/>
  <c r="P260" i="3"/>
  <c r="S261" i="3"/>
  <c r="V262" i="3"/>
  <c r="W263" i="3"/>
  <c r="U264" i="3"/>
  <c r="AE264" i="3" s="1"/>
  <c r="V265" i="3"/>
  <c r="T266" i="3"/>
  <c r="U267" i="3"/>
  <c r="V268" i="3"/>
  <c r="T269" i="3"/>
  <c r="U270" i="3"/>
  <c r="AE270" i="3" s="1"/>
  <c r="S271" i="3"/>
  <c r="T272" i="3"/>
  <c r="U273" i="3"/>
  <c r="AE273" i="3" s="1"/>
  <c r="S274" i="3"/>
  <c r="T275" i="3"/>
  <c r="R276" i="3"/>
  <c r="Q277" i="3"/>
  <c r="AA277" i="3"/>
  <c r="X278" i="3"/>
  <c r="W279" i="3"/>
  <c r="T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233" i="3"/>
  <c r="Y236" i="3"/>
  <c r="V238" i="3"/>
  <c r="AA239" i="3"/>
  <c r="X241" i="3"/>
  <c r="U243" i="3"/>
  <c r="AE243" i="3" s="1"/>
  <c r="Z244" i="3"/>
  <c r="W246" i="3"/>
  <c r="T248" i="3"/>
  <c r="Y249" i="3"/>
  <c r="V251" i="3"/>
  <c r="Y252" i="3"/>
  <c r="AB253" i="3"/>
  <c r="R255" i="3"/>
  <c r="U256" i="3"/>
  <c r="AE256" i="3" s="1"/>
  <c r="X257" i="3"/>
  <c r="AA258" i="3"/>
  <c r="Q260" i="3"/>
  <c r="T261" i="3"/>
  <c r="W262" i="3"/>
  <c r="X263" i="3"/>
  <c r="V264" i="3"/>
  <c r="W265" i="3"/>
  <c r="X266" i="3"/>
  <c r="V267" i="3"/>
  <c r="W268" i="3"/>
  <c r="U269" i="3"/>
  <c r="AE269" i="3" s="1"/>
  <c r="V270" i="3"/>
  <c r="W271" i="3"/>
  <c r="U272" i="3"/>
  <c r="AE272" i="3" s="1"/>
  <c r="V273" i="3"/>
  <c r="T274" i="3"/>
  <c r="U275" i="3"/>
  <c r="AE275" i="3" s="1"/>
  <c r="U276" i="3"/>
  <c r="AE276" i="3" s="1"/>
  <c r="R277" i="3"/>
  <c r="AB277" i="3"/>
  <c r="AA278" i="3"/>
  <c r="X279" i="3"/>
  <c r="U280" i="3"/>
  <c r="AE280" i="3" s="1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X233" i="3"/>
  <c r="Z236" i="3"/>
  <c r="W238" i="3"/>
  <c r="T240" i="3"/>
  <c r="Y241" i="3"/>
  <c r="V243" i="3"/>
  <c r="S245" i="3"/>
  <c r="X246" i="3"/>
  <c r="U248" i="3"/>
  <c r="AE248" i="3" s="1"/>
  <c r="R250" i="3"/>
  <c r="W251" i="3"/>
  <c r="Z252" i="3"/>
  <c r="P254" i="3"/>
  <c r="S255" i="3"/>
  <c r="V256" i="3"/>
  <c r="Y257" i="3"/>
  <c r="AB258" i="3"/>
  <c r="R260" i="3"/>
  <c r="U261" i="3"/>
  <c r="AE261" i="3" s="1"/>
  <c r="X262" i="3"/>
  <c r="Y263" i="3"/>
  <c r="Z264" i="3"/>
  <c r="X265" i="3"/>
  <c r="Y266" i="3"/>
  <c r="W267" i="3"/>
  <c r="X268" i="3"/>
  <c r="Y269" i="3"/>
  <c r="W270" i="3"/>
  <c r="X271" i="3"/>
  <c r="V272" i="3"/>
  <c r="W273" i="3"/>
  <c r="X274" i="3"/>
  <c r="V275" i="3"/>
  <c r="V276" i="3"/>
  <c r="S277" i="3"/>
  <c r="P278" i="3"/>
  <c r="AB278" i="3"/>
  <c r="Y279" i="3"/>
  <c r="V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AE295" i="3" s="1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P312" i="3"/>
  <c r="X312" i="3"/>
  <c r="S313" i="3"/>
  <c r="AA313" i="3"/>
  <c r="V314" i="3"/>
  <c r="Q315" i="3"/>
  <c r="Y315" i="3"/>
  <c r="T316" i="3"/>
  <c r="AB316" i="3"/>
  <c r="W317" i="3"/>
  <c r="S234" i="3"/>
  <c r="S237" i="3"/>
  <c r="X238" i="3"/>
  <c r="U240" i="3"/>
  <c r="AE240" i="3" s="1"/>
  <c r="R242" i="3"/>
  <c r="W243" i="3"/>
  <c r="T245" i="3"/>
  <c r="Q247" i="3"/>
  <c r="V248" i="3"/>
  <c r="S250" i="3"/>
  <c r="AB251" i="3"/>
  <c r="R253" i="3"/>
  <c r="U254" i="3"/>
  <c r="AE254" i="3" s="1"/>
  <c r="X255" i="3"/>
  <c r="AA256" i="3"/>
  <c r="Q258" i="3"/>
  <c r="T259" i="3"/>
  <c r="W260" i="3"/>
  <c r="Z261" i="3"/>
  <c r="AB262" i="3"/>
  <c r="Z263" i="3"/>
  <c r="AA264" i="3"/>
  <c r="Y265" i="3"/>
  <c r="Z266" i="3"/>
  <c r="AA267" i="3"/>
  <c r="Y268" i="3"/>
  <c r="Z269" i="3"/>
  <c r="X270" i="3"/>
  <c r="Y271" i="3"/>
  <c r="Z272" i="3"/>
  <c r="X273" i="3"/>
  <c r="Y274" i="3"/>
  <c r="W275" i="3"/>
  <c r="W276" i="3"/>
  <c r="T277" i="3"/>
  <c r="S278" i="3"/>
  <c r="P279" i="3"/>
  <c r="Z279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AA234" i="3"/>
  <c r="T237" i="3"/>
  <c r="Q239" i="3"/>
  <c r="V240" i="3"/>
  <c r="S242" i="3"/>
  <c r="P244" i="3"/>
  <c r="U245" i="3"/>
  <c r="R247" i="3"/>
  <c r="AB248" i="3"/>
  <c r="T250" i="3"/>
  <c r="P252" i="3"/>
  <c r="S253" i="3"/>
  <c r="V254" i="3"/>
  <c r="Y255" i="3"/>
  <c r="AB256" i="3"/>
  <c r="R258" i="3"/>
  <c r="U259" i="3"/>
  <c r="AE259" i="3" s="1"/>
  <c r="X260" i="3"/>
  <c r="AA261" i="3"/>
  <c r="P263" i="3"/>
  <c r="AA263" i="3"/>
  <c r="AB264" i="3"/>
  <c r="P266" i="3"/>
  <c r="AA266" i="3"/>
  <c r="AB267" i="3"/>
  <c r="Z268" i="3"/>
  <c r="AA269" i="3"/>
  <c r="AB270" i="3"/>
  <c r="Z271" i="3"/>
  <c r="AA272" i="3"/>
  <c r="Y273" i="3"/>
  <c r="Z274" i="3"/>
  <c r="AA275" i="3"/>
  <c r="X276" i="3"/>
  <c r="U277" i="3"/>
  <c r="AE277" i="3" s="1"/>
  <c r="T278" i="3"/>
  <c r="Q279" i="3"/>
  <c r="AA279" i="3"/>
  <c r="Z280" i="3"/>
  <c r="U281" i="3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AE289" i="3" s="1"/>
  <c r="P290" i="3"/>
  <c r="X290" i="3"/>
  <c r="S291" i="3"/>
  <c r="V235" i="3"/>
  <c r="U237" i="3"/>
  <c r="AE237" i="3" s="1"/>
  <c r="R239" i="3"/>
  <c r="AB240" i="3"/>
  <c r="T242" i="3"/>
  <c r="Q244" i="3"/>
  <c r="AA245" i="3"/>
  <c r="S247" i="3"/>
  <c r="P249" i="3"/>
  <c r="Z250" i="3"/>
  <c r="Q252" i="3"/>
  <c r="T253" i="3"/>
  <c r="W254" i="3"/>
  <c r="Z255" i="3"/>
  <c r="P257" i="3"/>
  <c r="S258" i="3"/>
  <c r="V259" i="3"/>
  <c r="Y260" i="3"/>
  <c r="AB261" i="3"/>
  <c r="Q263" i="3"/>
  <c r="R264" i="3"/>
  <c r="P265" i="3"/>
  <c r="Q266" i="3"/>
  <c r="AB266" i="3"/>
  <c r="P268" i="3"/>
  <c r="Q269" i="3"/>
  <c r="AB269" i="3"/>
  <c r="P271" i="3"/>
  <c r="AA271" i="3"/>
  <c r="AB272" i="3"/>
  <c r="P274" i="3"/>
  <c r="AA274" i="3"/>
  <c r="AB275" i="3"/>
  <c r="Y276" i="3"/>
  <c r="X277" i="3"/>
  <c r="U278" i="3"/>
  <c r="AE278" i="3" s="1"/>
  <c r="R279" i="3"/>
  <c r="Q280" i="3"/>
  <c r="AA280" i="3"/>
  <c r="V281" i="3"/>
  <c r="Q282" i="3"/>
  <c r="Y282" i="3"/>
  <c r="T283" i="3"/>
  <c r="AB283" i="3"/>
  <c r="W284" i="3"/>
  <c r="R285" i="3"/>
  <c r="Z285" i="3"/>
  <c r="U286" i="3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AA291" i="3"/>
  <c r="R296" i="3"/>
  <c r="X298" i="3"/>
  <c r="Q301" i="3"/>
  <c r="W303" i="3"/>
  <c r="P306" i="3"/>
  <c r="U308" i="3"/>
  <c r="AE308" i="3" s="1"/>
  <c r="Z309" i="3"/>
  <c r="W311" i="3"/>
  <c r="T313" i="3"/>
  <c r="Y314" i="3"/>
  <c r="V316" i="3"/>
  <c r="R318" i="3"/>
  <c r="U319" i="3"/>
  <c r="AE319" i="3" s="1"/>
  <c r="X320" i="3"/>
  <c r="AA321" i="3"/>
  <c r="Q323" i="3"/>
  <c r="T324" i="3"/>
  <c r="V325" i="3"/>
  <c r="T326" i="3"/>
  <c r="U327" i="3"/>
  <c r="AE327" i="3" s="1"/>
  <c r="S328" i="3"/>
  <c r="T329" i="3"/>
  <c r="U330" i="3"/>
  <c r="AE330" i="3" s="1"/>
  <c r="S331" i="3"/>
  <c r="T332" i="3"/>
  <c r="R333" i="3"/>
  <c r="R334" i="3"/>
  <c r="AB334" i="3"/>
  <c r="AA335" i="3"/>
  <c r="X336" i="3"/>
  <c r="U337" i="3"/>
  <c r="AE337" i="3" s="1"/>
  <c r="T338" i="3"/>
  <c r="Q339" i="3"/>
  <c r="AA339" i="3"/>
  <c r="Z340" i="3"/>
  <c r="W341" i="3"/>
  <c r="T342" i="3"/>
  <c r="S343" i="3"/>
  <c r="P344" i="3"/>
  <c r="Z344" i="3"/>
  <c r="Y345" i="3"/>
  <c r="V346" i="3"/>
  <c r="S347" i="3"/>
  <c r="R348" i="3"/>
  <c r="AB348" i="3"/>
  <c r="Y349" i="3"/>
  <c r="X350" i="3"/>
  <c r="U351" i="3"/>
  <c r="R352" i="3"/>
  <c r="Q353" i="3"/>
  <c r="AA353" i="3"/>
  <c r="X354" i="3"/>
  <c r="W355" i="3"/>
  <c r="T356" i="3"/>
  <c r="Q357" i="3"/>
  <c r="P358" i="3"/>
  <c r="Z358" i="3"/>
  <c r="W359" i="3"/>
  <c r="S360" i="3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V292" i="3"/>
  <c r="S296" i="3"/>
  <c r="Y298" i="3"/>
  <c r="R301" i="3"/>
  <c r="X303" i="3"/>
  <c r="Q306" i="3"/>
  <c r="V308" i="3"/>
  <c r="S310" i="3"/>
  <c r="X311" i="3"/>
  <c r="U313" i="3"/>
  <c r="AE313" i="3" s="1"/>
  <c r="R315" i="3"/>
  <c r="W316" i="3"/>
  <c r="S318" i="3"/>
  <c r="V319" i="3"/>
  <c r="Y320" i="3"/>
  <c r="AB321" i="3"/>
  <c r="R323" i="3"/>
  <c r="U324" i="3"/>
  <c r="AE324" i="3" s="1"/>
  <c r="W325" i="3"/>
  <c r="U326" i="3"/>
  <c r="AE326" i="3" s="1"/>
  <c r="V327" i="3"/>
  <c r="W328" i="3"/>
  <c r="U329" i="3"/>
  <c r="AE329" i="3" s="1"/>
  <c r="V330" i="3"/>
  <c r="T331" i="3"/>
  <c r="U332" i="3"/>
  <c r="AE332" i="3" s="1"/>
  <c r="V333" i="3"/>
  <c r="S334" i="3"/>
  <c r="P335" i="3"/>
  <c r="AB335" i="3"/>
  <c r="Y336" i="3"/>
  <c r="V337" i="3"/>
  <c r="U338" i="3"/>
  <c r="AE338" i="3" s="1"/>
  <c r="R339" i="3"/>
  <c r="AB339" i="3"/>
  <c r="AA340" i="3"/>
  <c r="X341" i="3"/>
  <c r="U342" i="3"/>
  <c r="T343" i="3"/>
  <c r="Q344" i="3"/>
  <c r="AA344" i="3"/>
  <c r="Z345" i="3"/>
  <c r="W346" i="3"/>
  <c r="T347" i="3"/>
  <c r="S348" i="3"/>
  <c r="P349" i="3"/>
  <c r="Z349" i="3"/>
  <c r="Y350" i="3"/>
  <c r="V351" i="3"/>
  <c r="S352" i="3"/>
  <c r="R353" i="3"/>
  <c r="AB353" i="3"/>
  <c r="Y354" i="3"/>
  <c r="X355" i="3"/>
  <c r="U356" i="3"/>
  <c r="AE356" i="3" s="1"/>
  <c r="R357" i="3"/>
  <c r="Q358" i="3"/>
  <c r="AA358" i="3"/>
  <c r="X359" i="3"/>
  <c r="U360" i="3"/>
  <c r="AE360" i="3" s="1"/>
  <c r="Q361" i="3"/>
  <c r="Y361" i="3"/>
  <c r="T362" i="3"/>
  <c r="AB362" i="3"/>
  <c r="W363" i="3"/>
  <c r="R364" i="3"/>
  <c r="Z364" i="3"/>
  <c r="U365" i="3"/>
  <c r="AE365" i="3" s="1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Q293" i="3"/>
  <c r="Z296" i="3"/>
  <c r="S299" i="3"/>
  <c r="Y301" i="3"/>
  <c r="R304" i="3"/>
  <c r="X306" i="3"/>
  <c r="W308" i="3"/>
  <c r="T310" i="3"/>
  <c r="Q312" i="3"/>
  <c r="V313" i="3"/>
  <c r="S315" i="3"/>
  <c r="P317" i="3"/>
  <c r="T318" i="3"/>
  <c r="W319" i="3"/>
  <c r="Z320" i="3"/>
  <c r="P322" i="3"/>
  <c r="S323" i="3"/>
  <c r="V324" i="3"/>
  <c r="X325" i="3"/>
  <c r="Y326" i="3"/>
  <c r="W327" i="3"/>
  <c r="X328" i="3"/>
  <c r="V329" i="3"/>
  <c r="W330" i="3"/>
  <c r="X331" i="3"/>
  <c r="V332" i="3"/>
  <c r="W333" i="3"/>
  <c r="T334" i="3"/>
  <c r="S335" i="3"/>
  <c r="P336" i="3"/>
  <c r="Z336" i="3"/>
  <c r="Y337" i="3"/>
  <c r="V338" i="3"/>
  <c r="S339" i="3"/>
  <c r="R340" i="3"/>
  <c r="AB340" i="3"/>
  <c r="Y341" i="3"/>
  <c r="X342" i="3"/>
  <c r="U343" i="3"/>
  <c r="AE343" i="3" s="1"/>
  <c r="R344" i="3"/>
  <c r="Q345" i="3"/>
  <c r="AA345" i="3"/>
  <c r="X346" i="3"/>
  <c r="W347" i="3"/>
  <c r="T348" i="3"/>
  <c r="Q349" i="3"/>
  <c r="P350" i="3"/>
  <c r="Z350" i="3"/>
  <c r="W351" i="3"/>
  <c r="V352" i="3"/>
  <c r="S353" i="3"/>
  <c r="P354" i="3"/>
  <c r="AB354" i="3"/>
  <c r="Y355" i="3"/>
  <c r="V356" i="3"/>
  <c r="U357" i="3"/>
  <c r="R358" i="3"/>
  <c r="AB358" i="3"/>
  <c r="Z359" i="3"/>
  <c r="V360" i="3"/>
  <c r="R361" i="3"/>
  <c r="Z361" i="3"/>
  <c r="U362" i="3"/>
  <c r="AE362" i="3" s="1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AE386" i="3" s="1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AE410" i="3" s="1"/>
  <c r="P411" i="3"/>
  <c r="X411" i="3"/>
  <c r="S412" i="3"/>
  <c r="AA412" i="3"/>
  <c r="V413" i="3"/>
  <c r="Q414" i="3"/>
  <c r="Y414" i="3"/>
  <c r="T415" i="3"/>
  <c r="AB415" i="3"/>
  <c r="W416" i="3"/>
  <c r="R417" i="3"/>
  <c r="Z417" i="3"/>
  <c r="Y293" i="3"/>
  <c r="AA296" i="3"/>
  <c r="T299" i="3"/>
  <c r="Z301" i="3"/>
  <c r="S304" i="3"/>
  <c r="Y306" i="3"/>
  <c r="P309" i="3"/>
  <c r="U310" i="3"/>
  <c r="R312" i="3"/>
  <c r="AB313" i="3"/>
  <c r="T315" i="3"/>
  <c r="Q317" i="3"/>
  <c r="U318" i="3"/>
  <c r="AE318" i="3" s="1"/>
  <c r="X319" i="3"/>
  <c r="AA320" i="3"/>
  <c r="Q322" i="3"/>
  <c r="T323" i="3"/>
  <c r="W324" i="3"/>
  <c r="Y325" i="3"/>
  <c r="Z326" i="3"/>
  <c r="X327" i="3"/>
  <c r="Y328" i="3"/>
  <c r="Z329" i="3"/>
  <c r="X330" i="3"/>
  <c r="Y331" i="3"/>
  <c r="W332" i="3"/>
  <c r="X333" i="3"/>
  <c r="U334" i="3"/>
  <c r="AE334" i="3" s="1"/>
  <c r="T335" i="3"/>
  <c r="Q336" i="3"/>
  <c r="AA336" i="3"/>
  <c r="Z337" i="3"/>
  <c r="W338" i="3"/>
  <c r="T339" i="3"/>
  <c r="S340" i="3"/>
  <c r="P341" i="3"/>
  <c r="Z341" i="3"/>
  <c r="Y342" i="3"/>
  <c r="V343" i="3"/>
  <c r="S344" i="3"/>
  <c r="R345" i="3"/>
  <c r="AB345" i="3"/>
  <c r="Y346" i="3"/>
  <c r="X347" i="3"/>
  <c r="U348" i="3"/>
  <c r="AE348" i="3" s="1"/>
  <c r="R349" i="3"/>
  <c r="Q350" i="3"/>
  <c r="AA350" i="3"/>
  <c r="X351" i="3"/>
  <c r="W352" i="3"/>
  <c r="T353" i="3"/>
  <c r="Q354" i="3"/>
  <c r="P355" i="3"/>
  <c r="Z355" i="3"/>
  <c r="W356" i="3"/>
  <c r="V357" i="3"/>
  <c r="S358" i="3"/>
  <c r="P359" i="3"/>
  <c r="AA359" i="3"/>
  <c r="W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P408" i="3"/>
  <c r="X408" i="3"/>
  <c r="S409" i="3"/>
  <c r="AA409" i="3"/>
  <c r="V410" i="3"/>
  <c r="Q411" i="3"/>
  <c r="Y411" i="3"/>
  <c r="T412" i="3"/>
  <c r="AB412" i="3"/>
  <c r="T294" i="3"/>
  <c r="U297" i="3"/>
  <c r="AE297" i="3" s="1"/>
  <c r="AA299" i="3"/>
  <c r="T302" i="3"/>
  <c r="Z304" i="3"/>
  <c r="S307" i="3"/>
  <c r="Q309" i="3"/>
  <c r="AA310" i="3"/>
  <c r="S312" i="3"/>
  <c r="P314" i="3"/>
  <c r="Z315" i="3"/>
  <c r="R317" i="3"/>
  <c r="Z318" i="3"/>
  <c r="P320" i="3"/>
  <c r="S321" i="3"/>
  <c r="V322" i="3"/>
  <c r="Y323" i="3"/>
  <c r="AB324" i="3"/>
  <c r="Z325" i="3"/>
  <c r="AA326" i="3"/>
  <c r="AB327" i="3"/>
  <c r="Z328" i="3"/>
  <c r="AA329" i="3"/>
  <c r="Y330" i="3"/>
  <c r="Z331" i="3"/>
  <c r="AA332" i="3"/>
  <c r="Y333" i="3"/>
  <c r="X334" i="3"/>
  <c r="U335" i="3"/>
  <c r="AE335" i="3" s="1"/>
  <c r="R336" i="3"/>
  <c r="Q337" i="3"/>
  <c r="AA337" i="3"/>
  <c r="X338" i="3"/>
  <c r="W339" i="3"/>
  <c r="T340" i="3"/>
  <c r="Q341" i="3"/>
  <c r="P342" i="3"/>
  <c r="Z342" i="3"/>
  <c r="W343" i="3"/>
  <c r="V344" i="3"/>
  <c r="S345" i="3"/>
  <c r="P346" i="3"/>
  <c r="AB346" i="3"/>
  <c r="Y347" i="3"/>
  <c r="V348" i="3"/>
  <c r="U349" i="3"/>
  <c r="R350" i="3"/>
  <c r="AB350" i="3"/>
  <c r="AA351" i="3"/>
  <c r="X352" i="3"/>
  <c r="U353" i="3"/>
  <c r="AE353" i="3" s="1"/>
  <c r="T354" i="3"/>
  <c r="Q355" i="3"/>
  <c r="AA355" i="3"/>
  <c r="Z356" i="3"/>
  <c r="W357" i="3"/>
  <c r="T358" i="3"/>
  <c r="S359" i="3"/>
  <c r="AB359" i="3"/>
  <c r="X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B294" i="3"/>
  <c r="V297" i="3"/>
  <c r="AB299" i="3"/>
  <c r="U302" i="3"/>
  <c r="AE302" i="3" s="1"/>
  <c r="AA304" i="3"/>
  <c r="T307" i="3"/>
  <c r="R309" i="3"/>
  <c r="AB310" i="3"/>
  <c r="Y312" i="3"/>
  <c r="Q314" i="3"/>
  <c r="AA315" i="3"/>
  <c r="X317" i="3"/>
  <c r="AA318" i="3"/>
  <c r="Q320" i="3"/>
  <c r="T321" i="3"/>
  <c r="W322" i="3"/>
  <c r="Z323" i="3"/>
  <c r="P325" i="3"/>
  <c r="Q326" i="3"/>
  <c r="AB326" i="3"/>
  <c r="P328" i="3"/>
  <c r="AA328" i="3"/>
  <c r="AB329" i="3"/>
  <c r="P331" i="3"/>
  <c r="AA331" i="3"/>
  <c r="AB332" i="3"/>
  <c r="Z333" i="3"/>
  <c r="Y334" i="3"/>
  <c r="V335" i="3"/>
  <c r="S336" i="3"/>
  <c r="R337" i="3"/>
  <c r="AB337" i="3"/>
  <c r="Y338" i="3"/>
  <c r="X339" i="3"/>
  <c r="U340" i="3"/>
  <c r="AE340" i="3" s="1"/>
  <c r="R341" i="3"/>
  <c r="Q342" i="3"/>
  <c r="AA342" i="3"/>
  <c r="X343" i="3"/>
  <c r="W344" i="3"/>
  <c r="T345" i="3"/>
  <c r="Q346" i="3"/>
  <c r="P347" i="3"/>
  <c r="Z347" i="3"/>
  <c r="W348" i="3"/>
  <c r="V349" i="3"/>
  <c r="S350" i="3"/>
  <c r="P351" i="3"/>
  <c r="AB351" i="3"/>
  <c r="Y352" i="3"/>
  <c r="V353" i="3"/>
  <c r="U354" i="3"/>
  <c r="AE354" i="3" s="1"/>
  <c r="R355" i="3"/>
  <c r="AB355" i="3"/>
  <c r="AA356" i="3"/>
  <c r="X357" i="3"/>
  <c r="U358" i="3"/>
  <c r="AE358" i="3" s="1"/>
  <c r="T359" i="3"/>
  <c r="P360" i="3"/>
  <c r="Y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W295" i="3"/>
  <c r="P298" i="3"/>
  <c r="V300" i="3"/>
  <c r="AB302" i="3"/>
  <c r="U305" i="3"/>
  <c r="AA307" i="3"/>
  <c r="X309" i="3"/>
  <c r="P311" i="3"/>
  <c r="Z312" i="3"/>
  <c r="W314" i="3"/>
  <c r="AB315" i="3"/>
  <c r="Y317" i="3"/>
  <c r="AB318" i="3"/>
  <c r="R320" i="3"/>
  <c r="U321" i="3"/>
  <c r="AE321" i="3" s="1"/>
  <c r="X322" i="3"/>
  <c r="AA323" i="3"/>
  <c r="Q325" i="3"/>
  <c r="R326" i="3"/>
  <c r="P327" i="3"/>
  <c r="Q328" i="3"/>
  <c r="R329" i="3"/>
  <c r="P330" i="3"/>
  <c r="Q331" i="3"/>
  <c r="AB331" i="3"/>
  <c r="P333" i="3"/>
  <c r="P334" i="3"/>
  <c r="Z334" i="3"/>
  <c r="W335" i="3"/>
  <c r="V336" i="3"/>
  <c r="S337" i="3"/>
  <c r="P338" i="3"/>
  <c r="AB338" i="3"/>
  <c r="Y339" i="3"/>
  <c r="V340" i="3"/>
  <c r="U341" i="3"/>
  <c r="R342" i="3"/>
  <c r="AB342" i="3"/>
  <c r="AA343" i="3"/>
  <c r="X344" i="3"/>
  <c r="U345" i="3"/>
  <c r="AE345" i="3" s="1"/>
  <c r="T346" i="3"/>
  <c r="Q347" i="3"/>
  <c r="AA347" i="3"/>
  <c r="Z348" i="3"/>
  <c r="W349" i="3"/>
  <c r="T350" i="3"/>
  <c r="S351" i="3"/>
  <c r="P352" i="3"/>
  <c r="Z352" i="3"/>
  <c r="Y353" i="3"/>
  <c r="V354" i="3"/>
  <c r="S355" i="3"/>
  <c r="R356" i="3"/>
  <c r="AB356" i="3"/>
  <c r="Y357" i="3"/>
  <c r="X358" i="3"/>
  <c r="U359" i="3"/>
  <c r="AE359" i="3" s="1"/>
  <c r="Q360" i="3"/>
  <c r="Z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X295" i="3"/>
  <c r="Q298" i="3"/>
  <c r="W300" i="3"/>
  <c r="P303" i="3"/>
  <c r="V305" i="3"/>
  <c r="AB307" i="3"/>
  <c r="Y309" i="3"/>
  <c r="V311" i="3"/>
  <c r="AA312" i="3"/>
  <c r="X314" i="3"/>
  <c r="U316" i="3"/>
  <c r="AE316" i="3" s="1"/>
  <c r="Z317" i="3"/>
  <c r="P319" i="3"/>
  <c r="S320" i="3"/>
  <c r="V321" i="3"/>
  <c r="Y322" i="3"/>
  <c r="AB323" i="3"/>
  <c r="R325" i="3"/>
  <c r="S326" i="3"/>
  <c r="T327" i="3"/>
  <c r="R328" i="3"/>
  <c r="S329" i="3"/>
  <c r="Q330" i="3"/>
  <c r="R331" i="3"/>
  <c r="S332" i="3"/>
  <c r="Q333" i="3"/>
  <c r="Q334" i="3"/>
  <c r="AA334" i="3"/>
  <c r="X335" i="3"/>
  <c r="W336" i="3"/>
  <c r="T337" i="3"/>
  <c r="Q338" i="3"/>
  <c r="P339" i="3"/>
  <c r="Z339" i="3"/>
  <c r="W340" i="3"/>
  <c r="V341" i="3"/>
  <c r="S342" i="3"/>
  <c r="P343" i="3"/>
  <c r="AB343" i="3"/>
  <c r="Y344" i="3"/>
  <c r="V345" i="3"/>
  <c r="U346" i="3"/>
  <c r="AE346" i="3" s="1"/>
  <c r="R347" i="3"/>
  <c r="AB347" i="3"/>
  <c r="AA348" i="3"/>
  <c r="X349" i="3"/>
  <c r="U350" i="3"/>
  <c r="T351" i="3"/>
  <c r="Q352" i="3"/>
  <c r="AA352" i="3"/>
  <c r="Z353" i="3"/>
  <c r="W354" i="3"/>
  <c r="T355" i="3"/>
  <c r="S356" i="3"/>
  <c r="P357" i="3"/>
  <c r="Z357" i="3"/>
  <c r="Y358" i="3"/>
  <c r="V359" i="3"/>
  <c r="R360" i="3"/>
  <c r="AA360" i="3"/>
  <c r="W361" i="3"/>
  <c r="R362" i="3"/>
  <c r="Z362" i="3"/>
  <c r="U363" i="3"/>
  <c r="P364" i="3"/>
  <c r="X364" i="3"/>
  <c r="S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X380" i="3"/>
  <c r="S381" i="3"/>
  <c r="AA381" i="3"/>
  <c r="V382" i="3"/>
  <c r="Q383" i="3"/>
  <c r="Y383" i="3"/>
  <c r="T384" i="3"/>
  <c r="AB384" i="3"/>
  <c r="W385" i="3"/>
  <c r="R386" i="3"/>
  <c r="Z386" i="3"/>
  <c r="U387" i="3"/>
  <c r="P388" i="3"/>
  <c r="X388" i="3"/>
  <c r="S389" i="3"/>
  <c r="AA376" i="3"/>
  <c r="Z381" i="3"/>
  <c r="U385" i="3"/>
  <c r="AE385" i="3" s="1"/>
  <c r="AA387" i="3"/>
  <c r="AA389" i="3"/>
  <c r="X391" i="3"/>
  <c r="U393" i="3"/>
  <c r="AE393" i="3" s="1"/>
  <c r="Z394" i="3"/>
  <c r="W396" i="3"/>
  <c r="T398" i="3"/>
  <c r="W399" i="3"/>
  <c r="Z400" i="3"/>
  <c r="P402" i="3"/>
  <c r="S403" i="3"/>
  <c r="V404" i="3"/>
  <c r="Y405" i="3"/>
  <c r="AB406" i="3"/>
  <c r="R408" i="3"/>
  <c r="U409" i="3"/>
  <c r="AE409" i="3" s="1"/>
  <c r="X410" i="3"/>
  <c r="AA411" i="3"/>
  <c r="Q413" i="3"/>
  <c r="R414" i="3"/>
  <c r="P415" i="3"/>
  <c r="Q416" i="3"/>
  <c r="AB416" i="3"/>
  <c r="P418" i="3"/>
  <c r="Z418" i="3"/>
  <c r="Y419" i="3"/>
  <c r="V420" i="3"/>
  <c r="S421" i="3"/>
  <c r="R422" i="3"/>
  <c r="AB422" i="3"/>
  <c r="Y423" i="3"/>
  <c r="X424" i="3"/>
  <c r="U425" i="3"/>
  <c r="AE425" i="3" s="1"/>
  <c r="Q426" i="3"/>
  <c r="Z426" i="3"/>
  <c r="W427" i="3"/>
  <c r="S428" i="3"/>
  <c r="AB428" i="3"/>
  <c r="X429" i="3"/>
  <c r="T430" i="3"/>
  <c r="P431" i="3"/>
  <c r="Y431" i="3"/>
  <c r="V432" i="3"/>
  <c r="R433" i="3"/>
  <c r="AA433" i="3"/>
  <c r="W434" i="3"/>
  <c r="S435" i="3"/>
  <c r="AB435" i="3"/>
  <c r="X436" i="3"/>
  <c r="U437" i="3"/>
  <c r="Q438" i="3"/>
  <c r="Z438" i="3"/>
  <c r="V439" i="3"/>
  <c r="R440" i="3"/>
  <c r="AA440" i="3"/>
  <c r="W441" i="3"/>
  <c r="T442" i="3"/>
  <c r="P443" i="3"/>
  <c r="Y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X469" i="3"/>
  <c r="S470" i="3"/>
  <c r="AA470" i="3"/>
  <c r="V471" i="3"/>
  <c r="Q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V377" i="3"/>
  <c r="U382" i="3"/>
  <c r="AE382" i="3" s="1"/>
  <c r="V385" i="3"/>
  <c r="AB387" i="3"/>
  <c r="T390" i="3"/>
  <c r="Y391" i="3"/>
  <c r="V393" i="3"/>
  <c r="S395" i="3"/>
  <c r="X396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S414" i="3"/>
  <c r="Q415" i="3"/>
  <c r="R416" i="3"/>
  <c r="S417" i="3"/>
  <c r="Q418" i="3"/>
  <c r="P419" i="3"/>
  <c r="Z419" i="3"/>
  <c r="W420" i="3"/>
  <c r="V421" i="3"/>
  <c r="S422" i="3"/>
  <c r="P423" i="3"/>
  <c r="AB423" i="3"/>
  <c r="Y424" i="3"/>
  <c r="V425" i="3"/>
  <c r="R426" i="3"/>
  <c r="AB426" i="3"/>
  <c r="X427" i="3"/>
  <c r="T428" i="3"/>
  <c r="P429" i="3"/>
  <c r="Y429" i="3"/>
  <c r="U430" i="3"/>
  <c r="AE430" i="3" s="1"/>
  <c r="Q431" i="3"/>
  <c r="AA431" i="3"/>
  <c r="W432" i="3"/>
  <c r="S433" i="3"/>
  <c r="AB433" i="3"/>
  <c r="X434" i="3"/>
  <c r="T435" i="3"/>
  <c r="P436" i="3"/>
  <c r="Z436" i="3"/>
  <c r="V437" i="3"/>
  <c r="R438" i="3"/>
  <c r="AA438" i="3"/>
  <c r="W439" i="3"/>
  <c r="S440" i="3"/>
  <c r="AB440" i="3"/>
  <c r="Y441" i="3"/>
  <c r="U442" i="3"/>
  <c r="AE442" i="3" s="1"/>
  <c r="Q443" i="3"/>
  <c r="Z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Q378" i="3"/>
  <c r="P383" i="3"/>
  <c r="P386" i="3"/>
  <c r="V388" i="3"/>
  <c r="U390" i="3"/>
  <c r="AE390" i="3" s="1"/>
  <c r="R392" i="3"/>
  <c r="W393" i="3"/>
  <c r="T395" i="3"/>
  <c r="Q397" i="3"/>
  <c r="V398" i="3"/>
  <c r="Y399" i="3"/>
  <c r="AB400" i="3"/>
  <c r="R402" i="3"/>
  <c r="U403" i="3"/>
  <c r="X404" i="3"/>
  <c r="AA405" i="3"/>
  <c r="Q407" i="3"/>
  <c r="T408" i="3"/>
  <c r="W409" i="3"/>
  <c r="Z410" i="3"/>
  <c r="P412" i="3"/>
  <c r="S413" i="3"/>
  <c r="T414" i="3"/>
  <c r="U415" i="3"/>
  <c r="AE415" i="3" s="1"/>
  <c r="S416" i="3"/>
  <c r="T417" i="3"/>
  <c r="R418" i="3"/>
  <c r="Q419" i="3"/>
  <c r="AA419" i="3"/>
  <c r="X420" i="3"/>
  <c r="W421" i="3"/>
  <c r="T422" i="3"/>
  <c r="Q423" i="3"/>
  <c r="P424" i="3"/>
  <c r="Z424" i="3"/>
  <c r="W425" i="3"/>
  <c r="T426" i="3"/>
  <c r="P427" i="3"/>
  <c r="Y427" i="3"/>
  <c r="U428" i="3"/>
  <c r="AE428" i="3" s="1"/>
  <c r="Q429" i="3"/>
  <c r="Z429" i="3"/>
  <c r="V430" i="3"/>
  <c r="S431" i="3"/>
  <c r="AB431" i="3"/>
  <c r="X432" i="3"/>
  <c r="T433" i="3"/>
  <c r="P434" i="3"/>
  <c r="Y434" i="3"/>
  <c r="U435" i="3"/>
  <c r="AE435" i="3" s="1"/>
  <c r="R436" i="3"/>
  <c r="AA436" i="3"/>
  <c r="W437" i="3"/>
  <c r="S438" i="3"/>
  <c r="AB438" i="3"/>
  <c r="X439" i="3"/>
  <c r="T440" i="3"/>
  <c r="Q441" i="3"/>
  <c r="Z441" i="3"/>
  <c r="V442" i="3"/>
  <c r="R443" i="3"/>
  <c r="AA443" i="3"/>
  <c r="W444" i="3"/>
  <c r="R445" i="3"/>
  <c r="Z445" i="3"/>
  <c r="U446" i="3"/>
  <c r="AE446" i="3" s="1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AE462" i="3" s="1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AE470" i="3" s="1"/>
  <c r="P471" i="3"/>
  <c r="X471" i="3"/>
  <c r="S472" i="3"/>
  <c r="AA472" i="3"/>
  <c r="V473" i="3"/>
  <c r="Q474" i="3"/>
  <c r="Y474" i="3"/>
  <c r="T475" i="3"/>
  <c r="AB475" i="3"/>
  <c r="W476" i="3"/>
  <c r="R477" i="3"/>
  <c r="Z477" i="3"/>
  <c r="U478" i="3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Y378" i="3"/>
  <c r="X383" i="3"/>
  <c r="Q386" i="3"/>
  <c r="W388" i="3"/>
  <c r="V390" i="3"/>
  <c r="S392" i="3"/>
  <c r="P394" i="3"/>
  <c r="U395" i="3"/>
  <c r="AE395" i="3" s="1"/>
  <c r="R397" i="3"/>
  <c r="AA398" i="3"/>
  <c r="Q400" i="3"/>
  <c r="T401" i="3"/>
  <c r="W402" i="3"/>
  <c r="Z403" i="3"/>
  <c r="P405" i="3"/>
  <c r="S406" i="3"/>
  <c r="V407" i="3"/>
  <c r="Y408" i="3"/>
  <c r="AB409" i="3"/>
  <c r="R411" i="3"/>
  <c r="U412" i="3"/>
  <c r="AE412" i="3" s="1"/>
  <c r="W413" i="3"/>
  <c r="U414" i="3"/>
  <c r="AE414" i="3" s="1"/>
  <c r="V415" i="3"/>
  <c r="T416" i="3"/>
  <c r="U417" i="3"/>
  <c r="U418" i="3"/>
  <c r="AE418" i="3" s="1"/>
  <c r="R419" i="3"/>
  <c r="AB419" i="3"/>
  <c r="AA420" i="3"/>
  <c r="X421" i="3"/>
  <c r="U422" i="3"/>
  <c r="AE422" i="3" s="1"/>
  <c r="T423" i="3"/>
  <c r="Q424" i="3"/>
  <c r="AA424" i="3"/>
  <c r="Y425" i="3"/>
  <c r="U426" i="3"/>
  <c r="AE426" i="3" s="1"/>
  <c r="Q427" i="3"/>
  <c r="Z427" i="3"/>
  <c r="V428" i="3"/>
  <c r="R429" i="3"/>
  <c r="AA429" i="3"/>
  <c r="X430" i="3"/>
  <c r="T431" i="3"/>
  <c r="P432" i="3"/>
  <c r="Y432" i="3"/>
  <c r="U433" i="3"/>
  <c r="AE433" i="3" s="1"/>
  <c r="Q434" i="3"/>
  <c r="Z434" i="3"/>
  <c r="W435" i="3"/>
  <c r="S436" i="3"/>
  <c r="AB436" i="3"/>
  <c r="X437" i="3"/>
  <c r="T438" i="3"/>
  <c r="P439" i="3"/>
  <c r="Y439" i="3"/>
  <c r="V440" i="3"/>
  <c r="R441" i="3"/>
  <c r="AA441" i="3"/>
  <c r="W442" i="3"/>
  <c r="S443" i="3"/>
  <c r="AB443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379" i="3"/>
  <c r="R384" i="3"/>
  <c r="X386" i="3"/>
  <c r="Q389" i="3"/>
  <c r="AB390" i="3"/>
  <c r="T392" i="3"/>
  <c r="Q394" i="3"/>
  <c r="AA395" i="3"/>
  <c r="S397" i="3"/>
  <c r="AB398" i="3"/>
  <c r="R400" i="3"/>
  <c r="U401" i="3"/>
  <c r="AE401" i="3" s="1"/>
  <c r="X402" i="3"/>
  <c r="AA403" i="3"/>
  <c r="Q405" i="3"/>
  <c r="T406" i="3"/>
  <c r="W407" i="3"/>
  <c r="Z408" i="3"/>
  <c r="P410" i="3"/>
  <c r="S411" i="3"/>
  <c r="V412" i="3"/>
  <c r="X413" i="3"/>
  <c r="V414" i="3"/>
  <c r="W415" i="3"/>
  <c r="X416" i="3"/>
  <c r="V417" i="3"/>
  <c r="V418" i="3"/>
  <c r="S419" i="3"/>
  <c r="P420" i="3"/>
  <c r="AB420" i="3"/>
  <c r="Y421" i="3"/>
  <c r="V422" i="3"/>
  <c r="U423" i="3"/>
  <c r="R424" i="3"/>
  <c r="AB424" i="3"/>
  <c r="Z425" i="3"/>
  <c r="V426" i="3"/>
  <c r="R427" i="3"/>
  <c r="AA427" i="3"/>
  <c r="W428" i="3"/>
  <c r="S429" i="3"/>
  <c r="P430" i="3"/>
  <c r="Y430" i="3"/>
  <c r="U431" i="3"/>
  <c r="AE431" i="3" s="1"/>
  <c r="Q432" i="3"/>
  <c r="Z432" i="3"/>
  <c r="V433" i="3"/>
  <c r="R434" i="3"/>
  <c r="AB434" i="3"/>
  <c r="X435" i="3"/>
  <c r="T436" i="3"/>
  <c r="P437" i="3"/>
  <c r="Y437" i="3"/>
  <c r="U438" i="3"/>
  <c r="AE438" i="3" s="1"/>
  <c r="Q439" i="3"/>
  <c r="AA439" i="3"/>
  <c r="W440" i="3"/>
  <c r="S441" i="3"/>
  <c r="AB441" i="3"/>
  <c r="X442" i="3"/>
  <c r="T443" i="3"/>
  <c r="P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P457" i="3"/>
  <c r="X457" i="3"/>
  <c r="S458" i="3"/>
  <c r="AA458" i="3"/>
  <c r="AB379" i="3"/>
  <c r="S384" i="3"/>
  <c r="Y386" i="3"/>
  <c r="R389" i="3"/>
  <c r="P391" i="3"/>
  <c r="Z392" i="3"/>
  <c r="R394" i="3"/>
  <c r="AB395" i="3"/>
  <c r="Y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Y413" i="3"/>
  <c r="Z414" i="3"/>
  <c r="X415" i="3"/>
  <c r="Y416" i="3"/>
  <c r="W417" i="3"/>
  <c r="W418" i="3"/>
  <c r="T419" i="3"/>
  <c r="S420" i="3"/>
  <c r="P421" i="3"/>
  <c r="Z421" i="3"/>
  <c r="Y422" i="3"/>
  <c r="V423" i="3"/>
  <c r="S424" i="3"/>
  <c r="R425" i="3"/>
  <c r="AA425" i="3"/>
  <c r="W426" i="3"/>
  <c r="S427" i="3"/>
  <c r="AB427" i="3"/>
  <c r="X428" i="3"/>
  <c r="U429" i="3"/>
  <c r="AE429" i="3" s="1"/>
  <c r="Q430" i="3"/>
  <c r="Z430" i="3"/>
  <c r="V431" i="3"/>
  <c r="R432" i="3"/>
  <c r="AA432" i="3"/>
  <c r="W433" i="3"/>
  <c r="T434" i="3"/>
  <c r="P435" i="3"/>
  <c r="Y435" i="3"/>
  <c r="U436" i="3"/>
  <c r="Q437" i="3"/>
  <c r="Z437" i="3"/>
  <c r="V438" i="3"/>
  <c r="S439" i="3"/>
  <c r="AB439" i="3"/>
  <c r="X440" i="3"/>
  <c r="T441" i="3"/>
  <c r="P442" i="3"/>
  <c r="Y442" i="3"/>
  <c r="U443" i="3"/>
  <c r="AE443" i="3" s="1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W380" i="3"/>
  <c r="Z384" i="3"/>
  <c r="S387" i="3"/>
  <c r="Y389" i="3"/>
  <c r="Q391" i="3"/>
  <c r="AA392" i="3"/>
  <c r="X394" i="3"/>
  <c r="P396" i="3"/>
  <c r="Z397" i="3"/>
  <c r="Q399" i="3"/>
  <c r="T400" i="3"/>
  <c r="W401" i="3"/>
  <c r="Z402" i="3"/>
  <c r="P404" i="3"/>
  <c r="S405" i="3"/>
  <c r="V406" i="3"/>
  <c r="Y407" i="3"/>
  <c r="AB408" i="3"/>
  <c r="R410" i="3"/>
  <c r="U411" i="3"/>
  <c r="X412" i="3"/>
  <c r="Z413" i="3"/>
  <c r="AA414" i="3"/>
  <c r="Y415" i="3"/>
  <c r="Z416" i="3"/>
  <c r="AA417" i="3"/>
  <c r="X418" i="3"/>
  <c r="U419" i="3"/>
  <c r="T420" i="3"/>
  <c r="Q421" i="3"/>
  <c r="AA421" i="3"/>
  <c r="Z422" i="3"/>
  <c r="W423" i="3"/>
  <c r="T424" i="3"/>
  <c r="S425" i="3"/>
  <c r="AB425" i="3"/>
  <c r="X426" i="3"/>
  <c r="T427" i="3"/>
  <c r="P428" i="3"/>
  <c r="Z428" i="3"/>
  <c r="V429" i="3"/>
  <c r="R430" i="3"/>
  <c r="AA430" i="3"/>
  <c r="W431" i="3"/>
  <c r="S432" i="3"/>
  <c r="AB432" i="3"/>
  <c r="Y433" i="3"/>
  <c r="U434" i="3"/>
  <c r="AE434" i="3" s="1"/>
  <c r="Q435" i="3"/>
  <c r="Z435" i="3"/>
  <c r="V436" i="3"/>
  <c r="R437" i="3"/>
  <c r="AA437" i="3"/>
  <c r="X438" i="3"/>
  <c r="T439" i="3"/>
  <c r="P440" i="3"/>
  <c r="Y440" i="3"/>
  <c r="U441" i="3"/>
  <c r="AE441" i="3" s="1"/>
  <c r="Q442" i="3"/>
  <c r="Z442" i="3"/>
  <c r="W443" i="3"/>
  <c r="S444" i="3"/>
  <c r="AA444" i="3"/>
  <c r="V445" i="3"/>
  <c r="Q446" i="3"/>
  <c r="Y446" i="3"/>
  <c r="T447" i="3"/>
  <c r="AB447" i="3"/>
  <c r="W448" i="3"/>
  <c r="R449" i="3"/>
  <c r="Z449" i="3"/>
  <c r="R381" i="3"/>
  <c r="AA384" i="3"/>
  <c r="T387" i="3"/>
  <c r="Z389" i="3"/>
  <c r="W391" i="3"/>
  <c r="AB392" i="3"/>
  <c r="Y394" i="3"/>
  <c r="V396" i="3"/>
  <c r="AA397" i="3"/>
  <c r="V399" i="3"/>
  <c r="Y400" i="3"/>
  <c r="AB401" i="3"/>
  <c r="R403" i="3"/>
  <c r="U404" i="3"/>
  <c r="AE404" i="3" s="1"/>
  <c r="X405" i="3"/>
  <c r="AA406" i="3"/>
  <c r="Q408" i="3"/>
  <c r="T409" i="3"/>
  <c r="W410" i="3"/>
  <c r="Z411" i="3"/>
  <c r="P413" i="3"/>
  <c r="AA413" i="3"/>
  <c r="AB414" i="3"/>
  <c r="P416" i="3"/>
  <c r="AA416" i="3"/>
  <c r="AB417" i="3"/>
  <c r="Y418" i="3"/>
  <c r="X419" i="3"/>
  <c r="U420" i="3"/>
  <c r="R421" i="3"/>
  <c r="Q422" i="3"/>
  <c r="AA422" i="3"/>
  <c r="X423" i="3"/>
  <c r="W424" i="3"/>
  <c r="T425" i="3"/>
  <c r="P426" i="3"/>
  <c r="Y426" i="3"/>
  <c r="U427" i="3"/>
  <c r="AE427" i="3" s="1"/>
  <c r="R428" i="3"/>
  <c r="AA428" i="3"/>
  <c r="W429" i="3"/>
  <c r="S430" i="3"/>
  <c r="AB430" i="3"/>
  <c r="X431" i="3"/>
  <c r="T432" i="3"/>
  <c r="Q433" i="3"/>
  <c r="Z433" i="3"/>
  <c r="V434" i="3"/>
  <c r="R435" i="3"/>
  <c r="AA435" i="3"/>
  <c r="W436" i="3"/>
  <c r="S437" i="3"/>
  <c r="P438" i="3"/>
  <c r="Y438" i="3"/>
  <c r="U439" i="3"/>
  <c r="AE439" i="3" s="1"/>
  <c r="Q440" i="3"/>
  <c r="Z440" i="3"/>
  <c r="V441" i="3"/>
  <c r="R442" i="3"/>
  <c r="AB442" i="3"/>
  <c r="X443" i="3"/>
  <c r="T444" i="3"/>
  <c r="S449" i="3"/>
  <c r="X451" i="3"/>
  <c r="U453" i="3"/>
  <c r="Z454" i="3"/>
  <c r="W456" i="3"/>
  <c r="T458" i="3"/>
  <c r="X459" i="3"/>
  <c r="AA460" i="3"/>
  <c r="Q462" i="3"/>
  <c r="T463" i="3"/>
  <c r="W464" i="3"/>
  <c r="Z465" i="3"/>
  <c r="P467" i="3"/>
  <c r="S468" i="3"/>
  <c r="V469" i="3"/>
  <c r="Y470" i="3"/>
  <c r="AB471" i="3"/>
  <c r="R473" i="3"/>
  <c r="U474" i="3"/>
  <c r="AE474" i="3" s="1"/>
  <c r="X475" i="3"/>
  <c r="AA476" i="3"/>
  <c r="Q478" i="3"/>
  <c r="T479" i="3"/>
  <c r="V480" i="3"/>
  <c r="W481" i="3"/>
  <c r="U482" i="3"/>
  <c r="AE482" i="3" s="1"/>
  <c r="V483" i="3"/>
  <c r="T484" i="3"/>
  <c r="U485" i="3"/>
  <c r="AE485" i="3" s="1"/>
  <c r="V486" i="3"/>
  <c r="T487" i="3"/>
  <c r="U488" i="3"/>
  <c r="AE488" i="3" s="1"/>
  <c r="S489" i="3"/>
  <c r="T490" i="3"/>
  <c r="U491" i="3"/>
  <c r="AE491" i="3" s="1"/>
  <c r="S492" i="3"/>
  <c r="S493" i="3"/>
  <c r="P494" i="3"/>
  <c r="Z494" i="3"/>
  <c r="Y495" i="3"/>
  <c r="V496" i="3"/>
  <c r="S497" i="3"/>
  <c r="R498" i="3"/>
  <c r="AB498" i="3"/>
  <c r="Y499" i="3"/>
  <c r="X500" i="3"/>
  <c r="U501" i="3"/>
  <c r="R502" i="3"/>
  <c r="Q503" i="3"/>
  <c r="AA503" i="3"/>
  <c r="X504" i="3"/>
  <c r="W505" i="3"/>
  <c r="T506" i="3"/>
  <c r="Q507" i="3"/>
  <c r="P508" i="3"/>
  <c r="Z508" i="3"/>
  <c r="W509" i="3"/>
  <c r="V510" i="3"/>
  <c r="R511" i="3"/>
  <c r="AA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AB444" i="3"/>
  <c r="AA449" i="3"/>
  <c r="Y451" i="3"/>
  <c r="V453" i="3"/>
  <c r="S455" i="3"/>
  <c r="X456" i="3"/>
  <c r="U458" i="3"/>
  <c r="AE458" i="3" s="1"/>
  <c r="Y459" i="3"/>
  <c r="AB460" i="3"/>
  <c r="R462" i="3"/>
  <c r="U463" i="3"/>
  <c r="AE463" i="3" s="1"/>
  <c r="X464" i="3"/>
  <c r="AA465" i="3"/>
  <c r="Q467" i="3"/>
  <c r="T468" i="3"/>
  <c r="W469" i="3"/>
  <c r="Z470" i="3"/>
  <c r="P472" i="3"/>
  <c r="S473" i="3"/>
  <c r="V474" i="3"/>
  <c r="Y475" i="3"/>
  <c r="AB476" i="3"/>
  <c r="R478" i="3"/>
  <c r="U479" i="3"/>
  <c r="AE479" i="3" s="1"/>
  <c r="W480" i="3"/>
  <c r="X481" i="3"/>
  <c r="V482" i="3"/>
  <c r="W483" i="3"/>
  <c r="X484" i="3"/>
  <c r="V485" i="3"/>
  <c r="W486" i="3"/>
  <c r="U487" i="3"/>
  <c r="AE487" i="3" s="1"/>
  <c r="V488" i="3"/>
  <c r="W489" i="3"/>
  <c r="U490" i="3"/>
  <c r="V491" i="3"/>
  <c r="T492" i="3"/>
  <c r="T493" i="3"/>
  <c r="Q494" i="3"/>
  <c r="P495" i="3"/>
  <c r="Z495" i="3"/>
  <c r="W496" i="3"/>
  <c r="V497" i="3"/>
  <c r="S498" i="3"/>
  <c r="P499" i="3"/>
  <c r="AB499" i="3"/>
  <c r="Y500" i="3"/>
  <c r="V501" i="3"/>
  <c r="U502" i="3"/>
  <c r="AE502" i="3" s="1"/>
  <c r="R503" i="3"/>
  <c r="AB503" i="3"/>
  <c r="AA504" i="3"/>
  <c r="X505" i="3"/>
  <c r="U506" i="3"/>
  <c r="T507" i="3"/>
  <c r="Q508" i="3"/>
  <c r="AA508" i="3"/>
  <c r="Z509" i="3"/>
  <c r="W510" i="3"/>
  <c r="S511" i="3"/>
  <c r="AB511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T524" i="3"/>
  <c r="AB524" i="3"/>
  <c r="W525" i="3"/>
  <c r="R526" i="3"/>
  <c r="Z526" i="3"/>
  <c r="U527" i="3"/>
  <c r="P528" i="3"/>
  <c r="X528" i="3"/>
  <c r="S529" i="3"/>
  <c r="AA529" i="3"/>
  <c r="V530" i="3"/>
  <c r="Q531" i="3"/>
  <c r="Y531" i="3"/>
  <c r="T532" i="3"/>
  <c r="AB532" i="3"/>
  <c r="W533" i="3"/>
  <c r="R534" i="3"/>
  <c r="Z534" i="3"/>
  <c r="U535" i="3"/>
  <c r="AE535" i="3" s="1"/>
  <c r="P536" i="3"/>
  <c r="X536" i="3"/>
  <c r="S537" i="3"/>
  <c r="AA537" i="3"/>
  <c r="V538" i="3"/>
  <c r="Q539" i="3"/>
  <c r="Y539" i="3"/>
  <c r="T540" i="3"/>
  <c r="AB540" i="3"/>
  <c r="W541" i="3"/>
  <c r="R542" i="3"/>
  <c r="Z542" i="3"/>
  <c r="U543" i="3"/>
  <c r="AE543" i="3" s="1"/>
  <c r="P544" i="3"/>
  <c r="X544" i="3"/>
  <c r="S545" i="3"/>
  <c r="AA545" i="3"/>
  <c r="V546" i="3"/>
  <c r="Q547" i="3"/>
  <c r="Y547" i="3"/>
  <c r="T548" i="3"/>
  <c r="AB548" i="3"/>
  <c r="W549" i="3"/>
  <c r="R550" i="3"/>
  <c r="Z550" i="3"/>
  <c r="U551" i="3"/>
  <c r="P552" i="3"/>
  <c r="X552" i="3"/>
  <c r="S553" i="3"/>
  <c r="AA553" i="3"/>
  <c r="V554" i="3"/>
  <c r="Q555" i="3"/>
  <c r="Y555" i="3"/>
  <c r="T556" i="3"/>
  <c r="AB556" i="3"/>
  <c r="W557" i="3"/>
  <c r="R558" i="3"/>
  <c r="Z558" i="3"/>
  <c r="U559" i="3"/>
  <c r="AE559" i="3" s="1"/>
  <c r="P560" i="3"/>
  <c r="X560" i="3"/>
  <c r="S561" i="3"/>
  <c r="AA561" i="3"/>
  <c r="V562" i="3"/>
  <c r="Q563" i="3"/>
  <c r="Y563" i="3"/>
  <c r="T564" i="3"/>
  <c r="AB564" i="3"/>
  <c r="W565" i="3"/>
  <c r="R566" i="3"/>
  <c r="Z566" i="3"/>
  <c r="U567" i="3"/>
  <c r="AE567" i="3" s="1"/>
  <c r="P568" i="3"/>
  <c r="X568" i="3"/>
  <c r="S569" i="3"/>
  <c r="AA569" i="3"/>
  <c r="V570" i="3"/>
  <c r="Q571" i="3"/>
  <c r="Y571" i="3"/>
  <c r="T572" i="3"/>
  <c r="AB572" i="3"/>
  <c r="W573" i="3"/>
  <c r="R574" i="3"/>
  <c r="Z574" i="3"/>
  <c r="U575" i="3"/>
  <c r="AE575" i="3" s="1"/>
  <c r="P576" i="3"/>
  <c r="X576" i="3"/>
  <c r="S577" i="3"/>
  <c r="AA577" i="3"/>
  <c r="V578" i="3"/>
  <c r="Q579" i="3"/>
  <c r="Y579" i="3"/>
  <c r="T580" i="3"/>
  <c r="AB580" i="3"/>
  <c r="W581" i="3"/>
  <c r="R582" i="3"/>
  <c r="Z582" i="3"/>
  <c r="U583" i="3"/>
  <c r="AE583" i="3" s="1"/>
  <c r="P584" i="3"/>
  <c r="X584" i="3"/>
  <c r="S585" i="3"/>
  <c r="AA585" i="3"/>
  <c r="V586" i="3"/>
  <c r="Q587" i="3"/>
  <c r="Y587" i="3"/>
  <c r="T588" i="3"/>
  <c r="AB588" i="3"/>
  <c r="W589" i="3"/>
  <c r="R590" i="3"/>
  <c r="Z590" i="3"/>
  <c r="U591" i="3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AE599" i="3" s="1"/>
  <c r="W445" i="3"/>
  <c r="U450" i="3"/>
  <c r="R452" i="3"/>
  <c r="W453" i="3"/>
  <c r="T455" i="3"/>
  <c r="Q457" i="3"/>
  <c r="V458" i="3"/>
  <c r="Q460" i="3"/>
  <c r="T461" i="3"/>
  <c r="W462" i="3"/>
  <c r="Z463" i="3"/>
  <c r="P465" i="3"/>
  <c r="S466" i="3"/>
  <c r="V467" i="3"/>
  <c r="Y468" i="3"/>
  <c r="AB469" i="3"/>
  <c r="R471" i="3"/>
  <c r="U472" i="3"/>
  <c r="X473" i="3"/>
  <c r="AA474" i="3"/>
  <c r="Q476" i="3"/>
  <c r="T477" i="3"/>
  <c r="W478" i="3"/>
  <c r="Z479" i="3"/>
  <c r="X480" i="3"/>
  <c r="Y481" i="3"/>
  <c r="Z482" i="3"/>
  <c r="X483" i="3"/>
  <c r="Y484" i="3"/>
  <c r="W485" i="3"/>
  <c r="X486" i="3"/>
  <c r="Y487" i="3"/>
  <c r="W488" i="3"/>
  <c r="X489" i="3"/>
  <c r="V490" i="3"/>
  <c r="W491" i="3"/>
  <c r="X492" i="3"/>
  <c r="U493" i="3"/>
  <c r="AE493" i="3" s="1"/>
  <c r="R494" i="3"/>
  <c r="Q495" i="3"/>
  <c r="AA495" i="3"/>
  <c r="X496" i="3"/>
  <c r="W497" i="3"/>
  <c r="T498" i="3"/>
  <c r="Q499" i="3"/>
  <c r="P500" i="3"/>
  <c r="Z500" i="3"/>
  <c r="W501" i="3"/>
  <c r="V502" i="3"/>
  <c r="S503" i="3"/>
  <c r="P504" i="3"/>
  <c r="AB504" i="3"/>
  <c r="Y505" i="3"/>
  <c r="V506" i="3"/>
  <c r="U507" i="3"/>
  <c r="AE507" i="3" s="1"/>
  <c r="R508" i="3"/>
  <c r="AB508" i="3"/>
  <c r="AA509" i="3"/>
  <c r="X510" i="3"/>
  <c r="T511" i="3"/>
  <c r="P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AE524" i="3" s="1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AE532" i="3" s="1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AE548" i="3" s="1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U572" i="3"/>
  <c r="AE572" i="3" s="1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AE580" i="3" s="1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R446" i="3"/>
  <c r="V450" i="3"/>
  <c r="S452" i="3"/>
  <c r="P454" i="3"/>
  <c r="U455" i="3"/>
  <c r="AE455" i="3" s="1"/>
  <c r="R457" i="3"/>
  <c r="AB458" i="3"/>
  <c r="R460" i="3"/>
  <c r="U461" i="3"/>
  <c r="AE461" i="3" s="1"/>
  <c r="X462" i="3"/>
  <c r="AA463" i="3"/>
  <c r="Q465" i="3"/>
  <c r="T466" i="3"/>
  <c r="W467" i="3"/>
  <c r="Z468" i="3"/>
  <c r="P470" i="3"/>
  <c r="S471" i="3"/>
  <c r="V472" i="3"/>
  <c r="Y473" i="3"/>
  <c r="AB474" i="3"/>
  <c r="R476" i="3"/>
  <c r="U477" i="3"/>
  <c r="AE477" i="3" s="1"/>
  <c r="X478" i="3"/>
  <c r="AA479" i="3"/>
  <c r="AB480" i="3"/>
  <c r="Z481" i="3"/>
  <c r="AA482" i="3"/>
  <c r="Y483" i="3"/>
  <c r="Z484" i="3"/>
  <c r="AA485" i="3"/>
  <c r="Y486" i="3"/>
  <c r="Z487" i="3"/>
  <c r="X488" i="3"/>
  <c r="Y489" i="3"/>
  <c r="Z490" i="3"/>
  <c r="X491" i="3"/>
  <c r="Y492" i="3"/>
  <c r="V493" i="3"/>
  <c r="U494" i="3"/>
  <c r="AE494" i="3" s="1"/>
  <c r="R495" i="3"/>
  <c r="AB495" i="3"/>
  <c r="AA496" i="3"/>
  <c r="X497" i="3"/>
  <c r="U498" i="3"/>
  <c r="T499" i="3"/>
  <c r="Q500" i="3"/>
  <c r="AA500" i="3"/>
  <c r="Z501" i="3"/>
  <c r="W502" i="3"/>
  <c r="T503" i="3"/>
  <c r="S504" i="3"/>
  <c r="P505" i="3"/>
  <c r="Z505" i="3"/>
  <c r="Y506" i="3"/>
  <c r="V507" i="3"/>
  <c r="S508" i="3"/>
  <c r="R509" i="3"/>
  <c r="AB509" i="3"/>
  <c r="Y510" i="3"/>
  <c r="U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Z446" i="3"/>
  <c r="AB450" i="3"/>
  <c r="T452" i="3"/>
  <c r="Q454" i="3"/>
  <c r="AA455" i="3"/>
  <c r="S457" i="3"/>
  <c r="P459" i="3"/>
  <c r="S460" i="3"/>
  <c r="V461" i="3"/>
  <c r="Y462" i="3"/>
  <c r="AB463" i="3"/>
  <c r="R465" i="3"/>
  <c r="U466" i="3"/>
  <c r="AE466" i="3" s="1"/>
  <c r="X467" i="3"/>
  <c r="AA468" i="3"/>
  <c r="Q470" i="3"/>
  <c r="T471" i="3"/>
  <c r="W472" i="3"/>
  <c r="Z473" i="3"/>
  <c r="P475" i="3"/>
  <c r="S476" i="3"/>
  <c r="V477" i="3"/>
  <c r="Y478" i="3"/>
  <c r="AB479" i="3"/>
  <c r="P481" i="3"/>
  <c r="AA481" i="3"/>
  <c r="AB482" i="3"/>
  <c r="P484" i="3"/>
  <c r="AA484" i="3"/>
  <c r="AB485" i="3"/>
  <c r="Z486" i="3"/>
  <c r="AA487" i="3"/>
  <c r="AB488" i="3"/>
  <c r="Z489" i="3"/>
  <c r="AA490" i="3"/>
  <c r="Y491" i="3"/>
  <c r="Z492" i="3"/>
  <c r="W493" i="3"/>
  <c r="V494" i="3"/>
  <c r="S495" i="3"/>
  <c r="P496" i="3"/>
  <c r="AB496" i="3"/>
  <c r="Y497" i="3"/>
  <c r="V498" i="3"/>
  <c r="U499" i="3"/>
  <c r="AE499" i="3" s="1"/>
  <c r="R500" i="3"/>
  <c r="AB500" i="3"/>
  <c r="AA501" i="3"/>
  <c r="X502" i="3"/>
  <c r="U503" i="3"/>
  <c r="T504" i="3"/>
  <c r="Q505" i="3"/>
  <c r="AA505" i="3"/>
  <c r="Z506" i="3"/>
  <c r="W507" i="3"/>
  <c r="T508" i="3"/>
  <c r="S509" i="3"/>
  <c r="P510" i="3"/>
  <c r="Z510" i="3"/>
  <c r="W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U447" i="3"/>
  <c r="AE447" i="3" s="1"/>
  <c r="P451" i="3"/>
  <c r="Z452" i="3"/>
  <c r="R454" i="3"/>
  <c r="AB455" i="3"/>
  <c r="Y457" i="3"/>
  <c r="Q459" i="3"/>
  <c r="T460" i="3"/>
  <c r="W461" i="3"/>
  <c r="Z462" i="3"/>
  <c r="P464" i="3"/>
  <c r="S465" i="3"/>
  <c r="V466" i="3"/>
  <c r="Y467" i="3"/>
  <c r="AB468" i="3"/>
  <c r="R470" i="3"/>
  <c r="U471" i="3"/>
  <c r="AE471" i="3" s="1"/>
  <c r="X472" i="3"/>
  <c r="AA473" i="3"/>
  <c r="Q475" i="3"/>
  <c r="T476" i="3"/>
  <c r="W477" i="3"/>
  <c r="Z478" i="3"/>
  <c r="P480" i="3"/>
  <c r="Q481" i="3"/>
  <c r="R482" i="3"/>
  <c r="P483" i="3"/>
  <c r="Q484" i="3"/>
  <c r="AB484" i="3"/>
  <c r="P486" i="3"/>
  <c r="Q487" i="3"/>
  <c r="AB487" i="3"/>
  <c r="P489" i="3"/>
  <c r="AA489" i="3"/>
  <c r="AB490" i="3"/>
  <c r="P492" i="3"/>
  <c r="AA492" i="3"/>
  <c r="Z493" i="3"/>
  <c r="W494" i="3"/>
  <c r="T495" i="3"/>
  <c r="S496" i="3"/>
  <c r="P497" i="3"/>
  <c r="Z497" i="3"/>
  <c r="Y498" i="3"/>
  <c r="V499" i="3"/>
  <c r="S500" i="3"/>
  <c r="R501" i="3"/>
  <c r="AB501" i="3"/>
  <c r="Y502" i="3"/>
  <c r="X503" i="3"/>
  <c r="U504" i="3"/>
  <c r="R505" i="3"/>
  <c r="Q506" i="3"/>
  <c r="AA506" i="3"/>
  <c r="X507" i="3"/>
  <c r="W508" i="3"/>
  <c r="T509" i="3"/>
  <c r="Q510" i="3"/>
  <c r="AB510" i="3"/>
  <c r="X511" i="3"/>
  <c r="T512" i="3"/>
  <c r="AB512" i="3"/>
  <c r="W513" i="3"/>
  <c r="R514" i="3"/>
  <c r="Z514" i="3"/>
  <c r="U515" i="3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AE523" i="3" s="1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AE531" i="3" s="1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AE539" i="3" s="1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AE547" i="3" s="1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P556" i="3"/>
  <c r="X556" i="3"/>
  <c r="S557" i="3"/>
  <c r="AA557" i="3"/>
  <c r="V558" i="3"/>
  <c r="Q559" i="3"/>
  <c r="Y559" i="3"/>
  <c r="T560" i="3"/>
  <c r="AB560" i="3"/>
  <c r="W561" i="3"/>
  <c r="R562" i="3"/>
  <c r="Z562" i="3"/>
  <c r="U563" i="3"/>
  <c r="AE563" i="3" s="1"/>
  <c r="P564" i="3"/>
  <c r="X564" i="3"/>
  <c r="S565" i="3"/>
  <c r="AA565" i="3"/>
  <c r="V566" i="3"/>
  <c r="Q567" i="3"/>
  <c r="Y567" i="3"/>
  <c r="T568" i="3"/>
  <c r="AB568" i="3"/>
  <c r="W569" i="3"/>
  <c r="R570" i="3"/>
  <c r="Z570" i="3"/>
  <c r="P448" i="3"/>
  <c r="Q451" i="3"/>
  <c r="AA452" i="3"/>
  <c r="X454" i="3"/>
  <c r="P456" i="3"/>
  <c r="Z457" i="3"/>
  <c r="V459" i="3"/>
  <c r="Y460" i="3"/>
  <c r="AB461" i="3"/>
  <c r="R463" i="3"/>
  <c r="U464" i="3"/>
  <c r="AE464" i="3" s="1"/>
  <c r="X465" i="3"/>
  <c r="AA466" i="3"/>
  <c r="Q468" i="3"/>
  <c r="T469" i="3"/>
  <c r="W470" i="3"/>
  <c r="Z471" i="3"/>
  <c r="P473" i="3"/>
  <c r="S474" i="3"/>
  <c r="V475" i="3"/>
  <c r="Y476" i="3"/>
  <c r="AB477" i="3"/>
  <c r="R479" i="3"/>
  <c r="T480" i="3"/>
  <c r="R481" i="3"/>
  <c r="S482" i="3"/>
  <c r="Q483" i="3"/>
  <c r="R484" i="3"/>
  <c r="S485" i="3"/>
  <c r="Q486" i="3"/>
  <c r="R487" i="3"/>
  <c r="P488" i="3"/>
  <c r="Q489" i="3"/>
  <c r="R490" i="3"/>
  <c r="P491" i="3"/>
  <c r="Q492" i="3"/>
  <c r="AB492" i="3"/>
  <c r="AA493" i="3"/>
  <c r="X494" i="3"/>
  <c r="U495" i="3"/>
  <c r="AE495" i="3" s="1"/>
  <c r="T496" i="3"/>
  <c r="Q497" i="3"/>
  <c r="AA497" i="3"/>
  <c r="Z498" i="3"/>
  <c r="W499" i="3"/>
  <c r="T500" i="3"/>
  <c r="S501" i="3"/>
  <c r="P502" i="3"/>
  <c r="Z502" i="3"/>
  <c r="Y503" i="3"/>
  <c r="V504" i="3"/>
  <c r="S505" i="3"/>
  <c r="R506" i="3"/>
  <c r="AB506" i="3"/>
  <c r="Y507" i="3"/>
  <c r="X508" i="3"/>
  <c r="U509" i="3"/>
  <c r="AE509" i="3" s="1"/>
  <c r="R510" i="3"/>
  <c r="P511" i="3"/>
  <c r="Y511" i="3"/>
  <c r="U512" i="3"/>
  <c r="AE512" i="3" s="1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AE536" i="3" s="1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P561" i="3"/>
  <c r="X561" i="3"/>
  <c r="S562" i="3"/>
  <c r="AA562" i="3"/>
  <c r="V563" i="3"/>
  <c r="Q564" i="3"/>
  <c r="Y564" i="3"/>
  <c r="T565" i="3"/>
  <c r="AB565" i="3"/>
  <c r="W566" i="3"/>
  <c r="R567" i="3"/>
  <c r="X448" i="3"/>
  <c r="W451" i="3"/>
  <c r="AB452" i="3"/>
  <c r="Y454" i="3"/>
  <c r="V456" i="3"/>
  <c r="AA457" i="3"/>
  <c r="W459" i="3"/>
  <c r="Z460" i="3"/>
  <c r="P462" i="3"/>
  <c r="S463" i="3"/>
  <c r="V464" i="3"/>
  <c r="Y465" i="3"/>
  <c r="AB466" i="3"/>
  <c r="R468" i="3"/>
  <c r="U469" i="3"/>
  <c r="AE469" i="3" s="1"/>
  <c r="X470" i="3"/>
  <c r="AA471" i="3"/>
  <c r="Q473" i="3"/>
  <c r="T474" i="3"/>
  <c r="W475" i="3"/>
  <c r="Z476" i="3"/>
  <c r="P478" i="3"/>
  <c r="S479" i="3"/>
  <c r="U480" i="3"/>
  <c r="S481" i="3"/>
  <c r="T482" i="3"/>
  <c r="U483" i="3"/>
  <c r="AE483" i="3" s="1"/>
  <c r="S484" i="3"/>
  <c r="T485" i="3"/>
  <c r="R486" i="3"/>
  <c r="S487" i="3"/>
  <c r="T488" i="3"/>
  <c r="R489" i="3"/>
  <c r="S490" i="3"/>
  <c r="Q491" i="3"/>
  <c r="R492" i="3"/>
  <c r="R493" i="3"/>
  <c r="AB493" i="3"/>
  <c r="Y494" i="3"/>
  <c r="X495" i="3"/>
  <c r="U496" i="3"/>
  <c r="AE496" i="3" s="1"/>
  <c r="R497" i="3"/>
  <c r="Q498" i="3"/>
  <c r="AA498" i="3"/>
  <c r="X499" i="3"/>
  <c r="W500" i="3"/>
  <c r="T501" i="3"/>
  <c r="Q502" i="3"/>
  <c r="P503" i="3"/>
  <c r="Z503" i="3"/>
  <c r="W504" i="3"/>
  <c r="V505" i="3"/>
  <c r="S506" i="3"/>
  <c r="P507" i="3"/>
  <c r="AB507" i="3"/>
  <c r="Y508" i="3"/>
  <c r="V509" i="3"/>
  <c r="U510" i="3"/>
  <c r="AE510" i="3" s="1"/>
  <c r="Q511" i="3"/>
  <c r="Z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S559" i="3"/>
  <c r="R564" i="3"/>
  <c r="U568" i="3"/>
  <c r="AE568" i="3" s="1"/>
  <c r="AA570" i="3"/>
  <c r="X572" i="3"/>
  <c r="P574" i="3"/>
  <c r="Z575" i="3"/>
  <c r="W577" i="3"/>
  <c r="Z578" i="3"/>
  <c r="AB579" i="3"/>
  <c r="Z580" i="3"/>
  <c r="AA581" i="3"/>
  <c r="AB582" i="3"/>
  <c r="Z583" i="3"/>
  <c r="AA584" i="3"/>
  <c r="Y585" i="3"/>
  <c r="Z586" i="3"/>
  <c r="AA587" i="3"/>
  <c r="Y588" i="3"/>
  <c r="Z589" i="3"/>
  <c r="X590" i="3"/>
  <c r="Y591" i="3"/>
  <c r="Y592" i="3"/>
  <c r="V593" i="3"/>
  <c r="S594" i="3"/>
  <c r="R595" i="3"/>
  <c r="AB595" i="3"/>
  <c r="Y596" i="3"/>
  <c r="X597" i="3"/>
  <c r="U598" i="3"/>
  <c r="AE598" i="3" s="1"/>
  <c r="R599" i="3"/>
  <c r="P600" i="3"/>
  <c r="Y600" i="3"/>
  <c r="U601" i="3"/>
  <c r="AE601" i="3" s="1"/>
  <c r="Q602" i="3"/>
  <c r="Z602" i="3"/>
  <c r="V603" i="3"/>
  <c r="R604" i="3"/>
  <c r="AB604" i="3"/>
  <c r="X605" i="3"/>
  <c r="T606" i="3"/>
  <c r="P607" i="3"/>
  <c r="Y607" i="3"/>
  <c r="U608" i="3"/>
  <c r="AE608" i="3" s="1"/>
  <c r="Q609" i="3"/>
  <c r="AA609" i="3"/>
  <c r="W610" i="3"/>
  <c r="S611" i="3"/>
  <c r="AB611" i="3"/>
  <c r="X612" i="3"/>
  <c r="T613" i="3"/>
  <c r="P614" i="3"/>
  <c r="Z614" i="3"/>
  <c r="V615" i="3"/>
  <c r="R616" i="3"/>
  <c r="AA616" i="3"/>
  <c r="W617" i="3"/>
  <c r="S618" i="3"/>
  <c r="AB618" i="3"/>
  <c r="W619" i="3"/>
  <c r="R620" i="3"/>
  <c r="Z620" i="3"/>
  <c r="U621" i="3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AB554" i="3"/>
  <c r="AA559" i="3"/>
  <c r="Z564" i="3"/>
  <c r="V568" i="3"/>
  <c r="AB570" i="3"/>
  <c r="Y572" i="3"/>
  <c r="V574" i="3"/>
  <c r="AA575" i="3"/>
  <c r="X577" i="3"/>
  <c r="AA578" i="3"/>
  <c r="P580" i="3"/>
  <c r="Q581" i="3"/>
  <c r="AB581" i="3"/>
  <c r="P583" i="3"/>
  <c r="AA583" i="3"/>
  <c r="AB584" i="3"/>
  <c r="P586" i="3"/>
  <c r="AA586" i="3"/>
  <c r="AB587" i="3"/>
  <c r="Z588" i="3"/>
  <c r="AA589" i="3"/>
  <c r="AB590" i="3"/>
  <c r="Z591" i="3"/>
  <c r="Z592" i="3"/>
  <c r="W593" i="3"/>
  <c r="T594" i="3"/>
  <c r="S595" i="3"/>
  <c r="P596" i="3"/>
  <c r="Z596" i="3"/>
  <c r="Y597" i="3"/>
  <c r="V598" i="3"/>
  <c r="S599" i="3"/>
  <c r="Q600" i="3"/>
  <c r="Z600" i="3"/>
  <c r="V601" i="3"/>
  <c r="R602" i="3"/>
  <c r="AA602" i="3"/>
  <c r="W603" i="3"/>
  <c r="T604" i="3"/>
  <c r="P605" i="3"/>
  <c r="Y605" i="3"/>
  <c r="U606" i="3"/>
  <c r="AE606" i="3" s="1"/>
  <c r="Q607" i="3"/>
  <c r="Z607" i="3"/>
  <c r="V608" i="3"/>
  <c r="S609" i="3"/>
  <c r="AB609" i="3"/>
  <c r="X610" i="3"/>
  <c r="T611" i="3"/>
  <c r="P612" i="3"/>
  <c r="Y612" i="3"/>
  <c r="U613" i="3"/>
  <c r="AE613" i="3" s="1"/>
  <c r="R614" i="3"/>
  <c r="AA614" i="3"/>
  <c r="W615" i="3"/>
  <c r="S616" i="3"/>
  <c r="AB616" i="3"/>
  <c r="X617" i="3"/>
  <c r="T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W555" i="3"/>
  <c r="V560" i="3"/>
  <c r="U565" i="3"/>
  <c r="AE565" i="3" s="1"/>
  <c r="P569" i="3"/>
  <c r="U571" i="3"/>
  <c r="Z572" i="3"/>
  <c r="W574" i="3"/>
  <c r="T576" i="3"/>
  <c r="Y577" i="3"/>
  <c r="AB578" i="3"/>
  <c r="Q580" i="3"/>
  <c r="R581" i="3"/>
  <c r="P582" i="3"/>
  <c r="Q583" i="3"/>
  <c r="R584" i="3"/>
  <c r="P585" i="3"/>
  <c r="Q586" i="3"/>
  <c r="AB586" i="3"/>
  <c r="P588" i="3"/>
  <c r="Q589" i="3"/>
  <c r="AB589" i="3"/>
  <c r="P591" i="3"/>
  <c r="AA591" i="3"/>
  <c r="AA592" i="3"/>
  <c r="X593" i="3"/>
  <c r="W594" i="3"/>
  <c r="T595" i="3"/>
  <c r="Q596" i="3"/>
  <c r="P597" i="3"/>
  <c r="Z597" i="3"/>
  <c r="W598" i="3"/>
  <c r="V599" i="3"/>
  <c r="R600" i="3"/>
  <c r="AA600" i="3"/>
  <c r="W601" i="3"/>
  <c r="S602" i="3"/>
  <c r="AB602" i="3"/>
  <c r="Y603" i="3"/>
  <c r="U604" i="3"/>
  <c r="AE604" i="3" s="1"/>
  <c r="Q605" i="3"/>
  <c r="Z605" i="3"/>
  <c r="V606" i="3"/>
  <c r="R607" i="3"/>
  <c r="AA607" i="3"/>
  <c r="X608" i="3"/>
  <c r="T609" i="3"/>
  <c r="P610" i="3"/>
  <c r="Y610" i="3"/>
  <c r="U611" i="3"/>
  <c r="AE611" i="3" s="1"/>
  <c r="Q612" i="3"/>
  <c r="Z612" i="3"/>
  <c r="W613" i="3"/>
  <c r="S614" i="3"/>
  <c r="AB614" i="3"/>
  <c r="X615" i="3"/>
  <c r="T616" i="3"/>
  <c r="P617" i="3"/>
  <c r="Y617" i="3"/>
  <c r="V618" i="3"/>
  <c r="Q619" i="3"/>
  <c r="Y619" i="3"/>
  <c r="T620" i="3"/>
  <c r="AB620" i="3"/>
  <c r="W621" i="3"/>
  <c r="R622" i="3"/>
  <c r="Z622" i="3"/>
  <c r="U623" i="3"/>
  <c r="AE623" i="3" s="1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P704" i="3"/>
  <c r="X704" i="3"/>
  <c r="S705" i="3"/>
  <c r="AA705" i="3"/>
  <c r="V706" i="3"/>
  <c r="Q707" i="3"/>
  <c r="Y707" i="3"/>
  <c r="T708" i="3"/>
  <c r="R556" i="3"/>
  <c r="Q561" i="3"/>
  <c r="P566" i="3"/>
  <c r="Q569" i="3"/>
  <c r="V571" i="3"/>
  <c r="S573" i="3"/>
  <c r="X574" i="3"/>
  <c r="U576" i="3"/>
  <c r="Q578" i="3"/>
  <c r="T579" i="3"/>
  <c r="R580" i="3"/>
  <c r="S581" i="3"/>
  <c r="T582" i="3"/>
  <c r="R583" i="3"/>
  <c r="S584" i="3"/>
  <c r="Q585" i="3"/>
  <c r="R586" i="3"/>
  <c r="S587" i="3"/>
  <c r="Q588" i="3"/>
  <c r="R589" i="3"/>
  <c r="P590" i="3"/>
  <c r="Q591" i="3"/>
  <c r="R592" i="3"/>
  <c r="AB592" i="3"/>
  <c r="Y593" i="3"/>
  <c r="X594" i="3"/>
  <c r="U595" i="3"/>
  <c r="AE595" i="3" s="1"/>
  <c r="R596" i="3"/>
  <c r="Q597" i="3"/>
  <c r="AA597" i="3"/>
  <c r="X598" i="3"/>
  <c r="W599" i="3"/>
  <c r="S600" i="3"/>
  <c r="AB600" i="3"/>
  <c r="X601" i="3"/>
  <c r="T602" i="3"/>
  <c r="Q603" i="3"/>
  <c r="Z603" i="3"/>
  <c r="V604" i="3"/>
  <c r="R605" i="3"/>
  <c r="AA605" i="3"/>
  <c r="W606" i="3"/>
  <c r="S607" i="3"/>
  <c r="P608" i="3"/>
  <c r="Y608" i="3"/>
  <c r="U609" i="3"/>
  <c r="AE609" i="3" s="1"/>
  <c r="Q610" i="3"/>
  <c r="Z610" i="3"/>
  <c r="V611" i="3"/>
  <c r="R612" i="3"/>
  <c r="AB612" i="3"/>
  <c r="X613" i="3"/>
  <c r="T614" i="3"/>
  <c r="P615" i="3"/>
  <c r="Y615" i="3"/>
  <c r="U616" i="3"/>
  <c r="Q617" i="3"/>
  <c r="AA617" i="3"/>
  <c r="W618" i="3"/>
  <c r="R619" i="3"/>
  <c r="Z619" i="3"/>
  <c r="U620" i="3"/>
  <c r="AE620" i="3" s="1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Z556" i="3"/>
  <c r="Y561" i="3"/>
  <c r="X566" i="3"/>
  <c r="X569" i="3"/>
  <c r="W571" i="3"/>
  <c r="T573" i="3"/>
  <c r="Q575" i="3"/>
  <c r="V576" i="3"/>
  <c r="R578" i="3"/>
  <c r="U579" i="3"/>
  <c r="AE579" i="3" s="1"/>
  <c r="V580" i="3"/>
  <c r="T581" i="3"/>
  <c r="U582" i="3"/>
  <c r="AE582" i="3" s="1"/>
  <c r="S583" i="3"/>
  <c r="T584" i="3"/>
  <c r="U585" i="3"/>
  <c r="AE585" i="3" s="1"/>
  <c r="S586" i="3"/>
  <c r="T587" i="3"/>
  <c r="R588" i="3"/>
  <c r="S589" i="3"/>
  <c r="T590" i="3"/>
  <c r="R591" i="3"/>
  <c r="S592" i="3"/>
  <c r="P593" i="3"/>
  <c r="AB593" i="3"/>
  <c r="Y594" i="3"/>
  <c r="V595" i="3"/>
  <c r="U596" i="3"/>
  <c r="R597" i="3"/>
  <c r="AB597" i="3"/>
  <c r="AA598" i="3"/>
  <c r="X599" i="3"/>
  <c r="T600" i="3"/>
  <c r="P601" i="3"/>
  <c r="Y601" i="3"/>
  <c r="V602" i="3"/>
  <c r="R603" i="3"/>
  <c r="AA603" i="3"/>
  <c r="W604" i="3"/>
  <c r="S605" i="3"/>
  <c r="AB605" i="3"/>
  <c r="X606" i="3"/>
  <c r="U607" i="3"/>
  <c r="AE607" i="3" s="1"/>
  <c r="Q608" i="3"/>
  <c r="Z608" i="3"/>
  <c r="V609" i="3"/>
  <c r="R610" i="3"/>
  <c r="AA610" i="3"/>
  <c r="W611" i="3"/>
  <c r="T612" i="3"/>
  <c r="P613" i="3"/>
  <c r="Y613" i="3"/>
  <c r="U614" i="3"/>
  <c r="AE614" i="3" s="1"/>
  <c r="Q615" i="3"/>
  <c r="Z615" i="3"/>
  <c r="V616" i="3"/>
  <c r="S617" i="3"/>
  <c r="AB617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U557" i="3"/>
  <c r="AE557" i="3" s="1"/>
  <c r="T562" i="3"/>
  <c r="S567" i="3"/>
  <c r="Y569" i="3"/>
  <c r="P572" i="3"/>
  <c r="U573" i="3"/>
  <c r="AE573" i="3" s="1"/>
  <c r="R575" i="3"/>
  <c r="AB576" i="3"/>
  <c r="S578" i="3"/>
  <c r="V579" i="3"/>
  <c r="W580" i="3"/>
  <c r="U581" i="3"/>
  <c r="AE581" i="3" s="1"/>
  <c r="V582" i="3"/>
  <c r="W583" i="3"/>
  <c r="U584" i="3"/>
  <c r="AE584" i="3" s="1"/>
  <c r="V585" i="3"/>
  <c r="T586" i="3"/>
  <c r="U587" i="3"/>
  <c r="V588" i="3"/>
  <c r="T589" i="3"/>
  <c r="U590" i="3"/>
  <c r="AE590" i="3" s="1"/>
  <c r="S591" i="3"/>
  <c r="T592" i="3"/>
  <c r="Q593" i="3"/>
  <c r="P594" i="3"/>
  <c r="Z594" i="3"/>
  <c r="W595" i="3"/>
  <c r="V596" i="3"/>
  <c r="S597" i="3"/>
  <c r="P598" i="3"/>
  <c r="AB598" i="3"/>
  <c r="Y599" i="3"/>
  <c r="U600" i="3"/>
  <c r="AE600" i="3" s="1"/>
  <c r="Q601" i="3"/>
  <c r="AA601" i="3"/>
  <c r="W602" i="3"/>
  <c r="S603" i="3"/>
  <c r="AB603" i="3"/>
  <c r="X604" i="3"/>
  <c r="T605" i="3"/>
  <c r="P606" i="3"/>
  <c r="Z606" i="3"/>
  <c r="V607" i="3"/>
  <c r="R608" i="3"/>
  <c r="AA608" i="3"/>
  <c r="W609" i="3"/>
  <c r="S610" i="3"/>
  <c r="AB610" i="3"/>
  <c r="Y611" i="3"/>
  <c r="U612" i="3"/>
  <c r="Q613" i="3"/>
  <c r="Z613" i="3"/>
  <c r="V614" i="3"/>
  <c r="R615" i="3"/>
  <c r="AA615" i="3"/>
  <c r="X616" i="3"/>
  <c r="T617" i="3"/>
  <c r="P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P558" i="3"/>
  <c r="AB562" i="3"/>
  <c r="Z567" i="3"/>
  <c r="S570" i="3"/>
  <c r="Q572" i="3"/>
  <c r="AA573" i="3"/>
  <c r="S575" i="3"/>
  <c r="P577" i="3"/>
  <c r="T578" i="3"/>
  <c r="W579" i="3"/>
  <c r="X580" i="3"/>
  <c r="Y581" i="3"/>
  <c r="W582" i="3"/>
  <c r="X583" i="3"/>
  <c r="V584" i="3"/>
  <c r="W585" i="3"/>
  <c r="X586" i="3"/>
  <c r="V587" i="3"/>
  <c r="W588" i="3"/>
  <c r="U589" i="3"/>
  <c r="AE589" i="3" s="1"/>
  <c r="V590" i="3"/>
  <c r="W591" i="3"/>
  <c r="U592" i="3"/>
  <c r="AE592" i="3" s="1"/>
  <c r="T593" i="3"/>
  <c r="Q594" i="3"/>
  <c r="AA594" i="3"/>
  <c r="Z595" i="3"/>
  <c r="W596" i="3"/>
  <c r="T597" i="3"/>
  <c r="S598" i="3"/>
  <c r="P599" i="3"/>
  <c r="Z599" i="3"/>
  <c r="V600" i="3"/>
  <c r="S601" i="3"/>
  <c r="AB601" i="3"/>
  <c r="X602" i="3"/>
  <c r="T603" i="3"/>
  <c r="P604" i="3"/>
  <c r="Y604" i="3"/>
  <c r="U605" i="3"/>
  <c r="AE605" i="3" s="1"/>
  <c r="R606" i="3"/>
  <c r="AA606" i="3"/>
  <c r="W607" i="3"/>
  <c r="S608" i="3"/>
  <c r="AB608" i="3"/>
  <c r="X609" i="3"/>
  <c r="T610" i="3"/>
  <c r="Q611" i="3"/>
  <c r="Z611" i="3"/>
  <c r="V612" i="3"/>
  <c r="R613" i="3"/>
  <c r="AA613" i="3"/>
  <c r="W614" i="3"/>
  <c r="S615" i="3"/>
  <c r="P616" i="3"/>
  <c r="Y616" i="3"/>
  <c r="U617" i="3"/>
  <c r="Q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AE635" i="3" s="1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558" i="3"/>
  <c r="W563" i="3"/>
  <c r="AA567" i="3"/>
  <c r="T570" i="3"/>
  <c r="R572" i="3"/>
  <c r="AB573" i="3"/>
  <c r="Y575" i="3"/>
  <c r="Q577" i="3"/>
  <c r="Y578" i="3"/>
  <c r="AA579" i="3"/>
  <c r="Y580" i="3"/>
  <c r="Z581" i="3"/>
  <c r="X582" i="3"/>
  <c r="Y583" i="3"/>
  <c r="Z584" i="3"/>
  <c r="X585" i="3"/>
  <c r="Y586" i="3"/>
  <c r="W587" i="3"/>
  <c r="X588" i="3"/>
  <c r="Y589" i="3"/>
  <c r="W590" i="3"/>
  <c r="X591" i="3"/>
  <c r="V592" i="3"/>
  <c r="U593" i="3"/>
  <c r="AE593" i="3" s="1"/>
  <c r="R594" i="3"/>
  <c r="AB594" i="3"/>
  <c r="AA595" i="3"/>
  <c r="X596" i="3"/>
  <c r="U597" i="3"/>
  <c r="AE597" i="3" s="1"/>
  <c r="T598" i="3"/>
  <c r="Q599" i="3"/>
  <c r="AA599" i="3"/>
  <c r="X600" i="3"/>
  <c r="T601" i="3"/>
  <c r="P602" i="3"/>
  <c r="Y602" i="3"/>
  <c r="U603" i="3"/>
  <c r="AE603" i="3" s="1"/>
  <c r="Q604" i="3"/>
  <c r="Z604" i="3"/>
  <c r="W605" i="3"/>
  <c r="S606" i="3"/>
  <c r="AB606" i="3"/>
  <c r="X607" i="3"/>
  <c r="T608" i="3"/>
  <c r="P609" i="3"/>
  <c r="Y609" i="3"/>
  <c r="V610" i="3"/>
  <c r="R611" i="3"/>
  <c r="AA611" i="3"/>
  <c r="W612" i="3"/>
  <c r="S613" i="3"/>
  <c r="AB613" i="3"/>
  <c r="X614" i="3"/>
  <c r="U615" i="3"/>
  <c r="Q616" i="3"/>
  <c r="Z616" i="3"/>
  <c r="V617" i="3"/>
  <c r="R618" i="3"/>
  <c r="AA618" i="3"/>
  <c r="V619" i="3"/>
  <c r="Q620" i="3"/>
  <c r="Y620" i="3"/>
  <c r="T621" i="3"/>
  <c r="AB621" i="3"/>
  <c r="W622" i="3"/>
  <c r="R623" i="3"/>
  <c r="Z623" i="3"/>
  <c r="U624" i="3"/>
  <c r="AE624" i="3" s="1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AE648" i="3" s="1"/>
  <c r="P649" i="3"/>
  <c r="X649" i="3"/>
  <c r="S650" i="3"/>
  <c r="AA650" i="3"/>
  <c r="V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W662" i="3"/>
  <c r="R663" i="3"/>
  <c r="Z663" i="3"/>
  <c r="U664" i="3"/>
  <c r="AE664" i="3" s="1"/>
  <c r="P665" i="3"/>
  <c r="X665" i="3"/>
  <c r="S666" i="3"/>
  <c r="AA666" i="3"/>
  <c r="V667" i="3"/>
  <c r="Q668" i="3"/>
  <c r="Y668" i="3"/>
  <c r="T669" i="3"/>
  <c r="AB669" i="3"/>
  <c r="W670" i="3"/>
  <c r="R671" i="3"/>
  <c r="Z671" i="3"/>
  <c r="U672" i="3"/>
  <c r="AE672" i="3" s="1"/>
  <c r="P673" i="3"/>
  <c r="X673" i="3"/>
  <c r="S674" i="3"/>
  <c r="AA674" i="3"/>
  <c r="V675" i="3"/>
  <c r="X668" i="3"/>
  <c r="W673" i="3"/>
  <c r="S677" i="3"/>
  <c r="Y679" i="3"/>
  <c r="Q682" i="3"/>
  <c r="V683" i="3"/>
  <c r="S685" i="3"/>
  <c r="P687" i="3"/>
  <c r="S688" i="3"/>
  <c r="V689" i="3"/>
  <c r="Y690" i="3"/>
  <c r="AB691" i="3"/>
  <c r="R693" i="3"/>
  <c r="S694" i="3"/>
  <c r="Q695" i="3"/>
  <c r="R696" i="3"/>
  <c r="P697" i="3"/>
  <c r="Q698" i="3"/>
  <c r="R699" i="3"/>
  <c r="P700" i="3"/>
  <c r="Q701" i="3"/>
  <c r="AB701" i="3"/>
  <c r="P703" i="3"/>
  <c r="Q704" i="3"/>
  <c r="AB704" i="3"/>
  <c r="P706" i="3"/>
  <c r="AA706" i="3"/>
  <c r="AB707" i="3"/>
  <c r="AB708" i="3"/>
  <c r="Y709" i="3"/>
  <c r="V710" i="3"/>
  <c r="U711" i="3"/>
  <c r="AE711" i="3" s="1"/>
  <c r="R712" i="3"/>
  <c r="AB712" i="3"/>
  <c r="AA713" i="3"/>
  <c r="X714" i="3"/>
  <c r="U715" i="3"/>
  <c r="AE715" i="3" s="1"/>
  <c r="S716" i="3"/>
  <c r="AA716" i="3"/>
  <c r="V717" i="3"/>
  <c r="Q718" i="3"/>
  <c r="Y718" i="3"/>
  <c r="T719" i="3"/>
  <c r="AB719" i="3"/>
  <c r="W720" i="3"/>
  <c r="R721" i="3"/>
  <c r="Z721" i="3"/>
  <c r="U722" i="3"/>
  <c r="AE722" i="3" s="1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AE778" i="3" s="1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AE786" i="3" s="1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AE794" i="3" s="1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AE802" i="3" s="1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S669" i="3"/>
  <c r="R674" i="3"/>
  <c r="T677" i="3"/>
  <c r="Z679" i="3"/>
  <c r="R682" i="3"/>
  <c r="AB683" i="3"/>
  <c r="T685" i="3"/>
  <c r="Q687" i="3"/>
  <c r="T688" i="3"/>
  <c r="W689" i="3"/>
  <c r="Z690" i="3"/>
  <c r="P692" i="3"/>
  <c r="S693" i="3"/>
  <c r="T694" i="3"/>
  <c r="R695" i="3"/>
  <c r="S696" i="3"/>
  <c r="T697" i="3"/>
  <c r="R698" i="3"/>
  <c r="S699" i="3"/>
  <c r="Q700" i="3"/>
  <c r="R701" i="3"/>
  <c r="S702" i="3"/>
  <c r="Q703" i="3"/>
  <c r="R704" i="3"/>
  <c r="P705" i="3"/>
  <c r="Q706" i="3"/>
  <c r="R707" i="3"/>
  <c r="P708" i="3"/>
  <c r="P709" i="3"/>
  <c r="Z709" i="3"/>
  <c r="W710" i="3"/>
  <c r="V711" i="3"/>
  <c r="S712" i="3"/>
  <c r="P713" i="3"/>
  <c r="AB713" i="3"/>
  <c r="Y714" i="3"/>
  <c r="V715" i="3"/>
  <c r="T716" i="3"/>
  <c r="AB716" i="3"/>
  <c r="W717" i="3"/>
  <c r="R718" i="3"/>
  <c r="Z718" i="3"/>
  <c r="U719" i="3"/>
  <c r="AE719" i="3" s="1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AE783" i="3" s="1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AA669" i="3"/>
  <c r="Z674" i="3"/>
  <c r="AA677" i="3"/>
  <c r="T680" i="3"/>
  <c r="S682" i="3"/>
  <c r="P684" i="3"/>
  <c r="Z685" i="3"/>
  <c r="R687" i="3"/>
  <c r="U688" i="3"/>
  <c r="AE688" i="3" s="1"/>
  <c r="X689" i="3"/>
  <c r="AA690" i="3"/>
  <c r="Q692" i="3"/>
  <c r="T693" i="3"/>
  <c r="U694" i="3"/>
  <c r="AE694" i="3" s="1"/>
  <c r="V695" i="3"/>
  <c r="T696" i="3"/>
  <c r="U697" i="3"/>
  <c r="AE697" i="3" s="1"/>
  <c r="S698" i="3"/>
  <c r="T699" i="3"/>
  <c r="U700" i="3"/>
  <c r="AE700" i="3" s="1"/>
  <c r="S701" i="3"/>
  <c r="T702" i="3"/>
  <c r="R703" i="3"/>
  <c r="S704" i="3"/>
  <c r="T705" i="3"/>
  <c r="R706" i="3"/>
  <c r="S707" i="3"/>
  <c r="Q708" i="3"/>
  <c r="Q709" i="3"/>
  <c r="AA709" i="3"/>
  <c r="Z710" i="3"/>
  <c r="W711" i="3"/>
  <c r="T712" i="3"/>
  <c r="S713" i="3"/>
  <c r="P714" i="3"/>
  <c r="Z714" i="3"/>
  <c r="Y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V670" i="3"/>
  <c r="U675" i="3"/>
  <c r="AE675" i="3" s="1"/>
  <c r="AB677" i="3"/>
  <c r="U680" i="3"/>
  <c r="AE680" i="3" s="1"/>
  <c r="Y682" i="3"/>
  <c r="Q684" i="3"/>
  <c r="AA685" i="3"/>
  <c r="W687" i="3"/>
  <c r="Z688" i="3"/>
  <c r="P690" i="3"/>
  <c r="S691" i="3"/>
  <c r="V692" i="3"/>
  <c r="X693" i="3"/>
  <c r="V694" i="3"/>
  <c r="W695" i="3"/>
  <c r="U696" i="3"/>
  <c r="AE696" i="3" s="1"/>
  <c r="V697" i="3"/>
  <c r="W698" i="3"/>
  <c r="U699" i="3"/>
  <c r="AE699" i="3" s="1"/>
  <c r="V700" i="3"/>
  <c r="T701" i="3"/>
  <c r="U702" i="3"/>
  <c r="AE702" i="3" s="1"/>
  <c r="V703" i="3"/>
  <c r="T704" i="3"/>
  <c r="U705" i="3"/>
  <c r="AE705" i="3" s="1"/>
  <c r="S706" i="3"/>
  <c r="T707" i="3"/>
  <c r="U708" i="3"/>
  <c r="AE708" i="3" s="1"/>
  <c r="R709" i="3"/>
  <c r="AB709" i="3"/>
  <c r="AA710" i="3"/>
  <c r="X711" i="3"/>
  <c r="U712" i="3"/>
  <c r="AE712" i="3" s="1"/>
  <c r="T713" i="3"/>
  <c r="Q714" i="3"/>
  <c r="AA714" i="3"/>
  <c r="Z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Q671" i="3"/>
  <c r="P676" i="3"/>
  <c r="V678" i="3"/>
  <c r="AB680" i="3"/>
  <c r="Z682" i="3"/>
  <c r="W684" i="3"/>
  <c r="AB685" i="3"/>
  <c r="X687" i="3"/>
  <c r="AA688" i="3"/>
  <c r="Q690" i="3"/>
  <c r="T691" i="3"/>
  <c r="W692" i="3"/>
  <c r="Y693" i="3"/>
  <c r="W694" i="3"/>
  <c r="X695" i="3"/>
  <c r="Y696" i="3"/>
  <c r="W697" i="3"/>
  <c r="X698" i="3"/>
  <c r="V699" i="3"/>
  <c r="W700" i="3"/>
  <c r="X701" i="3"/>
  <c r="V702" i="3"/>
  <c r="W703" i="3"/>
  <c r="U704" i="3"/>
  <c r="AE704" i="3" s="1"/>
  <c r="V705" i="3"/>
  <c r="W706" i="3"/>
  <c r="U707" i="3"/>
  <c r="AE707" i="3" s="1"/>
  <c r="V708" i="3"/>
  <c r="S709" i="3"/>
  <c r="R710" i="3"/>
  <c r="AB710" i="3"/>
  <c r="Y711" i="3"/>
  <c r="X712" i="3"/>
  <c r="U713" i="3"/>
  <c r="AE713" i="3" s="1"/>
  <c r="R714" i="3"/>
  <c r="Q715" i="3"/>
  <c r="AA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Y671" i="3"/>
  <c r="Q676" i="3"/>
  <c r="W678" i="3"/>
  <c r="P681" i="3"/>
  <c r="AA682" i="3"/>
  <c r="X684" i="3"/>
  <c r="U686" i="3"/>
  <c r="Y687" i="3"/>
  <c r="AB688" i="3"/>
  <c r="R690" i="3"/>
  <c r="U691" i="3"/>
  <c r="X692" i="3"/>
  <c r="Z693" i="3"/>
  <c r="AA694" i="3"/>
  <c r="Y695" i="3"/>
  <c r="Z696" i="3"/>
  <c r="X697" i="3"/>
  <c r="Y698" i="3"/>
  <c r="Z699" i="3"/>
  <c r="X700" i="3"/>
  <c r="Y701" i="3"/>
  <c r="W702" i="3"/>
  <c r="X703" i="3"/>
  <c r="Y704" i="3"/>
  <c r="W705" i="3"/>
  <c r="X706" i="3"/>
  <c r="V707" i="3"/>
  <c r="W708" i="3"/>
  <c r="T709" i="3"/>
  <c r="S710" i="3"/>
  <c r="P711" i="3"/>
  <c r="Z711" i="3"/>
  <c r="Y712" i="3"/>
  <c r="V713" i="3"/>
  <c r="S714" i="3"/>
  <c r="R715" i="3"/>
  <c r="AB715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AE739" i="3" s="1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AE779" i="3" s="1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W793" i="3"/>
  <c r="R794" i="3"/>
  <c r="Z794" i="3"/>
  <c r="U795" i="3"/>
  <c r="AE795" i="3" s="1"/>
  <c r="P796" i="3"/>
  <c r="X796" i="3"/>
  <c r="S797" i="3"/>
  <c r="AA797" i="3"/>
  <c r="T672" i="3"/>
  <c r="X676" i="3"/>
  <c r="Q679" i="3"/>
  <c r="W681" i="3"/>
  <c r="T683" i="3"/>
  <c r="Y684" i="3"/>
  <c r="V686" i="3"/>
  <c r="Z687" i="3"/>
  <c r="P689" i="3"/>
  <c r="S690" i="3"/>
  <c r="V691" i="3"/>
  <c r="Y692" i="3"/>
  <c r="AA693" i="3"/>
  <c r="AB694" i="3"/>
  <c r="Z695" i="3"/>
  <c r="AA696" i="3"/>
  <c r="AB697" i="3"/>
  <c r="Z698" i="3"/>
  <c r="AA699" i="3"/>
  <c r="Y700" i="3"/>
  <c r="Z701" i="3"/>
  <c r="AA702" i="3"/>
  <c r="Y703" i="3"/>
  <c r="Z704" i="3"/>
  <c r="X705" i="3"/>
  <c r="Y706" i="3"/>
  <c r="Z707" i="3"/>
  <c r="X708" i="3"/>
  <c r="W709" i="3"/>
  <c r="T710" i="3"/>
  <c r="Q711" i="3"/>
  <c r="P712" i="3"/>
  <c r="Z712" i="3"/>
  <c r="W713" i="3"/>
  <c r="V714" i="3"/>
  <c r="S715" i="3"/>
  <c r="P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AB672" i="3"/>
  <c r="Y676" i="3"/>
  <c r="R679" i="3"/>
  <c r="X681" i="3"/>
  <c r="U683" i="3"/>
  <c r="AE683" i="3" s="1"/>
  <c r="R685" i="3"/>
  <c r="W686" i="3"/>
  <c r="R688" i="3"/>
  <c r="U689" i="3"/>
  <c r="AE689" i="3" s="1"/>
  <c r="X690" i="3"/>
  <c r="AA691" i="3"/>
  <c r="Q693" i="3"/>
  <c r="AB693" i="3"/>
  <c r="P695" i="3"/>
  <c r="Q696" i="3"/>
  <c r="AB696" i="3"/>
  <c r="P698" i="3"/>
  <c r="AA698" i="3"/>
  <c r="AB699" i="3"/>
  <c r="P701" i="3"/>
  <c r="AA701" i="3"/>
  <c r="AB702" i="3"/>
  <c r="Z703" i="3"/>
  <c r="AA704" i="3"/>
  <c r="AB705" i="3"/>
  <c r="Z706" i="3"/>
  <c r="AA707" i="3"/>
  <c r="Y708" i="3"/>
  <c r="X709" i="3"/>
  <c r="U710" i="3"/>
  <c r="AE710" i="3" s="1"/>
  <c r="R711" i="3"/>
  <c r="Q712" i="3"/>
  <c r="AA712" i="3"/>
  <c r="X713" i="3"/>
  <c r="W714" i="3"/>
  <c r="T715" i="3"/>
  <c r="Q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P790" i="3"/>
  <c r="X790" i="3"/>
  <c r="S791" i="3"/>
  <c r="AA791" i="3"/>
  <c r="V792" i="3"/>
  <c r="Q793" i="3"/>
  <c r="R783" i="3"/>
  <c r="Q788" i="3"/>
  <c r="P793" i="3"/>
  <c r="W795" i="3"/>
  <c r="P798" i="3"/>
  <c r="Z799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T822" i="3"/>
  <c r="R823" i="3"/>
  <c r="S824" i="3"/>
  <c r="Q825" i="3"/>
  <c r="R826" i="3"/>
  <c r="S827" i="3"/>
  <c r="Q828" i="3"/>
  <c r="Q829" i="3"/>
  <c r="AA829" i="3"/>
  <c r="X830" i="3"/>
  <c r="W831" i="3"/>
  <c r="T832" i="3"/>
  <c r="Q833" i="3"/>
  <c r="P834" i="3"/>
  <c r="Z834" i="3"/>
  <c r="W835" i="3"/>
  <c r="V836" i="3"/>
  <c r="S837" i="3"/>
  <c r="P838" i="3"/>
  <c r="AB838" i="3"/>
  <c r="Y839" i="3"/>
  <c r="V840" i="3"/>
  <c r="U841" i="3"/>
  <c r="R842" i="3"/>
  <c r="AB842" i="3"/>
  <c r="Z843" i="3"/>
  <c r="V844" i="3"/>
  <c r="R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AE867" i="3" s="1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AE899" i="3" s="1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AE923" i="3" s="1"/>
  <c r="P924" i="3"/>
  <c r="X924" i="3"/>
  <c r="S925" i="3"/>
  <c r="AA925" i="3"/>
  <c r="V926" i="3"/>
  <c r="Q927" i="3"/>
  <c r="Y927" i="3"/>
  <c r="T928" i="3"/>
  <c r="AB928" i="3"/>
  <c r="W929" i="3"/>
  <c r="R930" i="3"/>
  <c r="Z930" i="3"/>
  <c r="U931" i="3"/>
  <c r="AE931" i="3" s="1"/>
  <c r="P932" i="3"/>
  <c r="X932" i="3"/>
  <c r="S933" i="3"/>
  <c r="AA933" i="3"/>
  <c r="V934" i="3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Z783" i="3"/>
  <c r="Y788" i="3"/>
  <c r="X793" i="3"/>
  <c r="Q796" i="3"/>
  <c r="V798" i="3"/>
  <c r="AA799" i="3"/>
  <c r="X801" i="3"/>
  <c r="AA802" i="3"/>
  <c r="Q804" i="3"/>
  <c r="T805" i="3"/>
  <c r="W806" i="3"/>
  <c r="Z807" i="3"/>
  <c r="P809" i="3"/>
  <c r="S810" i="3"/>
  <c r="V811" i="3"/>
  <c r="Y812" i="3"/>
  <c r="AB813" i="3"/>
  <c r="R815" i="3"/>
  <c r="U816" i="3"/>
  <c r="AE816" i="3" s="1"/>
  <c r="X817" i="3"/>
  <c r="AA818" i="3"/>
  <c r="Q820" i="3"/>
  <c r="T821" i="3"/>
  <c r="U822" i="3"/>
  <c r="AE822" i="3" s="1"/>
  <c r="S823" i="3"/>
  <c r="T824" i="3"/>
  <c r="U825" i="3"/>
  <c r="AE825" i="3" s="1"/>
  <c r="S826" i="3"/>
  <c r="T827" i="3"/>
  <c r="R828" i="3"/>
  <c r="R829" i="3"/>
  <c r="AB829" i="3"/>
  <c r="AA830" i="3"/>
  <c r="X831" i="3"/>
  <c r="U832" i="3"/>
  <c r="AE832" i="3" s="1"/>
  <c r="T833" i="3"/>
  <c r="Q834" i="3"/>
  <c r="AA834" i="3"/>
  <c r="Z835" i="3"/>
  <c r="W836" i="3"/>
  <c r="T837" i="3"/>
  <c r="S838" i="3"/>
  <c r="P839" i="3"/>
  <c r="Z839" i="3"/>
  <c r="Y840" i="3"/>
  <c r="V841" i="3"/>
  <c r="S842" i="3"/>
  <c r="R843" i="3"/>
  <c r="AA843" i="3"/>
  <c r="W844" i="3"/>
  <c r="S845" i="3"/>
  <c r="AB845" i="3"/>
  <c r="W846" i="3"/>
  <c r="R847" i="3"/>
  <c r="Z847" i="3"/>
  <c r="U848" i="3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AE920" i="3" s="1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AE928" i="3" s="1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U784" i="3"/>
  <c r="AE784" i="3" s="1"/>
  <c r="T789" i="3"/>
  <c r="Y793" i="3"/>
  <c r="R796" i="3"/>
  <c r="W798" i="3"/>
  <c r="T800" i="3"/>
  <c r="Y801" i="3"/>
  <c r="AB802" i="3"/>
  <c r="R804" i="3"/>
  <c r="U805" i="3"/>
  <c r="AE805" i="3" s="1"/>
  <c r="X806" i="3"/>
  <c r="AA807" i="3"/>
  <c r="Q809" i="3"/>
  <c r="T810" i="3"/>
  <c r="W811" i="3"/>
  <c r="Z812" i="3"/>
  <c r="P814" i="3"/>
  <c r="S815" i="3"/>
  <c r="V816" i="3"/>
  <c r="Y817" i="3"/>
  <c r="AB818" i="3"/>
  <c r="R820" i="3"/>
  <c r="U821" i="3"/>
  <c r="AE821" i="3" s="1"/>
  <c r="V822" i="3"/>
  <c r="W823" i="3"/>
  <c r="U824" i="3"/>
  <c r="AE824" i="3" s="1"/>
  <c r="V825" i="3"/>
  <c r="T826" i="3"/>
  <c r="U827" i="3"/>
  <c r="V828" i="3"/>
  <c r="S829" i="3"/>
  <c r="P830" i="3"/>
  <c r="AB830" i="3"/>
  <c r="Y831" i="3"/>
  <c r="V832" i="3"/>
  <c r="U833" i="3"/>
  <c r="AE833" i="3" s="1"/>
  <c r="R834" i="3"/>
  <c r="AB834" i="3"/>
  <c r="AA835" i="3"/>
  <c r="X836" i="3"/>
  <c r="U837" i="3"/>
  <c r="AE837" i="3" s="1"/>
  <c r="T838" i="3"/>
  <c r="Q839" i="3"/>
  <c r="AA839" i="3"/>
  <c r="Z840" i="3"/>
  <c r="W841" i="3"/>
  <c r="T842" i="3"/>
  <c r="S843" i="3"/>
  <c r="AB843" i="3"/>
  <c r="X844" i="3"/>
  <c r="T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785" i="3"/>
  <c r="AB789" i="3"/>
  <c r="S794" i="3"/>
  <c r="Y796" i="3"/>
  <c r="X798" i="3"/>
  <c r="U800" i="3"/>
  <c r="AE800" i="3" s="1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Y821" i="3"/>
  <c r="W822" i="3"/>
  <c r="X823" i="3"/>
  <c r="V824" i="3"/>
  <c r="W825" i="3"/>
  <c r="X826" i="3"/>
  <c r="V827" i="3"/>
  <c r="W828" i="3"/>
  <c r="T829" i="3"/>
  <c r="S830" i="3"/>
  <c r="P831" i="3"/>
  <c r="Z831" i="3"/>
  <c r="Y832" i="3"/>
  <c r="V833" i="3"/>
  <c r="S834" i="3"/>
  <c r="R835" i="3"/>
  <c r="AB835" i="3"/>
  <c r="Y836" i="3"/>
  <c r="X837" i="3"/>
  <c r="U838" i="3"/>
  <c r="AE838" i="3" s="1"/>
  <c r="R839" i="3"/>
  <c r="Q840" i="3"/>
  <c r="AA840" i="3"/>
  <c r="X841" i="3"/>
  <c r="W842" i="3"/>
  <c r="T843" i="3"/>
  <c r="P844" i="3"/>
  <c r="Y844" i="3"/>
  <c r="U845" i="3"/>
  <c r="AE845" i="3" s="1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X785" i="3"/>
  <c r="W790" i="3"/>
  <c r="T794" i="3"/>
  <c r="Z796" i="3"/>
  <c r="Q799" i="3"/>
  <c r="V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AE819" i="3" s="1"/>
  <c r="X820" i="3"/>
  <c r="Z821" i="3"/>
  <c r="X822" i="3"/>
  <c r="Y823" i="3"/>
  <c r="Z824" i="3"/>
  <c r="X825" i="3"/>
  <c r="Y826" i="3"/>
  <c r="W827" i="3"/>
  <c r="X828" i="3"/>
  <c r="U829" i="3"/>
  <c r="AE829" i="3" s="1"/>
  <c r="T830" i="3"/>
  <c r="Q831" i="3"/>
  <c r="AA831" i="3"/>
  <c r="Z832" i="3"/>
  <c r="W833" i="3"/>
  <c r="T834" i="3"/>
  <c r="S835" i="3"/>
  <c r="P836" i="3"/>
  <c r="Z836" i="3"/>
  <c r="Y837" i="3"/>
  <c r="V838" i="3"/>
  <c r="S839" i="3"/>
  <c r="R840" i="3"/>
  <c r="AB840" i="3"/>
  <c r="Y841" i="3"/>
  <c r="X842" i="3"/>
  <c r="U843" i="3"/>
  <c r="AE843" i="3" s="1"/>
  <c r="Q844" i="3"/>
  <c r="Z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AE871" i="3" s="1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S786" i="3"/>
  <c r="R791" i="3"/>
  <c r="AA794" i="3"/>
  <c r="T797" i="3"/>
  <c r="R799" i="3"/>
  <c r="AB800" i="3"/>
  <c r="S802" i="3"/>
  <c r="V803" i="3"/>
  <c r="Y804" i="3"/>
  <c r="AB805" i="3"/>
  <c r="R807" i="3"/>
  <c r="U808" i="3"/>
  <c r="AE808" i="3" s="1"/>
  <c r="X809" i="3"/>
  <c r="AA810" i="3"/>
  <c r="Q812" i="3"/>
  <c r="T813" i="3"/>
  <c r="W814" i="3"/>
  <c r="Z815" i="3"/>
  <c r="P817" i="3"/>
  <c r="S818" i="3"/>
  <c r="V819" i="3"/>
  <c r="Y820" i="3"/>
  <c r="AA821" i="3"/>
  <c r="AB822" i="3"/>
  <c r="Z823" i="3"/>
  <c r="AA824" i="3"/>
  <c r="Y825" i="3"/>
  <c r="Z826" i="3"/>
  <c r="AA827" i="3"/>
  <c r="Y828" i="3"/>
  <c r="X829" i="3"/>
  <c r="U830" i="3"/>
  <c r="AE830" i="3" s="1"/>
  <c r="R831" i="3"/>
  <c r="Q832" i="3"/>
  <c r="AA832" i="3"/>
  <c r="X833" i="3"/>
  <c r="W834" i="3"/>
  <c r="T835" i="3"/>
  <c r="Q836" i="3"/>
  <c r="P837" i="3"/>
  <c r="Z837" i="3"/>
  <c r="W838" i="3"/>
  <c r="V839" i="3"/>
  <c r="S840" i="3"/>
  <c r="P841" i="3"/>
  <c r="AB841" i="3"/>
  <c r="Y842" i="3"/>
  <c r="V843" i="3"/>
  <c r="R844" i="3"/>
  <c r="AB844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AE908" i="3" s="1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AA786" i="3"/>
  <c r="Z791" i="3"/>
  <c r="AB794" i="3"/>
  <c r="U797" i="3"/>
  <c r="AE797" i="3" s="1"/>
  <c r="S799" i="3"/>
  <c r="P801" i="3"/>
  <c r="T802" i="3"/>
  <c r="W803" i="3"/>
  <c r="Z804" i="3"/>
  <c r="P806" i="3"/>
  <c r="S807" i="3"/>
  <c r="V808" i="3"/>
  <c r="Y809" i="3"/>
  <c r="AB810" i="3"/>
  <c r="R812" i="3"/>
  <c r="U813" i="3"/>
  <c r="AE813" i="3" s="1"/>
  <c r="X814" i="3"/>
  <c r="AA815" i="3"/>
  <c r="Q817" i="3"/>
  <c r="T818" i="3"/>
  <c r="W819" i="3"/>
  <c r="Z820" i="3"/>
  <c r="AB821" i="3"/>
  <c r="P823" i="3"/>
  <c r="AA823" i="3"/>
  <c r="AB824" i="3"/>
  <c r="P826" i="3"/>
  <c r="AA826" i="3"/>
  <c r="AB827" i="3"/>
  <c r="Z828" i="3"/>
  <c r="Y829" i="3"/>
  <c r="V830" i="3"/>
  <c r="S831" i="3"/>
  <c r="R832" i="3"/>
  <c r="AB832" i="3"/>
  <c r="Y833" i="3"/>
  <c r="X834" i="3"/>
  <c r="U835" i="3"/>
  <c r="R836" i="3"/>
  <c r="Q837" i="3"/>
  <c r="AA837" i="3"/>
  <c r="X838" i="3"/>
  <c r="W839" i="3"/>
  <c r="T840" i="3"/>
  <c r="Q841" i="3"/>
  <c r="P842" i="3"/>
  <c r="Z842" i="3"/>
  <c r="W843" i="3"/>
  <c r="T844" i="3"/>
  <c r="P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V787" i="3"/>
  <c r="U792" i="3"/>
  <c r="AE792" i="3" s="1"/>
  <c r="V795" i="3"/>
  <c r="AB797" i="3"/>
  <c r="Y799" i="3"/>
  <c r="Q801" i="3"/>
  <c r="Y802" i="3"/>
  <c r="AB803" i="3"/>
  <c r="R805" i="3"/>
  <c r="U806" i="3"/>
  <c r="AE806" i="3" s="1"/>
  <c r="X807" i="3"/>
  <c r="AA808" i="3"/>
  <c r="Q810" i="3"/>
  <c r="T811" i="3"/>
  <c r="W812" i="3"/>
  <c r="Z813" i="3"/>
  <c r="P815" i="3"/>
  <c r="S816" i="3"/>
  <c r="V817" i="3"/>
  <c r="Y818" i="3"/>
  <c r="AB819" i="3"/>
  <c r="R821" i="3"/>
  <c r="P822" i="3"/>
  <c r="Q823" i="3"/>
  <c r="R824" i="3"/>
  <c r="P825" i="3"/>
  <c r="Q826" i="3"/>
  <c r="AB826" i="3"/>
  <c r="P828" i="3"/>
  <c r="P829" i="3"/>
  <c r="Z829" i="3"/>
  <c r="W830" i="3"/>
  <c r="V831" i="3"/>
  <c r="S832" i="3"/>
  <c r="P833" i="3"/>
  <c r="AB833" i="3"/>
  <c r="Y834" i="3"/>
  <c r="V835" i="3"/>
  <c r="U836" i="3"/>
  <c r="AE836" i="3" s="1"/>
  <c r="R837" i="3"/>
  <c r="AB837" i="3"/>
  <c r="AA838" i="3"/>
  <c r="X839" i="3"/>
  <c r="U840" i="3"/>
  <c r="AE840" i="3" s="1"/>
  <c r="T841" i="3"/>
  <c r="Q842" i="3"/>
  <c r="AA842" i="3"/>
  <c r="Y843" i="3"/>
  <c r="U844" i="3"/>
  <c r="AE844" i="3" s="1"/>
  <c r="Q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AA883" i="3"/>
  <c r="Z888" i="3"/>
  <c r="Y893" i="3"/>
  <c r="X898" i="3"/>
  <c r="W903" i="3"/>
  <c r="V908" i="3"/>
  <c r="U913" i="3"/>
  <c r="AE913" i="3" s="1"/>
  <c r="T918" i="3"/>
  <c r="Y920" i="3"/>
  <c r="Q922" i="3"/>
  <c r="T923" i="3"/>
  <c r="W924" i="3"/>
  <c r="Z925" i="3"/>
  <c r="P927" i="3"/>
  <c r="S928" i="3"/>
  <c r="V929" i="3"/>
  <c r="Y930" i="3"/>
  <c r="AB931" i="3"/>
  <c r="R933" i="3"/>
  <c r="U934" i="3"/>
  <c r="AE934" i="3" s="1"/>
  <c r="X935" i="3"/>
  <c r="AA936" i="3"/>
  <c r="Q938" i="3"/>
  <c r="T939" i="3"/>
  <c r="W940" i="3"/>
  <c r="Z941" i="3"/>
  <c r="P943" i="3"/>
  <c r="R944" i="3"/>
  <c r="S945" i="3"/>
  <c r="Q946" i="3"/>
  <c r="R947" i="3"/>
  <c r="S948" i="3"/>
  <c r="Q949" i="3"/>
  <c r="Q950" i="3"/>
  <c r="AA950" i="3"/>
  <c r="X951" i="3"/>
  <c r="W952" i="3"/>
  <c r="T953" i="3"/>
  <c r="Q954" i="3"/>
  <c r="P955" i="3"/>
  <c r="Z955" i="3"/>
  <c r="W956" i="3"/>
  <c r="V957" i="3"/>
  <c r="S958" i="3"/>
  <c r="P959" i="3"/>
  <c r="AB959" i="3"/>
  <c r="Y960" i="3"/>
  <c r="V961" i="3"/>
  <c r="U962" i="3"/>
  <c r="AE962" i="3" s="1"/>
  <c r="R963" i="3"/>
  <c r="AB963" i="3"/>
  <c r="Y964" i="3"/>
  <c r="U965" i="3"/>
  <c r="AE965" i="3" s="1"/>
  <c r="Q966" i="3"/>
  <c r="Z966" i="3"/>
  <c r="V967" i="3"/>
  <c r="R968" i="3"/>
  <c r="AA968" i="3"/>
  <c r="X969" i="3"/>
  <c r="T970" i="3"/>
  <c r="P971" i="3"/>
  <c r="Y971" i="3"/>
  <c r="U972" i="3"/>
  <c r="AE972" i="3" s="1"/>
  <c r="Q973" i="3"/>
  <c r="Z973" i="3"/>
  <c r="W974" i="3"/>
  <c r="S975" i="3"/>
  <c r="AB975" i="3"/>
  <c r="X976" i="3"/>
  <c r="T977" i="3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V884" i="3"/>
  <c r="U889" i="3"/>
  <c r="AE889" i="3" s="1"/>
  <c r="T894" i="3"/>
  <c r="S899" i="3"/>
  <c r="R904" i="3"/>
  <c r="Q909" i="3"/>
  <c r="P914" i="3"/>
  <c r="AB918" i="3"/>
  <c r="Z920" i="3"/>
  <c r="V922" i="3"/>
  <c r="Y923" i="3"/>
  <c r="AB924" i="3"/>
  <c r="R926" i="3"/>
  <c r="U927" i="3"/>
  <c r="AE927" i="3" s="1"/>
  <c r="X928" i="3"/>
  <c r="AA929" i="3"/>
  <c r="Q931" i="3"/>
  <c r="T932" i="3"/>
  <c r="W933" i="3"/>
  <c r="Z934" i="3"/>
  <c r="P936" i="3"/>
  <c r="S937" i="3"/>
  <c r="V938" i="3"/>
  <c r="Y939" i="3"/>
  <c r="AB940" i="3"/>
  <c r="R942" i="3"/>
  <c r="U943" i="3"/>
  <c r="AE943" i="3" s="1"/>
  <c r="S944" i="3"/>
  <c r="T945" i="3"/>
  <c r="U946" i="3"/>
  <c r="AE946" i="3" s="1"/>
  <c r="S947" i="3"/>
  <c r="T948" i="3"/>
  <c r="R949" i="3"/>
  <c r="R950" i="3"/>
  <c r="AB950" i="3"/>
  <c r="AA951" i="3"/>
  <c r="X952" i="3"/>
  <c r="U953" i="3"/>
  <c r="AE953" i="3" s="1"/>
  <c r="T954" i="3"/>
  <c r="Q955" i="3"/>
  <c r="AA955" i="3"/>
  <c r="Z956" i="3"/>
  <c r="W957" i="3"/>
  <c r="T958" i="3"/>
  <c r="S959" i="3"/>
  <c r="P960" i="3"/>
  <c r="Z960" i="3"/>
  <c r="Y961" i="3"/>
  <c r="V962" i="3"/>
  <c r="S963" i="3"/>
  <c r="Q964" i="3"/>
  <c r="Z964" i="3"/>
  <c r="V965" i="3"/>
  <c r="R966" i="3"/>
  <c r="AA966" i="3"/>
  <c r="W967" i="3"/>
  <c r="S968" i="3"/>
  <c r="P969" i="3"/>
  <c r="Y969" i="3"/>
  <c r="U970" i="3"/>
  <c r="AE970" i="3" s="1"/>
  <c r="Q971" i="3"/>
  <c r="Z971" i="3"/>
  <c r="V972" i="3"/>
  <c r="R973" i="3"/>
  <c r="AB973" i="3"/>
  <c r="X974" i="3"/>
  <c r="T975" i="3"/>
  <c r="P976" i="3"/>
  <c r="Y976" i="3"/>
  <c r="U977" i="3"/>
  <c r="AE977" i="3" s="1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P990" i="3"/>
  <c r="V992" i="3"/>
  <c r="R996" i="3"/>
  <c r="P998" i="3"/>
  <c r="AA999" i="3"/>
  <c r="AB996" i="3"/>
  <c r="T993" i="3"/>
  <c r="X997" i="3"/>
  <c r="Q885" i="3"/>
  <c r="P890" i="3"/>
  <c r="AB894" i="3"/>
  <c r="AA899" i="3"/>
  <c r="Z904" i="3"/>
  <c r="Y909" i="3"/>
  <c r="X914" i="3"/>
  <c r="V919" i="3"/>
  <c r="AA920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W944" i="3"/>
  <c r="U945" i="3"/>
  <c r="AE945" i="3" s="1"/>
  <c r="V946" i="3"/>
  <c r="T947" i="3"/>
  <c r="U948" i="3"/>
  <c r="AE948" i="3" s="1"/>
  <c r="V949" i="3"/>
  <c r="S950" i="3"/>
  <c r="P951" i="3"/>
  <c r="AB951" i="3"/>
  <c r="Y952" i="3"/>
  <c r="V953" i="3"/>
  <c r="U954" i="3"/>
  <c r="AE954" i="3" s="1"/>
  <c r="R955" i="3"/>
  <c r="AB955" i="3"/>
  <c r="AA956" i="3"/>
  <c r="X957" i="3"/>
  <c r="U958" i="3"/>
  <c r="AE958" i="3" s="1"/>
  <c r="T959" i="3"/>
  <c r="Q960" i="3"/>
  <c r="AA960" i="3"/>
  <c r="Z961" i="3"/>
  <c r="W962" i="3"/>
  <c r="T963" i="3"/>
  <c r="R964" i="3"/>
  <c r="AA964" i="3"/>
  <c r="W965" i="3"/>
  <c r="S966" i="3"/>
  <c r="AB966" i="3"/>
  <c r="X967" i="3"/>
  <c r="U968" i="3"/>
  <c r="AE968" i="3" s="1"/>
  <c r="Q969" i="3"/>
  <c r="Z969" i="3"/>
  <c r="V970" i="3"/>
  <c r="R971" i="3"/>
  <c r="AA971" i="3"/>
  <c r="W972" i="3"/>
  <c r="T973" i="3"/>
  <c r="P974" i="3"/>
  <c r="Y974" i="3"/>
  <c r="U975" i="3"/>
  <c r="AE975" i="3" s="1"/>
  <c r="Q976" i="3"/>
  <c r="Z976" i="3"/>
  <c r="V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X990" i="3"/>
  <c r="Y993" i="3"/>
  <c r="AB994" i="3"/>
  <c r="Z996" i="3"/>
  <c r="X998" i="3"/>
  <c r="T999" i="3"/>
  <c r="T996" i="3"/>
  <c r="V991" i="3"/>
  <c r="Z995" i="3"/>
  <c r="Y885" i="3"/>
  <c r="X890" i="3"/>
  <c r="W895" i="3"/>
  <c r="V900" i="3"/>
  <c r="U905" i="3"/>
  <c r="AE905" i="3" s="1"/>
  <c r="T910" i="3"/>
  <c r="S915" i="3"/>
  <c r="W919" i="3"/>
  <c r="T921" i="3"/>
  <c r="X922" i="3"/>
  <c r="AA923" i="3"/>
  <c r="Q925" i="3"/>
  <c r="T926" i="3"/>
  <c r="W927" i="3"/>
  <c r="Z928" i="3"/>
  <c r="P930" i="3"/>
  <c r="S931" i="3"/>
  <c r="V932" i="3"/>
  <c r="Y933" i="3"/>
  <c r="AB934" i="3"/>
  <c r="R936" i="3"/>
  <c r="U937" i="3"/>
  <c r="AE937" i="3" s="1"/>
  <c r="X938" i="3"/>
  <c r="AA939" i="3"/>
  <c r="Q941" i="3"/>
  <c r="T942" i="3"/>
  <c r="W943" i="3"/>
  <c r="X944" i="3"/>
  <c r="V945" i="3"/>
  <c r="W946" i="3"/>
  <c r="X947" i="3"/>
  <c r="V948" i="3"/>
  <c r="W949" i="3"/>
  <c r="T950" i="3"/>
  <c r="S951" i="3"/>
  <c r="P952" i="3"/>
  <c r="Z952" i="3"/>
  <c r="Y953" i="3"/>
  <c r="V954" i="3"/>
  <c r="S955" i="3"/>
  <c r="R956" i="3"/>
  <c r="AB956" i="3"/>
  <c r="Y957" i="3"/>
  <c r="X958" i="3"/>
  <c r="U959" i="3"/>
  <c r="R960" i="3"/>
  <c r="Q961" i="3"/>
  <c r="AA961" i="3"/>
  <c r="X962" i="3"/>
  <c r="W963" i="3"/>
  <c r="S964" i="3"/>
  <c r="AB964" i="3"/>
  <c r="X965" i="3"/>
  <c r="T966" i="3"/>
  <c r="P967" i="3"/>
  <c r="Z967" i="3"/>
  <c r="V968" i="3"/>
  <c r="R969" i="3"/>
  <c r="AA969" i="3"/>
  <c r="W970" i="3"/>
  <c r="S971" i="3"/>
  <c r="AB971" i="3"/>
  <c r="Y972" i="3"/>
  <c r="U973" i="3"/>
  <c r="AE973" i="3" s="1"/>
  <c r="Q974" i="3"/>
  <c r="Z974" i="3"/>
  <c r="V975" i="3"/>
  <c r="R976" i="3"/>
  <c r="AA976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W995" i="3"/>
  <c r="AB999" i="3"/>
  <c r="R998" i="3"/>
  <c r="U999" i="3"/>
  <c r="AE999" i="3" s="1"/>
  <c r="Y992" i="3"/>
  <c r="S998" i="3"/>
  <c r="T886" i="3"/>
  <c r="S891" i="3"/>
  <c r="R896" i="3"/>
  <c r="Q901" i="3"/>
  <c r="P906" i="3"/>
  <c r="AB910" i="3"/>
  <c r="AA915" i="3"/>
  <c r="X919" i="3"/>
  <c r="U921" i="3"/>
  <c r="AE921" i="3" s="1"/>
  <c r="Y922" i="3"/>
  <c r="AB923" i="3"/>
  <c r="R925" i="3"/>
  <c r="U926" i="3"/>
  <c r="AE926" i="3" s="1"/>
  <c r="X927" i="3"/>
  <c r="AA928" i="3"/>
  <c r="Q930" i="3"/>
  <c r="T931" i="3"/>
  <c r="W932" i="3"/>
  <c r="Z933" i="3"/>
  <c r="P935" i="3"/>
  <c r="S936" i="3"/>
  <c r="V937" i="3"/>
  <c r="Y938" i="3"/>
  <c r="AB939" i="3"/>
  <c r="R941" i="3"/>
  <c r="U942" i="3"/>
  <c r="AE942" i="3" s="1"/>
  <c r="X943" i="3"/>
  <c r="Y944" i="3"/>
  <c r="Z945" i="3"/>
  <c r="X946" i="3"/>
  <c r="Y947" i="3"/>
  <c r="W948" i="3"/>
  <c r="X949" i="3"/>
  <c r="U950" i="3"/>
  <c r="AE950" i="3" s="1"/>
  <c r="T951" i="3"/>
  <c r="Q952" i="3"/>
  <c r="AA952" i="3"/>
  <c r="Z953" i="3"/>
  <c r="W954" i="3"/>
  <c r="T955" i="3"/>
  <c r="S956" i="3"/>
  <c r="P957" i="3"/>
  <c r="Z957" i="3"/>
  <c r="Y958" i="3"/>
  <c r="V959" i="3"/>
  <c r="S960" i="3"/>
  <c r="R961" i="3"/>
  <c r="AB961" i="3"/>
  <c r="Y962" i="3"/>
  <c r="X963" i="3"/>
  <c r="T964" i="3"/>
  <c r="P965" i="3"/>
  <c r="Y965" i="3"/>
  <c r="U966" i="3"/>
  <c r="AE966" i="3" s="1"/>
  <c r="R967" i="3"/>
  <c r="AA967" i="3"/>
  <c r="W968" i="3"/>
  <c r="S969" i="3"/>
  <c r="AB969" i="3"/>
  <c r="X970" i="3"/>
  <c r="T971" i="3"/>
  <c r="Q972" i="3"/>
  <c r="Z972" i="3"/>
  <c r="V973" i="3"/>
  <c r="R974" i="3"/>
  <c r="AA974" i="3"/>
  <c r="W975" i="3"/>
  <c r="S976" i="3"/>
  <c r="P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S991" i="3"/>
  <c r="AA991" i="3"/>
  <c r="Q993" i="3"/>
  <c r="T994" i="3"/>
  <c r="U997" i="3"/>
  <c r="AE997" i="3" s="1"/>
  <c r="S999" i="3"/>
  <c r="Q992" i="3"/>
  <c r="P997" i="3"/>
  <c r="AB886" i="3"/>
  <c r="AA891" i="3"/>
  <c r="Z896" i="3"/>
  <c r="Y901" i="3"/>
  <c r="X906" i="3"/>
  <c r="W911" i="3"/>
  <c r="V916" i="3"/>
  <c r="Q920" i="3"/>
  <c r="V921" i="3"/>
  <c r="Q923" i="3"/>
  <c r="T924" i="3"/>
  <c r="W925" i="3"/>
  <c r="Z926" i="3"/>
  <c r="P928" i="3"/>
  <c r="S929" i="3"/>
  <c r="V930" i="3"/>
  <c r="Y931" i="3"/>
  <c r="AB932" i="3"/>
  <c r="R934" i="3"/>
  <c r="U935" i="3"/>
  <c r="X936" i="3"/>
  <c r="AA937" i="3"/>
  <c r="Q939" i="3"/>
  <c r="T940" i="3"/>
  <c r="W941" i="3"/>
  <c r="Z942" i="3"/>
  <c r="AB943" i="3"/>
  <c r="Z944" i="3"/>
  <c r="AA945" i="3"/>
  <c r="Y946" i="3"/>
  <c r="Z947" i="3"/>
  <c r="AA948" i="3"/>
  <c r="Y949" i="3"/>
  <c r="X950" i="3"/>
  <c r="U951" i="3"/>
  <c r="AE951" i="3" s="1"/>
  <c r="R952" i="3"/>
  <c r="Q953" i="3"/>
  <c r="AA953" i="3"/>
  <c r="X954" i="3"/>
  <c r="W955" i="3"/>
  <c r="T956" i="3"/>
  <c r="Q957" i="3"/>
  <c r="P958" i="3"/>
  <c r="Z958" i="3"/>
  <c r="W959" i="3"/>
  <c r="V960" i="3"/>
  <c r="S961" i="3"/>
  <c r="P962" i="3"/>
  <c r="AB962" i="3"/>
  <c r="Y963" i="3"/>
  <c r="U964" i="3"/>
  <c r="AE964" i="3" s="1"/>
  <c r="Q965" i="3"/>
  <c r="Z965" i="3"/>
  <c r="W966" i="3"/>
  <c r="S967" i="3"/>
  <c r="AB967" i="3"/>
  <c r="X968" i="3"/>
  <c r="T969" i="3"/>
  <c r="P970" i="3"/>
  <c r="Y970" i="3"/>
  <c r="V971" i="3"/>
  <c r="R972" i="3"/>
  <c r="AA972" i="3"/>
  <c r="W973" i="3"/>
  <c r="S974" i="3"/>
  <c r="AB974" i="3"/>
  <c r="X975" i="3"/>
  <c r="U976" i="3"/>
  <c r="AE976" i="3" s="1"/>
  <c r="Q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AB993" i="3"/>
  <c r="AA998" i="3"/>
  <c r="W887" i="3"/>
  <c r="V892" i="3"/>
  <c r="U897" i="3"/>
  <c r="AE897" i="3" s="1"/>
  <c r="T902" i="3"/>
  <c r="S907" i="3"/>
  <c r="R912" i="3"/>
  <c r="Q917" i="3"/>
  <c r="R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P944" i="3"/>
  <c r="AA944" i="3"/>
  <c r="AB945" i="3"/>
  <c r="P947" i="3"/>
  <c r="AA947" i="3"/>
  <c r="AB948" i="3"/>
  <c r="Z949" i="3"/>
  <c r="Y950" i="3"/>
  <c r="V951" i="3"/>
  <c r="S952" i="3"/>
  <c r="R953" i="3"/>
  <c r="AB953" i="3"/>
  <c r="Y954" i="3"/>
  <c r="X955" i="3"/>
  <c r="U956" i="3"/>
  <c r="AE956" i="3" s="1"/>
  <c r="R957" i="3"/>
  <c r="Q958" i="3"/>
  <c r="AA958" i="3"/>
  <c r="X959" i="3"/>
  <c r="W960" i="3"/>
  <c r="T961" i="3"/>
  <c r="Q962" i="3"/>
  <c r="P963" i="3"/>
  <c r="Z963" i="3"/>
  <c r="V964" i="3"/>
  <c r="R965" i="3"/>
  <c r="AB965" i="3"/>
  <c r="X966" i="3"/>
  <c r="T967" i="3"/>
  <c r="P968" i="3"/>
  <c r="Y968" i="3"/>
  <c r="U969" i="3"/>
  <c r="Q970" i="3"/>
  <c r="AA970" i="3"/>
  <c r="W971" i="3"/>
  <c r="S972" i="3"/>
  <c r="AB972" i="3"/>
  <c r="X973" i="3"/>
  <c r="T974" i="3"/>
  <c r="P975" i="3"/>
  <c r="Z975" i="3"/>
  <c r="V976" i="3"/>
  <c r="R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W997" i="3"/>
  <c r="Z998" i="3"/>
  <c r="R995" i="3"/>
  <c r="V999" i="3"/>
  <c r="R888" i="3"/>
  <c r="Q893" i="3"/>
  <c r="P898" i="3"/>
  <c r="AB902" i="3"/>
  <c r="AA907" i="3"/>
  <c r="Z912" i="3"/>
  <c r="Y917" i="3"/>
  <c r="S920" i="3"/>
  <c r="P922" i="3"/>
  <c r="S923" i="3"/>
  <c r="V924" i="3"/>
  <c r="Y925" i="3"/>
  <c r="AB926" i="3"/>
  <c r="R928" i="3"/>
  <c r="U929" i="3"/>
  <c r="AE929" i="3" s="1"/>
  <c r="X930" i="3"/>
  <c r="AA931" i="3"/>
  <c r="Q933" i="3"/>
  <c r="T934" i="3"/>
  <c r="W935" i="3"/>
  <c r="Z936" i="3"/>
  <c r="P938" i="3"/>
  <c r="S939" i="3"/>
  <c r="V940" i="3"/>
  <c r="Y941" i="3"/>
  <c r="AB942" i="3"/>
  <c r="Q944" i="3"/>
  <c r="R945" i="3"/>
  <c r="P946" i="3"/>
  <c r="Q947" i="3"/>
  <c r="AB947" i="3"/>
  <c r="P949" i="3"/>
  <c r="P950" i="3"/>
  <c r="Z950" i="3"/>
  <c r="W951" i="3"/>
  <c r="V952" i="3"/>
  <c r="S953" i="3"/>
  <c r="P954" i="3"/>
  <c r="AB954" i="3"/>
  <c r="Y955" i="3"/>
  <c r="V956" i="3"/>
  <c r="U957" i="3"/>
  <c r="AE957" i="3" s="1"/>
  <c r="R958" i="3"/>
  <c r="AB958" i="3"/>
  <c r="AA959" i="3"/>
  <c r="X960" i="3"/>
  <c r="U961" i="3"/>
  <c r="AE961" i="3" s="1"/>
  <c r="T962" i="3"/>
  <c r="Q963" i="3"/>
  <c r="AA963" i="3"/>
  <c r="W964" i="3"/>
  <c r="T965" i="3"/>
  <c r="P966" i="3"/>
  <c r="Y966" i="3"/>
  <c r="U967" i="3"/>
  <c r="AE967" i="3" s="1"/>
  <c r="Q968" i="3"/>
  <c r="Z968" i="3"/>
  <c r="V969" i="3"/>
  <c r="S970" i="3"/>
  <c r="AB970" i="3"/>
  <c r="X971" i="3"/>
  <c r="T972" i="3"/>
  <c r="P973" i="3"/>
  <c r="Y973" i="3"/>
  <c r="U974" i="3"/>
  <c r="AE974" i="3" s="1"/>
  <c r="R975" i="3"/>
  <c r="AA975" i="3"/>
  <c r="W976" i="3"/>
  <c r="S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W994" i="3"/>
  <c r="U996" i="3"/>
  <c r="AE996" i="3" s="1"/>
  <c r="AE17" i="3"/>
  <c r="AE25" i="3"/>
  <c r="AE49" i="3"/>
  <c r="AE22" i="3"/>
  <c r="AE46" i="3"/>
  <c r="AE54" i="3"/>
  <c r="AE19" i="3"/>
  <c r="AE43" i="3"/>
  <c r="O44" i="3" a="1"/>
  <c r="O44" i="3" s="1"/>
  <c r="AE51" i="3"/>
  <c r="AE16" i="3"/>
  <c r="AE32" i="3"/>
  <c r="AE48" i="3"/>
  <c r="AE34" i="3"/>
  <c r="AE50" i="3"/>
  <c r="AE69" i="3"/>
  <c r="AE77" i="3"/>
  <c r="AE93" i="3"/>
  <c r="AE21" i="3"/>
  <c r="AE47" i="3"/>
  <c r="AE65" i="3"/>
  <c r="AE58" i="3"/>
  <c r="AE105" i="3"/>
  <c r="AE113" i="3"/>
  <c r="AE121" i="3"/>
  <c r="AE129" i="3"/>
  <c r="AE29" i="3"/>
  <c r="AE62" i="3"/>
  <c r="AE110" i="3"/>
  <c r="AE118" i="3"/>
  <c r="AE126" i="3"/>
  <c r="AE142" i="3"/>
  <c r="AE67" i="3"/>
  <c r="AE96" i="3"/>
  <c r="AE107" i="3"/>
  <c r="AE115" i="3"/>
  <c r="AE82" i="3"/>
  <c r="AE91" i="3"/>
  <c r="AE120" i="3"/>
  <c r="AE55" i="3"/>
  <c r="AE66" i="3"/>
  <c r="AE74" i="3"/>
  <c r="AE75" i="3"/>
  <c r="AE92" i="3"/>
  <c r="AE109" i="3"/>
  <c r="AE83" i="3"/>
  <c r="AE95" i="3"/>
  <c r="AE116" i="3"/>
  <c r="AE64" i="3"/>
  <c r="AE177" i="3"/>
  <c r="AE100" i="3"/>
  <c r="AE164" i="3"/>
  <c r="AE174" i="3"/>
  <c r="AE182" i="3"/>
  <c r="AE89" i="3"/>
  <c r="AE162" i="3"/>
  <c r="AE171" i="3"/>
  <c r="AE136" i="3"/>
  <c r="AE173" i="3"/>
  <c r="AE108" i="3"/>
  <c r="AE233" i="3"/>
  <c r="AE241" i="3"/>
  <c r="AE281" i="3"/>
  <c r="AE230" i="3"/>
  <c r="AE262" i="3"/>
  <c r="AE192" i="3"/>
  <c r="AE195" i="3"/>
  <c r="AE235" i="3"/>
  <c r="AE267" i="3"/>
  <c r="AE191" i="3"/>
  <c r="AE197" i="3"/>
  <c r="AE216" i="3"/>
  <c r="AE199" i="3"/>
  <c r="AE202" i="3"/>
  <c r="AE221" i="3"/>
  <c r="AE245" i="3"/>
  <c r="AE210" i="3"/>
  <c r="AE218" i="3"/>
  <c r="AE226" i="3"/>
  <c r="AE250" i="3"/>
  <c r="AE215" i="3"/>
  <c r="AE231" i="3"/>
  <c r="AE170" i="3"/>
  <c r="AE208" i="3"/>
  <c r="AE220" i="3"/>
  <c r="AE236" i="3"/>
  <c r="AE305" i="3"/>
  <c r="AE361" i="3"/>
  <c r="AE255" i="3"/>
  <c r="AE260" i="3"/>
  <c r="AE274" i="3"/>
  <c r="AE310" i="3"/>
  <c r="AE342" i="3"/>
  <c r="AE350" i="3"/>
  <c r="AE366" i="3"/>
  <c r="AE307" i="3"/>
  <c r="AE331" i="3"/>
  <c r="AE296" i="3"/>
  <c r="AE320" i="3"/>
  <c r="AE352" i="3"/>
  <c r="AE301" i="3"/>
  <c r="AE286" i="3"/>
  <c r="AE298" i="3"/>
  <c r="AE311" i="3"/>
  <c r="AE292" i="3"/>
  <c r="AE351" i="3"/>
  <c r="AE363" i="3"/>
  <c r="AE407" i="3"/>
  <c r="AE423" i="3"/>
  <c r="AE368" i="3"/>
  <c r="AE372" i="3"/>
  <c r="AE396" i="3"/>
  <c r="AE420" i="3"/>
  <c r="AE436" i="3"/>
  <c r="AE349" i="3"/>
  <c r="AE387" i="3"/>
  <c r="AE403" i="3"/>
  <c r="AE411" i="3"/>
  <c r="AE357" i="3"/>
  <c r="AE378" i="3"/>
  <c r="AE408" i="3"/>
  <c r="AE341" i="3"/>
  <c r="AE381" i="3"/>
  <c r="AE402" i="3"/>
  <c r="AE451" i="3"/>
  <c r="AE534" i="3"/>
  <c r="AE574" i="3"/>
  <c r="AE450" i="3"/>
  <c r="AE453" i="3"/>
  <c r="AE468" i="3"/>
  <c r="AE475" i="3"/>
  <c r="AE515" i="3"/>
  <c r="AE555" i="3"/>
  <c r="AE432" i="3"/>
  <c r="AE454" i="3"/>
  <c r="AE480" i="3"/>
  <c r="AE504" i="3"/>
  <c r="AE528" i="3"/>
  <c r="AE552" i="3"/>
  <c r="AE437" i="3"/>
  <c r="AE478" i="3"/>
  <c r="AE501" i="3"/>
  <c r="AE541" i="3"/>
  <c r="AE490" i="3"/>
  <c r="AE498" i="3"/>
  <c r="AE506" i="3"/>
  <c r="AE503" i="3"/>
  <c r="AE511" i="3"/>
  <c r="AE456" i="3"/>
  <c r="AE492" i="3"/>
  <c r="AE419" i="3"/>
  <c r="AE465" i="3"/>
  <c r="AE472" i="3"/>
  <c r="AE489" i="3"/>
  <c r="AE521" i="3"/>
  <c r="AE596" i="3"/>
  <c r="AE612" i="3"/>
  <c r="AE636" i="3"/>
  <c r="AE527" i="3"/>
  <c r="AE571" i="3"/>
  <c r="AE617" i="3"/>
  <c r="AE673" i="3"/>
  <c r="AE564" i="3"/>
  <c r="AE576" i="3"/>
  <c r="AE662" i="3"/>
  <c r="AE540" i="3"/>
  <c r="AE587" i="3"/>
  <c r="AE627" i="3"/>
  <c r="AE545" i="3"/>
  <c r="AE551" i="3"/>
  <c r="AE562" i="3"/>
  <c r="AE616" i="3"/>
  <c r="AE538" i="3"/>
  <c r="AE621" i="3"/>
  <c r="AE577" i="3"/>
  <c r="AE602" i="3"/>
  <c r="AE591" i="3"/>
  <c r="AE615" i="3"/>
  <c r="AE639" i="3"/>
  <c r="AE761" i="3"/>
  <c r="AE679" i="3"/>
  <c r="AE686" i="3"/>
  <c r="AE691" i="3"/>
  <c r="AE771" i="3"/>
  <c r="AE760" i="3"/>
  <c r="AE642" i="3"/>
  <c r="AE725" i="3"/>
  <c r="AE674" i="3"/>
  <c r="AE706" i="3"/>
  <c r="AE746" i="3"/>
  <c r="AE640" i="3"/>
  <c r="AE685" i="3"/>
  <c r="AE703" i="3"/>
  <c r="AE751" i="3"/>
  <c r="AE724" i="3"/>
  <c r="AE756" i="3"/>
  <c r="AE862" i="3"/>
  <c r="AE827" i="3"/>
  <c r="AE835" i="3"/>
  <c r="AE859" i="3"/>
  <c r="AE810" i="3"/>
  <c r="AE848" i="3"/>
  <c r="AE815" i="3"/>
  <c r="AE861" i="3"/>
  <c r="AE789" i="3"/>
  <c r="AE788" i="3"/>
  <c r="AE841" i="3"/>
  <c r="AE857" i="3"/>
  <c r="AE935" i="3"/>
  <c r="AE959" i="3"/>
  <c r="AE969" i="3"/>
  <c r="AE925" i="3"/>
  <c r="AE26" i="3"/>
  <c r="AE24" i="3"/>
  <c r="AE8" i="3"/>
  <c r="AE53" i="3"/>
  <c r="AE6" i="3"/>
  <c r="AE30" i="3"/>
  <c r="AE23" i="3"/>
  <c r="AE68" i="3"/>
  <c r="AE86" i="3"/>
  <c r="AE63" i="3"/>
  <c r="AE127" i="3"/>
  <c r="AE137" i="3"/>
  <c r="AE134" i="3"/>
  <c r="AE150" i="3"/>
  <c r="AE103" i="3"/>
  <c r="AE153" i="3"/>
  <c r="AE167" i="3"/>
  <c r="AE232" i="3"/>
  <c r="AE288" i="3"/>
  <c r="AE405" i="3"/>
  <c r="AE367" i="3"/>
  <c r="AE417" i="3"/>
  <c r="AE560" i="3"/>
  <c r="AE36" i="3"/>
  <c r="AE33" i="3"/>
  <c r="AE27" i="3"/>
  <c r="AE31" i="3"/>
  <c r="AE73" i="3"/>
  <c r="AE78" i="3"/>
  <c r="AE112" i="3"/>
  <c r="AE9" i="3"/>
  <c r="AE97" i="3"/>
  <c r="AE45" i="3"/>
  <c r="AE184" i="3"/>
  <c r="AE7" i="3"/>
  <c r="W3" i="3" l="1"/>
  <c r="V3" i="3" s="1"/>
  <c r="D14" i="1" s="1"/>
  <c r="W2" i="3"/>
  <c r="V2" i="3" s="1"/>
  <c r="AG7" i="3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O6" i="3"/>
  <c r="Q3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G723" i="3"/>
  <c r="AG911" i="3"/>
  <c r="AH910" i="3"/>
  <c r="AI910" i="3" s="1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H318" i="3"/>
  <c r="AG319" i="3"/>
  <c r="AH444" i="3"/>
  <c r="AG445" i="3"/>
  <c r="N385" i="3"/>
  <c r="O385" i="3"/>
  <c r="AD385" i="3"/>
  <c r="AG381" i="3"/>
  <c r="AH380" i="3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D884" i="3"/>
  <c r="O884" i="3"/>
  <c r="N884" i="3"/>
  <c r="AH879" i="3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G977" i="3"/>
  <c r="AD917" i="3"/>
  <c r="N917" i="3"/>
  <c r="O917" i="3"/>
  <c r="AH912" i="3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G937" i="3"/>
  <c r="AD877" i="3"/>
  <c r="N877" i="3"/>
  <c r="O877" i="3"/>
  <c r="AH872" i="3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N833" i="3"/>
  <c r="O833" i="3"/>
  <c r="AG829" i="3"/>
  <c r="AH828" i="3"/>
  <c r="AD769" i="3"/>
  <c r="N769" i="3"/>
  <c r="O769" i="3"/>
  <c r="AG765" i="3"/>
  <c r="AH764" i="3"/>
  <c r="AD705" i="3"/>
  <c r="O705" i="3"/>
  <c r="N705" i="3"/>
  <c r="AH700" i="3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D741" i="3"/>
  <c r="O741" i="3"/>
  <c r="N741" i="3"/>
  <c r="AH736" i="3"/>
  <c r="AG737" i="3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O458" i="3"/>
  <c r="N458" i="3"/>
  <c r="AD458" i="3"/>
  <c r="AH453" i="3"/>
  <c r="AG454" i="3"/>
  <c r="AG379" i="3"/>
  <c r="AH378" i="3"/>
  <c r="N469" i="3"/>
  <c r="O469" i="3"/>
  <c r="AD469" i="3"/>
  <c r="AH464" i="3"/>
  <c r="AG465" i="3"/>
  <c r="AH422" i="3"/>
  <c r="AG423" i="3"/>
  <c r="O402" i="3"/>
  <c r="N402" i="3"/>
  <c r="AD402" i="3"/>
  <c r="AG398" i="3"/>
  <c r="AH397" i="3"/>
  <c r="AH226" i="3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N214" i="3"/>
  <c r="O214" i="3"/>
  <c r="AD214" i="3"/>
  <c r="AG210" i="3"/>
  <c r="AH209" i="3"/>
  <c r="AG127" i="3"/>
  <c r="AH126" i="3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N172" i="3"/>
  <c r="O172" i="3"/>
  <c r="AD172" i="3"/>
  <c r="AG168" i="3"/>
  <c r="AH167" i="3"/>
  <c r="N202" i="3"/>
  <c r="O202" i="3"/>
  <c r="AD202" i="3"/>
  <c r="AG198" i="3"/>
  <c r="AH197" i="3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164" i="3" l="1"/>
  <c r="AI273" i="3"/>
  <c r="AI197" i="3"/>
  <c r="AI464" i="3"/>
  <c r="AI393" i="3"/>
  <c r="AI936" i="3"/>
  <c r="AI556" i="3"/>
  <c r="AI678" i="3"/>
  <c r="AI461" i="3"/>
  <c r="AI226" i="3"/>
  <c r="AI189" i="3"/>
  <c r="AI380" i="3"/>
  <c r="AI722" i="3"/>
  <c r="AI336" i="3"/>
  <c r="AI878" i="3"/>
  <c r="AI345" i="3"/>
  <c r="AI369" i="3"/>
  <c r="AI943" i="3"/>
  <c r="AI737" i="3"/>
  <c r="AI69" i="3"/>
  <c r="AI800" i="3"/>
  <c r="AI879" i="3"/>
  <c r="AI532" i="3"/>
  <c r="AI787" i="3"/>
  <c r="AI679" i="3"/>
  <c r="AI64" i="3"/>
  <c r="AI60" i="3"/>
  <c r="AI422" i="3"/>
  <c r="U2" i="3"/>
  <c r="X3" i="3"/>
  <c r="AD3" i="3" s="1"/>
  <c r="S2" i="3"/>
  <c r="T2" i="3"/>
  <c r="F19" i="1" s="1"/>
  <c r="AI77" i="3"/>
  <c r="AI126" i="3"/>
  <c r="AI517" i="3"/>
  <c r="AI887" i="3"/>
  <c r="AI436" i="3"/>
  <c r="AI872" i="3"/>
  <c r="AI665" i="3"/>
  <c r="AI912" i="3"/>
  <c r="AI697" i="3"/>
  <c r="AI700" i="3"/>
  <c r="AI764" i="3"/>
  <c r="AI503" i="3"/>
  <c r="AI533" i="3"/>
  <c r="AI739" i="3"/>
  <c r="AI603" i="3"/>
  <c r="AI976" i="3"/>
  <c r="AI591" i="3"/>
  <c r="AI853" i="3"/>
  <c r="AI155" i="3"/>
  <c r="AI228" i="3"/>
  <c r="AI725" i="3"/>
  <c r="AI467" i="3"/>
  <c r="AI110" i="3"/>
  <c r="AI599" i="3"/>
  <c r="AI813" i="3"/>
  <c r="AI145" i="3"/>
  <c r="AI234" i="3"/>
  <c r="AI922" i="3"/>
  <c r="AI107" i="3"/>
  <c r="AI959" i="3"/>
  <c r="AI850" i="3"/>
  <c r="AI773" i="3"/>
  <c r="AI209" i="3"/>
  <c r="AI775" i="3"/>
  <c r="AI334" i="3"/>
  <c r="AI544" i="3"/>
  <c r="AI542" i="3"/>
  <c r="AI166" i="3"/>
  <c r="AI524" i="3"/>
  <c r="AI485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D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R234" i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R211" i="1"/>
  <c r="S211" i="1" s="1"/>
  <c r="Z211" i="1" s="1"/>
  <c r="R219" i="1"/>
  <c r="S219" i="1" s="1"/>
  <c r="Z219" i="1" s="1"/>
  <c r="R227" i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Z154" i="1" s="1"/>
  <c r="S290" i="1"/>
  <c r="Z290" i="1" s="1"/>
  <c r="S106" i="1"/>
  <c r="Z106" i="1" s="1"/>
  <c r="S42" i="1"/>
  <c r="Z42" i="1" s="1"/>
  <c r="S146" i="1"/>
  <c r="Z146" i="1" s="1"/>
  <c r="S156" i="1"/>
  <c r="Z156" i="1" s="1"/>
  <c r="S174" i="1"/>
  <c r="Z174" i="1" s="1"/>
  <c r="S170" i="1"/>
  <c r="Z170" i="1" s="1"/>
  <c r="S348" i="1"/>
  <c r="Z348" i="1" s="1"/>
  <c r="S35" i="1"/>
  <c r="Z35" i="1" s="1"/>
  <c r="S366" i="1"/>
  <c r="Z366" i="1" s="1"/>
  <c r="S203" i="1"/>
  <c r="Z203" i="1" s="1"/>
  <c r="S75" i="1"/>
  <c r="Z75" i="1" s="1"/>
  <c r="S98" i="1"/>
  <c r="Z98" i="1" s="1"/>
  <c r="S92" i="1"/>
  <c r="Z92" i="1" s="1"/>
  <c r="S155" i="1"/>
  <c r="Z155" i="1" s="1"/>
  <c r="S298" i="1"/>
  <c r="Z298" i="1" s="1"/>
  <c r="S234" i="1"/>
  <c r="Z234" i="1" s="1"/>
  <c r="S227" i="1"/>
  <c r="Z227" i="1" s="1"/>
  <c r="S163" i="1"/>
  <c r="Z163" i="1" s="1"/>
  <c r="S302" i="1"/>
  <c r="Z302" i="1" s="1"/>
  <c r="S355" i="1"/>
  <c r="Z355" i="1" s="1"/>
  <c r="S49" i="1"/>
  <c r="Z49" i="1" s="1"/>
  <c r="S34" i="1"/>
  <c r="Z34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F42" i="1"/>
  <c r="G42" i="1" s="1"/>
  <c r="AC2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B42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B41" i="1"/>
  <c r="H41" i="1"/>
  <c r="G41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H42" i="1" l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<sst xmlns="http://schemas.openxmlformats.org/spreadsheetml/2006/main" count="451" uniqueCount="259">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</sst>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8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50</c:v>
                </c:pt>
                <c:pt idx="1">
                  <c:v>27.978113063364887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146.87565692668736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112.63283025600785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203.06109001100612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131.63878285076089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0" formatCode="General">
                  <c:v>2.9830641045968305</c:v>
                </c:pt>
                <c:pt idx="1">
                  <c:v>146.96143059393418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0">
                  <c:v>4.3297044718148294</c:v>
                </c:pt>
                <c:pt idx="1">
                  <c:v>213.30401926205306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1.1368683772161603E-13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385.97828957283389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7.3127685764116599</c:v>
                </c:pt>
                <c:pt idx="16">
                  <c:v>7.9159390906025626</c:v>
                </c:pt>
                <c:pt idx="17">
                  <c:v>8.576999620189147</c:v>
                </c:pt>
                <c:pt idx="18">
                  <c:v>9.2688116983224003</c:v>
                </c:pt>
                <c:pt idx="19">
                  <c:v>10.00289416548533</c:v>
                </c:pt>
                <c:pt idx="20">
                  <c:v>10.764363643820518</c:v>
                </c:pt>
                <c:pt idx="21">
                  <c:v>11.635597105521668</c:v>
                </c:pt>
                <c:pt idx="22">
                  <c:v>12.559445105909994</c:v>
                </c:pt>
                <c:pt idx="23">
                  <c:v>13.476815012270761</c:v>
                </c:pt>
                <c:pt idx="24">
                  <c:v>14.422577993668556</c:v>
                </c:pt>
                <c:pt idx="25">
                  <c:v>15.357260651267975</c:v>
                </c:pt>
                <c:pt idx="26">
                  <c:v>16.396760305969568</c:v>
                </c:pt>
                <c:pt idx="27">
                  <c:v>17.547497598915555</c:v>
                </c:pt>
                <c:pt idx="28">
                  <c:v>18.786880429835048</c:v>
                </c:pt>
                <c:pt idx="29">
                  <c:v>20.084269990812512</c:v>
                </c:pt>
                <c:pt idx="30">
                  <c:v>21.554633133605684</c:v>
                </c:pt>
                <c:pt idx="31">
                  <c:v>23.073086179467246</c:v>
                </c:pt>
                <c:pt idx="32">
                  <c:v>24.558194531015442</c:v>
                </c:pt>
                <c:pt idx="33">
                  <c:v>26.164816407477446</c:v>
                </c:pt>
                <c:pt idx="34">
                  <c:v>27.886249968892734</c:v>
                </c:pt>
                <c:pt idx="35">
                  <c:v>29.673679486251153</c:v>
                </c:pt>
                <c:pt idx="36">
                  <c:v>31.571241113730927</c:v>
                </c:pt>
                <c:pt idx="37">
                  <c:v>33.467338666288803</c:v>
                </c:pt>
                <c:pt idx="38">
                  <c:v>35.678695920321061</c:v>
                </c:pt>
                <c:pt idx="39">
                  <c:v>38.017858665144843</c:v>
                </c:pt>
                <c:pt idx="40">
                  <c:v>40.371289548203372</c:v>
                </c:pt>
                <c:pt idx="41">
                  <c:v>42.911283091818859</c:v>
                </c:pt>
                <c:pt idx="42">
                  <c:v>45.769165287545462</c:v>
                </c:pt>
                <c:pt idx="43">
                  <c:v>48.704959377797948</c:v>
                </c:pt>
                <c:pt idx="44">
                  <c:v>51.694097797286922</c:v>
                </c:pt>
                <c:pt idx="45">
                  <c:v>55.036575248253136</c:v>
                </c:pt>
                <c:pt idx="46">
                  <c:v>58.386822142255319</c:v>
                </c:pt>
                <c:pt idx="47">
                  <c:v>61.832480347534876</c:v>
                </c:pt>
                <c:pt idx="48">
                  <c:v>65.388548471624233</c:v>
                </c:pt>
                <c:pt idx="49">
                  <c:v>68.615227416815713</c:v>
                </c:pt>
                <c:pt idx="50">
                  <c:v>71.955907564357588</c:v>
                </c:pt>
                <c:pt idx="51">
                  <c:v>75.786797402377161</c:v>
                </c:pt>
                <c:pt idx="52">
                  <c:v>79.783687946297633</c:v>
                </c:pt>
                <c:pt idx="53">
                  <c:v>84.078638470282158</c:v>
                </c:pt>
                <c:pt idx="54">
                  <c:v>88.428692425168649</c:v>
                </c:pt>
                <c:pt idx="55">
                  <c:v>92.728206665740686</c:v>
                </c:pt>
                <c:pt idx="56">
                  <c:v>97.209165799912157</c:v>
                </c:pt>
                <c:pt idx="57">
                  <c:v>102.30575039199668</c:v>
                </c:pt>
                <c:pt idx="58">
                  <c:v>107.43087273393769</c:v>
                </c:pt>
                <c:pt idx="59">
                  <c:v>112.45747872989995</c:v>
                </c:pt>
                <c:pt idx="60">
                  <c:v>117.80254560426211</c:v>
                </c:pt>
                <c:pt idx="61">
                  <c:v>123.00549834359369</c:v>
                </c:pt>
                <c:pt idx="62">
                  <c:v>128.37109637531131</c:v>
                </c:pt>
                <c:pt idx="63">
                  <c:v>134.04737367284835</c:v>
                </c:pt>
                <c:pt idx="64">
                  <c:v>139.57139334229129</c:v>
                </c:pt>
                <c:pt idx="65">
                  <c:v>144.91007094599428</c:v>
                </c:pt>
                <c:pt idx="66">
                  <c:v>150.03773581548845</c:v>
                </c:pt>
                <c:pt idx="67">
                  <c:v>155.36381241393042</c:v>
                </c:pt>
                <c:pt idx="68">
                  <c:v>160.68032132700537</c:v>
                </c:pt>
                <c:pt idx="69">
                  <c:v>165.97341847920899</c:v>
                </c:pt>
                <c:pt idx="70">
                  <c:v>170.64103925952162</c:v>
                </c:pt>
                <c:pt idx="71">
                  <c:v>175.59220197309156</c:v>
                </c:pt>
                <c:pt idx="72">
                  <c:v>180.6728405984542</c:v>
                </c:pt>
                <c:pt idx="73">
                  <c:v>185.6639352979887</c:v>
                </c:pt>
                <c:pt idx="74">
                  <c:v>190.85180701743008</c:v>
                </c:pt>
                <c:pt idx="75">
                  <c:v>195.74998311810782</c:v>
                </c:pt>
                <c:pt idx="76">
                  <c:v>200.50700155005654</c:v>
                </c:pt>
                <c:pt idx="77">
                  <c:v>205.48590596402681</c:v>
                </c:pt>
                <c:pt idx="78">
                  <c:v>209.91997366290082</c:v>
                </c:pt>
                <c:pt idx="79">
                  <c:v>214.35432001380448</c:v>
                </c:pt>
                <c:pt idx="80">
                  <c:v>218.88902372597107</c:v>
                </c:pt>
                <c:pt idx="81">
                  <c:v>223.38361336679736</c:v>
                </c:pt>
                <c:pt idx="82">
                  <c:v>227.79444133398053</c:v>
                </c:pt>
                <c:pt idx="83">
                  <c:v>232.62034816367299</c:v>
                </c:pt>
                <c:pt idx="84">
                  <c:v>237.27162007442269</c:v>
                </c:pt>
                <c:pt idx="85">
                  <c:v>241.80608690144322</c:v>
                </c:pt>
                <c:pt idx="86">
                  <c:v>246.23175451720755</c:v>
                </c:pt>
                <c:pt idx="87">
                  <c:v>250.22601809918459</c:v>
                </c:pt>
                <c:pt idx="88">
                  <c:v>254.11779416411619</c:v>
                </c:pt>
                <c:pt idx="89">
                  <c:v>258.51068454204534</c:v>
                </c:pt>
                <c:pt idx="90">
                  <c:v>262.81441192275361</c:v>
                </c:pt>
                <c:pt idx="91">
                  <c:v>267.38727990024813</c:v>
                </c:pt>
                <c:pt idx="92">
                  <c:v>271.34756694621387</c:v>
                </c:pt>
                <c:pt idx="93">
                  <c:v>275.087607722146</c:v>
                </c:pt>
                <c:pt idx="94">
                  <c:v>278.34826985373707</c:v>
                </c:pt>
                <c:pt idx="95">
                  <c:v>281.92273637755409</c:v>
                </c:pt>
                <c:pt idx="96">
                  <c:v>285.44478855514495</c:v>
                </c:pt>
                <c:pt idx="97">
                  <c:v>288.90514197406179</c:v>
                </c:pt>
                <c:pt idx="98">
                  <c:v>292.38512611179624</c:v>
                </c:pt>
                <c:pt idx="99">
                  <c:v>295.75005615729145</c:v>
                </c:pt>
                <c:pt idx="100">
                  <c:v>298.83799557672859</c:v>
                </c:pt>
                <c:pt idx="101">
                  <c:v>301.52490520207527</c:v>
                </c:pt>
                <c:pt idx="102">
                  <c:v>304.15551971963299</c:v>
                </c:pt>
                <c:pt idx="103">
                  <c:v>307.08802025770291</c:v>
                </c:pt>
                <c:pt idx="104">
                  <c:v>309.69787140266544</c:v>
                </c:pt>
                <c:pt idx="105">
                  <c:v>312.12968937446607</c:v>
                </c:pt>
                <c:pt idx="106">
                  <c:v>314.40007175385807</c:v>
                </c:pt>
                <c:pt idx="107">
                  <c:v>316.62127186050373</c:v>
                </c:pt>
                <c:pt idx="108">
                  <c:v>318.74786662024195</c:v>
                </c:pt>
                <c:pt idx="109">
                  <c:v>320.76892637871447</c:v>
                </c:pt>
                <c:pt idx="110">
                  <c:v>322.79702134533522</c:v>
                </c:pt>
                <c:pt idx="111">
                  <c:v>324.63210830772715</c:v>
                </c:pt>
                <c:pt idx="112">
                  <c:v>326.54370247626184</c:v>
                </c:pt>
                <c:pt idx="113">
                  <c:v>328.34689294552612</c:v>
                </c:pt>
                <c:pt idx="114">
                  <c:v>330.25371153054397</c:v>
                </c:pt>
                <c:pt idx="115">
                  <c:v>332.04118971622404</c:v>
                </c:pt>
                <c:pt idx="116">
                  <c:v>333.86815993621673</c:v>
                </c:pt>
                <c:pt idx="117">
                  <c:v>335.4264815476842</c:v>
                </c:pt>
                <c:pt idx="118">
                  <c:v>336.86981731836789</c:v>
                </c:pt>
                <c:pt idx="119">
                  <c:v>338.28203642240879</c:v>
                </c:pt>
                <c:pt idx="120">
                  <c:v>339.61518667752341</c:v>
                </c:pt>
                <c:pt idx="121">
                  <c:v>340.95984889348779</c:v>
                </c:pt>
                <c:pt idx="122">
                  <c:v>342.21752149221277</c:v>
                </c:pt>
                <c:pt idx="123">
                  <c:v>343.40871161173936</c:v>
                </c:pt>
                <c:pt idx="124">
                  <c:v>344.69715434667751</c:v>
                </c:pt>
                <c:pt idx="125">
                  <c:v>345.93961177444544</c:v>
                </c:pt>
                <c:pt idx="126">
                  <c:v>347.23436456601547</c:v>
                </c:pt>
                <c:pt idx="127">
                  <c:v>348.3834039163047</c:v>
                </c:pt>
                <c:pt idx="128">
                  <c:v>349.50856336861767</c:v>
                </c:pt>
                <c:pt idx="129">
                  <c:v>350.6517557980448</c:v>
                </c:pt>
                <c:pt idx="130">
                  <c:v>351.78734074516819</c:v>
                </c:pt>
                <c:pt idx="131">
                  <c:v>352.8972538159411</c:v>
                </c:pt>
                <c:pt idx="132">
                  <c:v>353.89740579344783</c:v>
                </c:pt>
                <c:pt idx="133">
                  <c:v>354.85494618272662</c:v>
                </c:pt>
                <c:pt idx="134">
                  <c:v>355.72882503150788</c:v>
                </c:pt>
                <c:pt idx="135">
                  <c:v>356.55371674242491</c:v>
                </c:pt>
                <c:pt idx="136">
                  <c:v>357.39795739413768</c:v>
                </c:pt>
                <c:pt idx="137">
                  <c:v>358.17854615331777</c:v>
                </c:pt>
                <c:pt idx="138">
                  <c:v>358.93258163598853</c:v>
                </c:pt>
                <c:pt idx="139">
                  <c:v>359.58920682399281</c:v>
                </c:pt>
                <c:pt idx="140">
                  <c:v>360.26544985598724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49.654930399531018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55.625351065830685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97.780808545644419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66.320497561433072</c:v>
                </c:pt>
                <c:pt idx="2">
                  <c:v>81.639505865211305</c:v>
                </c:pt>
                <c:pt idx="3">
                  <c:v>96.394291419913415</c:v>
                </c:pt>
                <c:pt idx="4">
                  <c:v>107.84344839666407</c:v>
                </c:pt>
                <c:pt idx="5">
                  <c:v>118.03872931970697</c:v>
                </c:pt>
                <c:pt idx="6">
                  <c:v>127.36145662612645</c:v>
                </c:pt>
                <c:pt idx="7">
                  <c:v>135.68051185509816</c:v>
                </c:pt>
                <c:pt idx="8">
                  <c:v>143.28276557153308</c:v>
                </c:pt>
                <c:pt idx="9">
                  <c:v>150.3229064223936</c:v>
                </c:pt>
                <c:pt idx="10">
                  <c:v>156.86150728605722</c:v>
                </c:pt>
                <c:pt idx="11">
                  <c:v>162.88827354452417</c:v>
                </c:pt>
                <c:pt idx="12">
                  <c:v>168.80259103202852</c:v>
                </c:pt>
                <c:pt idx="13">
                  <c:v>174.47137360978425</c:v>
                </c:pt>
                <c:pt idx="14">
                  <c:v>179.67945269486799</c:v>
                </c:pt>
                <c:pt idx="15">
                  <c:v>183.89529925363846</c:v>
                </c:pt>
                <c:pt idx="16">
                  <c:v>187.32842386471265</c:v>
                </c:pt>
                <c:pt idx="17">
                  <c:v>190.44383115923833</c:v>
                </c:pt>
                <c:pt idx="18">
                  <c:v>193.08623903516207</c:v>
                </c:pt>
                <c:pt idx="19">
                  <c:v>195.32921183069681</c:v>
                </c:pt>
                <c:pt idx="20">
                  <c:v>197.12582372448824</c:v>
                </c:pt>
                <c:pt idx="21">
                  <c:v>198.99265472569471</c:v>
                </c:pt>
                <c:pt idx="22">
                  <c:v>200.77994327576425</c:v>
                </c:pt>
                <c:pt idx="23">
                  <c:v>202.24652213563752</c:v>
                </c:pt>
                <c:pt idx="24">
                  <c:v>203.39123846749285</c:v>
                </c:pt>
                <c:pt idx="25">
                  <c:v>204.2351451113359</c:v>
                </c:pt>
                <c:pt idx="26">
                  <c:v>205.07659631533707</c:v>
                </c:pt>
                <c:pt idx="27">
                  <c:v>204.3456950154667</c:v>
                </c:pt>
                <c:pt idx="28">
                  <c:v>201.40687953236645</c:v>
                </c:pt>
                <c:pt idx="29">
                  <c:v>201.77344767063022</c:v>
                </c:pt>
                <c:pt idx="30">
                  <c:v>199.78365150066696</c:v>
                </c:pt>
                <c:pt idx="31">
                  <c:v>195.9471573942088</c:v>
                </c:pt>
                <c:pt idx="32">
                  <c:v>192.04124728082323</c:v>
                </c:pt>
                <c:pt idx="33">
                  <c:v>191.78799971187843</c:v>
                </c:pt>
                <c:pt idx="34">
                  <c:v>185.23185993056458</c:v>
                </c:pt>
                <c:pt idx="35">
                  <c:v>182.16466064628577</c:v>
                </c:pt>
                <c:pt idx="36">
                  <c:v>180.51421977760691</c:v>
                </c:pt>
                <c:pt idx="37">
                  <c:v>179.74472659687262</c:v>
                </c:pt>
                <c:pt idx="38">
                  <c:v>178.77172762468473</c:v>
                </c:pt>
                <c:pt idx="39">
                  <c:v>177.64396534322094</c:v>
                </c:pt>
                <c:pt idx="40">
                  <c:v>176.41253096436353</c:v>
                </c:pt>
                <c:pt idx="41">
                  <c:v>175.00191942434247</c:v>
                </c:pt>
                <c:pt idx="42">
                  <c:v>173.35047500116104</c:v>
                </c:pt>
                <c:pt idx="43">
                  <c:v>166.23874403767718</c:v>
                </c:pt>
                <c:pt idx="44">
                  <c:v>164.34028619159579</c:v>
                </c:pt>
                <c:pt idx="45">
                  <c:v>159.66994731398734</c:v>
                </c:pt>
                <c:pt idx="46">
                  <c:v>152.80885525939493</c:v>
                </c:pt>
                <c:pt idx="47">
                  <c:v>147.12590573329715</c:v>
                </c:pt>
                <c:pt idx="48">
                  <c:v>140.83259165475468</c:v>
                </c:pt>
                <c:pt idx="49">
                  <c:v>138.47706874640917</c:v>
                </c:pt>
                <c:pt idx="50">
                  <c:v>135.98887611050719</c:v>
                </c:pt>
                <c:pt idx="51">
                  <c:v>133.11985099356014</c:v>
                </c:pt>
                <c:pt idx="52">
                  <c:v>130.08482432984036</c:v>
                </c:pt>
                <c:pt idx="53">
                  <c:v>123.87379297208001</c:v>
                </c:pt>
                <c:pt idx="54">
                  <c:v>119.58986512665513</c:v>
                </c:pt>
                <c:pt idx="55">
                  <c:v>112.93809127247827</c:v>
                </c:pt>
                <c:pt idx="56">
                  <c:v>108.69338857086022</c:v>
                </c:pt>
                <c:pt idx="57">
                  <c:v>104.62614900046599</c:v>
                </c:pt>
                <c:pt idx="58">
                  <c:v>100.32565098687593</c:v>
                </c:pt>
                <c:pt idx="59">
                  <c:v>94.48698230604262</c:v>
                </c:pt>
                <c:pt idx="60">
                  <c:v>87.095900861483955</c:v>
                </c:pt>
                <c:pt idx="61">
                  <c:v>80.638768527343785</c:v>
                </c:pt>
                <c:pt idx="62">
                  <c:v>74.279319408923143</c:v>
                </c:pt>
                <c:pt idx="63">
                  <c:v>66.030393125448796</c:v>
                </c:pt>
                <c:pt idx="64">
                  <c:v>59.891989520202948</c:v>
                </c:pt>
                <c:pt idx="65">
                  <c:v>54.49321719748832</c:v>
                </c:pt>
                <c:pt idx="66">
                  <c:v>49.72976375728576</c:v>
                </c:pt>
                <c:pt idx="67">
                  <c:v>44.907454073529188</c:v>
                </c:pt>
                <c:pt idx="68">
                  <c:v>40.416455429387518</c:v>
                </c:pt>
                <c:pt idx="69">
                  <c:v>35.937110567154669</c:v>
                </c:pt>
                <c:pt idx="70">
                  <c:v>31.575325274655921</c:v>
                </c:pt>
                <c:pt idx="71">
                  <c:v>76.042363629894069</c:v>
                </c:pt>
                <c:pt idx="72">
                  <c:v>69.450222017355387</c:v>
                </c:pt>
                <c:pt idx="73">
                  <c:v>64.224016515649382</c:v>
                </c:pt>
                <c:pt idx="74">
                  <c:v>57.734636462371249</c:v>
                </c:pt>
                <c:pt idx="75">
                  <c:v>52.934729804644569</c:v>
                </c:pt>
                <c:pt idx="76">
                  <c:v>48.291799780295875</c:v>
                </c:pt>
                <c:pt idx="77">
                  <c:v>43.409839622982659</c:v>
                </c:pt>
                <c:pt idx="78">
                  <c:v>39.409145809156556</c:v>
                </c:pt>
                <c:pt idx="79">
                  <c:v>34.77111925849001</c:v>
                </c:pt>
                <c:pt idx="80">
                  <c:v>30.645508015855658</c:v>
                </c:pt>
                <c:pt idx="81">
                  <c:v>81.46950664306631</c:v>
                </c:pt>
                <c:pt idx="82">
                  <c:v>77.305699149119278</c:v>
                </c:pt>
                <c:pt idx="83">
                  <c:v>72.482737292027792</c:v>
                </c:pt>
                <c:pt idx="84">
                  <c:v>67.023344611206966</c:v>
                </c:pt>
                <c:pt idx="85">
                  <c:v>61.338308141421606</c:v>
                </c:pt>
                <c:pt idx="86">
                  <c:v>57.057622796677514</c:v>
                </c:pt>
                <c:pt idx="87">
                  <c:v>53.486480844318898</c:v>
                </c:pt>
                <c:pt idx="88">
                  <c:v>50.042764238840576</c:v>
                </c:pt>
                <c:pt idx="89">
                  <c:v>45.11786814052013</c:v>
                </c:pt>
                <c:pt idx="90">
                  <c:v>39.787002878789778</c:v>
                </c:pt>
                <c:pt idx="91">
                  <c:v>36.042237989298904</c:v>
                </c:pt>
                <c:pt idx="92">
                  <c:v>31.791000066454217</c:v>
                </c:pt>
                <c:pt idx="93">
                  <c:v>126.44260362895425</c:v>
                </c:pt>
                <c:pt idx="94">
                  <c:v>122.70194647006988</c:v>
                </c:pt>
                <c:pt idx="95">
                  <c:v>118.30179727570265</c:v>
                </c:pt>
                <c:pt idx="96">
                  <c:v>114.19096388685837</c:v>
                </c:pt>
                <c:pt idx="97">
                  <c:v>107.84258594214515</c:v>
                </c:pt>
                <c:pt idx="98">
                  <c:v>97.448941403706229</c:v>
                </c:pt>
                <c:pt idx="99">
                  <c:v>89.655500543204269</c:v>
                </c:pt>
                <c:pt idx="100">
                  <c:v>86.652715871543407</c:v>
                </c:pt>
                <c:pt idx="101">
                  <c:v>83.963614326257883</c:v>
                </c:pt>
                <c:pt idx="102">
                  <c:v>80.719553053458483</c:v>
                </c:pt>
                <c:pt idx="103">
                  <c:v>76.958740899013563</c:v>
                </c:pt>
                <c:pt idx="104">
                  <c:v>73.902553205742393</c:v>
                </c:pt>
                <c:pt idx="105">
                  <c:v>71.980443649422085</c:v>
                </c:pt>
                <c:pt idx="106">
                  <c:v>69.304073869505999</c:v>
                </c:pt>
                <c:pt idx="107">
                  <c:v>67.700767699606104</c:v>
                </c:pt>
                <c:pt idx="108">
                  <c:v>65.805624891576542</c:v>
                </c:pt>
                <c:pt idx="109">
                  <c:v>63.596754284412718</c:v>
                </c:pt>
                <c:pt idx="110">
                  <c:v>61.610361540189722</c:v>
                </c:pt>
                <c:pt idx="111">
                  <c:v>60.355052659016856</c:v>
                </c:pt>
                <c:pt idx="112">
                  <c:v>58.042351105481416</c:v>
                </c:pt>
                <c:pt idx="113">
                  <c:v>56.841941376509126</c:v>
                </c:pt>
                <c:pt idx="114">
                  <c:v>55.589068082736723</c:v>
                </c:pt>
                <c:pt idx="115">
                  <c:v>54.313700527802865</c:v>
                </c:pt>
                <c:pt idx="116">
                  <c:v>51.788079428818655</c:v>
                </c:pt>
                <c:pt idx="117">
                  <c:v>49.884212911020022</c:v>
                </c:pt>
                <c:pt idx="118">
                  <c:v>47.906144172509698</c:v>
                </c:pt>
                <c:pt idx="119">
                  <c:v>46.679517143850312</c:v>
                </c:pt>
                <c:pt idx="120">
                  <c:v>44.774928054639197</c:v>
                </c:pt>
                <c:pt idx="121">
                  <c:v>43.829508456982552</c:v>
                </c:pt>
                <c:pt idx="122">
                  <c:v>41.906905873556731</c:v>
                </c:pt>
                <c:pt idx="123">
                  <c:v>40.321789292664334</c:v>
                </c:pt>
                <c:pt idx="124">
                  <c:v>39.35047706563595</c:v>
                </c:pt>
                <c:pt idx="125">
                  <c:v>37.339484494814918</c:v>
                </c:pt>
                <c:pt idx="126">
                  <c:v>35.790048296682151</c:v>
                </c:pt>
                <c:pt idx="127">
                  <c:v>35.239637549807064</c:v>
                </c:pt>
                <c:pt idx="128">
                  <c:v>34.6952570217586</c:v>
                </c:pt>
                <c:pt idx="129">
                  <c:v>33.783066971266948</c:v>
                </c:pt>
                <c:pt idx="130">
                  <c:v>32.741427848415015</c:v>
                </c:pt>
                <c:pt idx="131">
                  <c:v>31.526568467546397</c:v>
                </c:pt>
                <c:pt idx="132">
                  <c:v>30.247182848292102</c:v>
                </c:pt>
                <c:pt idx="133">
                  <c:v>29.713333583969142</c:v>
                </c:pt>
                <c:pt idx="134">
                  <c:v>29.461837384360035</c:v>
                </c:pt>
                <c:pt idx="135">
                  <c:v>29.248727465139211</c:v>
                </c:pt>
                <c:pt idx="136">
                  <c:v>29.052792565609366</c:v>
                </c:pt>
                <c:pt idx="137">
                  <c:v>28.898119978061871</c:v>
                </c:pt>
                <c:pt idx="138">
                  <c:v>28.466966413253385</c:v>
                </c:pt>
                <c:pt idx="139">
                  <c:v>28.349182361380912</c:v>
                </c:pt>
                <c:pt idx="140">
                  <c:v>27.978113063364887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-1.4437744492965094</c:v>
                </c:pt>
                <c:pt idx="28">
                  <c:v>-4.9308082627913805</c:v>
                </c:pt>
                <c:pt idx="29">
                  <c:v>-4.9308082627913805</c:v>
                </c:pt>
                <c:pt idx="30">
                  <c:v>-7.1597433648273956</c:v>
                </c:pt>
                <c:pt idx="31">
                  <c:v>-11.04755785471918</c:v>
                </c:pt>
                <c:pt idx="32">
                  <c:v>-14.835443200923521</c:v>
                </c:pt>
                <c:pt idx="33">
                  <c:v>-14.835443200923521</c:v>
                </c:pt>
                <c:pt idx="34">
                  <c:v>-20.997237825209616</c:v>
                </c:pt>
                <c:pt idx="35">
                  <c:v>-23.53544903999617</c:v>
                </c:pt>
                <c:pt idx="36">
                  <c:v>-24.518547550482289</c:v>
                </c:pt>
                <c:pt idx="37">
                  <c:v>-24.518547550482289</c:v>
                </c:pt>
                <c:pt idx="38">
                  <c:v>-24.518547550482289</c:v>
                </c:pt>
                <c:pt idx="39">
                  <c:v>-24.518547550482289</c:v>
                </c:pt>
                <c:pt idx="40">
                  <c:v>-24.518547550482289</c:v>
                </c:pt>
                <c:pt idx="41">
                  <c:v>-24.518547550482289</c:v>
                </c:pt>
                <c:pt idx="42">
                  <c:v>-24.518547550482289</c:v>
                </c:pt>
                <c:pt idx="43">
                  <c:v>-29.844393847894167</c:v>
                </c:pt>
                <c:pt idx="44">
                  <c:v>-29.844393847894167</c:v>
                </c:pt>
                <c:pt idx="45">
                  <c:v>-32.333209703046997</c:v>
                </c:pt>
                <c:pt idx="46">
                  <c:v>-36.928210540882823</c:v>
                </c:pt>
                <c:pt idx="47">
                  <c:v>-40.215943923222049</c:v>
                </c:pt>
                <c:pt idx="48">
                  <c:v>-43.978934545904451</c:v>
                </c:pt>
                <c:pt idx="49">
                  <c:v>-43.978934545904451</c:v>
                </c:pt>
                <c:pt idx="50">
                  <c:v>-43.978934545904451</c:v>
                </c:pt>
                <c:pt idx="51">
                  <c:v>-43.978934545904451</c:v>
                </c:pt>
                <c:pt idx="52">
                  <c:v>-43.978934545904451</c:v>
                </c:pt>
                <c:pt idx="53">
                  <c:v>-46.891874109969933</c:v>
                </c:pt>
                <c:pt idx="54">
                  <c:v>-47.791625161356926</c:v>
                </c:pt>
                <c:pt idx="55">
                  <c:v>-51.057628495356283</c:v>
                </c:pt>
                <c:pt idx="56">
                  <c:v>-51.742610526150195</c:v>
                </c:pt>
                <c:pt idx="57">
                  <c:v>-51.742610526150195</c:v>
                </c:pt>
                <c:pt idx="58">
                  <c:v>-51.913883308915487</c:v>
                </c:pt>
                <c:pt idx="59">
                  <c:v>-53.665786397875671</c:v>
                </c:pt>
                <c:pt idx="60">
                  <c:v>-56.689242915662916</c:v>
                </c:pt>
                <c:pt idx="61">
                  <c:v>-58.862898686277305</c:v>
                </c:pt>
                <c:pt idx="62">
                  <c:v>-60.784316633867306</c:v>
                </c:pt>
                <c:pt idx="63">
                  <c:v>-64.322654705409889</c:v>
                </c:pt>
                <c:pt idx="64">
                  <c:v>-65.851807157887663</c:v>
                </c:pt>
                <c:pt idx="65">
                  <c:v>-66.775656102260911</c:v>
                </c:pt>
                <c:pt idx="66">
                  <c:v>-67.225185083710613</c:v>
                </c:pt>
                <c:pt idx="67">
                  <c:v>-67.558209196561535</c:v>
                </c:pt>
                <c:pt idx="68">
                  <c:v>-67.558209196561535</c:v>
                </c:pt>
                <c:pt idx="69">
                  <c:v>-67.558209196561535</c:v>
                </c:pt>
                <c:pt idx="70">
                  <c:v>-67.961710007151453</c:v>
                </c:pt>
                <c:pt idx="71">
                  <c:v>-68.947507698417454</c:v>
                </c:pt>
                <c:pt idx="72">
                  <c:v>-71.225317076857877</c:v>
                </c:pt>
                <c:pt idx="73">
                  <c:v>-72.210872211313443</c:v>
                </c:pt>
                <c:pt idx="74">
                  <c:v>-74.292936540638834</c:v>
                </c:pt>
                <c:pt idx="75">
                  <c:v>-74.930506806071961</c:v>
                </c:pt>
                <c:pt idx="76">
                  <c:v>-75.53221118156182</c:v>
                </c:pt>
                <c:pt idx="77">
                  <c:v>-76.187509002646806</c:v>
                </c:pt>
                <c:pt idx="78">
                  <c:v>-76.427291133304152</c:v>
                </c:pt>
                <c:pt idx="79">
                  <c:v>-77.307677440674055</c:v>
                </c:pt>
                <c:pt idx="80">
                  <c:v>-77.594710238653775</c:v>
                </c:pt>
                <c:pt idx="81">
                  <c:v>-78.596952548118907</c:v>
                </c:pt>
                <c:pt idx="82">
                  <c:v>-79.038808358103964</c:v>
                </c:pt>
                <c:pt idx="83">
                  <c:v>-79.798410084708124</c:v>
                </c:pt>
                <c:pt idx="84">
                  <c:v>-81.350127663082162</c:v>
                </c:pt>
                <c:pt idx="85">
                  <c:v>-83.235346379291371</c:v>
                </c:pt>
                <c:pt idx="86">
                  <c:v>-83.817896522621169</c:v>
                </c:pt>
                <c:pt idx="87">
                  <c:v>-84.062332422102969</c:v>
                </c:pt>
                <c:pt idx="88">
                  <c:v>-84.275146813975837</c:v>
                </c:pt>
                <c:pt idx="89">
                  <c:v>-85.56572755269012</c:v>
                </c:pt>
                <c:pt idx="90">
                  <c:v>-87.351058550862433</c:v>
                </c:pt>
                <c:pt idx="91">
                  <c:v>-87.351058550862433</c:v>
                </c:pt>
                <c:pt idx="92">
                  <c:v>-88.371290497501022</c:v>
                </c:pt>
                <c:pt idx="93">
                  <c:v>-88.464718231147387</c:v>
                </c:pt>
                <c:pt idx="94">
                  <c:v>-89.575442367724179</c:v>
                </c:pt>
                <c:pt idx="95">
                  <c:v>-91.104730853868546</c:v>
                </c:pt>
                <c:pt idx="96">
                  <c:v>-92.40427030994357</c:v>
                </c:pt>
                <c:pt idx="97">
                  <c:v>-96.009088249616781</c:v>
                </c:pt>
                <c:pt idx="98">
                  <c:v>-103.66414674473008</c:v>
                </c:pt>
                <c:pt idx="99">
                  <c:v>-108.83055803517017</c:v>
                </c:pt>
                <c:pt idx="100">
                  <c:v>-109.44237827825091</c:v>
                </c:pt>
                <c:pt idx="101">
                  <c:v>-110.07139544559159</c:v>
                </c:pt>
                <c:pt idx="102">
                  <c:v>-111.31483136015301</c:v>
                </c:pt>
                <c:pt idx="103">
                  <c:v>-112.86260991540424</c:v>
                </c:pt>
                <c:pt idx="104">
                  <c:v>-113.9705480528622</c:v>
                </c:pt>
                <c:pt idx="105">
                  <c:v>-114.09742774446987</c:v>
                </c:pt>
                <c:pt idx="106">
                  <c:v>-115.11732693867908</c:v>
                </c:pt>
                <c:pt idx="107">
                  <c:v>-115.11732693867908</c:v>
                </c:pt>
                <c:pt idx="108">
                  <c:v>-115.49598307907203</c:v>
                </c:pt>
                <c:pt idx="109">
                  <c:v>-116.28233993253887</c:v>
                </c:pt>
                <c:pt idx="110">
                  <c:v>-116.85742072358582</c:v>
                </c:pt>
                <c:pt idx="111">
                  <c:v>-116.85742072358582</c:v>
                </c:pt>
                <c:pt idx="112">
                  <c:v>-117.87601505054396</c:v>
                </c:pt>
                <c:pt idx="113">
                  <c:v>-117.87601505054396</c:v>
                </c:pt>
                <c:pt idx="114">
                  <c:v>-117.87601505054396</c:v>
                </c:pt>
                <c:pt idx="115">
                  <c:v>-117.99962234817919</c:v>
                </c:pt>
                <c:pt idx="116">
                  <c:v>-119.36922162813534</c:v>
                </c:pt>
                <c:pt idx="117">
                  <c:v>-120.31294810726767</c:v>
                </c:pt>
                <c:pt idx="118">
                  <c:v>-121.42310100964008</c:v>
                </c:pt>
                <c:pt idx="119">
                  <c:v>-121.8179393260959</c:v>
                </c:pt>
                <c:pt idx="120">
                  <c:v>-122.9571817325001</c:v>
                </c:pt>
                <c:pt idx="121">
                  <c:v>-123.14616919563417</c:v>
                </c:pt>
                <c:pt idx="122">
                  <c:v>-124.38231707153913</c:v>
                </c:pt>
                <c:pt idx="123">
                  <c:v>-125.33688415568332</c:v>
                </c:pt>
                <c:pt idx="124">
                  <c:v>-125.63828575132329</c:v>
                </c:pt>
                <c:pt idx="125">
                  <c:v>-127.02529857116598</c:v>
                </c:pt>
                <c:pt idx="126">
                  <c:v>-127.94589512373453</c:v>
                </c:pt>
                <c:pt idx="127">
                  <c:v>-127.96473716405647</c:v>
                </c:pt>
                <c:pt idx="128">
                  <c:v>-128.01069989084445</c:v>
                </c:pt>
                <c:pt idx="129">
                  <c:v>-128.43940357674688</c:v>
                </c:pt>
                <c:pt idx="130">
                  <c:v>-129.02734360925299</c:v>
                </c:pt>
                <c:pt idx="131">
                  <c:v>-129.82739349095945</c:v>
                </c:pt>
                <c:pt idx="132">
                  <c:v>-130.76119178283909</c:v>
                </c:pt>
                <c:pt idx="133">
                  <c:v>-130.99035884991866</c:v>
                </c:pt>
                <c:pt idx="134">
                  <c:v>-130.99035884991866</c:v>
                </c:pt>
                <c:pt idx="135">
                  <c:v>-130.99035884991866</c:v>
                </c:pt>
                <c:pt idx="136">
                  <c:v>-130.99035884991866</c:v>
                </c:pt>
                <c:pt idx="137">
                  <c:v>-130.99035884991866</c:v>
                </c:pt>
                <c:pt idx="138">
                  <c:v>-131.29652761275716</c:v>
                </c:pt>
                <c:pt idx="139">
                  <c:v>-131.33325764933102</c:v>
                </c:pt>
                <c:pt idx="140">
                  <c:v>-131.63878285076089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1.0185330795222782</c:v>
                </c:pt>
                <c:pt idx="1">
                  <c:v>2.0260152475445681</c:v>
                </c:pt>
                <c:pt idx="2">
                  <c:v>3.0720097879369677</c:v>
                </c:pt>
                <c:pt idx="3">
                  <c:v>4.1926255756327127</c:v>
                </c:pt>
                <c:pt idx="4">
                  <c:v>5.156043477512088</c:v>
                </c:pt>
                <c:pt idx="5">
                  <c:v>6.0979649349269831</c:v>
                </c:pt>
                <c:pt idx="6">
                  <c:v>7.042451146683006</c:v>
                </c:pt>
                <c:pt idx="7">
                  <c:v>7.9654424195209579</c:v>
                </c:pt>
                <c:pt idx="8">
                  <c:v>8.8876773760106023</c:v>
                </c:pt>
                <c:pt idx="9">
                  <c:v>9.821376722186443</c:v>
                </c:pt>
                <c:pt idx="10">
                  <c:v>10.769911293014799</c:v>
                </c:pt>
                <c:pt idx="11">
                  <c:v>11.726377812863499</c:v>
                </c:pt>
                <c:pt idx="12">
                  <c:v>12.755931174867625</c:v>
                </c:pt>
                <c:pt idx="13">
                  <c:v>13.84338464490318</c:v>
                </c:pt>
                <c:pt idx="14">
                  <c:v>14.946098504995829</c:v>
                </c:pt>
                <c:pt idx="15">
                  <c:v>15.924733345379009</c:v>
                </c:pt>
                <c:pt idx="16">
                  <c:v>16.946142837005386</c:v>
                </c:pt>
                <c:pt idx="17">
                  <c:v>17.988525241943204</c:v>
                </c:pt>
                <c:pt idx="18">
                  <c:v>18.989116936322393</c:v>
                </c:pt>
                <c:pt idx="19">
                  <c:v>19.955061533910492</c:v>
                </c:pt>
                <c:pt idx="20">
                  <c:v>20.846510037852475</c:v>
                </c:pt>
                <c:pt idx="21">
                  <c:v>21.870899541493703</c:v>
                </c:pt>
                <c:pt idx="22">
                  <c:v>22.964692000811059</c:v>
                </c:pt>
                <c:pt idx="23">
                  <c:v>23.998720196647891</c:v>
                </c:pt>
                <c:pt idx="24">
                  <c:v>24.966208209997355</c:v>
                </c:pt>
                <c:pt idx="25">
                  <c:v>25.837386640014266</c:v>
                </c:pt>
                <c:pt idx="26">
                  <c:v>26.809777571686503</c:v>
                </c:pt>
                <c:pt idx="27">
                  <c:v>27.827773106709351</c:v>
                </c:pt>
                <c:pt idx="28">
                  <c:v>28.857639981902338</c:v>
                </c:pt>
                <c:pt idx="29">
                  <c:v>29.864915959338152</c:v>
                </c:pt>
                <c:pt idx="30">
                  <c:v>30.949799744598511</c:v>
                </c:pt>
                <c:pt idx="31">
                  <c:v>31.991258166996555</c:v>
                </c:pt>
                <c:pt idx="32">
                  <c:v>32.933611219954393</c:v>
                </c:pt>
                <c:pt idx="33">
                  <c:v>33.898698715604347</c:v>
                </c:pt>
                <c:pt idx="34">
                  <c:v>34.875627716986521</c:v>
                </c:pt>
                <c:pt idx="35">
                  <c:v>35.829306444292662</c:v>
                </c:pt>
                <c:pt idx="36">
                  <c:v>36.786433594534607</c:v>
                </c:pt>
                <c:pt idx="37">
                  <c:v>37.683649073510189</c:v>
                </c:pt>
                <c:pt idx="38">
                  <c:v>38.69163753930448</c:v>
                </c:pt>
                <c:pt idx="39">
                  <c:v>39.698557387637308</c:v>
                </c:pt>
                <c:pt idx="40">
                  <c:v>40.648451662625135</c:v>
                </c:pt>
                <c:pt idx="41">
                  <c:v>41.620271885451082</c:v>
                </c:pt>
                <c:pt idx="42">
                  <c:v>42.674498783732389</c:v>
                </c:pt>
                <c:pt idx="43">
                  <c:v>43.693570074580037</c:v>
                </c:pt>
                <c:pt idx="44">
                  <c:v>44.671898005523339</c:v>
                </c:pt>
                <c:pt idx="45">
                  <c:v>45.724694135376595</c:v>
                </c:pt>
                <c:pt idx="46">
                  <c:v>46.717495885519568</c:v>
                </c:pt>
                <c:pt idx="47">
                  <c:v>47.687448593463927</c:v>
                </c:pt>
                <c:pt idx="48">
                  <c:v>48.641471819651564</c:v>
                </c:pt>
                <c:pt idx="49">
                  <c:v>49.456542980545073</c:v>
                </c:pt>
                <c:pt idx="50">
                  <c:v>50.258045180534346</c:v>
                </c:pt>
                <c:pt idx="51">
                  <c:v>51.16658433248427</c:v>
                </c:pt>
                <c:pt idx="52">
                  <c:v>52.079141016279834</c:v>
                </c:pt>
                <c:pt idx="53">
                  <c:v>53.028691707834113</c:v>
                </c:pt>
                <c:pt idx="54">
                  <c:v>53.952015284030928</c:v>
                </c:pt>
                <c:pt idx="55">
                  <c:v>54.828153179452592</c:v>
                </c:pt>
                <c:pt idx="56">
                  <c:v>55.71380344846046</c:v>
                </c:pt>
                <c:pt idx="57">
                  <c:v>56.705835115886039</c:v>
                </c:pt>
                <c:pt idx="58">
                  <c:v>57.667802882644253</c:v>
                </c:pt>
                <c:pt idx="59">
                  <c:v>58.577345392712985</c:v>
                </c:pt>
                <c:pt idx="60">
                  <c:v>59.524836185201536</c:v>
                </c:pt>
                <c:pt idx="61">
                  <c:v>60.417414447331097</c:v>
                </c:pt>
                <c:pt idx="62">
                  <c:v>61.318949213946723</c:v>
                </c:pt>
                <c:pt idx="63">
                  <c:v>62.258569150808931</c:v>
                </c:pt>
                <c:pt idx="64">
                  <c:v>63.149494862261143</c:v>
                </c:pt>
                <c:pt idx="65">
                  <c:v>63.991403465782376</c:v>
                </c:pt>
                <c:pt idx="66">
                  <c:v>64.78508681970402</c:v>
                </c:pt>
                <c:pt idx="67">
                  <c:v>65.601721656739045</c:v>
                </c:pt>
                <c:pt idx="68">
                  <c:v>66.407760390736954</c:v>
                </c:pt>
                <c:pt idx="69">
                  <c:v>67.202673907739694</c:v>
                </c:pt>
                <c:pt idx="70">
                  <c:v>67.895845045679607</c:v>
                </c:pt>
                <c:pt idx="71">
                  <c:v>68.62807442294104</c:v>
                </c:pt>
                <c:pt idx="72">
                  <c:v>69.377374926852667</c:v>
                </c:pt>
                <c:pt idx="73">
                  <c:v>70.111358770480862</c:v>
                </c:pt>
                <c:pt idx="74">
                  <c:v>70.874975224137557</c:v>
                </c:pt>
                <c:pt idx="75">
                  <c:v>71.594997568931319</c:v>
                </c:pt>
                <c:pt idx="76">
                  <c:v>72.295530889788878</c:v>
                </c:pt>
                <c:pt idx="77">
                  <c:v>73.031858150755994</c:v>
                </c:pt>
                <c:pt idx="78">
                  <c:v>73.69086836390656</c:v>
                </c:pt>
                <c:pt idx="79">
                  <c:v>74.353437135455707</c:v>
                </c:pt>
                <c:pt idx="80">
                  <c:v>75.035098972117538</c:v>
                </c:pt>
                <c:pt idx="81">
                  <c:v>75.716202514413553</c:v>
                </c:pt>
                <c:pt idx="82">
                  <c:v>76.390906599959962</c:v>
                </c:pt>
                <c:pt idx="83">
                  <c:v>77.137837693077827</c:v>
                </c:pt>
                <c:pt idx="84">
                  <c:v>77.866274827002997</c:v>
                </c:pt>
                <c:pt idx="85">
                  <c:v>78.586008109849843</c:v>
                </c:pt>
                <c:pt idx="86">
                  <c:v>79.29882594435837</c:v>
                </c:pt>
                <c:pt idx="87">
                  <c:v>79.952929124192849</c:v>
                </c:pt>
                <c:pt idx="88">
                  <c:v>80.600526036586785</c:v>
                </c:pt>
                <c:pt idx="89">
                  <c:v>81.343911883975025</c:v>
                </c:pt>
                <c:pt idx="90">
                  <c:v>82.086975963900002</c:v>
                </c:pt>
                <c:pt idx="91">
                  <c:v>82.898613625035921</c:v>
                </c:pt>
                <c:pt idx="92">
                  <c:v>83.613444096061031</c:v>
                </c:pt>
                <c:pt idx="93">
                  <c:v>84.303796778312091</c:v>
                </c:pt>
                <c:pt idx="94">
                  <c:v>84.922104186249015</c:v>
                </c:pt>
                <c:pt idx="95">
                  <c:v>85.611894053482033</c:v>
                </c:pt>
                <c:pt idx="96">
                  <c:v>86.308740105010315</c:v>
                </c:pt>
                <c:pt idx="97">
                  <c:v>87.011548660688945</c:v>
                </c:pt>
                <c:pt idx="98">
                  <c:v>87.738530553772236</c:v>
                </c:pt>
                <c:pt idx="99">
                  <c:v>88.462132828991159</c:v>
                </c:pt>
                <c:pt idx="100">
                  <c:v>89.145649275483152</c:v>
                </c:pt>
                <c:pt idx="101">
                  <c:v>89.760410004755883</c:v>
                </c:pt>
                <c:pt idx="102">
                  <c:v>90.378312094598769</c:v>
                </c:pt>
                <c:pt idx="103">
                  <c:v>91.084023180851361</c:v>
                </c:pt>
                <c:pt idx="104">
                  <c:v>91.733021333234888</c:v>
                </c:pt>
                <c:pt idx="105">
                  <c:v>92.357525037915849</c:v>
                </c:pt>
                <c:pt idx="106">
                  <c:v>92.95982319004429</c:v>
                </c:pt>
                <c:pt idx="107">
                  <c:v>93.566068876507217</c:v>
                </c:pt>
                <c:pt idx="108">
                  <c:v>94.164716337562837</c:v>
                </c:pt>
                <c:pt idx="109">
                  <c:v>94.752059068836189</c:v>
                </c:pt>
                <c:pt idx="110">
                  <c:v>95.357339835298362</c:v>
                </c:pt>
                <c:pt idx="111">
                  <c:v>95.926345672555982</c:v>
                </c:pt>
                <c:pt idx="112">
                  <c:v>96.532403004157459</c:v>
                </c:pt>
                <c:pt idx="113">
                  <c:v>97.124070106703726</c:v>
                </c:pt>
                <c:pt idx="114">
                  <c:v>97.76600814769499</c:v>
                </c:pt>
                <c:pt idx="115">
                  <c:v>98.390103927306924</c:v>
                </c:pt>
                <c:pt idx="116">
                  <c:v>99.048840912251038</c:v>
                </c:pt>
                <c:pt idx="117">
                  <c:v>99.63618364352439</c:v>
                </c:pt>
                <c:pt idx="118">
                  <c:v>100.20122066708771</c:v>
                </c:pt>
                <c:pt idx="119">
                  <c:v>100.77122152410023</c:v>
                </c:pt>
                <c:pt idx="120">
                  <c:v>101.3288655319613</c:v>
                </c:pt>
                <c:pt idx="121">
                  <c:v>101.90661604560744</c:v>
                </c:pt>
                <c:pt idx="122">
                  <c:v>102.46770226086119</c:v>
                </c:pt>
                <c:pt idx="123">
                  <c:v>103.01844222924919</c:v>
                </c:pt>
                <c:pt idx="124">
                  <c:v>103.62610177965317</c:v>
                </c:pt>
                <c:pt idx="125">
                  <c:v>104.23376133005715</c:v>
                </c:pt>
                <c:pt idx="126">
                  <c:v>104.88808704829651</c:v>
                </c:pt>
                <c:pt idx="127">
                  <c:v>105.49486975306364</c:v>
                </c:pt>
                <c:pt idx="128">
                  <c:v>106.11081917969021</c:v>
                </c:pt>
                <c:pt idx="129">
                  <c:v>106.75922709997998</c:v>
                </c:pt>
                <c:pt idx="130">
                  <c:v>107.42950207960926</c:v>
                </c:pt>
                <c:pt idx="131">
                  <c:v>108.11284054770258</c:v>
                </c:pt>
                <c:pt idx="132">
                  <c:v>108.75639216343974</c:v>
                </c:pt>
                <c:pt idx="133">
                  <c:v>109.39833020443101</c:v>
                </c:pt>
                <c:pt idx="134">
                  <c:v>110.01036253540914</c:v>
                </c:pt>
                <c:pt idx="135">
                  <c:v>110.61202781251241</c:v>
                </c:pt>
                <c:pt idx="136">
                  <c:v>111.24967566980102</c:v>
                </c:pt>
                <c:pt idx="137">
                  <c:v>111.86536345622662</c:v>
                </c:pt>
                <c:pt idx="138">
                  <c:v>112.48419564725047</c:v>
                </c:pt>
                <c:pt idx="139">
                  <c:v>113.05047098972007</c:v>
                </c:pt>
                <c:pt idx="140">
                  <c:v>113.65136333553012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15.313015393410772</c:v>
                </c:pt>
                <c:pt idx="2">
                  <c:v>29.586029156796609</c:v>
                </c:pt>
                <c:pt idx="3">
                  <c:v>43.220198923802982</c:v>
                </c:pt>
                <c:pt idx="4">
                  <c:v>53.705937998674258</c:v>
                </c:pt>
                <c:pt idx="5">
                  <c:v>62.959297464302267</c:v>
                </c:pt>
                <c:pt idx="6">
                  <c:v>71.337538558965718</c:v>
                </c:pt>
                <c:pt idx="7">
                  <c:v>78.733602515099477</c:v>
                </c:pt>
                <c:pt idx="8">
                  <c:v>85.413621275044775</c:v>
                </c:pt>
                <c:pt idx="9">
                  <c:v>91.520062779729457</c:v>
                </c:pt>
                <c:pt idx="10">
                  <c:v>97.110129072564717</c:v>
                </c:pt>
                <c:pt idx="11">
                  <c:v>102.18042881118296</c:v>
                </c:pt>
                <c:pt idx="12">
                  <c:v>107.06519293668318</c:v>
                </c:pt>
                <c:pt idx="13">
                  <c:v>111.64652204440333</c:v>
                </c:pt>
                <c:pt idx="14">
                  <c:v>115.75188726939442</c:v>
                </c:pt>
                <c:pt idx="15">
                  <c:v>118.9890989877817</c:v>
                </c:pt>
                <c:pt idx="16">
                  <c:v>122.00398462142044</c:v>
                </c:pt>
                <c:pt idx="17">
                  <c:v>124.73807004059488</c:v>
                </c:pt>
                <c:pt idx="18">
                  <c:v>127.07169830027266</c:v>
                </c:pt>
                <c:pt idx="19">
                  <c:v>129.08280896538221</c:v>
                </c:pt>
                <c:pt idx="20">
                  <c:v>130.74944183356686</c:v>
                </c:pt>
                <c:pt idx="21">
                  <c:v>132.46311679283323</c:v>
                </c:pt>
                <c:pt idx="22">
                  <c:v>134.08046088397373</c:v>
                </c:pt>
                <c:pt idx="23">
                  <c:v>135.43038145437092</c:v>
                </c:pt>
                <c:pt idx="24">
                  <c:v>136.55337275427459</c:v>
                </c:pt>
                <c:pt idx="25">
                  <c:v>137.46078362570015</c:v>
                </c:pt>
                <c:pt idx="26">
                  <c:v>138.36934355273067</c:v>
                </c:pt>
                <c:pt idx="27">
                  <c:v>139.21495846007994</c:v>
                </c:pt>
                <c:pt idx="28">
                  <c:v>139.97269274620103</c:v>
                </c:pt>
                <c:pt idx="29">
                  <c:v>140.62937446800643</c:v>
                </c:pt>
                <c:pt idx="30">
                  <c:v>141.253992757612</c:v>
                </c:pt>
                <c:pt idx="31">
                  <c:v>141.78230776450911</c:v>
                </c:pt>
                <c:pt idx="32">
                  <c:v>142.20703829591827</c:v>
                </c:pt>
                <c:pt idx="33">
                  <c:v>142.59532510778553</c:v>
                </c:pt>
                <c:pt idx="34">
                  <c:v>142.94548451079092</c:v>
                </c:pt>
                <c:pt idx="35">
                  <c:v>143.25024723135093</c:v>
                </c:pt>
                <c:pt idx="36">
                  <c:v>143.52333935039601</c:v>
                </c:pt>
                <c:pt idx="37">
                  <c:v>143.75272824324404</c:v>
                </c:pt>
                <c:pt idx="38">
                  <c:v>143.98309805929412</c:v>
                </c:pt>
                <c:pt idx="39">
                  <c:v>144.18757867432129</c:v>
                </c:pt>
                <c:pt idx="40">
                  <c:v>144.35968090353458</c:v>
                </c:pt>
                <c:pt idx="41">
                  <c:v>144.51724268430306</c:v>
                </c:pt>
                <c:pt idx="42">
                  <c:v>144.66945355856691</c:v>
                </c:pt>
                <c:pt idx="43">
                  <c:v>144.80029169189979</c:v>
                </c:pt>
                <c:pt idx="44">
                  <c:v>144.91264433436407</c:v>
                </c:pt>
                <c:pt idx="45">
                  <c:v>145.02080263302142</c:v>
                </c:pt>
                <c:pt idx="46">
                  <c:v>145.11215656012402</c:v>
                </c:pt>
                <c:pt idx="47">
                  <c:v>145.19264591370063</c:v>
                </c:pt>
                <c:pt idx="48">
                  <c:v>145.26436735574228</c:v>
                </c:pt>
                <c:pt idx="49">
                  <c:v>145.32045223169473</c:v>
                </c:pt>
                <c:pt idx="50">
                  <c:v>145.37143754334537</c:v>
                </c:pt>
                <c:pt idx="51">
                  <c:v>145.42476311246796</c:v>
                </c:pt>
                <c:pt idx="52">
                  <c:v>145.47407030887308</c:v>
                </c:pt>
                <c:pt idx="53">
                  <c:v>145.52137834760845</c:v>
                </c:pt>
                <c:pt idx="54">
                  <c:v>145.56393193226023</c:v>
                </c:pt>
                <c:pt idx="55">
                  <c:v>145.6015377572331</c:v>
                </c:pt>
                <c:pt idx="56">
                  <c:v>145.63712595157256</c:v>
                </c:pt>
                <c:pt idx="57">
                  <c:v>145.67443930583727</c:v>
                </c:pt>
                <c:pt idx="58">
                  <c:v>145.7083686501953</c:v>
                </c:pt>
                <c:pt idx="59">
                  <c:v>145.7386665442157</c:v>
                </c:pt>
                <c:pt idx="60">
                  <c:v>145.7686176993179</c:v>
                </c:pt>
                <c:pt idx="61">
                  <c:v>145.79551561299414</c:v>
                </c:pt>
                <c:pt idx="62">
                  <c:v>145.82154770726549</c:v>
                </c:pt>
                <c:pt idx="63">
                  <c:v>145.84761685600856</c:v>
                </c:pt>
                <c:pt idx="64">
                  <c:v>145.8714596612312</c:v>
                </c:pt>
                <c:pt idx="65">
                  <c:v>145.89330528307158</c:v>
                </c:pt>
                <c:pt idx="66">
                  <c:v>145.91336233989125</c:v>
                </c:pt>
                <c:pt idx="67">
                  <c:v>145.93351853039255</c:v>
                </c:pt>
                <c:pt idx="68">
                  <c:v>145.95299006532792</c:v>
                </c:pt>
                <c:pt idx="69">
                  <c:v>145.97182883829595</c:v>
                </c:pt>
                <c:pt idx="70">
                  <c:v>145.98799399875983</c:v>
                </c:pt>
                <c:pt idx="71">
                  <c:v>146.00483298204148</c:v>
                </c:pt>
                <c:pt idx="72">
                  <c:v>146.02183886939423</c:v>
                </c:pt>
                <c:pt idx="73">
                  <c:v>146.0382993580501</c:v>
                </c:pt>
                <c:pt idx="74">
                  <c:v>146.05523889988203</c:v>
                </c:pt>
                <c:pt idx="75">
                  <c:v>146.07105626347246</c:v>
                </c:pt>
                <c:pt idx="76">
                  <c:v>146.08631572570479</c:v>
                </c:pt>
                <c:pt idx="77">
                  <c:v>146.10223054247973</c:v>
                </c:pt>
                <c:pt idx="78">
                  <c:v>146.11637634503441</c:v>
                </c:pt>
                <c:pt idx="79">
                  <c:v>146.13051368109228</c:v>
                </c:pt>
                <c:pt idx="80">
                  <c:v>146.14497711194241</c:v>
                </c:pt>
                <c:pt idx="81">
                  <c:v>146.15935308131779</c:v>
                </c:pt>
                <c:pt idx="82">
                  <c:v>146.17352527899257</c:v>
                </c:pt>
                <c:pt idx="83">
                  <c:v>146.18914088507984</c:v>
                </c:pt>
                <c:pt idx="84">
                  <c:v>146.20430055945758</c:v>
                </c:pt>
                <c:pt idx="85">
                  <c:v>146.21921635005512</c:v>
                </c:pt>
                <c:pt idx="86">
                  <c:v>146.23393092989662</c:v>
                </c:pt>
                <c:pt idx="87">
                  <c:v>146.24738527916236</c:v>
                </c:pt>
                <c:pt idx="88">
                  <c:v>146.26066221809458</c:v>
                </c:pt>
                <c:pt idx="89">
                  <c:v>146.27585138902933</c:v>
                </c:pt>
                <c:pt idx="90">
                  <c:v>146.29098042625458</c:v>
                </c:pt>
                <c:pt idx="91">
                  <c:v>146.30744585312232</c:v>
                </c:pt>
                <c:pt idx="92">
                  <c:v>146.32189645185684</c:v>
                </c:pt>
                <c:pt idx="93">
                  <c:v>146.33580729603989</c:v>
                </c:pt>
                <c:pt idx="94">
                  <c:v>146.34822899738646</c:v>
                </c:pt>
                <c:pt idx="95">
                  <c:v>146.36204494574761</c:v>
                </c:pt>
                <c:pt idx="96">
                  <c:v>146.37595713904093</c:v>
                </c:pt>
                <c:pt idx="97">
                  <c:v>146.38994199723913</c:v>
                </c:pt>
                <c:pt idx="98">
                  <c:v>146.40435819856467</c:v>
                </c:pt>
                <c:pt idx="99">
                  <c:v>146.41865639877909</c:v>
                </c:pt>
                <c:pt idx="100">
                  <c:v>146.43211494314411</c:v>
                </c:pt>
                <c:pt idx="101">
                  <c:v>146.44417946127322</c:v>
                </c:pt>
                <c:pt idx="102">
                  <c:v>146.45626653075007</c:v>
                </c:pt>
                <c:pt idx="103">
                  <c:v>146.4700223833737</c:v>
                </c:pt>
                <c:pt idx="104">
                  <c:v>146.4826258201395</c:v>
                </c:pt>
                <c:pt idx="105">
                  <c:v>146.49471022254653</c:v>
                </c:pt>
                <c:pt idx="106">
                  <c:v>146.50632386410322</c:v>
                </c:pt>
                <c:pt idx="107">
                  <c:v>146.51797211438605</c:v>
                </c:pt>
                <c:pt idx="108">
                  <c:v>146.52943274543205</c:v>
                </c:pt>
                <c:pt idx="109">
                  <c:v>146.54063601893424</c:v>
                </c:pt>
                <c:pt idx="110">
                  <c:v>146.55213826591677</c:v>
                </c:pt>
                <c:pt idx="111">
                  <c:v>146.56291050987821</c:v>
                </c:pt>
                <c:pt idx="112">
                  <c:v>146.57434012023413</c:v>
                </c:pt>
                <c:pt idx="113">
                  <c:v>146.58545375797985</c:v>
                </c:pt>
                <c:pt idx="114">
                  <c:v>146.59746100823403</c:v>
                </c:pt>
                <c:pt idx="115">
                  <c:v>146.60908315700354</c:v>
                </c:pt>
                <c:pt idx="116">
                  <c:v>146.62129457302404</c:v>
                </c:pt>
                <c:pt idx="117">
                  <c:v>146.63213341455187</c:v>
                </c:pt>
                <c:pt idx="118">
                  <c:v>146.64251632553433</c:v>
                </c:pt>
                <c:pt idx="119">
                  <c:v>146.65294586035915</c:v>
                </c:pt>
                <c:pt idx="120">
                  <c:v>146.66310542480579</c:v>
                </c:pt>
                <c:pt idx="121">
                  <c:v>146.67358499260146</c:v>
                </c:pt>
                <c:pt idx="122">
                  <c:v>146.68371666855182</c:v>
                </c:pt>
                <c:pt idx="123">
                  <c:v>146.6936173229422</c:v>
                </c:pt>
                <c:pt idx="124">
                  <c:v>146.70448987608796</c:v>
                </c:pt>
                <c:pt idx="125">
                  <c:v>146.71530800247356</c:v>
                </c:pt>
                <c:pt idx="126">
                  <c:v>146.72689543024001</c:v>
                </c:pt>
                <c:pt idx="127">
                  <c:v>146.73758336920898</c:v>
                </c:pt>
                <c:pt idx="128">
                  <c:v>146.7483755936349</c:v>
                </c:pt>
                <c:pt idx="129">
                  <c:v>146.75967373818304</c:v>
                </c:pt>
                <c:pt idx="130">
                  <c:v>146.77128461533133</c:v>
                </c:pt>
                <c:pt idx="131">
                  <c:v>146.78304971884876</c:v>
                </c:pt>
                <c:pt idx="132">
                  <c:v>146.79406275324368</c:v>
                </c:pt>
                <c:pt idx="133">
                  <c:v>146.80498290428784</c:v>
                </c:pt>
                <c:pt idx="134">
                  <c:v>146.81533322248185</c:v>
                </c:pt>
                <c:pt idx="135">
                  <c:v>146.82544973707479</c:v>
                </c:pt>
                <c:pt idx="136">
                  <c:v>146.8361076319691</c:v>
                </c:pt>
                <c:pt idx="137">
                  <c:v>146.8463360171761</c:v>
                </c:pt>
                <c:pt idx="138">
                  <c:v>146.85655450685303</c:v>
                </c:pt>
                <c:pt idx="139">
                  <c:v>146.86585033708911</c:v>
                </c:pt>
                <c:pt idx="140">
                  <c:v>146.87565692668736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45504</c:v>
                </c:pt>
                <c:pt idx="1">
                  <c:v>45505</c:v>
                </c:pt>
                <c:pt idx="2">
                  <c:v>45506</c:v>
                </c:pt>
                <c:pt idx="3">
                  <c:v>45507</c:v>
                </c:pt>
                <c:pt idx="4">
                  <c:v>45508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45514</c:v>
                </c:pt>
                <c:pt idx="11">
                  <c:v>45515</c:v>
                </c:pt>
                <c:pt idx="12">
                  <c:v>45516</c:v>
                </c:pt>
                <c:pt idx="13">
                  <c:v>45517</c:v>
                </c:pt>
                <c:pt idx="14">
                  <c:v>45518</c:v>
                </c:pt>
                <c:pt idx="15">
                  <c:v>45519</c:v>
                </c:pt>
                <c:pt idx="16">
                  <c:v>45520</c:v>
                </c:pt>
                <c:pt idx="17">
                  <c:v>45521</c:v>
                </c:pt>
                <c:pt idx="18">
                  <c:v>45522</c:v>
                </c:pt>
                <c:pt idx="19">
                  <c:v>45523</c:v>
                </c:pt>
                <c:pt idx="20">
                  <c:v>45524</c:v>
                </c:pt>
                <c:pt idx="21">
                  <c:v>45525</c:v>
                </c:pt>
                <c:pt idx="22">
                  <c:v>45526</c:v>
                </c:pt>
                <c:pt idx="23">
                  <c:v>45527</c:v>
                </c:pt>
                <c:pt idx="24">
                  <c:v>45528</c:v>
                </c:pt>
                <c:pt idx="25">
                  <c:v>45529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45535</c:v>
                </c:pt>
                <c:pt idx="32">
                  <c:v>45536</c:v>
                </c:pt>
                <c:pt idx="33">
                  <c:v>45537</c:v>
                </c:pt>
                <c:pt idx="34">
                  <c:v>45538</c:v>
                </c:pt>
                <c:pt idx="35">
                  <c:v>45539</c:v>
                </c:pt>
                <c:pt idx="36">
                  <c:v>45540</c:v>
                </c:pt>
                <c:pt idx="37">
                  <c:v>45541</c:v>
                </c:pt>
                <c:pt idx="38">
                  <c:v>45542</c:v>
                </c:pt>
                <c:pt idx="39">
                  <c:v>45543</c:v>
                </c:pt>
                <c:pt idx="40">
                  <c:v>45544</c:v>
                </c:pt>
                <c:pt idx="41">
                  <c:v>45545</c:v>
                </c:pt>
                <c:pt idx="42">
                  <c:v>45546</c:v>
                </c:pt>
                <c:pt idx="43">
                  <c:v>45547</c:v>
                </c:pt>
                <c:pt idx="44">
                  <c:v>45548</c:v>
                </c:pt>
                <c:pt idx="45">
                  <c:v>45549</c:v>
                </c:pt>
                <c:pt idx="46">
                  <c:v>45550</c:v>
                </c:pt>
                <c:pt idx="47">
                  <c:v>45551</c:v>
                </c:pt>
                <c:pt idx="48">
                  <c:v>45552</c:v>
                </c:pt>
                <c:pt idx="49">
                  <c:v>45553</c:v>
                </c:pt>
                <c:pt idx="50">
                  <c:v>45554</c:v>
                </c:pt>
                <c:pt idx="51">
                  <c:v>45555</c:v>
                </c:pt>
                <c:pt idx="52">
                  <c:v>45556</c:v>
                </c:pt>
                <c:pt idx="53">
                  <c:v>45557</c:v>
                </c:pt>
                <c:pt idx="54">
                  <c:v>45558</c:v>
                </c:pt>
                <c:pt idx="55">
                  <c:v>45559</c:v>
                </c:pt>
                <c:pt idx="56">
                  <c:v>45560</c:v>
                </c:pt>
                <c:pt idx="57">
                  <c:v>45561</c:v>
                </c:pt>
                <c:pt idx="58">
                  <c:v>45562</c:v>
                </c:pt>
                <c:pt idx="59">
                  <c:v>45563</c:v>
                </c:pt>
                <c:pt idx="60">
                  <c:v>45564</c:v>
                </c:pt>
                <c:pt idx="61">
                  <c:v>45565</c:v>
                </c:pt>
                <c:pt idx="62">
                  <c:v>45566</c:v>
                </c:pt>
                <c:pt idx="63">
                  <c:v>45567</c:v>
                </c:pt>
                <c:pt idx="64">
                  <c:v>45568</c:v>
                </c:pt>
                <c:pt idx="65">
                  <c:v>45569</c:v>
                </c:pt>
                <c:pt idx="66">
                  <c:v>45570</c:v>
                </c:pt>
                <c:pt idx="67">
                  <c:v>45571</c:v>
                </c:pt>
                <c:pt idx="68">
                  <c:v>45572</c:v>
                </c:pt>
                <c:pt idx="69">
                  <c:v>45573</c:v>
                </c:pt>
                <c:pt idx="70">
                  <c:v>45574</c:v>
                </c:pt>
                <c:pt idx="71">
                  <c:v>45575</c:v>
                </c:pt>
                <c:pt idx="72">
                  <c:v>45576</c:v>
                </c:pt>
                <c:pt idx="73">
                  <c:v>45577</c:v>
                </c:pt>
                <c:pt idx="74">
                  <c:v>45578</c:v>
                </c:pt>
                <c:pt idx="75">
                  <c:v>45579</c:v>
                </c:pt>
                <c:pt idx="76">
                  <c:v>45580</c:v>
                </c:pt>
                <c:pt idx="77">
                  <c:v>45581</c:v>
                </c:pt>
                <c:pt idx="78">
                  <c:v>45582</c:v>
                </c:pt>
                <c:pt idx="79">
                  <c:v>45583</c:v>
                </c:pt>
                <c:pt idx="80">
                  <c:v>45584</c:v>
                </c:pt>
                <c:pt idx="81">
                  <c:v>45585</c:v>
                </c:pt>
                <c:pt idx="82">
                  <c:v>45586</c:v>
                </c:pt>
                <c:pt idx="83">
                  <c:v>45587</c:v>
                </c:pt>
                <c:pt idx="84">
                  <c:v>45588</c:v>
                </c:pt>
                <c:pt idx="85">
                  <c:v>45589</c:v>
                </c:pt>
                <c:pt idx="86">
                  <c:v>45590</c:v>
                </c:pt>
                <c:pt idx="87">
                  <c:v>45591</c:v>
                </c:pt>
                <c:pt idx="88">
                  <c:v>45592</c:v>
                </c:pt>
                <c:pt idx="89">
                  <c:v>45593</c:v>
                </c:pt>
                <c:pt idx="90">
                  <c:v>45594</c:v>
                </c:pt>
                <c:pt idx="91">
                  <c:v>45595</c:v>
                </c:pt>
                <c:pt idx="92">
                  <c:v>45596</c:v>
                </c:pt>
                <c:pt idx="93">
                  <c:v>45597</c:v>
                </c:pt>
                <c:pt idx="94">
                  <c:v>45598</c:v>
                </c:pt>
                <c:pt idx="95">
                  <c:v>45599</c:v>
                </c:pt>
                <c:pt idx="96">
                  <c:v>45600</c:v>
                </c:pt>
                <c:pt idx="97">
                  <c:v>45601</c:v>
                </c:pt>
                <c:pt idx="98">
                  <c:v>45602</c:v>
                </c:pt>
                <c:pt idx="99">
                  <c:v>45603</c:v>
                </c:pt>
                <c:pt idx="100">
                  <c:v>45604</c:v>
                </c:pt>
                <c:pt idx="101">
                  <c:v>45605</c:v>
                </c:pt>
                <c:pt idx="102">
                  <c:v>45606</c:v>
                </c:pt>
                <c:pt idx="103">
                  <c:v>45607</c:v>
                </c:pt>
                <c:pt idx="104">
                  <c:v>45608</c:v>
                </c:pt>
                <c:pt idx="105">
                  <c:v>45609</c:v>
                </c:pt>
                <c:pt idx="106">
                  <c:v>45610</c:v>
                </c:pt>
                <c:pt idx="107">
                  <c:v>45611</c:v>
                </c:pt>
                <c:pt idx="108">
                  <c:v>45612</c:v>
                </c:pt>
                <c:pt idx="109">
                  <c:v>45613</c:v>
                </c:pt>
                <c:pt idx="110">
                  <c:v>45614</c:v>
                </c:pt>
                <c:pt idx="111">
                  <c:v>45615</c:v>
                </c:pt>
                <c:pt idx="112">
                  <c:v>45616</c:v>
                </c:pt>
                <c:pt idx="113">
                  <c:v>45617</c:v>
                </c:pt>
                <c:pt idx="114">
                  <c:v>45618</c:v>
                </c:pt>
                <c:pt idx="115">
                  <c:v>45619</c:v>
                </c:pt>
                <c:pt idx="116">
                  <c:v>45620</c:v>
                </c:pt>
                <c:pt idx="117">
                  <c:v>45621</c:v>
                </c:pt>
                <c:pt idx="118">
                  <c:v>45622</c:v>
                </c:pt>
                <c:pt idx="119">
                  <c:v>45623</c:v>
                </c:pt>
                <c:pt idx="120">
                  <c:v>45624</c:v>
                </c:pt>
                <c:pt idx="121">
                  <c:v>45625</c:v>
                </c:pt>
                <c:pt idx="122">
                  <c:v>45626</c:v>
                </c:pt>
                <c:pt idx="123">
                  <c:v>45627</c:v>
                </c:pt>
                <c:pt idx="124">
                  <c:v>45628</c:v>
                </c:pt>
                <c:pt idx="125">
                  <c:v>45629</c:v>
                </c:pt>
                <c:pt idx="126">
                  <c:v>45630</c:v>
                </c:pt>
                <c:pt idx="127">
                  <c:v>45631</c:v>
                </c:pt>
                <c:pt idx="128">
                  <c:v>45632</c:v>
                </c:pt>
                <c:pt idx="129">
                  <c:v>45633</c:v>
                </c:pt>
                <c:pt idx="130">
                  <c:v>45634</c:v>
                </c:pt>
                <c:pt idx="131">
                  <c:v>45635</c:v>
                </c:pt>
                <c:pt idx="132">
                  <c:v>45636</c:v>
                </c:pt>
                <c:pt idx="133">
                  <c:v>45637</c:v>
                </c:pt>
                <c:pt idx="134">
                  <c:v>45638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45504</c:v>
                </c:pt>
                <c:pt idx="1">
                  <c:v>45505</c:v>
                </c:pt>
                <c:pt idx="2">
                  <c:v>45506</c:v>
                </c:pt>
                <c:pt idx="3">
                  <c:v>45507</c:v>
                </c:pt>
                <c:pt idx="4">
                  <c:v>45508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45514</c:v>
                </c:pt>
                <c:pt idx="11">
                  <c:v>45515</c:v>
                </c:pt>
                <c:pt idx="12">
                  <c:v>45516</c:v>
                </c:pt>
                <c:pt idx="13">
                  <c:v>45517</c:v>
                </c:pt>
                <c:pt idx="14">
                  <c:v>45518</c:v>
                </c:pt>
                <c:pt idx="15">
                  <c:v>45519</c:v>
                </c:pt>
                <c:pt idx="16">
                  <c:v>45520</c:v>
                </c:pt>
                <c:pt idx="17">
                  <c:v>45521</c:v>
                </c:pt>
                <c:pt idx="18">
                  <c:v>45522</c:v>
                </c:pt>
                <c:pt idx="19">
                  <c:v>45523</c:v>
                </c:pt>
                <c:pt idx="20">
                  <c:v>45524</c:v>
                </c:pt>
                <c:pt idx="21">
                  <c:v>45525</c:v>
                </c:pt>
                <c:pt idx="22">
                  <c:v>45526</c:v>
                </c:pt>
                <c:pt idx="23">
                  <c:v>45527</c:v>
                </c:pt>
                <c:pt idx="24">
                  <c:v>45528</c:v>
                </c:pt>
                <c:pt idx="25">
                  <c:v>45529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45535</c:v>
                </c:pt>
                <c:pt idx="32">
                  <c:v>45536</c:v>
                </c:pt>
                <c:pt idx="33">
                  <c:v>45537</c:v>
                </c:pt>
                <c:pt idx="34">
                  <c:v>45538</c:v>
                </c:pt>
                <c:pt idx="35">
                  <c:v>45539</c:v>
                </c:pt>
                <c:pt idx="36">
                  <c:v>45540</c:v>
                </c:pt>
                <c:pt idx="37">
                  <c:v>45541</c:v>
                </c:pt>
                <c:pt idx="38">
                  <c:v>45542</c:v>
                </c:pt>
                <c:pt idx="39">
                  <c:v>45543</c:v>
                </c:pt>
                <c:pt idx="40">
                  <c:v>45544</c:v>
                </c:pt>
                <c:pt idx="41">
                  <c:v>45545</c:v>
                </c:pt>
                <c:pt idx="42">
                  <c:v>45546</c:v>
                </c:pt>
                <c:pt idx="43">
                  <c:v>45547</c:v>
                </c:pt>
                <c:pt idx="44">
                  <c:v>45548</c:v>
                </c:pt>
                <c:pt idx="45">
                  <c:v>45549</c:v>
                </c:pt>
                <c:pt idx="46">
                  <c:v>45550</c:v>
                </c:pt>
                <c:pt idx="47">
                  <c:v>45551</c:v>
                </c:pt>
                <c:pt idx="48">
                  <c:v>45552</c:v>
                </c:pt>
                <c:pt idx="49">
                  <c:v>45553</c:v>
                </c:pt>
                <c:pt idx="50">
                  <c:v>45554</c:v>
                </c:pt>
                <c:pt idx="51">
                  <c:v>45555</c:v>
                </c:pt>
                <c:pt idx="52">
                  <c:v>45556</c:v>
                </c:pt>
                <c:pt idx="53">
                  <c:v>45557</c:v>
                </c:pt>
                <c:pt idx="54">
                  <c:v>45558</c:v>
                </c:pt>
                <c:pt idx="55">
                  <c:v>45559</c:v>
                </c:pt>
                <c:pt idx="56">
                  <c:v>45560</c:v>
                </c:pt>
                <c:pt idx="57">
                  <c:v>45561</c:v>
                </c:pt>
                <c:pt idx="58">
                  <c:v>45562</c:v>
                </c:pt>
                <c:pt idx="59">
                  <c:v>45563</c:v>
                </c:pt>
                <c:pt idx="60">
                  <c:v>45564</c:v>
                </c:pt>
                <c:pt idx="61">
                  <c:v>45565</c:v>
                </c:pt>
                <c:pt idx="62">
                  <c:v>45566</c:v>
                </c:pt>
                <c:pt idx="63">
                  <c:v>45567</c:v>
                </c:pt>
                <c:pt idx="64">
                  <c:v>45568</c:v>
                </c:pt>
                <c:pt idx="65">
                  <c:v>45569</c:v>
                </c:pt>
                <c:pt idx="66">
                  <c:v>45570</c:v>
                </c:pt>
                <c:pt idx="67">
                  <c:v>45571</c:v>
                </c:pt>
                <c:pt idx="68">
                  <c:v>45572</c:v>
                </c:pt>
                <c:pt idx="69">
                  <c:v>45573</c:v>
                </c:pt>
                <c:pt idx="70">
                  <c:v>45574</c:v>
                </c:pt>
                <c:pt idx="71">
                  <c:v>45575</c:v>
                </c:pt>
                <c:pt idx="72">
                  <c:v>45576</c:v>
                </c:pt>
                <c:pt idx="73">
                  <c:v>45577</c:v>
                </c:pt>
                <c:pt idx="74">
                  <c:v>45578</c:v>
                </c:pt>
                <c:pt idx="75">
                  <c:v>45579</c:v>
                </c:pt>
                <c:pt idx="76">
                  <c:v>45580</c:v>
                </c:pt>
                <c:pt idx="77">
                  <c:v>45581</c:v>
                </c:pt>
                <c:pt idx="78">
                  <c:v>45582</c:v>
                </c:pt>
                <c:pt idx="79">
                  <c:v>45583</c:v>
                </c:pt>
                <c:pt idx="80">
                  <c:v>45584</c:v>
                </c:pt>
                <c:pt idx="81">
                  <c:v>45585</c:v>
                </c:pt>
                <c:pt idx="82">
                  <c:v>45586</c:v>
                </c:pt>
                <c:pt idx="83">
                  <c:v>45587</c:v>
                </c:pt>
                <c:pt idx="84">
                  <c:v>45588</c:v>
                </c:pt>
                <c:pt idx="85">
                  <c:v>45589</c:v>
                </c:pt>
                <c:pt idx="86">
                  <c:v>45590</c:v>
                </c:pt>
                <c:pt idx="87">
                  <c:v>45591</c:v>
                </c:pt>
                <c:pt idx="88">
                  <c:v>45592</c:v>
                </c:pt>
                <c:pt idx="89">
                  <c:v>45593</c:v>
                </c:pt>
                <c:pt idx="90">
                  <c:v>45594</c:v>
                </c:pt>
                <c:pt idx="91">
                  <c:v>45595</c:v>
                </c:pt>
                <c:pt idx="92">
                  <c:v>45596</c:v>
                </c:pt>
                <c:pt idx="93">
                  <c:v>45597</c:v>
                </c:pt>
                <c:pt idx="94">
                  <c:v>45598</c:v>
                </c:pt>
                <c:pt idx="95">
                  <c:v>45599</c:v>
                </c:pt>
                <c:pt idx="96">
                  <c:v>45600</c:v>
                </c:pt>
                <c:pt idx="97">
                  <c:v>45601</c:v>
                </c:pt>
                <c:pt idx="98">
                  <c:v>45602</c:v>
                </c:pt>
                <c:pt idx="99">
                  <c:v>45603</c:v>
                </c:pt>
                <c:pt idx="100">
                  <c:v>45604</c:v>
                </c:pt>
                <c:pt idx="101">
                  <c:v>45605</c:v>
                </c:pt>
                <c:pt idx="102">
                  <c:v>45606</c:v>
                </c:pt>
                <c:pt idx="103">
                  <c:v>45607</c:v>
                </c:pt>
                <c:pt idx="104">
                  <c:v>45608</c:v>
                </c:pt>
                <c:pt idx="105">
                  <c:v>45609</c:v>
                </c:pt>
                <c:pt idx="106">
                  <c:v>45610</c:v>
                </c:pt>
                <c:pt idx="107">
                  <c:v>45611</c:v>
                </c:pt>
                <c:pt idx="108">
                  <c:v>45612</c:v>
                </c:pt>
                <c:pt idx="109">
                  <c:v>45613</c:v>
                </c:pt>
                <c:pt idx="110">
                  <c:v>45614</c:v>
                </c:pt>
                <c:pt idx="111">
                  <c:v>45615</c:v>
                </c:pt>
                <c:pt idx="112">
                  <c:v>45616</c:v>
                </c:pt>
                <c:pt idx="113">
                  <c:v>45617</c:v>
                </c:pt>
                <c:pt idx="114">
                  <c:v>45618</c:v>
                </c:pt>
                <c:pt idx="115">
                  <c:v>45619</c:v>
                </c:pt>
                <c:pt idx="116">
                  <c:v>45620</c:v>
                </c:pt>
                <c:pt idx="117">
                  <c:v>45621</c:v>
                </c:pt>
                <c:pt idx="118">
                  <c:v>45622</c:v>
                </c:pt>
                <c:pt idx="119">
                  <c:v>45623</c:v>
                </c:pt>
                <c:pt idx="120">
                  <c:v>45624</c:v>
                </c:pt>
                <c:pt idx="121">
                  <c:v>45625</c:v>
                </c:pt>
                <c:pt idx="122">
                  <c:v>45626</c:v>
                </c:pt>
                <c:pt idx="123">
                  <c:v>45627</c:v>
                </c:pt>
                <c:pt idx="124">
                  <c:v>45628</c:v>
                </c:pt>
                <c:pt idx="125">
                  <c:v>45629</c:v>
                </c:pt>
                <c:pt idx="126">
                  <c:v>45630</c:v>
                </c:pt>
                <c:pt idx="127">
                  <c:v>45631</c:v>
                </c:pt>
                <c:pt idx="128">
                  <c:v>45632</c:v>
                </c:pt>
                <c:pt idx="129">
                  <c:v>45633</c:v>
                </c:pt>
                <c:pt idx="130">
                  <c:v>45634</c:v>
                </c:pt>
                <c:pt idx="131">
                  <c:v>45635</c:v>
                </c:pt>
                <c:pt idx="132">
                  <c:v>45636</c:v>
                </c:pt>
                <c:pt idx="133">
                  <c:v>45637</c:v>
                </c:pt>
                <c:pt idx="134">
                  <c:v>45638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22.654522837635106</c:v>
                </c:pt>
                <c:pt idx="1">
                  <c:v>17.721931938667613</c:v>
                </c:pt>
                <c:pt idx="2">
                  <c:v>13.562753462226501</c:v>
                </c:pt>
                <c:pt idx="3">
                  <c:v>9.3160215762937924</c:v>
                </c:pt>
                <c:pt idx="4">
                  <c:v>5.6695812428552692</c:v>
                </c:pt>
                <c:pt idx="5">
                  <c:v>2.1747835250628236</c:v>
                </c:pt>
                <c:pt idx="6">
                  <c:v>-1.128852218836391</c:v>
                </c:pt>
                <c:pt idx="7">
                  <c:v>-4.1073937153289739</c:v>
                </c:pt>
                <c:pt idx="8">
                  <c:v>-6.6609989548981234</c:v>
                </c:pt>
                <c:pt idx="9">
                  <c:v>-8.9555738107165155</c:v>
                </c:pt>
                <c:pt idx="10">
                  <c:v>-11.37395505486068</c:v>
                </c:pt>
                <c:pt idx="11">
                  <c:v>-13.770829148835503</c:v>
                </c:pt>
                <c:pt idx="12">
                  <c:v>-16.109734237651413</c:v>
                </c:pt>
                <c:pt idx="13">
                  <c:v>-18.383298718741507</c:v>
                </c:pt>
                <c:pt idx="14">
                  <c:v>-20.457608733977867</c:v>
                </c:pt>
                <c:pt idx="15">
                  <c:v>-22.465512738917976</c:v>
                </c:pt>
                <c:pt idx="16">
                  <c:v>-24.33947227734604</c:v>
                </c:pt>
                <c:pt idx="17">
                  <c:v>-25.970413409256373</c:v>
                </c:pt>
                <c:pt idx="18">
                  <c:v>-27.609595029332933</c:v>
                </c:pt>
                <c:pt idx="19">
                  <c:v>-29.112877425600125</c:v>
                </c:pt>
                <c:pt idx="20">
                  <c:v>-30.592945804138246</c:v>
                </c:pt>
                <c:pt idx="21">
                  <c:v>-31.939047856887321</c:v>
                </c:pt>
                <c:pt idx="22">
                  <c:v>-33.199236043452494</c:v>
                </c:pt>
                <c:pt idx="23">
                  <c:v>-34.403596149555888</c:v>
                </c:pt>
                <c:pt idx="24">
                  <c:v>-35.497517199999891</c:v>
                </c:pt>
                <c:pt idx="25">
                  <c:v>-36.602719584349082</c:v>
                </c:pt>
                <c:pt idx="26">
                  <c:v>-37.610180847858537</c:v>
                </c:pt>
                <c:pt idx="27">
                  <c:v>-38.547177937401898</c:v>
                </c:pt>
                <c:pt idx="28">
                  <c:v>-39.347125304798467</c:v>
                </c:pt>
                <c:pt idx="29">
                  <c:v>-40.095368032073431</c:v>
                </c:pt>
                <c:pt idx="30">
                  <c:v>-40.725063549700856</c:v>
                </c:pt>
                <c:pt idx="31">
                  <c:v>-41.246908187429817</c:v>
                </c:pt>
                <c:pt idx="32">
                  <c:v>-41.679695946640329</c:v>
                </c:pt>
                <c:pt idx="33">
                  <c:v>-42.053509507202961</c:v>
                </c:pt>
                <c:pt idx="34">
                  <c:v>-42.375039743827408</c:v>
                </c:pt>
                <c:pt idx="35">
                  <c:v>-42.62806126340562</c:v>
                </c:pt>
                <c:pt idx="36">
                  <c:v>-42.833911068812967</c:v>
                </c:pt>
                <c:pt idx="37">
                  <c:v>-42.984043869321951</c:v>
                </c:pt>
                <c:pt idx="38">
                  <c:v>-43.069893617153355</c:v>
                </c:pt>
                <c:pt idx="39">
                  <c:v>-43.097139279187658</c:v>
                </c:pt>
                <c:pt idx="40">
                  <c:v>-43.075748215757123</c:v>
                </c:pt>
                <c:pt idx="41">
                  <c:v>-42.999930549547521</c:v>
                </c:pt>
                <c:pt idx="42">
                  <c:v>-42.874424663887929</c:v>
                </c:pt>
                <c:pt idx="43">
                  <c:v>-42.685380535398778</c:v>
                </c:pt>
                <c:pt idx="44">
                  <c:v>-42.445679428286134</c:v>
                </c:pt>
                <c:pt idx="45">
                  <c:v>-42.147742576932188</c:v>
                </c:pt>
                <c:pt idx="46">
                  <c:v>-41.802235801729907</c:v>
                </c:pt>
                <c:pt idx="47">
                  <c:v>-41.372279076925579</c:v>
                </c:pt>
                <c:pt idx="48">
                  <c:v>-40.927834853240952</c:v>
                </c:pt>
                <c:pt idx="49">
                  <c:v>-40.479259421238474</c:v>
                </c:pt>
                <c:pt idx="50">
                  <c:v>-40.000995141898464</c:v>
                </c:pt>
                <c:pt idx="51">
                  <c:v>-39.51668468180231</c:v>
                </c:pt>
                <c:pt idx="52">
                  <c:v>-38.987636232813095</c:v>
                </c:pt>
                <c:pt idx="53">
                  <c:v>-38.383378372713324</c:v>
                </c:pt>
                <c:pt idx="54">
                  <c:v>-37.703527746482322</c:v>
                </c:pt>
                <c:pt idx="55">
                  <c:v>-36.956632297403829</c:v>
                </c:pt>
                <c:pt idx="56">
                  <c:v>-36.204348481411714</c:v>
                </c:pt>
                <c:pt idx="57">
                  <c:v>-35.412306675606146</c:v>
                </c:pt>
                <c:pt idx="58">
                  <c:v>-34.547825337676436</c:v>
                </c:pt>
                <c:pt idx="59">
                  <c:v>-33.624685494858419</c:v>
                </c:pt>
                <c:pt idx="60">
                  <c:v>-32.68087171966036</c:v>
                </c:pt>
                <c:pt idx="61">
                  <c:v>-31.783151828905272</c:v>
                </c:pt>
                <c:pt idx="62">
                  <c:v>-30.829648257911657</c:v>
                </c:pt>
                <c:pt idx="63">
                  <c:v>-29.766096020523339</c:v>
                </c:pt>
                <c:pt idx="64">
                  <c:v>-28.770341415266355</c:v>
                </c:pt>
                <c:pt idx="65">
                  <c:v>-27.758758509975564</c:v>
                </c:pt>
                <c:pt idx="66">
                  <c:v>-26.738311934696871</c:v>
                </c:pt>
                <c:pt idx="67">
                  <c:v>-25.695084146392503</c:v>
                </c:pt>
                <c:pt idx="68">
                  <c:v>-24.631043445731311</c:v>
                </c:pt>
                <c:pt idx="69">
                  <c:v>-23.584695969364443</c:v>
                </c:pt>
                <c:pt idx="70">
                  <c:v>-22.545056494303513</c:v>
                </c:pt>
                <c:pt idx="71">
                  <c:v>-21.374246183100887</c:v>
                </c:pt>
                <c:pt idx="72">
                  <c:v>-20.177748494336985</c:v>
                </c:pt>
                <c:pt idx="73">
                  <c:v>-19.013970250386791</c:v>
                </c:pt>
                <c:pt idx="74">
                  <c:v>-17.768950880748442</c:v>
                </c:pt>
                <c:pt idx="75">
                  <c:v>-16.521153092150001</c:v>
                </c:pt>
                <c:pt idx="76">
                  <c:v>-15.303425225853198</c:v>
                </c:pt>
                <c:pt idx="77">
                  <c:v>-13.997861627931261</c:v>
                </c:pt>
                <c:pt idx="78">
                  <c:v>-12.710542989134348</c:v>
                </c:pt>
                <c:pt idx="79">
                  <c:v>-11.48538179839869</c:v>
                </c:pt>
                <c:pt idx="80">
                  <c:v>-10.240740734406698</c:v>
                </c:pt>
                <c:pt idx="81">
                  <c:v>-9.0588823896505666</c:v>
                </c:pt>
                <c:pt idx="82">
                  <c:v>-7.7830701037377121</c:v>
                </c:pt>
                <c:pt idx="83">
                  <c:v>-6.575832032947643</c:v>
                </c:pt>
                <c:pt idx="84">
                  <c:v>-5.417832818401866</c:v>
                </c:pt>
                <c:pt idx="85">
                  <c:v>-4.2398331098248381</c:v>
                </c:pt>
                <c:pt idx="86">
                  <c:v>-2.9410887776138299</c:v>
                </c:pt>
                <c:pt idx="87">
                  <c:v>-1.5504230539854</c:v>
                </c:pt>
                <c:pt idx="88">
                  <c:v>-0.12096444671460593</c:v>
                </c:pt>
                <c:pt idx="89">
                  <c:v>1.3802917651480486</c:v>
                </c:pt>
                <c:pt idx="90">
                  <c:v>2.7155781013727718</c:v>
                </c:pt>
                <c:pt idx="91">
                  <c:v>4.0113233170553366</c:v>
                </c:pt>
                <c:pt idx="92">
                  <c:v>5.2803036153312091</c:v>
                </c:pt>
                <c:pt idx="93">
                  <c:v>6.591037604355412</c:v>
                </c:pt>
                <c:pt idx="94">
                  <c:v>8.1123026806692913</c:v>
                </c:pt>
                <c:pt idx="95">
                  <c:v>9.5444608950395669</c:v>
                </c:pt>
                <c:pt idx="96">
                  <c:v>10.83795425772724</c:v>
                </c:pt>
                <c:pt idx="97">
                  <c:v>12.029263946127156</c:v>
                </c:pt>
                <c:pt idx="98">
                  <c:v>13.217673761166029</c:v>
                </c:pt>
                <c:pt idx="99">
                  <c:v>14.446476013640559</c:v>
                </c:pt>
                <c:pt idx="100">
                  <c:v>15.702602538226412</c:v>
                </c:pt>
                <c:pt idx="101">
                  <c:v>16.888381628264817</c:v>
                </c:pt>
                <c:pt idx="102">
                  <c:v>18.128560096749634</c:v>
                </c:pt>
                <c:pt idx="103">
                  <c:v>19.285520200832583</c:v>
                </c:pt>
                <c:pt idx="104">
                  <c:v>20.335766513477122</c:v>
                </c:pt>
                <c:pt idx="105">
                  <c:v>21.338714384138651</c:v>
                </c:pt>
                <c:pt idx="106">
                  <c:v>22.386315857127212</c:v>
                </c:pt>
                <c:pt idx="107">
                  <c:v>23.606898437214312</c:v>
                </c:pt>
                <c:pt idx="108">
                  <c:v>24.922639805441499</c:v>
                </c:pt>
                <c:pt idx="109">
                  <c:v>26.270864610615781</c:v>
                </c:pt>
                <c:pt idx="110">
                  <c:v>27.481246665673424</c:v>
                </c:pt>
                <c:pt idx="111">
                  <c:v>28.681931244015818</c:v>
                </c:pt>
                <c:pt idx="112">
                  <c:v>29.836580724598715</c:v>
                </c:pt>
                <c:pt idx="113">
                  <c:v>30.942685488138512</c:v>
                </c:pt>
                <c:pt idx="114">
                  <c:v>32.002465394131441</c:v>
                </c:pt>
                <c:pt idx="115">
                  <c:v>33.022287339212561</c:v>
                </c:pt>
                <c:pt idx="116">
                  <c:v>34.087968243517807</c:v>
                </c:pt>
                <c:pt idx="117">
                  <c:v>35.236555292118695</c:v>
                </c:pt>
                <c:pt idx="118">
                  <c:v>36.364939881606347</c:v>
                </c:pt>
                <c:pt idx="119">
                  <c:v>37.599812893016768</c:v>
                </c:pt>
                <c:pt idx="120">
                  <c:v>38.649379892196613</c:v>
                </c:pt>
                <c:pt idx="121">
                  <c:v>39.844893011423792</c:v>
                </c:pt>
                <c:pt idx="122">
                  <c:v>41.120687823752483</c:v>
                </c:pt>
                <c:pt idx="123">
                  <c:v>42.3339245965009</c:v>
                </c:pt>
                <c:pt idx="124">
                  <c:v>43.50386447930024</c:v>
                </c:pt>
                <c:pt idx="125">
                  <c:v>44.704547774111532</c:v>
                </c:pt>
                <c:pt idx="126">
                  <c:v>45.822804289348184</c:v>
                </c:pt>
                <c:pt idx="127">
                  <c:v>46.931990126230367</c:v>
                </c:pt>
                <c:pt idx="128">
                  <c:v>47.984409421768142</c:v>
                </c:pt>
                <c:pt idx="129">
                  <c:v>49.064516397378497</c:v>
                </c:pt>
                <c:pt idx="130">
                  <c:v>50.151563360840143</c:v>
                </c:pt>
                <c:pt idx="131">
                  <c:v>51.409167551229658</c:v>
                </c:pt>
                <c:pt idx="132">
                  <c:v>52.710190662852021</c:v>
                </c:pt>
                <c:pt idx="133">
                  <c:v>53.921238728906495</c:v>
                </c:pt>
                <c:pt idx="134">
                  <c:v>55.065859117002596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-0.68903599336487065</c:v>
                </c:pt>
                <c:pt idx="1">
                  <c:v>-1.1047442459618324</c:v>
                </c:pt>
                <c:pt idx="2">
                  <c:v>-1.1707421783134471</c:v>
                </c:pt>
                <c:pt idx="3">
                  <c:v>-1.4954590006836899</c:v>
                </c:pt>
                <c:pt idx="4">
                  <c:v>-1.5608943522115029</c:v>
                </c:pt>
                <c:pt idx="5">
                  <c:v>-1.6138057399756414</c:v>
                </c:pt>
                <c:pt idx="6">
                  <c:v>-1.6138057399756414</c:v>
                </c:pt>
                <c:pt idx="7">
                  <c:v>-1.6138057399756414</c:v>
                </c:pt>
                <c:pt idx="8">
                  <c:v>-1.6138057399756414</c:v>
                </c:pt>
                <c:pt idx="9">
                  <c:v>-1.6138057399756414</c:v>
                </c:pt>
                <c:pt idx="10">
                  <c:v>-1.6138057399756414</c:v>
                </c:pt>
                <c:pt idx="11">
                  <c:v>-1.6138057399756414</c:v>
                </c:pt>
                <c:pt idx="12">
                  <c:v>-1.6138057399756414</c:v>
                </c:pt>
                <c:pt idx="13">
                  <c:v>-1.6138057399756414</c:v>
                </c:pt>
                <c:pt idx="14">
                  <c:v>-1.6138057399756414</c:v>
                </c:pt>
                <c:pt idx="15">
                  <c:v>-1.6138057399756414</c:v>
                </c:pt>
                <c:pt idx="16">
                  <c:v>-1.6138057399756414</c:v>
                </c:pt>
                <c:pt idx="17">
                  <c:v>-1.6138057399756414</c:v>
                </c:pt>
                <c:pt idx="18">
                  <c:v>-1.6138057399756414</c:v>
                </c:pt>
                <c:pt idx="19">
                  <c:v>-1.6138057399756414</c:v>
                </c:pt>
                <c:pt idx="20">
                  <c:v>-1.6138057399756414</c:v>
                </c:pt>
                <c:pt idx="21">
                  <c:v>-1.6138057399756414</c:v>
                </c:pt>
                <c:pt idx="22">
                  <c:v>-1.6138057399756414</c:v>
                </c:pt>
                <c:pt idx="23">
                  <c:v>-1.6138057399756414</c:v>
                </c:pt>
                <c:pt idx="24">
                  <c:v>-1.6138057399756414</c:v>
                </c:pt>
                <c:pt idx="25">
                  <c:v>-1.6138057399756414</c:v>
                </c:pt>
                <c:pt idx="26">
                  <c:v>-1.6138057399756414</c:v>
                </c:pt>
                <c:pt idx="27">
                  <c:v>-1.6138057399756414</c:v>
                </c:pt>
                <c:pt idx="28">
                  <c:v>-1.6138057399756414</c:v>
                </c:pt>
                <c:pt idx="29">
                  <c:v>-1.6138057399756414</c:v>
                </c:pt>
                <c:pt idx="30">
                  <c:v>-1.6138057399756414</c:v>
                </c:pt>
                <c:pt idx="31">
                  <c:v>-1.6138057399756414</c:v>
                </c:pt>
                <c:pt idx="32">
                  <c:v>-1.6138057399756414</c:v>
                </c:pt>
                <c:pt idx="33">
                  <c:v>-1.6138057399756414</c:v>
                </c:pt>
                <c:pt idx="34">
                  <c:v>-1.6138057399756414</c:v>
                </c:pt>
                <c:pt idx="35">
                  <c:v>-1.6138057399756414</c:v>
                </c:pt>
                <c:pt idx="36">
                  <c:v>-1.6138057399756414</c:v>
                </c:pt>
                <c:pt idx="37">
                  <c:v>-1.6138057399756414</c:v>
                </c:pt>
                <c:pt idx="38">
                  <c:v>-1.6138057399756414</c:v>
                </c:pt>
                <c:pt idx="39">
                  <c:v>-1.6138057399756414</c:v>
                </c:pt>
                <c:pt idx="40">
                  <c:v>-1.6138057399756414</c:v>
                </c:pt>
                <c:pt idx="41">
                  <c:v>-1.6138057399756414</c:v>
                </c:pt>
                <c:pt idx="42">
                  <c:v>-1.6138057399756414</c:v>
                </c:pt>
                <c:pt idx="43">
                  <c:v>-1.6138057399756414</c:v>
                </c:pt>
                <c:pt idx="44">
                  <c:v>-1.6138057399756414</c:v>
                </c:pt>
                <c:pt idx="45">
                  <c:v>-1.6138057399756414</c:v>
                </c:pt>
                <c:pt idx="46">
                  <c:v>-1.6138057399756414</c:v>
                </c:pt>
                <c:pt idx="47">
                  <c:v>-1.6138057399756414</c:v>
                </c:pt>
                <c:pt idx="48">
                  <c:v>-1.6138057399756414</c:v>
                </c:pt>
                <c:pt idx="49">
                  <c:v>-1.6138057399756414</c:v>
                </c:pt>
                <c:pt idx="50">
                  <c:v>-1.6138057399756414</c:v>
                </c:pt>
                <c:pt idx="51">
                  <c:v>-1.6138057399756414</c:v>
                </c:pt>
                <c:pt idx="52">
                  <c:v>-1.6138057399756414</c:v>
                </c:pt>
                <c:pt idx="53">
                  <c:v>-1.6138057399756414</c:v>
                </c:pt>
                <c:pt idx="54">
                  <c:v>-1.6138057399756414</c:v>
                </c:pt>
                <c:pt idx="55">
                  <c:v>-1.6138057399756414</c:v>
                </c:pt>
                <c:pt idx="56">
                  <c:v>-1.6138057399756414</c:v>
                </c:pt>
                <c:pt idx="57">
                  <c:v>-1.6138057399756414</c:v>
                </c:pt>
                <c:pt idx="58">
                  <c:v>-1.6138057399756414</c:v>
                </c:pt>
                <c:pt idx="59">
                  <c:v>-1.6138057399756414</c:v>
                </c:pt>
                <c:pt idx="60">
                  <c:v>-1.6138057399756414</c:v>
                </c:pt>
                <c:pt idx="61">
                  <c:v>-1.6138057399756414</c:v>
                </c:pt>
                <c:pt idx="62">
                  <c:v>-1.6138057399756414</c:v>
                </c:pt>
                <c:pt idx="63">
                  <c:v>-1.6138057399756414</c:v>
                </c:pt>
                <c:pt idx="64">
                  <c:v>-1.6138057399756414</c:v>
                </c:pt>
                <c:pt idx="65">
                  <c:v>-1.6138057399756414</c:v>
                </c:pt>
                <c:pt idx="66">
                  <c:v>-1.6138057399756414</c:v>
                </c:pt>
                <c:pt idx="67">
                  <c:v>-1.6138057399756414</c:v>
                </c:pt>
                <c:pt idx="68">
                  <c:v>-1.6138057399756414</c:v>
                </c:pt>
                <c:pt idx="69">
                  <c:v>-1.6138057399756414</c:v>
                </c:pt>
                <c:pt idx="70">
                  <c:v>-1.6138057399756414</c:v>
                </c:pt>
                <c:pt idx="71">
                  <c:v>-1.6138057399756414</c:v>
                </c:pt>
                <c:pt idx="72">
                  <c:v>-1.6138057399756414</c:v>
                </c:pt>
                <c:pt idx="73">
                  <c:v>-1.6138057399756414</c:v>
                </c:pt>
                <c:pt idx="74">
                  <c:v>-1.6138057399756414</c:v>
                </c:pt>
                <c:pt idx="75">
                  <c:v>-1.6138057399756414</c:v>
                </c:pt>
                <c:pt idx="76">
                  <c:v>-1.6138057399756414</c:v>
                </c:pt>
                <c:pt idx="77">
                  <c:v>-1.6138057399756414</c:v>
                </c:pt>
                <c:pt idx="78">
                  <c:v>-1.6138057399756414</c:v>
                </c:pt>
                <c:pt idx="79">
                  <c:v>-1.6138057399756414</c:v>
                </c:pt>
                <c:pt idx="80">
                  <c:v>-1.6138057399756414</c:v>
                </c:pt>
                <c:pt idx="81">
                  <c:v>-1.6138057399756414</c:v>
                </c:pt>
                <c:pt idx="82">
                  <c:v>-1.6138057399756414</c:v>
                </c:pt>
                <c:pt idx="83">
                  <c:v>-1.6138057399756414</c:v>
                </c:pt>
                <c:pt idx="84">
                  <c:v>-1.6138057399756414</c:v>
                </c:pt>
                <c:pt idx="85">
                  <c:v>-1.6138057399756414</c:v>
                </c:pt>
                <c:pt idx="86">
                  <c:v>-1.6138057399756414</c:v>
                </c:pt>
                <c:pt idx="87">
                  <c:v>-1.6138057399756414</c:v>
                </c:pt>
                <c:pt idx="88">
                  <c:v>-1.6138057399756414</c:v>
                </c:pt>
                <c:pt idx="89">
                  <c:v>-1.6138057399756414</c:v>
                </c:pt>
                <c:pt idx="90">
                  <c:v>-1.6138057399756414</c:v>
                </c:pt>
                <c:pt idx="91">
                  <c:v>-1.6138057399756414</c:v>
                </c:pt>
                <c:pt idx="92">
                  <c:v>-1.6138057399756414</c:v>
                </c:pt>
                <c:pt idx="93">
                  <c:v>-1.6138057399756414</c:v>
                </c:pt>
                <c:pt idx="94">
                  <c:v>-1.6138057399756414</c:v>
                </c:pt>
                <c:pt idx="95">
                  <c:v>-1.6138057399756414</c:v>
                </c:pt>
                <c:pt idx="96">
                  <c:v>-1.6138057399756414</c:v>
                </c:pt>
                <c:pt idx="97">
                  <c:v>-1.6138057399756414</c:v>
                </c:pt>
                <c:pt idx="98">
                  <c:v>-1.6138057399756414</c:v>
                </c:pt>
                <c:pt idx="99">
                  <c:v>-1.6138057399756414</c:v>
                </c:pt>
                <c:pt idx="100">
                  <c:v>-1.6138057399756414</c:v>
                </c:pt>
                <c:pt idx="101">
                  <c:v>-1.6138057399756414</c:v>
                </c:pt>
                <c:pt idx="102">
                  <c:v>-1.6138057399756414</c:v>
                </c:pt>
                <c:pt idx="103">
                  <c:v>-1.6138057399756414</c:v>
                </c:pt>
                <c:pt idx="104">
                  <c:v>-1.6138057399756414</c:v>
                </c:pt>
                <c:pt idx="105">
                  <c:v>-1.6138057399756414</c:v>
                </c:pt>
                <c:pt idx="106">
                  <c:v>-1.6138057399756414</c:v>
                </c:pt>
                <c:pt idx="107">
                  <c:v>-1.6138057399756414</c:v>
                </c:pt>
                <c:pt idx="108">
                  <c:v>-1.6138057399756414</c:v>
                </c:pt>
                <c:pt idx="109">
                  <c:v>-1.6138057399756414</c:v>
                </c:pt>
                <c:pt idx="110">
                  <c:v>-1.6138057399756414</c:v>
                </c:pt>
                <c:pt idx="111">
                  <c:v>-1.6138057399756414</c:v>
                </c:pt>
                <c:pt idx="112">
                  <c:v>-1.6138057399756414</c:v>
                </c:pt>
                <c:pt idx="113">
                  <c:v>-1.6138057399756414</c:v>
                </c:pt>
                <c:pt idx="114">
                  <c:v>-1.6138057399756414</c:v>
                </c:pt>
                <c:pt idx="115">
                  <c:v>-1.6138057399756414</c:v>
                </c:pt>
                <c:pt idx="116">
                  <c:v>-1.6138057399756414</c:v>
                </c:pt>
                <c:pt idx="117">
                  <c:v>-1.6138057399756414</c:v>
                </c:pt>
                <c:pt idx="118">
                  <c:v>-1.6138057399756414</c:v>
                </c:pt>
                <c:pt idx="119">
                  <c:v>-1.6138057399756414</c:v>
                </c:pt>
                <c:pt idx="120">
                  <c:v>-1.6138057399756414</c:v>
                </c:pt>
                <c:pt idx="121">
                  <c:v>-1.6138057399756414</c:v>
                </c:pt>
                <c:pt idx="122">
                  <c:v>-1.6138057399756414</c:v>
                </c:pt>
                <c:pt idx="123">
                  <c:v>-1.6138057399756414</c:v>
                </c:pt>
                <c:pt idx="124">
                  <c:v>-1.6138057399756414</c:v>
                </c:pt>
                <c:pt idx="125">
                  <c:v>-1.6138057399756414</c:v>
                </c:pt>
                <c:pt idx="126">
                  <c:v>-1.6138057399756414</c:v>
                </c:pt>
                <c:pt idx="127">
                  <c:v>-1.6138057399756414</c:v>
                </c:pt>
                <c:pt idx="128">
                  <c:v>-1.6138057399756414</c:v>
                </c:pt>
                <c:pt idx="129">
                  <c:v>-1.6138057399756414</c:v>
                </c:pt>
                <c:pt idx="130">
                  <c:v>-1.6138057399756414</c:v>
                </c:pt>
                <c:pt idx="131">
                  <c:v>-1.6138057399756414</c:v>
                </c:pt>
                <c:pt idx="132">
                  <c:v>-1.6138057399756414</c:v>
                </c:pt>
                <c:pt idx="133">
                  <c:v>-1.6138057399756414</c:v>
                </c:pt>
                <c:pt idx="134">
                  <c:v>-1.6138057399756414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0.70423295673958386</c:v>
                </c:pt>
                <c:pt idx="1">
                  <c:v>1.4262544653132305</c:v>
                </c:pt>
                <c:pt idx="2">
                  <c:v>2.1146385721801586</c:v>
                </c:pt>
                <c:pt idx="3">
                  <c:v>2.8083742776567178</c:v>
                </c:pt>
                <c:pt idx="4">
                  <c:v>3.4745138573724925</c:v>
                </c:pt>
                <c:pt idx="5">
                  <c:v>4.1478318487124959</c:v>
                </c:pt>
                <c:pt idx="6">
                  <c:v>4.8283773879640002</c:v>
                </c:pt>
                <c:pt idx="7">
                  <c:v>5.4743542335692892</c:v>
                </c:pt>
                <c:pt idx="8">
                  <c:v>6.0556268354757821</c:v>
                </c:pt>
                <c:pt idx="9">
                  <c:v>6.6020574400549279</c:v>
                </c:pt>
                <c:pt idx="10">
                  <c:v>7.2055287161659578</c:v>
                </c:pt>
                <c:pt idx="11">
                  <c:v>7.8349167663908261</c:v>
                </c:pt>
                <c:pt idx="12">
                  <c:v>8.4830542785156133</c:v>
                </c:pt>
                <c:pt idx="13">
                  <c:v>9.1497443013262654</c:v>
                </c:pt>
                <c:pt idx="14">
                  <c:v>9.7941036778394182</c:v>
                </c:pt>
                <c:pt idx="15">
                  <c:v>10.455576204170448</c:v>
                </c:pt>
                <c:pt idx="16">
                  <c:v>11.111584888725272</c:v>
                </c:pt>
                <c:pt idx="17">
                  <c:v>11.717642220326747</c:v>
                </c:pt>
                <c:pt idx="18">
                  <c:v>12.364968941144019</c:v>
                </c:pt>
                <c:pt idx="19">
                  <c:v>12.997812369267999</c:v>
                </c:pt>
                <c:pt idx="20">
                  <c:v>13.663951948983774</c:v>
                </c:pt>
                <c:pt idx="21">
                  <c:v>14.313712993309771</c:v>
                </c:pt>
                <c:pt idx="22">
                  <c:v>14.96727239418062</c:v>
                </c:pt>
                <c:pt idx="23">
                  <c:v>15.641144605106231</c:v>
                </c:pt>
                <c:pt idx="24">
                  <c:v>16.303987619156434</c:v>
                </c:pt>
                <c:pt idx="25">
                  <c:v>17.034465183205093</c:v>
                </c:pt>
                <c:pt idx="26">
                  <c:v>17.767571461943312</c:v>
                </c:pt>
                <c:pt idx="27">
                  <c:v>18.524008608907479</c:v>
                </c:pt>
                <c:pt idx="28">
                  <c:v>19.244898580575395</c:v>
                </c:pt>
                <c:pt idx="29">
                  <c:v>20.004022964634025</c:v>
                </c:pt>
                <c:pt idx="30">
                  <c:v>20.731004857717316</c:v>
                </c:pt>
                <c:pt idx="31">
                  <c:v>21.420513426923797</c:v>
                </c:pt>
                <c:pt idx="32">
                  <c:v>22.079523640074363</c:v>
                </c:pt>
                <c:pt idx="33">
                  <c:v>22.744563204182672</c:v>
                </c:pt>
                <c:pt idx="34">
                  <c:v>23.429861057982187</c:v>
                </c:pt>
                <c:pt idx="35">
                  <c:v>24.096275822966785</c:v>
                </c:pt>
                <c:pt idx="36">
                  <c:v>24.800223753036793</c:v>
                </c:pt>
                <c:pt idx="37">
                  <c:v>25.534500265741645</c:v>
                </c:pt>
                <c:pt idx="38">
                  <c:v>26.255390237409561</c:v>
                </c:pt>
                <c:pt idx="39">
                  <c:v>26.911126489976191</c:v>
                </c:pt>
                <c:pt idx="40">
                  <c:v>27.598387301889421</c:v>
                </c:pt>
                <c:pt idx="41">
                  <c:v>28.32362533521087</c:v>
                </c:pt>
                <c:pt idx="42">
                  <c:v>29.035868791237046</c:v>
                </c:pt>
                <c:pt idx="43">
                  <c:v>29.801887838420818</c:v>
                </c:pt>
                <c:pt idx="44">
                  <c:v>30.559518572102302</c:v>
                </c:pt>
                <c:pt idx="45">
                  <c:v>31.336711427755695</c:v>
                </c:pt>
                <c:pt idx="46">
                  <c:v>32.108153678585033</c:v>
                </c:pt>
                <c:pt idx="47">
                  <c:v>32.948150080689437</c:v>
                </c:pt>
                <c:pt idx="48">
                  <c:v>33.723827017623243</c:v>
                </c:pt>
                <c:pt idx="49">
                  <c:v>34.439521148313091</c:v>
                </c:pt>
                <c:pt idx="50">
                  <c:v>35.147180139076852</c:v>
                </c:pt>
                <c:pt idx="51">
                  <c:v>35.818560651235558</c:v>
                </c:pt>
                <c:pt idx="52">
                  <c:v>36.510603530620571</c:v>
                </c:pt>
                <c:pt idx="53">
                  <c:v>37.258422598213819</c:v>
                </c:pt>
                <c:pt idx="54">
                  <c:v>38.055800022843663</c:v>
                </c:pt>
                <c:pt idx="55">
                  <c:v>38.888174672670907</c:v>
                </c:pt>
                <c:pt idx="56">
                  <c:v>39.688638699769292</c:v>
                </c:pt>
                <c:pt idx="57">
                  <c:v>40.497231504830928</c:v>
                </c:pt>
                <c:pt idx="58">
                  <c:v>41.34617467907637</c:v>
                </c:pt>
                <c:pt idx="59">
                  <c:v>42.220026009599479</c:v>
                </c:pt>
                <c:pt idx="60">
                  <c:v>43.083795605567282</c:v>
                </c:pt>
                <c:pt idx="61">
                  <c:v>43.881481354492379</c:v>
                </c:pt>
                <c:pt idx="62">
                  <c:v>44.70659240676062</c:v>
                </c:pt>
                <c:pt idx="63">
                  <c:v>45.603476163447638</c:v>
                </c:pt>
                <c:pt idx="64">
                  <c:v>46.423557678849399</c:v>
                </c:pt>
                <c:pt idx="65">
                  <c:v>47.239566820790365</c:v>
                </c:pt>
                <c:pt idx="66">
                  <c:v>48.04721431614351</c:v>
                </c:pt>
                <c:pt idx="67">
                  <c:v>48.858535324892905</c:v>
                </c:pt>
                <c:pt idx="68">
                  <c:v>49.672669178557257</c:v>
                </c:pt>
                <c:pt idx="69">
                  <c:v>50.461443812253329</c:v>
                </c:pt>
                <c:pt idx="70">
                  <c:v>51.234699145002892</c:v>
                </c:pt>
                <c:pt idx="71">
                  <c:v>52.094262498546513</c:v>
                </c:pt>
                <c:pt idx="72">
                  <c:v>52.961601180424495</c:v>
                </c:pt>
                <c:pt idx="73">
                  <c:v>53.795560127248386</c:v>
                </c:pt>
                <c:pt idx="74">
                  <c:v>54.678251473775319</c:v>
                </c:pt>
                <c:pt idx="75">
                  <c:v>55.554062490379316</c:v>
                </c:pt>
                <c:pt idx="76">
                  <c:v>56.401083533825258</c:v>
                </c:pt>
                <c:pt idx="77">
                  <c:v>57.301620404559905</c:v>
                </c:pt>
                <c:pt idx="78">
                  <c:v>58.182670552848279</c:v>
                </c:pt>
                <c:pt idx="79">
                  <c:v>59.015461449674902</c:v>
                </c:pt>
                <c:pt idx="80">
                  <c:v>59.856356649888312</c:v>
                </c:pt>
                <c:pt idx="81">
                  <c:v>60.650515252050177</c:v>
                </c:pt>
                <c:pt idx="82">
                  <c:v>61.503561694308644</c:v>
                </c:pt>
                <c:pt idx="83">
                  <c:v>62.307113094588573</c:v>
                </c:pt>
                <c:pt idx="84">
                  <c:v>63.074906883217032</c:v>
                </c:pt>
                <c:pt idx="85">
                  <c:v>63.853276400254131</c:v>
                </c:pt>
                <c:pt idx="86">
                  <c:v>64.708636355482099</c:v>
                </c:pt>
                <c:pt idx="87">
                  <c:v>65.621686664327044</c:v>
                </c:pt>
                <c:pt idx="88">
                  <c:v>66.557556527363559</c:v>
                </c:pt>
                <c:pt idx="89">
                  <c:v>67.537985147762882</c:v>
                </c:pt>
                <c:pt idx="90">
                  <c:v>68.408266539683794</c:v>
                </c:pt>
                <c:pt idx="91">
                  <c:v>69.251478647593274</c:v>
                </c:pt>
                <c:pt idx="92">
                  <c:v>70.076272203920198</c:v>
                </c:pt>
                <c:pt idx="93">
                  <c:v>70.927394463468602</c:v>
                </c:pt>
                <c:pt idx="94">
                  <c:v>71.914483981480345</c:v>
                </c:pt>
                <c:pt idx="95">
                  <c:v>72.843306973741107</c:v>
                </c:pt>
                <c:pt idx="96">
                  <c:v>73.682042476750581</c:v>
                </c:pt>
                <c:pt idx="97">
                  <c:v>74.454546197987355</c:v>
                </c:pt>
                <c:pt idx="98">
                  <c:v>75.225329510846123</c:v>
                </c:pt>
                <c:pt idx="99">
                  <c:v>76.022610505410597</c:v>
                </c:pt>
                <c:pt idx="100">
                  <c:v>76.838069433981957</c:v>
                </c:pt>
                <c:pt idx="101">
                  <c:v>77.608395006934344</c:v>
                </c:pt>
                <c:pt idx="102">
                  <c:v>78.414734201657836</c:v>
                </c:pt>
                <c:pt idx="103">
                  <c:v>79.16768843896719</c:v>
                </c:pt>
                <c:pt idx="104">
                  <c:v>79.851874022632487</c:v>
                </c:pt>
                <c:pt idx="105">
                  <c:v>80.505913641273651</c:v>
                </c:pt>
                <c:pt idx="106">
                  <c:v>81.189827961093059</c:v>
                </c:pt>
                <c:pt idx="107">
                  <c:v>81.98772265638344</c:v>
                </c:pt>
                <c:pt idx="108">
                  <c:v>82.849189635015406</c:v>
                </c:pt>
                <c:pt idx="109">
                  <c:v>83.733507033634893</c:v>
                </c:pt>
                <c:pt idx="110">
                  <c:v>84.528867397855748</c:v>
                </c:pt>
                <c:pt idx="111">
                  <c:v>85.319295692926474</c:v>
                </c:pt>
                <c:pt idx="112">
                  <c:v>86.0808394675052</c:v>
                </c:pt>
                <c:pt idx="113">
                  <c:v>86.811730878702946</c:v>
                </c:pt>
                <c:pt idx="114">
                  <c:v>87.513314400530803</c:v>
                </c:pt>
                <c:pt idx="115">
                  <c:v>88.189691447043145</c:v>
                </c:pt>
                <c:pt idx="116">
                  <c:v>88.897831794884169</c:v>
                </c:pt>
                <c:pt idx="117">
                  <c:v>89.662654066630964</c:v>
                </c:pt>
                <c:pt idx="118">
                  <c:v>90.415680062426375</c:v>
                </c:pt>
                <c:pt idx="119">
                  <c:v>91.241708200543584</c:v>
                </c:pt>
                <c:pt idx="120">
                  <c:v>91.945416739439139</c:v>
                </c:pt>
                <c:pt idx="121">
                  <c:v>92.74885617460447</c:v>
                </c:pt>
                <c:pt idx="122">
                  <c:v>93.608508716293116</c:v>
                </c:pt>
                <c:pt idx="123">
                  <c:v>94.42822592694057</c:v>
                </c:pt>
                <c:pt idx="124">
                  <c:v>95.220783550253628</c:v>
                </c:pt>
                <c:pt idx="125">
                  <c:v>96.036349952594946</c:v>
                </c:pt>
                <c:pt idx="126">
                  <c:v>96.797954020757075</c:v>
                </c:pt>
                <c:pt idx="127">
                  <c:v>97.555345321133416</c:v>
                </c:pt>
                <c:pt idx="128">
                  <c:v>98.275812982560595</c:v>
                </c:pt>
                <c:pt idx="129">
                  <c:v>99.017124979971769</c:v>
                </c:pt>
                <c:pt idx="130">
                  <c:v>99.765160715304049</c:v>
                </c:pt>
                <c:pt idx="131">
                  <c:v>100.63305253175932</c:v>
                </c:pt>
                <c:pt idx="132">
                  <c:v>101.53376008444837</c:v>
                </c:pt>
                <c:pt idx="133">
                  <c:v>102.3748206988183</c:v>
                </c:pt>
                <c:pt idx="134">
                  <c:v>103.17212153772105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-5.3387871891044938</c:v>
                </c:pt>
                <c:pt idx="2">
                  <c:v>-10.577691344048674</c:v>
                </c:pt>
                <c:pt idx="3">
                  <c:v>-15.3592559950051</c:v>
                </c:pt>
                <c:pt idx="4">
                  <c:v>-19.975006764044124</c:v>
                </c:pt>
                <c:pt idx="5">
                  <c:v>-24.222151325670609</c:v>
                </c:pt>
                <c:pt idx="6">
                  <c:v>-28.337355647038919</c:v>
                </c:pt>
                <c:pt idx="7">
                  <c:v>-32.321536930189637</c:v>
                </c:pt>
                <c:pt idx="8">
                  <c:v>-35.946055272287509</c:v>
                </c:pt>
                <c:pt idx="9">
                  <c:v>-39.080933113763152</c:v>
                </c:pt>
                <c:pt idx="10">
                  <c:v>-41.921938574160691</c:v>
                </c:pt>
                <c:pt idx="11">
                  <c:v>-44.943791094415886</c:v>
                </c:pt>
                <c:pt idx="12">
                  <c:v>-47.970053238615577</c:v>
                </c:pt>
                <c:pt idx="13">
                  <c:v>-50.957095839556274</c:v>
                </c:pt>
                <c:pt idx="14">
                  <c:v>-53.89735034345702</c:v>
                </c:pt>
                <c:pt idx="15">
                  <c:v>-56.616019735206535</c:v>
                </c:pt>
                <c:pt idx="16">
                  <c:v>-59.285396266477676</c:v>
                </c:pt>
                <c:pt idx="17">
                  <c:v>-61.815364489460563</c:v>
                </c:pt>
                <c:pt idx="18">
                  <c:v>-64.052362952972373</c:v>
                </c:pt>
                <c:pt idx="19">
                  <c:v>-66.338871293866205</c:v>
                </c:pt>
                <c:pt idx="20">
                  <c:v>-68.474997118257377</c:v>
                </c:pt>
                <c:pt idx="21">
                  <c:v>-70.621205076511274</c:v>
                </c:pt>
                <c:pt idx="22">
                  <c:v>-72.617068173586347</c:v>
                </c:pt>
                <c:pt idx="23">
                  <c:v>-74.530815761022367</c:v>
                </c:pt>
                <c:pt idx="24">
                  <c:v>-76.40904807805137</c:v>
                </c:pt>
                <c:pt idx="25">
                  <c:v>-78.165812142545576</c:v>
                </c:pt>
                <c:pt idx="26">
                  <c:v>-80.00149209094343</c:v>
                </c:pt>
                <c:pt idx="27">
                  <c:v>-81.742059633191104</c:v>
                </c:pt>
                <c:pt idx="28">
                  <c:v>-83.435493869698632</c:v>
                </c:pt>
                <c:pt idx="29">
                  <c:v>-84.956331208763118</c:v>
                </c:pt>
                <c:pt idx="30">
                  <c:v>-86.463698320096711</c:v>
                </c:pt>
                <c:pt idx="31">
                  <c:v>-87.820375730807427</c:v>
                </c:pt>
                <c:pt idx="32">
                  <c:v>-89.031728937742869</c:v>
                </c:pt>
                <c:pt idx="33">
                  <c:v>-90.123526910103948</c:v>
                </c:pt>
                <c:pt idx="34">
                  <c:v>-91.162380034774884</c:v>
                </c:pt>
                <c:pt idx="35">
                  <c:v>-92.16920812519885</c:v>
                </c:pt>
                <c:pt idx="36">
                  <c:v>-93.088644409761656</c:v>
                </c:pt>
                <c:pt idx="37">
                  <c:v>-93.998442145239011</c:v>
                </c:pt>
                <c:pt idx="38">
                  <c:v>-94.882851458452848</c:v>
                </c:pt>
                <c:pt idx="39">
                  <c:v>-95.689591177952167</c:v>
                </c:pt>
                <c:pt idx="40">
                  <c:v>-96.372573092553097</c:v>
                </c:pt>
                <c:pt idx="41">
                  <c:v>-97.038442841035788</c:v>
                </c:pt>
                <c:pt idx="42">
                  <c:v>-97.687863208147633</c:v>
                </c:pt>
                <c:pt idx="43">
                  <c:v>-98.274600778514213</c:v>
                </c:pt>
                <c:pt idx="44">
                  <c:v>-98.85157569720883</c:v>
                </c:pt>
                <c:pt idx="45">
                  <c:v>-99.369505323777673</c:v>
                </c:pt>
                <c:pt idx="46">
                  <c:v>-99.848761328077117</c:v>
                </c:pt>
                <c:pt idx="47">
                  <c:v>-100.27469680370417</c:v>
                </c:pt>
                <c:pt idx="48">
                  <c:v>-100.68473648100425</c:v>
                </c:pt>
                <c:pt idx="49">
                  <c:v>-101.01596919425343</c:v>
                </c:pt>
                <c:pt idx="50">
                  <c:v>-101.2830878929408</c:v>
                </c:pt>
                <c:pt idx="51">
                  <c:v>-101.51248260436455</c:v>
                </c:pt>
                <c:pt idx="52">
                  <c:v>-101.6995526564271</c:v>
                </c:pt>
                <c:pt idx="53">
                  <c:v>-101.8625470868229</c:v>
                </c:pt>
                <c:pt idx="54">
                  <c:v>-102.00610829431638</c:v>
                </c:pt>
                <c:pt idx="55">
                  <c:v>-102.12363509271522</c:v>
                </c:pt>
                <c:pt idx="56">
                  <c:v>-102.20911429346397</c:v>
                </c:pt>
                <c:pt idx="57">
                  <c:v>-102.25729450457024</c:v>
                </c:pt>
                <c:pt idx="58">
                  <c:v>-102.27384550382631</c:v>
                </c:pt>
                <c:pt idx="59">
                  <c:v>-102.25830734014204</c:v>
                </c:pt>
                <c:pt idx="60">
                  <c:v>-102.20901882784713</c:v>
                </c:pt>
                <c:pt idx="61">
                  <c:v>-102.12897464861688</c:v>
                </c:pt>
                <c:pt idx="62">
                  <c:v>-102.02894050678688</c:v>
                </c:pt>
                <c:pt idx="63">
                  <c:v>-101.9005479880615</c:v>
                </c:pt>
                <c:pt idx="64">
                  <c:v>-101.7338795073602</c:v>
                </c:pt>
                <c:pt idx="65">
                  <c:v>-101.55820641750498</c:v>
                </c:pt>
                <c:pt idx="66">
                  <c:v>-101.36263265415515</c:v>
                </c:pt>
                <c:pt idx="67">
                  <c:v>-101.1498335742296</c:v>
                </c:pt>
                <c:pt idx="68">
                  <c:v>-100.91792679467463</c:v>
                </c:pt>
                <c:pt idx="69">
                  <c:v>-100.66801994767779</c:v>
                </c:pt>
                <c:pt idx="70">
                  <c:v>-100.41044710500699</c:v>
                </c:pt>
                <c:pt idx="71">
                  <c:v>-100.14406296269563</c:v>
                </c:pt>
                <c:pt idx="72">
                  <c:v>-99.832816005036619</c:v>
                </c:pt>
                <c:pt idx="73">
                  <c:v>-99.503656998150703</c:v>
                </c:pt>
                <c:pt idx="74">
                  <c:v>-99.173837701024397</c:v>
                </c:pt>
                <c:pt idx="75">
                  <c:v>-98.81150967791298</c:v>
                </c:pt>
                <c:pt idx="76">
                  <c:v>-98.439522905918537</c:v>
                </c:pt>
                <c:pt idx="77">
                  <c:v>-98.068816083067674</c:v>
                </c:pt>
                <c:pt idx="78">
                  <c:v>-97.663789355880382</c:v>
                </c:pt>
                <c:pt idx="79">
                  <c:v>-97.257520865371845</c:v>
                </c:pt>
                <c:pt idx="80">
                  <c:v>-96.865150571462806</c:v>
                </c:pt>
                <c:pt idx="81">
                  <c:v>-96.461404707684224</c:v>
                </c:pt>
                <c:pt idx="82">
                  <c:v>-96.073704965089959</c:v>
                </c:pt>
                <c:pt idx="83">
                  <c:v>-95.65093912143557</c:v>
                </c:pt>
                <c:pt idx="84">
                  <c:v>-95.24725245092543</c:v>
                </c:pt>
                <c:pt idx="85">
                  <c:v>-94.857047025008114</c:v>
                </c:pt>
                <c:pt idx="86">
                  <c:v>-94.457416833468187</c:v>
                </c:pt>
                <c:pt idx="87">
                  <c:v>-94.01403245648514</c:v>
                </c:pt>
                <c:pt idx="88">
                  <c:v>-93.536417041701654</c:v>
                </c:pt>
                <c:pt idx="89">
                  <c:v>-93.042828297467381</c:v>
                </c:pt>
                <c:pt idx="90">
                  <c:v>-92.52200070600405</c:v>
                </c:pt>
                <c:pt idx="91">
                  <c:v>-92.056995761700236</c:v>
                </c:pt>
                <c:pt idx="92">
                  <c:v>-91.604462653927158</c:v>
                </c:pt>
                <c:pt idx="93">
                  <c:v>-91.160275911978204</c:v>
                </c:pt>
                <c:pt idx="94">
                  <c:v>-90.700664182502408</c:v>
                </c:pt>
                <c:pt idx="95">
                  <c:v>-90.166488624200269</c:v>
                </c:pt>
                <c:pt idx="96">
                  <c:v>-89.663153402090757</c:v>
                </c:pt>
                <c:pt idx="97">
                  <c:v>-89.208395542412561</c:v>
                </c:pt>
                <c:pt idx="98">
                  <c:v>-88.789589575249423</c:v>
                </c:pt>
                <c:pt idx="99">
                  <c:v>-88.37196307306931</c:v>
                </c:pt>
                <c:pt idx="100">
                  <c:v>-87.940441815159247</c:v>
                </c:pt>
                <c:pt idx="101">
                  <c:v>-87.499774219144754</c:v>
                </c:pt>
                <c:pt idx="102">
                  <c:v>-87.084320702058733</c:v>
                </c:pt>
                <c:pt idx="103">
                  <c:v>-86.650481428297411</c:v>
                </c:pt>
                <c:pt idx="104">
                  <c:v>-86.246475561523809</c:v>
                </c:pt>
                <c:pt idx="105">
                  <c:v>-85.880414832544574</c:v>
                </c:pt>
                <c:pt idx="106">
                  <c:v>-85.531506580524209</c:v>
                </c:pt>
                <c:pt idx="107">
                  <c:v>-85.167819427355056</c:v>
                </c:pt>
                <c:pt idx="108">
                  <c:v>-84.74513154255834</c:v>
                </c:pt>
                <c:pt idx="109">
                  <c:v>-84.290857152963127</c:v>
                </c:pt>
                <c:pt idx="110">
                  <c:v>-83.826949746408332</c:v>
                </c:pt>
                <c:pt idx="111">
                  <c:v>-83.411928055571536</c:v>
                </c:pt>
                <c:pt idx="112">
                  <c:v>-83.001671772299872</c:v>
                </c:pt>
                <c:pt idx="113">
                  <c:v>-82.608566066295708</c:v>
                </c:pt>
                <c:pt idx="114">
                  <c:v>-82.233352713953664</c:v>
                </c:pt>
                <c:pt idx="115">
                  <c:v>-81.875156329788595</c:v>
                </c:pt>
                <c:pt idx="116">
                  <c:v>-81.531711431219819</c:v>
                </c:pt>
                <c:pt idx="117">
                  <c:v>-81.174170874755589</c:v>
                </c:pt>
                <c:pt idx="118">
                  <c:v>-80.790406097901496</c:v>
                </c:pt>
                <c:pt idx="119">
                  <c:v>-80.415047504209255</c:v>
                </c:pt>
                <c:pt idx="120">
                  <c:v>-80.006202630916036</c:v>
                </c:pt>
                <c:pt idx="121">
                  <c:v>-79.660344170631745</c:v>
                </c:pt>
                <c:pt idx="122">
                  <c:v>-79.268270486569889</c:v>
                </c:pt>
                <c:pt idx="123">
                  <c:v>-78.852128215929838</c:v>
                </c:pt>
                <c:pt idx="124">
                  <c:v>-78.458608653828875</c:v>
                </c:pt>
                <c:pt idx="125">
                  <c:v>-78.081226394342593</c:v>
                </c:pt>
                <c:pt idx="126">
                  <c:v>-77.696109501872613</c:v>
                </c:pt>
                <c:pt idx="127">
                  <c:v>-77.339457054798089</c:v>
                </c:pt>
                <c:pt idx="128">
                  <c:v>-76.987662518292254</c:v>
                </c:pt>
                <c:pt idx="129">
                  <c:v>-76.655710884181659</c:v>
                </c:pt>
                <c:pt idx="130">
                  <c:v>-76.316915905982484</c:v>
                </c:pt>
                <c:pt idx="131">
                  <c:v>-75.977904677853118</c:v>
                </c:pt>
                <c:pt idx="132">
                  <c:v>-75.588192303918873</c:v>
                </c:pt>
                <c:pt idx="133">
                  <c:v>-75.187876744985573</c:v>
                </c:pt>
                <c:pt idx="134">
                  <c:v>-74.817889293301022</c:v>
                </c:pt>
                <c:pt idx="135">
                  <c:v>-74.470569744107678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103.08890582380474</c:v>
                </c:pt>
                <c:pt idx="2">
                  <c:v>98.232334839198899</c:v>
                </c:pt>
                <c:pt idx="3">
                  <c:v>98.923639852112871</c:v>
                </c:pt>
                <c:pt idx="4">
                  <c:v>96.94947488183513</c:v>
                </c:pt>
                <c:pt idx="5">
                  <c:v>100.2580492751553</c:v>
                </c:pt>
                <c:pt idx="6">
                  <c:v>96.90825767152981</c:v>
                </c:pt>
                <c:pt idx="7">
                  <c:v>92.158213678248131</c:v>
                </c:pt>
                <c:pt idx="8">
                  <c:v>90.152485617227967</c:v>
                </c:pt>
                <c:pt idx="9">
                  <c:v>89.873224820811231</c:v>
                </c:pt>
                <c:pt idx="10">
                  <c:v>90.447212648298986</c:v>
                </c:pt>
                <c:pt idx="11">
                  <c:v>95.272385918263268</c:v>
                </c:pt>
                <c:pt idx="12">
                  <c:v>97.428150307943909</c:v>
                </c:pt>
                <c:pt idx="13">
                  <c:v>101.41838841562426</c:v>
                </c:pt>
                <c:pt idx="14">
                  <c:v>100.73733690845071</c:v>
                </c:pt>
                <c:pt idx="15">
                  <c:v>99.26242723827761</c:v>
                </c:pt>
                <c:pt idx="16">
                  <c:v>100.11867262666561</c:v>
                </c:pt>
                <c:pt idx="17">
                  <c:v>100.35762146915475</c:v>
                </c:pt>
                <c:pt idx="18">
                  <c:v>100.3611979081607</c:v>
                </c:pt>
                <c:pt idx="19">
                  <c:v>98.953475887639655</c:v>
                </c:pt>
                <c:pt idx="20">
                  <c:v>95.766829942642246</c:v>
                </c:pt>
                <c:pt idx="21">
                  <c:v>101.40400179854672</c:v>
                </c:pt>
                <c:pt idx="22">
                  <c:v>109.50406379120083</c:v>
                </c:pt>
                <c:pt idx="23">
                  <c:v>113.50641219782406</c:v>
                </c:pt>
                <c:pt idx="24">
                  <c:v>111.36844568220623</c:v>
                </c:pt>
                <c:pt idx="25">
                  <c:v>109.80927906645495</c:v>
                </c:pt>
                <c:pt idx="26">
                  <c:v>116.75990775434121</c:v>
                </c:pt>
                <c:pt idx="27">
                  <c:v>120</c:v>
                </c:pt>
                <c:pt idx="28">
                  <c:v>120</c:v>
                </c:pt>
                <c:pt idx="29">
                  <c:v>119.32214779439227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117.41124636941518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119.77015895675956</c:v>
                </c:pt>
                <c:pt idx="38">
                  <c:v>118.57740774512648</c:v>
                </c:pt>
                <c:pt idx="39">
                  <c:v>119.83990350318112</c:v>
                </c:pt>
                <c:pt idx="40">
                  <c:v>117.8654152569808</c:v>
                </c:pt>
                <c:pt idx="41">
                  <c:v>114.83022587839011</c:v>
                </c:pt>
                <c:pt idx="42">
                  <c:v>116.95895453281193</c:v>
                </c:pt>
                <c:pt idx="43">
                  <c:v>120</c:v>
                </c:pt>
                <c:pt idx="44">
                  <c:v>118.22992830627587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116.82582325791905</c:v>
                </c:pt>
                <c:pt idx="50">
                  <c:v>113.9096369401064</c:v>
                </c:pt>
                <c:pt idx="51">
                  <c:v>115.46820551687875</c:v>
                </c:pt>
                <c:pt idx="52">
                  <c:v>119.54791364524631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119.719956319178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117.89040104912043</c:v>
                </c:pt>
                <c:pt idx="69">
                  <c:v>119.97772016715884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119.9928001720567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119.91056647581226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119.59647708716939</c:v>
                </c:pt>
                <c:pt idx="112">
                  <c:v>120</c:v>
                </c:pt>
                <c:pt idx="113">
                  <c:v>119.69131659023442</c:v>
                </c:pt>
                <c:pt idx="114">
                  <c:v>117.75933140059419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119.78499876293201</c:v>
                </c:pt>
                <c:pt idx="135">
                  <c:v>117.86420447083094</c:v>
                </c:pt>
                <c:pt idx="136">
                  <c:v>119.87071248493703</c:v>
                </c:pt>
                <c:pt idx="137">
                  <c:v>119.83057882761257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1.004023833447512</c:v>
                </c:pt>
                <c:pt idx="28">
                  <c:v>3.4643462358286783</c:v>
                </c:pt>
                <c:pt idx="29">
                  <c:v>3.4643462358286783</c:v>
                </c:pt>
                <c:pt idx="30">
                  <c:v>5.0497783112637364</c:v>
                </c:pt>
                <c:pt idx="31">
                  <c:v>7.8693083750944908</c:v>
                </c:pt>
                <c:pt idx="32">
                  <c:v>10.672239784653463</c:v>
                </c:pt>
                <c:pt idx="33">
                  <c:v>10.672239784653463</c:v>
                </c:pt>
                <c:pt idx="34">
                  <c:v>15.399414941979586</c:v>
                </c:pt>
                <c:pt idx="35">
                  <c:v>17.379454162253658</c:v>
                </c:pt>
                <c:pt idx="36">
                  <c:v>18.153373650230165</c:v>
                </c:pt>
                <c:pt idx="37">
                  <c:v>18.153373650230165</c:v>
                </c:pt>
                <c:pt idx="38">
                  <c:v>18.153373650230165</c:v>
                </c:pt>
                <c:pt idx="39">
                  <c:v>18.153373650230165</c:v>
                </c:pt>
                <c:pt idx="40">
                  <c:v>18.153373650230165</c:v>
                </c:pt>
                <c:pt idx="41">
                  <c:v>18.153373650230165</c:v>
                </c:pt>
                <c:pt idx="42">
                  <c:v>18.153373650230165</c:v>
                </c:pt>
                <c:pt idx="43">
                  <c:v>22.706047541105342</c:v>
                </c:pt>
                <c:pt idx="44">
                  <c:v>22.706047541105342</c:v>
                </c:pt>
                <c:pt idx="45">
                  <c:v>24.921078221566091</c:v>
                </c:pt>
                <c:pt idx="46">
                  <c:v>29.194219343937405</c:v>
                </c:pt>
                <c:pt idx="47">
                  <c:v>32.3697594717055</c:v>
                </c:pt>
                <c:pt idx="48">
                  <c:v>36.166755368847461</c:v>
                </c:pt>
                <c:pt idx="49">
                  <c:v>36.166755368847461</c:v>
                </c:pt>
                <c:pt idx="50">
                  <c:v>36.166755368847461</c:v>
                </c:pt>
                <c:pt idx="51">
                  <c:v>36.166755368847461</c:v>
                </c:pt>
                <c:pt idx="52">
                  <c:v>36.166755368847461</c:v>
                </c:pt>
                <c:pt idx="53">
                  <c:v>39.508414919127539</c:v>
                </c:pt>
                <c:pt idx="54">
                  <c:v>40.577563711949807</c:v>
                </c:pt>
                <c:pt idx="55">
                  <c:v>44.687038717444608</c:v>
                </c:pt>
                <c:pt idx="56">
                  <c:v>45.582581243298783</c:v>
                </c:pt>
                <c:pt idx="57">
                  <c:v>45.582581243298783</c:v>
                </c:pt>
                <c:pt idx="58">
                  <c:v>45.825178860430924</c:v>
                </c:pt>
                <c:pt idx="59">
                  <c:v>48.459982548810487</c:v>
                </c:pt>
                <c:pt idx="60">
                  <c:v>53.393040016003077</c:v>
                </c:pt>
                <c:pt idx="61">
                  <c:v>57.223553935534142</c:v>
                </c:pt>
                <c:pt idx="62">
                  <c:v>60.899457339756481</c:v>
                </c:pt>
                <c:pt idx="63">
                  <c:v>68.514381907036778</c:v>
                </c:pt>
                <c:pt idx="64">
                  <c:v>72.142590176768636</c:v>
                </c:pt>
                <c:pt idx="65">
                  <c:v>74.551767026843748</c:v>
                </c:pt>
                <c:pt idx="66">
                  <c:v>75.836318357467192</c:v>
                </c:pt>
                <c:pt idx="67">
                  <c:v>76.890140716604222</c:v>
                </c:pt>
                <c:pt idx="68">
                  <c:v>76.890140716604222</c:v>
                </c:pt>
                <c:pt idx="69">
                  <c:v>76.890140716604222</c:v>
                </c:pt>
                <c:pt idx="70">
                  <c:v>78.706102654431902</c:v>
                </c:pt>
                <c:pt idx="71">
                  <c:v>80.556891833624235</c:v>
                </c:pt>
                <c:pt idx="72">
                  <c:v>85.217621371190134</c:v>
                </c:pt>
                <c:pt idx="73">
                  <c:v>87.398309832247321</c:v>
                </c:pt>
                <c:pt idx="74">
                  <c:v>92.52300304172627</c:v>
                </c:pt>
                <c:pt idx="75">
                  <c:v>94.234584279325659</c:v>
                </c:pt>
                <c:pt idx="76">
                  <c:v>96.005182165742227</c:v>
                </c:pt>
                <c:pt idx="77">
                  <c:v>98.150347181804079</c:v>
                </c:pt>
                <c:pt idx="78">
                  <c:v>99.014976497613958</c:v>
                </c:pt>
                <c:pt idx="79">
                  <c:v>102.61300643042549</c:v>
                </c:pt>
                <c:pt idx="80">
                  <c:v>103.9439966450681</c:v>
                </c:pt>
                <c:pt idx="81">
                  <c:v>105.69924040154983</c:v>
                </c:pt>
                <c:pt idx="82">
                  <c:v>106.51147076550595</c:v>
                </c:pt>
                <c:pt idx="83">
                  <c:v>108.00069988801245</c:v>
                </c:pt>
                <c:pt idx="84">
                  <c:v>111.29070631936418</c:v>
                </c:pt>
                <c:pt idx="85">
                  <c:v>115.65827872060207</c:v>
                </c:pt>
                <c:pt idx="86">
                  <c:v>117.10915307117824</c:v>
                </c:pt>
                <c:pt idx="87">
                  <c:v>117.75858124952862</c:v>
                </c:pt>
                <c:pt idx="88">
                  <c:v>118.36290528359966</c:v>
                </c:pt>
                <c:pt idx="89">
                  <c:v>122.42777632161742</c:v>
                </c:pt>
                <c:pt idx="90">
                  <c:v>128.80435442407287</c:v>
                </c:pt>
                <c:pt idx="91">
                  <c:v>128.80435442407287</c:v>
                </c:pt>
                <c:pt idx="92">
                  <c:v>133.36477495051457</c:v>
                </c:pt>
                <c:pt idx="93">
                  <c:v>133.46979337275388</c:v>
                </c:pt>
                <c:pt idx="94">
                  <c:v>134.75616046198806</c:v>
                </c:pt>
                <c:pt idx="95">
                  <c:v>136.59315658353827</c:v>
                </c:pt>
                <c:pt idx="96">
                  <c:v>138.21037208031422</c:v>
                </c:pt>
                <c:pt idx="97">
                  <c:v>142.96047703633204</c:v>
                </c:pt>
                <c:pt idx="98">
                  <c:v>154.12349313755959</c:v>
                </c:pt>
                <c:pt idx="99">
                  <c:v>162.31232964576822</c:v>
                </c:pt>
                <c:pt idx="100">
                  <c:v>163.31567819374914</c:v>
                </c:pt>
                <c:pt idx="101">
                  <c:v>164.38026612047238</c:v>
                </c:pt>
                <c:pt idx="102">
                  <c:v>166.5693117875328</c:v>
                </c:pt>
                <c:pt idx="103">
                  <c:v>169.42730395755467</c:v>
                </c:pt>
                <c:pt idx="104">
                  <c:v>171.55772887193905</c:v>
                </c:pt>
                <c:pt idx="105">
                  <c:v>171.80821735257575</c:v>
                </c:pt>
                <c:pt idx="106">
                  <c:v>173.89948032306899</c:v>
                </c:pt>
                <c:pt idx="107">
                  <c:v>173.89948032306899</c:v>
                </c:pt>
                <c:pt idx="108">
                  <c:v>174.71717684316965</c:v>
                </c:pt>
                <c:pt idx="109">
                  <c:v>176.47427040643831</c:v>
                </c:pt>
                <c:pt idx="110">
                  <c:v>177.80070325159323</c:v>
                </c:pt>
                <c:pt idx="111">
                  <c:v>177.80070325159323</c:v>
                </c:pt>
                <c:pt idx="112">
                  <c:v>180.29453081244571</c:v>
                </c:pt>
                <c:pt idx="113">
                  <c:v>180.29453081244571</c:v>
                </c:pt>
                <c:pt idx="114">
                  <c:v>180.29453081244571</c:v>
                </c:pt>
                <c:pt idx="115">
                  <c:v>180.61793443598816</c:v>
                </c:pt>
                <c:pt idx="116">
                  <c:v>184.37608241609507</c:v>
                </c:pt>
                <c:pt idx="117">
                  <c:v>187.06447803948373</c:v>
                </c:pt>
                <c:pt idx="118">
                  <c:v>190.35755397080985</c:v>
                </c:pt>
                <c:pt idx="119">
                  <c:v>191.55955018452104</c:v>
                </c:pt>
                <c:pt idx="120">
                  <c:v>195.1752420236044</c:v>
                </c:pt>
                <c:pt idx="121">
                  <c:v>195.78798248380301</c:v>
                </c:pt>
                <c:pt idx="122">
                  <c:v>199.97972882121016</c:v>
                </c:pt>
                <c:pt idx="123">
                  <c:v>203.34389021071604</c:v>
                </c:pt>
                <c:pt idx="124">
                  <c:v>204.43233325533754</c:v>
                </c:pt>
                <c:pt idx="125">
                  <c:v>209.71097661192937</c:v>
                </c:pt>
                <c:pt idx="126">
                  <c:v>213.36622776667934</c:v>
                </c:pt>
                <c:pt idx="127">
                  <c:v>213.44220905606116</c:v>
                </c:pt>
                <c:pt idx="128">
                  <c:v>213.63046376135316</c:v>
                </c:pt>
                <c:pt idx="129">
                  <c:v>215.43376510618776</c:v>
                </c:pt>
                <c:pt idx="130">
                  <c:v>217.98555892004208</c:v>
                </c:pt>
                <c:pt idx="131">
                  <c:v>221.59176487602406</c:v>
                </c:pt>
                <c:pt idx="132">
                  <c:v>225.97887268270838</c:v>
                </c:pt>
                <c:pt idx="133">
                  <c:v>227.07487378546037</c:v>
                </c:pt>
                <c:pt idx="134">
                  <c:v>227.07487378546037</c:v>
                </c:pt>
                <c:pt idx="135">
                  <c:v>227.07487378546037</c:v>
                </c:pt>
                <c:pt idx="136">
                  <c:v>227.07487378546037</c:v>
                </c:pt>
                <c:pt idx="137">
                  <c:v>227.07487378546037</c:v>
                </c:pt>
                <c:pt idx="138">
                  <c:v>228.60324853330974</c:v>
                </c:pt>
                <c:pt idx="139">
                  <c:v>228.78736430238527</c:v>
                </c:pt>
                <c:pt idx="140">
                  <c:v>230.33917514296024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0.99999999967495001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1.0906897637003848E-2</c:v>
                </c:pt>
                <c:pt idx="16">
                  <c:v>1.7954161996534792E-2</c:v>
                </c:pt>
                <c:pt idx="17">
                  <c:v>2.9618087224529185E-2</c:v>
                </c:pt>
                <c:pt idx="18">
                  <c:v>4.7755998105924742E-2</c:v>
                </c:pt>
                <c:pt idx="19">
                  <c:v>7.558985403603298E-2</c:v>
                </c:pt>
                <c:pt idx="20">
                  <c:v>0.11585443222541358</c:v>
                </c:pt>
                <c:pt idx="21">
                  <c:v>0.1778550344572547</c:v>
                </c:pt>
                <c:pt idx="22">
                  <c:v>0.26161904037940398</c:v>
                </c:pt>
                <c:pt idx="23">
                  <c:v>0.35866178680617117</c:v>
                </c:pt>
                <c:pt idx="24">
                  <c:v>0.46481718171479453</c:v>
                </c:pt>
                <c:pt idx="25">
                  <c:v>0.56651788133948855</c:v>
                </c:pt>
                <c:pt idx="26">
                  <c:v>0.66708478112904701</c:v>
                </c:pt>
                <c:pt idx="27">
                  <c:v>0.75748978979913439</c:v>
                </c:pt>
                <c:pt idx="28">
                  <c:v>0.83021347571252391</c:v>
                </c:pt>
                <c:pt idx="29">
                  <c:v>0.88362606780001973</c:v>
                </c:pt>
                <c:pt idx="30">
                  <c:v>0.9237668038552308</c:v>
                </c:pt>
                <c:pt idx="31">
                  <c:v>0.9501189825238886</c:v>
                </c:pt>
                <c:pt idx="32">
                  <c:v>0.96653267860079173</c:v>
                </c:pt>
                <c:pt idx="33">
                  <c:v>0.97785652448615612</c:v>
                </c:pt>
                <c:pt idx="34">
                  <c:v>0.98546939089652907</c:v>
                </c:pt>
                <c:pt idx="35">
                  <c:v>0.99040904292722032</c:v>
                </c:pt>
                <c:pt idx="36">
                  <c:v>0.99368829796562053</c:v>
                </c:pt>
                <c:pt idx="37">
                  <c:v>0.99575605595716632</c:v>
                </c:pt>
                <c:pt idx="38">
                  <c:v>0.99726354164298947</c:v>
                </c:pt>
                <c:pt idx="39">
                  <c:v>0.99823582536271793</c:v>
                </c:pt>
                <c:pt idx="40">
                  <c:v>0.99883902178511397</c:v>
                </c:pt>
                <c:pt idx="41">
                  <c:v>0.99924354779044999</c:v>
                </c:pt>
                <c:pt idx="42">
                  <c:v>0.99952079037550734</c:v>
                </c:pt>
                <c:pt idx="43">
                  <c:v>0.99969264978926942</c:v>
                </c:pt>
                <c:pt idx="44">
                  <c:v>0.99979995528685739</c:v>
                </c:pt>
                <c:pt idx="45">
                  <c:v>0.99987323467396039</c:v>
                </c:pt>
                <c:pt idx="46">
                  <c:v>0.99991793270834706</c:v>
                </c:pt>
                <c:pt idx="47">
                  <c:v>0.99994642429162028</c:v>
                </c:pt>
                <c:pt idx="48">
                  <c:v>0.99996481749082422</c:v>
                </c:pt>
                <c:pt idx="49">
                  <c:v>0.99997560653985362</c:v>
                </c:pt>
                <c:pt idx="50">
                  <c:v>0.99998307187106439</c:v>
                </c:pt>
                <c:pt idx="51">
                  <c:v>0.99998869070392737</c:v>
                </c:pt>
                <c:pt idx="52">
                  <c:v>0.99999245616578025</c:v>
                </c:pt>
                <c:pt idx="53">
                  <c:v>0.99999503785814281</c:v>
                </c:pt>
                <c:pt idx="54">
                  <c:v>0.99999670359804627</c:v>
                </c:pt>
                <c:pt idx="55">
                  <c:v>0.99999776986922073</c:v>
                </c:pt>
                <c:pt idx="56">
                  <c:v>0.99999849684764275</c:v>
                </c:pt>
                <c:pt idx="57">
                  <c:v>0.99999902663635076</c:v>
                </c:pt>
                <c:pt idx="58">
                  <c:v>0.99999936270069933</c:v>
                </c:pt>
                <c:pt idx="59">
                  <c:v>0.9999995744011978</c:v>
                </c:pt>
                <c:pt idx="60">
                  <c:v>0.99999971983685565</c:v>
                </c:pt>
                <c:pt idx="61">
                  <c:v>0.99999981167316288</c:v>
                </c:pt>
                <c:pt idx="62">
                  <c:v>0.99999987384409017</c:v>
                </c:pt>
                <c:pt idx="63">
                  <c:v>0.99999991670846078</c:v>
                </c:pt>
                <c:pt idx="64">
                  <c:v>0.99999994397512149</c:v>
                </c:pt>
                <c:pt idx="65">
                  <c:v>0.9999999615777907</c:v>
                </c:pt>
                <c:pt idx="66">
                  <c:v>0.99999997312351752</c:v>
                </c:pt>
                <c:pt idx="67">
                  <c:v>0.99999998137760671</c:v>
                </c:pt>
                <c:pt idx="68">
                  <c:v>0.99999998704030579</c:v>
                </c:pt>
                <c:pt idx="69">
                  <c:v>0.9999999909392997</c:v>
                </c:pt>
                <c:pt idx="70">
                  <c:v>0.99999999337829726</c:v>
                </c:pt>
                <c:pt idx="71">
                  <c:v>0.99999999524453731</c:v>
                </c:pt>
                <c:pt idx="72">
                  <c:v>0.99999999661014471</c:v>
                </c:pt>
                <c:pt idx="73">
                  <c:v>0.9999999975674061</c:v>
                </c:pt>
                <c:pt idx="74">
                  <c:v>0.99999999827662012</c:v>
                </c:pt>
                <c:pt idx="75">
                  <c:v>0.99999999875563872</c:v>
                </c:pt>
                <c:pt idx="76">
                  <c:v>0.99999999909363235</c:v>
                </c:pt>
                <c:pt idx="77">
                  <c:v>0.99999999935024952</c:v>
                </c:pt>
                <c:pt idx="78">
                  <c:v>0.99999999951759211</c:v>
                </c:pt>
                <c:pt idx="79">
                  <c:v>0.99999999964243336</c:v>
                </c:pt>
                <c:pt idx="80">
                  <c:v>0.99999999973730525</c:v>
                </c:pt>
                <c:pt idx="81">
                  <c:v>0.99999999980695553</c:v>
                </c:pt>
                <c:pt idx="82">
                  <c:v>0.99999999985771915</c:v>
                </c:pt>
                <c:pt idx="83">
                  <c:v>0.99999999989847321</c:v>
                </c:pt>
                <c:pt idx="84">
                  <c:v>0.99999999992696531</c:v>
                </c:pt>
                <c:pt idx="85">
                  <c:v>0.99999999994725886</c:v>
                </c:pt>
                <c:pt idx="86">
                  <c:v>0.99999999996179589</c:v>
                </c:pt>
                <c:pt idx="87">
                  <c:v>0.99999999997156963</c:v>
                </c:pt>
                <c:pt idx="88">
                  <c:v>0.99999999997877764</c:v>
                </c:pt>
                <c:pt idx="89">
                  <c:v>0.99999999998483324</c:v>
                </c:pt>
                <c:pt idx="90">
                  <c:v>0.99999999998915934</c:v>
                </c:pt>
                <c:pt idx="91">
                  <c:v>0.99999999999247313</c:v>
                </c:pt>
                <c:pt idx="92">
                  <c:v>0.99999999999455258</c:v>
                </c:pt>
                <c:pt idx="93">
                  <c:v>0.99999999999601386</c:v>
                </c:pt>
                <c:pt idx="94">
                  <c:v>0.99999999999698219</c:v>
                </c:pt>
                <c:pt idx="95">
                  <c:v>0.9999999999977911</c:v>
                </c:pt>
                <c:pt idx="96">
                  <c:v>0.9999999999983884</c:v>
                </c:pt>
                <c:pt idx="97">
                  <c:v>0.99999999999882738</c:v>
                </c:pt>
                <c:pt idx="98">
                  <c:v>0.99999999999915601</c:v>
                </c:pt>
                <c:pt idx="99">
                  <c:v>0.9999999999993916</c:v>
                </c:pt>
                <c:pt idx="100">
                  <c:v>0.99999999999955325</c:v>
                </c:pt>
                <c:pt idx="101">
                  <c:v>0.99999999999966116</c:v>
                </c:pt>
                <c:pt idx="102">
                  <c:v>0.99999999999974354</c:v>
                </c:pt>
                <c:pt idx="103">
                  <c:v>0.99999999999981348</c:v>
                </c:pt>
                <c:pt idx="104">
                  <c:v>0.999999999999861</c:v>
                </c:pt>
                <c:pt idx="105">
                  <c:v>0.99999999999989497</c:v>
                </c:pt>
                <c:pt idx="106">
                  <c:v>0.99999999999991984</c:v>
                </c:pt>
                <c:pt idx="107">
                  <c:v>0.99999999999993894</c:v>
                </c:pt>
                <c:pt idx="108">
                  <c:v>0.99999999999995337</c:v>
                </c:pt>
                <c:pt idx="109">
                  <c:v>0.99999999999996425</c:v>
                </c:pt>
                <c:pt idx="110">
                  <c:v>0.99999999999997269</c:v>
                </c:pt>
                <c:pt idx="111">
                  <c:v>0.99999999999997891</c:v>
                </c:pt>
                <c:pt idx="112">
                  <c:v>0.99999999999998379</c:v>
                </c:pt>
                <c:pt idx="113">
                  <c:v>0.99999999999998757</c:v>
                </c:pt>
                <c:pt idx="114">
                  <c:v>0.99999999999999067</c:v>
                </c:pt>
                <c:pt idx="115">
                  <c:v>0.99999999999999289</c:v>
                </c:pt>
                <c:pt idx="116">
                  <c:v>0.99999999999999489</c:v>
                </c:pt>
                <c:pt idx="117">
                  <c:v>0.999999999999996</c:v>
                </c:pt>
                <c:pt idx="118">
                  <c:v>0.99582925128182975</c:v>
                </c:pt>
                <c:pt idx="119">
                  <c:v>0.98108022449432442</c:v>
                </c:pt>
                <c:pt idx="120">
                  <c:v>0.96670402447091142</c:v>
                </c:pt>
                <c:pt idx="121">
                  <c:v>0.95172384508966834</c:v>
                </c:pt>
                <c:pt idx="122">
                  <c:v>0.93724325357230931</c:v>
                </c:pt>
                <c:pt idx="123">
                  <c:v>0.92307770067060857</c:v>
                </c:pt>
                <c:pt idx="124">
                  <c:v>0.90722375092770124</c:v>
                </c:pt>
                <c:pt idx="125">
                  <c:v>0.89136980118479392</c:v>
                </c:pt>
                <c:pt idx="126">
                  <c:v>0.8742062126996557</c:v>
                </c:pt>
                <c:pt idx="127">
                  <c:v>0.85837747960333766</c:v>
                </c:pt>
                <c:pt idx="128">
                  <c:v>0.84228627646509868</c:v>
                </c:pt>
                <c:pt idx="129">
                  <c:v>0.82528537602247343</c:v>
                </c:pt>
                <c:pt idx="130">
                  <c:v>0.80768795275729999</c:v>
                </c:pt>
                <c:pt idx="131">
                  <c:v>0.78974007233387933</c:v>
                </c:pt>
                <c:pt idx="132">
                  <c:v>0.77287338952632756</c:v>
                </c:pt>
                <c:pt idx="133">
                  <c:v>0.75605144593046658</c:v>
                </c:pt>
                <c:pt idx="134">
                  <c:v>0.74007209082145531</c:v>
                </c:pt>
                <c:pt idx="135">
                  <c:v>0.72439099712371802</c:v>
                </c:pt>
                <c:pt idx="136">
                  <c:v>0.70768835809236696</c:v>
                </c:pt>
                <c:pt idx="137">
                  <c:v>0.69160461148940977</c:v>
                </c:pt>
                <c:pt idx="138">
                  <c:v>0.67543138646307033</c:v>
                </c:pt>
                <c:pt idx="139">
                  <c:v>0.66079420770479269</c:v>
                </c:pt>
                <c:pt idx="140">
                  <c:v>0.64513548361290107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B1" zoomScale="110" zoomScaleNormal="110" workbookViewId="0">
      <selection activeCell="G22" sqref="G22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0" t="s">
        <v>153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6"/>
      <c r="D2" s="133" t="s">
        <v>154</v>
      </c>
      <c r="E2" s="134"/>
      <c r="F2" s="134"/>
      <c r="G2" s="134"/>
      <c r="H2" s="135"/>
      <c r="Z2"/>
      <c r="AA2"/>
      <c r="AB2"/>
      <c r="AC2"/>
    </row>
    <row r="3" spans="2:34" s="54" customFormat="1" ht="15.75" thickBot="1">
      <c r="B3" s="55"/>
      <c r="C3" s="136" t="s">
        <v>185</v>
      </c>
      <c r="D3" s="136"/>
      <c r="E3" s="136"/>
      <c r="F3" s="136"/>
      <c r="G3" s="137"/>
      <c r="H3" s="137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10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33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38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Kale Fodder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45378</v>
      </c>
      <c r="E9" s="67"/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45503</v>
      </c>
      <c r="E10" s="67"/>
      <c r="F10" s="57" t="s">
        <v>148</v>
      </c>
      <c r="G10" s="85" t="str">
        <f>IF(H10="",VLOOKUP(CurrentCropNameFull,CropCoefficients,15,FALSE),H10)</f>
        <v>LateReproductive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25</v>
      </c>
      <c r="E12" s="69">
        <v>25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25</v>
      </c>
      <c r="C14" s="64" t="str">
        <f>"Yield "&amp;CurrentYield_tperHa&amp;" (t/ha)"</f>
        <v>Yield 25 (t/ha)</v>
      </c>
      <c r="D14" s="90" t="str">
        <f ca="1">"requires "&amp;ROUND(SUM('Model Interface'!V3:W3),0)&amp;" kg N/ha from all sources"</f>
        <v>requires 360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45363</v>
      </c>
      <c r="Z14"/>
      <c r="AA14"/>
      <c r="AB14"/>
      <c r="AC14"/>
    </row>
    <row r="15" spans="2:34" s="55" customFormat="1" ht="16.5" thickBot="1">
      <c r="B15" s="55">
        <f ca="1">SUMIF(B29:B43,1,G29:G43)</f>
        <v>203.06109001100612</v>
      </c>
      <c r="C15" s="111" t="s">
        <v>225</v>
      </c>
      <c r="D15" s="112" t="str">
        <f ca="1">SUMIF(B29:B43,1,G29:G43)&amp;" Kg/ha"</f>
        <v>203.061090011006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29" t="s">
        <v>228</v>
      </c>
      <c r="S15" s="129"/>
      <c r="T15" s="129"/>
      <c r="U15" s="129"/>
      <c r="V15" s="129"/>
      <c r="W15" s="125"/>
      <c r="X15" s="125"/>
      <c r="Y15" s="125"/>
      <c r="Z15" s="127" t="s">
        <v>227</v>
      </c>
      <c r="AA15" s="127"/>
      <c r="AB15" s="127"/>
      <c r="AC15" s="127"/>
      <c r="AD15" s="128" t="s">
        <v>229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36" t="s">
        <v>186</v>
      </c>
      <c r="D17" s="136"/>
      <c r="E17" s="136"/>
      <c r="F17" s="136"/>
      <c r="G17" s="136"/>
      <c r="H17" s="136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Interface'!P5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Interface'!AD6:AD495,('Model Interface'!AD6:AD495&gt;=StartGraphDate)*('Model Interface'!AD6:AD495&lt;=CurrentHarvestDate),"")</f>
        <v>45363</v>
      </c>
      <c r="S18" s="55">
        <f ca="1">IF(R18&gt;1,R18,"")</f>
        <v>45363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385.97828957283389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1.0185330795222782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0.99999999967495001</v>
      </c>
      <c r="AD18" s="83">
        <f t="array" aca="1" ref="AD18:AD662" ca="1">_xlfn._xlws.FILTER('Model Interface'!AD6:AD999,('Model Interface'!AD6:AD999&gt;=CurrentHarvestDate+1)*('Model Interface'!AD6:AD999&lt;=FollowingHarvestDate),"")</f>
        <v>45504</v>
      </c>
      <c r="AE18" s="55">
        <f ca="1">IF(AD18&gt;1,AD18,"")</f>
        <v>45504</v>
      </c>
      <c r="AF18" s="55">
        <f t="shared" ref="AF18:AF20" ca="1" si="6">VLOOKUP(AE18,ModelOutputs,2,FALSE)</f>
        <v>22.654522837635106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-0.68903599336487065</v>
      </c>
      <c r="AJ18" s="55">
        <f t="shared" ref="AJ18" ca="1" si="9">VLOOKUP(AE18,ModelOutputs,5,FALSE)</f>
        <v>0.70423295673958386</v>
      </c>
      <c r="AK18" s="55">
        <f t="shared" ref="AK18" ca="1" si="10">VLOOKUP(AE18,ModelOutputs,4,FALSE)</f>
        <v>-5.3387871891044938</v>
      </c>
    </row>
    <row r="19" spans="1:37" s="55" customFormat="1">
      <c r="C19" s="57" t="s">
        <v>222</v>
      </c>
      <c r="D19" s="85">
        <f>IF(E19="",60,E19)</f>
        <v>100</v>
      </c>
      <c r="E19" s="16">
        <v>100</v>
      </c>
      <c r="F19" s="100" t="str">
        <f ca="1">ROUND('Model Interface'!T2,0)&amp;" kg N/ha available from SOM mineralisation"</f>
        <v>113 kg N/ha available from SOM mineralisation</v>
      </c>
      <c r="R19" s="83">
        <f ca="1"/>
        <v>45364</v>
      </c>
      <c r="S19" s="55">
        <f t="shared" ref="S19:S82" ca="1" si="11">IF(R19&gt;1,R19,"")</f>
        <v>45364</v>
      </c>
      <c r="T19" s="55">
        <f t="shared" ca="1" si="0"/>
        <v>66.320497561433072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2.0260152475445681</v>
      </c>
      <c r="Y19" s="55">
        <f t="shared" ref="Y19:Y82" ca="1" si="14">VLOOKUP(S19,ModelOutputs,4,FALSE)+Y18</f>
        <v>15.313015393410772</v>
      </c>
      <c r="Z19">
        <f t="shared" ca="1" si="3"/>
        <v>103.08890582380474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45505</v>
      </c>
      <c r="AE19" s="55">
        <f t="shared" ref="AE19:AE20" ca="1" si="16">IF(AD19&gt;1,AD19,"")</f>
        <v>45505</v>
      </c>
      <c r="AF19" s="55">
        <f t="shared" ca="1" si="6"/>
        <v>17.721931938667613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-1.1047442459618324</v>
      </c>
      <c r="AJ19" s="55">
        <f t="shared" ref="AJ19:AJ82" ca="1" si="18">VLOOKUP(AE19,ModelOutputs,5,FALSE)+AJ18</f>
        <v>1.4262544653132305</v>
      </c>
      <c r="AK19" s="55">
        <f t="shared" ref="AK19:AK82" ca="1" si="19">VLOOKUP(AE19,ModelOutputs,4,FALSE)+AK18</f>
        <v>-10.577691344048674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45365</v>
      </c>
      <c r="S20" s="55">
        <f t="shared" ca="1" si="11"/>
        <v>45365</v>
      </c>
      <c r="T20" s="55">
        <f t="shared" ca="1" si="0"/>
        <v>81.639505865211305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3.0720097879369677</v>
      </c>
      <c r="Y20" s="55">
        <f t="shared" ca="1" si="14"/>
        <v>29.586029156796609</v>
      </c>
      <c r="Z20">
        <f t="shared" ca="1" si="3"/>
        <v>98.232334839198899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45506</v>
      </c>
      <c r="AE20" s="55">
        <f t="shared" ca="1" si="16"/>
        <v>45506</v>
      </c>
      <c r="AF20" s="55">
        <f t="shared" ca="1" si="6"/>
        <v>13.562753462226501</v>
      </c>
      <c r="AG20" s="55">
        <f t="shared" ca="1" si="7"/>
        <v>0</v>
      </c>
      <c r="AH20" s="55">
        <f t="shared" ca="1" si="8"/>
        <v>0</v>
      </c>
      <c r="AI20" s="55">
        <f t="shared" ca="1" si="17"/>
        <v>-1.1707421783134471</v>
      </c>
      <c r="AJ20" s="55">
        <f t="shared" ca="1" si="18"/>
        <v>2.1146385721801586</v>
      </c>
      <c r="AK20" s="55">
        <f t="shared" ca="1" si="19"/>
        <v>-15.3592559950051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45366</v>
      </c>
      <c r="S21" s="55">
        <f t="shared" ca="1" si="11"/>
        <v>45366</v>
      </c>
      <c r="T21" s="55">
        <f t="shared" ca="1" si="0"/>
        <v>96.394291419913415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4.1926255756327127</v>
      </c>
      <c r="Y21" s="55">
        <f t="shared" ca="1" si="14"/>
        <v>43.220198923802982</v>
      </c>
      <c r="Z21">
        <f t="shared" ca="1" si="3"/>
        <v>98.923639852112871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45507</v>
      </c>
      <c r="AE21" s="55">
        <f t="shared" ref="AE21:AE84" ca="1" si="20">IF(AD21&gt;1,AD21,"")</f>
        <v>45507</v>
      </c>
      <c r="AF21" s="55">
        <f t="shared" ref="AF21:AF84" ca="1" si="21">VLOOKUP(AE21,ModelOutputs,2,FALSE)</f>
        <v>9.3160215762937924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-1.4954590006836899</v>
      </c>
      <c r="AJ21" s="55">
        <f t="shared" ca="1" si="18"/>
        <v>2.8083742776567178</v>
      </c>
      <c r="AK21" s="55">
        <f t="shared" ca="1" si="19"/>
        <v>-19.975006764044124</v>
      </c>
    </row>
    <row r="22" spans="1:37" s="55" customFormat="1" ht="15" customHeight="1">
      <c r="C22" s="57" t="s">
        <v>212</v>
      </c>
      <c r="D22" s="85" t="str">
        <f>IF(E22="","loam",E22)</f>
        <v>Clay</v>
      </c>
      <c r="E22" s="16" t="s">
        <v>254</v>
      </c>
      <c r="F22" s="100"/>
      <c r="R22" s="83">
        <f ca="1"/>
        <v>45367</v>
      </c>
      <c r="S22" s="55">
        <f t="shared" ca="1" si="11"/>
        <v>45367</v>
      </c>
      <c r="T22" s="55">
        <f t="shared" ca="1" si="0"/>
        <v>107.84344839666407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5.156043477512088</v>
      </c>
      <c r="Y22" s="55">
        <f t="shared" ca="1" si="14"/>
        <v>53.705937998674258</v>
      </c>
      <c r="Z22">
        <f t="shared" ca="1" si="3"/>
        <v>96.94947488183513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45508</v>
      </c>
      <c r="AE22" s="55">
        <f t="shared" ca="1" si="20"/>
        <v>45508</v>
      </c>
      <c r="AF22" s="55">
        <f t="shared" ca="1" si="21"/>
        <v>5.6695812428552692</v>
      </c>
      <c r="AG22" s="55">
        <f t="shared" ca="1" si="22"/>
        <v>0</v>
      </c>
      <c r="AH22" s="55">
        <f t="shared" ca="1" si="23"/>
        <v>0</v>
      </c>
      <c r="AI22" s="55">
        <f t="shared" ca="1" si="17"/>
        <v>-1.5608943522115029</v>
      </c>
      <c r="AJ22" s="55">
        <f t="shared" ca="1" si="18"/>
        <v>3.4745138573724925</v>
      </c>
      <c r="AK22" s="55">
        <f t="shared" ca="1" si="19"/>
        <v>-24.222151325670609</v>
      </c>
    </row>
    <row r="23" spans="1:37" s="55" customFormat="1">
      <c r="C23" s="57"/>
      <c r="D23" s="85"/>
      <c r="E23" s="122"/>
      <c r="F23" s="100"/>
      <c r="R23" s="83">
        <f ca="1"/>
        <v>45368</v>
      </c>
      <c r="S23" s="55">
        <f t="shared" ca="1" si="11"/>
        <v>45368</v>
      </c>
      <c r="T23" s="55">
        <f t="shared" ca="1" si="0"/>
        <v>118.03872931970697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6.0979649349269831</v>
      </c>
      <c r="Y23" s="55">
        <f t="shared" ca="1" si="14"/>
        <v>62.959297464302267</v>
      </c>
      <c r="Z23">
        <f t="shared" ca="1" si="3"/>
        <v>100.2580492751553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45509</v>
      </c>
      <c r="AE23" s="55">
        <f t="shared" ca="1" si="20"/>
        <v>45509</v>
      </c>
      <c r="AF23" s="55">
        <f t="shared" ca="1" si="21"/>
        <v>2.1747835250628236</v>
      </c>
      <c r="AG23" s="55">
        <f t="shared" ca="1" si="22"/>
        <v>0</v>
      </c>
      <c r="AH23" s="55">
        <f t="shared" ca="1" si="23"/>
        <v>0</v>
      </c>
      <c r="AI23" s="55">
        <f t="shared" ca="1" si="17"/>
        <v>-1.6138057399756414</v>
      </c>
      <c r="AJ23" s="55">
        <f t="shared" ca="1" si="18"/>
        <v>4.1478318487124959</v>
      </c>
      <c r="AK23" s="55">
        <f t="shared" ca="1" si="19"/>
        <v>-28.337355647038919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45369</v>
      </c>
      <c r="S24" s="55">
        <f t="shared" ca="1" si="11"/>
        <v>45369</v>
      </c>
      <c r="T24" s="55">
        <f t="shared" ca="1" si="0"/>
        <v>127.36145662612645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7.042451146683006</v>
      </c>
      <c r="Y24" s="55">
        <f t="shared" ca="1" si="14"/>
        <v>71.337538558965718</v>
      </c>
      <c r="Z24">
        <f t="shared" ca="1" si="3"/>
        <v>96.90825767152981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45510</v>
      </c>
      <c r="AE24" s="55">
        <f t="shared" ca="1" si="20"/>
        <v>45510</v>
      </c>
      <c r="AF24" s="55">
        <f t="shared" ca="1" si="21"/>
        <v>-1.128852218836391</v>
      </c>
      <c r="AG24" s="55">
        <f t="shared" ca="1" si="22"/>
        <v>0</v>
      </c>
      <c r="AH24" s="55">
        <f t="shared" ca="1" si="23"/>
        <v>0</v>
      </c>
      <c r="AI24" s="55">
        <f t="shared" ca="1" si="17"/>
        <v>-1.6138057399756414</v>
      </c>
      <c r="AJ24" s="55">
        <f t="shared" ca="1" si="18"/>
        <v>4.8283773879640002</v>
      </c>
      <c r="AK24" s="55">
        <f t="shared" ca="1" si="19"/>
        <v>-32.321536930189637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45370</v>
      </c>
      <c r="S25" s="55">
        <f t="shared" ca="1" si="11"/>
        <v>45370</v>
      </c>
      <c r="T25" s="55">
        <f t="shared" ca="1" si="0"/>
        <v>135.68051185509816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7.9654424195209579</v>
      </c>
      <c r="Y25" s="55">
        <f t="shared" ca="1" si="14"/>
        <v>78.733602515099477</v>
      </c>
      <c r="Z25">
        <f t="shared" ca="1" si="3"/>
        <v>92.158213678248131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45511</v>
      </c>
      <c r="AE25" s="55">
        <f t="shared" ca="1" si="20"/>
        <v>45511</v>
      </c>
      <c r="AF25" s="55">
        <f t="shared" ca="1" si="21"/>
        <v>-4.1073937153289739</v>
      </c>
      <c r="AG25" s="55">
        <f t="shared" ca="1" si="22"/>
        <v>0</v>
      </c>
      <c r="AH25" s="55">
        <f t="shared" ca="1" si="23"/>
        <v>0</v>
      </c>
      <c r="AI25" s="55">
        <f t="shared" ca="1" si="17"/>
        <v>-1.6138057399756414</v>
      </c>
      <c r="AJ25" s="55">
        <f t="shared" ca="1" si="18"/>
        <v>5.4743542335692892</v>
      </c>
      <c r="AK25" s="55">
        <f t="shared" ca="1" si="19"/>
        <v>-35.946055272287509</v>
      </c>
    </row>
    <row r="26" spans="1:37" s="55" customFormat="1" ht="15.75" thickBot="1">
      <c r="C26" s="56"/>
      <c r="D26" s="56"/>
      <c r="E26" s="56"/>
      <c r="F26" s="56"/>
      <c r="R26" s="83">
        <f ca="1"/>
        <v>45371</v>
      </c>
      <c r="S26" s="55">
        <f t="shared" ca="1" si="11"/>
        <v>45371</v>
      </c>
      <c r="T26" s="55">
        <f t="shared" ca="1" si="0"/>
        <v>143.28276557153308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8.8876773760106023</v>
      </c>
      <c r="Y26" s="55">
        <f t="shared" ca="1" si="14"/>
        <v>85.413621275044775</v>
      </c>
      <c r="Z26">
        <f t="shared" ca="1" si="3"/>
        <v>90.152485617227967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45512</v>
      </c>
      <c r="AE26" s="55">
        <f t="shared" ca="1" si="20"/>
        <v>45512</v>
      </c>
      <c r="AF26" s="55">
        <f t="shared" ca="1" si="21"/>
        <v>-6.6609989548981234</v>
      </c>
      <c r="AG26" s="55">
        <f t="shared" ca="1" si="22"/>
        <v>0</v>
      </c>
      <c r="AH26" s="55">
        <f t="shared" ca="1" si="23"/>
        <v>0</v>
      </c>
      <c r="AI26" s="55">
        <f t="shared" ca="1" si="17"/>
        <v>-1.6138057399756414</v>
      </c>
      <c r="AJ26" s="55">
        <f t="shared" ca="1" si="18"/>
        <v>6.0556268354757821</v>
      </c>
      <c r="AK26" s="55">
        <f t="shared" ca="1" si="19"/>
        <v>-39.080933113763152</v>
      </c>
    </row>
    <row r="27" spans="1:37" s="55" customFormat="1" ht="15.75" thickBot="1">
      <c r="C27" s="139" t="s">
        <v>139</v>
      </c>
      <c r="D27" s="140"/>
      <c r="E27" s="60"/>
      <c r="F27" s="141" t="s">
        <v>146</v>
      </c>
      <c r="G27" s="142"/>
      <c r="R27" s="83">
        <f ca="1"/>
        <v>45372</v>
      </c>
      <c r="S27" s="55">
        <f t="shared" ca="1" si="11"/>
        <v>45372</v>
      </c>
      <c r="T27" s="55">
        <f t="shared" ca="1" si="0"/>
        <v>150.3229064223936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9.821376722186443</v>
      </c>
      <c r="Y27" s="55">
        <f t="shared" ca="1" si="14"/>
        <v>91.520062779729457</v>
      </c>
      <c r="Z27">
        <f t="shared" ca="1" si="3"/>
        <v>89.873224820811231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45513</v>
      </c>
      <c r="AE27" s="55">
        <f t="shared" ca="1" si="20"/>
        <v>45513</v>
      </c>
      <c r="AF27" s="55">
        <f t="shared" ca="1" si="21"/>
        <v>-8.9555738107165155</v>
      </c>
      <c r="AG27" s="55">
        <f t="shared" ca="1" si="22"/>
        <v>0</v>
      </c>
      <c r="AH27" s="55">
        <f t="shared" ca="1" si="23"/>
        <v>0</v>
      </c>
      <c r="AI27" s="55">
        <f t="shared" ca="1" si="17"/>
        <v>-1.6138057399756414</v>
      </c>
      <c r="AJ27" s="55">
        <f t="shared" ca="1" si="18"/>
        <v>6.6020574400549279</v>
      </c>
      <c r="AK27" s="55">
        <f t="shared" ca="1" si="19"/>
        <v>-41.921938574160691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45373</v>
      </c>
      <c r="S28" s="55">
        <f t="shared" ca="1" si="11"/>
        <v>45373</v>
      </c>
      <c r="T28" s="55">
        <f t="shared" ca="1" si="0"/>
        <v>156.86150728605722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10.769911293014799</v>
      </c>
      <c r="Y28" s="55">
        <f t="shared" ca="1" si="14"/>
        <v>97.110129072564717</v>
      </c>
      <c r="Z28">
        <f t="shared" ca="1" si="3"/>
        <v>90.447212648298986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45514</v>
      </c>
      <c r="AE28" s="55">
        <f t="shared" ca="1" si="20"/>
        <v>45514</v>
      </c>
      <c r="AF28" s="55">
        <f t="shared" ca="1" si="21"/>
        <v>-11.37395505486068</v>
      </c>
      <c r="AG28" s="55">
        <f t="shared" ca="1" si="22"/>
        <v>0</v>
      </c>
      <c r="AH28" s="55">
        <f t="shared" ca="1" si="23"/>
        <v>0</v>
      </c>
      <c r="AI28" s="55">
        <f t="shared" ca="1" si="17"/>
        <v>-1.6138057399756414</v>
      </c>
      <c r="AJ28" s="55">
        <f t="shared" ca="1" si="18"/>
        <v>7.2055287161659578</v>
      </c>
      <c r="AK28" s="55">
        <f t="shared" ca="1" si="19"/>
        <v>-44.943791094415886</v>
      </c>
    </row>
    <row r="29" spans="1:37" s="55" customFormat="1">
      <c r="A29" s="83">
        <f t="array" aca="1" ref="A29:A43" ca="1">_xlfn._xlws.FILTER('Model Interface'!AD6:AD495,'Model Interface'!AE6:AE495&gt;0,"")</f>
        <v>45434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45434</v>
      </c>
      <c r="G29" s="76">
        <f ca="1">IFERROR(VLOOKUP(F29,'Model Interface'!$P$6:$U$495,6,FALSE),"")</f>
        <v>49.654930399531018</v>
      </c>
      <c r="H29" s="55" t="str">
        <f ca="1">IF(B29=1,"Suggested","Applied or Planned")</f>
        <v>Suggested</v>
      </c>
      <c r="R29" s="83">
        <f ca="1"/>
        <v>45374</v>
      </c>
      <c r="S29" s="55">
        <f t="shared" ca="1" si="11"/>
        <v>45374</v>
      </c>
      <c r="T29" s="55">
        <f t="shared" ca="1" si="0"/>
        <v>162.88827354452417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11.726377812863499</v>
      </c>
      <c r="Y29" s="55">
        <f t="shared" ca="1" si="14"/>
        <v>102.18042881118296</v>
      </c>
      <c r="Z29">
        <f t="shared" ca="1" si="3"/>
        <v>95.272385918263268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45515</v>
      </c>
      <c r="AE29" s="55">
        <f t="shared" ca="1" si="20"/>
        <v>45515</v>
      </c>
      <c r="AF29" s="55">
        <f t="shared" ca="1" si="21"/>
        <v>-13.770829148835503</v>
      </c>
      <c r="AG29" s="55">
        <f t="shared" ca="1" si="22"/>
        <v>0</v>
      </c>
      <c r="AH29" s="55">
        <f t="shared" ca="1" si="23"/>
        <v>0</v>
      </c>
      <c r="AI29" s="55">
        <f t="shared" ca="1" si="17"/>
        <v>-1.6138057399756414</v>
      </c>
      <c r="AJ29" s="55">
        <f t="shared" ca="1" si="18"/>
        <v>7.8349167663908261</v>
      </c>
      <c r="AK29" s="55">
        <f t="shared" ca="1" si="19"/>
        <v>-47.970053238615577</v>
      </c>
    </row>
    <row r="30" spans="1:37" s="55" customFormat="1">
      <c r="A30" s="83">
        <f ca="1"/>
        <v>45444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45444</v>
      </c>
      <c r="G30" s="76">
        <f ca="1">IFERROR(VLOOKUP(F30,'Model Interface'!$P$6:$U$495,6,FALSE),"")</f>
        <v>55.625351065830685</v>
      </c>
      <c r="H30" s="55" t="str">
        <f t="shared" ref="H30:H43" ca="1" si="26">IF(F30="","",IF(F30&lt;=StartSchedullingDate,"Applied or Planned","Suggested"))</f>
        <v>Suggested</v>
      </c>
      <c r="R30" s="83">
        <f ca="1"/>
        <v>45375</v>
      </c>
      <c r="S30" s="55">
        <f t="shared" ca="1" si="11"/>
        <v>45375</v>
      </c>
      <c r="T30" s="55">
        <f t="shared" ca="1" si="0"/>
        <v>168.80259103202852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12.755931174867625</v>
      </c>
      <c r="Y30" s="55">
        <f t="shared" ca="1" si="14"/>
        <v>107.06519293668318</v>
      </c>
      <c r="Z30">
        <f t="shared" ca="1" si="3"/>
        <v>97.428150307943909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45516</v>
      </c>
      <c r="AE30" s="55">
        <f t="shared" ca="1" si="20"/>
        <v>45516</v>
      </c>
      <c r="AF30" s="55">
        <f t="shared" ca="1" si="21"/>
        <v>-16.109734237651413</v>
      </c>
      <c r="AG30" s="55">
        <f t="shared" ca="1" si="22"/>
        <v>0</v>
      </c>
      <c r="AH30" s="55">
        <f t="shared" ca="1" si="23"/>
        <v>0</v>
      </c>
      <c r="AI30" s="55">
        <f t="shared" ca="1" si="17"/>
        <v>-1.6138057399756414</v>
      </c>
      <c r="AJ30" s="55">
        <f t="shared" ca="1" si="18"/>
        <v>8.4830542785156133</v>
      </c>
      <c r="AK30" s="55">
        <f t="shared" ca="1" si="19"/>
        <v>-50.957095839556274</v>
      </c>
    </row>
    <row r="31" spans="1:37" s="55" customFormat="1">
      <c r="A31" s="83">
        <f ca="1"/>
        <v>45456</v>
      </c>
      <c r="B31" s="55">
        <f t="shared" ca="1" si="24"/>
        <v>1</v>
      </c>
      <c r="C31" s="78"/>
      <c r="D31" s="81"/>
      <c r="F31" s="74">
        <f t="shared" ca="1" si="25"/>
        <v>45456</v>
      </c>
      <c r="G31" s="76">
        <f ca="1">IFERROR(VLOOKUP(F31,'Model Interface'!$P$6:$U$495,6,FALSE),"")</f>
        <v>97.780808545644419</v>
      </c>
      <c r="H31" s="55" t="str">
        <f t="shared" ca="1" si="26"/>
        <v>Suggested</v>
      </c>
      <c r="R31" s="83">
        <f ca="1"/>
        <v>45376</v>
      </c>
      <c r="S31" s="55">
        <f t="shared" ca="1" si="11"/>
        <v>45376</v>
      </c>
      <c r="T31" s="55">
        <f t="shared" ca="1" si="0"/>
        <v>174.47137360978425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13.84338464490318</v>
      </c>
      <c r="Y31" s="55">
        <f t="shared" ca="1" si="14"/>
        <v>111.64652204440333</v>
      </c>
      <c r="Z31">
        <f t="shared" ca="1" si="3"/>
        <v>101.41838841562426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45517</v>
      </c>
      <c r="AE31" s="55">
        <f t="shared" ca="1" si="20"/>
        <v>45517</v>
      </c>
      <c r="AF31" s="55">
        <f t="shared" ca="1" si="21"/>
        <v>-18.383298718741507</v>
      </c>
      <c r="AG31" s="55">
        <f t="shared" ca="1" si="22"/>
        <v>0</v>
      </c>
      <c r="AH31" s="55">
        <f t="shared" ca="1" si="23"/>
        <v>0</v>
      </c>
      <c r="AI31" s="55">
        <f t="shared" ca="1" si="17"/>
        <v>-1.6138057399756414</v>
      </c>
      <c r="AJ31" s="55">
        <f t="shared" ca="1" si="18"/>
        <v>9.1497443013262654</v>
      </c>
      <c r="AK31" s="55">
        <f t="shared" ca="1" si="19"/>
        <v>-53.89735034345702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Interface'!$P$6:$U$495,6,FALSE),"")</f>
        <v/>
      </c>
      <c r="H32" s="55" t="str">
        <f t="shared" ca="1" si="26"/>
        <v/>
      </c>
      <c r="R32" s="83">
        <f ca="1"/>
        <v>45377</v>
      </c>
      <c r="S32" s="55">
        <f t="shared" ca="1" si="11"/>
        <v>45377</v>
      </c>
      <c r="T32" s="55">
        <f t="shared" ca="1" si="0"/>
        <v>179.67945269486799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14.946098504995829</v>
      </c>
      <c r="Y32" s="55">
        <f t="shared" ca="1" si="14"/>
        <v>115.75188726939442</v>
      </c>
      <c r="Z32">
        <f t="shared" ca="1" si="3"/>
        <v>100.73733690845071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45518</v>
      </c>
      <c r="AE32" s="55">
        <f t="shared" ca="1" si="20"/>
        <v>45518</v>
      </c>
      <c r="AF32" s="55">
        <f t="shared" ca="1" si="21"/>
        <v>-20.457608733977867</v>
      </c>
      <c r="AG32" s="55">
        <f t="shared" ca="1" si="22"/>
        <v>0</v>
      </c>
      <c r="AH32" s="55">
        <f t="shared" ca="1" si="23"/>
        <v>0</v>
      </c>
      <c r="AI32" s="55">
        <f t="shared" ca="1" si="17"/>
        <v>-1.6138057399756414</v>
      </c>
      <c r="AJ32" s="55">
        <f t="shared" ca="1" si="18"/>
        <v>9.7941036778394182</v>
      </c>
      <c r="AK32" s="55">
        <f t="shared" ca="1" si="19"/>
        <v>-56.616019735206535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Interface'!$P$6:$U$495,6,FALSE),"")</f>
        <v/>
      </c>
      <c r="H33" s="55" t="str">
        <f t="shared" ca="1" si="26"/>
        <v/>
      </c>
      <c r="R33" s="83">
        <f ca="1"/>
        <v>45378</v>
      </c>
      <c r="S33" s="55">
        <f t="shared" ca="1" si="11"/>
        <v>45378</v>
      </c>
      <c r="T33" s="55">
        <f t="shared" ca="1" si="0"/>
        <v>183.89529925363846</v>
      </c>
      <c r="U33" s="55">
        <f t="shared" ca="1" si="1"/>
        <v>7.3127685764116599</v>
      </c>
      <c r="V33" s="55">
        <f t="shared" ca="1" si="2"/>
        <v>0</v>
      </c>
      <c r="W33" s="55">
        <f t="shared" ca="1" si="12"/>
        <v>0</v>
      </c>
      <c r="X33" s="55">
        <f t="shared" ca="1" si="13"/>
        <v>15.924733345379009</v>
      </c>
      <c r="Y33" s="55">
        <f t="shared" ca="1" si="14"/>
        <v>118.9890989877817</v>
      </c>
      <c r="Z33">
        <f t="shared" ca="1" si="3"/>
        <v>99.26242723827761</v>
      </c>
      <c r="AA33">
        <f t="shared" ca="1" si="15"/>
        <v>0</v>
      </c>
      <c r="AB33">
        <f t="shared" ca="1" si="4"/>
        <v>0</v>
      </c>
      <c r="AC33">
        <f t="shared" ca="1" si="5"/>
        <v>1.0906897637003848E-2</v>
      </c>
      <c r="AD33" s="83">
        <f ca="1"/>
        <v>45519</v>
      </c>
      <c r="AE33" s="55">
        <f t="shared" ca="1" si="20"/>
        <v>45519</v>
      </c>
      <c r="AF33" s="55">
        <f t="shared" ca="1" si="21"/>
        <v>-22.465512738917976</v>
      </c>
      <c r="AG33" s="55">
        <f t="shared" ca="1" si="22"/>
        <v>0</v>
      </c>
      <c r="AH33" s="55">
        <f t="shared" ca="1" si="23"/>
        <v>0</v>
      </c>
      <c r="AI33" s="55">
        <f t="shared" ca="1" si="17"/>
        <v>-1.6138057399756414</v>
      </c>
      <c r="AJ33" s="55">
        <f t="shared" ca="1" si="18"/>
        <v>10.455576204170448</v>
      </c>
      <c r="AK33" s="55">
        <f t="shared" ca="1" si="19"/>
        <v>-59.285396266477676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Interface'!$P$6:$U$495,6,FALSE),"")</f>
        <v/>
      </c>
      <c r="H34" s="55" t="str">
        <f t="shared" ca="1" si="26"/>
        <v/>
      </c>
      <c r="R34" s="83">
        <f ca="1"/>
        <v>45379</v>
      </c>
      <c r="S34" s="55">
        <f t="shared" ca="1" si="11"/>
        <v>45379</v>
      </c>
      <c r="T34" s="55">
        <f t="shared" ca="1" si="0"/>
        <v>187.32842386471265</v>
      </c>
      <c r="U34" s="55">
        <f t="shared" ca="1" si="1"/>
        <v>7.9159390906025626</v>
      </c>
      <c r="V34" s="55">
        <f t="shared" ca="1" si="2"/>
        <v>0</v>
      </c>
      <c r="W34" s="55">
        <f t="shared" ca="1" si="12"/>
        <v>0</v>
      </c>
      <c r="X34" s="55">
        <f t="shared" ca="1" si="13"/>
        <v>16.946142837005386</v>
      </c>
      <c r="Y34" s="55">
        <f t="shared" ca="1" si="14"/>
        <v>122.00398462142044</v>
      </c>
      <c r="Z34">
        <f t="shared" ca="1" si="3"/>
        <v>100.11867262666561</v>
      </c>
      <c r="AA34">
        <f t="shared" ca="1" si="15"/>
        <v>0</v>
      </c>
      <c r="AB34">
        <f t="shared" ca="1" si="4"/>
        <v>0</v>
      </c>
      <c r="AC34">
        <f t="shared" ca="1" si="5"/>
        <v>1.7954161996534792E-2</v>
      </c>
      <c r="AD34" s="83">
        <f ca="1"/>
        <v>45520</v>
      </c>
      <c r="AE34" s="55">
        <f t="shared" ca="1" si="20"/>
        <v>45520</v>
      </c>
      <c r="AF34" s="55">
        <f t="shared" ca="1" si="21"/>
        <v>-24.33947227734604</v>
      </c>
      <c r="AG34" s="55">
        <f t="shared" ca="1" si="22"/>
        <v>0</v>
      </c>
      <c r="AH34" s="55">
        <f t="shared" ca="1" si="23"/>
        <v>0</v>
      </c>
      <c r="AI34" s="55">
        <f t="shared" ca="1" si="17"/>
        <v>-1.6138057399756414</v>
      </c>
      <c r="AJ34" s="55">
        <f t="shared" ca="1" si="18"/>
        <v>11.111584888725272</v>
      </c>
      <c r="AK34" s="55">
        <f t="shared" ca="1" si="19"/>
        <v>-61.815364489460563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Interface'!$P$6:$U$495,6,FALSE),"")</f>
        <v/>
      </c>
      <c r="H35" s="55" t="str">
        <f t="shared" ca="1" si="26"/>
        <v/>
      </c>
      <c r="R35" s="83">
        <f ca="1"/>
        <v>45380</v>
      </c>
      <c r="S35" s="55">
        <f t="shared" ca="1" si="11"/>
        <v>45380</v>
      </c>
      <c r="T35" s="55">
        <f t="shared" ca="1" si="0"/>
        <v>190.44383115923833</v>
      </c>
      <c r="U35" s="55">
        <f t="shared" ca="1" si="1"/>
        <v>8.576999620189147</v>
      </c>
      <c r="V35" s="55">
        <f t="shared" ca="1" si="2"/>
        <v>0</v>
      </c>
      <c r="W35" s="55">
        <f t="shared" ca="1" si="12"/>
        <v>0</v>
      </c>
      <c r="X35" s="55">
        <f t="shared" ca="1" si="13"/>
        <v>17.988525241943204</v>
      </c>
      <c r="Y35" s="55">
        <f t="shared" ca="1" si="14"/>
        <v>124.73807004059488</v>
      </c>
      <c r="Z35">
        <f t="shared" ca="1" si="3"/>
        <v>100.35762146915475</v>
      </c>
      <c r="AA35">
        <f t="shared" ca="1" si="15"/>
        <v>0</v>
      </c>
      <c r="AB35">
        <f t="shared" ca="1" si="4"/>
        <v>0</v>
      </c>
      <c r="AC35">
        <f t="shared" ca="1" si="5"/>
        <v>2.9618087224529185E-2</v>
      </c>
      <c r="AD35" s="83">
        <f ca="1"/>
        <v>45521</v>
      </c>
      <c r="AE35" s="55">
        <f t="shared" ca="1" si="20"/>
        <v>45521</v>
      </c>
      <c r="AF35" s="55">
        <f t="shared" ca="1" si="21"/>
        <v>-25.970413409256373</v>
      </c>
      <c r="AG35" s="55">
        <f t="shared" ca="1" si="22"/>
        <v>0</v>
      </c>
      <c r="AH35" s="55">
        <f t="shared" ca="1" si="23"/>
        <v>0</v>
      </c>
      <c r="AI35" s="55">
        <f t="shared" ca="1" si="17"/>
        <v>-1.6138057399756414</v>
      </c>
      <c r="AJ35" s="55">
        <f t="shared" ca="1" si="18"/>
        <v>11.717642220326747</v>
      </c>
      <c r="AK35" s="55">
        <f t="shared" ca="1" si="19"/>
        <v>-64.052362952972373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9" t="s">
        <v>140</v>
      </c>
      <c r="D36" s="140"/>
      <c r="F36" s="74" t="str">
        <f t="shared" ca="1" si="25"/>
        <v/>
      </c>
      <c r="G36" s="76" t="str">
        <f ca="1">IFERROR(VLOOKUP(F36,'Model Interface'!$P$6:$U$495,6,FALSE),"")</f>
        <v/>
      </c>
      <c r="H36" s="55" t="str">
        <f t="shared" ca="1" si="26"/>
        <v/>
      </c>
      <c r="R36" s="83">
        <f ca="1"/>
        <v>45381</v>
      </c>
      <c r="S36" s="55">
        <f t="shared" ca="1" si="11"/>
        <v>45381</v>
      </c>
      <c r="T36" s="55">
        <f t="shared" ca="1" si="0"/>
        <v>193.08623903516207</v>
      </c>
      <c r="U36" s="55">
        <f t="shared" ca="1" si="1"/>
        <v>9.2688116983224003</v>
      </c>
      <c r="V36" s="55">
        <f t="shared" ca="1" si="2"/>
        <v>0</v>
      </c>
      <c r="W36" s="55">
        <f t="shared" ca="1" si="12"/>
        <v>0</v>
      </c>
      <c r="X36" s="55">
        <f t="shared" ca="1" si="13"/>
        <v>18.989116936322393</v>
      </c>
      <c r="Y36" s="55">
        <f t="shared" ca="1" si="14"/>
        <v>127.07169830027266</v>
      </c>
      <c r="Z36">
        <f t="shared" ca="1" si="3"/>
        <v>100.3611979081607</v>
      </c>
      <c r="AA36">
        <f t="shared" ca="1" si="15"/>
        <v>0</v>
      </c>
      <c r="AB36">
        <f t="shared" ca="1" si="4"/>
        <v>0</v>
      </c>
      <c r="AC36">
        <f t="shared" ca="1" si="5"/>
        <v>4.7755998105924742E-2</v>
      </c>
      <c r="AD36" s="83">
        <f ca="1"/>
        <v>45522</v>
      </c>
      <c r="AE36" s="55">
        <f t="shared" ca="1" si="20"/>
        <v>45522</v>
      </c>
      <c r="AF36" s="55">
        <f t="shared" ca="1" si="21"/>
        <v>-27.609595029332933</v>
      </c>
      <c r="AG36" s="55">
        <f t="shared" ca="1" si="22"/>
        <v>0</v>
      </c>
      <c r="AH36" s="55">
        <f t="shared" ca="1" si="23"/>
        <v>0</v>
      </c>
      <c r="AI36" s="55">
        <f t="shared" ca="1" si="17"/>
        <v>-1.6138057399756414</v>
      </c>
      <c r="AJ36" s="55">
        <f t="shared" ca="1" si="18"/>
        <v>12.364968941144019</v>
      </c>
      <c r="AK36" s="55">
        <f t="shared" ca="1" si="19"/>
        <v>-66.338871293866205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Interface'!$P$6:$U$495,6,FALSE),"")</f>
        <v/>
      </c>
      <c r="H37" s="55" t="str">
        <f t="shared" ca="1" si="26"/>
        <v/>
      </c>
      <c r="R37" s="83">
        <f ca="1"/>
        <v>45382</v>
      </c>
      <c r="S37" s="55">
        <f t="shared" ca="1" si="11"/>
        <v>45382</v>
      </c>
      <c r="T37" s="55">
        <f t="shared" ca="1" si="0"/>
        <v>195.32921183069681</v>
      </c>
      <c r="U37" s="55">
        <f t="shared" ca="1" si="1"/>
        <v>10.00289416548533</v>
      </c>
      <c r="V37" s="55">
        <f t="shared" ca="1" si="2"/>
        <v>0</v>
      </c>
      <c r="W37" s="55">
        <f t="shared" ca="1" si="12"/>
        <v>0</v>
      </c>
      <c r="X37" s="55">
        <f t="shared" ca="1" si="13"/>
        <v>19.955061533910492</v>
      </c>
      <c r="Y37" s="55">
        <f t="shared" ca="1" si="14"/>
        <v>129.08280896538221</v>
      </c>
      <c r="Z37">
        <f t="shared" ca="1" si="3"/>
        <v>98.953475887639655</v>
      </c>
      <c r="AA37">
        <f t="shared" ca="1" si="15"/>
        <v>0</v>
      </c>
      <c r="AB37">
        <f t="shared" ca="1" si="4"/>
        <v>0</v>
      </c>
      <c r="AC37">
        <f t="shared" ca="1" si="5"/>
        <v>7.558985403603298E-2</v>
      </c>
      <c r="AD37" s="83">
        <f ca="1"/>
        <v>45523</v>
      </c>
      <c r="AE37" s="55">
        <f t="shared" ca="1" si="20"/>
        <v>45523</v>
      </c>
      <c r="AF37" s="55">
        <f t="shared" ca="1" si="21"/>
        <v>-29.112877425600125</v>
      </c>
      <c r="AG37" s="55">
        <f t="shared" ca="1" si="22"/>
        <v>0</v>
      </c>
      <c r="AH37" s="55">
        <f t="shared" ca="1" si="23"/>
        <v>0</v>
      </c>
      <c r="AI37" s="55">
        <f t="shared" ca="1" si="17"/>
        <v>-1.6138057399756414</v>
      </c>
      <c r="AJ37" s="55">
        <f t="shared" ca="1" si="18"/>
        <v>12.997812369267999</v>
      </c>
      <c r="AK37" s="55">
        <f t="shared" ca="1" si="19"/>
        <v>-68.474997118257377</v>
      </c>
    </row>
    <row r="38" spans="1:37" s="55" customFormat="1">
      <c r="A38" s="83" t="e">
        <f ca="1"/>
        <v>#N/A</v>
      </c>
      <c r="B38" s="55">
        <f t="shared" ca="1" si="24"/>
        <v>0</v>
      </c>
      <c r="C38" s="123"/>
      <c r="D38" s="81"/>
      <c r="F38" s="74" t="str">
        <f t="shared" ca="1" si="25"/>
        <v/>
      </c>
      <c r="G38" s="76" t="str">
        <f ca="1">IFERROR(VLOOKUP(F38,'Model Interface'!$P$6:$U$495,6,FALSE),"")</f>
        <v/>
      </c>
      <c r="H38" s="55" t="str">
        <f t="shared" ca="1" si="26"/>
        <v/>
      </c>
      <c r="R38" s="83">
        <f ca="1"/>
        <v>45383</v>
      </c>
      <c r="S38" s="55">
        <f t="shared" ca="1" si="11"/>
        <v>45383</v>
      </c>
      <c r="T38" s="55">
        <f t="shared" ca="1" si="0"/>
        <v>197.12582372448824</v>
      </c>
      <c r="U38" s="55">
        <f t="shared" ca="1" si="1"/>
        <v>10.764363643820518</v>
      </c>
      <c r="V38" s="55">
        <f t="shared" ca="1" si="2"/>
        <v>0</v>
      </c>
      <c r="W38" s="55">
        <f t="shared" ca="1" si="12"/>
        <v>0</v>
      </c>
      <c r="X38" s="55">
        <f t="shared" ca="1" si="13"/>
        <v>20.846510037852475</v>
      </c>
      <c r="Y38" s="55">
        <f t="shared" ca="1" si="14"/>
        <v>130.74944183356686</v>
      </c>
      <c r="Z38">
        <f t="shared" ca="1" si="3"/>
        <v>95.766829942642246</v>
      </c>
      <c r="AA38">
        <f t="shared" ca="1" si="15"/>
        <v>0</v>
      </c>
      <c r="AB38">
        <f t="shared" ca="1" si="4"/>
        <v>0</v>
      </c>
      <c r="AC38">
        <f t="shared" ca="1" si="5"/>
        <v>0.11585443222541358</v>
      </c>
      <c r="AD38" s="83">
        <f ca="1"/>
        <v>45524</v>
      </c>
      <c r="AE38" s="55">
        <f t="shared" ca="1" si="20"/>
        <v>45524</v>
      </c>
      <c r="AF38" s="55">
        <f t="shared" ca="1" si="21"/>
        <v>-30.592945804138246</v>
      </c>
      <c r="AG38" s="55">
        <f t="shared" ca="1" si="22"/>
        <v>0</v>
      </c>
      <c r="AH38" s="55">
        <f t="shared" ca="1" si="23"/>
        <v>0</v>
      </c>
      <c r="AI38" s="55">
        <f t="shared" ca="1" si="17"/>
        <v>-1.6138057399756414</v>
      </c>
      <c r="AJ38" s="55">
        <f t="shared" ca="1" si="18"/>
        <v>13.663951948983774</v>
      </c>
      <c r="AK38" s="55">
        <f t="shared" ca="1" si="19"/>
        <v>-70.621205076511274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Interface'!$P$6:$U$495,6,FALSE),"")</f>
        <v/>
      </c>
      <c r="H39" s="55" t="str">
        <f t="shared" ca="1" si="26"/>
        <v/>
      </c>
      <c r="R39" s="83">
        <f ca="1"/>
        <v>45384</v>
      </c>
      <c r="S39" s="55">
        <f t="shared" ca="1" si="11"/>
        <v>45384</v>
      </c>
      <c r="T39" s="55">
        <f t="shared" ca="1" si="0"/>
        <v>198.99265472569471</v>
      </c>
      <c r="U39" s="55">
        <f t="shared" ca="1" si="1"/>
        <v>11.635597105521668</v>
      </c>
      <c r="V39" s="55">
        <f t="shared" ca="1" si="2"/>
        <v>0</v>
      </c>
      <c r="W39" s="55">
        <f t="shared" ca="1" si="12"/>
        <v>0</v>
      </c>
      <c r="X39" s="55">
        <f t="shared" ca="1" si="13"/>
        <v>21.870899541493703</v>
      </c>
      <c r="Y39" s="55">
        <f t="shared" ca="1" si="14"/>
        <v>132.46311679283323</v>
      </c>
      <c r="Z39">
        <f t="shared" ca="1" si="3"/>
        <v>101.40400179854672</v>
      </c>
      <c r="AA39">
        <f t="shared" ca="1" si="15"/>
        <v>0</v>
      </c>
      <c r="AB39">
        <f t="shared" ca="1" si="4"/>
        <v>0</v>
      </c>
      <c r="AC39">
        <f t="shared" ca="1" si="5"/>
        <v>0.1778550344572547</v>
      </c>
      <c r="AD39" s="83">
        <f ca="1"/>
        <v>45525</v>
      </c>
      <c r="AE39" s="55">
        <f t="shared" ca="1" si="20"/>
        <v>45525</v>
      </c>
      <c r="AF39" s="55">
        <f t="shared" ca="1" si="21"/>
        <v>-31.939047856887321</v>
      </c>
      <c r="AG39" s="55">
        <f t="shared" ca="1" si="22"/>
        <v>0</v>
      </c>
      <c r="AH39" s="55">
        <f t="shared" ca="1" si="23"/>
        <v>0</v>
      </c>
      <c r="AI39" s="55">
        <f t="shared" ca="1" si="17"/>
        <v>-1.6138057399756414</v>
      </c>
      <c r="AJ39" s="55">
        <f t="shared" ca="1" si="18"/>
        <v>14.313712993309771</v>
      </c>
      <c r="AK39" s="55">
        <f t="shared" ca="1" si="19"/>
        <v>-72.617068173586347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Interface'!$P$6:$U$495,6,FALSE),"")</f>
        <v/>
      </c>
      <c r="H40" s="55" t="str">
        <f t="shared" ca="1" si="26"/>
        <v/>
      </c>
      <c r="R40" s="83">
        <f ca="1"/>
        <v>45385</v>
      </c>
      <c r="S40" s="55">
        <f t="shared" ca="1" si="11"/>
        <v>45385</v>
      </c>
      <c r="T40" s="55">
        <f t="shared" ca="1" si="0"/>
        <v>200.77994327576425</v>
      </c>
      <c r="U40" s="55">
        <f t="shared" ca="1" si="1"/>
        <v>12.559445105909994</v>
      </c>
      <c r="V40" s="55">
        <f t="shared" ca="1" si="2"/>
        <v>0</v>
      </c>
      <c r="W40" s="55">
        <f t="shared" ca="1" si="12"/>
        <v>0</v>
      </c>
      <c r="X40" s="55">
        <f t="shared" ca="1" si="13"/>
        <v>22.964692000811059</v>
      </c>
      <c r="Y40" s="55">
        <f t="shared" ca="1" si="14"/>
        <v>134.08046088397373</v>
      </c>
      <c r="Z40">
        <f t="shared" ca="1" si="3"/>
        <v>109.50406379120083</v>
      </c>
      <c r="AA40">
        <f t="shared" ca="1" si="15"/>
        <v>0</v>
      </c>
      <c r="AB40">
        <f t="shared" ca="1" si="4"/>
        <v>0</v>
      </c>
      <c r="AC40">
        <f t="shared" ca="1" si="5"/>
        <v>0.26161904037940398</v>
      </c>
      <c r="AD40" s="83">
        <f ca="1"/>
        <v>45526</v>
      </c>
      <c r="AE40" s="55">
        <f t="shared" ca="1" si="20"/>
        <v>45526</v>
      </c>
      <c r="AF40" s="55">
        <f t="shared" ca="1" si="21"/>
        <v>-33.199236043452494</v>
      </c>
      <c r="AG40" s="55">
        <f t="shared" ca="1" si="22"/>
        <v>0</v>
      </c>
      <c r="AH40" s="55">
        <f t="shared" ca="1" si="23"/>
        <v>0</v>
      </c>
      <c r="AI40" s="55">
        <f t="shared" ca="1" si="17"/>
        <v>-1.6138057399756414</v>
      </c>
      <c r="AJ40" s="55">
        <f t="shared" ca="1" si="18"/>
        <v>14.96727239418062</v>
      </c>
      <c r="AK40" s="55">
        <f t="shared" ca="1" si="19"/>
        <v>-74.530815761022367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Interface'!$P$6:$U$495,6,FALSE),"")</f>
        <v/>
      </c>
      <c r="H41" s="55" t="str">
        <f t="shared" ca="1" si="26"/>
        <v/>
      </c>
      <c r="R41" s="83">
        <f ca="1"/>
        <v>45386</v>
      </c>
      <c r="S41" s="55">
        <f t="shared" ca="1" si="11"/>
        <v>45386</v>
      </c>
      <c r="T41" s="55">
        <f t="shared" ca="1" si="0"/>
        <v>202.24652213563752</v>
      </c>
      <c r="U41" s="55">
        <f t="shared" ca="1" si="1"/>
        <v>13.476815012270761</v>
      </c>
      <c r="V41" s="55">
        <f t="shared" ca="1" si="2"/>
        <v>0</v>
      </c>
      <c r="W41" s="55">
        <f t="shared" ca="1" si="12"/>
        <v>0</v>
      </c>
      <c r="X41" s="55">
        <f t="shared" ca="1" si="13"/>
        <v>23.998720196647891</v>
      </c>
      <c r="Y41" s="55">
        <f t="shared" ca="1" si="14"/>
        <v>135.43038145437092</v>
      </c>
      <c r="Z41">
        <f t="shared" ca="1" si="3"/>
        <v>113.50641219782406</v>
      </c>
      <c r="AA41">
        <f t="shared" ca="1" si="15"/>
        <v>0</v>
      </c>
      <c r="AB41">
        <f t="shared" ca="1" si="4"/>
        <v>0</v>
      </c>
      <c r="AC41">
        <f t="shared" ca="1" si="5"/>
        <v>0.35866178680617117</v>
      </c>
      <c r="AD41" s="83">
        <f ca="1"/>
        <v>45527</v>
      </c>
      <c r="AE41" s="55">
        <f t="shared" ca="1" si="20"/>
        <v>45527</v>
      </c>
      <c r="AF41" s="55">
        <f t="shared" ca="1" si="21"/>
        <v>-34.403596149555888</v>
      </c>
      <c r="AG41" s="55">
        <f t="shared" ca="1" si="22"/>
        <v>0</v>
      </c>
      <c r="AH41" s="55">
        <f t="shared" ca="1" si="23"/>
        <v>0</v>
      </c>
      <c r="AI41" s="55">
        <f t="shared" ca="1" si="17"/>
        <v>-1.6138057399756414</v>
      </c>
      <c r="AJ41" s="55">
        <f t="shared" ca="1" si="18"/>
        <v>15.641144605106231</v>
      </c>
      <c r="AK41" s="55">
        <f t="shared" ca="1" si="19"/>
        <v>-76.40904807805137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Interface'!$P$6:$U$495,6,FALSE),"")</f>
        <v/>
      </c>
      <c r="H42" s="55" t="str">
        <f t="shared" ca="1" si="26"/>
        <v/>
      </c>
      <c r="R42" s="83">
        <f ca="1"/>
        <v>45387</v>
      </c>
      <c r="S42" s="55">
        <f t="shared" ca="1" si="11"/>
        <v>45387</v>
      </c>
      <c r="T42" s="55">
        <f t="shared" ca="1" si="0"/>
        <v>203.39123846749285</v>
      </c>
      <c r="U42" s="55">
        <f t="shared" ca="1" si="1"/>
        <v>14.422577993668556</v>
      </c>
      <c r="V42" s="55">
        <f t="shared" ca="1" si="2"/>
        <v>0</v>
      </c>
      <c r="W42" s="55">
        <f t="shared" ca="1" si="12"/>
        <v>0</v>
      </c>
      <c r="X42" s="55">
        <f t="shared" ca="1" si="13"/>
        <v>24.966208209997355</v>
      </c>
      <c r="Y42" s="55">
        <f t="shared" ca="1" si="14"/>
        <v>136.55337275427459</v>
      </c>
      <c r="Z42">
        <f t="shared" ca="1" si="3"/>
        <v>111.36844568220623</v>
      </c>
      <c r="AA42">
        <f t="shared" ca="1" si="15"/>
        <v>0</v>
      </c>
      <c r="AB42">
        <f t="shared" ca="1" si="4"/>
        <v>0</v>
      </c>
      <c r="AC42">
        <f t="shared" ca="1" si="5"/>
        <v>0.46481718171479453</v>
      </c>
      <c r="AD42" s="83">
        <f ca="1"/>
        <v>45528</v>
      </c>
      <c r="AE42" s="55">
        <f t="shared" ca="1" si="20"/>
        <v>45528</v>
      </c>
      <c r="AF42" s="55">
        <f t="shared" ca="1" si="21"/>
        <v>-35.497517199999891</v>
      </c>
      <c r="AG42" s="55">
        <f t="shared" ca="1" si="22"/>
        <v>0</v>
      </c>
      <c r="AH42" s="55">
        <f t="shared" ca="1" si="23"/>
        <v>0</v>
      </c>
      <c r="AI42" s="55">
        <f t="shared" ca="1" si="17"/>
        <v>-1.6138057399756414</v>
      </c>
      <c r="AJ42" s="55">
        <f t="shared" ca="1" si="18"/>
        <v>16.303987619156434</v>
      </c>
      <c r="AK42" s="55">
        <f t="shared" ca="1" si="19"/>
        <v>-78.165812142545576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Interface'!$P$6:$U$495,6,FALSE),"")</f>
        <v/>
      </c>
      <c r="H43" s="55" t="str">
        <f t="shared" ca="1" si="26"/>
        <v/>
      </c>
      <c r="R43" s="83">
        <f ca="1"/>
        <v>45388</v>
      </c>
      <c r="S43" s="55">
        <f t="shared" ca="1" si="11"/>
        <v>45388</v>
      </c>
      <c r="T43" s="55">
        <f t="shared" ca="1" si="0"/>
        <v>204.2351451113359</v>
      </c>
      <c r="U43" s="55">
        <f t="shared" ca="1" si="1"/>
        <v>15.357260651267975</v>
      </c>
      <c r="V43" s="55">
        <f t="shared" ca="1" si="2"/>
        <v>0</v>
      </c>
      <c r="W43" s="55">
        <f t="shared" ca="1" si="12"/>
        <v>0</v>
      </c>
      <c r="X43" s="55">
        <f t="shared" ca="1" si="13"/>
        <v>25.837386640014266</v>
      </c>
      <c r="Y43" s="55">
        <f t="shared" ca="1" si="14"/>
        <v>137.46078362570015</v>
      </c>
      <c r="Z43">
        <f t="shared" ca="1" si="3"/>
        <v>109.80927906645495</v>
      </c>
      <c r="AA43">
        <f t="shared" ca="1" si="15"/>
        <v>0</v>
      </c>
      <c r="AB43">
        <f t="shared" ca="1" si="4"/>
        <v>0</v>
      </c>
      <c r="AC43">
        <f t="shared" ca="1" si="5"/>
        <v>0.56651788133948855</v>
      </c>
      <c r="AD43" s="83">
        <f ca="1"/>
        <v>45529</v>
      </c>
      <c r="AE43" s="55">
        <f t="shared" ca="1" si="20"/>
        <v>45529</v>
      </c>
      <c r="AF43" s="55">
        <f t="shared" ca="1" si="21"/>
        <v>-36.602719584349082</v>
      </c>
      <c r="AG43" s="55">
        <f t="shared" ca="1" si="22"/>
        <v>0</v>
      </c>
      <c r="AH43" s="55">
        <f t="shared" ca="1" si="23"/>
        <v>0</v>
      </c>
      <c r="AI43" s="55">
        <f t="shared" ca="1" si="17"/>
        <v>-1.6138057399756414</v>
      </c>
      <c r="AJ43" s="55">
        <f t="shared" ca="1" si="18"/>
        <v>17.034465183205093</v>
      </c>
      <c r="AK43" s="55">
        <f t="shared" ca="1" si="19"/>
        <v>-80.00149209094343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45378</v>
      </c>
      <c r="C44" s="100" t="s">
        <v>151</v>
      </c>
      <c r="D44" s="102">
        <f ca="1">MAX(CurrentEstablishDate,C38:C43,MAX(C29:C34)+1)</f>
        <v>45378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45389</v>
      </c>
      <c r="S44" s="55">
        <f t="shared" ca="1" si="11"/>
        <v>45389</v>
      </c>
      <c r="T44" s="55">
        <f t="shared" ca="1" si="0"/>
        <v>205.07659631533707</v>
      </c>
      <c r="U44" s="55">
        <f t="shared" ca="1" si="1"/>
        <v>16.396760305969568</v>
      </c>
      <c r="V44" s="55">
        <f t="shared" ca="1" si="2"/>
        <v>0</v>
      </c>
      <c r="W44" s="55">
        <f t="shared" ca="1" si="12"/>
        <v>0</v>
      </c>
      <c r="X44" s="55">
        <f t="shared" ca="1" si="13"/>
        <v>26.809777571686503</v>
      </c>
      <c r="Y44" s="55">
        <f t="shared" ca="1" si="14"/>
        <v>138.36934355273067</v>
      </c>
      <c r="Z44">
        <f t="shared" ca="1" si="3"/>
        <v>116.75990775434121</v>
      </c>
      <c r="AA44">
        <f t="shared" ca="1" si="15"/>
        <v>0</v>
      </c>
      <c r="AB44">
        <f t="shared" ca="1" si="4"/>
        <v>0</v>
      </c>
      <c r="AC44">
        <f t="shared" ca="1" si="5"/>
        <v>0.66708478112904701</v>
      </c>
      <c r="AD44" s="83">
        <f ca="1"/>
        <v>45530</v>
      </c>
      <c r="AE44" s="55">
        <f t="shared" ca="1" si="20"/>
        <v>45530</v>
      </c>
      <c r="AF44" s="55">
        <f t="shared" ca="1" si="21"/>
        <v>-37.610180847858537</v>
      </c>
      <c r="AG44" s="55">
        <f t="shared" ca="1" si="22"/>
        <v>0</v>
      </c>
      <c r="AH44" s="55">
        <f t="shared" ca="1" si="23"/>
        <v>0</v>
      </c>
      <c r="AI44" s="55">
        <f t="shared" ca="1" si="17"/>
        <v>-1.6138057399756414</v>
      </c>
      <c r="AJ44" s="55">
        <f t="shared" ca="1" si="18"/>
        <v>17.767571461943312</v>
      </c>
      <c r="AK44" s="55">
        <f t="shared" ca="1" si="19"/>
        <v>-81.742059633191104</v>
      </c>
    </row>
    <row r="45" spans="1:37" s="55" customFormat="1">
      <c r="R45" s="83">
        <f ca="1"/>
        <v>45390</v>
      </c>
      <c r="S45" s="55">
        <f t="shared" ca="1" si="11"/>
        <v>45390</v>
      </c>
      <c r="T45" s="55">
        <f t="shared" ca="1" si="0"/>
        <v>204.3456950154667</v>
      </c>
      <c r="U45" s="55">
        <f t="shared" ca="1" si="1"/>
        <v>17.547497598915555</v>
      </c>
      <c r="V45" s="55">
        <f t="shared" ca="1" si="2"/>
        <v>0</v>
      </c>
      <c r="W45" s="55">
        <f t="shared" ca="1" si="12"/>
        <v>-1.4437744492965094</v>
      </c>
      <c r="X45" s="55">
        <f t="shared" ca="1" si="13"/>
        <v>27.827773106709351</v>
      </c>
      <c r="Y45" s="55">
        <f t="shared" ca="1" si="14"/>
        <v>139.21495846007994</v>
      </c>
      <c r="Z45">
        <f t="shared" ca="1" si="3"/>
        <v>120</v>
      </c>
      <c r="AA45">
        <f t="shared" ca="1" si="15"/>
        <v>1.004023833447512</v>
      </c>
      <c r="AB45">
        <f t="shared" ca="1" si="4"/>
        <v>0</v>
      </c>
      <c r="AC45">
        <f t="shared" ca="1" si="5"/>
        <v>0.75748978979913439</v>
      </c>
      <c r="AD45" s="83">
        <f ca="1"/>
        <v>45531</v>
      </c>
      <c r="AE45" s="55">
        <f t="shared" ca="1" si="20"/>
        <v>45531</v>
      </c>
      <c r="AF45" s="55">
        <f t="shared" ca="1" si="21"/>
        <v>-38.547177937401898</v>
      </c>
      <c r="AG45" s="55">
        <f t="shared" ca="1" si="22"/>
        <v>0</v>
      </c>
      <c r="AH45" s="55">
        <f t="shared" ca="1" si="23"/>
        <v>0</v>
      </c>
      <c r="AI45" s="55">
        <f t="shared" ca="1" si="17"/>
        <v>-1.6138057399756414</v>
      </c>
      <c r="AJ45" s="55">
        <f t="shared" ca="1" si="18"/>
        <v>18.524008608907479</v>
      </c>
      <c r="AK45" s="55">
        <f t="shared" ca="1" si="19"/>
        <v>-83.435493869698632</v>
      </c>
    </row>
    <row r="46" spans="1:37" s="55" customFormat="1" ht="15.75" thickBot="1">
      <c r="C46" s="136" t="s">
        <v>155</v>
      </c>
      <c r="D46" s="136"/>
      <c r="E46" s="136"/>
      <c r="F46" s="136"/>
      <c r="G46" s="136"/>
      <c r="H46" s="136"/>
      <c r="R46" s="83">
        <f ca="1"/>
        <v>45391</v>
      </c>
      <c r="S46" s="55">
        <f t="shared" ca="1" si="11"/>
        <v>45391</v>
      </c>
      <c r="T46" s="55">
        <f t="shared" ca="1" si="0"/>
        <v>201.40687953236645</v>
      </c>
      <c r="U46" s="55">
        <f t="shared" ca="1" si="1"/>
        <v>18.786880429835048</v>
      </c>
      <c r="V46" s="55">
        <f t="shared" ca="1" si="2"/>
        <v>0</v>
      </c>
      <c r="W46" s="55">
        <f t="shared" ca="1" si="12"/>
        <v>-4.9308082627913805</v>
      </c>
      <c r="X46" s="55">
        <f t="shared" ca="1" si="13"/>
        <v>28.857639981902338</v>
      </c>
      <c r="Y46" s="55">
        <f t="shared" ca="1" si="14"/>
        <v>139.97269274620103</v>
      </c>
      <c r="Z46">
        <f t="shared" ca="1" si="3"/>
        <v>120</v>
      </c>
      <c r="AA46">
        <f t="shared" ca="1" si="15"/>
        <v>3.4643462358286783</v>
      </c>
      <c r="AB46">
        <f t="shared" ca="1" si="4"/>
        <v>0</v>
      </c>
      <c r="AC46">
        <f t="shared" ca="1" si="5"/>
        <v>0.83021347571252391</v>
      </c>
      <c r="AD46" s="83">
        <f ca="1"/>
        <v>45532</v>
      </c>
      <c r="AE46" s="55">
        <f t="shared" ca="1" si="20"/>
        <v>45532</v>
      </c>
      <c r="AF46" s="55">
        <f t="shared" ca="1" si="21"/>
        <v>-39.347125304798467</v>
      </c>
      <c r="AG46" s="55">
        <f t="shared" ca="1" si="22"/>
        <v>0</v>
      </c>
      <c r="AH46" s="55">
        <f t="shared" ca="1" si="23"/>
        <v>0</v>
      </c>
      <c r="AI46" s="55">
        <f t="shared" ca="1" si="17"/>
        <v>-1.6138057399756414</v>
      </c>
      <c r="AJ46" s="55">
        <f t="shared" ca="1" si="18"/>
        <v>19.244898580575395</v>
      </c>
      <c r="AK46" s="55">
        <f t="shared" ca="1" si="19"/>
        <v>-84.956331208763118</v>
      </c>
    </row>
    <row r="47" spans="1:37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45392</v>
      </c>
      <c r="S47" s="55">
        <f t="shared" ca="1" si="11"/>
        <v>45392</v>
      </c>
      <c r="T47" s="55">
        <f t="shared" ca="1" si="0"/>
        <v>201.77344767063022</v>
      </c>
      <c r="U47" s="55">
        <f t="shared" ca="1" si="1"/>
        <v>20.084269990812512</v>
      </c>
      <c r="V47" s="55">
        <f t="shared" ca="1" si="2"/>
        <v>0</v>
      </c>
      <c r="W47" s="55">
        <f t="shared" ca="1" si="12"/>
        <v>-4.9308082627913805</v>
      </c>
      <c r="X47" s="55">
        <f t="shared" ca="1" si="13"/>
        <v>29.864915959338152</v>
      </c>
      <c r="Y47" s="55">
        <f t="shared" ca="1" si="14"/>
        <v>140.62937446800643</v>
      </c>
      <c r="Z47">
        <f t="shared" ca="1" si="3"/>
        <v>119.32214779439227</v>
      </c>
      <c r="AA47">
        <f t="shared" ca="1" si="15"/>
        <v>3.4643462358286783</v>
      </c>
      <c r="AB47">
        <f t="shared" ca="1" si="4"/>
        <v>0</v>
      </c>
      <c r="AC47">
        <f t="shared" ca="1" si="5"/>
        <v>0.88362606780001973</v>
      </c>
      <c r="AD47" s="83">
        <f ca="1"/>
        <v>45533</v>
      </c>
      <c r="AE47" s="55">
        <f t="shared" ca="1" si="20"/>
        <v>45533</v>
      </c>
      <c r="AF47" s="55">
        <f t="shared" ca="1" si="21"/>
        <v>-40.095368032073431</v>
      </c>
      <c r="AG47" s="55">
        <f t="shared" ca="1" si="22"/>
        <v>0</v>
      </c>
      <c r="AH47" s="55">
        <f t="shared" ca="1" si="23"/>
        <v>0</v>
      </c>
      <c r="AI47" s="55">
        <f t="shared" ca="1" si="17"/>
        <v>-1.6138057399756414</v>
      </c>
      <c r="AJ47" s="55">
        <f t="shared" ca="1" si="18"/>
        <v>20.004022964634025</v>
      </c>
      <c r="AK47" s="55">
        <f t="shared" ca="1" si="19"/>
        <v>-86.463698320096711</v>
      </c>
    </row>
    <row r="48" spans="1:37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45393</v>
      </c>
      <c r="S48" s="55">
        <f t="shared" ca="1" si="11"/>
        <v>45393</v>
      </c>
      <c r="T48" s="55">
        <f t="shared" ca="1" si="0"/>
        <v>199.78365150066696</v>
      </c>
      <c r="U48" s="55">
        <f t="shared" ca="1" si="1"/>
        <v>21.554633133605684</v>
      </c>
      <c r="V48" s="55">
        <f t="shared" ca="1" si="2"/>
        <v>0</v>
      </c>
      <c r="W48" s="55">
        <f t="shared" ca="1" si="12"/>
        <v>-7.1597433648273956</v>
      </c>
      <c r="X48" s="55">
        <f t="shared" ca="1" si="13"/>
        <v>30.949799744598511</v>
      </c>
      <c r="Y48" s="55">
        <f t="shared" ca="1" si="14"/>
        <v>141.253992757612</v>
      </c>
      <c r="Z48">
        <f t="shared" ca="1" si="3"/>
        <v>120</v>
      </c>
      <c r="AA48">
        <f t="shared" ca="1" si="15"/>
        <v>5.0497783112637364</v>
      </c>
      <c r="AB48">
        <f t="shared" ca="1" si="4"/>
        <v>0</v>
      </c>
      <c r="AC48">
        <f t="shared" ca="1" si="5"/>
        <v>0.9237668038552308</v>
      </c>
      <c r="AD48" s="83">
        <f ca="1"/>
        <v>45534</v>
      </c>
      <c r="AE48" s="55">
        <f t="shared" ca="1" si="20"/>
        <v>45534</v>
      </c>
      <c r="AF48" s="55">
        <f t="shared" ca="1" si="21"/>
        <v>-40.725063549700856</v>
      </c>
      <c r="AG48" s="55">
        <f t="shared" ca="1" si="22"/>
        <v>0</v>
      </c>
      <c r="AH48" s="55">
        <f t="shared" ca="1" si="23"/>
        <v>0</v>
      </c>
      <c r="AI48" s="55">
        <f t="shared" ca="1" si="17"/>
        <v>-1.6138057399756414</v>
      </c>
      <c r="AJ48" s="55">
        <f t="shared" ca="1" si="18"/>
        <v>20.731004857717316</v>
      </c>
      <c r="AK48" s="55">
        <f t="shared" ca="1" si="19"/>
        <v>-87.820375730807427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89</v>
      </c>
      <c r="H49" s="72"/>
      <c r="R49" s="83">
        <f ca="1"/>
        <v>45394</v>
      </c>
      <c r="S49" s="55">
        <f t="shared" ca="1" si="11"/>
        <v>45394</v>
      </c>
      <c r="T49" s="55">
        <f t="shared" ca="1" si="0"/>
        <v>195.9471573942088</v>
      </c>
      <c r="U49" s="55">
        <f t="shared" ca="1" si="1"/>
        <v>23.073086179467246</v>
      </c>
      <c r="V49" s="55">
        <f t="shared" ca="1" si="2"/>
        <v>0</v>
      </c>
      <c r="W49" s="55">
        <f t="shared" ca="1" si="12"/>
        <v>-11.04755785471918</v>
      </c>
      <c r="X49" s="55">
        <f t="shared" ca="1" si="13"/>
        <v>31.991258166996555</v>
      </c>
      <c r="Y49" s="55">
        <f t="shared" ca="1" si="14"/>
        <v>141.78230776450911</v>
      </c>
      <c r="Z49">
        <f t="shared" ca="1" si="3"/>
        <v>120</v>
      </c>
      <c r="AA49">
        <f t="shared" ca="1" si="15"/>
        <v>7.8693083750944908</v>
      </c>
      <c r="AB49">
        <f t="shared" ca="1" si="4"/>
        <v>0</v>
      </c>
      <c r="AC49">
        <f t="shared" ca="1" si="5"/>
        <v>0.9501189825238886</v>
      </c>
      <c r="AD49" s="83">
        <f ca="1"/>
        <v>45535</v>
      </c>
      <c r="AE49" s="55">
        <f t="shared" ca="1" si="20"/>
        <v>45535</v>
      </c>
      <c r="AF49" s="55">
        <f t="shared" ca="1" si="21"/>
        <v>-41.246908187429817</v>
      </c>
      <c r="AG49" s="55">
        <f t="shared" ca="1" si="22"/>
        <v>0</v>
      </c>
      <c r="AH49" s="55">
        <f t="shared" ca="1" si="23"/>
        <v>0</v>
      </c>
      <c r="AI49" s="55">
        <f t="shared" ca="1" si="17"/>
        <v>-1.6138057399756414</v>
      </c>
      <c r="AJ49" s="55">
        <f t="shared" ca="1" si="18"/>
        <v>21.420513426923797</v>
      </c>
      <c r="AK49" s="55">
        <f t="shared" ca="1" si="19"/>
        <v>-89.031728937742869</v>
      </c>
    </row>
    <row r="50" spans="2:37" s="55" customFormat="1">
      <c r="B50" s="90">
        <f>IF(PriorUnits="kg/head",PriorYield*PriorPopulation/1000,IF(PriorUnits="kg/ha",PriorYield/1000,PriorYield))</f>
        <v>20</v>
      </c>
      <c r="C50" s="64" t="s">
        <v>152</v>
      </c>
      <c r="D50" s="65" t="str">
        <f>PriorCropName&amp;" "&amp;PriorCropType&amp;" "&amp;PriorCropVariety</f>
        <v>Broccoli Vegetable General</v>
      </c>
      <c r="F50" s="56"/>
      <c r="R50" s="83">
        <f ca="1"/>
        <v>45395</v>
      </c>
      <c r="S50" s="55">
        <f t="shared" ca="1" si="11"/>
        <v>45395</v>
      </c>
      <c r="T50" s="55">
        <f t="shared" ca="1" si="0"/>
        <v>192.04124728082323</v>
      </c>
      <c r="U50" s="55">
        <f t="shared" ca="1" si="1"/>
        <v>24.558194531015442</v>
      </c>
      <c r="V50" s="55">
        <f t="shared" ca="1" si="2"/>
        <v>0</v>
      </c>
      <c r="W50" s="55">
        <f t="shared" ca="1" si="12"/>
        <v>-14.835443200923521</v>
      </c>
      <c r="X50" s="55">
        <f t="shared" ca="1" si="13"/>
        <v>32.933611219954393</v>
      </c>
      <c r="Y50" s="55">
        <f t="shared" ca="1" si="14"/>
        <v>142.20703829591827</v>
      </c>
      <c r="Z50">
        <f t="shared" ca="1" si="3"/>
        <v>120</v>
      </c>
      <c r="AA50">
        <f t="shared" ca="1" si="15"/>
        <v>10.672239784653463</v>
      </c>
      <c r="AB50">
        <f t="shared" ca="1" si="4"/>
        <v>0</v>
      </c>
      <c r="AC50">
        <f t="shared" ca="1" si="5"/>
        <v>0.96653267860079173</v>
      </c>
      <c r="AD50" s="83">
        <f ca="1"/>
        <v>45536</v>
      </c>
      <c r="AE50" s="55">
        <f t="shared" ca="1" si="20"/>
        <v>45536</v>
      </c>
      <c r="AF50" s="55">
        <f t="shared" ca="1" si="21"/>
        <v>-41.679695946640329</v>
      </c>
      <c r="AG50" s="55">
        <f t="shared" ca="1" si="22"/>
        <v>0</v>
      </c>
      <c r="AH50" s="55">
        <f t="shared" ca="1" si="23"/>
        <v>0</v>
      </c>
      <c r="AI50" s="55">
        <f t="shared" ca="1" si="17"/>
        <v>-1.6138057399756414</v>
      </c>
      <c r="AJ50" s="55">
        <f t="shared" ca="1" si="18"/>
        <v>22.079523640074363</v>
      </c>
      <c r="AK50" s="55">
        <f t="shared" ca="1" si="19"/>
        <v>-90.123526910103948</v>
      </c>
    </row>
    <row r="51" spans="2:37" s="55" customFormat="1">
      <c r="C51" s="61" t="s">
        <v>4</v>
      </c>
      <c r="D51" s="68">
        <f ca="1">IF(E51="",CurrentEstablishDate-60,E51)</f>
        <v>45318</v>
      </c>
      <c r="E51" s="67"/>
      <c r="F51" s="61" t="s">
        <v>147</v>
      </c>
      <c r="G51" s="84" t="str">
        <f>IF(H51="",VLOOKUP(PriorCropNameFull,CropCoefficients,13,FALSE),H51)</f>
        <v>Seedling</v>
      </c>
      <c r="H51" s="72"/>
      <c r="R51" s="83">
        <f ca="1"/>
        <v>45396</v>
      </c>
      <c r="S51" s="55">
        <f t="shared" ca="1" si="11"/>
        <v>45396</v>
      </c>
      <c r="T51" s="55">
        <f t="shared" ca="1" si="0"/>
        <v>191.78799971187843</v>
      </c>
      <c r="U51" s="55">
        <f t="shared" ca="1" si="1"/>
        <v>26.164816407477446</v>
      </c>
      <c r="V51" s="55">
        <f t="shared" ca="1" si="2"/>
        <v>0</v>
      </c>
      <c r="W51" s="55">
        <f t="shared" ca="1" si="12"/>
        <v>-14.835443200923521</v>
      </c>
      <c r="X51" s="55">
        <f t="shared" ca="1" si="13"/>
        <v>33.898698715604347</v>
      </c>
      <c r="Y51" s="55">
        <f t="shared" ca="1" si="14"/>
        <v>142.59532510778553</v>
      </c>
      <c r="Z51">
        <f t="shared" ca="1" si="3"/>
        <v>117.41124636941518</v>
      </c>
      <c r="AA51">
        <f t="shared" ca="1" si="15"/>
        <v>10.672239784653463</v>
      </c>
      <c r="AB51">
        <f t="shared" ca="1" si="4"/>
        <v>0</v>
      </c>
      <c r="AC51">
        <f t="shared" ca="1" si="5"/>
        <v>0.97785652448615612</v>
      </c>
      <c r="AD51" s="83">
        <f ca="1"/>
        <v>45537</v>
      </c>
      <c r="AE51" s="55">
        <f t="shared" ca="1" si="20"/>
        <v>45537</v>
      </c>
      <c r="AF51" s="55">
        <f t="shared" ca="1" si="21"/>
        <v>-42.053509507202961</v>
      </c>
      <c r="AG51" s="55">
        <f t="shared" ca="1" si="22"/>
        <v>0</v>
      </c>
      <c r="AH51" s="55">
        <f t="shared" ca="1" si="23"/>
        <v>0</v>
      </c>
      <c r="AI51" s="55">
        <f t="shared" ca="1" si="17"/>
        <v>-1.6138057399756414</v>
      </c>
      <c r="AJ51" s="55">
        <f t="shared" ca="1" si="18"/>
        <v>22.744563204182672</v>
      </c>
      <c r="AK51" s="55">
        <f t="shared" ca="1" si="19"/>
        <v>-91.162380034774884</v>
      </c>
    </row>
    <row r="52" spans="2:37" s="55" customFormat="1">
      <c r="C52" s="61" t="s">
        <v>5</v>
      </c>
      <c r="D52" s="68">
        <f ca="1">IF(E52="",CurrentEstablishDate-15,E52)</f>
        <v>45363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45397</v>
      </c>
      <c r="S52" s="55">
        <f t="shared" ca="1" si="11"/>
        <v>45397</v>
      </c>
      <c r="T52" s="55">
        <f t="shared" ca="1" si="0"/>
        <v>185.23185993056458</v>
      </c>
      <c r="U52" s="55">
        <f t="shared" ca="1" si="1"/>
        <v>27.886249968892734</v>
      </c>
      <c r="V52" s="55">
        <f t="shared" ca="1" si="2"/>
        <v>0</v>
      </c>
      <c r="W52" s="55">
        <f t="shared" ca="1" si="12"/>
        <v>-20.997237825209616</v>
      </c>
      <c r="X52" s="55">
        <f t="shared" ca="1" si="13"/>
        <v>34.875627716986521</v>
      </c>
      <c r="Y52" s="55">
        <f t="shared" ca="1" si="14"/>
        <v>142.94548451079092</v>
      </c>
      <c r="Z52">
        <f t="shared" ca="1" si="3"/>
        <v>120</v>
      </c>
      <c r="AA52">
        <f t="shared" ca="1" si="15"/>
        <v>15.399414941979586</v>
      </c>
      <c r="AB52">
        <f t="shared" ca="1" si="4"/>
        <v>0</v>
      </c>
      <c r="AC52">
        <f t="shared" ca="1" si="5"/>
        <v>0.98546939089652907</v>
      </c>
      <c r="AD52" s="83">
        <f ca="1"/>
        <v>45538</v>
      </c>
      <c r="AE52" s="55">
        <f t="shared" ca="1" si="20"/>
        <v>45538</v>
      </c>
      <c r="AF52" s="55">
        <f t="shared" ca="1" si="21"/>
        <v>-42.375039743827408</v>
      </c>
      <c r="AG52" s="55">
        <f t="shared" ca="1" si="22"/>
        <v>0</v>
      </c>
      <c r="AH52" s="55">
        <f t="shared" ca="1" si="23"/>
        <v>0</v>
      </c>
      <c r="AI52" s="55">
        <f t="shared" ca="1" si="17"/>
        <v>-1.6138057399756414</v>
      </c>
      <c r="AJ52" s="55">
        <f t="shared" ca="1" si="18"/>
        <v>23.429861057982187</v>
      </c>
      <c r="AK52" s="55">
        <f t="shared" ca="1" si="19"/>
        <v>-92.16920812519885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45398</v>
      </c>
      <c r="S53" s="55">
        <f t="shared" ca="1" si="11"/>
        <v>45398</v>
      </c>
      <c r="T53" s="55">
        <f t="shared" ca="1" si="0"/>
        <v>182.16466064628577</v>
      </c>
      <c r="U53" s="55">
        <f t="shared" ca="1" si="1"/>
        <v>29.673679486251153</v>
      </c>
      <c r="V53" s="55">
        <f t="shared" ca="1" si="2"/>
        <v>0</v>
      </c>
      <c r="W53" s="55">
        <f t="shared" ca="1" si="12"/>
        <v>-23.53544903999617</v>
      </c>
      <c r="X53" s="55">
        <f t="shared" ca="1" si="13"/>
        <v>35.829306444292662</v>
      </c>
      <c r="Y53" s="55">
        <f t="shared" ca="1" si="14"/>
        <v>143.25024723135093</v>
      </c>
      <c r="Z53">
        <f t="shared" ca="1" si="3"/>
        <v>120</v>
      </c>
      <c r="AA53">
        <f t="shared" ca="1" si="15"/>
        <v>17.379454162253658</v>
      </c>
      <c r="AB53">
        <f t="shared" ca="1" si="4"/>
        <v>0</v>
      </c>
      <c r="AC53">
        <f t="shared" ca="1" si="5"/>
        <v>0.99040904292722032</v>
      </c>
      <c r="AD53" s="83">
        <f ca="1"/>
        <v>45539</v>
      </c>
      <c r="AE53" s="55">
        <f t="shared" ca="1" si="20"/>
        <v>45539</v>
      </c>
      <c r="AF53" s="55">
        <f t="shared" ca="1" si="21"/>
        <v>-42.62806126340562</v>
      </c>
      <c r="AG53" s="55">
        <f t="shared" ca="1" si="22"/>
        <v>0</v>
      </c>
      <c r="AH53" s="55">
        <f t="shared" ca="1" si="23"/>
        <v>0</v>
      </c>
      <c r="AI53" s="55">
        <f t="shared" ca="1" si="17"/>
        <v>-1.6138057399756414</v>
      </c>
      <c r="AJ53" s="55">
        <f t="shared" ca="1" si="18"/>
        <v>24.096275822966785</v>
      </c>
      <c r="AK53" s="55">
        <f t="shared" ca="1" si="19"/>
        <v>-93.088644409761656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45399</v>
      </c>
      <c r="S54" s="55">
        <f t="shared" ca="1" si="11"/>
        <v>45399</v>
      </c>
      <c r="T54" s="55">
        <f t="shared" ca="1" si="0"/>
        <v>180.51421977760691</v>
      </c>
      <c r="U54" s="55">
        <f t="shared" ca="1" si="1"/>
        <v>31.571241113730927</v>
      </c>
      <c r="V54" s="55">
        <f t="shared" ca="1" si="2"/>
        <v>0</v>
      </c>
      <c r="W54" s="55">
        <f t="shared" ca="1" si="12"/>
        <v>-24.518547550482289</v>
      </c>
      <c r="X54" s="55">
        <f t="shared" ca="1" si="13"/>
        <v>36.786433594534607</v>
      </c>
      <c r="Y54" s="55">
        <f t="shared" ca="1" si="14"/>
        <v>143.52333935039601</v>
      </c>
      <c r="Z54">
        <f t="shared" ca="1" si="3"/>
        <v>120</v>
      </c>
      <c r="AA54">
        <f t="shared" ca="1" si="15"/>
        <v>18.153373650230165</v>
      </c>
      <c r="AB54">
        <f t="shared" ca="1" si="4"/>
        <v>0</v>
      </c>
      <c r="AC54">
        <f t="shared" ca="1" si="5"/>
        <v>0.99368829796562053</v>
      </c>
      <c r="AD54" s="83">
        <f ca="1"/>
        <v>45540</v>
      </c>
      <c r="AE54" s="55">
        <f t="shared" ca="1" si="20"/>
        <v>45540</v>
      </c>
      <c r="AF54" s="55">
        <f t="shared" ca="1" si="21"/>
        <v>-42.833911068812967</v>
      </c>
      <c r="AG54" s="55">
        <f t="shared" ca="1" si="22"/>
        <v>0</v>
      </c>
      <c r="AH54" s="55">
        <f t="shared" ca="1" si="23"/>
        <v>0</v>
      </c>
      <c r="AI54" s="55">
        <f t="shared" ca="1" si="17"/>
        <v>-1.6138057399756414</v>
      </c>
      <c r="AJ54" s="55">
        <f t="shared" ca="1" si="18"/>
        <v>24.800223753036793</v>
      </c>
      <c r="AK54" s="55">
        <f t="shared" ca="1" si="19"/>
        <v>-93.998442145239011</v>
      </c>
    </row>
    <row r="55" spans="2:37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160</v>
      </c>
      <c r="G55" s="85" t="str">
        <f>IF(H55="","Full (Plough)",H55)</f>
        <v>Full (Plough)</v>
      </c>
      <c r="H55" s="72"/>
      <c r="R55" s="83">
        <f ca="1"/>
        <v>45400</v>
      </c>
      <c r="S55" s="55">
        <f t="shared" ca="1" si="11"/>
        <v>45400</v>
      </c>
      <c r="T55" s="55">
        <f t="shared" ca="1" si="0"/>
        <v>179.74472659687262</v>
      </c>
      <c r="U55" s="55">
        <f t="shared" ca="1" si="1"/>
        <v>33.467338666288803</v>
      </c>
      <c r="V55" s="55">
        <f t="shared" ca="1" si="2"/>
        <v>0</v>
      </c>
      <c r="W55" s="55">
        <f t="shared" ca="1" si="12"/>
        <v>-24.518547550482289</v>
      </c>
      <c r="X55" s="55">
        <f t="shared" ca="1" si="13"/>
        <v>37.683649073510189</v>
      </c>
      <c r="Y55" s="55">
        <f t="shared" ca="1" si="14"/>
        <v>143.75272824324404</v>
      </c>
      <c r="Z55">
        <f t="shared" ca="1" si="3"/>
        <v>119.77015895675956</v>
      </c>
      <c r="AA55">
        <f t="shared" ca="1" si="15"/>
        <v>18.153373650230165</v>
      </c>
      <c r="AB55">
        <f t="shared" ca="1" si="4"/>
        <v>0</v>
      </c>
      <c r="AC55">
        <f t="shared" ca="1" si="5"/>
        <v>0.99575605595716632</v>
      </c>
      <c r="AD55" s="83">
        <f ca="1"/>
        <v>45541</v>
      </c>
      <c r="AE55" s="55">
        <f t="shared" ca="1" si="20"/>
        <v>45541</v>
      </c>
      <c r="AF55" s="55">
        <f t="shared" ca="1" si="21"/>
        <v>-42.984043869321951</v>
      </c>
      <c r="AG55" s="55">
        <f t="shared" ca="1" si="22"/>
        <v>0</v>
      </c>
      <c r="AH55" s="55">
        <f t="shared" ca="1" si="23"/>
        <v>0</v>
      </c>
      <c r="AI55" s="55">
        <f t="shared" ca="1" si="17"/>
        <v>-1.6138057399756414</v>
      </c>
      <c r="AJ55" s="55">
        <f t="shared" ca="1" si="18"/>
        <v>25.534500265741645</v>
      </c>
      <c r="AK55" s="55">
        <f t="shared" ca="1" si="19"/>
        <v>-94.882851458452848</v>
      </c>
    </row>
    <row r="56" spans="2:37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Interface'!S4,0)&amp;" kg N/ha to the current crop"</f>
        <v>Previous crop residues are providing 147 kg N/ha to the current crop</v>
      </c>
      <c r="R56" s="83">
        <f ca="1"/>
        <v>45401</v>
      </c>
      <c r="S56" s="55">
        <f t="shared" ca="1" si="11"/>
        <v>45401</v>
      </c>
      <c r="T56" s="55">
        <f t="shared" ca="1" si="0"/>
        <v>178.77172762468473</v>
      </c>
      <c r="U56" s="55">
        <f t="shared" ca="1" si="1"/>
        <v>35.678695920321061</v>
      </c>
      <c r="V56" s="55">
        <f t="shared" ca="1" si="2"/>
        <v>0</v>
      </c>
      <c r="W56" s="55">
        <f t="shared" ca="1" si="12"/>
        <v>-24.518547550482289</v>
      </c>
      <c r="X56" s="55">
        <f t="shared" ca="1" si="13"/>
        <v>38.69163753930448</v>
      </c>
      <c r="Y56" s="55">
        <f t="shared" ca="1" si="14"/>
        <v>143.98309805929412</v>
      </c>
      <c r="Z56">
        <f t="shared" ca="1" si="3"/>
        <v>118.57740774512648</v>
      </c>
      <c r="AA56">
        <f t="shared" ca="1" si="15"/>
        <v>18.153373650230165</v>
      </c>
      <c r="AB56">
        <f t="shared" ca="1" si="4"/>
        <v>0</v>
      </c>
      <c r="AC56">
        <f t="shared" ca="1" si="5"/>
        <v>0.99726354164298947</v>
      </c>
      <c r="AD56" s="83">
        <f ca="1"/>
        <v>45542</v>
      </c>
      <c r="AE56" s="55">
        <f t="shared" ca="1" si="20"/>
        <v>45542</v>
      </c>
      <c r="AF56" s="55">
        <f t="shared" ca="1" si="21"/>
        <v>-43.069893617153355</v>
      </c>
      <c r="AG56" s="55">
        <f t="shared" ca="1" si="22"/>
        <v>0</v>
      </c>
      <c r="AH56" s="55">
        <f t="shared" ca="1" si="23"/>
        <v>0</v>
      </c>
      <c r="AI56" s="55">
        <f t="shared" ca="1" si="17"/>
        <v>-1.6138057399756414</v>
      </c>
      <c r="AJ56" s="55">
        <f t="shared" ca="1" si="18"/>
        <v>26.255390237409561</v>
      </c>
      <c r="AK56" s="55">
        <f t="shared" ca="1" si="19"/>
        <v>-95.689591177952167</v>
      </c>
    </row>
    <row r="57" spans="2:37" s="55" customFormat="1" ht="15.75" thickBot="1">
      <c r="C57" s="136" t="s">
        <v>156</v>
      </c>
      <c r="D57" s="136"/>
      <c r="E57" s="136"/>
      <c r="F57" s="136"/>
      <c r="G57" s="136"/>
      <c r="H57" s="136"/>
      <c r="R57" s="83">
        <f ca="1"/>
        <v>45402</v>
      </c>
      <c r="S57" s="55">
        <f t="shared" ca="1" si="11"/>
        <v>45402</v>
      </c>
      <c r="T57" s="55">
        <f t="shared" ca="1" si="0"/>
        <v>177.64396534322094</v>
      </c>
      <c r="U57" s="55">
        <f t="shared" ca="1" si="1"/>
        <v>38.017858665144843</v>
      </c>
      <c r="V57" s="55">
        <f t="shared" ca="1" si="2"/>
        <v>0</v>
      </c>
      <c r="W57" s="55">
        <f t="shared" ca="1" si="12"/>
        <v>-24.518547550482289</v>
      </c>
      <c r="X57" s="55">
        <f t="shared" ca="1" si="13"/>
        <v>39.698557387637308</v>
      </c>
      <c r="Y57" s="55">
        <f t="shared" ca="1" si="14"/>
        <v>144.18757867432129</v>
      </c>
      <c r="Z57">
        <f t="shared" ca="1" si="3"/>
        <v>119.83990350318112</v>
      </c>
      <c r="AA57">
        <f t="shared" ca="1" si="15"/>
        <v>18.153373650230165</v>
      </c>
      <c r="AB57">
        <f t="shared" ca="1" si="4"/>
        <v>0</v>
      </c>
      <c r="AC57">
        <f t="shared" ca="1" si="5"/>
        <v>0.99823582536271793</v>
      </c>
      <c r="AD57" s="83">
        <f ca="1"/>
        <v>45543</v>
      </c>
      <c r="AE57" s="55">
        <f t="shared" ca="1" si="20"/>
        <v>45543</v>
      </c>
      <c r="AF57" s="55">
        <f t="shared" ca="1" si="21"/>
        <v>-43.097139279187658</v>
      </c>
      <c r="AG57" s="55">
        <f t="shared" ca="1" si="22"/>
        <v>0</v>
      </c>
      <c r="AH57" s="55">
        <f t="shared" ca="1" si="23"/>
        <v>0</v>
      </c>
      <c r="AI57" s="55">
        <f t="shared" ca="1" si="17"/>
        <v>-1.6138057399756414</v>
      </c>
      <c r="AJ57" s="55">
        <f t="shared" ca="1" si="18"/>
        <v>26.911126489976191</v>
      </c>
      <c r="AK57" s="55">
        <f t="shared" ca="1" si="19"/>
        <v>-96.372573092553097</v>
      </c>
    </row>
    <row r="58" spans="2:37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45403</v>
      </c>
      <c r="S58" s="55">
        <f t="shared" ca="1" si="11"/>
        <v>45403</v>
      </c>
      <c r="T58" s="55">
        <f t="shared" ca="1" si="0"/>
        <v>176.41253096436353</v>
      </c>
      <c r="U58" s="55">
        <f t="shared" ca="1" si="1"/>
        <v>40.371289548203372</v>
      </c>
      <c r="V58" s="55">
        <f t="shared" ca="1" si="2"/>
        <v>0</v>
      </c>
      <c r="W58" s="55">
        <f t="shared" ca="1" si="12"/>
        <v>-24.518547550482289</v>
      </c>
      <c r="X58" s="55">
        <f t="shared" ca="1" si="13"/>
        <v>40.648451662625135</v>
      </c>
      <c r="Y58" s="55">
        <f t="shared" ca="1" si="14"/>
        <v>144.35968090353458</v>
      </c>
      <c r="Z58">
        <f t="shared" ca="1" si="3"/>
        <v>117.8654152569808</v>
      </c>
      <c r="AA58">
        <f t="shared" ca="1" si="15"/>
        <v>18.153373650230165</v>
      </c>
      <c r="AB58">
        <f t="shared" ca="1" si="4"/>
        <v>0</v>
      </c>
      <c r="AC58">
        <f t="shared" ca="1" si="5"/>
        <v>0.99883902178511397</v>
      </c>
      <c r="AD58" s="83">
        <f ca="1"/>
        <v>45544</v>
      </c>
      <c r="AE58" s="55">
        <f t="shared" ca="1" si="20"/>
        <v>45544</v>
      </c>
      <c r="AF58" s="55">
        <f t="shared" ca="1" si="21"/>
        <v>-43.075748215757123</v>
      </c>
      <c r="AG58" s="55">
        <f t="shared" ca="1" si="22"/>
        <v>0</v>
      </c>
      <c r="AH58" s="55">
        <f t="shared" ca="1" si="23"/>
        <v>0</v>
      </c>
      <c r="AI58" s="55">
        <f t="shared" ca="1" si="17"/>
        <v>-1.6138057399756414</v>
      </c>
      <c r="AJ58" s="55">
        <f t="shared" ca="1" si="18"/>
        <v>27.598387301889421</v>
      </c>
      <c r="AK58" s="55">
        <f t="shared" ca="1" si="19"/>
        <v>-97.038442841035788</v>
      </c>
    </row>
    <row r="59" spans="2:37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45404</v>
      </c>
      <c r="S59" s="55">
        <f t="shared" ca="1" si="11"/>
        <v>45404</v>
      </c>
      <c r="T59" s="55">
        <f t="shared" ca="1" si="0"/>
        <v>175.00191942434247</v>
      </c>
      <c r="U59" s="55">
        <f t="shared" ca="1" si="1"/>
        <v>42.911283091818859</v>
      </c>
      <c r="V59" s="55">
        <f t="shared" ca="1" si="2"/>
        <v>0</v>
      </c>
      <c r="W59" s="55">
        <f t="shared" ca="1" si="12"/>
        <v>-24.518547550482289</v>
      </c>
      <c r="X59" s="55">
        <f t="shared" ca="1" si="13"/>
        <v>41.620271885451082</v>
      </c>
      <c r="Y59" s="55">
        <f t="shared" ca="1" si="14"/>
        <v>144.51724268430306</v>
      </c>
      <c r="Z59">
        <f t="shared" ca="1" si="3"/>
        <v>114.83022587839011</v>
      </c>
      <c r="AA59">
        <f t="shared" ca="1" si="15"/>
        <v>18.153373650230165</v>
      </c>
      <c r="AB59">
        <f t="shared" ca="1" si="4"/>
        <v>0</v>
      </c>
      <c r="AC59">
        <f t="shared" ca="1" si="5"/>
        <v>0.99924354779044999</v>
      </c>
      <c r="AD59" s="83">
        <f ca="1"/>
        <v>45545</v>
      </c>
      <c r="AE59" s="55">
        <f t="shared" ca="1" si="20"/>
        <v>45545</v>
      </c>
      <c r="AF59" s="55">
        <f t="shared" ca="1" si="21"/>
        <v>-42.999930549547521</v>
      </c>
      <c r="AG59" s="55">
        <f t="shared" ca="1" si="22"/>
        <v>0</v>
      </c>
      <c r="AH59" s="55">
        <f t="shared" ca="1" si="23"/>
        <v>0</v>
      </c>
      <c r="AI59" s="55">
        <f t="shared" ca="1" si="17"/>
        <v>-1.6138057399756414</v>
      </c>
      <c r="AJ59" s="55">
        <f t="shared" ca="1" si="18"/>
        <v>28.32362533521087</v>
      </c>
      <c r="AK59" s="55">
        <f t="shared" ca="1" si="19"/>
        <v>-97.687863208147633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89</v>
      </c>
      <c r="H60" s="72"/>
      <c r="R60" s="83">
        <f ca="1"/>
        <v>45405</v>
      </c>
      <c r="S60" s="55">
        <f t="shared" ca="1" si="11"/>
        <v>45405</v>
      </c>
      <c r="T60" s="55">
        <f t="shared" ca="1" si="0"/>
        <v>173.35047500116104</v>
      </c>
      <c r="U60" s="55">
        <f t="shared" ca="1" si="1"/>
        <v>45.769165287545462</v>
      </c>
      <c r="V60" s="55">
        <f t="shared" ca="1" si="2"/>
        <v>0</v>
      </c>
      <c r="W60" s="55">
        <f t="shared" ca="1" si="12"/>
        <v>-24.518547550482289</v>
      </c>
      <c r="X60" s="55">
        <f t="shared" ca="1" si="13"/>
        <v>42.674498783732389</v>
      </c>
      <c r="Y60" s="55">
        <f t="shared" ca="1" si="14"/>
        <v>144.66945355856691</v>
      </c>
      <c r="Z60">
        <f t="shared" ca="1" si="3"/>
        <v>116.95895453281193</v>
      </c>
      <c r="AA60">
        <f t="shared" ca="1" si="15"/>
        <v>18.153373650230165</v>
      </c>
      <c r="AB60">
        <f t="shared" ca="1" si="4"/>
        <v>0</v>
      </c>
      <c r="AC60">
        <f t="shared" ca="1" si="5"/>
        <v>0.99952079037550734</v>
      </c>
      <c r="AD60" s="83">
        <f ca="1"/>
        <v>45546</v>
      </c>
      <c r="AE60" s="55">
        <f t="shared" ca="1" si="20"/>
        <v>45546</v>
      </c>
      <c r="AF60" s="55">
        <f t="shared" ca="1" si="21"/>
        <v>-42.874424663887929</v>
      </c>
      <c r="AG60" s="55">
        <f t="shared" ca="1" si="22"/>
        <v>0</v>
      </c>
      <c r="AH60" s="55">
        <f t="shared" ca="1" si="23"/>
        <v>0</v>
      </c>
      <c r="AI60" s="55">
        <f t="shared" ca="1" si="17"/>
        <v>-1.6138057399756414</v>
      </c>
      <c r="AJ60" s="55">
        <f t="shared" ca="1" si="18"/>
        <v>29.035868791237046</v>
      </c>
      <c r="AK60" s="55">
        <f t="shared" ca="1" si="19"/>
        <v>-98.274600778514213</v>
      </c>
    </row>
    <row r="61" spans="2:37" s="55" customFormat="1">
      <c r="B61" s="90">
        <f>IF(FollowingUnits="kg/head",FollowingYIeld*FollowingPopulation/1000,IF(FollowingUnits="kg/ha",FollowingYIeld/1000,FollowingYIeld))</f>
        <v>0</v>
      </c>
      <c r="C61" s="64" t="s">
        <v>152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45406</v>
      </c>
      <c r="S61" s="55">
        <f t="shared" ca="1" si="11"/>
        <v>45406</v>
      </c>
      <c r="T61" s="55">
        <f t="shared" ca="1" si="0"/>
        <v>166.23874403767718</v>
      </c>
      <c r="U61" s="55">
        <f t="shared" ca="1" si="1"/>
        <v>48.704959377797948</v>
      </c>
      <c r="V61" s="55">
        <f t="shared" ca="1" si="2"/>
        <v>0</v>
      </c>
      <c r="W61" s="55">
        <f t="shared" ca="1" si="12"/>
        <v>-29.844393847894167</v>
      </c>
      <c r="X61" s="55">
        <f t="shared" ca="1" si="13"/>
        <v>43.693570074580037</v>
      </c>
      <c r="Y61" s="55">
        <f t="shared" ca="1" si="14"/>
        <v>144.80029169189979</v>
      </c>
      <c r="Z61">
        <f t="shared" ca="1" si="3"/>
        <v>120</v>
      </c>
      <c r="AA61">
        <f t="shared" ca="1" si="15"/>
        <v>22.706047541105342</v>
      </c>
      <c r="AB61">
        <f t="shared" ca="1" si="4"/>
        <v>0</v>
      </c>
      <c r="AC61">
        <f t="shared" ca="1" si="5"/>
        <v>0.99969264978926942</v>
      </c>
      <c r="AD61" s="83">
        <f ca="1"/>
        <v>45547</v>
      </c>
      <c r="AE61" s="55">
        <f t="shared" ca="1" si="20"/>
        <v>45547</v>
      </c>
      <c r="AF61" s="55">
        <f t="shared" ca="1" si="21"/>
        <v>-42.685380535398778</v>
      </c>
      <c r="AG61" s="55">
        <f t="shared" ca="1" si="22"/>
        <v>0</v>
      </c>
      <c r="AH61" s="55">
        <f t="shared" ca="1" si="23"/>
        <v>0</v>
      </c>
      <c r="AI61" s="55">
        <f t="shared" ca="1" si="17"/>
        <v>-1.6138057399756414</v>
      </c>
      <c r="AJ61" s="55">
        <f t="shared" ca="1" si="18"/>
        <v>29.801887838420818</v>
      </c>
      <c r="AK61" s="55">
        <f t="shared" ca="1" si="19"/>
        <v>-98.85157569720883</v>
      </c>
    </row>
    <row r="62" spans="2:37" s="55" customFormat="1">
      <c r="C62" s="61" t="s">
        <v>4</v>
      </c>
      <c r="D62" s="68">
        <f ca="1">IF(E62="",CurrentHarvestDate+15,E62)</f>
        <v>45518</v>
      </c>
      <c r="E62" s="67"/>
      <c r="F62" s="61" t="s">
        <v>147</v>
      </c>
      <c r="G62" s="84" t="str">
        <f>IF(H62="",VLOOKUP(FollowingCropFullName,CropCoefficients,13,FALSE),H62)</f>
        <v>Seedling</v>
      </c>
      <c r="H62" s="72"/>
      <c r="R62" s="83">
        <f ca="1"/>
        <v>45407</v>
      </c>
      <c r="S62" s="55">
        <f t="shared" ca="1" si="11"/>
        <v>45407</v>
      </c>
      <c r="T62" s="55">
        <f t="shared" ca="1" si="0"/>
        <v>164.34028619159579</v>
      </c>
      <c r="U62" s="55">
        <f t="shared" ca="1" si="1"/>
        <v>51.694097797286922</v>
      </c>
      <c r="V62" s="55">
        <f t="shared" ca="1" si="2"/>
        <v>0</v>
      </c>
      <c r="W62" s="55">
        <f t="shared" ca="1" si="12"/>
        <v>-29.844393847894167</v>
      </c>
      <c r="X62" s="55">
        <f t="shared" ca="1" si="13"/>
        <v>44.671898005523339</v>
      </c>
      <c r="Y62" s="55">
        <f t="shared" ca="1" si="14"/>
        <v>144.91264433436407</v>
      </c>
      <c r="Z62">
        <f t="shared" ca="1" si="3"/>
        <v>118.22992830627587</v>
      </c>
      <c r="AA62">
        <f t="shared" ca="1" si="15"/>
        <v>22.706047541105342</v>
      </c>
      <c r="AB62">
        <f t="shared" ca="1" si="4"/>
        <v>0</v>
      </c>
      <c r="AC62">
        <f t="shared" ca="1" si="5"/>
        <v>0.99979995528685739</v>
      </c>
      <c r="AD62" s="83">
        <f ca="1"/>
        <v>45548</v>
      </c>
      <c r="AE62" s="55">
        <f t="shared" ca="1" si="20"/>
        <v>45548</v>
      </c>
      <c r="AF62" s="55">
        <f t="shared" ca="1" si="21"/>
        <v>-42.445679428286134</v>
      </c>
      <c r="AG62" s="55">
        <f t="shared" ca="1" si="22"/>
        <v>0</v>
      </c>
      <c r="AH62" s="55">
        <f t="shared" ca="1" si="23"/>
        <v>0</v>
      </c>
      <c r="AI62" s="55">
        <f t="shared" ca="1" si="17"/>
        <v>-1.6138057399756414</v>
      </c>
      <c r="AJ62" s="55">
        <f t="shared" ca="1" si="18"/>
        <v>30.559518572102302</v>
      </c>
      <c r="AK62" s="55">
        <f t="shared" ca="1" si="19"/>
        <v>-99.369505323777673</v>
      </c>
    </row>
    <row r="63" spans="2:37" s="55" customFormat="1">
      <c r="C63" s="61" t="s">
        <v>5</v>
      </c>
      <c r="D63" s="68">
        <f ca="1">IF(E63="",FollowingEstablishDate+120,E63)</f>
        <v>45638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45408</v>
      </c>
      <c r="S63" s="55">
        <f t="shared" ca="1" si="11"/>
        <v>45408</v>
      </c>
      <c r="T63" s="55">
        <f t="shared" ca="1" si="0"/>
        <v>159.66994731398734</v>
      </c>
      <c r="U63" s="55">
        <f t="shared" ca="1" si="1"/>
        <v>55.036575248253136</v>
      </c>
      <c r="V63" s="55">
        <f t="shared" ca="1" si="2"/>
        <v>0</v>
      </c>
      <c r="W63" s="55">
        <f t="shared" ca="1" si="12"/>
        <v>-32.333209703046997</v>
      </c>
      <c r="X63" s="55">
        <f t="shared" ca="1" si="13"/>
        <v>45.724694135376595</v>
      </c>
      <c r="Y63" s="55">
        <f t="shared" ca="1" si="14"/>
        <v>145.02080263302142</v>
      </c>
      <c r="Z63">
        <f t="shared" ca="1" si="3"/>
        <v>120</v>
      </c>
      <c r="AA63">
        <f t="shared" ca="1" si="15"/>
        <v>24.921078221566091</v>
      </c>
      <c r="AB63">
        <f t="shared" ca="1" si="4"/>
        <v>0</v>
      </c>
      <c r="AC63">
        <f t="shared" ca="1" si="5"/>
        <v>0.99987323467396039</v>
      </c>
      <c r="AD63" s="83">
        <f ca="1"/>
        <v>45549</v>
      </c>
      <c r="AE63" s="55">
        <f t="shared" ca="1" si="20"/>
        <v>45549</v>
      </c>
      <c r="AF63" s="55">
        <f t="shared" ca="1" si="21"/>
        <v>-42.147742576932188</v>
      </c>
      <c r="AG63" s="55">
        <f t="shared" ca="1" si="22"/>
        <v>0</v>
      </c>
      <c r="AH63" s="55">
        <f t="shared" ca="1" si="23"/>
        <v>0</v>
      </c>
      <c r="AI63" s="55">
        <f t="shared" ca="1" si="17"/>
        <v>-1.6138057399756414</v>
      </c>
      <c r="AJ63" s="55">
        <f t="shared" ca="1" si="18"/>
        <v>31.336711427755695</v>
      </c>
      <c r="AK63" s="55">
        <f t="shared" ca="1" si="19"/>
        <v>-99.848761328077117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45409</v>
      </c>
      <c r="S64" s="55">
        <f t="shared" ca="1" si="11"/>
        <v>45409</v>
      </c>
      <c r="T64" s="55">
        <f t="shared" ca="1" si="0"/>
        <v>152.80885525939493</v>
      </c>
      <c r="U64" s="55">
        <f t="shared" ca="1" si="1"/>
        <v>58.386822142255319</v>
      </c>
      <c r="V64" s="55">
        <f t="shared" ca="1" si="2"/>
        <v>0</v>
      </c>
      <c r="W64" s="55">
        <f t="shared" ca="1" si="12"/>
        <v>-36.928210540882823</v>
      </c>
      <c r="X64" s="55">
        <f t="shared" ca="1" si="13"/>
        <v>46.717495885519568</v>
      </c>
      <c r="Y64" s="55">
        <f t="shared" ca="1" si="14"/>
        <v>145.11215656012402</v>
      </c>
      <c r="Z64">
        <f t="shared" ca="1" si="3"/>
        <v>120</v>
      </c>
      <c r="AA64">
        <f t="shared" ca="1" si="15"/>
        <v>29.194219343937405</v>
      </c>
      <c r="AB64">
        <f t="shared" ca="1" si="4"/>
        <v>0</v>
      </c>
      <c r="AC64">
        <f t="shared" ca="1" si="5"/>
        <v>0.99991793270834706</v>
      </c>
      <c r="AD64" s="83">
        <f ca="1"/>
        <v>45550</v>
      </c>
      <c r="AE64" s="55">
        <f t="shared" ca="1" si="20"/>
        <v>45550</v>
      </c>
      <c r="AF64" s="55">
        <f t="shared" ca="1" si="21"/>
        <v>-41.802235801729907</v>
      </c>
      <c r="AG64" s="55">
        <f t="shared" ca="1" si="22"/>
        <v>0</v>
      </c>
      <c r="AH64" s="55">
        <f t="shared" ca="1" si="23"/>
        <v>0</v>
      </c>
      <c r="AI64" s="55">
        <f t="shared" ca="1" si="17"/>
        <v>-1.6138057399756414</v>
      </c>
      <c r="AJ64" s="55">
        <f t="shared" ca="1" si="18"/>
        <v>32.108153678585033</v>
      </c>
      <c r="AK64" s="55">
        <f t="shared" ca="1" si="19"/>
        <v>-100.27469680370417</v>
      </c>
    </row>
    <row r="65" spans="2:37" s="55" customFormat="1">
      <c r="C65" s="61" t="s">
        <v>102</v>
      </c>
      <c r="D65" s="70">
        <f>IF(E65="",VLOOKUP(FollowingCropFullName,CropCoefficients,17,FALSE),E65)</f>
        <v>0</v>
      </c>
      <c r="E65" s="69">
        <v>0</v>
      </c>
      <c r="F65" s="61" t="s">
        <v>150</v>
      </c>
      <c r="G65" s="85" t="str">
        <f>IF(H65="","None removed",H65)</f>
        <v>None removed</v>
      </c>
      <c r="H65" s="72"/>
      <c r="R65" s="83">
        <f ca="1"/>
        <v>45410</v>
      </c>
      <c r="S65" s="55">
        <f t="shared" ca="1" si="11"/>
        <v>45410</v>
      </c>
      <c r="T65" s="55">
        <f t="shared" ca="1" si="0"/>
        <v>147.12590573329715</v>
      </c>
      <c r="U65" s="55">
        <f t="shared" ca="1" si="1"/>
        <v>61.832480347534876</v>
      </c>
      <c r="V65" s="55">
        <f t="shared" ca="1" si="2"/>
        <v>0</v>
      </c>
      <c r="W65" s="55">
        <f t="shared" ca="1" si="12"/>
        <v>-40.215943923222049</v>
      </c>
      <c r="X65" s="55">
        <f t="shared" ca="1" si="13"/>
        <v>47.687448593463927</v>
      </c>
      <c r="Y65" s="55">
        <f t="shared" ca="1" si="14"/>
        <v>145.19264591370063</v>
      </c>
      <c r="Z65">
        <f t="shared" ca="1" si="3"/>
        <v>120</v>
      </c>
      <c r="AA65">
        <f t="shared" ca="1" si="15"/>
        <v>32.3697594717055</v>
      </c>
      <c r="AB65">
        <f t="shared" ca="1" si="4"/>
        <v>0</v>
      </c>
      <c r="AC65">
        <f t="shared" ca="1" si="5"/>
        <v>0.99994642429162028</v>
      </c>
      <c r="AD65" s="83">
        <f ca="1"/>
        <v>45551</v>
      </c>
      <c r="AE65" s="55">
        <f t="shared" ca="1" si="20"/>
        <v>45551</v>
      </c>
      <c r="AF65" s="55">
        <f t="shared" ca="1" si="21"/>
        <v>-41.372279076925579</v>
      </c>
      <c r="AG65" s="55">
        <f t="shared" ca="1" si="22"/>
        <v>0</v>
      </c>
      <c r="AH65" s="55">
        <f t="shared" ca="1" si="23"/>
        <v>0</v>
      </c>
      <c r="AI65" s="55">
        <f t="shared" ca="1" si="17"/>
        <v>-1.6138057399756414</v>
      </c>
      <c r="AJ65" s="55">
        <f t="shared" ca="1" si="18"/>
        <v>32.948150080689437</v>
      </c>
      <c r="AK65" s="55">
        <f t="shared" ca="1" si="19"/>
        <v>-100.68473648100425</v>
      </c>
    </row>
    <row r="66" spans="2:37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160</v>
      </c>
      <c r="G66" s="85" t="str">
        <f>IF(H66="","Full (Plough)",H66)</f>
        <v>Full (Plough)</v>
      </c>
      <c r="H66" s="72"/>
      <c r="R66" s="83">
        <f ca="1"/>
        <v>45411</v>
      </c>
      <c r="S66" s="55">
        <f t="shared" ca="1" si="11"/>
        <v>45411</v>
      </c>
      <c r="T66" s="55">
        <f t="shared" ca="1" si="0"/>
        <v>140.83259165475468</v>
      </c>
      <c r="U66" s="55">
        <f t="shared" ca="1" si="1"/>
        <v>65.388548471624233</v>
      </c>
      <c r="V66" s="55">
        <f t="shared" ca="1" si="2"/>
        <v>0</v>
      </c>
      <c r="W66" s="55">
        <f t="shared" ca="1" si="12"/>
        <v>-43.978934545904451</v>
      </c>
      <c r="X66" s="55">
        <f t="shared" ca="1" si="13"/>
        <v>48.641471819651564</v>
      </c>
      <c r="Y66" s="55">
        <f t="shared" ca="1" si="14"/>
        <v>145.26436735574228</v>
      </c>
      <c r="Z66">
        <f t="shared" ca="1" si="3"/>
        <v>120</v>
      </c>
      <c r="AA66">
        <f t="shared" ca="1" si="15"/>
        <v>36.166755368847461</v>
      </c>
      <c r="AB66">
        <f t="shared" ca="1" si="4"/>
        <v>0</v>
      </c>
      <c r="AC66">
        <f t="shared" ca="1" si="5"/>
        <v>0.99996481749082422</v>
      </c>
      <c r="AD66" s="83">
        <f ca="1"/>
        <v>45552</v>
      </c>
      <c r="AE66" s="55">
        <f t="shared" ca="1" si="20"/>
        <v>45552</v>
      </c>
      <c r="AF66" s="55">
        <f t="shared" ca="1" si="21"/>
        <v>-40.927834853240952</v>
      </c>
      <c r="AG66" s="55">
        <f t="shared" ca="1" si="22"/>
        <v>0</v>
      </c>
      <c r="AH66" s="55">
        <f t="shared" ca="1" si="23"/>
        <v>0</v>
      </c>
      <c r="AI66" s="55">
        <f t="shared" ca="1" si="17"/>
        <v>-1.6138057399756414</v>
      </c>
      <c r="AJ66" s="55">
        <f t="shared" ca="1" si="18"/>
        <v>33.723827017623243</v>
      </c>
      <c r="AK66" s="55">
        <f t="shared" ca="1" si="19"/>
        <v>-101.01596919425343</v>
      </c>
    </row>
    <row r="67" spans="2:37">
      <c r="B67" s="55"/>
      <c r="C67" s="64" t="str">
        <f>"Yield "&amp;ROUND(FollowingYield_tperHa,0)&amp;" (t/ha)"</f>
        <v>Yield 0 (t/ha)</v>
      </c>
      <c r="D67" s="107" t="str">
        <f ca="1">"Following crop will take up "&amp;ROUND('Model Interface'!R4,0)&amp;" kg N/ha"</f>
        <v>Following crop will take up 1 kg N/ha</v>
      </c>
      <c r="R67" s="83">
        <f ca="1"/>
        <v>45412</v>
      </c>
      <c r="S67" s="55">
        <f t="shared" ca="1" si="11"/>
        <v>45412</v>
      </c>
      <c r="T67" s="55">
        <f t="shared" ca="1" si="0"/>
        <v>138.47706874640917</v>
      </c>
      <c r="U67" s="55">
        <f t="shared" ca="1" si="1"/>
        <v>68.615227416815713</v>
      </c>
      <c r="V67" s="55">
        <f t="shared" ca="1" si="2"/>
        <v>0</v>
      </c>
      <c r="W67" s="55">
        <f t="shared" ca="1" si="12"/>
        <v>-43.978934545904451</v>
      </c>
      <c r="X67" s="55">
        <f t="shared" ca="1" si="13"/>
        <v>49.456542980545073</v>
      </c>
      <c r="Y67" s="55">
        <f t="shared" ca="1" si="14"/>
        <v>145.32045223169473</v>
      </c>
      <c r="Z67">
        <f t="shared" ca="1" si="3"/>
        <v>116.82582325791905</v>
      </c>
      <c r="AA67">
        <f t="shared" ca="1" si="15"/>
        <v>36.166755368847461</v>
      </c>
      <c r="AB67">
        <f t="shared" ca="1" si="4"/>
        <v>0</v>
      </c>
      <c r="AC67">
        <f t="shared" ca="1" si="5"/>
        <v>0.99997560653985362</v>
      </c>
      <c r="AD67" s="83">
        <f ca="1"/>
        <v>45553</v>
      </c>
      <c r="AE67" s="55">
        <f t="shared" ca="1" si="20"/>
        <v>45553</v>
      </c>
      <c r="AF67" s="55">
        <f t="shared" ca="1" si="21"/>
        <v>-40.479259421238474</v>
      </c>
      <c r="AG67" s="55">
        <f t="shared" ca="1" si="22"/>
        <v>0</v>
      </c>
      <c r="AH67" s="55">
        <f t="shared" ca="1" si="23"/>
        <v>0</v>
      </c>
      <c r="AI67" s="55">
        <f t="shared" ca="1" si="17"/>
        <v>-1.6138057399756414</v>
      </c>
      <c r="AJ67" s="55">
        <f t="shared" ca="1" si="18"/>
        <v>34.439521148313091</v>
      </c>
      <c r="AK67" s="55">
        <f t="shared" ca="1" si="19"/>
        <v>-101.2830878929408</v>
      </c>
    </row>
    <row r="68" spans="2:37" ht="15.75" thickBot="1">
      <c r="C68" s="138" t="s">
        <v>187</v>
      </c>
      <c r="D68" s="138"/>
      <c r="E68" s="138"/>
      <c r="F68" s="138"/>
      <c r="G68" s="138"/>
      <c r="H68" s="138"/>
      <c r="R68" s="83">
        <f ca="1"/>
        <v>45413</v>
      </c>
      <c r="S68" s="55">
        <f t="shared" ca="1" si="11"/>
        <v>45413</v>
      </c>
      <c r="T68" s="55">
        <f t="shared" ca="1" si="0"/>
        <v>135.98887611050719</v>
      </c>
      <c r="U68" s="55">
        <f t="shared" ca="1" si="1"/>
        <v>71.955907564357588</v>
      </c>
      <c r="V68" s="55">
        <f t="shared" ca="1" si="2"/>
        <v>0</v>
      </c>
      <c r="W68" s="55">
        <f t="shared" ca="1" si="12"/>
        <v>-43.978934545904451</v>
      </c>
      <c r="X68" s="55">
        <f t="shared" ca="1" si="13"/>
        <v>50.258045180534346</v>
      </c>
      <c r="Y68" s="55">
        <f t="shared" ca="1" si="14"/>
        <v>145.37143754334537</v>
      </c>
      <c r="Z68">
        <f t="shared" ca="1" si="3"/>
        <v>113.9096369401064</v>
      </c>
      <c r="AA68">
        <f t="shared" ca="1" si="15"/>
        <v>36.166755368847461</v>
      </c>
      <c r="AB68">
        <f t="shared" ca="1" si="4"/>
        <v>0</v>
      </c>
      <c r="AC68">
        <f t="shared" ca="1" si="5"/>
        <v>0.99998307187106439</v>
      </c>
      <c r="AD68" s="83">
        <f ca="1"/>
        <v>45554</v>
      </c>
      <c r="AE68" s="55">
        <f t="shared" ca="1" si="20"/>
        <v>45554</v>
      </c>
      <c r="AF68" s="55">
        <f t="shared" ca="1" si="21"/>
        <v>-40.000995141898464</v>
      </c>
      <c r="AG68" s="55">
        <f t="shared" ca="1" si="22"/>
        <v>0</v>
      </c>
      <c r="AH68" s="55">
        <f t="shared" ca="1" si="23"/>
        <v>0</v>
      </c>
      <c r="AI68" s="55">
        <f t="shared" ca="1" si="17"/>
        <v>-1.6138057399756414</v>
      </c>
      <c r="AJ68" s="55">
        <f t="shared" ca="1" si="18"/>
        <v>35.147180139076852</v>
      </c>
      <c r="AK68" s="55">
        <f t="shared" ca="1" si="19"/>
        <v>-101.51248260436455</v>
      </c>
    </row>
    <row r="69" spans="2:37">
      <c r="C69" s="61"/>
      <c r="D69" s="88"/>
      <c r="E69" s="105"/>
      <c r="R69" s="83">
        <f ca="1"/>
        <v>45414</v>
      </c>
      <c r="S69" s="55">
        <f t="shared" ca="1" si="11"/>
        <v>45414</v>
      </c>
      <c r="T69" s="55">
        <f t="shared" ca="1" si="0"/>
        <v>133.11985099356014</v>
      </c>
      <c r="U69" s="55">
        <f t="shared" ca="1" si="1"/>
        <v>75.786797402377161</v>
      </c>
      <c r="V69" s="55">
        <f t="shared" ca="1" si="2"/>
        <v>0</v>
      </c>
      <c r="W69" s="55">
        <f t="shared" ca="1" si="12"/>
        <v>-43.978934545904451</v>
      </c>
      <c r="X69" s="55">
        <f t="shared" ca="1" si="13"/>
        <v>51.16658433248427</v>
      </c>
      <c r="Y69" s="55">
        <f t="shared" ca="1" si="14"/>
        <v>145.42476311246796</v>
      </c>
      <c r="Z69">
        <f t="shared" ca="1" si="3"/>
        <v>115.46820551687875</v>
      </c>
      <c r="AA69">
        <f t="shared" ca="1" si="15"/>
        <v>36.166755368847461</v>
      </c>
      <c r="AB69">
        <f t="shared" ca="1" si="4"/>
        <v>0</v>
      </c>
      <c r="AC69">
        <f t="shared" ca="1" si="5"/>
        <v>0.99998869070392737</v>
      </c>
      <c r="AD69" s="83">
        <f ca="1"/>
        <v>45555</v>
      </c>
      <c r="AE69" s="55">
        <f t="shared" ca="1" si="20"/>
        <v>45555</v>
      </c>
      <c r="AF69" s="55">
        <f t="shared" ca="1" si="21"/>
        <v>-39.51668468180231</v>
      </c>
      <c r="AG69" s="55">
        <f t="shared" ca="1" si="22"/>
        <v>0</v>
      </c>
      <c r="AH69" s="55">
        <f t="shared" ca="1" si="23"/>
        <v>0</v>
      </c>
      <c r="AI69" s="55">
        <f t="shared" ca="1" si="17"/>
        <v>-1.6138057399756414</v>
      </c>
      <c r="AJ69" s="55">
        <f t="shared" ca="1" si="18"/>
        <v>35.818560651235558</v>
      </c>
      <c r="AK69" s="55">
        <f t="shared" ca="1" si="19"/>
        <v>-101.6995526564271</v>
      </c>
    </row>
    <row r="70" spans="2:37">
      <c r="C70" s="61"/>
      <c r="D70" s="84"/>
      <c r="E70" s="69"/>
      <c r="R70" s="83">
        <f ca="1"/>
        <v>45415</v>
      </c>
      <c r="S70" s="55">
        <f t="shared" ca="1" si="11"/>
        <v>45415</v>
      </c>
      <c r="T70" s="55">
        <f t="shared" ca="1" si="0"/>
        <v>130.08482432984036</v>
      </c>
      <c r="U70" s="55">
        <f t="shared" ca="1" si="1"/>
        <v>79.783687946297633</v>
      </c>
      <c r="V70" s="55">
        <f t="shared" ca="1" si="2"/>
        <v>0</v>
      </c>
      <c r="W70" s="55">
        <f t="shared" ca="1" si="12"/>
        <v>-43.978934545904451</v>
      </c>
      <c r="X70" s="55">
        <f t="shared" ca="1" si="13"/>
        <v>52.079141016279834</v>
      </c>
      <c r="Y70" s="55">
        <f t="shared" ca="1" si="14"/>
        <v>145.47407030887308</v>
      </c>
      <c r="Z70">
        <f t="shared" ca="1" si="3"/>
        <v>119.54791364524631</v>
      </c>
      <c r="AA70">
        <f t="shared" ca="1" si="15"/>
        <v>36.166755368847461</v>
      </c>
      <c r="AB70">
        <f t="shared" ca="1" si="4"/>
        <v>0</v>
      </c>
      <c r="AC70">
        <f t="shared" ca="1" si="5"/>
        <v>0.99999245616578025</v>
      </c>
      <c r="AD70" s="83">
        <f ca="1"/>
        <v>45556</v>
      </c>
      <c r="AE70" s="55">
        <f t="shared" ca="1" si="20"/>
        <v>45556</v>
      </c>
      <c r="AF70" s="55">
        <f t="shared" ca="1" si="21"/>
        <v>-38.987636232813095</v>
      </c>
      <c r="AG70" s="55">
        <f t="shared" ca="1" si="22"/>
        <v>0</v>
      </c>
      <c r="AH70" s="55">
        <f t="shared" ca="1" si="23"/>
        <v>0</v>
      </c>
      <c r="AI70" s="55">
        <f t="shared" ca="1" si="17"/>
        <v>-1.6138057399756414</v>
      </c>
      <c r="AJ70" s="55">
        <f t="shared" ca="1" si="18"/>
        <v>36.510603530620571</v>
      </c>
      <c r="AK70" s="55">
        <f t="shared" ca="1" si="19"/>
        <v>-101.8625470868229</v>
      </c>
    </row>
    <row r="71" spans="2:37">
      <c r="C71" s="61"/>
      <c r="D71" s="84"/>
      <c r="E71" s="69"/>
      <c r="R71" s="83">
        <f ca="1"/>
        <v>45416</v>
      </c>
      <c r="S71" s="55">
        <f t="shared" ca="1" si="11"/>
        <v>45416</v>
      </c>
      <c r="T71" s="55">
        <f t="shared" ca="1" si="0"/>
        <v>123.87379297208001</v>
      </c>
      <c r="U71" s="55">
        <f t="shared" ca="1" si="1"/>
        <v>84.078638470282158</v>
      </c>
      <c r="V71" s="55">
        <f t="shared" ca="1" si="2"/>
        <v>0</v>
      </c>
      <c r="W71" s="55">
        <f t="shared" ca="1" si="12"/>
        <v>-46.891874109969933</v>
      </c>
      <c r="X71" s="55">
        <f t="shared" ca="1" si="13"/>
        <v>53.028691707834113</v>
      </c>
      <c r="Y71" s="55">
        <f t="shared" ca="1" si="14"/>
        <v>145.52137834760845</v>
      </c>
      <c r="Z71">
        <f t="shared" ca="1" si="3"/>
        <v>120</v>
      </c>
      <c r="AA71">
        <f t="shared" ca="1" si="15"/>
        <v>39.508414919127539</v>
      </c>
      <c r="AB71">
        <f t="shared" ca="1" si="4"/>
        <v>0</v>
      </c>
      <c r="AC71">
        <f t="shared" ca="1" si="5"/>
        <v>0.99999503785814281</v>
      </c>
      <c r="AD71" s="83">
        <f ca="1"/>
        <v>45557</v>
      </c>
      <c r="AE71" s="55">
        <f t="shared" ca="1" si="20"/>
        <v>45557</v>
      </c>
      <c r="AF71" s="55">
        <f t="shared" ca="1" si="21"/>
        <v>-38.383378372713324</v>
      </c>
      <c r="AG71" s="55">
        <f t="shared" ca="1" si="22"/>
        <v>0</v>
      </c>
      <c r="AH71" s="55">
        <f t="shared" ca="1" si="23"/>
        <v>0</v>
      </c>
      <c r="AI71" s="55">
        <f t="shared" ca="1" si="17"/>
        <v>-1.6138057399756414</v>
      </c>
      <c r="AJ71" s="55">
        <f t="shared" ca="1" si="18"/>
        <v>37.258422598213819</v>
      </c>
      <c r="AK71" s="55">
        <f t="shared" ca="1" si="19"/>
        <v>-102.00610829431638</v>
      </c>
    </row>
    <row r="72" spans="2:37">
      <c r="C72" s="61"/>
      <c r="D72" s="84">
        <v>120</v>
      </c>
      <c r="E72" s="69">
        <v>120</v>
      </c>
      <c r="R72" s="83">
        <f ca="1"/>
        <v>45417</v>
      </c>
      <c r="S72" s="55">
        <f t="shared" ca="1" si="11"/>
        <v>45417</v>
      </c>
      <c r="T72" s="55">
        <f t="shared" ca="1" si="0"/>
        <v>119.58986512665513</v>
      </c>
      <c r="U72" s="55">
        <f t="shared" ca="1" si="1"/>
        <v>88.428692425168649</v>
      </c>
      <c r="V72" s="55">
        <f t="shared" ca="1" si="2"/>
        <v>0</v>
      </c>
      <c r="W72" s="55">
        <f t="shared" ca="1" si="12"/>
        <v>-47.791625161356926</v>
      </c>
      <c r="X72" s="55">
        <f t="shared" ca="1" si="13"/>
        <v>53.952015284030928</v>
      </c>
      <c r="Y72" s="55">
        <f t="shared" ca="1" si="14"/>
        <v>145.56393193226023</v>
      </c>
      <c r="Z72">
        <f t="shared" ca="1" si="3"/>
        <v>120</v>
      </c>
      <c r="AA72">
        <f t="shared" ca="1" si="15"/>
        <v>40.577563711949807</v>
      </c>
      <c r="AB72">
        <f t="shared" ca="1" si="4"/>
        <v>0</v>
      </c>
      <c r="AC72">
        <f t="shared" ca="1" si="5"/>
        <v>0.99999670359804627</v>
      </c>
      <c r="AD72" s="83">
        <f ca="1"/>
        <v>45558</v>
      </c>
      <c r="AE72" s="55">
        <f t="shared" ca="1" si="20"/>
        <v>45558</v>
      </c>
      <c r="AF72" s="55">
        <f t="shared" ca="1" si="21"/>
        <v>-37.703527746482322</v>
      </c>
      <c r="AG72" s="55">
        <f t="shared" ca="1" si="22"/>
        <v>0</v>
      </c>
      <c r="AH72" s="55">
        <f t="shared" ca="1" si="23"/>
        <v>0</v>
      </c>
      <c r="AI72" s="55">
        <f t="shared" ca="1" si="17"/>
        <v>-1.6138057399756414</v>
      </c>
      <c r="AJ72" s="55">
        <f t="shared" ca="1" si="18"/>
        <v>38.055800022843663</v>
      </c>
      <c r="AK72" s="55">
        <f t="shared" ca="1" si="19"/>
        <v>-102.12363509271522</v>
      </c>
    </row>
    <row r="73" spans="2:37">
      <c r="R73" s="83">
        <f ca="1"/>
        <v>45418</v>
      </c>
      <c r="S73" s="55">
        <f t="shared" ca="1" si="11"/>
        <v>45418</v>
      </c>
      <c r="T73" s="55">
        <f t="shared" ca="1" si="0"/>
        <v>112.93809127247827</v>
      </c>
      <c r="U73" s="55">
        <f t="shared" ca="1" si="1"/>
        <v>92.728206665740686</v>
      </c>
      <c r="V73" s="55">
        <f t="shared" ca="1" si="2"/>
        <v>0</v>
      </c>
      <c r="W73" s="55">
        <f t="shared" ca="1" si="12"/>
        <v>-51.057628495356283</v>
      </c>
      <c r="X73" s="55">
        <f t="shared" ca="1" si="13"/>
        <v>54.828153179452592</v>
      </c>
      <c r="Y73" s="55">
        <f t="shared" ca="1" si="14"/>
        <v>145.6015377572331</v>
      </c>
      <c r="Z73">
        <f t="shared" ca="1" si="3"/>
        <v>120</v>
      </c>
      <c r="AA73">
        <f t="shared" ca="1" si="15"/>
        <v>44.687038717444608</v>
      </c>
      <c r="AB73">
        <f t="shared" ca="1" si="4"/>
        <v>0</v>
      </c>
      <c r="AC73">
        <f t="shared" ca="1" si="5"/>
        <v>0.99999776986922073</v>
      </c>
      <c r="AD73" s="83">
        <f ca="1"/>
        <v>45559</v>
      </c>
      <c r="AE73" s="55">
        <f t="shared" ca="1" si="20"/>
        <v>45559</v>
      </c>
      <c r="AF73" s="55">
        <f t="shared" ca="1" si="21"/>
        <v>-36.956632297403829</v>
      </c>
      <c r="AG73" s="55">
        <f t="shared" ca="1" si="22"/>
        <v>0</v>
      </c>
      <c r="AH73" s="55">
        <f t="shared" ca="1" si="23"/>
        <v>0</v>
      </c>
      <c r="AI73" s="55">
        <f t="shared" ca="1" si="17"/>
        <v>-1.6138057399756414</v>
      </c>
      <c r="AJ73" s="55">
        <f t="shared" ca="1" si="18"/>
        <v>38.888174672670907</v>
      </c>
      <c r="AK73" s="55">
        <f t="shared" ca="1" si="19"/>
        <v>-102.20911429346397</v>
      </c>
    </row>
    <row r="74" spans="2:37">
      <c r="R74" s="83">
        <f ca="1"/>
        <v>45419</v>
      </c>
      <c r="S74" s="55">
        <f t="shared" ca="1" si="11"/>
        <v>45419</v>
      </c>
      <c r="T74" s="55">
        <f t="shared" ca="1" si="0"/>
        <v>108.69338857086022</v>
      </c>
      <c r="U74" s="55">
        <f t="shared" ca="1" si="1"/>
        <v>97.209165799912157</v>
      </c>
      <c r="V74" s="55">
        <f t="shared" ca="1" si="2"/>
        <v>0</v>
      </c>
      <c r="W74" s="55">
        <f t="shared" ca="1" si="12"/>
        <v>-51.742610526150195</v>
      </c>
      <c r="X74" s="55">
        <f t="shared" ca="1" si="13"/>
        <v>55.71380344846046</v>
      </c>
      <c r="Y74" s="55">
        <f t="shared" ca="1" si="14"/>
        <v>145.63712595157256</v>
      </c>
      <c r="Z74">
        <f t="shared" ca="1" si="3"/>
        <v>120</v>
      </c>
      <c r="AA74">
        <f t="shared" ca="1" si="15"/>
        <v>45.582581243298783</v>
      </c>
      <c r="AB74">
        <f t="shared" ca="1" si="4"/>
        <v>0</v>
      </c>
      <c r="AC74">
        <f t="shared" ca="1" si="5"/>
        <v>0.99999849684764275</v>
      </c>
      <c r="AD74" s="83">
        <f ca="1"/>
        <v>45560</v>
      </c>
      <c r="AE74" s="55">
        <f t="shared" ca="1" si="20"/>
        <v>45560</v>
      </c>
      <c r="AF74" s="55">
        <f t="shared" ca="1" si="21"/>
        <v>-36.204348481411714</v>
      </c>
      <c r="AG74" s="55">
        <f t="shared" ca="1" si="22"/>
        <v>0</v>
      </c>
      <c r="AH74" s="55">
        <f t="shared" ca="1" si="23"/>
        <v>0</v>
      </c>
      <c r="AI74" s="55">
        <f t="shared" ca="1" si="17"/>
        <v>-1.6138057399756414</v>
      </c>
      <c r="AJ74" s="55">
        <f t="shared" ca="1" si="18"/>
        <v>39.688638699769292</v>
      </c>
      <c r="AK74" s="55">
        <f t="shared" ca="1" si="19"/>
        <v>-102.25729450457024</v>
      </c>
    </row>
    <row r="75" spans="2:37">
      <c r="R75" s="83">
        <f ca="1"/>
        <v>45420</v>
      </c>
      <c r="S75" s="55">
        <f t="shared" ca="1" si="11"/>
        <v>45420</v>
      </c>
      <c r="T75" s="55">
        <f t="shared" ca="1" si="0"/>
        <v>104.62614900046599</v>
      </c>
      <c r="U75" s="55">
        <f t="shared" ca="1" si="1"/>
        <v>102.30575039199668</v>
      </c>
      <c r="V75" s="55">
        <f t="shared" ca="1" si="2"/>
        <v>0</v>
      </c>
      <c r="W75" s="55">
        <f t="shared" ca="1" si="12"/>
        <v>-51.742610526150195</v>
      </c>
      <c r="X75" s="55">
        <f t="shared" ca="1" si="13"/>
        <v>56.705835115886039</v>
      </c>
      <c r="Y75" s="55">
        <f t="shared" ca="1" si="14"/>
        <v>145.67443930583727</v>
      </c>
      <c r="Z75">
        <f t="shared" ca="1" si="3"/>
        <v>119.719956319178</v>
      </c>
      <c r="AA75">
        <f t="shared" ca="1" si="15"/>
        <v>45.582581243298783</v>
      </c>
      <c r="AB75">
        <f t="shared" ca="1" si="4"/>
        <v>0</v>
      </c>
      <c r="AC75">
        <f t="shared" ca="1" si="5"/>
        <v>0.99999902663635076</v>
      </c>
      <c r="AD75" s="83">
        <f ca="1"/>
        <v>45561</v>
      </c>
      <c r="AE75" s="55">
        <f t="shared" ca="1" si="20"/>
        <v>45561</v>
      </c>
      <c r="AF75" s="55">
        <f t="shared" ca="1" si="21"/>
        <v>-35.412306675606146</v>
      </c>
      <c r="AG75" s="55">
        <f t="shared" ca="1" si="22"/>
        <v>0</v>
      </c>
      <c r="AH75" s="55">
        <f t="shared" ca="1" si="23"/>
        <v>0</v>
      </c>
      <c r="AI75" s="55">
        <f t="shared" ca="1" si="17"/>
        <v>-1.6138057399756414</v>
      </c>
      <c r="AJ75" s="55">
        <f t="shared" ca="1" si="18"/>
        <v>40.497231504830928</v>
      </c>
      <c r="AK75" s="55">
        <f t="shared" ca="1" si="19"/>
        <v>-102.27384550382631</v>
      </c>
    </row>
    <row r="76" spans="2:37">
      <c r="R76" s="83">
        <f ca="1"/>
        <v>45421</v>
      </c>
      <c r="S76" s="55">
        <f t="shared" ca="1" si="11"/>
        <v>45421</v>
      </c>
      <c r="T76" s="55">
        <f t="shared" ca="1" si="0"/>
        <v>100.32565098687593</v>
      </c>
      <c r="U76" s="55">
        <f t="shared" ca="1" si="1"/>
        <v>107.43087273393769</v>
      </c>
      <c r="V76" s="55">
        <f t="shared" ca="1" si="2"/>
        <v>0</v>
      </c>
      <c r="W76" s="55">
        <f t="shared" ca="1" si="12"/>
        <v>-51.913883308915487</v>
      </c>
      <c r="X76" s="55">
        <f t="shared" ca="1" si="13"/>
        <v>57.667802882644253</v>
      </c>
      <c r="Y76" s="55">
        <f t="shared" ca="1" si="14"/>
        <v>145.7083686501953</v>
      </c>
      <c r="Z76">
        <f t="shared" ca="1" si="3"/>
        <v>120</v>
      </c>
      <c r="AA76">
        <f t="shared" ca="1" si="15"/>
        <v>45.825178860430924</v>
      </c>
      <c r="AB76">
        <f t="shared" ca="1" si="4"/>
        <v>0</v>
      </c>
      <c r="AC76">
        <f t="shared" ca="1" si="5"/>
        <v>0.99999936270069933</v>
      </c>
      <c r="AD76" s="83">
        <f ca="1"/>
        <v>45562</v>
      </c>
      <c r="AE76" s="55">
        <f t="shared" ca="1" si="20"/>
        <v>45562</v>
      </c>
      <c r="AF76" s="55">
        <f t="shared" ca="1" si="21"/>
        <v>-34.547825337676436</v>
      </c>
      <c r="AG76" s="55">
        <f t="shared" ca="1" si="22"/>
        <v>0</v>
      </c>
      <c r="AH76" s="55">
        <f t="shared" ca="1" si="23"/>
        <v>0</v>
      </c>
      <c r="AI76" s="55">
        <f t="shared" ca="1" si="17"/>
        <v>-1.6138057399756414</v>
      </c>
      <c r="AJ76" s="55">
        <f t="shared" ca="1" si="18"/>
        <v>41.34617467907637</v>
      </c>
      <c r="AK76" s="55">
        <f t="shared" ca="1" si="19"/>
        <v>-102.25830734014204</v>
      </c>
    </row>
    <row r="77" spans="2:37">
      <c r="R77" s="83">
        <f ca="1"/>
        <v>45422</v>
      </c>
      <c r="S77" s="55">
        <f t="shared" ca="1" si="11"/>
        <v>45422</v>
      </c>
      <c r="T77" s="55">
        <f t="shared" ca="1" si="0"/>
        <v>94.48698230604262</v>
      </c>
      <c r="U77" s="55">
        <f t="shared" ca="1" si="1"/>
        <v>112.45747872989995</v>
      </c>
      <c r="V77" s="55">
        <f t="shared" ca="1" si="2"/>
        <v>0</v>
      </c>
      <c r="W77" s="55">
        <f t="shared" ca="1" si="12"/>
        <v>-53.665786397875671</v>
      </c>
      <c r="X77" s="55">
        <f t="shared" ca="1" si="13"/>
        <v>58.577345392712985</v>
      </c>
      <c r="Y77" s="55">
        <f t="shared" ca="1" si="14"/>
        <v>145.7386665442157</v>
      </c>
      <c r="Z77">
        <f t="shared" ca="1" si="3"/>
        <v>120</v>
      </c>
      <c r="AA77">
        <f t="shared" ca="1" si="15"/>
        <v>48.459982548810487</v>
      </c>
      <c r="AB77">
        <f t="shared" ca="1" si="4"/>
        <v>0</v>
      </c>
      <c r="AC77">
        <f t="shared" ca="1" si="5"/>
        <v>0.9999995744011978</v>
      </c>
      <c r="AD77" s="83">
        <f ca="1"/>
        <v>45563</v>
      </c>
      <c r="AE77" s="55">
        <f t="shared" ca="1" si="20"/>
        <v>45563</v>
      </c>
      <c r="AF77" s="55">
        <f t="shared" ca="1" si="21"/>
        <v>-33.624685494858419</v>
      </c>
      <c r="AG77" s="55">
        <f t="shared" ca="1" si="22"/>
        <v>0</v>
      </c>
      <c r="AH77" s="55">
        <f t="shared" ca="1" si="23"/>
        <v>0</v>
      </c>
      <c r="AI77" s="55">
        <f t="shared" ca="1" si="17"/>
        <v>-1.6138057399756414</v>
      </c>
      <c r="AJ77" s="55">
        <f t="shared" ca="1" si="18"/>
        <v>42.220026009599479</v>
      </c>
      <c r="AK77" s="55">
        <f t="shared" ca="1" si="19"/>
        <v>-102.20901882784713</v>
      </c>
    </row>
    <row r="78" spans="2:37">
      <c r="R78" s="83">
        <f ca="1"/>
        <v>45423</v>
      </c>
      <c r="S78" s="55">
        <f t="shared" ca="1" si="11"/>
        <v>45423</v>
      </c>
      <c r="T78" s="55">
        <f t="shared" ca="1" si="0"/>
        <v>87.095900861483955</v>
      </c>
      <c r="U78" s="55">
        <f t="shared" ca="1" si="1"/>
        <v>117.80254560426211</v>
      </c>
      <c r="V78" s="55">
        <f t="shared" ca="1" si="2"/>
        <v>0</v>
      </c>
      <c r="W78" s="55">
        <f t="shared" ca="1" si="12"/>
        <v>-56.689242915662916</v>
      </c>
      <c r="X78" s="55">
        <f t="shared" ca="1" si="13"/>
        <v>59.524836185201536</v>
      </c>
      <c r="Y78" s="55">
        <f t="shared" ca="1" si="14"/>
        <v>145.7686176993179</v>
      </c>
      <c r="Z78">
        <f t="shared" ca="1" si="3"/>
        <v>120</v>
      </c>
      <c r="AA78">
        <f t="shared" ca="1" si="15"/>
        <v>53.393040016003077</v>
      </c>
      <c r="AB78">
        <f t="shared" ca="1" si="4"/>
        <v>0</v>
      </c>
      <c r="AC78">
        <f t="shared" ca="1" si="5"/>
        <v>0.99999971983685565</v>
      </c>
      <c r="AD78" s="83">
        <f ca="1"/>
        <v>45564</v>
      </c>
      <c r="AE78" s="55">
        <f t="shared" ca="1" si="20"/>
        <v>45564</v>
      </c>
      <c r="AF78" s="55">
        <f t="shared" ca="1" si="21"/>
        <v>-32.68087171966036</v>
      </c>
      <c r="AG78" s="55">
        <f t="shared" ca="1" si="22"/>
        <v>0</v>
      </c>
      <c r="AH78" s="55">
        <f t="shared" ca="1" si="23"/>
        <v>0</v>
      </c>
      <c r="AI78" s="55">
        <f t="shared" ca="1" si="17"/>
        <v>-1.6138057399756414</v>
      </c>
      <c r="AJ78" s="55">
        <f t="shared" ca="1" si="18"/>
        <v>43.083795605567282</v>
      </c>
      <c r="AK78" s="55">
        <f t="shared" ca="1" si="19"/>
        <v>-102.12897464861688</v>
      </c>
    </row>
    <row r="79" spans="2:37">
      <c r="R79" s="83">
        <f ca="1"/>
        <v>45424</v>
      </c>
      <c r="S79" s="55">
        <f t="shared" ca="1" si="11"/>
        <v>45424</v>
      </c>
      <c r="T79" s="55">
        <f t="shared" ca="1" si="0"/>
        <v>80.638768527343785</v>
      </c>
      <c r="U79" s="55">
        <f t="shared" ca="1" si="1"/>
        <v>123.00549834359369</v>
      </c>
      <c r="V79" s="55">
        <f t="shared" ca="1" si="2"/>
        <v>0</v>
      </c>
      <c r="W79" s="55">
        <f t="shared" ca="1" si="12"/>
        <v>-58.862898686277305</v>
      </c>
      <c r="X79" s="55">
        <f t="shared" ca="1" si="13"/>
        <v>60.417414447331097</v>
      </c>
      <c r="Y79" s="55">
        <f t="shared" ca="1" si="14"/>
        <v>145.79551561299414</v>
      </c>
      <c r="Z79">
        <f t="shared" ca="1" si="3"/>
        <v>120</v>
      </c>
      <c r="AA79">
        <f t="shared" ca="1" si="15"/>
        <v>57.223553935534142</v>
      </c>
      <c r="AB79">
        <f t="shared" ca="1" si="4"/>
        <v>0</v>
      </c>
      <c r="AC79">
        <f t="shared" ca="1" si="5"/>
        <v>0.99999981167316288</v>
      </c>
      <c r="AD79" s="83">
        <f ca="1"/>
        <v>45565</v>
      </c>
      <c r="AE79" s="55">
        <f t="shared" ca="1" si="20"/>
        <v>45565</v>
      </c>
      <c r="AF79" s="55">
        <f t="shared" ca="1" si="21"/>
        <v>-31.783151828905272</v>
      </c>
      <c r="AG79" s="55">
        <f t="shared" ca="1" si="22"/>
        <v>0</v>
      </c>
      <c r="AH79" s="55">
        <f t="shared" ca="1" si="23"/>
        <v>0</v>
      </c>
      <c r="AI79" s="55">
        <f t="shared" ca="1" si="17"/>
        <v>-1.6138057399756414</v>
      </c>
      <c r="AJ79" s="55">
        <f t="shared" ca="1" si="18"/>
        <v>43.881481354492379</v>
      </c>
      <c r="AK79" s="55">
        <f t="shared" ca="1" si="19"/>
        <v>-102.02894050678688</v>
      </c>
    </row>
    <row r="80" spans="2:37">
      <c r="R80" s="83">
        <f ca="1"/>
        <v>45425</v>
      </c>
      <c r="S80" s="55">
        <f t="shared" ca="1" si="11"/>
        <v>45425</v>
      </c>
      <c r="T80" s="55">
        <f t="shared" ca="1" si="0"/>
        <v>74.279319408923143</v>
      </c>
      <c r="U80" s="55">
        <f t="shared" ca="1" si="1"/>
        <v>128.37109637531131</v>
      </c>
      <c r="V80" s="55">
        <f t="shared" ca="1" si="2"/>
        <v>0</v>
      </c>
      <c r="W80" s="55">
        <f t="shared" ca="1" si="12"/>
        <v>-60.784316633867306</v>
      </c>
      <c r="X80" s="55">
        <f t="shared" ca="1" si="13"/>
        <v>61.318949213946723</v>
      </c>
      <c r="Y80" s="55">
        <f t="shared" ca="1" si="14"/>
        <v>145.82154770726549</v>
      </c>
      <c r="Z80">
        <f t="shared" ca="1" si="3"/>
        <v>120</v>
      </c>
      <c r="AA80">
        <f t="shared" ca="1" si="15"/>
        <v>60.899457339756481</v>
      </c>
      <c r="AB80">
        <f t="shared" ca="1" si="4"/>
        <v>0</v>
      </c>
      <c r="AC80">
        <f t="shared" ca="1" si="5"/>
        <v>0.99999987384409017</v>
      </c>
      <c r="AD80" s="83">
        <f ca="1"/>
        <v>45566</v>
      </c>
      <c r="AE80" s="55">
        <f t="shared" ca="1" si="20"/>
        <v>45566</v>
      </c>
      <c r="AF80" s="55">
        <f t="shared" ca="1" si="21"/>
        <v>-30.829648257911657</v>
      </c>
      <c r="AG80" s="55">
        <f t="shared" ca="1" si="22"/>
        <v>0</v>
      </c>
      <c r="AH80" s="55">
        <f t="shared" ca="1" si="23"/>
        <v>0</v>
      </c>
      <c r="AI80" s="55">
        <f t="shared" ca="1" si="17"/>
        <v>-1.6138057399756414</v>
      </c>
      <c r="AJ80" s="55">
        <f t="shared" ca="1" si="18"/>
        <v>44.70659240676062</v>
      </c>
      <c r="AK80" s="55">
        <f t="shared" ca="1" si="19"/>
        <v>-101.9005479880615</v>
      </c>
    </row>
    <row r="81" spans="18:37">
      <c r="R81" s="83">
        <f ca="1"/>
        <v>45426</v>
      </c>
      <c r="S81" s="55">
        <f t="shared" ca="1" si="11"/>
        <v>45426</v>
      </c>
      <c r="T81" s="55">
        <f t="shared" ca="1" si="0"/>
        <v>66.030393125448796</v>
      </c>
      <c r="U81" s="55">
        <f t="shared" ca="1" si="1"/>
        <v>134.04737367284835</v>
      </c>
      <c r="V81" s="55">
        <f t="shared" ca="1" si="2"/>
        <v>0</v>
      </c>
      <c r="W81" s="55">
        <f t="shared" ca="1" si="12"/>
        <v>-64.322654705409889</v>
      </c>
      <c r="X81" s="55">
        <f t="shared" ca="1" si="13"/>
        <v>62.258569150808931</v>
      </c>
      <c r="Y81" s="55">
        <f t="shared" ca="1" si="14"/>
        <v>145.84761685600856</v>
      </c>
      <c r="Z81">
        <f t="shared" ca="1" si="3"/>
        <v>120</v>
      </c>
      <c r="AA81">
        <f t="shared" ca="1" si="15"/>
        <v>68.514381907036778</v>
      </c>
      <c r="AB81">
        <f t="shared" ca="1" si="4"/>
        <v>0</v>
      </c>
      <c r="AC81">
        <f t="shared" ca="1" si="5"/>
        <v>0.99999991670846078</v>
      </c>
      <c r="AD81" s="83">
        <f ca="1"/>
        <v>45567</v>
      </c>
      <c r="AE81" s="55">
        <f t="shared" ca="1" si="20"/>
        <v>45567</v>
      </c>
      <c r="AF81" s="55">
        <f t="shared" ca="1" si="21"/>
        <v>-29.766096020523339</v>
      </c>
      <c r="AG81" s="55">
        <f t="shared" ca="1" si="22"/>
        <v>0</v>
      </c>
      <c r="AH81" s="55">
        <f t="shared" ca="1" si="23"/>
        <v>0</v>
      </c>
      <c r="AI81" s="55">
        <f t="shared" ca="1" si="17"/>
        <v>-1.6138057399756414</v>
      </c>
      <c r="AJ81" s="55">
        <f t="shared" ca="1" si="18"/>
        <v>45.603476163447638</v>
      </c>
      <c r="AK81" s="55">
        <f t="shared" ca="1" si="19"/>
        <v>-101.7338795073602</v>
      </c>
    </row>
    <row r="82" spans="18:37">
      <c r="R82" s="83">
        <f ca="1"/>
        <v>45427</v>
      </c>
      <c r="S82" s="55">
        <f t="shared" ca="1" si="11"/>
        <v>45427</v>
      </c>
      <c r="T82" s="55">
        <f t="shared" ref="T82:T145" ca="1" si="27">VLOOKUP(S82,ModelOutputs,2,FALSE)</f>
        <v>59.891989520202948</v>
      </c>
      <c r="U82" s="55">
        <f t="shared" ref="U82:U145" ca="1" si="28">VLOOKUP(S82,ModelOutputs,7,FALSE)</f>
        <v>139.57139334229129</v>
      </c>
      <c r="V82" s="55">
        <f t="shared" ref="V82:V145" ca="1" si="29">VLOOKUP(S82,ModelOutputs,6,FALSE)</f>
        <v>0</v>
      </c>
      <c r="W82" s="55">
        <f t="shared" ca="1" si="12"/>
        <v>-65.851807157887663</v>
      </c>
      <c r="X82" s="55">
        <f t="shared" ca="1" si="13"/>
        <v>63.149494862261143</v>
      </c>
      <c r="Y82" s="55">
        <f t="shared" ca="1" si="14"/>
        <v>145.8714596612312</v>
      </c>
      <c r="Z82">
        <f t="shared" ref="Z82:Z145" ca="1" si="30">VLOOKUP(S82,ModelOutputs,10,FALSE)*AWC</f>
        <v>120</v>
      </c>
      <c r="AA82">
        <f t="shared" ca="1" si="15"/>
        <v>72.142590176768636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0.99999994397512149</v>
      </c>
      <c r="AD82" s="83">
        <f ca="1"/>
        <v>45568</v>
      </c>
      <c r="AE82" s="55">
        <f t="shared" ca="1" si="20"/>
        <v>45568</v>
      </c>
      <c r="AF82" s="55">
        <f t="shared" ca="1" si="21"/>
        <v>-28.770341415266355</v>
      </c>
      <c r="AG82" s="55">
        <f t="shared" ca="1" si="22"/>
        <v>0</v>
      </c>
      <c r="AH82" s="55">
        <f t="shared" ca="1" si="23"/>
        <v>0</v>
      </c>
      <c r="AI82" s="55">
        <f t="shared" ca="1" si="17"/>
        <v>-1.6138057399756414</v>
      </c>
      <c r="AJ82" s="55">
        <f t="shared" ca="1" si="18"/>
        <v>46.423557678849399</v>
      </c>
      <c r="AK82" s="55">
        <f t="shared" ca="1" si="19"/>
        <v>-101.55820641750498</v>
      </c>
    </row>
    <row r="83" spans="18:37">
      <c r="R83" s="83">
        <f ca="1"/>
        <v>45428</v>
      </c>
      <c r="S83" s="55">
        <f t="shared" ref="S83:S146" ca="1" si="33">IF(R83&gt;1,R83,"")</f>
        <v>45428</v>
      </c>
      <c r="T83" s="55">
        <f t="shared" ca="1" si="27"/>
        <v>54.49321719748832</v>
      </c>
      <c r="U83" s="55">
        <f t="shared" ca="1" si="28"/>
        <v>144.91007094599428</v>
      </c>
      <c r="V83" s="55">
        <f t="shared" ca="1" si="29"/>
        <v>0</v>
      </c>
      <c r="W83" s="55">
        <f t="shared" ref="W83:W146" ca="1" si="34">-VLOOKUP(S83,ModelOutputs,9,FALSE)+W82</f>
        <v>-66.775656102260911</v>
      </c>
      <c r="X83" s="55">
        <f t="shared" ref="X83:X146" ca="1" si="35">VLOOKUP(S83,ModelOutputs,5,FALSE)+X82</f>
        <v>63.991403465782376</v>
      </c>
      <c r="Y83" s="55">
        <f t="shared" ref="Y83:Y146" ca="1" si="36">VLOOKUP(S83,ModelOutputs,4,FALSE)+Y82</f>
        <v>145.89330528307158</v>
      </c>
      <c r="Z83">
        <f t="shared" ca="1" si="30"/>
        <v>120</v>
      </c>
      <c r="AA83">
        <f t="shared" ref="AA83:AA146" ca="1" si="37">VLOOKUP(S83,ModelOutputs,11,FALSE)+AA82</f>
        <v>74.551767026843748</v>
      </c>
      <c r="AB83">
        <f t="shared" ca="1" si="31"/>
        <v>0</v>
      </c>
      <c r="AC83">
        <f t="shared" ca="1" si="32"/>
        <v>0.9999999615777907</v>
      </c>
      <c r="AD83" s="83">
        <f ca="1"/>
        <v>45569</v>
      </c>
      <c r="AE83" s="55">
        <f t="shared" ca="1" si="20"/>
        <v>45569</v>
      </c>
      <c r="AF83" s="55">
        <f t="shared" ca="1" si="21"/>
        <v>-27.758758509975564</v>
      </c>
      <c r="AG83" s="55">
        <f t="shared" ca="1" si="22"/>
        <v>0</v>
      </c>
      <c r="AH83" s="55">
        <f t="shared" ca="1" si="23"/>
        <v>0</v>
      </c>
      <c r="AI83" s="55">
        <f t="shared" ref="AI83:AI146" ca="1" si="38">-VLOOKUP(AE83,ModelOutputs,9,FALSE)+AI82</f>
        <v>-1.6138057399756414</v>
      </c>
      <c r="AJ83" s="55">
        <f t="shared" ref="AJ83:AJ146" ca="1" si="39">VLOOKUP(AE83,ModelOutputs,5,FALSE)+AJ82</f>
        <v>47.239566820790365</v>
      </c>
      <c r="AK83" s="55">
        <f t="shared" ref="AK83:AK146" ca="1" si="40">VLOOKUP(AE83,ModelOutputs,4,FALSE)+AK82</f>
        <v>-101.36263265415515</v>
      </c>
    </row>
    <row r="84" spans="18:37">
      <c r="R84" s="83">
        <f ca="1"/>
        <v>45429</v>
      </c>
      <c r="S84" s="55">
        <f t="shared" ca="1" si="33"/>
        <v>45429</v>
      </c>
      <c r="T84" s="55">
        <f t="shared" ca="1" si="27"/>
        <v>49.72976375728576</v>
      </c>
      <c r="U84" s="55">
        <f t="shared" ca="1" si="28"/>
        <v>150.03773581548845</v>
      </c>
      <c r="V84" s="55">
        <f t="shared" ca="1" si="29"/>
        <v>0</v>
      </c>
      <c r="W84" s="55">
        <f t="shared" ca="1" si="34"/>
        <v>-67.225185083710613</v>
      </c>
      <c r="X84" s="55">
        <f t="shared" ca="1" si="35"/>
        <v>64.78508681970402</v>
      </c>
      <c r="Y84" s="55">
        <f t="shared" ca="1" si="36"/>
        <v>145.91336233989125</v>
      </c>
      <c r="Z84">
        <f t="shared" ca="1" si="30"/>
        <v>120</v>
      </c>
      <c r="AA84">
        <f t="shared" ca="1" si="37"/>
        <v>75.836318357467192</v>
      </c>
      <c r="AB84">
        <f t="shared" ca="1" si="31"/>
        <v>0</v>
      </c>
      <c r="AC84">
        <f t="shared" ca="1" si="32"/>
        <v>0.99999997312351752</v>
      </c>
      <c r="AD84" s="83">
        <f ca="1"/>
        <v>45570</v>
      </c>
      <c r="AE84" s="55">
        <f t="shared" ca="1" si="20"/>
        <v>45570</v>
      </c>
      <c r="AF84" s="55">
        <f t="shared" ca="1" si="21"/>
        <v>-26.738311934696871</v>
      </c>
      <c r="AG84" s="55">
        <f t="shared" ca="1" si="22"/>
        <v>0</v>
      </c>
      <c r="AH84" s="55">
        <f t="shared" ca="1" si="23"/>
        <v>0</v>
      </c>
      <c r="AI84" s="55">
        <f t="shared" ca="1" si="38"/>
        <v>-1.6138057399756414</v>
      </c>
      <c r="AJ84" s="55">
        <f t="shared" ca="1" si="39"/>
        <v>48.04721431614351</v>
      </c>
      <c r="AK84" s="55">
        <f t="shared" ca="1" si="40"/>
        <v>-101.1498335742296</v>
      </c>
    </row>
    <row r="85" spans="18:37">
      <c r="R85" s="83">
        <f ca="1"/>
        <v>45430</v>
      </c>
      <c r="S85" s="55">
        <f t="shared" ca="1" si="33"/>
        <v>45430</v>
      </c>
      <c r="T85" s="55">
        <f t="shared" ca="1" si="27"/>
        <v>44.907454073529188</v>
      </c>
      <c r="U85" s="55">
        <f t="shared" ca="1" si="28"/>
        <v>155.36381241393042</v>
      </c>
      <c r="V85" s="55">
        <f t="shared" ca="1" si="29"/>
        <v>0</v>
      </c>
      <c r="W85" s="55">
        <f t="shared" ca="1" si="34"/>
        <v>-67.558209196561535</v>
      </c>
      <c r="X85" s="55">
        <f t="shared" ca="1" si="35"/>
        <v>65.601721656739045</v>
      </c>
      <c r="Y85" s="55">
        <f t="shared" ca="1" si="36"/>
        <v>145.93351853039255</v>
      </c>
      <c r="Z85">
        <f t="shared" ca="1" si="30"/>
        <v>120</v>
      </c>
      <c r="AA85">
        <f t="shared" ca="1" si="37"/>
        <v>76.890140716604222</v>
      </c>
      <c r="AB85">
        <f t="shared" ca="1" si="31"/>
        <v>0</v>
      </c>
      <c r="AC85">
        <f t="shared" ca="1" si="32"/>
        <v>0.99999998137760671</v>
      </c>
      <c r="AD85" s="83">
        <f ca="1"/>
        <v>45571</v>
      </c>
      <c r="AE85" s="55">
        <f t="shared" ref="AE85:AE148" ca="1" si="41">IF(AD85&gt;1,AD85,"")</f>
        <v>45571</v>
      </c>
      <c r="AF85" s="55">
        <f t="shared" ref="AF85:AF148" ca="1" si="42">VLOOKUP(AE85,ModelOutputs,2,FALSE)</f>
        <v>-25.695084146392503</v>
      </c>
      <c r="AG85" s="55">
        <f t="shared" ref="AG85:AG148" ca="1" si="43">VLOOKUP(AE85,ModelOutputs,7,FALSE)</f>
        <v>0</v>
      </c>
      <c r="AH85" s="55">
        <f t="shared" ref="AH85:AH148" ca="1" si="44">VLOOKUP(AE85,ModelOutputs,6,FALSE)</f>
        <v>0</v>
      </c>
      <c r="AI85" s="55">
        <f t="shared" ca="1" si="38"/>
        <v>-1.6138057399756414</v>
      </c>
      <c r="AJ85" s="55">
        <f t="shared" ca="1" si="39"/>
        <v>48.858535324892905</v>
      </c>
      <c r="AK85" s="55">
        <f t="shared" ca="1" si="40"/>
        <v>-100.91792679467463</v>
      </c>
    </row>
    <row r="86" spans="18:37">
      <c r="R86" s="83">
        <f ca="1"/>
        <v>45431</v>
      </c>
      <c r="S86" s="55">
        <f t="shared" ca="1" si="33"/>
        <v>45431</v>
      </c>
      <c r="T86" s="55">
        <f t="shared" ca="1" si="27"/>
        <v>40.416455429387518</v>
      </c>
      <c r="U86" s="55">
        <f t="shared" ca="1" si="28"/>
        <v>160.68032132700537</v>
      </c>
      <c r="V86" s="55">
        <f t="shared" ca="1" si="29"/>
        <v>0</v>
      </c>
      <c r="W86" s="55">
        <f t="shared" ca="1" si="34"/>
        <v>-67.558209196561535</v>
      </c>
      <c r="X86" s="55">
        <f t="shared" ca="1" si="35"/>
        <v>66.407760390736954</v>
      </c>
      <c r="Y86" s="55">
        <f t="shared" ca="1" si="36"/>
        <v>145.95299006532792</v>
      </c>
      <c r="Z86">
        <f t="shared" ca="1" si="30"/>
        <v>117.89040104912043</v>
      </c>
      <c r="AA86">
        <f t="shared" ca="1" si="37"/>
        <v>76.890140716604222</v>
      </c>
      <c r="AB86">
        <f t="shared" ca="1" si="31"/>
        <v>0</v>
      </c>
      <c r="AC86">
        <f t="shared" ca="1" si="32"/>
        <v>0.99999998704030579</v>
      </c>
      <c r="AD86" s="83">
        <f ca="1"/>
        <v>45572</v>
      </c>
      <c r="AE86" s="55">
        <f t="shared" ca="1" si="41"/>
        <v>45572</v>
      </c>
      <c r="AF86" s="55">
        <f t="shared" ca="1" si="42"/>
        <v>-24.631043445731311</v>
      </c>
      <c r="AG86" s="55">
        <f t="shared" ca="1" si="43"/>
        <v>0</v>
      </c>
      <c r="AH86" s="55">
        <f t="shared" ca="1" si="44"/>
        <v>0</v>
      </c>
      <c r="AI86" s="55">
        <f t="shared" ca="1" si="38"/>
        <v>-1.6138057399756414</v>
      </c>
      <c r="AJ86" s="55">
        <f t="shared" ca="1" si="39"/>
        <v>49.672669178557257</v>
      </c>
      <c r="AK86" s="55">
        <f t="shared" ca="1" si="40"/>
        <v>-100.66801994767779</v>
      </c>
    </row>
    <row r="87" spans="18:37">
      <c r="R87" s="83">
        <f ca="1"/>
        <v>45432</v>
      </c>
      <c r="S87" s="55">
        <f t="shared" ca="1" si="33"/>
        <v>45432</v>
      </c>
      <c r="T87" s="55">
        <f t="shared" ca="1" si="27"/>
        <v>35.937110567154669</v>
      </c>
      <c r="U87" s="55">
        <f t="shared" ca="1" si="28"/>
        <v>165.97341847920899</v>
      </c>
      <c r="V87" s="55">
        <f t="shared" ca="1" si="29"/>
        <v>0</v>
      </c>
      <c r="W87" s="55">
        <f t="shared" ca="1" si="34"/>
        <v>-67.558209196561535</v>
      </c>
      <c r="X87" s="55">
        <f t="shared" ca="1" si="35"/>
        <v>67.202673907739694</v>
      </c>
      <c r="Y87" s="55">
        <f t="shared" ca="1" si="36"/>
        <v>145.97182883829595</v>
      </c>
      <c r="Z87">
        <f t="shared" ca="1" si="30"/>
        <v>119.97772016715884</v>
      </c>
      <c r="AA87">
        <f t="shared" ca="1" si="37"/>
        <v>76.890140716604222</v>
      </c>
      <c r="AB87">
        <f t="shared" ca="1" si="31"/>
        <v>0</v>
      </c>
      <c r="AC87">
        <f t="shared" ca="1" si="32"/>
        <v>0.9999999909392997</v>
      </c>
      <c r="AD87" s="83">
        <f ca="1"/>
        <v>45573</v>
      </c>
      <c r="AE87" s="55">
        <f t="shared" ca="1" si="41"/>
        <v>45573</v>
      </c>
      <c r="AF87" s="55">
        <f t="shared" ca="1" si="42"/>
        <v>-23.584695969364443</v>
      </c>
      <c r="AG87" s="55">
        <f t="shared" ca="1" si="43"/>
        <v>0</v>
      </c>
      <c r="AH87" s="55">
        <f t="shared" ca="1" si="44"/>
        <v>0</v>
      </c>
      <c r="AI87" s="55">
        <f t="shared" ca="1" si="38"/>
        <v>-1.6138057399756414</v>
      </c>
      <c r="AJ87" s="55">
        <f t="shared" ca="1" si="39"/>
        <v>50.461443812253329</v>
      </c>
      <c r="AK87" s="55">
        <f t="shared" ca="1" si="40"/>
        <v>-100.41044710500699</v>
      </c>
    </row>
    <row r="88" spans="18:37">
      <c r="R88" s="83">
        <f ca="1"/>
        <v>45433</v>
      </c>
      <c r="S88" s="55">
        <f t="shared" ca="1" si="33"/>
        <v>45433</v>
      </c>
      <c r="T88" s="55">
        <f t="shared" ca="1" si="27"/>
        <v>31.575325274655921</v>
      </c>
      <c r="U88" s="55">
        <f t="shared" ca="1" si="28"/>
        <v>170.64103925952162</v>
      </c>
      <c r="V88" s="55">
        <f t="shared" ca="1" si="29"/>
        <v>0</v>
      </c>
      <c r="W88" s="55">
        <f t="shared" ca="1" si="34"/>
        <v>-67.961710007151453</v>
      </c>
      <c r="X88" s="55">
        <f t="shared" ca="1" si="35"/>
        <v>67.895845045679607</v>
      </c>
      <c r="Y88" s="55">
        <f t="shared" ca="1" si="36"/>
        <v>145.98799399875983</v>
      </c>
      <c r="Z88">
        <f t="shared" ca="1" si="30"/>
        <v>120</v>
      </c>
      <c r="AA88">
        <f t="shared" ca="1" si="37"/>
        <v>78.706102654431902</v>
      </c>
      <c r="AB88">
        <f t="shared" ca="1" si="31"/>
        <v>0</v>
      </c>
      <c r="AC88">
        <f t="shared" ca="1" si="32"/>
        <v>0.99999999337829726</v>
      </c>
      <c r="AD88" s="83">
        <f ca="1"/>
        <v>45574</v>
      </c>
      <c r="AE88" s="55">
        <f t="shared" ca="1" si="41"/>
        <v>45574</v>
      </c>
      <c r="AF88" s="55">
        <f t="shared" ca="1" si="42"/>
        <v>-22.545056494303513</v>
      </c>
      <c r="AG88" s="55">
        <f t="shared" ca="1" si="43"/>
        <v>0</v>
      </c>
      <c r="AH88" s="55">
        <f t="shared" ca="1" si="44"/>
        <v>0</v>
      </c>
      <c r="AI88" s="55">
        <f t="shared" ca="1" si="38"/>
        <v>-1.6138057399756414</v>
      </c>
      <c r="AJ88" s="55">
        <f t="shared" ca="1" si="39"/>
        <v>51.234699145002892</v>
      </c>
      <c r="AK88" s="55">
        <f t="shared" ca="1" si="40"/>
        <v>-100.14406296269563</v>
      </c>
    </row>
    <row r="89" spans="18:37">
      <c r="R89" s="83">
        <f ca="1"/>
        <v>45434</v>
      </c>
      <c r="S89" s="55">
        <f t="shared" ca="1" si="33"/>
        <v>45434</v>
      </c>
      <c r="T89" s="55">
        <f t="shared" ca="1" si="27"/>
        <v>76.042363629894069</v>
      </c>
      <c r="U89" s="55">
        <f t="shared" ca="1" si="28"/>
        <v>175.59220197309156</v>
      </c>
      <c r="V89" s="55">
        <f t="shared" ca="1" si="29"/>
        <v>49.654930399531018</v>
      </c>
      <c r="W89" s="55">
        <f t="shared" ca="1" si="34"/>
        <v>-68.947507698417454</v>
      </c>
      <c r="X89" s="55">
        <f t="shared" ca="1" si="35"/>
        <v>68.62807442294104</v>
      </c>
      <c r="Y89" s="55">
        <f t="shared" ca="1" si="36"/>
        <v>146.00483298204148</v>
      </c>
      <c r="Z89">
        <f t="shared" ca="1" si="30"/>
        <v>120</v>
      </c>
      <c r="AA89">
        <f t="shared" ca="1" si="37"/>
        <v>80.556891833624235</v>
      </c>
      <c r="AB89">
        <f t="shared" ca="1" si="31"/>
        <v>0</v>
      </c>
      <c r="AC89">
        <f t="shared" ca="1" si="32"/>
        <v>0.99999999524453731</v>
      </c>
      <c r="AD89" s="83">
        <f ca="1"/>
        <v>45575</v>
      </c>
      <c r="AE89" s="55">
        <f t="shared" ca="1" si="41"/>
        <v>45575</v>
      </c>
      <c r="AF89" s="55">
        <f t="shared" ca="1" si="42"/>
        <v>-21.374246183100887</v>
      </c>
      <c r="AG89" s="55">
        <f t="shared" ca="1" si="43"/>
        <v>0</v>
      </c>
      <c r="AH89" s="55">
        <f t="shared" ca="1" si="44"/>
        <v>0</v>
      </c>
      <c r="AI89" s="55">
        <f t="shared" ca="1" si="38"/>
        <v>-1.6138057399756414</v>
      </c>
      <c r="AJ89" s="55">
        <f t="shared" ca="1" si="39"/>
        <v>52.094262498546513</v>
      </c>
      <c r="AK89" s="55">
        <f t="shared" ca="1" si="40"/>
        <v>-99.832816005036619</v>
      </c>
    </row>
    <row r="90" spans="18:37">
      <c r="R90" s="83">
        <f ca="1"/>
        <v>45435</v>
      </c>
      <c r="S90" s="55">
        <f t="shared" ca="1" si="33"/>
        <v>45435</v>
      </c>
      <c r="T90" s="55">
        <f t="shared" ca="1" si="27"/>
        <v>69.450222017355387</v>
      </c>
      <c r="U90" s="55">
        <f t="shared" ca="1" si="28"/>
        <v>180.6728405984542</v>
      </c>
      <c r="V90" s="55">
        <f t="shared" ca="1" si="29"/>
        <v>0</v>
      </c>
      <c r="W90" s="55">
        <f t="shared" ca="1" si="34"/>
        <v>-71.225317076857877</v>
      </c>
      <c r="X90" s="55">
        <f t="shared" ca="1" si="35"/>
        <v>69.377374926852667</v>
      </c>
      <c r="Y90" s="55">
        <f t="shared" ca="1" si="36"/>
        <v>146.02183886939423</v>
      </c>
      <c r="Z90">
        <f t="shared" ca="1" si="30"/>
        <v>120</v>
      </c>
      <c r="AA90">
        <f t="shared" ca="1" si="37"/>
        <v>85.217621371190134</v>
      </c>
      <c r="AB90">
        <f t="shared" ca="1" si="31"/>
        <v>0</v>
      </c>
      <c r="AC90">
        <f t="shared" ca="1" si="32"/>
        <v>0.99999999661014471</v>
      </c>
      <c r="AD90" s="83">
        <f ca="1"/>
        <v>45576</v>
      </c>
      <c r="AE90" s="55">
        <f t="shared" ca="1" si="41"/>
        <v>45576</v>
      </c>
      <c r="AF90" s="55">
        <f t="shared" ca="1" si="42"/>
        <v>-20.177748494336985</v>
      </c>
      <c r="AG90" s="55">
        <f t="shared" ca="1" si="43"/>
        <v>0</v>
      </c>
      <c r="AH90" s="55">
        <f t="shared" ca="1" si="44"/>
        <v>0</v>
      </c>
      <c r="AI90" s="55">
        <f t="shared" ca="1" si="38"/>
        <v>-1.6138057399756414</v>
      </c>
      <c r="AJ90" s="55">
        <f t="shared" ca="1" si="39"/>
        <v>52.961601180424495</v>
      </c>
      <c r="AK90" s="55">
        <f t="shared" ca="1" si="40"/>
        <v>-99.503656998150703</v>
      </c>
    </row>
    <row r="91" spans="18:37">
      <c r="R91" s="83">
        <f ca="1"/>
        <v>45436</v>
      </c>
      <c r="S91" s="55">
        <f t="shared" ca="1" si="33"/>
        <v>45436</v>
      </c>
      <c r="T91" s="55">
        <f t="shared" ca="1" si="27"/>
        <v>64.224016515649382</v>
      </c>
      <c r="U91" s="55">
        <f t="shared" ca="1" si="28"/>
        <v>185.6639352979887</v>
      </c>
      <c r="V91" s="55">
        <f t="shared" ca="1" si="29"/>
        <v>0</v>
      </c>
      <c r="W91" s="55">
        <f t="shared" ca="1" si="34"/>
        <v>-72.210872211313443</v>
      </c>
      <c r="X91" s="55">
        <f t="shared" ca="1" si="35"/>
        <v>70.111358770480862</v>
      </c>
      <c r="Y91" s="55">
        <f t="shared" ca="1" si="36"/>
        <v>146.0382993580501</v>
      </c>
      <c r="Z91">
        <f t="shared" ca="1" si="30"/>
        <v>120</v>
      </c>
      <c r="AA91">
        <f t="shared" ca="1" si="37"/>
        <v>87.398309832247321</v>
      </c>
      <c r="AB91">
        <f t="shared" ca="1" si="31"/>
        <v>0</v>
      </c>
      <c r="AC91">
        <f t="shared" ca="1" si="32"/>
        <v>0.9999999975674061</v>
      </c>
      <c r="AD91" s="83">
        <f ca="1"/>
        <v>45577</v>
      </c>
      <c r="AE91" s="55">
        <f t="shared" ca="1" si="41"/>
        <v>45577</v>
      </c>
      <c r="AF91" s="55">
        <f t="shared" ca="1" si="42"/>
        <v>-19.013970250386791</v>
      </c>
      <c r="AG91" s="55">
        <f t="shared" ca="1" si="43"/>
        <v>0</v>
      </c>
      <c r="AH91" s="55">
        <f t="shared" ca="1" si="44"/>
        <v>0</v>
      </c>
      <c r="AI91" s="55">
        <f t="shared" ca="1" si="38"/>
        <v>-1.6138057399756414</v>
      </c>
      <c r="AJ91" s="55">
        <f t="shared" ca="1" si="39"/>
        <v>53.795560127248386</v>
      </c>
      <c r="AK91" s="55">
        <f t="shared" ca="1" si="40"/>
        <v>-99.173837701024397</v>
      </c>
    </row>
    <row r="92" spans="18:37">
      <c r="R92" s="83">
        <f ca="1"/>
        <v>45437</v>
      </c>
      <c r="S92" s="55">
        <f t="shared" ca="1" si="33"/>
        <v>45437</v>
      </c>
      <c r="T92" s="55">
        <f t="shared" ca="1" si="27"/>
        <v>57.734636462371249</v>
      </c>
      <c r="U92" s="55">
        <f t="shared" ca="1" si="28"/>
        <v>190.85180701743008</v>
      </c>
      <c r="V92" s="55">
        <f t="shared" ca="1" si="29"/>
        <v>0</v>
      </c>
      <c r="W92" s="55">
        <f t="shared" ca="1" si="34"/>
        <v>-74.292936540638834</v>
      </c>
      <c r="X92" s="55">
        <f t="shared" ca="1" si="35"/>
        <v>70.874975224137557</v>
      </c>
      <c r="Y92" s="55">
        <f t="shared" ca="1" si="36"/>
        <v>146.05523889988203</v>
      </c>
      <c r="Z92">
        <f t="shared" ca="1" si="30"/>
        <v>120</v>
      </c>
      <c r="AA92">
        <f t="shared" ca="1" si="37"/>
        <v>92.52300304172627</v>
      </c>
      <c r="AB92">
        <f t="shared" ca="1" si="31"/>
        <v>0</v>
      </c>
      <c r="AC92">
        <f t="shared" ca="1" si="32"/>
        <v>0.99999999827662012</v>
      </c>
      <c r="AD92" s="83">
        <f ca="1"/>
        <v>45578</v>
      </c>
      <c r="AE92" s="55">
        <f t="shared" ca="1" si="41"/>
        <v>45578</v>
      </c>
      <c r="AF92" s="55">
        <f t="shared" ca="1" si="42"/>
        <v>-17.768950880748442</v>
      </c>
      <c r="AG92" s="55">
        <f t="shared" ca="1" si="43"/>
        <v>0</v>
      </c>
      <c r="AH92" s="55">
        <f t="shared" ca="1" si="44"/>
        <v>0</v>
      </c>
      <c r="AI92" s="55">
        <f t="shared" ca="1" si="38"/>
        <v>-1.6138057399756414</v>
      </c>
      <c r="AJ92" s="55">
        <f t="shared" ca="1" si="39"/>
        <v>54.678251473775319</v>
      </c>
      <c r="AK92" s="55">
        <f t="shared" ca="1" si="40"/>
        <v>-98.81150967791298</v>
      </c>
    </row>
    <row r="93" spans="18:37">
      <c r="R93" s="83">
        <f ca="1"/>
        <v>45438</v>
      </c>
      <c r="S93" s="55">
        <f t="shared" ca="1" si="33"/>
        <v>45438</v>
      </c>
      <c r="T93" s="55">
        <f t="shared" ca="1" si="27"/>
        <v>52.934729804644569</v>
      </c>
      <c r="U93" s="55">
        <f t="shared" ca="1" si="28"/>
        <v>195.74998311810782</v>
      </c>
      <c r="V93" s="55">
        <f t="shared" ca="1" si="29"/>
        <v>0</v>
      </c>
      <c r="W93" s="55">
        <f t="shared" ca="1" si="34"/>
        <v>-74.930506806071961</v>
      </c>
      <c r="X93" s="55">
        <f t="shared" ca="1" si="35"/>
        <v>71.594997568931319</v>
      </c>
      <c r="Y93" s="55">
        <f t="shared" ca="1" si="36"/>
        <v>146.07105626347246</v>
      </c>
      <c r="Z93">
        <f t="shared" ca="1" si="30"/>
        <v>120</v>
      </c>
      <c r="AA93">
        <f t="shared" ca="1" si="37"/>
        <v>94.234584279325659</v>
      </c>
      <c r="AB93">
        <f t="shared" ca="1" si="31"/>
        <v>0</v>
      </c>
      <c r="AC93">
        <f t="shared" ca="1" si="32"/>
        <v>0.99999999875563872</v>
      </c>
      <c r="AD93" s="83">
        <f ca="1"/>
        <v>45579</v>
      </c>
      <c r="AE93" s="55">
        <f t="shared" ca="1" si="41"/>
        <v>45579</v>
      </c>
      <c r="AF93" s="55">
        <f t="shared" ca="1" si="42"/>
        <v>-16.521153092150001</v>
      </c>
      <c r="AG93" s="55">
        <f t="shared" ca="1" si="43"/>
        <v>0</v>
      </c>
      <c r="AH93" s="55">
        <f t="shared" ca="1" si="44"/>
        <v>0</v>
      </c>
      <c r="AI93" s="55">
        <f t="shared" ca="1" si="38"/>
        <v>-1.6138057399756414</v>
      </c>
      <c r="AJ93" s="55">
        <f t="shared" ca="1" si="39"/>
        <v>55.554062490379316</v>
      </c>
      <c r="AK93" s="55">
        <f t="shared" ca="1" si="40"/>
        <v>-98.439522905918537</v>
      </c>
    </row>
    <row r="94" spans="18:37">
      <c r="R94" s="83">
        <f ca="1"/>
        <v>45439</v>
      </c>
      <c r="S94" s="55">
        <f t="shared" ca="1" si="33"/>
        <v>45439</v>
      </c>
      <c r="T94" s="55">
        <f t="shared" ca="1" si="27"/>
        <v>48.291799780295875</v>
      </c>
      <c r="U94" s="55">
        <f t="shared" ca="1" si="28"/>
        <v>200.50700155005654</v>
      </c>
      <c r="V94" s="55">
        <f t="shared" ca="1" si="29"/>
        <v>0</v>
      </c>
      <c r="W94" s="55">
        <f t="shared" ca="1" si="34"/>
        <v>-75.53221118156182</v>
      </c>
      <c r="X94" s="55">
        <f t="shared" ca="1" si="35"/>
        <v>72.295530889788878</v>
      </c>
      <c r="Y94" s="55">
        <f t="shared" ca="1" si="36"/>
        <v>146.08631572570479</v>
      </c>
      <c r="Z94">
        <f t="shared" ca="1" si="30"/>
        <v>120</v>
      </c>
      <c r="AA94">
        <f t="shared" ca="1" si="37"/>
        <v>96.005182165742227</v>
      </c>
      <c r="AB94">
        <f t="shared" ca="1" si="31"/>
        <v>0</v>
      </c>
      <c r="AC94">
        <f t="shared" ca="1" si="32"/>
        <v>0.99999999909363235</v>
      </c>
      <c r="AD94" s="83">
        <f ca="1"/>
        <v>45580</v>
      </c>
      <c r="AE94" s="55">
        <f t="shared" ca="1" si="41"/>
        <v>45580</v>
      </c>
      <c r="AF94" s="55">
        <f t="shared" ca="1" si="42"/>
        <v>-15.303425225853198</v>
      </c>
      <c r="AG94" s="55">
        <f t="shared" ca="1" si="43"/>
        <v>0</v>
      </c>
      <c r="AH94" s="55">
        <f t="shared" ca="1" si="44"/>
        <v>0</v>
      </c>
      <c r="AI94" s="55">
        <f t="shared" ca="1" si="38"/>
        <v>-1.6138057399756414</v>
      </c>
      <c r="AJ94" s="55">
        <f t="shared" ca="1" si="39"/>
        <v>56.401083533825258</v>
      </c>
      <c r="AK94" s="55">
        <f t="shared" ca="1" si="40"/>
        <v>-98.068816083067674</v>
      </c>
    </row>
    <row r="95" spans="18:37">
      <c r="R95" s="83">
        <f ca="1"/>
        <v>45440</v>
      </c>
      <c r="S95" s="55">
        <f t="shared" ca="1" si="33"/>
        <v>45440</v>
      </c>
      <c r="T95" s="55">
        <f t="shared" ca="1" si="27"/>
        <v>43.409839622982659</v>
      </c>
      <c r="U95" s="55">
        <f t="shared" ca="1" si="28"/>
        <v>205.48590596402681</v>
      </c>
      <c r="V95" s="55">
        <f t="shared" ca="1" si="29"/>
        <v>0</v>
      </c>
      <c r="W95" s="55">
        <f t="shared" ca="1" si="34"/>
        <v>-76.187509002646806</v>
      </c>
      <c r="X95" s="55">
        <f t="shared" ca="1" si="35"/>
        <v>73.031858150755994</v>
      </c>
      <c r="Y95" s="55">
        <f t="shared" ca="1" si="36"/>
        <v>146.10223054247973</v>
      </c>
      <c r="Z95">
        <f t="shared" ca="1" si="30"/>
        <v>120</v>
      </c>
      <c r="AA95">
        <f t="shared" ca="1" si="37"/>
        <v>98.150347181804079</v>
      </c>
      <c r="AB95">
        <f t="shared" ca="1" si="31"/>
        <v>0</v>
      </c>
      <c r="AC95">
        <f t="shared" ca="1" si="32"/>
        <v>0.99999999935024952</v>
      </c>
      <c r="AD95" s="83">
        <f ca="1"/>
        <v>45581</v>
      </c>
      <c r="AE95" s="55">
        <f t="shared" ca="1" si="41"/>
        <v>45581</v>
      </c>
      <c r="AF95" s="55">
        <f t="shared" ca="1" si="42"/>
        <v>-13.997861627931261</v>
      </c>
      <c r="AG95" s="55">
        <f t="shared" ca="1" si="43"/>
        <v>0</v>
      </c>
      <c r="AH95" s="55">
        <f t="shared" ca="1" si="44"/>
        <v>0</v>
      </c>
      <c r="AI95" s="55">
        <f t="shared" ca="1" si="38"/>
        <v>-1.6138057399756414</v>
      </c>
      <c r="AJ95" s="55">
        <f t="shared" ca="1" si="39"/>
        <v>57.301620404559905</v>
      </c>
      <c r="AK95" s="55">
        <f t="shared" ca="1" si="40"/>
        <v>-97.663789355880382</v>
      </c>
    </row>
    <row r="96" spans="18:37">
      <c r="R96" s="83">
        <f ca="1"/>
        <v>45441</v>
      </c>
      <c r="S96" s="55">
        <f t="shared" ca="1" si="33"/>
        <v>45441</v>
      </c>
      <c r="T96" s="55">
        <f t="shared" ca="1" si="27"/>
        <v>39.409145809156556</v>
      </c>
      <c r="U96" s="55">
        <f t="shared" ca="1" si="28"/>
        <v>209.91997366290082</v>
      </c>
      <c r="V96" s="55">
        <f t="shared" ca="1" si="29"/>
        <v>0</v>
      </c>
      <c r="W96" s="55">
        <f t="shared" ca="1" si="34"/>
        <v>-76.427291133304152</v>
      </c>
      <c r="X96" s="55">
        <f t="shared" ca="1" si="35"/>
        <v>73.69086836390656</v>
      </c>
      <c r="Y96" s="55">
        <f t="shared" ca="1" si="36"/>
        <v>146.11637634503441</v>
      </c>
      <c r="Z96">
        <f t="shared" ca="1" si="30"/>
        <v>120</v>
      </c>
      <c r="AA96">
        <f t="shared" ca="1" si="37"/>
        <v>99.014976497613958</v>
      </c>
      <c r="AB96">
        <f t="shared" ca="1" si="31"/>
        <v>0</v>
      </c>
      <c r="AC96">
        <f t="shared" ca="1" si="32"/>
        <v>0.99999999951759211</v>
      </c>
      <c r="AD96" s="83">
        <f ca="1"/>
        <v>45582</v>
      </c>
      <c r="AE96" s="55">
        <f t="shared" ca="1" si="41"/>
        <v>45582</v>
      </c>
      <c r="AF96" s="55">
        <f t="shared" ca="1" si="42"/>
        <v>-12.710542989134348</v>
      </c>
      <c r="AG96" s="55">
        <f t="shared" ca="1" si="43"/>
        <v>0</v>
      </c>
      <c r="AH96" s="55">
        <f t="shared" ca="1" si="44"/>
        <v>0</v>
      </c>
      <c r="AI96" s="55">
        <f t="shared" ca="1" si="38"/>
        <v>-1.6138057399756414</v>
      </c>
      <c r="AJ96" s="55">
        <f t="shared" ca="1" si="39"/>
        <v>58.182670552848279</v>
      </c>
      <c r="AK96" s="55">
        <f t="shared" ca="1" si="40"/>
        <v>-97.257520865371845</v>
      </c>
    </row>
    <row r="97" spans="18:37">
      <c r="R97" s="83">
        <f ca="1"/>
        <v>45442</v>
      </c>
      <c r="S97" s="55">
        <f t="shared" ca="1" si="33"/>
        <v>45442</v>
      </c>
      <c r="T97" s="55">
        <f t="shared" ca="1" si="27"/>
        <v>34.77111925849001</v>
      </c>
      <c r="U97" s="55">
        <f t="shared" ca="1" si="28"/>
        <v>214.35432001380448</v>
      </c>
      <c r="V97" s="55">
        <f t="shared" ca="1" si="29"/>
        <v>0</v>
      </c>
      <c r="W97" s="55">
        <f t="shared" ca="1" si="34"/>
        <v>-77.307677440674055</v>
      </c>
      <c r="X97" s="55">
        <f t="shared" ca="1" si="35"/>
        <v>74.353437135455707</v>
      </c>
      <c r="Y97" s="55">
        <f t="shared" ca="1" si="36"/>
        <v>146.13051368109228</v>
      </c>
      <c r="Z97">
        <f t="shared" ca="1" si="30"/>
        <v>120</v>
      </c>
      <c r="AA97">
        <f t="shared" ca="1" si="37"/>
        <v>102.61300643042549</v>
      </c>
      <c r="AB97">
        <f t="shared" ca="1" si="31"/>
        <v>0</v>
      </c>
      <c r="AC97">
        <f t="shared" ca="1" si="32"/>
        <v>0.99999999964243336</v>
      </c>
      <c r="AD97" s="83">
        <f ca="1"/>
        <v>45583</v>
      </c>
      <c r="AE97" s="55">
        <f t="shared" ca="1" si="41"/>
        <v>45583</v>
      </c>
      <c r="AF97" s="55">
        <f t="shared" ca="1" si="42"/>
        <v>-11.48538179839869</v>
      </c>
      <c r="AG97" s="55">
        <f t="shared" ca="1" si="43"/>
        <v>0</v>
      </c>
      <c r="AH97" s="55">
        <f t="shared" ca="1" si="44"/>
        <v>0</v>
      </c>
      <c r="AI97" s="55">
        <f t="shared" ca="1" si="38"/>
        <v>-1.6138057399756414</v>
      </c>
      <c r="AJ97" s="55">
        <f t="shared" ca="1" si="39"/>
        <v>59.015461449674902</v>
      </c>
      <c r="AK97" s="55">
        <f t="shared" ca="1" si="40"/>
        <v>-96.865150571462806</v>
      </c>
    </row>
    <row r="98" spans="18:37">
      <c r="R98" s="83">
        <f ca="1"/>
        <v>45443</v>
      </c>
      <c r="S98" s="55">
        <f t="shared" ca="1" si="33"/>
        <v>45443</v>
      </c>
      <c r="T98" s="55">
        <f t="shared" ca="1" si="27"/>
        <v>30.645508015855658</v>
      </c>
      <c r="U98" s="55">
        <f t="shared" ca="1" si="28"/>
        <v>218.88902372597107</v>
      </c>
      <c r="V98" s="55">
        <f t="shared" ca="1" si="29"/>
        <v>0</v>
      </c>
      <c r="W98" s="55">
        <f t="shared" ca="1" si="34"/>
        <v>-77.594710238653775</v>
      </c>
      <c r="X98" s="55">
        <f t="shared" ca="1" si="35"/>
        <v>75.035098972117538</v>
      </c>
      <c r="Y98" s="55">
        <f t="shared" ca="1" si="36"/>
        <v>146.14497711194241</v>
      </c>
      <c r="Z98">
        <f t="shared" ca="1" si="30"/>
        <v>120</v>
      </c>
      <c r="AA98">
        <f t="shared" ca="1" si="37"/>
        <v>103.9439966450681</v>
      </c>
      <c r="AB98">
        <f t="shared" ca="1" si="31"/>
        <v>0</v>
      </c>
      <c r="AC98">
        <f t="shared" ca="1" si="32"/>
        <v>0.99999999973730525</v>
      </c>
      <c r="AD98" s="83">
        <f ca="1"/>
        <v>45584</v>
      </c>
      <c r="AE98" s="55">
        <f t="shared" ca="1" si="41"/>
        <v>45584</v>
      </c>
      <c r="AF98" s="55">
        <f t="shared" ca="1" si="42"/>
        <v>-10.240740734406698</v>
      </c>
      <c r="AG98" s="55">
        <f t="shared" ca="1" si="43"/>
        <v>0</v>
      </c>
      <c r="AH98" s="55">
        <f t="shared" ca="1" si="44"/>
        <v>0</v>
      </c>
      <c r="AI98" s="55">
        <f t="shared" ca="1" si="38"/>
        <v>-1.6138057399756414</v>
      </c>
      <c r="AJ98" s="55">
        <f t="shared" ca="1" si="39"/>
        <v>59.856356649888312</v>
      </c>
      <c r="AK98" s="55">
        <f t="shared" ca="1" si="40"/>
        <v>-96.461404707684224</v>
      </c>
    </row>
    <row r="99" spans="18:37">
      <c r="R99" s="83">
        <f ca="1"/>
        <v>45444</v>
      </c>
      <c r="S99" s="55">
        <f t="shared" ca="1" si="33"/>
        <v>45444</v>
      </c>
      <c r="T99" s="55">
        <f t="shared" ca="1" si="27"/>
        <v>81.46950664306631</v>
      </c>
      <c r="U99" s="55">
        <f t="shared" ca="1" si="28"/>
        <v>223.38361336679736</v>
      </c>
      <c r="V99" s="55">
        <f t="shared" ca="1" si="29"/>
        <v>55.625351065830685</v>
      </c>
      <c r="W99" s="55">
        <f t="shared" ca="1" si="34"/>
        <v>-78.596952548118907</v>
      </c>
      <c r="X99" s="55">
        <f t="shared" ca="1" si="35"/>
        <v>75.716202514413553</v>
      </c>
      <c r="Y99" s="55">
        <f t="shared" ca="1" si="36"/>
        <v>146.15935308131779</v>
      </c>
      <c r="Z99">
        <f t="shared" ca="1" si="30"/>
        <v>120</v>
      </c>
      <c r="AA99">
        <f t="shared" ca="1" si="37"/>
        <v>105.69924040154983</v>
      </c>
      <c r="AB99">
        <f t="shared" ca="1" si="31"/>
        <v>0</v>
      </c>
      <c r="AC99">
        <f t="shared" ca="1" si="32"/>
        <v>0.99999999980695553</v>
      </c>
      <c r="AD99" s="83">
        <f ca="1"/>
        <v>45585</v>
      </c>
      <c r="AE99" s="55">
        <f t="shared" ca="1" si="41"/>
        <v>45585</v>
      </c>
      <c r="AF99" s="55">
        <f t="shared" ca="1" si="42"/>
        <v>-9.0588823896505666</v>
      </c>
      <c r="AG99" s="55">
        <f t="shared" ca="1" si="43"/>
        <v>0</v>
      </c>
      <c r="AH99" s="55">
        <f t="shared" ca="1" si="44"/>
        <v>0</v>
      </c>
      <c r="AI99" s="55">
        <f t="shared" ca="1" si="38"/>
        <v>-1.6138057399756414</v>
      </c>
      <c r="AJ99" s="55">
        <f t="shared" ca="1" si="39"/>
        <v>60.650515252050177</v>
      </c>
      <c r="AK99" s="55">
        <f t="shared" ca="1" si="40"/>
        <v>-96.073704965089959</v>
      </c>
    </row>
    <row r="100" spans="18:37">
      <c r="R100" s="83">
        <f ca="1"/>
        <v>45445</v>
      </c>
      <c r="S100" s="55">
        <f t="shared" ca="1" si="33"/>
        <v>45445</v>
      </c>
      <c r="T100" s="55">
        <f t="shared" ca="1" si="27"/>
        <v>77.305699149119278</v>
      </c>
      <c r="U100" s="55">
        <f t="shared" ca="1" si="28"/>
        <v>227.79444133398053</v>
      </c>
      <c r="V100" s="55">
        <f t="shared" ca="1" si="29"/>
        <v>0</v>
      </c>
      <c r="W100" s="55">
        <f t="shared" ca="1" si="34"/>
        <v>-79.038808358103964</v>
      </c>
      <c r="X100" s="55">
        <f t="shared" ca="1" si="35"/>
        <v>76.390906599959962</v>
      </c>
      <c r="Y100" s="55">
        <f t="shared" ca="1" si="36"/>
        <v>146.17352527899257</v>
      </c>
      <c r="Z100">
        <f t="shared" ca="1" si="30"/>
        <v>120</v>
      </c>
      <c r="AA100">
        <f t="shared" ca="1" si="37"/>
        <v>106.51147076550595</v>
      </c>
      <c r="AB100">
        <f t="shared" ca="1" si="31"/>
        <v>0</v>
      </c>
      <c r="AC100">
        <f t="shared" ca="1" si="32"/>
        <v>0.99999999985771915</v>
      </c>
      <c r="AD100" s="83">
        <f ca="1"/>
        <v>45586</v>
      </c>
      <c r="AE100" s="55">
        <f t="shared" ca="1" si="41"/>
        <v>45586</v>
      </c>
      <c r="AF100" s="55">
        <f t="shared" ca="1" si="42"/>
        <v>-7.7830701037377121</v>
      </c>
      <c r="AG100" s="55">
        <f t="shared" ca="1" si="43"/>
        <v>0</v>
      </c>
      <c r="AH100" s="55">
        <f t="shared" ca="1" si="44"/>
        <v>0</v>
      </c>
      <c r="AI100" s="55">
        <f t="shared" ca="1" si="38"/>
        <v>-1.6138057399756414</v>
      </c>
      <c r="AJ100" s="55">
        <f t="shared" ca="1" si="39"/>
        <v>61.503561694308644</v>
      </c>
      <c r="AK100" s="55">
        <f t="shared" ca="1" si="40"/>
        <v>-95.65093912143557</v>
      </c>
    </row>
    <row r="101" spans="18:37">
      <c r="R101" s="83">
        <f ca="1"/>
        <v>45446</v>
      </c>
      <c r="S101" s="55">
        <f t="shared" ca="1" si="33"/>
        <v>45446</v>
      </c>
      <c r="T101" s="55">
        <f t="shared" ca="1" si="27"/>
        <v>72.482737292027792</v>
      </c>
      <c r="U101" s="55">
        <f t="shared" ca="1" si="28"/>
        <v>232.62034816367299</v>
      </c>
      <c r="V101" s="55">
        <f t="shared" ca="1" si="29"/>
        <v>0</v>
      </c>
      <c r="W101" s="55">
        <f t="shared" ca="1" si="34"/>
        <v>-79.798410084708124</v>
      </c>
      <c r="X101" s="55">
        <f t="shared" ca="1" si="35"/>
        <v>77.137837693077827</v>
      </c>
      <c r="Y101" s="55">
        <f t="shared" ca="1" si="36"/>
        <v>146.18914088507984</v>
      </c>
      <c r="Z101">
        <f t="shared" ca="1" si="30"/>
        <v>120</v>
      </c>
      <c r="AA101">
        <f t="shared" ca="1" si="37"/>
        <v>108.00069988801245</v>
      </c>
      <c r="AB101">
        <f t="shared" ca="1" si="31"/>
        <v>0</v>
      </c>
      <c r="AC101">
        <f t="shared" ca="1" si="32"/>
        <v>0.99999999989847321</v>
      </c>
      <c r="AD101" s="83">
        <f ca="1"/>
        <v>45587</v>
      </c>
      <c r="AE101" s="55">
        <f t="shared" ca="1" si="41"/>
        <v>45587</v>
      </c>
      <c r="AF101" s="55">
        <f t="shared" ca="1" si="42"/>
        <v>-6.575832032947643</v>
      </c>
      <c r="AG101" s="55">
        <f t="shared" ca="1" si="43"/>
        <v>0</v>
      </c>
      <c r="AH101" s="55">
        <f t="shared" ca="1" si="44"/>
        <v>0</v>
      </c>
      <c r="AI101" s="55">
        <f t="shared" ca="1" si="38"/>
        <v>-1.6138057399756414</v>
      </c>
      <c r="AJ101" s="55">
        <f t="shared" ca="1" si="39"/>
        <v>62.307113094588573</v>
      </c>
      <c r="AK101" s="55">
        <f t="shared" ca="1" si="40"/>
        <v>-95.24725245092543</v>
      </c>
    </row>
    <row r="102" spans="18:37">
      <c r="R102" s="83">
        <f ca="1"/>
        <v>45447</v>
      </c>
      <c r="S102" s="55">
        <f t="shared" ca="1" si="33"/>
        <v>45447</v>
      </c>
      <c r="T102" s="55">
        <f t="shared" ca="1" si="27"/>
        <v>67.023344611206966</v>
      </c>
      <c r="U102" s="55">
        <f t="shared" ca="1" si="28"/>
        <v>237.27162007442269</v>
      </c>
      <c r="V102" s="55">
        <f t="shared" ca="1" si="29"/>
        <v>0</v>
      </c>
      <c r="W102" s="55">
        <f t="shared" ca="1" si="34"/>
        <v>-81.350127663082162</v>
      </c>
      <c r="X102" s="55">
        <f t="shared" ca="1" si="35"/>
        <v>77.866274827002997</v>
      </c>
      <c r="Y102" s="55">
        <f t="shared" ca="1" si="36"/>
        <v>146.20430055945758</v>
      </c>
      <c r="Z102">
        <f t="shared" ca="1" si="30"/>
        <v>120</v>
      </c>
      <c r="AA102">
        <f t="shared" ca="1" si="37"/>
        <v>111.29070631936418</v>
      </c>
      <c r="AB102">
        <f t="shared" ca="1" si="31"/>
        <v>0</v>
      </c>
      <c r="AC102">
        <f t="shared" ca="1" si="32"/>
        <v>0.99999999992696531</v>
      </c>
      <c r="AD102" s="83">
        <f ca="1"/>
        <v>45588</v>
      </c>
      <c r="AE102" s="55">
        <f t="shared" ca="1" si="41"/>
        <v>45588</v>
      </c>
      <c r="AF102" s="55">
        <f t="shared" ca="1" si="42"/>
        <v>-5.417832818401866</v>
      </c>
      <c r="AG102" s="55">
        <f t="shared" ca="1" si="43"/>
        <v>0</v>
      </c>
      <c r="AH102" s="55">
        <f t="shared" ca="1" si="44"/>
        <v>0</v>
      </c>
      <c r="AI102" s="55">
        <f t="shared" ca="1" si="38"/>
        <v>-1.6138057399756414</v>
      </c>
      <c r="AJ102" s="55">
        <f t="shared" ca="1" si="39"/>
        <v>63.074906883217032</v>
      </c>
      <c r="AK102" s="55">
        <f t="shared" ca="1" si="40"/>
        <v>-94.857047025008114</v>
      </c>
    </row>
    <row r="103" spans="18:37">
      <c r="R103" s="83">
        <f ca="1"/>
        <v>45448</v>
      </c>
      <c r="S103" s="55">
        <f t="shared" ca="1" si="33"/>
        <v>45448</v>
      </c>
      <c r="T103" s="55">
        <f t="shared" ca="1" si="27"/>
        <v>61.338308141421606</v>
      </c>
      <c r="U103" s="55">
        <f t="shared" ca="1" si="28"/>
        <v>241.80608690144322</v>
      </c>
      <c r="V103" s="55">
        <f t="shared" ca="1" si="29"/>
        <v>0</v>
      </c>
      <c r="W103" s="55">
        <f t="shared" ca="1" si="34"/>
        <v>-83.235346379291371</v>
      </c>
      <c r="X103" s="55">
        <f t="shared" ca="1" si="35"/>
        <v>78.586008109849843</v>
      </c>
      <c r="Y103" s="55">
        <f t="shared" ca="1" si="36"/>
        <v>146.21921635005512</v>
      </c>
      <c r="Z103">
        <f t="shared" ca="1" si="30"/>
        <v>120</v>
      </c>
      <c r="AA103">
        <f t="shared" ca="1" si="37"/>
        <v>115.65827872060207</v>
      </c>
      <c r="AB103">
        <f t="shared" ca="1" si="31"/>
        <v>0</v>
      </c>
      <c r="AC103">
        <f t="shared" ca="1" si="32"/>
        <v>0.99999999994725886</v>
      </c>
      <c r="AD103" s="83">
        <f ca="1"/>
        <v>45589</v>
      </c>
      <c r="AE103" s="55">
        <f t="shared" ca="1" si="41"/>
        <v>45589</v>
      </c>
      <c r="AF103" s="55">
        <f t="shared" ca="1" si="42"/>
        <v>-4.2398331098248381</v>
      </c>
      <c r="AG103" s="55">
        <f t="shared" ca="1" si="43"/>
        <v>0</v>
      </c>
      <c r="AH103" s="55">
        <f t="shared" ca="1" si="44"/>
        <v>0</v>
      </c>
      <c r="AI103" s="55">
        <f t="shared" ca="1" si="38"/>
        <v>-1.6138057399756414</v>
      </c>
      <c r="AJ103" s="55">
        <f t="shared" ca="1" si="39"/>
        <v>63.853276400254131</v>
      </c>
      <c r="AK103" s="55">
        <f t="shared" ca="1" si="40"/>
        <v>-94.457416833468187</v>
      </c>
    </row>
    <row r="104" spans="18:37">
      <c r="R104" s="83">
        <f ca="1"/>
        <v>45449</v>
      </c>
      <c r="S104" s="55">
        <f t="shared" ca="1" si="33"/>
        <v>45449</v>
      </c>
      <c r="T104" s="55">
        <f t="shared" ca="1" si="27"/>
        <v>57.057622796677514</v>
      </c>
      <c r="U104" s="55">
        <f t="shared" ca="1" si="28"/>
        <v>246.23175451720755</v>
      </c>
      <c r="V104" s="55">
        <f t="shared" ca="1" si="29"/>
        <v>0</v>
      </c>
      <c r="W104" s="55">
        <f t="shared" ca="1" si="34"/>
        <v>-83.817896522621169</v>
      </c>
      <c r="X104" s="55">
        <f t="shared" ca="1" si="35"/>
        <v>79.29882594435837</v>
      </c>
      <c r="Y104" s="55">
        <f t="shared" ca="1" si="36"/>
        <v>146.23393092989662</v>
      </c>
      <c r="Z104">
        <f t="shared" ca="1" si="30"/>
        <v>120</v>
      </c>
      <c r="AA104">
        <f t="shared" ca="1" si="37"/>
        <v>117.10915307117824</v>
      </c>
      <c r="AB104">
        <f t="shared" ca="1" si="31"/>
        <v>0</v>
      </c>
      <c r="AC104">
        <f t="shared" ca="1" si="32"/>
        <v>0.99999999996179589</v>
      </c>
      <c r="AD104" s="83">
        <f ca="1"/>
        <v>45590</v>
      </c>
      <c r="AE104" s="55">
        <f t="shared" ca="1" si="41"/>
        <v>45590</v>
      </c>
      <c r="AF104" s="55">
        <f t="shared" ca="1" si="42"/>
        <v>-2.9410887776138299</v>
      </c>
      <c r="AG104" s="55">
        <f t="shared" ca="1" si="43"/>
        <v>0</v>
      </c>
      <c r="AH104" s="55">
        <f t="shared" ca="1" si="44"/>
        <v>0</v>
      </c>
      <c r="AI104" s="55">
        <f t="shared" ca="1" si="38"/>
        <v>-1.6138057399756414</v>
      </c>
      <c r="AJ104" s="55">
        <f t="shared" ca="1" si="39"/>
        <v>64.708636355482099</v>
      </c>
      <c r="AK104" s="55">
        <f t="shared" ca="1" si="40"/>
        <v>-94.01403245648514</v>
      </c>
    </row>
    <row r="105" spans="18:37">
      <c r="R105" s="83">
        <f ca="1"/>
        <v>45450</v>
      </c>
      <c r="S105" s="55">
        <f t="shared" ca="1" si="33"/>
        <v>45450</v>
      </c>
      <c r="T105" s="55">
        <f t="shared" ca="1" si="27"/>
        <v>53.486480844318898</v>
      </c>
      <c r="U105" s="55">
        <f t="shared" ca="1" si="28"/>
        <v>250.22601809918459</v>
      </c>
      <c r="V105" s="55">
        <f t="shared" ca="1" si="29"/>
        <v>0</v>
      </c>
      <c r="W105" s="55">
        <f t="shared" ca="1" si="34"/>
        <v>-84.062332422102969</v>
      </c>
      <c r="X105" s="55">
        <f t="shared" ca="1" si="35"/>
        <v>79.952929124192849</v>
      </c>
      <c r="Y105" s="55">
        <f t="shared" ca="1" si="36"/>
        <v>146.24738527916236</v>
      </c>
      <c r="Z105">
        <f t="shared" ca="1" si="30"/>
        <v>120</v>
      </c>
      <c r="AA105">
        <f t="shared" ca="1" si="37"/>
        <v>117.75858124952862</v>
      </c>
      <c r="AB105">
        <f t="shared" ca="1" si="31"/>
        <v>0</v>
      </c>
      <c r="AC105">
        <f t="shared" ca="1" si="32"/>
        <v>0.99999999997156963</v>
      </c>
      <c r="AD105" s="83">
        <f ca="1"/>
        <v>45591</v>
      </c>
      <c r="AE105" s="55">
        <f t="shared" ca="1" si="41"/>
        <v>45591</v>
      </c>
      <c r="AF105" s="55">
        <f t="shared" ca="1" si="42"/>
        <v>-1.5504230539854</v>
      </c>
      <c r="AG105" s="55">
        <f t="shared" ca="1" si="43"/>
        <v>0</v>
      </c>
      <c r="AH105" s="55">
        <f t="shared" ca="1" si="44"/>
        <v>0</v>
      </c>
      <c r="AI105" s="55">
        <f t="shared" ca="1" si="38"/>
        <v>-1.6138057399756414</v>
      </c>
      <c r="AJ105" s="55">
        <f t="shared" ca="1" si="39"/>
        <v>65.621686664327044</v>
      </c>
      <c r="AK105" s="55">
        <f t="shared" ca="1" si="40"/>
        <v>-93.536417041701654</v>
      </c>
    </row>
    <row r="106" spans="18:37">
      <c r="R106" s="83">
        <f ca="1"/>
        <v>45451</v>
      </c>
      <c r="S106" s="55">
        <f t="shared" ca="1" si="33"/>
        <v>45451</v>
      </c>
      <c r="T106" s="55">
        <f t="shared" ca="1" si="27"/>
        <v>50.042764238840576</v>
      </c>
      <c r="U106" s="55">
        <f t="shared" ca="1" si="28"/>
        <v>254.11779416411619</v>
      </c>
      <c r="V106" s="55">
        <f t="shared" ca="1" si="29"/>
        <v>0</v>
      </c>
      <c r="W106" s="55">
        <f t="shared" ca="1" si="34"/>
        <v>-84.275146813975837</v>
      </c>
      <c r="X106" s="55">
        <f t="shared" ca="1" si="35"/>
        <v>80.600526036586785</v>
      </c>
      <c r="Y106" s="55">
        <f t="shared" ca="1" si="36"/>
        <v>146.26066221809458</v>
      </c>
      <c r="Z106">
        <f t="shared" ca="1" si="30"/>
        <v>120</v>
      </c>
      <c r="AA106">
        <f t="shared" ca="1" si="37"/>
        <v>118.36290528359966</v>
      </c>
      <c r="AB106">
        <f t="shared" ca="1" si="31"/>
        <v>0</v>
      </c>
      <c r="AC106">
        <f t="shared" ca="1" si="32"/>
        <v>0.99999999997877764</v>
      </c>
      <c r="AD106" s="83">
        <f ca="1"/>
        <v>45592</v>
      </c>
      <c r="AE106" s="55">
        <f t="shared" ca="1" si="41"/>
        <v>45592</v>
      </c>
      <c r="AF106" s="55">
        <f t="shared" ca="1" si="42"/>
        <v>-0.12096444671460593</v>
      </c>
      <c r="AG106" s="55">
        <f t="shared" ca="1" si="43"/>
        <v>0</v>
      </c>
      <c r="AH106" s="55">
        <f t="shared" ca="1" si="44"/>
        <v>0</v>
      </c>
      <c r="AI106" s="55">
        <f t="shared" ca="1" si="38"/>
        <v>-1.6138057399756414</v>
      </c>
      <c r="AJ106" s="55">
        <f t="shared" ca="1" si="39"/>
        <v>66.557556527363559</v>
      </c>
      <c r="AK106" s="55">
        <f t="shared" ca="1" si="40"/>
        <v>-93.042828297467381</v>
      </c>
    </row>
    <row r="107" spans="18:37">
      <c r="R107" s="83">
        <f ca="1"/>
        <v>45452</v>
      </c>
      <c r="S107" s="55">
        <f t="shared" ca="1" si="33"/>
        <v>45452</v>
      </c>
      <c r="T107" s="55">
        <f t="shared" ca="1" si="27"/>
        <v>45.11786814052013</v>
      </c>
      <c r="U107" s="55">
        <f t="shared" ca="1" si="28"/>
        <v>258.51068454204534</v>
      </c>
      <c r="V107" s="55">
        <f t="shared" ca="1" si="29"/>
        <v>0</v>
      </c>
      <c r="W107" s="55">
        <f t="shared" ca="1" si="34"/>
        <v>-85.56572755269012</v>
      </c>
      <c r="X107" s="55">
        <f t="shared" ca="1" si="35"/>
        <v>81.343911883975025</v>
      </c>
      <c r="Y107" s="55">
        <f t="shared" ca="1" si="36"/>
        <v>146.27585138902933</v>
      </c>
      <c r="Z107">
        <f t="shared" ca="1" si="30"/>
        <v>120</v>
      </c>
      <c r="AA107">
        <f t="shared" ca="1" si="37"/>
        <v>122.42777632161742</v>
      </c>
      <c r="AB107">
        <f t="shared" ca="1" si="31"/>
        <v>0</v>
      </c>
      <c r="AC107">
        <f t="shared" ca="1" si="32"/>
        <v>0.99999999998483324</v>
      </c>
      <c r="AD107" s="83">
        <f ca="1"/>
        <v>45593</v>
      </c>
      <c r="AE107" s="55">
        <f t="shared" ca="1" si="41"/>
        <v>45593</v>
      </c>
      <c r="AF107" s="55">
        <f t="shared" ca="1" si="42"/>
        <v>1.3802917651480486</v>
      </c>
      <c r="AG107" s="55">
        <f t="shared" ca="1" si="43"/>
        <v>0</v>
      </c>
      <c r="AH107" s="55">
        <f t="shared" ca="1" si="44"/>
        <v>0</v>
      </c>
      <c r="AI107" s="55">
        <f t="shared" ca="1" si="38"/>
        <v>-1.6138057399756414</v>
      </c>
      <c r="AJ107" s="55">
        <f t="shared" ca="1" si="39"/>
        <v>67.537985147762882</v>
      </c>
      <c r="AK107" s="55">
        <f t="shared" ca="1" si="40"/>
        <v>-92.52200070600405</v>
      </c>
    </row>
    <row r="108" spans="18:37">
      <c r="R108" s="83">
        <f ca="1"/>
        <v>45453</v>
      </c>
      <c r="S108" s="55">
        <f t="shared" ca="1" si="33"/>
        <v>45453</v>
      </c>
      <c r="T108" s="55">
        <f t="shared" ca="1" si="27"/>
        <v>39.787002878789778</v>
      </c>
      <c r="U108" s="55">
        <f t="shared" ca="1" si="28"/>
        <v>262.81441192275361</v>
      </c>
      <c r="V108" s="55">
        <f t="shared" ca="1" si="29"/>
        <v>0</v>
      </c>
      <c r="W108" s="55">
        <f t="shared" ca="1" si="34"/>
        <v>-87.351058550862433</v>
      </c>
      <c r="X108" s="55">
        <f t="shared" ca="1" si="35"/>
        <v>82.086975963900002</v>
      </c>
      <c r="Y108" s="55">
        <f t="shared" ca="1" si="36"/>
        <v>146.29098042625458</v>
      </c>
      <c r="Z108">
        <f t="shared" ca="1" si="30"/>
        <v>120</v>
      </c>
      <c r="AA108">
        <f t="shared" ca="1" si="37"/>
        <v>128.80435442407287</v>
      </c>
      <c r="AB108">
        <f t="shared" ca="1" si="31"/>
        <v>0</v>
      </c>
      <c r="AC108">
        <f t="shared" ca="1" si="32"/>
        <v>0.99999999998915934</v>
      </c>
      <c r="AD108" s="83">
        <f ca="1"/>
        <v>45594</v>
      </c>
      <c r="AE108" s="55">
        <f t="shared" ca="1" si="41"/>
        <v>45594</v>
      </c>
      <c r="AF108" s="55">
        <f t="shared" ca="1" si="42"/>
        <v>2.7155781013727718</v>
      </c>
      <c r="AG108" s="55">
        <f t="shared" ca="1" si="43"/>
        <v>0</v>
      </c>
      <c r="AH108" s="55">
        <f t="shared" ca="1" si="44"/>
        <v>0</v>
      </c>
      <c r="AI108" s="55">
        <f t="shared" ca="1" si="38"/>
        <v>-1.6138057399756414</v>
      </c>
      <c r="AJ108" s="55">
        <f t="shared" ca="1" si="39"/>
        <v>68.408266539683794</v>
      </c>
      <c r="AK108" s="55">
        <f t="shared" ca="1" si="40"/>
        <v>-92.056995761700236</v>
      </c>
    </row>
    <row r="109" spans="18:37">
      <c r="R109" s="83">
        <f ca="1"/>
        <v>45454</v>
      </c>
      <c r="S109" s="55">
        <f t="shared" ca="1" si="33"/>
        <v>45454</v>
      </c>
      <c r="T109" s="55">
        <f t="shared" ca="1" si="27"/>
        <v>36.042237989298904</v>
      </c>
      <c r="U109" s="55">
        <f t="shared" ca="1" si="28"/>
        <v>267.38727990024813</v>
      </c>
      <c r="V109" s="55">
        <f t="shared" ca="1" si="29"/>
        <v>0</v>
      </c>
      <c r="W109" s="55">
        <f t="shared" ca="1" si="34"/>
        <v>-87.351058550862433</v>
      </c>
      <c r="X109" s="55">
        <f t="shared" ca="1" si="35"/>
        <v>82.898613625035921</v>
      </c>
      <c r="Y109" s="55">
        <f t="shared" ca="1" si="36"/>
        <v>146.30744585312232</v>
      </c>
      <c r="Z109">
        <f t="shared" ca="1" si="30"/>
        <v>119.9928001720567</v>
      </c>
      <c r="AA109">
        <f t="shared" ca="1" si="37"/>
        <v>128.80435442407287</v>
      </c>
      <c r="AB109">
        <f t="shared" ca="1" si="31"/>
        <v>0</v>
      </c>
      <c r="AC109">
        <f t="shared" ca="1" si="32"/>
        <v>0.99999999999247313</v>
      </c>
      <c r="AD109" s="83">
        <f ca="1"/>
        <v>45595</v>
      </c>
      <c r="AE109" s="55">
        <f t="shared" ca="1" si="41"/>
        <v>45595</v>
      </c>
      <c r="AF109" s="55">
        <f t="shared" ca="1" si="42"/>
        <v>4.0113233170553366</v>
      </c>
      <c r="AG109" s="55">
        <f t="shared" ca="1" si="43"/>
        <v>0</v>
      </c>
      <c r="AH109" s="55">
        <f t="shared" ca="1" si="44"/>
        <v>0</v>
      </c>
      <c r="AI109" s="55">
        <f t="shared" ca="1" si="38"/>
        <v>-1.6138057399756414</v>
      </c>
      <c r="AJ109" s="55">
        <f t="shared" ca="1" si="39"/>
        <v>69.251478647593274</v>
      </c>
      <c r="AK109" s="55">
        <f t="shared" ca="1" si="40"/>
        <v>-91.604462653927158</v>
      </c>
    </row>
    <row r="110" spans="18:37">
      <c r="R110" s="83">
        <f ca="1"/>
        <v>45455</v>
      </c>
      <c r="S110" s="55">
        <f t="shared" ca="1" si="33"/>
        <v>45455</v>
      </c>
      <c r="T110" s="55">
        <f t="shared" ca="1" si="27"/>
        <v>31.791000066454217</v>
      </c>
      <c r="U110" s="55">
        <f t="shared" ca="1" si="28"/>
        <v>271.34756694621387</v>
      </c>
      <c r="V110" s="55">
        <f t="shared" ca="1" si="29"/>
        <v>0</v>
      </c>
      <c r="W110" s="55">
        <f t="shared" ca="1" si="34"/>
        <v>-88.371290497501022</v>
      </c>
      <c r="X110" s="55">
        <f t="shared" ca="1" si="35"/>
        <v>83.613444096061031</v>
      </c>
      <c r="Y110" s="55">
        <f t="shared" ca="1" si="36"/>
        <v>146.32189645185684</v>
      </c>
      <c r="Z110">
        <f t="shared" ca="1" si="30"/>
        <v>120</v>
      </c>
      <c r="AA110">
        <f t="shared" ca="1" si="37"/>
        <v>133.36477495051457</v>
      </c>
      <c r="AB110">
        <f t="shared" ca="1" si="31"/>
        <v>0</v>
      </c>
      <c r="AC110">
        <f t="shared" ca="1" si="32"/>
        <v>0.99999999999455258</v>
      </c>
      <c r="AD110" s="83">
        <f ca="1"/>
        <v>45596</v>
      </c>
      <c r="AE110" s="55">
        <f t="shared" ca="1" si="41"/>
        <v>45596</v>
      </c>
      <c r="AF110" s="55">
        <f t="shared" ca="1" si="42"/>
        <v>5.2803036153312091</v>
      </c>
      <c r="AG110" s="55">
        <f t="shared" ca="1" si="43"/>
        <v>0</v>
      </c>
      <c r="AH110" s="55">
        <f t="shared" ca="1" si="44"/>
        <v>0</v>
      </c>
      <c r="AI110" s="55">
        <f t="shared" ca="1" si="38"/>
        <v>-1.6138057399756414</v>
      </c>
      <c r="AJ110" s="55">
        <f t="shared" ca="1" si="39"/>
        <v>70.076272203920198</v>
      </c>
      <c r="AK110" s="55">
        <f t="shared" ca="1" si="40"/>
        <v>-91.160275911978204</v>
      </c>
    </row>
    <row r="111" spans="18:37">
      <c r="R111" s="83">
        <f ca="1"/>
        <v>45456</v>
      </c>
      <c r="S111" s="55">
        <f t="shared" ca="1" si="33"/>
        <v>45456</v>
      </c>
      <c r="T111" s="55">
        <f t="shared" ca="1" si="27"/>
        <v>126.44260362895425</v>
      </c>
      <c r="U111" s="55">
        <f t="shared" ca="1" si="28"/>
        <v>275.087607722146</v>
      </c>
      <c r="V111" s="55">
        <f t="shared" ca="1" si="29"/>
        <v>97.780808545644419</v>
      </c>
      <c r="W111" s="55">
        <f t="shared" ca="1" si="34"/>
        <v>-88.464718231147387</v>
      </c>
      <c r="X111" s="55">
        <f t="shared" ca="1" si="35"/>
        <v>84.303796778312091</v>
      </c>
      <c r="Y111" s="55">
        <f t="shared" ca="1" si="36"/>
        <v>146.33580729603989</v>
      </c>
      <c r="Z111">
        <f t="shared" ca="1" si="30"/>
        <v>120</v>
      </c>
      <c r="AA111">
        <f t="shared" ca="1" si="37"/>
        <v>133.46979337275388</v>
      </c>
      <c r="AB111">
        <f t="shared" ca="1" si="31"/>
        <v>0</v>
      </c>
      <c r="AC111">
        <f t="shared" ca="1" si="32"/>
        <v>0.99999999999601386</v>
      </c>
      <c r="AD111" s="83">
        <f ca="1"/>
        <v>45597</v>
      </c>
      <c r="AE111" s="55">
        <f t="shared" ca="1" si="41"/>
        <v>45597</v>
      </c>
      <c r="AF111" s="55">
        <f t="shared" ca="1" si="42"/>
        <v>6.591037604355412</v>
      </c>
      <c r="AG111" s="55">
        <f t="shared" ca="1" si="43"/>
        <v>0</v>
      </c>
      <c r="AH111" s="55">
        <f t="shared" ca="1" si="44"/>
        <v>0</v>
      </c>
      <c r="AI111" s="55">
        <f t="shared" ca="1" si="38"/>
        <v>-1.6138057399756414</v>
      </c>
      <c r="AJ111" s="55">
        <f t="shared" ca="1" si="39"/>
        <v>70.927394463468602</v>
      </c>
      <c r="AK111" s="55">
        <f t="shared" ca="1" si="40"/>
        <v>-90.700664182502408</v>
      </c>
    </row>
    <row r="112" spans="18:37">
      <c r="R112" s="83">
        <f ca="1"/>
        <v>45457</v>
      </c>
      <c r="S112" s="55">
        <f t="shared" ca="1" si="33"/>
        <v>45457</v>
      </c>
      <c r="T112" s="55">
        <f t="shared" ca="1" si="27"/>
        <v>122.70194647006988</v>
      </c>
      <c r="U112" s="55">
        <f t="shared" ca="1" si="28"/>
        <v>278.34826985373707</v>
      </c>
      <c r="V112" s="55">
        <f t="shared" ca="1" si="29"/>
        <v>0</v>
      </c>
      <c r="W112" s="55">
        <f t="shared" ca="1" si="34"/>
        <v>-89.575442367724179</v>
      </c>
      <c r="X112" s="55">
        <f t="shared" ca="1" si="35"/>
        <v>84.922104186249015</v>
      </c>
      <c r="Y112" s="55">
        <f t="shared" ca="1" si="36"/>
        <v>146.34822899738646</v>
      </c>
      <c r="Z112">
        <f t="shared" ca="1" si="30"/>
        <v>120</v>
      </c>
      <c r="AA112">
        <f t="shared" ca="1" si="37"/>
        <v>134.75616046198806</v>
      </c>
      <c r="AB112">
        <f t="shared" ca="1" si="31"/>
        <v>0</v>
      </c>
      <c r="AC112">
        <f t="shared" ca="1" si="32"/>
        <v>0.99999999999698219</v>
      </c>
      <c r="AD112" s="83">
        <f ca="1"/>
        <v>45598</v>
      </c>
      <c r="AE112" s="55">
        <f t="shared" ca="1" si="41"/>
        <v>45598</v>
      </c>
      <c r="AF112" s="55">
        <f t="shared" ca="1" si="42"/>
        <v>8.1123026806692913</v>
      </c>
      <c r="AG112" s="55">
        <f t="shared" ca="1" si="43"/>
        <v>0</v>
      </c>
      <c r="AH112" s="55">
        <f t="shared" ca="1" si="44"/>
        <v>0</v>
      </c>
      <c r="AI112" s="55">
        <f t="shared" ca="1" si="38"/>
        <v>-1.6138057399756414</v>
      </c>
      <c r="AJ112" s="55">
        <f t="shared" ca="1" si="39"/>
        <v>71.914483981480345</v>
      </c>
      <c r="AK112" s="55">
        <f t="shared" ca="1" si="40"/>
        <v>-90.166488624200269</v>
      </c>
    </row>
    <row r="113" spans="18:37">
      <c r="R113" s="83">
        <f ca="1"/>
        <v>45458</v>
      </c>
      <c r="S113" s="55">
        <f t="shared" ca="1" si="33"/>
        <v>45458</v>
      </c>
      <c r="T113" s="55">
        <f t="shared" ca="1" si="27"/>
        <v>118.30179727570265</v>
      </c>
      <c r="U113" s="55">
        <f t="shared" ca="1" si="28"/>
        <v>281.92273637755409</v>
      </c>
      <c r="V113" s="55">
        <f t="shared" ca="1" si="29"/>
        <v>0</v>
      </c>
      <c r="W113" s="55">
        <f t="shared" ca="1" si="34"/>
        <v>-91.104730853868546</v>
      </c>
      <c r="X113" s="55">
        <f t="shared" ca="1" si="35"/>
        <v>85.611894053482033</v>
      </c>
      <c r="Y113" s="55">
        <f t="shared" ca="1" si="36"/>
        <v>146.36204494574761</v>
      </c>
      <c r="Z113">
        <f t="shared" ca="1" si="30"/>
        <v>120</v>
      </c>
      <c r="AA113">
        <f t="shared" ca="1" si="37"/>
        <v>136.59315658353827</v>
      </c>
      <c r="AB113">
        <f t="shared" ca="1" si="31"/>
        <v>0</v>
      </c>
      <c r="AC113">
        <f t="shared" ca="1" si="32"/>
        <v>0.9999999999977911</v>
      </c>
      <c r="AD113" s="83">
        <f ca="1"/>
        <v>45599</v>
      </c>
      <c r="AE113" s="55">
        <f t="shared" ca="1" si="41"/>
        <v>45599</v>
      </c>
      <c r="AF113" s="55">
        <f t="shared" ca="1" si="42"/>
        <v>9.5444608950395669</v>
      </c>
      <c r="AG113" s="55">
        <f t="shared" ca="1" si="43"/>
        <v>0</v>
      </c>
      <c r="AH113" s="55">
        <f t="shared" ca="1" si="44"/>
        <v>0</v>
      </c>
      <c r="AI113" s="55">
        <f t="shared" ca="1" si="38"/>
        <v>-1.6138057399756414</v>
      </c>
      <c r="AJ113" s="55">
        <f t="shared" ca="1" si="39"/>
        <v>72.843306973741107</v>
      </c>
      <c r="AK113" s="55">
        <f t="shared" ca="1" si="40"/>
        <v>-89.663153402090757</v>
      </c>
    </row>
    <row r="114" spans="18:37">
      <c r="R114" s="83">
        <f ca="1"/>
        <v>45459</v>
      </c>
      <c r="S114" s="55">
        <f t="shared" ca="1" si="33"/>
        <v>45459</v>
      </c>
      <c r="T114" s="55">
        <f t="shared" ca="1" si="27"/>
        <v>114.19096388685837</v>
      </c>
      <c r="U114" s="55">
        <f t="shared" ca="1" si="28"/>
        <v>285.44478855514495</v>
      </c>
      <c r="V114" s="55">
        <f t="shared" ca="1" si="29"/>
        <v>0</v>
      </c>
      <c r="W114" s="55">
        <f t="shared" ca="1" si="34"/>
        <v>-92.40427030994357</v>
      </c>
      <c r="X114" s="55">
        <f t="shared" ca="1" si="35"/>
        <v>86.308740105010315</v>
      </c>
      <c r="Y114" s="55">
        <f t="shared" ca="1" si="36"/>
        <v>146.37595713904093</v>
      </c>
      <c r="Z114">
        <f t="shared" ca="1" si="30"/>
        <v>120</v>
      </c>
      <c r="AA114">
        <f t="shared" ca="1" si="37"/>
        <v>138.21037208031422</v>
      </c>
      <c r="AB114">
        <f t="shared" ca="1" si="31"/>
        <v>0</v>
      </c>
      <c r="AC114">
        <f t="shared" ca="1" si="32"/>
        <v>0.9999999999983884</v>
      </c>
      <c r="AD114" s="83">
        <f ca="1"/>
        <v>45600</v>
      </c>
      <c r="AE114" s="55">
        <f t="shared" ca="1" si="41"/>
        <v>45600</v>
      </c>
      <c r="AF114" s="55">
        <f t="shared" ca="1" si="42"/>
        <v>10.83795425772724</v>
      </c>
      <c r="AG114" s="55">
        <f t="shared" ca="1" si="43"/>
        <v>0</v>
      </c>
      <c r="AH114" s="55">
        <f t="shared" ca="1" si="44"/>
        <v>0</v>
      </c>
      <c r="AI114" s="55">
        <f t="shared" ca="1" si="38"/>
        <v>-1.6138057399756414</v>
      </c>
      <c r="AJ114" s="55">
        <f t="shared" ca="1" si="39"/>
        <v>73.682042476750581</v>
      </c>
      <c r="AK114" s="55">
        <f t="shared" ca="1" si="40"/>
        <v>-89.208395542412561</v>
      </c>
    </row>
    <row r="115" spans="18:37">
      <c r="R115" s="83">
        <f ca="1"/>
        <v>45460</v>
      </c>
      <c r="S115" s="55">
        <f t="shared" ca="1" si="33"/>
        <v>45460</v>
      </c>
      <c r="T115" s="55">
        <f t="shared" ca="1" si="27"/>
        <v>107.84258594214515</v>
      </c>
      <c r="U115" s="55">
        <f t="shared" ca="1" si="28"/>
        <v>288.90514197406179</v>
      </c>
      <c r="V115" s="55">
        <f t="shared" ca="1" si="29"/>
        <v>0</v>
      </c>
      <c r="W115" s="55">
        <f t="shared" ca="1" si="34"/>
        <v>-96.009088249616781</v>
      </c>
      <c r="X115" s="55">
        <f t="shared" ca="1" si="35"/>
        <v>87.011548660688945</v>
      </c>
      <c r="Y115" s="55">
        <f t="shared" ca="1" si="36"/>
        <v>146.38994199723913</v>
      </c>
      <c r="Z115">
        <f t="shared" ca="1" si="30"/>
        <v>120</v>
      </c>
      <c r="AA115">
        <f t="shared" ca="1" si="37"/>
        <v>142.96047703633204</v>
      </c>
      <c r="AB115">
        <f t="shared" ca="1" si="31"/>
        <v>0</v>
      </c>
      <c r="AC115">
        <f t="shared" ca="1" si="32"/>
        <v>0.99999999999882738</v>
      </c>
      <c r="AD115" s="83">
        <f ca="1"/>
        <v>45601</v>
      </c>
      <c r="AE115" s="55">
        <f t="shared" ca="1" si="41"/>
        <v>45601</v>
      </c>
      <c r="AF115" s="55">
        <f t="shared" ca="1" si="42"/>
        <v>12.029263946127156</v>
      </c>
      <c r="AG115" s="55">
        <f t="shared" ca="1" si="43"/>
        <v>0</v>
      </c>
      <c r="AH115" s="55">
        <f t="shared" ca="1" si="44"/>
        <v>0</v>
      </c>
      <c r="AI115" s="55">
        <f t="shared" ca="1" si="38"/>
        <v>-1.6138057399756414</v>
      </c>
      <c r="AJ115" s="55">
        <f t="shared" ca="1" si="39"/>
        <v>74.454546197987355</v>
      </c>
      <c r="AK115" s="55">
        <f t="shared" ca="1" si="40"/>
        <v>-88.789589575249423</v>
      </c>
    </row>
    <row r="116" spans="18:37">
      <c r="R116" s="83">
        <f ca="1"/>
        <v>45461</v>
      </c>
      <c r="S116" s="55">
        <f t="shared" ca="1" si="33"/>
        <v>45461</v>
      </c>
      <c r="T116" s="55">
        <f t="shared" ca="1" si="27"/>
        <v>97.448941403706229</v>
      </c>
      <c r="U116" s="55">
        <f t="shared" ca="1" si="28"/>
        <v>292.38512611179624</v>
      </c>
      <c r="V116" s="55">
        <f t="shared" ca="1" si="29"/>
        <v>0</v>
      </c>
      <c r="W116" s="55">
        <f t="shared" ca="1" si="34"/>
        <v>-103.66414674473008</v>
      </c>
      <c r="X116" s="55">
        <f t="shared" ca="1" si="35"/>
        <v>87.738530553772236</v>
      </c>
      <c r="Y116" s="55">
        <f t="shared" ca="1" si="36"/>
        <v>146.40435819856467</v>
      </c>
      <c r="Z116">
        <f t="shared" ca="1" si="30"/>
        <v>120</v>
      </c>
      <c r="AA116">
        <f t="shared" ca="1" si="37"/>
        <v>154.12349313755959</v>
      </c>
      <c r="AB116">
        <f t="shared" ca="1" si="31"/>
        <v>0</v>
      </c>
      <c r="AC116">
        <f t="shared" ca="1" si="32"/>
        <v>0.99999999999915601</v>
      </c>
      <c r="AD116" s="83">
        <f ca="1"/>
        <v>45602</v>
      </c>
      <c r="AE116" s="55">
        <f t="shared" ca="1" si="41"/>
        <v>45602</v>
      </c>
      <c r="AF116" s="55">
        <f t="shared" ca="1" si="42"/>
        <v>13.217673761166029</v>
      </c>
      <c r="AG116" s="55">
        <f t="shared" ca="1" si="43"/>
        <v>0</v>
      </c>
      <c r="AH116" s="55">
        <f t="shared" ca="1" si="44"/>
        <v>0</v>
      </c>
      <c r="AI116" s="55">
        <f t="shared" ca="1" si="38"/>
        <v>-1.6138057399756414</v>
      </c>
      <c r="AJ116" s="55">
        <f t="shared" ca="1" si="39"/>
        <v>75.225329510846123</v>
      </c>
      <c r="AK116" s="55">
        <f t="shared" ca="1" si="40"/>
        <v>-88.37196307306931</v>
      </c>
    </row>
    <row r="117" spans="18:37">
      <c r="R117" s="83">
        <f ca="1"/>
        <v>45462</v>
      </c>
      <c r="S117" s="55">
        <f t="shared" ca="1" si="33"/>
        <v>45462</v>
      </c>
      <c r="T117" s="55">
        <f t="shared" ca="1" si="27"/>
        <v>89.655500543204269</v>
      </c>
      <c r="U117" s="55">
        <f t="shared" ca="1" si="28"/>
        <v>295.75005615729145</v>
      </c>
      <c r="V117" s="55">
        <f t="shared" ca="1" si="29"/>
        <v>0</v>
      </c>
      <c r="W117" s="55">
        <f t="shared" ca="1" si="34"/>
        <v>-108.83055803517017</v>
      </c>
      <c r="X117" s="55">
        <f t="shared" ca="1" si="35"/>
        <v>88.462132828991159</v>
      </c>
      <c r="Y117" s="55">
        <f t="shared" ca="1" si="36"/>
        <v>146.41865639877909</v>
      </c>
      <c r="Z117">
        <f t="shared" ca="1" si="30"/>
        <v>120</v>
      </c>
      <c r="AA117">
        <f t="shared" ca="1" si="37"/>
        <v>162.31232964576822</v>
      </c>
      <c r="AB117">
        <f t="shared" ca="1" si="31"/>
        <v>0</v>
      </c>
      <c r="AC117">
        <f t="shared" ca="1" si="32"/>
        <v>0.9999999999993916</v>
      </c>
      <c r="AD117" s="83">
        <f ca="1"/>
        <v>45603</v>
      </c>
      <c r="AE117" s="55">
        <f t="shared" ca="1" si="41"/>
        <v>45603</v>
      </c>
      <c r="AF117" s="55">
        <f t="shared" ca="1" si="42"/>
        <v>14.446476013640559</v>
      </c>
      <c r="AG117" s="55">
        <f t="shared" ca="1" si="43"/>
        <v>0</v>
      </c>
      <c r="AH117" s="55">
        <f t="shared" ca="1" si="44"/>
        <v>0</v>
      </c>
      <c r="AI117" s="55">
        <f t="shared" ca="1" si="38"/>
        <v>-1.6138057399756414</v>
      </c>
      <c r="AJ117" s="55">
        <f t="shared" ca="1" si="39"/>
        <v>76.022610505410597</v>
      </c>
      <c r="AK117" s="55">
        <f t="shared" ca="1" si="40"/>
        <v>-87.940441815159247</v>
      </c>
    </row>
    <row r="118" spans="18:37">
      <c r="R118" s="83">
        <f ca="1"/>
        <v>45463</v>
      </c>
      <c r="S118" s="55">
        <f t="shared" ca="1" si="33"/>
        <v>45463</v>
      </c>
      <c r="T118" s="55">
        <f t="shared" ca="1" si="27"/>
        <v>86.652715871543407</v>
      </c>
      <c r="U118" s="55">
        <f t="shared" ca="1" si="28"/>
        <v>298.83799557672859</v>
      </c>
      <c r="V118" s="55">
        <f t="shared" ca="1" si="29"/>
        <v>0</v>
      </c>
      <c r="W118" s="55">
        <f t="shared" ca="1" si="34"/>
        <v>-109.44237827825091</v>
      </c>
      <c r="X118" s="55">
        <f t="shared" ca="1" si="35"/>
        <v>89.145649275483152</v>
      </c>
      <c r="Y118" s="55">
        <f t="shared" ca="1" si="36"/>
        <v>146.43211494314411</v>
      </c>
      <c r="Z118">
        <f t="shared" ca="1" si="30"/>
        <v>120</v>
      </c>
      <c r="AA118">
        <f t="shared" ca="1" si="37"/>
        <v>163.31567819374914</v>
      </c>
      <c r="AB118">
        <f t="shared" ca="1" si="31"/>
        <v>0</v>
      </c>
      <c r="AC118">
        <f t="shared" ca="1" si="32"/>
        <v>0.99999999999955325</v>
      </c>
      <c r="AD118" s="83">
        <f ca="1"/>
        <v>45604</v>
      </c>
      <c r="AE118" s="55">
        <f t="shared" ca="1" si="41"/>
        <v>45604</v>
      </c>
      <c r="AF118" s="55">
        <f t="shared" ca="1" si="42"/>
        <v>15.702602538226412</v>
      </c>
      <c r="AG118" s="55">
        <f t="shared" ca="1" si="43"/>
        <v>0</v>
      </c>
      <c r="AH118" s="55">
        <f t="shared" ca="1" si="44"/>
        <v>0</v>
      </c>
      <c r="AI118" s="55">
        <f t="shared" ca="1" si="38"/>
        <v>-1.6138057399756414</v>
      </c>
      <c r="AJ118" s="55">
        <f t="shared" ca="1" si="39"/>
        <v>76.838069433981957</v>
      </c>
      <c r="AK118" s="55">
        <f t="shared" ca="1" si="40"/>
        <v>-87.499774219144754</v>
      </c>
    </row>
    <row r="119" spans="18:37">
      <c r="R119" s="83">
        <f ca="1"/>
        <v>45464</v>
      </c>
      <c r="S119" s="55">
        <f t="shared" ca="1" si="33"/>
        <v>45464</v>
      </c>
      <c r="T119" s="55">
        <f t="shared" ca="1" si="27"/>
        <v>83.963614326257883</v>
      </c>
      <c r="U119" s="55">
        <f t="shared" ca="1" si="28"/>
        <v>301.52490520207527</v>
      </c>
      <c r="V119" s="55">
        <f t="shared" ca="1" si="29"/>
        <v>0</v>
      </c>
      <c r="W119" s="55">
        <f t="shared" ca="1" si="34"/>
        <v>-110.07139544559159</v>
      </c>
      <c r="X119" s="55">
        <f t="shared" ca="1" si="35"/>
        <v>89.760410004755883</v>
      </c>
      <c r="Y119" s="55">
        <f t="shared" ca="1" si="36"/>
        <v>146.44417946127322</v>
      </c>
      <c r="Z119">
        <f t="shared" ca="1" si="30"/>
        <v>120</v>
      </c>
      <c r="AA119">
        <f t="shared" ca="1" si="37"/>
        <v>164.38026612047238</v>
      </c>
      <c r="AB119">
        <f t="shared" ca="1" si="31"/>
        <v>0</v>
      </c>
      <c r="AC119">
        <f t="shared" ca="1" si="32"/>
        <v>0.99999999999966116</v>
      </c>
      <c r="AD119" s="83">
        <f ca="1"/>
        <v>45605</v>
      </c>
      <c r="AE119" s="55">
        <f t="shared" ca="1" si="41"/>
        <v>45605</v>
      </c>
      <c r="AF119" s="55">
        <f t="shared" ca="1" si="42"/>
        <v>16.888381628264817</v>
      </c>
      <c r="AG119" s="55">
        <f t="shared" ca="1" si="43"/>
        <v>0</v>
      </c>
      <c r="AH119" s="55">
        <f t="shared" ca="1" si="44"/>
        <v>0</v>
      </c>
      <c r="AI119" s="55">
        <f t="shared" ca="1" si="38"/>
        <v>-1.6138057399756414</v>
      </c>
      <c r="AJ119" s="55">
        <f t="shared" ca="1" si="39"/>
        <v>77.608395006934344</v>
      </c>
      <c r="AK119" s="55">
        <f t="shared" ca="1" si="40"/>
        <v>-87.084320702058733</v>
      </c>
    </row>
    <row r="120" spans="18:37">
      <c r="R120" s="83">
        <f ca="1"/>
        <v>45465</v>
      </c>
      <c r="S120" s="55">
        <f t="shared" ca="1" si="33"/>
        <v>45465</v>
      </c>
      <c r="T120" s="55">
        <f t="shared" ca="1" si="27"/>
        <v>80.719553053458483</v>
      </c>
      <c r="U120" s="55">
        <f t="shared" ca="1" si="28"/>
        <v>304.15551971963299</v>
      </c>
      <c r="V120" s="55">
        <f t="shared" ca="1" si="29"/>
        <v>0</v>
      </c>
      <c r="W120" s="55">
        <f t="shared" ca="1" si="34"/>
        <v>-111.31483136015301</v>
      </c>
      <c r="X120" s="55">
        <f t="shared" ca="1" si="35"/>
        <v>90.378312094598769</v>
      </c>
      <c r="Y120" s="55">
        <f t="shared" ca="1" si="36"/>
        <v>146.45626653075007</v>
      </c>
      <c r="Z120">
        <f t="shared" ca="1" si="30"/>
        <v>120</v>
      </c>
      <c r="AA120">
        <f t="shared" ca="1" si="37"/>
        <v>166.5693117875328</v>
      </c>
      <c r="AB120">
        <f t="shared" ca="1" si="31"/>
        <v>0</v>
      </c>
      <c r="AC120">
        <f t="shared" ca="1" si="32"/>
        <v>0.99999999999974354</v>
      </c>
      <c r="AD120" s="83">
        <f ca="1"/>
        <v>45606</v>
      </c>
      <c r="AE120" s="55">
        <f t="shared" ca="1" si="41"/>
        <v>45606</v>
      </c>
      <c r="AF120" s="55">
        <f t="shared" ca="1" si="42"/>
        <v>18.128560096749634</v>
      </c>
      <c r="AG120" s="55">
        <f t="shared" ca="1" si="43"/>
        <v>0</v>
      </c>
      <c r="AH120" s="55">
        <f t="shared" ca="1" si="44"/>
        <v>0</v>
      </c>
      <c r="AI120" s="55">
        <f t="shared" ca="1" si="38"/>
        <v>-1.6138057399756414</v>
      </c>
      <c r="AJ120" s="55">
        <f t="shared" ca="1" si="39"/>
        <v>78.414734201657836</v>
      </c>
      <c r="AK120" s="55">
        <f t="shared" ca="1" si="40"/>
        <v>-86.650481428297411</v>
      </c>
    </row>
    <row r="121" spans="18:37">
      <c r="R121" s="83">
        <f ca="1"/>
        <v>45466</v>
      </c>
      <c r="S121" s="55">
        <f t="shared" ca="1" si="33"/>
        <v>45466</v>
      </c>
      <c r="T121" s="55">
        <f t="shared" ca="1" si="27"/>
        <v>76.958740899013563</v>
      </c>
      <c r="U121" s="55">
        <f t="shared" ca="1" si="28"/>
        <v>307.08802025770291</v>
      </c>
      <c r="V121" s="55">
        <f t="shared" ca="1" si="29"/>
        <v>0</v>
      </c>
      <c r="W121" s="55">
        <f t="shared" ca="1" si="34"/>
        <v>-112.86260991540424</v>
      </c>
      <c r="X121" s="55">
        <f t="shared" ca="1" si="35"/>
        <v>91.084023180851361</v>
      </c>
      <c r="Y121" s="55">
        <f t="shared" ca="1" si="36"/>
        <v>146.4700223833737</v>
      </c>
      <c r="Z121">
        <f t="shared" ca="1" si="30"/>
        <v>120</v>
      </c>
      <c r="AA121">
        <f t="shared" ca="1" si="37"/>
        <v>169.42730395755467</v>
      </c>
      <c r="AB121">
        <f t="shared" ca="1" si="31"/>
        <v>0</v>
      </c>
      <c r="AC121">
        <f t="shared" ca="1" si="32"/>
        <v>0.99999999999981348</v>
      </c>
      <c r="AD121" s="83">
        <f ca="1"/>
        <v>45607</v>
      </c>
      <c r="AE121" s="55">
        <f t="shared" ca="1" si="41"/>
        <v>45607</v>
      </c>
      <c r="AF121" s="55">
        <f t="shared" ca="1" si="42"/>
        <v>19.285520200832583</v>
      </c>
      <c r="AG121" s="55">
        <f t="shared" ca="1" si="43"/>
        <v>0</v>
      </c>
      <c r="AH121" s="55">
        <f t="shared" ca="1" si="44"/>
        <v>0</v>
      </c>
      <c r="AI121" s="55">
        <f t="shared" ca="1" si="38"/>
        <v>-1.6138057399756414</v>
      </c>
      <c r="AJ121" s="55">
        <f t="shared" ca="1" si="39"/>
        <v>79.16768843896719</v>
      </c>
      <c r="AK121" s="55">
        <f t="shared" ca="1" si="40"/>
        <v>-86.246475561523809</v>
      </c>
    </row>
    <row r="122" spans="18:37">
      <c r="R122" s="83">
        <f ca="1"/>
        <v>45467</v>
      </c>
      <c r="S122" s="55">
        <f t="shared" ca="1" si="33"/>
        <v>45467</v>
      </c>
      <c r="T122" s="55">
        <f t="shared" ca="1" si="27"/>
        <v>73.902553205742393</v>
      </c>
      <c r="U122" s="55">
        <f t="shared" ca="1" si="28"/>
        <v>309.69787140266544</v>
      </c>
      <c r="V122" s="55">
        <f t="shared" ca="1" si="29"/>
        <v>0</v>
      </c>
      <c r="W122" s="55">
        <f t="shared" ca="1" si="34"/>
        <v>-113.9705480528622</v>
      </c>
      <c r="X122" s="55">
        <f t="shared" ca="1" si="35"/>
        <v>91.733021333234888</v>
      </c>
      <c r="Y122" s="55">
        <f t="shared" ca="1" si="36"/>
        <v>146.4826258201395</v>
      </c>
      <c r="Z122">
        <f t="shared" ca="1" si="30"/>
        <v>120</v>
      </c>
      <c r="AA122">
        <f t="shared" ca="1" si="37"/>
        <v>171.55772887193905</v>
      </c>
      <c r="AB122">
        <f t="shared" ca="1" si="31"/>
        <v>0</v>
      </c>
      <c r="AC122">
        <f t="shared" ca="1" si="32"/>
        <v>0.999999999999861</v>
      </c>
      <c r="AD122" s="83">
        <f ca="1"/>
        <v>45608</v>
      </c>
      <c r="AE122" s="55">
        <f t="shared" ca="1" si="41"/>
        <v>45608</v>
      </c>
      <c r="AF122" s="55">
        <f t="shared" ca="1" si="42"/>
        <v>20.335766513477122</v>
      </c>
      <c r="AG122" s="55">
        <f t="shared" ca="1" si="43"/>
        <v>0</v>
      </c>
      <c r="AH122" s="55">
        <f t="shared" ca="1" si="44"/>
        <v>0</v>
      </c>
      <c r="AI122" s="55">
        <f t="shared" ca="1" si="38"/>
        <v>-1.6138057399756414</v>
      </c>
      <c r="AJ122" s="55">
        <f t="shared" ca="1" si="39"/>
        <v>79.851874022632487</v>
      </c>
      <c r="AK122" s="55">
        <f t="shared" ca="1" si="40"/>
        <v>-85.880414832544574</v>
      </c>
    </row>
    <row r="123" spans="18:37">
      <c r="R123" s="83">
        <f ca="1"/>
        <v>45468</v>
      </c>
      <c r="S123" s="55">
        <f t="shared" ca="1" si="33"/>
        <v>45468</v>
      </c>
      <c r="T123" s="55">
        <f t="shared" ca="1" si="27"/>
        <v>71.980443649422085</v>
      </c>
      <c r="U123" s="55">
        <f t="shared" ca="1" si="28"/>
        <v>312.12968937446607</v>
      </c>
      <c r="V123" s="55">
        <f t="shared" ca="1" si="29"/>
        <v>0</v>
      </c>
      <c r="W123" s="55">
        <f t="shared" ca="1" si="34"/>
        <v>-114.09742774446987</v>
      </c>
      <c r="X123" s="55">
        <f t="shared" ca="1" si="35"/>
        <v>92.357525037915849</v>
      </c>
      <c r="Y123" s="55">
        <f t="shared" ca="1" si="36"/>
        <v>146.49471022254653</v>
      </c>
      <c r="Z123">
        <f t="shared" ca="1" si="30"/>
        <v>120</v>
      </c>
      <c r="AA123">
        <f t="shared" ca="1" si="37"/>
        <v>171.80821735257575</v>
      </c>
      <c r="AB123">
        <f t="shared" ca="1" si="31"/>
        <v>0</v>
      </c>
      <c r="AC123">
        <f t="shared" ca="1" si="32"/>
        <v>0.99999999999989497</v>
      </c>
      <c r="AD123" s="83">
        <f ca="1"/>
        <v>45609</v>
      </c>
      <c r="AE123" s="55">
        <f t="shared" ca="1" si="41"/>
        <v>45609</v>
      </c>
      <c r="AF123" s="55">
        <f t="shared" ca="1" si="42"/>
        <v>21.338714384138651</v>
      </c>
      <c r="AG123" s="55">
        <f t="shared" ca="1" si="43"/>
        <v>0</v>
      </c>
      <c r="AH123" s="55">
        <f t="shared" ca="1" si="44"/>
        <v>0</v>
      </c>
      <c r="AI123" s="55">
        <f t="shared" ca="1" si="38"/>
        <v>-1.6138057399756414</v>
      </c>
      <c r="AJ123" s="55">
        <f t="shared" ca="1" si="39"/>
        <v>80.505913641273651</v>
      </c>
      <c r="AK123" s="55">
        <f t="shared" ca="1" si="40"/>
        <v>-85.531506580524209</v>
      </c>
    </row>
    <row r="124" spans="18:37">
      <c r="R124" s="83">
        <f ca="1"/>
        <v>45469</v>
      </c>
      <c r="S124" s="55">
        <f t="shared" ca="1" si="33"/>
        <v>45469</v>
      </c>
      <c r="T124" s="55">
        <f t="shared" ca="1" si="27"/>
        <v>69.304073869505999</v>
      </c>
      <c r="U124" s="55">
        <f t="shared" ca="1" si="28"/>
        <v>314.40007175385807</v>
      </c>
      <c r="V124" s="55">
        <f t="shared" ca="1" si="29"/>
        <v>0</v>
      </c>
      <c r="W124" s="55">
        <f t="shared" ca="1" si="34"/>
        <v>-115.11732693867908</v>
      </c>
      <c r="X124" s="55">
        <f t="shared" ca="1" si="35"/>
        <v>92.95982319004429</v>
      </c>
      <c r="Y124" s="55">
        <f t="shared" ca="1" si="36"/>
        <v>146.50632386410322</v>
      </c>
      <c r="Z124">
        <f t="shared" ca="1" si="30"/>
        <v>120</v>
      </c>
      <c r="AA124">
        <f t="shared" ca="1" si="37"/>
        <v>173.89948032306899</v>
      </c>
      <c r="AB124">
        <f t="shared" ca="1" si="31"/>
        <v>0</v>
      </c>
      <c r="AC124">
        <f t="shared" ca="1" si="32"/>
        <v>0.99999999999991984</v>
      </c>
      <c r="AD124" s="83">
        <f ca="1"/>
        <v>45610</v>
      </c>
      <c r="AE124" s="55">
        <f t="shared" ca="1" si="41"/>
        <v>45610</v>
      </c>
      <c r="AF124" s="55">
        <f t="shared" ca="1" si="42"/>
        <v>22.386315857127212</v>
      </c>
      <c r="AG124" s="55">
        <f t="shared" ca="1" si="43"/>
        <v>0</v>
      </c>
      <c r="AH124" s="55">
        <f t="shared" ca="1" si="44"/>
        <v>0</v>
      </c>
      <c r="AI124" s="55">
        <f t="shared" ca="1" si="38"/>
        <v>-1.6138057399756414</v>
      </c>
      <c r="AJ124" s="55">
        <f t="shared" ca="1" si="39"/>
        <v>81.189827961093059</v>
      </c>
      <c r="AK124" s="55">
        <f t="shared" ca="1" si="40"/>
        <v>-85.167819427355056</v>
      </c>
    </row>
    <row r="125" spans="18:37">
      <c r="R125" s="83">
        <f ca="1"/>
        <v>45470</v>
      </c>
      <c r="S125" s="55">
        <f t="shared" ca="1" si="33"/>
        <v>45470</v>
      </c>
      <c r="T125" s="55">
        <f t="shared" ca="1" si="27"/>
        <v>67.700767699606104</v>
      </c>
      <c r="U125" s="55">
        <f t="shared" ca="1" si="28"/>
        <v>316.62127186050373</v>
      </c>
      <c r="V125" s="55">
        <f t="shared" ca="1" si="29"/>
        <v>0</v>
      </c>
      <c r="W125" s="55">
        <f t="shared" ca="1" si="34"/>
        <v>-115.11732693867908</v>
      </c>
      <c r="X125" s="55">
        <f t="shared" ca="1" si="35"/>
        <v>93.566068876507217</v>
      </c>
      <c r="Y125" s="55">
        <f t="shared" ca="1" si="36"/>
        <v>146.51797211438605</v>
      </c>
      <c r="Z125">
        <f t="shared" ca="1" si="30"/>
        <v>119.91056647581226</v>
      </c>
      <c r="AA125">
        <f t="shared" ca="1" si="37"/>
        <v>173.89948032306899</v>
      </c>
      <c r="AB125">
        <f t="shared" ca="1" si="31"/>
        <v>0</v>
      </c>
      <c r="AC125">
        <f t="shared" ca="1" si="32"/>
        <v>0.99999999999993894</v>
      </c>
      <c r="AD125" s="83">
        <f ca="1"/>
        <v>45611</v>
      </c>
      <c r="AE125" s="55">
        <f t="shared" ca="1" si="41"/>
        <v>45611</v>
      </c>
      <c r="AF125" s="55">
        <f t="shared" ca="1" si="42"/>
        <v>23.606898437214312</v>
      </c>
      <c r="AG125" s="55">
        <f t="shared" ca="1" si="43"/>
        <v>0</v>
      </c>
      <c r="AH125" s="55">
        <f t="shared" ca="1" si="44"/>
        <v>0</v>
      </c>
      <c r="AI125" s="55">
        <f t="shared" ca="1" si="38"/>
        <v>-1.6138057399756414</v>
      </c>
      <c r="AJ125" s="55">
        <f t="shared" ca="1" si="39"/>
        <v>81.98772265638344</v>
      </c>
      <c r="AK125" s="55">
        <f t="shared" ca="1" si="40"/>
        <v>-84.74513154255834</v>
      </c>
    </row>
    <row r="126" spans="18:37">
      <c r="R126" s="83">
        <f ca="1"/>
        <v>45471</v>
      </c>
      <c r="S126" s="55">
        <f t="shared" ca="1" si="33"/>
        <v>45471</v>
      </c>
      <c r="T126" s="55">
        <f t="shared" ca="1" si="27"/>
        <v>65.805624891576542</v>
      </c>
      <c r="U126" s="55">
        <f t="shared" ca="1" si="28"/>
        <v>318.74786662024195</v>
      </c>
      <c r="V126" s="55">
        <f t="shared" ca="1" si="29"/>
        <v>0</v>
      </c>
      <c r="W126" s="55">
        <f t="shared" ca="1" si="34"/>
        <v>-115.49598307907203</v>
      </c>
      <c r="X126" s="55">
        <f t="shared" ca="1" si="35"/>
        <v>94.164716337562837</v>
      </c>
      <c r="Y126" s="55">
        <f t="shared" ca="1" si="36"/>
        <v>146.52943274543205</v>
      </c>
      <c r="Z126">
        <f t="shared" ca="1" si="30"/>
        <v>120</v>
      </c>
      <c r="AA126">
        <f t="shared" ca="1" si="37"/>
        <v>174.71717684316965</v>
      </c>
      <c r="AB126">
        <f t="shared" ca="1" si="31"/>
        <v>0</v>
      </c>
      <c r="AC126">
        <f t="shared" ca="1" si="32"/>
        <v>0.99999999999995337</v>
      </c>
      <c r="AD126" s="83">
        <f ca="1"/>
        <v>45612</v>
      </c>
      <c r="AE126" s="55">
        <f t="shared" ca="1" si="41"/>
        <v>45612</v>
      </c>
      <c r="AF126" s="55">
        <f t="shared" ca="1" si="42"/>
        <v>24.922639805441499</v>
      </c>
      <c r="AG126" s="55">
        <f t="shared" ca="1" si="43"/>
        <v>0</v>
      </c>
      <c r="AH126" s="55">
        <f t="shared" ca="1" si="44"/>
        <v>0</v>
      </c>
      <c r="AI126" s="55">
        <f t="shared" ca="1" si="38"/>
        <v>-1.6138057399756414</v>
      </c>
      <c r="AJ126" s="55">
        <f t="shared" ca="1" si="39"/>
        <v>82.849189635015406</v>
      </c>
      <c r="AK126" s="55">
        <f t="shared" ca="1" si="40"/>
        <v>-84.290857152963127</v>
      </c>
    </row>
    <row r="127" spans="18:37">
      <c r="R127" s="83">
        <f ca="1"/>
        <v>45472</v>
      </c>
      <c r="S127" s="55">
        <f t="shared" ca="1" si="33"/>
        <v>45472</v>
      </c>
      <c r="T127" s="55">
        <f t="shared" ca="1" si="27"/>
        <v>63.596754284412718</v>
      </c>
      <c r="U127" s="55">
        <f t="shared" ca="1" si="28"/>
        <v>320.76892637871447</v>
      </c>
      <c r="V127" s="55">
        <f t="shared" ca="1" si="29"/>
        <v>0</v>
      </c>
      <c r="W127" s="55">
        <f t="shared" ca="1" si="34"/>
        <v>-116.28233993253887</v>
      </c>
      <c r="X127" s="55">
        <f t="shared" ca="1" si="35"/>
        <v>94.752059068836189</v>
      </c>
      <c r="Y127" s="55">
        <f t="shared" ca="1" si="36"/>
        <v>146.54063601893424</v>
      </c>
      <c r="Z127">
        <f t="shared" ca="1" si="30"/>
        <v>120</v>
      </c>
      <c r="AA127">
        <f t="shared" ca="1" si="37"/>
        <v>176.47427040643831</v>
      </c>
      <c r="AB127">
        <f t="shared" ca="1" si="31"/>
        <v>0</v>
      </c>
      <c r="AC127">
        <f t="shared" ca="1" si="32"/>
        <v>0.99999999999996425</v>
      </c>
      <c r="AD127" s="83">
        <f ca="1"/>
        <v>45613</v>
      </c>
      <c r="AE127" s="55">
        <f t="shared" ca="1" si="41"/>
        <v>45613</v>
      </c>
      <c r="AF127" s="55">
        <f t="shared" ca="1" si="42"/>
        <v>26.270864610615781</v>
      </c>
      <c r="AG127" s="55">
        <f t="shared" ca="1" si="43"/>
        <v>0</v>
      </c>
      <c r="AH127" s="55">
        <f t="shared" ca="1" si="44"/>
        <v>0</v>
      </c>
      <c r="AI127" s="55">
        <f t="shared" ca="1" si="38"/>
        <v>-1.6138057399756414</v>
      </c>
      <c r="AJ127" s="55">
        <f t="shared" ca="1" si="39"/>
        <v>83.733507033634893</v>
      </c>
      <c r="AK127" s="55">
        <f t="shared" ca="1" si="40"/>
        <v>-83.826949746408332</v>
      </c>
    </row>
    <row r="128" spans="18:37">
      <c r="R128" s="83">
        <f ca="1"/>
        <v>45473</v>
      </c>
      <c r="S128" s="55">
        <f t="shared" ca="1" si="33"/>
        <v>45473</v>
      </c>
      <c r="T128" s="55">
        <f t="shared" ca="1" si="27"/>
        <v>61.610361540189722</v>
      </c>
      <c r="U128" s="55">
        <f t="shared" ca="1" si="28"/>
        <v>322.79702134533522</v>
      </c>
      <c r="V128" s="55">
        <f t="shared" ca="1" si="29"/>
        <v>0</v>
      </c>
      <c r="W128" s="55">
        <f t="shared" ca="1" si="34"/>
        <v>-116.85742072358582</v>
      </c>
      <c r="X128" s="55">
        <f t="shared" ca="1" si="35"/>
        <v>95.357339835298362</v>
      </c>
      <c r="Y128" s="55">
        <f t="shared" ca="1" si="36"/>
        <v>146.55213826591677</v>
      </c>
      <c r="Z128">
        <f t="shared" ca="1" si="30"/>
        <v>120</v>
      </c>
      <c r="AA128">
        <f t="shared" ca="1" si="37"/>
        <v>177.80070325159323</v>
      </c>
      <c r="AB128">
        <f t="shared" ca="1" si="31"/>
        <v>0</v>
      </c>
      <c r="AC128">
        <f t="shared" ca="1" si="32"/>
        <v>0.99999999999997269</v>
      </c>
      <c r="AD128" s="83">
        <f ca="1"/>
        <v>45614</v>
      </c>
      <c r="AE128" s="55">
        <f t="shared" ca="1" si="41"/>
        <v>45614</v>
      </c>
      <c r="AF128" s="55">
        <f t="shared" ca="1" si="42"/>
        <v>27.481246665673424</v>
      </c>
      <c r="AG128" s="55">
        <f t="shared" ca="1" si="43"/>
        <v>0</v>
      </c>
      <c r="AH128" s="55">
        <f t="shared" ca="1" si="44"/>
        <v>0</v>
      </c>
      <c r="AI128" s="55">
        <f t="shared" ca="1" si="38"/>
        <v>-1.6138057399756414</v>
      </c>
      <c r="AJ128" s="55">
        <f t="shared" ca="1" si="39"/>
        <v>84.528867397855748</v>
      </c>
      <c r="AK128" s="55">
        <f t="shared" ca="1" si="40"/>
        <v>-83.411928055571536</v>
      </c>
    </row>
    <row r="129" spans="18:37">
      <c r="R129" s="83">
        <f ca="1"/>
        <v>45474</v>
      </c>
      <c r="S129" s="55">
        <f t="shared" ca="1" si="33"/>
        <v>45474</v>
      </c>
      <c r="T129" s="55">
        <f t="shared" ca="1" si="27"/>
        <v>60.355052659016856</v>
      </c>
      <c r="U129" s="55">
        <f t="shared" ca="1" si="28"/>
        <v>324.63210830772715</v>
      </c>
      <c r="V129" s="55">
        <f t="shared" ca="1" si="29"/>
        <v>0</v>
      </c>
      <c r="W129" s="55">
        <f t="shared" ca="1" si="34"/>
        <v>-116.85742072358582</v>
      </c>
      <c r="X129" s="55">
        <f t="shared" ca="1" si="35"/>
        <v>95.926345672555982</v>
      </c>
      <c r="Y129" s="55">
        <f t="shared" ca="1" si="36"/>
        <v>146.56291050987821</v>
      </c>
      <c r="Z129">
        <f t="shared" ca="1" si="30"/>
        <v>119.59647708716939</v>
      </c>
      <c r="AA129">
        <f t="shared" ca="1" si="37"/>
        <v>177.80070325159323</v>
      </c>
      <c r="AB129">
        <f t="shared" ca="1" si="31"/>
        <v>0</v>
      </c>
      <c r="AC129">
        <f t="shared" ca="1" si="32"/>
        <v>0.99999999999997891</v>
      </c>
      <c r="AD129" s="83">
        <f ca="1"/>
        <v>45615</v>
      </c>
      <c r="AE129" s="55">
        <f t="shared" ca="1" si="41"/>
        <v>45615</v>
      </c>
      <c r="AF129" s="55">
        <f t="shared" ca="1" si="42"/>
        <v>28.681931244015818</v>
      </c>
      <c r="AG129" s="55">
        <f t="shared" ca="1" si="43"/>
        <v>0</v>
      </c>
      <c r="AH129" s="55">
        <f t="shared" ca="1" si="44"/>
        <v>0</v>
      </c>
      <c r="AI129" s="55">
        <f t="shared" ca="1" si="38"/>
        <v>-1.6138057399756414</v>
      </c>
      <c r="AJ129" s="55">
        <f t="shared" ca="1" si="39"/>
        <v>85.319295692926474</v>
      </c>
      <c r="AK129" s="55">
        <f t="shared" ca="1" si="40"/>
        <v>-83.001671772299872</v>
      </c>
    </row>
    <row r="130" spans="18:37">
      <c r="R130" s="83">
        <f ca="1"/>
        <v>45475</v>
      </c>
      <c r="S130" s="55">
        <f t="shared" ca="1" si="33"/>
        <v>45475</v>
      </c>
      <c r="T130" s="55">
        <f t="shared" ca="1" si="27"/>
        <v>58.042351105481416</v>
      </c>
      <c r="U130" s="55">
        <f t="shared" ca="1" si="28"/>
        <v>326.54370247626184</v>
      </c>
      <c r="V130" s="55">
        <f t="shared" ca="1" si="29"/>
        <v>0</v>
      </c>
      <c r="W130" s="55">
        <f t="shared" ca="1" si="34"/>
        <v>-117.87601505054396</v>
      </c>
      <c r="X130" s="55">
        <f t="shared" ca="1" si="35"/>
        <v>96.532403004157459</v>
      </c>
      <c r="Y130" s="55">
        <f t="shared" ca="1" si="36"/>
        <v>146.57434012023413</v>
      </c>
      <c r="Z130">
        <f t="shared" ca="1" si="30"/>
        <v>120</v>
      </c>
      <c r="AA130">
        <f t="shared" ca="1" si="37"/>
        <v>180.29453081244571</v>
      </c>
      <c r="AB130">
        <f t="shared" ca="1" si="31"/>
        <v>0</v>
      </c>
      <c r="AC130">
        <f t="shared" ca="1" si="32"/>
        <v>0.99999999999998379</v>
      </c>
      <c r="AD130" s="83">
        <f ca="1"/>
        <v>45616</v>
      </c>
      <c r="AE130" s="55">
        <f t="shared" ca="1" si="41"/>
        <v>45616</v>
      </c>
      <c r="AF130" s="55">
        <f t="shared" ca="1" si="42"/>
        <v>29.836580724598715</v>
      </c>
      <c r="AG130" s="55">
        <f t="shared" ca="1" si="43"/>
        <v>0</v>
      </c>
      <c r="AH130" s="55">
        <f t="shared" ca="1" si="44"/>
        <v>0</v>
      </c>
      <c r="AI130" s="55">
        <f t="shared" ca="1" si="38"/>
        <v>-1.6138057399756414</v>
      </c>
      <c r="AJ130" s="55">
        <f t="shared" ca="1" si="39"/>
        <v>86.0808394675052</v>
      </c>
      <c r="AK130" s="55">
        <f t="shared" ca="1" si="40"/>
        <v>-82.608566066295708</v>
      </c>
    </row>
    <row r="131" spans="18:37">
      <c r="R131" s="83">
        <f ca="1"/>
        <v>45476</v>
      </c>
      <c r="S131" s="55">
        <f t="shared" ca="1" si="33"/>
        <v>45476</v>
      </c>
      <c r="T131" s="55">
        <f t="shared" ca="1" si="27"/>
        <v>56.841941376509126</v>
      </c>
      <c r="U131" s="55">
        <f t="shared" ca="1" si="28"/>
        <v>328.34689294552612</v>
      </c>
      <c r="V131" s="55">
        <f t="shared" ca="1" si="29"/>
        <v>0</v>
      </c>
      <c r="W131" s="55">
        <f t="shared" ca="1" si="34"/>
        <v>-117.87601505054396</v>
      </c>
      <c r="X131" s="55">
        <f t="shared" ca="1" si="35"/>
        <v>97.124070106703726</v>
      </c>
      <c r="Y131" s="55">
        <f t="shared" ca="1" si="36"/>
        <v>146.58545375797985</v>
      </c>
      <c r="Z131">
        <f t="shared" ca="1" si="30"/>
        <v>119.69131659023442</v>
      </c>
      <c r="AA131">
        <f t="shared" ca="1" si="37"/>
        <v>180.29453081244571</v>
      </c>
      <c r="AB131">
        <f t="shared" ca="1" si="31"/>
        <v>0</v>
      </c>
      <c r="AC131">
        <f t="shared" ca="1" si="32"/>
        <v>0.99999999999998757</v>
      </c>
      <c r="AD131" s="83">
        <f ca="1"/>
        <v>45617</v>
      </c>
      <c r="AE131" s="55">
        <f t="shared" ca="1" si="41"/>
        <v>45617</v>
      </c>
      <c r="AF131" s="55">
        <f t="shared" ca="1" si="42"/>
        <v>30.942685488138512</v>
      </c>
      <c r="AG131" s="55">
        <f t="shared" ca="1" si="43"/>
        <v>0</v>
      </c>
      <c r="AH131" s="55">
        <f t="shared" ca="1" si="44"/>
        <v>0</v>
      </c>
      <c r="AI131" s="55">
        <f t="shared" ca="1" si="38"/>
        <v>-1.6138057399756414</v>
      </c>
      <c r="AJ131" s="55">
        <f t="shared" ca="1" si="39"/>
        <v>86.811730878702946</v>
      </c>
      <c r="AK131" s="55">
        <f t="shared" ca="1" si="40"/>
        <v>-82.233352713953664</v>
      </c>
    </row>
    <row r="132" spans="18:37">
      <c r="R132" s="83">
        <f ca="1"/>
        <v>45477</v>
      </c>
      <c r="S132" s="55">
        <f t="shared" ca="1" si="33"/>
        <v>45477</v>
      </c>
      <c r="T132" s="55">
        <f t="shared" ca="1" si="27"/>
        <v>55.589068082736723</v>
      </c>
      <c r="U132" s="55">
        <f t="shared" ca="1" si="28"/>
        <v>330.25371153054397</v>
      </c>
      <c r="V132" s="55">
        <f t="shared" ca="1" si="29"/>
        <v>0</v>
      </c>
      <c r="W132" s="55">
        <f t="shared" ca="1" si="34"/>
        <v>-117.87601505054396</v>
      </c>
      <c r="X132" s="55">
        <f t="shared" ca="1" si="35"/>
        <v>97.76600814769499</v>
      </c>
      <c r="Y132" s="55">
        <f t="shared" ca="1" si="36"/>
        <v>146.59746100823403</v>
      </c>
      <c r="Z132">
        <f t="shared" ca="1" si="30"/>
        <v>117.75933140059419</v>
      </c>
      <c r="AA132">
        <f t="shared" ca="1" si="37"/>
        <v>180.29453081244571</v>
      </c>
      <c r="AB132">
        <f t="shared" ca="1" si="31"/>
        <v>0</v>
      </c>
      <c r="AC132">
        <f t="shared" ca="1" si="32"/>
        <v>0.99999999999999067</v>
      </c>
      <c r="AD132" s="83">
        <f ca="1"/>
        <v>45618</v>
      </c>
      <c r="AE132" s="55">
        <f t="shared" ca="1" si="41"/>
        <v>45618</v>
      </c>
      <c r="AF132" s="55">
        <f t="shared" ca="1" si="42"/>
        <v>32.002465394131441</v>
      </c>
      <c r="AG132" s="55">
        <f t="shared" ca="1" si="43"/>
        <v>0</v>
      </c>
      <c r="AH132" s="55">
        <f t="shared" ca="1" si="44"/>
        <v>0</v>
      </c>
      <c r="AI132" s="55">
        <f t="shared" ca="1" si="38"/>
        <v>-1.6138057399756414</v>
      </c>
      <c r="AJ132" s="55">
        <f t="shared" ca="1" si="39"/>
        <v>87.513314400530803</v>
      </c>
      <c r="AK132" s="55">
        <f t="shared" ca="1" si="40"/>
        <v>-81.875156329788595</v>
      </c>
    </row>
    <row r="133" spans="18:37">
      <c r="R133" s="83">
        <f ca="1"/>
        <v>45478</v>
      </c>
      <c r="S133" s="55">
        <f t="shared" ca="1" si="33"/>
        <v>45478</v>
      </c>
      <c r="T133" s="55">
        <f t="shared" ca="1" si="27"/>
        <v>54.313700527802865</v>
      </c>
      <c r="U133" s="55">
        <f t="shared" ca="1" si="28"/>
        <v>332.04118971622404</v>
      </c>
      <c r="V133" s="55">
        <f t="shared" ca="1" si="29"/>
        <v>0</v>
      </c>
      <c r="W133" s="55">
        <f t="shared" ca="1" si="34"/>
        <v>-117.99962234817919</v>
      </c>
      <c r="X133" s="55">
        <f t="shared" ca="1" si="35"/>
        <v>98.390103927306924</v>
      </c>
      <c r="Y133" s="55">
        <f t="shared" ca="1" si="36"/>
        <v>146.60908315700354</v>
      </c>
      <c r="Z133">
        <f t="shared" ca="1" si="30"/>
        <v>120</v>
      </c>
      <c r="AA133">
        <f t="shared" ca="1" si="37"/>
        <v>180.61793443598816</v>
      </c>
      <c r="AB133">
        <f t="shared" ca="1" si="31"/>
        <v>0</v>
      </c>
      <c r="AC133">
        <f t="shared" ca="1" si="32"/>
        <v>0.99999999999999289</v>
      </c>
      <c r="AD133" s="83">
        <f ca="1"/>
        <v>45619</v>
      </c>
      <c r="AE133" s="55">
        <f t="shared" ca="1" si="41"/>
        <v>45619</v>
      </c>
      <c r="AF133" s="55">
        <f t="shared" ca="1" si="42"/>
        <v>33.022287339212561</v>
      </c>
      <c r="AG133" s="55">
        <f t="shared" ca="1" si="43"/>
        <v>0</v>
      </c>
      <c r="AH133" s="55">
        <f t="shared" ca="1" si="44"/>
        <v>0</v>
      </c>
      <c r="AI133" s="55">
        <f t="shared" ca="1" si="38"/>
        <v>-1.6138057399756414</v>
      </c>
      <c r="AJ133" s="55">
        <f t="shared" ca="1" si="39"/>
        <v>88.189691447043145</v>
      </c>
      <c r="AK133" s="55">
        <f t="shared" ca="1" si="40"/>
        <v>-81.531711431219819</v>
      </c>
    </row>
    <row r="134" spans="18:37">
      <c r="R134" s="83">
        <f ca="1"/>
        <v>45479</v>
      </c>
      <c r="S134" s="55">
        <f t="shared" ca="1" si="33"/>
        <v>45479</v>
      </c>
      <c r="T134" s="55">
        <f t="shared" ca="1" si="27"/>
        <v>51.788079428818655</v>
      </c>
      <c r="U134" s="55">
        <f t="shared" ca="1" si="28"/>
        <v>333.86815993621673</v>
      </c>
      <c r="V134" s="55">
        <f t="shared" ca="1" si="29"/>
        <v>0</v>
      </c>
      <c r="W134" s="55">
        <f t="shared" ca="1" si="34"/>
        <v>-119.36922162813534</v>
      </c>
      <c r="X134" s="55">
        <f t="shared" ca="1" si="35"/>
        <v>99.048840912251038</v>
      </c>
      <c r="Y134" s="55">
        <f t="shared" ca="1" si="36"/>
        <v>146.62129457302404</v>
      </c>
      <c r="Z134">
        <f t="shared" ca="1" si="30"/>
        <v>120</v>
      </c>
      <c r="AA134">
        <f t="shared" ca="1" si="37"/>
        <v>184.37608241609507</v>
      </c>
      <c r="AB134">
        <f t="shared" ca="1" si="31"/>
        <v>0</v>
      </c>
      <c r="AC134">
        <f t="shared" ca="1" si="32"/>
        <v>0.99999999999999489</v>
      </c>
      <c r="AD134" s="83">
        <f ca="1"/>
        <v>45620</v>
      </c>
      <c r="AE134" s="55">
        <f t="shared" ca="1" si="41"/>
        <v>45620</v>
      </c>
      <c r="AF134" s="55">
        <f t="shared" ca="1" si="42"/>
        <v>34.087968243517807</v>
      </c>
      <c r="AG134" s="55">
        <f t="shared" ca="1" si="43"/>
        <v>0</v>
      </c>
      <c r="AH134" s="55">
        <f t="shared" ca="1" si="44"/>
        <v>0</v>
      </c>
      <c r="AI134" s="55">
        <f t="shared" ca="1" si="38"/>
        <v>-1.6138057399756414</v>
      </c>
      <c r="AJ134" s="55">
        <f t="shared" ca="1" si="39"/>
        <v>88.897831794884169</v>
      </c>
      <c r="AK134" s="55">
        <f t="shared" ca="1" si="40"/>
        <v>-81.174170874755589</v>
      </c>
    </row>
    <row r="135" spans="18:37">
      <c r="R135" s="83">
        <f ca="1"/>
        <v>45480</v>
      </c>
      <c r="S135" s="55">
        <f t="shared" ca="1" si="33"/>
        <v>45480</v>
      </c>
      <c r="T135" s="55">
        <f t="shared" ca="1" si="27"/>
        <v>49.884212911020022</v>
      </c>
      <c r="U135" s="55">
        <f t="shared" ca="1" si="28"/>
        <v>335.4264815476842</v>
      </c>
      <c r="V135" s="55">
        <f t="shared" ca="1" si="29"/>
        <v>0</v>
      </c>
      <c r="W135" s="55">
        <f t="shared" ca="1" si="34"/>
        <v>-120.31294810726767</v>
      </c>
      <c r="X135" s="55">
        <f t="shared" ca="1" si="35"/>
        <v>99.63618364352439</v>
      </c>
      <c r="Y135" s="55">
        <f t="shared" ca="1" si="36"/>
        <v>146.63213341455187</v>
      </c>
      <c r="Z135">
        <f t="shared" ca="1" si="30"/>
        <v>120</v>
      </c>
      <c r="AA135">
        <f t="shared" ca="1" si="37"/>
        <v>187.06447803948373</v>
      </c>
      <c r="AB135">
        <f t="shared" ca="1" si="31"/>
        <v>0</v>
      </c>
      <c r="AC135">
        <f t="shared" ca="1" si="32"/>
        <v>0.999999999999996</v>
      </c>
      <c r="AD135" s="83">
        <f ca="1"/>
        <v>45621</v>
      </c>
      <c r="AE135" s="55">
        <f t="shared" ca="1" si="41"/>
        <v>45621</v>
      </c>
      <c r="AF135" s="55">
        <f t="shared" ca="1" si="42"/>
        <v>35.236555292118695</v>
      </c>
      <c r="AG135" s="55">
        <f t="shared" ca="1" si="43"/>
        <v>0</v>
      </c>
      <c r="AH135" s="55">
        <f t="shared" ca="1" si="44"/>
        <v>0</v>
      </c>
      <c r="AI135" s="55">
        <f t="shared" ca="1" si="38"/>
        <v>-1.6138057399756414</v>
      </c>
      <c r="AJ135" s="55">
        <f t="shared" ca="1" si="39"/>
        <v>89.662654066630964</v>
      </c>
      <c r="AK135" s="55">
        <f t="shared" ca="1" si="40"/>
        <v>-80.790406097901496</v>
      </c>
    </row>
    <row r="136" spans="18:37">
      <c r="R136" s="83">
        <f ca="1"/>
        <v>45481</v>
      </c>
      <c r="S136" s="55">
        <f t="shared" ca="1" si="33"/>
        <v>45481</v>
      </c>
      <c r="T136" s="55">
        <f t="shared" ca="1" si="27"/>
        <v>47.906144172509698</v>
      </c>
      <c r="U136" s="55">
        <f t="shared" ca="1" si="28"/>
        <v>336.86981731836789</v>
      </c>
      <c r="V136" s="55">
        <f t="shared" ca="1" si="29"/>
        <v>0</v>
      </c>
      <c r="W136" s="55">
        <f t="shared" ca="1" si="34"/>
        <v>-121.42310100964008</v>
      </c>
      <c r="X136" s="55">
        <f t="shared" ca="1" si="35"/>
        <v>100.20122066708771</v>
      </c>
      <c r="Y136" s="55">
        <f t="shared" ca="1" si="36"/>
        <v>146.64251632553433</v>
      </c>
      <c r="Z136">
        <f t="shared" ca="1" si="30"/>
        <v>120</v>
      </c>
      <c r="AA136">
        <f t="shared" ca="1" si="37"/>
        <v>190.35755397080985</v>
      </c>
      <c r="AB136">
        <f t="shared" ca="1" si="31"/>
        <v>0</v>
      </c>
      <c r="AC136">
        <f t="shared" ca="1" si="32"/>
        <v>0.99582925128182975</v>
      </c>
      <c r="AD136" s="83">
        <f ca="1"/>
        <v>45622</v>
      </c>
      <c r="AE136" s="55">
        <f t="shared" ca="1" si="41"/>
        <v>45622</v>
      </c>
      <c r="AF136" s="55">
        <f t="shared" ca="1" si="42"/>
        <v>36.364939881606347</v>
      </c>
      <c r="AG136" s="55">
        <f t="shared" ca="1" si="43"/>
        <v>0</v>
      </c>
      <c r="AH136" s="55">
        <f t="shared" ca="1" si="44"/>
        <v>0</v>
      </c>
      <c r="AI136" s="55">
        <f t="shared" ca="1" si="38"/>
        <v>-1.6138057399756414</v>
      </c>
      <c r="AJ136" s="55">
        <f t="shared" ca="1" si="39"/>
        <v>90.415680062426375</v>
      </c>
      <c r="AK136" s="55">
        <f t="shared" ca="1" si="40"/>
        <v>-80.415047504209255</v>
      </c>
    </row>
    <row r="137" spans="18:37">
      <c r="R137" s="83">
        <f ca="1"/>
        <v>45482</v>
      </c>
      <c r="S137" s="55">
        <f t="shared" ca="1" si="33"/>
        <v>45482</v>
      </c>
      <c r="T137" s="55">
        <f t="shared" ca="1" si="27"/>
        <v>46.679517143850312</v>
      </c>
      <c r="U137" s="55">
        <f t="shared" ca="1" si="28"/>
        <v>338.28203642240879</v>
      </c>
      <c r="V137" s="55">
        <f t="shared" ca="1" si="29"/>
        <v>0</v>
      </c>
      <c r="W137" s="55">
        <f t="shared" ca="1" si="34"/>
        <v>-121.8179393260959</v>
      </c>
      <c r="X137" s="55">
        <f t="shared" ca="1" si="35"/>
        <v>100.77122152410023</v>
      </c>
      <c r="Y137" s="55">
        <f t="shared" ca="1" si="36"/>
        <v>146.65294586035915</v>
      </c>
      <c r="Z137">
        <f t="shared" ca="1" si="30"/>
        <v>120</v>
      </c>
      <c r="AA137">
        <f t="shared" ca="1" si="37"/>
        <v>191.55955018452104</v>
      </c>
      <c r="AB137">
        <f t="shared" ca="1" si="31"/>
        <v>0</v>
      </c>
      <c r="AC137">
        <f t="shared" ca="1" si="32"/>
        <v>0.98108022449432442</v>
      </c>
      <c r="AD137" s="83">
        <f ca="1"/>
        <v>45623</v>
      </c>
      <c r="AE137" s="55">
        <f t="shared" ca="1" si="41"/>
        <v>45623</v>
      </c>
      <c r="AF137" s="55">
        <f t="shared" ca="1" si="42"/>
        <v>37.599812893016768</v>
      </c>
      <c r="AG137" s="55">
        <f t="shared" ca="1" si="43"/>
        <v>0</v>
      </c>
      <c r="AH137" s="55">
        <f t="shared" ca="1" si="44"/>
        <v>0</v>
      </c>
      <c r="AI137" s="55">
        <f t="shared" ca="1" si="38"/>
        <v>-1.6138057399756414</v>
      </c>
      <c r="AJ137" s="55">
        <f t="shared" ca="1" si="39"/>
        <v>91.241708200543584</v>
      </c>
      <c r="AK137" s="55">
        <f t="shared" ca="1" si="40"/>
        <v>-80.006202630916036</v>
      </c>
    </row>
    <row r="138" spans="18:37">
      <c r="R138" s="83">
        <f ca="1"/>
        <v>45483</v>
      </c>
      <c r="S138" s="55">
        <f t="shared" ca="1" si="33"/>
        <v>45483</v>
      </c>
      <c r="T138" s="55">
        <f t="shared" ca="1" si="27"/>
        <v>44.774928054639197</v>
      </c>
      <c r="U138" s="55">
        <f t="shared" ca="1" si="28"/>
        <v>339.61518667752341</v>
      </c>
      <c r="V138" s="55">
        <f t="shared" ca="1" si="29"/>
        <v>0</v>
      </c>
      <c r="W138" s="55">
        <f t="shared" ca="1" si="34"/>
        <v>-122.9571817325001</v>
      </c>
      <c r="X138" s="55">
        <f t="shared" ca="1" si="35"/>
        <v>101.3288655319613</v>
      </c>
      <c r="Y138" s="55">
        <f t="shared" ca="1" si="36"/>
        <v>146.66310542480579</v>
      </c>
      <c r="Z138">
        <f t="shared" ca="1" si="30"/>
        <v>120</v>
      </c>
      <c r="AA138">
        <f t="shared" ca="1" si="37"/>
        <v>195.1752420236044</v>
      </c>
      <c r="AB138">
        <f t="shared" ca="1" si="31"/>
        <v>0</v>
      </c>
      <c r="AC138">
        <f t="shared" ca="1" si="32"/>
        <v>0.96670402447091142</v>
      </c>
      <c r="AD138" s="83">
        <f ca="1"/>
        <v>45624</v>
      </c>
      <c r="AE138" s="55">
        <f t="shared" ca="1" si="41"/>
        <v>45624</v>
      </c>
      <c r="AF138" s="55">
        <f t="shared" ca="1" si="42"/>
        <v>38.649379892196613</v>
      </c>
      <c r="AG138" s="55">
        <f t="shared" ca="1" si="43"/>
        <v>0</v>
      </c>
      <c r="AH138" s="55">
        <f t="shared" ca="1" si="44"/>
        <v>0</v>
      </c>
      <c r="AI138" s="55">
        <f t="shared" ca="1" si="38"/>
        <v>-1.6138057399756414</v>
      </c>
      <c r="AJ138" s="55">
        <f t="shared" ca="1" si="39"/>
        <v>91.945416739439139</v>
      </c>
      <c r="AK138" s="55">
        <f t="shared" ca="1" si="40"/>
        <v>-79.660344170631745</v>
      </c>
    </row>
    <row r="139" spans="18:37">
      <c r="R139" s="83">
        <f ca="1"/>
        <v>45484</v>
      </c>
      <c r="S139" s="55">
        <f t="shared" ca="1" si="33"/>
        <v>45484</v>
      </c>
      <c r="T139" s="55">
        <f t="shared" ca="1" si="27"/>
        <v>43.829508456982552</v>
      </c>
      <c r="U139" s="55">
        <f t="shared" ca="1" si="28"/>
        <v>340.95984889348779</v>
      </c>
      <c r="V139" s="55">
        <f t="shared" ca="1" si="29"/>
        <v>0</v>
      </c>
      <c r="W139" s="55">
        <f t="shared" ca="1" si="34"/>
        <v>-123.14616919563417</v>
      </c>
      <c r="X139" s="55">
        <f t="shared" ca="1" si="35"/>
        <v>101.90661604560744</v>
      </c>
      <c r="Y139" s="55">
        <f t="shared" ca="1" si="36"/>
        <v>146.67358499260146</v>
      </c>
      <c r="Z139">
        <f t="shared" ca="1" si="30"/>
        <v>120</v>
      </c>
      <c r="AA139">
        <f t="shared" ca="1" si="37"/>
        <v>195.78798248380301</v>
      </c>
      <c r="AB139">
        <f t="shared" ca="1" si="31"/>
        <v>0</v>
      </c>
      <c r="AC139">
        <f t="shared" ca="1" si="32"/>
        <v>0.95172384508966834</v>
      </c>
      <c r="AD139" s="83">
        <f ca="1"/>
        <v>45625</v>
      </c>
      <c r="AE139" s="55">
        <f t="shared" ca="1" si="41"/>
        <v>45625</v>
      </c>
      <c r="AF139" s="55">
        <f t="shared" ca="1" si="42"/>
        <v>39.844893011423792</v>
      </c>
      <c r="AG139" s="55">
        <f t="shared" ca="1" si="43"/>
        <v>0</v>
      </c>
      <c r="AH139" s="55">
        <f t="shared" ca="1" si="44"/>
        <v>0</v>
      </c>
      <c r="AI139" s="55">
        <f t="shared" ca="1" si="38"/>
        <v>-1.6138057399756414</v>
      </c>
      <c r="AJ139" s="55">
        <f t="shared" ca="1" si="39"/>
        <v>92.74885617460447</v>
      </c>
      <c r="AK139" s="55">
        <f t="shared" ca="1" si="40"/>
        <v>-79.268270486569889</v>
      </c>
    </row>
    <row r="140" spans="18:37">
      <c r="R140" s="83">
        <f ca="1"/>
        <v>45485</v>
      </c>
      <c r="S140" s="55">
        <f t="shared" ca="1" si="33"/>
        <v>45485</v>
      </c>
      <c r="T140" s="55">
        <f t="shared" ca="1" si="27"/>
        <v>41.906905873556731</v>
      </c>
      <c r="U140" s="55">
        <f t="shared" ca="1" si="28"/>
        <v>342.21752149221277</v>
      </c>
      <c r="V140" s="55">
        <f t="shared" ca="1" si="29"/>
        <v>0</v>
      </c>
      <c r="W140" s="55">
        <f t="shared" ca="1" si="34"/>
        <v>-124.38231707153913</v>
      </c>
      <c r="X140" s="55">
        <f t="shared" ca="1" si="35"/>
        <v>102.46770226086119</v>
      </c>
      <c r="Y140" s="55">
        <f t="shared" ca="1" si="36"/>
        <v>146.68371666855182</v>
      </c>
      <c r="Z140">
        <f t="shared" ca="1" si="30"/>
        <v>120</v>
      </c>
      <c r="AA140">
        <f t="shared" ca="1" si="37"/>
        <v>199.97972882121016</v>
      </c>
      <c r="AB140">
        <f t="shared" ca="1" si="31"/>
        <v>0</v>
      </c>
      <c r="AC140">
        <f t="shared" ca="1" si="32"/>
        <v>0.93724325357230931</v>
      </c>
      <c r="AD140" s="83">
        <f ca="1"/>
        <v>45626</v>
      </c>
      <c r="AE140" s="55">
        <f t="shared" ca="1" si="41"/>
        <v>45626</v>
      </c>
      <c r="AF140" s="55">
        <f t="shared" ca="1" si="42"/>
        <v>41.120687823752483</v>
      </c>
      <c r="AG140" s="55">
        <f t="shared" ca="1" si="43"/>
        <v>0</v>
      </c>
      <c r="AH140" s="55">
        <f t="shared" ca="1" si="44"/>
        <v>0</v>
      </c>
      <c r="AI140" s="55">
        <f t="shared" ca="1" si="38"/>
        <v>-1.6138057399756414</v>
      </c>
      <c r="AJ140" s="55">
        <f t="shared" ca="1" si="39"/>
        <v>93.608508716293116</v>
      </c>
      <c r="AK140" s="55">
        <f t="shared" ca="1" si="40"/>
        <v>-78.852128215929838</v>
      </c>
    </row>
    <row r="141" spans="18:37">
      <c r="R141" s="83">
        <f ca="1"/>
        <v>45486</v>
      </c>
      <c r="S141" s="55">
        <f t="shared" ca="1" si="33"/>
        <v>45486</v>
      </c>
      <c r="T141" s="55">
        <f t="shared" ca="1" si="27"/>
        <v>40.321789292664334</v>
      </c>
      <c r="U141" s="55">
        <f t="shared" ca="1" si="28"/>
        <v>343.40871161173936</v>
      </c>
      <c r="V141" s="55">
        <f t="shared" ca="1" si="29"/>
        <v>0</v>
      </c>
      <c r="W141" s="55">
        <f t="shared" ca="1" si="34"/>
        <v>-125.33688415568332</v>
      </c>
      <c r="X141" s="55">
        <f t="shared" ca="1" si="35"/>
        <v>103.01844222924919</v>
      </c>
      <c r="Y141" s="55">
        <f t="shared" ca="1" si="36"/>
        <v>146.6936173229422</v>
      </c>
      <c r="Z141">
        <f t="shared" ca="1" si="30"/>
        <v>120</v>
      </c>
      <c r="AA141">
        <f t="shared" ca="1" si="37"/>
        <v>203.34389021071604</v>
      </c>
      <c r="AB141">
        <f t="shared" ca="1" si="31"/>
        <v>0</v>
      </c>
      <c r="AC141">
        <f t="shared" ca="1" si="32"/>
        <v>0.92307770067060857</v>
      </c>
      <c r="AD141" s="83">
        <f ca="1"/>
        <v>45627</v>
      </c>
      <c r="AE141" s="55">
        <f t="shared" ca="1" si="41"/>
        <v>45627</v>
      </c>
      <c r="AF141" s="55">
        <f t="shared" ca="1" si="42"/>
        <v>42.3339245965009</v>
      </c>
      <c r="AG141" s="55">
        <f t="shared" ca="1" si="43"/>
        <v>0</v>
      </c>
      <c r="AH141" s="55">
        <f t="shared" ca="1" si="44"/>
        <v>0</v>
      </c>
      <c r="AI141" s="55">
        <f t="shared" ca="1" si="38"/>
        <v>-1.6138057399756414</v>
      </c>
      <c r="AJ141" s="55">
        <f t="shared" ca="1" si="39"/>
        <v>94.42822592694057</v>
      </c>
      <c r="AK141" s="55">
        <f t="shared" ca="1" si="40"/>
        <v>-78.458608653828875</v>
      </c>
    </row>
    <row r="142" spans="18:37">
      <c r="R142" s="83">
        <f ca="1"/>
        <v>45487</v>
      </c>
      <c r="S142" s="55">
        <f t="shared" ca="1" si="33"/>
        <v>45487</v>
      </c>
      <c r="T142" s="55">
        <f t="shared" ca="1" si="27"/>
        <v>39.35047706563595</v>
      </c>
      <c r="U142" s="55">
        <f t="shared" ca="1" si="28"/>
        <v>344.69715434667751</v>
      </c>
      <c r="V142" s="55">
        <f t="shared" ca="1" si="29"/>
        <v>0</v>
      </c>
      <c r="W142" s="55">
        <f t="shared" ca="1" si="34"/>
        <v>-125.63828575132329</v>
      </c>
      <c r="X142" s="55">
        <f t="shared" ca="1" si="35"/>
        <v>103.62610177965317</v>
      </c>
      <c r="Y142" s="55">
        <f t="shared" ca="1" si="36"/>
        <v>146.70448987608796</v>
      </c>
      <c r="Z142">
        <f t="shared" ca="1" si="30"/>
        <v>120</v>
      </c>
      <c r="AA142">
        <f t="shared" ca="1" si="37"/>
        <v>204.43233325533754</v>
      </c>
      <c r="AB142">
        <f t="shared" ca="1" si="31"/>
        <v>0</v>
      </c>
      <c r="AC142">
        <f t="shared" ca="1" si="32"/>
        <v>0.90722375092770124</v>
      </c>
      <c r="AD142" s="83">
        <f ca="1"/>
        <v>45628</v>
      </c>
      <c r="AE142" s="55">
        <f t="shared" ca="1" si="41"/>
        <v>45628</v>
      </c>
      <c r="AF142" s="55">
        <f t="shared" ca="1" si="42"/>
        <v>43.50386447930024</v>
      </c>
      <c r="AG142" s="55">
        <f t="shared" ca="1" si="43"/>
        <v>0</v>
      </c>
      <c r="AH142" s="55">
        <f t="shared" ca="1" si="44"/>
        <v>0</v>
      </c>
      <c r="AI142" s="55">
        <f t="shared" ca="1" si="38"/>
        <v>-1.6138057399756414</v>
      </c>
      <c r="AJ142" s="55">
        <f t="shared" ca="1" si="39"/>
        <v>95.220783550253628</v>
      </c>
      <c r="AK142" s="55">
        <f t="shared" ca="1" si="40"/>
        <v>-78.081226394342593</v>
      </c>
    </row>
    <row r="143" spans="18:37">
      <c r="R143" s="83">
        <f ca="1"/>
        <v>45488</v>
      </c>
      <c r="S143" s="55">
        <f t="shared" ca="1" si="33"/>
        <v>45488</v>
      </c>
      <c r="T143" s="55">
        <f t="shared" ca="1" si="27"/>
        <v>37.339484494814918</v>
      </c>
      <c r="U143" s="55">
        <f t="shared" ca="1" si="28"/>
        <v>345.93961177444544</v>
      </c>
      <c r="V143" s="55">
        <f t="shared" ca="1" si="29"/>
        <v>0</v>
      </c>
      <c r="W143" s="55">
        <f t="shared" ca="1" si="34"/>
        <v>-127.02529857116598</v>
      </c>
      <c r="X143" s="55">
        <f t="shared" ca="1" si="35"/>
        <v>104.23376133005715</v>
      </c>
      <c r="Y143" s="55">
        <f t="shared" ca="1" si="36"/>
        <v>146.71530800247356</v>
      </c>
      <c r="Z143">
        <f t="shared" ca="1" si="30"/>
        <v>120</v>
      </c>
      <c r="AA143">
        <f t="shared" ca="1" si="37"/>
        <v>209.71097661192937</v>
      </c>
      <c r="AB143">
        <f t="shared" ca="1" si="31"/>
        <v>0</v>
      </c>
      <c r="AC143">
        <f t="shared" ca="1" si="32"/>
        <v>0.89136980118479392</v>
      </c>
      <c r="AD143" s="83">
        <f ca="1"/>
        <v>45629</v>
      </c>
      <c r="AE143" s="55">
        <f t="shared" ca="1" si="41"/>
        <v>45629</v>
      </c>
      <c r="AF143" s="55">
        <f t="shared" ca="1" si="42"/>
        <v>44.704547774111532</v>
      </c>
      <c r="AG143" s="55">
        <f t="shared" ca="1" si="43"/>
        <v>0</v>
      </c>
      <c r="AH143" s="55">
        <f t="shared" ca="1" si="44"/>
        <v>0</v>
      </c>
      <c r="AI143" s="55">
        <f t="shared" ca="1" si="38"/>
        <v>-1.6138057399756414</v>
      </c>
      <c r="AJ143" s="55">
        <f t="shared" ca="1" si="39"/>
        <v>96.036349952594946</v>
      </c>
      <c r="AK143" s="55">
        <f t="shared" ca="1" si="40"/>
        <v>-77.696109501872613</v>
      </c>
    </row>
    <row r="144" spans="18:37">
      <c r="R144" s="83">
        <f ca="1"/>
        <v>45489</v>
      </c>
      <c r="S144" s="55">
        <f t="shared" ca="1" si="33"/>
        <v>45489</v>
      </c>
      <c r="T144" s="55">
        <f t="shared" ca="1" si="27"/>
        <v>35.790048296682151</v>
      </c>
      <c r="U144" s="55">
        <f t="shared" ca="1" si="28"/>
        <v>347.23436456601547</v>
      </c>
      <c r="V144" s="55">
        <f t="shared" ca="1" si="29"/>
        <v>0</v>
      </c>
      <c r="W144" s="55">
        <f t="shared" ca="1" si="34"/>
        <v>-127.94589512373453</v>
      </c>
      <c r="X144" s="55">
        <f t="shared" ca="1" si="35"/>
        <v>104.88808704829651</v>
      </c>
      <c r="Y144" s="55">
        <f t="shared" ca="1" si="36"/>
        <v>146.72689543024001</v>
      </c>
      <c r="Z144">
        <f t="shared" ca="1" si="30"/>
        <v>120</v>
      </c>
      <c r="AA144">
        <f t="shared" ca="1" si="37"/>
        <v>213.36622776667934</v>
      </c>
      <c r="AB144">
        <f t="shared" ca="1" si="31"/>
        <v>0</v>
      </c>
      <c r="AC144">
        <f t="shared" ca="1" si="32"/>
        <v>0.8742062126996557</v>
      </c>
      <c r="AD144" s="83">
        <f ca="1"/>
        <v>45630</v>
      </c>
      <c r="AE144" s="55">
        <f t="shared" ca="1" si="41"/>
        <v>45630</v>
      </c>
      <c r="AF144" s="55">
        <f t="shared" ca="1" si="42"/>
        <v>45.822804289348184</v>
      </c>
      <c r="AG144" s="55">
        <f t="shared" ca="1" si="43"/>
        <v>0</v>
      </c>
      <c r="AH144" s="55">
        <f t="shared" ca="1" si="44"/>
        <v>0</v>
      </c>
      <c r="AI144" s="55">
        <f t="shared" ca="1" si="38"/>
        <v>-1.6138057399756414</v>
      </c>
      <c r="AJ144" s="55">
        <f t="shared" ca="1" si="39"/>
        <v>96.797954020757075</v>
      </c>
      <c r="AK144" s="55">
        <f t="shared" ca="1" si="40"/>
        <v>-77.339457054798089</v>
      </c>
    </row>
    <row r="145" spans="18:37">
      <c r="R145" s="83">
        <f ca="1"/>
        <v>45490</v>
      </c>
      <c r="S145" s="55">
        <f t="shared" ca="1" si="33"/>
        <v>45490</v>
      </c>
      <c r="T145" s="55">
        <f t="shared" ca="1" si="27"/>
        <v>35.239637549807064</v>
      </c>
      <c r="U145" s="55">
        <f t="shared" ca="1" si="28"/>
        <v>348.3834039163047</v>
      </c>
      <c r="V145" s="55">
        <f t="shared" ca="1" si="29"/>
        <v>0</v>
      </c>
      <c r="W145" s="55">
        <f t="shared" ca="1" si="34"/>
        <v>-127.96473716405647</v>
      </c>
      <c r="X145" s="55">
        <f t="shared" ca="1" si="35"/>
        <v>105.49486975306364</v>
      </c>
      <c r="Y145" s="55">
        <f t="shared" ca="1" si="36"/>
        <v>146.73758336920898</v>
      </c>
      <c r="Z145">
        <f t="shared" ca="1" si="30"/>
        <v>120</v>
      </c>
      <c r="AA145">
        <f t="shared" ca="1" si="37"/>
        <v>213.44220905606116</v>
      </c>
      <c r="AB145">
        <f t="shared" ca="1" si="31"/>
        <v>0</v>
      </c>
      <c r="AC145">
        <f t="shared" ca="1" si="32"/>
        <v>0.85837747960333766</v>
      </c>
      <c r="AD145" s="83">
        <f ca="1"/>
        <v>45631</v>
      </c>
      <c r="AE145" s="55">
        <f t="shared" ca="1" si="41"/>
        <v>45631</v>
      </c>
      <c r="AF145" s="55">
        <f t="shared" ca="1" si="42"/>
        <v>46.931990126230367</v>
      </c>
      <c r="AG145" s="55">
        <f t="shared" ca="1" si="43"/>
        <v>0</v>
      </c>
      <c r="AH145" s="55">
        <f t="shared" ca="1" si="44"/>
        <v>0</v>
      </c>
      <c r="AI145" s="55">
        <f t="shared" ca="1" si="38"/>
        <v>-1.6138057399756414</v>
      </c>
      <c r="AJ145" s="55">
        <f t="shared" ca="1" si="39"/>
        <v>97.555345321133416</v>
      </c>
      <c r="AK145" s="55">
        <f t="shared" ca="1" si="40"/>
        <v>-76.987662518292254</v>
      </c>
    </row>
    <row r="146" spans="18:37">
      <c r="R146" s="83">
        <f ca="1"/>
        <v>45491</v>
      </c>
      <c r="S146" s="55">
        <f t="shared" ca="1" si="33"/>
        <v>45491</v>
      </c>
      <c r="T146" s="55">
        <f t="shared" ref="T146:T209" ca="1" si="45">VLOOKUP(S146,ModelOutputs,2,FALSE)</f>
        <v>34.6952570217586</v>
      </c>
      <c r="U146" s="55">
        <f t="shared" ref="U146:U209" ca="1" si="46">VLOOKUP(S146,ModelOutputs,7,FALSE)</f>
        <v>349.50856336861767</v>
      </c>
      <c r="V146" s="55">
        <f t="shared" ref="V146:V209" ca="1" si="47">VLOOKUP(S146,ModelOutputs,6,FALSE)</f>
        <v>0</v>
      </c>
      <c r="W146" s="55">
        <f t="shared" ca="1" si="34"/>
        <v>-128.01069989084445</v>
      </c>
      <c r="X146" s="55">
        <f t="shared" ca="1" si="35"/>
        <v>106.11081917969021</v>
      </c>
      <c r="Y146" s="55">
        <f t="shared" ca="1" si="36"/>
        <v>146.7483755936349</v>
      </c>
      <c r="Z146">
        <f t="shared" ref="Z146:Z209" ca="1" si="48">VLOOKUP(S146,ModelOutputs,10,FALSE)*AWC</f>
        <v>120</v>
      </c>
      <c r="AA146">
        <f t="shared" ca="1" si="37"/>
        <v>213.63046376135316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0.84228627646509868</v>
      </c>
      <c r="AD146" s="83">
        <f ca="1"/>
        <v>45632</v>
      </c>
      <c r="AE146" s="55">
        <f t="shared" ca="1" si="41"/>
        <v>45632</v>
      </c>
      <c r="AF146" s="55">
        <f t="shared" ca="1" si="42"/>
        <v>47.984409421768142</v>
      </c>
      <c r="AG146" s="55">
        <f t="shared" ca="1" si="43"/>
        <v>0</v>
      </c>
      <c r="AH146" s="55">
        <f t="shared" ca="1" si="44"/>
        <v>0</v>
      </c>
      <c r="AI146" s="55">
        <f t="shared" ca="1" si="38"/>
        <v>-1.6138057399756414</v>
      </c>
      <c r="AJ146" s="55">
        <f t="shared" ca="1" si="39"/>
        <v>98.275812982560595</v>
      </c>
      <c r="AK146" s="55">
        <f t="shared" ca="1" si="40"/>
        <v>-76.655710884181659</v>
      </c>
    </row>
    <row r="147" spans="18:37">
      <c r="R147" s="83">
        <f ca="1"/>
        <v>45492</v>
      </c>
      <c r="S147" s="55">
        <f t="shared" ref="S147:S210" ca="1" si="51">IF(R147&gt;1,R147,"")</f>
        <v>45492</v>
      </c>
      <c r="T147" s="55">
        <f t="shared" ca="1" si="45"/>
        <v>33.783066971266948</v>
      </c>
      <c r="U147" s="55">
        <f t="shared" ca="1" si="46"/>
        <v>350.6517557980448</v>
      </c>
      <c r="V147" s="55">
        <f t="shared" ca="1" si="47"/>
        <v>0</v>
      </c>
      <c r="W147" s="55">
        <f t="shared" ref="W147:W210" ca="1" si="52">-VLOOKUP(S147,ModelOutputs,9,FALSE)+W146</f>
        <v>-128.43940357674688</v>
      </c>
      <c r="X147" s="55">
        <f t="shared" ref="X147:X210" ca="1" si="53">VLOOKUP(S147,ModelOutputs,5,FALSE)+X146</f>
        <v>106.75922709997998</v>
      </c>
      <c r="Y147" s="55">
        <f t="shared" ref="Y147:Y210" ca="1" si="54">VLOOKUP(S147,ModelOutputs,4,FALSE)+Y146</f>
        <v>146.75967373818304</v>
      </c>
      <c r="Z147">
        <f t="shared" ca="1" si="48"/>
        <v>120</v>
      </c>
      <c r="AA147">
        <f t="shared" ref="AA147:AA210" ca="1" si="55">VLOOKUP(S147,ModelOutputs,11,FALSE)+AA146</f>
        <v>215.43376510618776</v>
      </c>
      <c r="AB147">
        <f t="shared" ca="1" si="49"/>
        <v>0</v>
      </c>
      <c r="AC147">
        <f t="shared" ca="1" si="50"/>
        <v>0.82528537602247343</v>
      </c>
      <c r="AD147" s="83">
        <f ca="1"/>
        <v>45633</v>
      </c>
      <c r="AE147" s="55">
        <f t="shared" ca="1" si="41"/>
        <v>45633</v>
      </c>
      <c r="AF147" s="55">
        <f t="shared" ca="1" si="42"/>
        <v>49.064516397378497</v>
      </c>
      <c r="AG147" s="55">
        <f t="shared" ca="1" si="43"/>
        <v>0</v>
      </c>
      <c r="AH147" s="55">
        <f t="shared" ca="1" si="44"/>
        <v>0</v>
      </c>
      <c r="AI147" s="55">
        <f t="shared" ref="AI147:AI210" ca="1" si="56">-VLOOKUP(AE147,ModelOutputs,9,FALSE)+AI146</f>
        <v>-1.6138057399756414</v>
      </c>
      <c r="AJ147" s="55">
        <f t="shared" ref="AJ147:AJ210" ca="1" si="57">VLOOKUP(AE147,ModelOutputs,5,FALSE)+AJ146</f>
        <v>99.017124979971769</v>
      </c>
      <c r="AK147" s="55">
        <f t="shared" ref="AK147:AK210" ca="1" si="58">VLOOKUP(AE147,ModelOutputs,4,FALSE)+AK146</f>
        <v>-76.316915905982484</v>
      </c>
    </row>
    <row r="148" spans="18:37">
      <c r="R148" s="83">
        <f ca="1"/>
        <v>45493</v>
      </c>
      <c r="S148" s="55">
        <f t="shared" ca="1" si="51"/>
        <v>45493</v>
      </c>
      <c r="T148" s="55">
        <f t="shared" ca="1" si="45"/>
        <v>32.741427848415015</v>
      </c>
      <c r="U148" s="55">
        <f t="shared" ca="1" si="46"/>
        <v>351.78734074516819</v>
      </c>
      <c r="V148" s="55">
        <f t="shared" ca="1" si="47"/>
        <v>0</v>
      </c>
      <c r="W148" s="55">
        <f t="shared" ca="1" si="52"/>
        <v>-129.02734360925299</v>
      </c>
      <c r="X148" s="55">
        <f t="shared" ca="1" si="53"/>
        <v>107.42950207960926</v>
      </c>
      <c r="Y148" s="55">
        <f t="shared" ca="1" si="54"/>
        <v>146.77128461533133</v>
      </c>
      <c r="Z148">
        <f t="shared" ca="1" si="48"/>
        <v>120</v>
      </c>
      <c r="AA148">
        <f t="shared" ca="1" si="55"/>
        <v>217.98555892004208</v>
      </c>
      <c r="AB148">
        <f t="shared" ca="1" si="49"/>
        <v>0</v>
      </c>
      <c r="AC148">
        <f t="shared" ca="1" si="50"/>
        <v>0.80768795275729999</v>
      </c>
      <c r="AD148" s="83">
        <f ca="1"/>
        <v>45634</v>
      </c>
      <c r="AE148" s="55">
        <f t="shared" ca="1" si="41"/>
        <v>45634</v>
      </c>
      <c r="AF148" s="55">
        <f t="shared" ca="1" si="42"/>
        <v>50.151563360840143</v>
      </c>
      <c r="AG148" s="55">
        <f t="shared" ca="1" si="43"/>
        <v>0</v>
      </c>
      <c r="AH148" s="55">
        <f t="shared" ca="1" si="44"/>
        <v>0</v>
      </c>
      <c r="AI148" s="55">
        <f t="shared" ca="1" si="56"/>
        <v>-1.6138057399756414</v>
      </c>
      <c r="AJ148" s="55">
        <f t="shared" ca="1" si="57"/>
        <v>99.765160715304049</v>
      </c>
      <c r="AK148" s="55">
        <f t="shared" ca="1" si="58"/>
        <v>-75.977904677853118</v>
      </c>
    </row>
    <row r="149" spans="18:37">
      <c r="R149" s="83">
        <f ca="1"/>
        <v>45494</v>
      </c>
      <c r="S149" s="55">
        <f t="shared" ca="1" si="51"/>
        <v>45494</v>
      </c>
      <c r="T149" s="55">
        <f t="shared" ca="1" si="45"/>
        <v>31.526568467546397</v>
      </c>
      <c r="U149" s="55">
        <f t="shared" ca="1" si="46"/>
        <v>352.8972538159411</v>
      </c>
      <c r="V149" s="55">
        <f t="shared" ca="1" si="47"/>
        <v>0</v>
      </c>
      <c r="W149" s="55">
        <f t="shared" ca="1" si="52"/>
        <v>-129.82739349095945</v>
      </c>
      <c r="X149" s="55">
        <f t="shared" ca="1" si="53"/>
        <v>108.11284054770258</v>
      </c>
      <c r="Y149" s="55">
        <f t="shared" ca="1" si="54"/>
        <v>146.78304971884876</v>
      </c>
      <c r="Z149">
        <f t="shared" ca="1" si="48"/>
        <v>120</v>
      </c>
      <c r="AA149">
        <f t="shared" ca="1" si="55"/>
        <v>221.59176487602406</v>
      </c>
      <c r="AB149">
        <f t="shared" ca="1" si="49"/>
        <v>0</v>
      </c>
      <c r="AC149">
        <f t="shared" ca="1" si="50"/>
        <v>0.78974007233387933</v>
      </c>
      <c r="AD149" s="83">
        <f ca="1"/>
        <v>45635</v>
      </c>
      <c r="AE149" s="55">
        <f t="shared" ref="AE149:AE212" ca="1" si="59">IF(AD149&gt;1,AD149,"")</f>
        <v>45635</v>
      </c>
      <c r="AF149" s="55">
        <f t="shared" ref="AF149:AF212" ca="1" si="60">VLOOKUP(AE149,ModelOutputs,2,FALSE)</f>
        <v>51.409167551229658</v>
      </c>
      <c r="AG149" s="55">
        <f t="shared" ref="AG149:AG212" ca="1" si="61">VLOOKUP(AE149,ModelOutputs,7,FALSE)</f>
        <v>0</v>
      </c>
      <c r="AH149" s="55">
        <f t="shared" ref="AH149:AH212" ca="1" si="62">VLOOKUP(AE149,ModelOutputs,6,FALSE)</f>
        <v>0</v>
      </c>
      <c r="AI149" s="55">
        <f t="shared" ca="1" si="56"/>
        <v>-1.6138057399756414</v>
      </c>
      <c r="AJ149" s="55">
        <f t="shared" ca="1" si="57"/>
        <v>100.63305253175932</v>
      </c>
      <c r="AK149" s="55">
        <f t="shared" ca="1" si="58"/>
        <v>-75.588192303918873</v>
      </c>
    </row>
    <row r="150" spans="18:37">
      <c r="R150" s="83">
        <f ca="1"/>
        <v>45495</v>
      </c>
      <c r="S150" s="55">
        <f t="shared" ca="1" si="51"/>
        <v>45495</v>
      </c>
      <c r="T150" s="55">
        <f t="shared" ca="1" si="45"/>
        <v>30.247182848292102</v>
      </c>
      <c r="U150" s="55">
        <f t="shared" ca="1" si="46"/>
        <v>353.89740579344783</v>
      </c>
      <c r="V150" s="55">
        <f t="shared" ca="1" si="47"/>
        <v>0</v>
      </c>
      <c r="W150" s="55">
        <f t="shared" ca="1" si="52"/>
        <v>-130.76119178283909</v>
      </c>
      <c r="X150" s="55">
        <f t="shared" ca="1" si="53"/>
        <v>108.75639216343974</v>
      </c>
      <c r="Y150" s="55">
        <f t="shared" ca="1" si="54"/>
        <v>146.79406275324368</v>
      </c>
      <c r="Z150">
        <f t="shared" ca="1" si="48"/>
        <v>120</v>
      </c>
      <c r="AA150">
        <f t="shared" ca="1" si="55"/>
        <v>225.97887268270838</v>
      </c>
      <c r="AB150">
        <f t="shared" ca="1" si="49"/>
        <v>0</v>
      </c>
      <c r="AC150">
        <f t="shared" ca="1" si="50"/>
        <v>0.77287338952632756</v>
      </c>
      <c r="AD150" s="83">
        <f ca="1"/>
        <v>45636</v>
      </c>
      <c r="AE150" s="55">
        <f t="shared" ca="1" si="59"/>
        <v>45636</v>
      </c>
      <c r="AF150" s="55">
        <f t="shared" ca="1" si="60"/>
        <v>52.710190662852021</v>
      </c>
      <c r="AG150" s="55">
        <f t="shared" ca="1" si="61"/>
        <v>0</v>
      </c>
      <c r="AH150" s="55">
        <f t="shared" ca="1" si="62"/>
        <v>0</v>
      </c>
      <c r="AI150" s="55">
        <f t="shared" ca="1" si="56"/>
        <v>-1.6138057399756414</v>
      </c>
      <c r="AJ150" s="55">
        <f t="shared" ca="1" si="57"/>
        <v>101.53376008444837</v>
      </c>
      <c r="AK150" s="55">
        <f t="shared" ca="1" si="58"/>
        <v>-75.187876744985573</v>
      </c>
    </row>
    <row r="151" spans="18:37">
      <c r="R151" s="83">
        <f ca="1"/>
        <v>45496</v>
      </c>
      <c r="S151" s="55">
        <f t="shared" ca="1" si="51"/>
        <v>45496</v>
      </c>
      <c r="T151" s="55">
        <f t="shared" ca="1" si="45"/>
        <v>29.713333583969142</v>
      </c>
      <c r="U151" s="55">
        <f t="shared" ca="1" si="46"/>
        <v>354.85494618272662</v>
      </c>
      <c r="V151" s="55">
        <f t="shared" ca="1" si="47"/>
        <v>0</v>
      </c>
      <c r="W151" s="55">
        <f t="shared" ca="1" si="52"/>
        <v>-130.99035884991866</v>
      </c>
      <c r="X151" s="55">
        <f t="shared" ca="1" si="53"/>
        <v>109.39833020443101</v>
      </c>
      <c r="Y151" s="55">
        <f t="shared" ca="1" si="54"/>
        <v>146.80498290428784</v>
      </c>
      <c r="Z151">
        <f t="shared" ca="1" si="48"/>
        <v>120</v>
      </c>
      <c r="AA151">
        <f t="shared" ca="1" si="55"/>
        <v>227.07487378546037</v>
      </c>
      <c r="AB151">
        <f t="shared" ca="1" si="49"/>
        <v>0</v>
      </c>
      <c r="AC151">
        <f t="shared" ca="1" si="50"/>
        <v>0.75605144593046658</v>
      </c>
      <c r="AD151" s="83">
        <f ca="1"/>
        <v>45637</v>
      </c>
      <c r="AE151" s="55">
        <f t="shared" ca="1" si="59"/>
        <v>45637</v>
      </c>
      <c r="AF151" s="55">
        <f t="shared" ca="1" si="60"/>
        <v>53.921238728906495</v>
      </c>
      <c r="AG151" s="55">
        <f t="shared" ca="1" si="61"/>
        <v>0</v>
      </c>
      <c r="AH151" s="55">
        <f t="shared" ca="1" si="62"/>
        <v>0</v>
      </c>
      <c r="AI151" s="55">
        <f t="shared" ca="1" si="56"/>
        <v>-1.6138057399756414</v>
      </c>
      <c r="AJ151" s="55">
        <f t="shared" ca="1" si="57"/>
        <v>102.3748206988183</v>
      </c>
      <c r="AK151" s="55">
        <f t="shared" ca="1" si="58"/>
        <v>-74.817889293301022</v>
      </c>
    </row>
    <row r="152" spans="18:37">
      <c r="R152" s="83">
        <f ca="1"/>
        <v>45497</v>
      </c>
      <c r="S152" s="55">
        <f t="shared" ca="1" si="51"/>
        <v>45497</v>
      </c>
      <c r="T152" s="55">
        <f t="shared" ca="1" si="45"/>
        <v>29.461837384360035</v>
      </c>
      <c r="U152" s="55">
        <f t="shared" ca="1" si="46"/>
        <v>355.72882503150788</v>
      </c>
      <c r="V152" s="55">
        <f t="shared" ca="1" si="47"/>
        <v>0</v>
      </c>
      <c r="W152" s="55">
        <f t="shared" ca="1" si="52"/>
        <v>-130.99035884991866</v>
      </c>
      <c r="X152" s="55">
        <f t="shared" ca="1" si="53"/>
        <v>110.01036253540914</v>
      </c>
      <c r="Y152" s="55">
        <f t="shared" ca="1" si="54"/>
        <v>146.81533322248185</v>
      </c>
      <c r="Z152">
        <f t="shared" ca="1" si="48"/>
        <v>119.78499876293201</v>
      </c>
      <c r="AA152">
        <f t="shared" ca="1" si="55"/>
        <v>227.07487378546037</v>
      </c>
      <c r="AB152">
        <f t="shared" ca="1" si="49"/>
        <v>0</v>
      </c>
      <c r="AC152">
        <f t="shared" ca="1" si="50"/>
        <v>0.74007209082145531</v>
      </c>
      <c r="AD152" s="83">
        <f ca="1"/>
        <v>45638</v>
      </c>
      <c r="AE152" s="55">
        <f t="shared" ca="1" si="59"/>
        <v>45638</v>
      </c>
      <c r="AF152" s="55">
        <f t="shared" ca="1" si="60"/>
        <v>55.065859117002596</v>
      </c>
      <c r="AG152" s="55">
        <f t="shared" ca="1" si="61"/>
        <v>0</v>
      </c>
      <c r="AH152" s="55">
        <f t="shared" ca="1" si="62"/>
        <v>0</v>
      </c>
      <c r="AI152" s="55">
        <f t="shared" ca="1" si="56"/>
        <v>-1.6138057399756414</v>
      </c>
      <c r="AJ152" s="55">
        <f t="shared" ca="1" si="57"/>
        <v>103.17212153772105</v>
      </c>
      <c r="AK152" s="55">
        <f t="shared" ca="1" si="58"/>
        <v>-74.470569744107678</v>
      </c>
    </row>
    <row r="153" spans="18:37">
      <c r="R153" s="83">
        <f ca="1"/>
        <v>45498</v>
      </c>
      <c r="S153" s="55">
        <f t="shared" ca="1" si="51"/>
        <v>45498</v>
      </c>
      <c r="T153" s="55">
        <f t="shared" ca="1" si="45"/>
        <v>29.248727465139211</v>
      </c>
      <c r="U153" s="55">
        <f t="shared" ca="1" si="46"/>
        <v>356.55371674242491</v>
      </c>
      <c r="V153" s="55">
        <f t="shared" ca="1" si="47"/>
        <v>0</v>
      </c>
      <c r="W153" s="55">
        <f t="shared" ca="1" si="52"/>
        <v>-130.99035884991866</v>
      </c>
      <c r="X153" s="55">
        <f t="shared" ca="1" si="53"/>
        <v>110.61202781251241</v>
      </c>
      <c r="Y153" s="55">
        <f t="shared" ca="1" si="54"/>
        <v>146.82544973707479</v>
      </c>
      <c r="Z153">
        <f t="shared" ca="1" si="48"/>
        <v>117.86420447083094</v>
      </c>
      <c r="AA153">
        <f t="shared" ca="1" si="55"/>
        <v>227.07487378546037</v>
      </c>
      <c r="AB153">
        <f t="shared" ca="1" si="49"/>
        <v>0</v>
      </c>
      <c r="AC153">
        <f t="shared" ca="1" si="50"/>
        <v>0.72439099712371802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45499</v>
      </c>
      <c r="S154" s="55">
        <f t="shared" ca="1" si="51"/>
        <v>45499</v>
      </c>
      <c r="T154" s="55">
        <f t="shared" ca="1" si="45"/>
        <v>29.052792565609366</v>
      </c>
      <c r="U154" s="55">
        <f t="shared" ca="1" si="46"/>
        <v>357.39795739413768</v>
      </c>
      <c r="V154" s="55">
        <f t="shared" ca="1" si="47"/>
        <v>0</v>
      </c>
      <c r="W154" s="55">
        <f t="shared" ca="1" si="52"/>
        <v>-130.99035884991866</v>
      </c>
      <c r="X154" s="55">
        <f t="shared" ca="1" si="53"/>
        <v>111.24967566980102</v>
      </c>
      <c r="Y154" s="55">
        <f t="shared" ca="1" si="54"/>
        <v>146.8361076319691</v>
      </c>
      <c r="Z154">
        <f t="shared" ca="1" si="48"/>
        <v>119.87071248493703</v>
      </c>
      <c r="AA154">
        <f t="shared" ca="1" si="55"/>
        <v>227.07487378546037</v>
      </c>
      <c r="AB154">
        <f t="shared" ca="1" si="49"/>
        <v>0</v>
      </c>
      <c r="AC154">
        <f t="shared" ca="1" si="50"/>
        <v>0.70768835809236696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45500</v>
      </c>
      <c r="S155" s="55">
        <f t="shared" ca="1" si="51"/>
        <v>45500</v>
      </c>
      <c r="T155" s="55">
        <f t="shared" ca="1" si="45"/>
        <v>28.898119978061871</v>
      </c>
      <c r="U155" s="55">
        <f t="shared" ca="1" si="46"/>
        <v>358.17854615331777</v>
      </c>
      <c r="V155" s="55">
        <f t="shared" ca="1" si="47"/>
        <v>0</v>
      </c>
      <c r="W155" s="55">
        <f t="shared" ca="1" si="52"/>
        <v>-130.99035884991866</v>
      </c>
      <c r="X155" s="55">
        <f t="shared" ca="1" si="53"/>
        <v>111.86536345622662</v>
      </c>
      <c r="Y155" s="55">
        <f t="shared" ca="1" si="54"/>
        <v>146.8463360171761</v>
      </c>
      <c r="Z155">
        <f t="shared" ca="1" si="48"/>
        <v>119.83057882761257</v>
      </c>
      <c r="AA155">
        <f t="shared" ca="1" si="55"/>
        <v>227.07487378546037</v>
      </c>
      <c r="AB155">
        <f t="shared" ca="1" si="49"/>
        <v>0</v>
      </c>
      <c r="AC155">
        <f t="shared" ca="1" si="50"/>
        <v>0.69160461148940977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45501</v>
      </c>
      <c r="S156" s="55">
        <f t="shared" ca="1" si="51"/>
        <v>45501</v>
      </c>
      <c r="T156" s="55">
        <f t="shared" ca="1" si="45"/>
        <v>28.466966413253385</v>
      </c>
      <c r="U156" s="55">
        <f t="shared" ca="1" si="46"/>
        <v>358.93258163598853</v>
      </c>
      <c r="V156" s="55">
        <f t="shared" ca="1" si="47"/>
        <v>0</v>
      </c>
      <c r="W156" s="55">
        <f t="shared" ca="1" si="52"/>
        <v>-131.29652761275716</v>
      </c>
      <c r="X156" s="55">
        <f t="shared" ca="1" si="53"/>
        <v>112.48419564725047</v>
      </c>
      <c r="Y156" s="55">
        <f t="shared" ca="1" si="54"/>
        <v>146.85655450685303</v>
      </c>
      <c r="Z156">
        <f t="shared" ca="1" si="48"/>
        <v>120</v>
      </c>
      <c r="AA156">
        <f t="shared" ca="1" si="55"/>
        <v>228.60324853330974</v>
      </c>
      <c r="AB156">
        <f t="shared" ca="1" si="49"/>
        <v>0</v>
      </c>
      <c r="AC156">
        <f t="shared" ca="1" si="50"/>
        <v>0.67543138646307033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45502</v>
      </c>
      <c r="S157" s="55">
        <f t="shared" ca="1" si="51"/>
        <v>45502</v>
      </c>
      <c r="T157" s="55">
        <f t="shared" ca="1" si="45"/>
        <v>28.349182361380912</v>
      </c>
      <c r="U157" s="55">
        <f t="shared" ca="1" si="46"/>
        <v>359.58920682399281</v>
      </c>
      <c r="V157" s="55">
        <f t="shared" ca="1" si="47"/>
        <v>0</v>
      </c>
      <c r="W157" s="55">
        <f t="shared" ca="1" si="52"/>
        <v>-131.33325764933102</v>
      </c>
      <c r="X157" s="55">
        <f t="shared" ca="1" si="53"/>
        <v>113.05047098972007</v>
      </c>
      <c r="Y157" s="55">
        <f t="shared" ca="1" si="54"/>
        <v>146.86585033708911</v>
      </c>
      <c r="Z157">
        <f t="shared" ca="1" si="48"/>
        <v>120</v>
      </c>
      <c r="AA157">
        <f t="shared" ca="1" si="55"/>
        <v>228.78736430238527</v>
      </c>
      <c r="AB157">
        <f t="shared" ca="1" si="49"/>
        <v>0</v>
      </c>
      <c r="AC157">
        <f t="shared" ca="1" si="50"/>
        <v>0.66079420770479269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45503</v>
      </c>
      <c r="S158" s="55">
        <f t="shared" ca="1" si="51"/>
        <v>45503</v>
      </c>
      <c r="T158" s="55">
        <f t="shared" ca="1" si="45"/>
        <v>27.978113063364887</v>
      </c>
      <c r="U158" s="55">
        <f t="shared" ca="1" si="46"/>
        <v>360.26544985598724</v>
      </c>
      <c r="V158" s="55">
        <f t="shared" ca="1" si="47"/>
        <v>0</v>
      </c>
      <c r="W158" s="55">
        <f t="shared" ca="1" si="52"/>
        <v>-131.63878285076089</v>
      </c>
      <c r="X158" s="55">
        <f t="shared" ca="1" si="53"/>
        <v>113.65136333553012</v>
      </c>
      <c r="Y158" s="55">
        <f t="shared" ca="1" si="54"/>
        <v>146.87565692668736</v>
      </c>
      <c r="Z158">
        <f t="shared" ca="1" si="48"/>
        <v>120</v>
      </c>
      <c r="AA158">
        <f t="shared" ca="1" si="55"/>
        <v>230.33917514296024</v>
      </c>
      <c r="AB158">
        <f t="shared" ca="1" si="49"/>
        <v>0</v>
      </c>
      <c r="AC158">
        <f t="shared" ca="1" si="50"/>
        <v>0.64513548361290107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J1" zoomScale="105" workbookViewId="0">
      <selection activeCell="Q2" sqref="Q2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5" t="s">
        <v>112</v>
      </c>
      <c r="B1" s="146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>
      <c r="A2" s="12" t="s">
        <v>230</v>
      </c>
      <c r="B2" s="13" t="str">
        <f>SoilOrder</f>
        <v>Clay</v>
      </c>
      <c r="D2" s="39" t="str">
        <f>ConceptDemo!C27</f>
        <v>Fertiliser already applied or planned</v>
      </c>
      <c r="E2" s="40"/>
      <c r="O2" s="12" t="s">
        <v>0</v>
      </c>
      <c r="P2" s="28">
        <f ca="1">B20+1</f>
        <v>45364</v>
      </c>
      <c r="Q2" s="3">
        <v>50</v>
      </c>
      <c r="R2" s="3"/>
      <c r="S2" s="3">
        <f ca="1">SUMIF($O$7:$O$1000,TRUE,S7:S1000)</f>
        <v>146.87565692668736</v>
      </c>
      <c r="T2" s="3">
        <f ca="1">SUMIF($O$7:$O$1000,TRUE,T7:T1000)</f>
        <v>112.63283025600785</v>
      </c>
      <c r="U2" s="3">
        <f ca="1">SUMIF($O$7:$O$1000,TRUE,U7:U1000)</f>
        <v>203.06109001100612</v>
      </c>
      <c r="V2" s="3">
        <f ca="1">VLOOKUP(B31,ModelOutputs,V4,FALSE)-W2</f>
        <v>4.3297044718148294</v>
      </c>
      <c r="W2">
        <f ca="1">VLOOKUP(B31,ModelOutputs,W4,FALSE)</f>
        <v>2.9830641045968305</v>
      </c>
      <c r="X2" s="13"/>
      <c r="AC2" s="3">
        <f ca="1">MAX(0,AD3-AD2)</f>
        <v>1.1368683772161603E-13</v>
      </c>
      <c r="AD2" s="3">
        <f ca="1">SUM(Q2:X2)</f>
        <v>519.88234577011292</v>
      </c>
      <c r="AG2" s="3"/>
    </row>
    <row r="3" spans="1:37" ht="15.75" thickBot="1">
      <c r="A3" s="12" t="s">
        <v>210</v>
      </c>
      <c r="B3" s="13" t="str">
        <f>SampleDepth</f>
        <v>0-15cm</v>
      </c>
      <c r="D3" s="19" t="str">
        <f>ConceptDemo!C28</f>
        <v>Date</v>
      </c>
      <c r="E3" s="20" t="str">
        <f>ConceptDemo!D28</f>
        <v>Amount</v>
      </c>
      <c r="I3" t="s">
        <v>202</v>
      </c>
      <c r="J3">
        <f>VLOOKUP(PrePlantRain,ListMembers!$Z$7:$AA$11,2,FALSE)</f>
        <v>1</v>
      </c>
      <c r="O3" s="14" t="s">
        <v>12</v>
      </c>
      <c r="P3" s="29">
        <f ca="1">B33</f>
        <v>45503</v>
      </c>
      <c r="Q3" s="24">
        <f ca="1">VLOOKUP(P3,ModelOutputs,2,FALSE)</f>
        <v>27.978113063364887</v>
      </c>
      <c r="R3" s="27"/>
      <c r="S3" s="25"/>
      <c r="T3" s="25"/>
      <c r="U3" s="25"/>
      <c r="V3" s="24">
        <f ca="1">(VLOOKUP($P$3,ModelOutputs,V4,FALSE)-VLOOKUP($P$2+1,ModelOutputs,V4,FALSE))-W3</f>
        <v>213.30401926205306</v>
      </c>
      <c r="W3" s="26">
        <f ca="1">VLOOKUP($P$3,ModelOutputs,W4,FALSE)-VLOOKUP($P$2+1,ModelOutputs,W4,FALSE)</f>
        <v>146.96143059393418</v>
      </c>
      <c r="X3" s="27">
        <f ca="1">SUMIF($O$7:$O$1000,TRUE,X7:X1000)</f>
        <v>131.63878285076089</v>
      </c>
      <c r="Y3" s="3"/>
      <c r="Z3" s="3"/>
      <c r="AA3" s="3"/>
      <c r="AB3" s="3"/>
      <c r="AC3" s="3">
        <f ca="1">MAX(0,AD2-AD3)</f>
        <v>0</v>
      </c>
      <c r="AD3" s="3">
        <f ca="1">SUM(Q3:X3)</f>
        <v>519.88234577011303</v>
      </c>
    </row>
    <row r="4" spans="1:37" ht="15.75" thickBot="1">
      <c r="A4" s="12" t="s">
        <v>240</v>
      </c>
      <c r="B4" s="13" t="str">
        <f>SoilCategory</f>
        <v>Volcanic</v>
      </c>
      <c r="D4" s="37" t="str">
        <f>IF(ConceptDemo!C29="","",ConceptDemo!C29)</f>
        <v/>
      </c>
      <c r="E4" s="38" t="str">
        <f>IF(ConceptDemo!D29="","",ConceptDemo!D29)</f>
        <v/>
      </c>
      <c r="H4" t="str">
        <f>ConceptDemo!D4</f>
        <v>Levin</v>
      </c>
      <c r="I4" t="s">
        <v>203</v>
      </c>
      <c r="J4">
        <f>VLOOKUP(InCropRain,ListMembers!$Z$7:$AA$11,2,FALSE)</f>
        <v>1</v>
      </c>
      <c r="R4">
        <f ca="1">SUMIF(N6:N999,FALSE,R6:R999)</f>
        <v>0.67624303199443148</v>
      </c>
      <c r="S4">
        <f ca="1">SUMIF(N6:N999,TRUE,S6:S999)</f>
        <v>146.86585033708911</v>
      </c>
      <c r="V4">
        <v>7</v>
      </c>
      <c r="W4">
        <v>8</v>
      </c>
      <c r="AC4" s="3"/>
      <c r="AG4" s="3"/>
    </row>
    <row r="5" spans="1:37">
      <c r="A5" s="12" t="s">
        <v>209</v>
      </c>
      <c r="B5" s="13">
        <f>HWEON</f>
        <v>100</v>
      </c>
      <c r="D5" s="18" t="str">
        <f>IF(ConceptDemo!C30="","",ConceptDemo!C30)</f>
        <v/>
      </c>
      <c r="E5" s="17" t="str">
        <f>IF(ConceptDemo!D30="","",ConceptDemo!D30)</f>
        <v/>
      </c>
      <c r="G5" t="s">
        <v>98</v>
      </c>
      <c r="H5" s="93" t="s">
        <v>14</v>
      </c>
      <c r="I5" s="120" t="s">
        <v>17</v>
      </c>
      <c r="J5" s="120" t="s">
        <v>199</v>
      </c>
      <c r="K5" s="94" t="s">
        <v>201</v>
      </c>
      <c r="N5" t="s">
        <v>174</v>
      </c>
      <c r="O5" t="s">
        <v>110</v>
      </c>
      <c r="P5" t="str">
        <f t="array" aca="1" ref="P5:AB999" ca="1">_xll.GetDailyNBalance(H5:K999,A2:B49,D12:E18,D3:E9)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144</v>
      </c>
      <c r="AE5" t="s">
        <v>145</v>
      </c>
    </row>
    <row r="6" spans="1:37">
      <c r="A6" s="12" t="s">
        <v>26</v>
      </c>
      <c r="B6" s="13">
        <f>Splits</f>
        <v>3</v>
      </c>
      <c r="D6" s="18" t="str">
        <f>IF(ConceptDemo!C31="","",ConceptDemo!C31)</f>
        <v/>
      </c>
      <c r="E6" s="17" t="str">
        <f>IF(ConceptDemo!D31="","",ConceptDemo!D31)</f>
        <v/>
      </c>
      <c r="G6" s="3">
        <f ca="1">H6-DATE(YEAR(H6),1,0)+1</f>
        <v>27</v>
      </c>
      <c r="H6" s="95">
        <f ca="1">B18-1</f>
        <v>45317</v>
      </c>
      <c r="I6" s="119">
        <f ca="1">HLOOKUP($H$4,'Met Data'!$A$2:$F$368,G6,FALSE)</f>
        <v>18.933333333333302</v>
      </c>
      <c r="J6" s="119">
        <f ca="1">HLOOKUP($H$4,'Met Data'!$H$2:$M$368,G6,FALSE)*L6</f>
        <v>1.8</v>
      </c>
      <c r="K6" s="96">
        <f ca="1">HLOOKUP($H$4,'Met Data'!$O$2:$T$368,G6,FALSE)</f>
        <v>4.1034832888531598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45363</v>
      </c>
      <c r="Q6">
        <f ca="1"/>
        <v>0</v>
      </c>
      <c r="R6">
        <f ca="1"/>
        <v>13.389876138461887</v>
      </c>
      <c r="S6">
        <f ca="1"/>
        <v>0</v>
      </c>
      <c r="T6" s="4">
        <f ca="1"/>
        <v>1.0185330795222782</v>
      </c>
      <c r="U6">
        <f ca="1"/>
        <v>0</v>
      </c>
      <c r="V6">
        <f ca="1"/>
        <v>385.97828957283389</v>
      </c>
      <c r="W6">
        <f ca="1"/>
        <v>77.363840175818552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0.99999999967495001</v>
      </c>
      <c r="AD6" s="2">
        <f t="shared" ref="AD6:AD69" ca="1" si="2">IFERROR(P6,$AD$4)</f>
        <v>45363</v>
      </c>
      <c r="AE6">
        <f t="shared" ref="AE6:AE69" ca="1" si="3">IFERROR(U6,0)</f>
        <v>0</v>
      </c>
      <c r="AG6" s="3"/>
      <c r="AH6" s="3"/>
      <c r="AJ6" s="3"/>
      <c r="AK6" s="3"/>
    </row>
    <row r="7" spans="1:37">
      <c r="A7" s="12" t="s">
        <v>231</v>
      </c>
      <c r="B7" s="13">
        <f>Rocks</f>
        <v>0</v>
      </c>
      <c r="D7" s="18" t="str">
        <f>IF(ConceptDemo!C32="","",ConceptDemo!C32)</f>
        <v/>
      </c>
      <c r="E7" s="17" t="str">
        <f>IF(ConceptDemo!D32="","",ConceptDemo!D32)</f>
        <v/>
      </c>
      <c r="G7" s="3">
        <f t="shared" ref="G7:G70" ca="1" si="4">H7-DATE(YEAR(H7),1,0)+1</f>
        <v>28</v>
      </c>
      <c r="H7" s="95">
        <f ca="1">H6+1</f>
        <v>45318</v>
      </c>
      <c r="I7" s="119">
        <f ca="1">HLOOKUP($H$4,'Met Data'!$A$2:$F$368,G7,FALSE)</f>
        <v>18.524999999999999</v>
      </c>
      <c r="J7" s="119">
        <f ca="1">HLOOKUP($H$4,'Met Data'!$H$2:$M$368,G7,FALSE)*L7</f>
        <v>4.2166666666666597</v>
      </c>
      <c r="K7" s="96">
        <f ca="1">HLOOKUP($H$4,'Met Data'!$O$2:$T$368,G7,FALSE)</f>
        <v>3.2920480795367801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1</v>
      </c>
      <c r="P7" s="2">
        <f ca="1"/>
        <v>45364</v>
      </c>
      <c r="Q7">
        <f ca="1"/>
        <v>66.320497561433072</v>
      </c>
      <c r="R7">
        <f ca="1"/>
        <v>0</v>
      </c>
      <c r="S7">
        <f ca="1"/>
        <v>15.313015393410772</v>
      </c>
      <c r="T7" s="4">
        <f ca="1"/>
        <v>1.0074821680222901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0.85907421519837279</v>
      </c>
      <c r="Z7">
        <f ca="1"/>
        <v>0</v>
      </c>
      <c r="AA7">
        <f ca="1"/>
        <v>0</v>
      </c>
      <c r="AB7">
        <f ca="1"/>
        <v>0</v>
      </c>
      <c r="AD7" s="2">
        <f t="shared" ca="1" si="2"/>
        <v>45364</v>
      </c>
      <c r="AE7">
        <f t="shared" ca="1" si="3"/>
        <v>0</v>
      </c>
      <c r="AF7" s="3"/>
      <c r="AG7" s="63">
        <f ca="1">Q6+S7+T7+U7</f>
        <v>16.320497561433061</v>
      </c>
      <c r="AH7" s="63">
        <f ca="1">Q7+R7+X7</f>
        <v>66.320497561433072</v>
      </c>
      <c r="AI7" s="3">
        <f ca="1">AH7-AG7</f>
        <v>50.000000000000014</v>
      </c>
      <c r="AK7" s="3"/>
    </row>
    <row r="8" spans="1:37">
      <c r="A8" s="12" t="s">
        <v>202</v>
      </c>
      <c r="B8" s="13" t="str">
        <f>PrePlantRain</f>
        <v>Typical</v>
      </c>
      <c r="D8" s="18" t="str">
        <f>IF(ConceptDemo!C33="","",ConceptDemo!C33)</f>
        <v/>
      </c>
      <c r="E8" s="17" t="str">
        <f>IF(ConceptDemo!D33="","",ConceptDemo!D33)</f>
        <v/>
      </c>
      <c r="G8" s="3">
        <f t="shared" ca="1" si="4"/>
        <v>29</v>
      </c>
      <c r="H8" s="95">
        <f t="shared" ref="H8:H71" ca="1" si="6">H7+1</f>
        <v>45319</v>
      </c>
      <c r="I8" s="119">
        <f ca="1">HLOOKUP($H$4,'Met Data'!$A$2:$F$368,G8,FALSE)</f>
        <v>18.283333333333299</v>
      </c>
      <c r="J8" s="119">
        <f ca="1">HLOOKUP($H$4,'Met Data'!$H$2:$M$368,G8,FALSE)*L8</f>
        <v>0.96666666666666601</v>
      </c>
      <c r="K8" s="96">
        <f ca="1">HLOOKUP($H$4,'Met Data'!$O$2:$T$368,G8,FALSE)</f>
        <v>3.7580315328576899</v>
      </c>
      <c r="L8">
        <f t="shared" ca="1" si="0"/>
        <v>1</v>
      </c>
      <c r="N8" t="b">
        <f t="shared" ca="1" si="5"/>
        <v>1</v>
      </c>
      <c r="O8" t="b">
        <f t="shared" ca="1" si="1"/>
        <v>1</v>
      </c>
      <c r="P8" s="2">
        <f ca="1"/>
        <v>45365</v>
      </c>
      <c r="Q8">
        <f ca="1"/>
        <v>81.639505865211305</v>
      </c>
      <c r="R8">
        <f ca="1"/>
        <v>0</v>
      </c>
      <c r="S8">
        <f ca="1"/>
        <v>14.273013763385837</v>
      </c>
      <c r="T8" s="4">
        <f ca="1"/>
        <v>1.0459945403923996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0.8186027903266575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45365</v>
      </c>
      <c r="AE8">
        <f t="shared" ca="1" si="3"/>
        <v>0</v>
      </c>
      <c r="AG8" s="63">
        <f t="shared" ref="AG8:AG71" ca="1" si="7">Q7+S8+T8+U8</f>
        <v>81.639505865211305</v>
      </c>
      <c r="AH8" s="63">
        <f t="shared" ref="AH8:AH71" ca="1" si="8">Q8+R8+X8</f>
        <v>81.639505865211305</v>
      </c>
      <c r="AI8" s="3">
        <f t="shared" ref="AI8:AI71" ca="1" si="9">AH8-AG8</f>
        <v>0</v>
      </c>
    </row>
    <row r="9" spans="1:37" ht="15.75" thickBot="1">
      <c r="A9" s="12" t="s">
        <v>203</v>
      </c>
      <c r="B9" s="13" t="str">
        <f>InCropRain</f>
        <v>Typical</v>
      </c>
      <c r="D9" s="35" t="str">
        <f>IF(ConceptDemo!C34="","",ConceptDemo!C34)</f>
        <v/>
      </c>
      <c r="E9" s="20" t="str">
        <f>IF(ConceptDemo!D34="","",ConceptDemo!D34)</f>
        <v/>
      </c>
      <c r="G9" s="3">
        <f t="shared" ca="1" si="4"/>
        <v>30</v>
      </c>
      <c r="H9" s="95">
        <f t="shared" ca="1" si="6"/>
        <v>45320</v>
      </c>
      <c r="I9" s="119">
        <f ca="1">HLOOKUP($H$4,'Met Data'!$A$2:$F$368,G9,FALSE)</f>
        <v>18.95</v>
      </c>
      <c r="J9" s="119">
        <f ca="1">HLOOKUP($H$4,'Met Data'!$H$2:$M$368,G9,FALSE)*L9</f>
        <v>0.233333333333333</v>
      </c>
      <c r="K9" s="96">
        <f ca="1">HLOOKUP($H$4,'Met Data'!$O$2:$T$368,G9,FALSE)</f>
        <v>4.4825712398856101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45366</v>
      </c>
      <c r="Q9">
        <f ca="1"/>
        <v>96.394291419913415</v>
      </c>
      <c r="R9">
        <f ca="1"/>
        <v>0</v>
      </c>
      <c r="S9">
        <f ca="1"/>
        <v>13.634169767006373</v>
      </c>
      <c r="T9" s="4">
        <f ca="1"/>
        <v>1.1206157876957454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0.82436366543427386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45366</v>
      </c>
      <c r="AE9">
        <f t="shared" ca="1" si="3"/>
        <v>0</v>
      </c>
      <c r="AG9" s="63">
        <f t="shared" ca="1" si="7"/>
        <v>96.394291419913415</v>
      </c>
      <c r="AH9" s="63">
        <f t="shared" ca="1" si="8"/>
        <v>96.394291419913415</v>
      </c>
      <c r="AI9" s="3">
        <f t="shared" ca="1" si="9"/>
        <v>0</v>
      </c>
    </row>
    <row r="10" spans="1:37" ht="15.75" thickBot="1">
      <c r="A10" s="12" t="s">
        <v>189</v>
      </c>
      <c r="B10" s="13" t="str">
        <f>Irrigation</f>
        <v>None</v>
      </c>
      <c r="G10" s="3">
        <f t="shared" ca="1" si="4"/>
        <v>31</v>
      </c>
      <c r="H10" s="95">
        <f t="shared" ca="1" si="6"/>
        <v>45321</v>
      </c>
      <c r="I10" s="119">
        <f ca="1">HLOOKUP($H$4,'Met Data'!$A$2:$F$368,G10,FALSE)</f>
        <v>19.070833333333301</v>
      </c>
      <c r="J10" s="119">
        <f ca="1">HLOOKUP($H$4,'Met Data'!$H$2:$M$368,G10,FALSE)*L10</f>
        <v>1.45</v>
      </c>
      <c r="K10" s="96">
        <f ca="1">HLOOKUP($H$4,'Met Data'!$O$2:$T$368,G10,FALSE)</f>
        <v>4.1485395322845697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45367</v>
      </c>
      <c r="Q10">
        <f ca="1"/>
        <v>107.84344839666407</v>
      </c>
      <c r="R10">
        <f ca="1"/>
        <v>0</v>
      </c>
      <c r="S10">
        <f ca="1"/>
        <v>10.485739074871276</v>
      </c>
      <c r="T10" s="4">
        <f ca="1"/>
        <v>0.9634179018793757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0.80791229068195947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45367</v>
      </c>
      <c r="AE10">
        <f t="shared" ca="1" si="3"/>
        <v>0</v>
      </c>
      <c r="AG10" s="63">
        <f t="shared" ca="1" si="7"/>
        <v>107.84344839666407</v>
      </c>
      <c r="AH10" s="63">
        <f t="shared" ca="1" si="8"/>
        <v>107.84344839666407</v>
      </c>
      <c r="AI10" s="3">
        <f t="shared" ca="1" si="9"/>
        <v>0</v>
      </c>
    </row>
    <row r="11" spans="1:37">
      <c r="A11" s="5" t="s">
        <v>141</v>
      </c>
      <c r="B11" s="31" t="str">
        <f>PriorCropNameFull</f>
        <v>Broccoli Vegetable General</v>
      </c>
      <c r="D11" s="143" t="str">
        <f>ConceptDemo!C36</f>
        <v>Soil Mineral N Test Results</v>
      </c>
      <c r="E11" s="144"/>
      <c r="G11" s="3">
        <f t="shared" ca="1" si="4"/>
        <v>32</v>
      </c>
      <c r="H11" s="95">
        <f t="shared" ca="1" si="6"/>
        <v>45322</v>
      </c>
      <c r="I11" s="119">
        <f ca="1">HLOOKUP($H$4,'Met Data'!$A$2:$F$368,G11,FALSE)</f>
        <v>18.716666666666601</v>
      </c>
      <c r="J11" s="119">
        <f ca="1">HLOOKUP($H$4,'Met Data'!$H$2:$M$368,G11,FALSE)*L11</f>
        <v>1.6666666666666601E-2</v>
      </c>
      <c r="K11" s="96">
        <f ca="1">HLOOKUP($H$4,'Met Data'!$O$2:$T$368,G11,FALSE)</f>
        <v>3.9002627778438899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45368</v>
      </c>
      <c r="Q11">
        <f ca="1"/>
        <v>118.03872931970697</v>
      </c>
      <c r="R11">
        <f ca="1"/>
        <v>0</v>
      </c>
      <c r="S11">
        <f ca="1"/>
        <v>9.2533594656280087</v>
      </c>
      <c r="T11" s="4">
        <f ca="1"/>
        <v>0.94192145741489508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0.83548374395962755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45368</v>
      </c>
      <c r="AE11">
        <f t="shared" ca="1" si="3"/>
        <v>0</v>
      </c>
      <c r="AG11" s="63">
        <f t="shared" ca="1" si="7"/>
        <v>118.03872931970697</v>
      </c>
      <c r="AH11" s="63">
        <f t="shared" ca="1" si="8"/>
        <v>118.03872931970697</v>
      </c>
      <c r="AI11" s="3">
        <f t="shared" ca="1" si="9"/>
        <v>0</v>
      </c>
    </row>
    <row r="12" spans="1:37" ht="15.75" thickBot="1">
      <c r="A12" s="6" t="s">
        <v>241</v>
      </c>
      <c r="B12" s="32">
        <f>PriorYield</f>
        <v>0.2</v>
      </c>
      <c r="D12" s="19" t="str">
        <f>ConceptDemo!C37</f>
        <v>Date</v>
      </c>
      <c r="E12" s="20" t="str">
        <f>ConceptDemo!D37</f>
        <v>Value</v>
      </c>
      <c r="G12" s="3">
        <f t="shared" ca="1" si="4"/>
        <v>33</v>
      </c>
      <c r="H12" s="95">
        <f t="shared" ca="1" si="6"/>
        <v>45323</v>
      </c>
      <c r="I12" s="119">
        <f ca="1">HLOOKUP($H$4,'Met Data'!$A$2:$F$368,G12,FALSE)</f>
        <v>18.720833333333299</v>
      </c>
      <c r="J12" s="119">
        <f ca="1">HLOOKUP($H$4,'Met Data'!$H$2:$M$368,G12,FALSE)*L12</f>
        <v>5.1333333333333302</v>
      </c>
      <c r="K12" s="96">
        <f ca="1">HLOOKUP($H$4,'Met Data'!$O$2:$T$368,G12,FALSE)</f>
        <v>3.3425533464765702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45369</v>
      </c>
      <c r="Q12">
        <f ca="1"/>
        <v>127.36145662612645</v>
      </c>
      <c r="R12">
        <f ca="1"/>
        <v>0</v>
      </c>
      <c r="S12">
        <f ca="1"/>
        <v>8.3782410946634513</v>
      </c>
      <c r="T12" s="4">
        <f ca="1"/>
        <v>0.94448621175602265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0.80756881392941504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45369</v>
      </c>
      <c r="AE12">
        <f t="shared" ca="1" si="3"/>
        <v>0</v>
      </c>
      <c r="AG12" s="63">
        <f t="shared" ca="1" si="7"/>
        <v>127.36145662612645</v>
      </c>
      <c r="AH12" s="63">
        <f t="shared" ca="1" si="8"/>
        <v>127.36145662612645</v>
      </c>
      <c r="AI12" s="3">
        <f t="shared" ca="1" si="9"/>
        <v>0</v>
      </c>
    </row>
    <row r="13" spans="1:37">
      <c r="A13" s="6" t="s">
        <v>234</v>
      </c>
      <c r="B13" s="32">
        <f>PriorPopulation</f>
        <v>100000</v>
      </c>
      <c r="D13" s="18" t="str">
        <f>IF(ConceptDemo!C38="","",ConceptDemo!C38)</f>
        <v/>
      </c>
      <c r="E13" s="17" t="str">
        <f>IF(ConceptDemo!D38="","",ConceptDemo!D38)</f>
        <v/>
      </c>
      <c r="G13" s="3">
        <f t="shared" ca="1" si="4"/>
        <v>34</v>
      </c>
      <c r="H13" s="95">
        <f t="shared" ca="1" si="6"/>
        <v>45324</v>
      </c>
      <c r="I13" s="119">
        <f ca="1">HLOOKUP($H$4,'Met Data'!$A$2:$F$368,G13,FALSE)</f>
        <v>18.558333333333302</v>
      </c>
      <c r="J13" s="119">
        <f ca="1">HLOOKUP($H$4,'Met Data'!$H$2:$M$368,G13,FALSE)*L13</f>
        <v>5.1666666666666599</v>
      </c>
      <c r="K13" s="96">
        <f ca="1">HLOOKUP($H$4,'Met Data'!$O$2:$T$368,G13,FALSE)</f>
        <v>3.37031285883524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45370</v>
      </c>
      <c r="Q13">
        <f ca="1"/>
        <v>135.68051185509816</v>
      </c>
      <c r="R13">
        <f ca="1"/>
        <v>0</v>
      </c>
      <c r="S13">
        <f ca="1"/>
        <v>7.3960639561337587</v>
      </c>
      <c r="T13" s="4">
        <f ca="1"/>
        <v>0.9229912728379519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0.76798511398540104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45370</v>
      </c>
      <c r="AE13">
        <f t="shared" ca="1" si="3"/>
        <v>0</v>
      </c>
      <c r="AG13" s="63">
        <f t="shared" ca="1" si="7"/>
        <v>135.68051185509816</v>
      </c>
      <c r="AH13" s="63">
        <f t="shared" ca="1" si="8"/>
        <v>135.68051185509816</v>
      </c>
      <c r="AI13" s="3">
        <f t="shared" ca="1" si="9"/>
        <v>0</v>
      </c>
    </row>
    <row r="14" spans="1:37">
      <c r="A14" s="6" t="s">
        <v>235</v>
      </c>
      <c r="B14" s="32" t="str">
        <f>PriorUnits</f>
        <v>kg/head</v>
      </c>
      <c r="D14" s="18" t="str">
        <f>IF(ConceptDemo!C39="","",ConceptDemo!C39)</f>
        <v/>
      </c>
      <c r="E14" s="17" t="str">
        <f>IF(ConceptDemo!D39="","",ConceptDemo!D39)</f>
        <v/>
      </c>
      <c r="G14" s="3">
        <f t="shared" ca="1" si="4"/>
        <v>35</v>
      </c>
      <c r="H14" s="95">
        <f t="shared" ca="1" si="6"/>
        <v>45325</v>
      </c>
      <c r="I14" s="119">
        <f ca="1">HLOOKUP($H$4,'Met Data'!$A$2:$F$368,G14,FALSE)</f>
        <v>18.841666666666601</v>
      </c>
      <c r="J14" s="119">
        <f ca="1">HLOOKUP($H$4,'Met Data'!$H$2:$M$368,G14,FALSE)*L14</f>
        <v>0.483333333333333</v>
      </c>
      <c r="K14" s="96">
        <f ca="1">HLOOKUP($H$4,'Met Data'!$O$2:$T$368,G14,FALSE)</f>
        <v>4.5373745966907704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45371</v>
      </c>
      <c r="Q14">
        <f ca="1"/>
        <v>143.28276557153308</v>
      </c>
      <c r="R14">
        <f ca="1"/>
        <v>0</v>
      </c>
      <c r="S14">
        <f ca="1"/>
        <v>6.6800187599452983</v>
      </c>
      <c r="T14" s="4">
        <f ca="1"/>
        <v>0.92223495648964426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0.75127071347689978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45371</v>
      </c>
      <c r="AE14">
        <f t="shared" ca="1" si="3"/>
        <v>0</v>
      </c>
      <c r="AG14" s="63">
        <f t="shared" ca="1" si="7"/>
        <v>143.28276557153308</v>
      </c>
      <c r="AH14" s="63">
        <f t="shared" ca="1" si="8"/>
        <v>143.28276557153308</v>
      </c>
      <c r="AI14" s="3">
        <f t="shared" ca="1" si="9"/>
        <v>0</v>
      </c>
    </row>
    <row r="15" spans="1:37">
      <c r="A15" s="6" t="s">
        <v>114</v>
      </c>
      <c r="B15" s="32">
        <f>PriorFieldLoss</f>
        <v>0</v>
      </c>
      <c r="D15" s="18" t="str">
        <f>IF(ConceptDemo!C40="","",ConceptDemo!C40)</f>
        <v/>
      </c>
      <c r="E15" s="17" t="str">
        <f>IF(ConceptDemo!D40="","",ConceptDemo!D40)</f>
        <v/>
      </c>
      <c r="G15" s="3">
        <f t="shared" ca="1" si="4"/>
        <v>36</v>
      </c>
      <c r="H15" s="95">
        <f t="shared" ca="1" si="6"/>
        <v>45326</v>
      </c>
      <c r="I15" s="119">
        <f ca="1">HLOOKUP($H$4,'Met Data'!$A$2:$F$368,G15,FALSE)</f>
        <v>18.441666666666599</v>
      </c>
      <c r="J15" s="119">
        <f ca="1">HLOOKUP($H$4,'Met Data'!$H$2:$M$368,G15,FALSE)*L15</f>
        <v>4.8</v>
      </c>
      <c r="K15" s="96">
        <f ca="1">HLOOKUP($H$4,'Met Data'!$O$2:$T$368,G15,FALSE)</f>
        <v>3.5125215918157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45372</v>
      </c>
      <c r="Q15">
        <f ca="1"/>
        <v>150.3229064223936</v>
      </c>
      <c r="R15">
        <f ca="1"/>
        <v>0</v>
      </c>
      <c r="S15">
        <f ca="1"/>
        <v>6.1064415046846818</v>
      </c>
      <c r="T15" s="4">
        <f ca="1"/>
        <v>0.93369934617584049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0.7489435401734269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45372</v>
      </c>
      <c r="AE15">
        <f t="shared" ca="1" si="3"/>
        <v>0</v>
      </c>
      <c r="AG15" s="63">
        <f t="shared" ca="1" si="7"/>
        <v>150.3229064223936</v>
      </c>
      <c r="AH15" s="63">
        <f t="shared" ca="1" si="8"/>
        <v>150.3229064223936</v>
      </c>
      <c r="AI15" s="3">
        <f t="shared" ca="1" si="9"/>
        <v>0</v>
      </c>
    </row>
    <row r="16" spans="1:37">
      <c r="A16" s="6" t="s">
        <v>115</v>
      </c>
      <c r="B16" s="32">
        <f>PriorDressingLoss</f>
        <v>0</v>
      </c>
      <c r="D16" s="18" t="str">
        <f>IF(ConceptDemo!C41="","",ConceptDemo!C41)</f>
        <v/>
      </c>
      <c r="E16" s="17" t="str">
        <f>IF(ConceptDemo!D41="","",ConceptDemo!D41)</f>
        <v/>
      </c>
      <c r="G16" s="3">
        <f t="shared" ca="1" si="4"/>
        <v>37</v>
      </c>
      <c r="H16" s="95">
        <f t="shared" ca="1" si="6"/>
        <v>45327</v>
      </c>
      <c r="I16" s="119">
        <f ca="1">HLOOKUP($H$4,'Met Data'!$A$2:$F$368,G16,FALSE)</f>
        <v>17.975000000000001</v>
      </c>
      <c r="J16" s="119">
        <f ca="1">HLOOKUP($H$4,'Met Data'!$H$2:$M$368,G16,FALSE)*L16</f>
        <v>2.0166666666666599</v>
      </c>
      <c r="K16" s="96">
        <f ca="1">HLOOKUP($H$4,'Met Data'!$O$2:$T$368,G16,FALSE)</f>
        <v>3.7922889429532498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45373</v>
      </c>
      <c r="Q16">
        <f ca="1"/>
        <v>156.86150728605722</v>
      </c>
      <c r="R16">
        <f ca="1"/>
        <v>0</v>
      </c>
      <c r="S16">
        <f ca="1"/>
        <v>5.5900662928352602</v>
      </c>
      <c r="T16" s="4">
        <f ca="1"/>
        <v>0.94853457082835635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0.75372677206915817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45373</v>
      </c>
      <c r="AE16">
        <f t="shared" ca="1" si="3"/>
        <v>0</v>
      </c>
      <c r="AG16" s="63">
        <f t="shared" ca="1" si="7"/>
        <v>156.86150728605722</v>
      </c>
      <c r="AH16" s="63">
        <f t="shared" ca="1" si="8"/>
        <v>156.86150728605722</v>
      </c>
      <c r="AI16" s="3">
        <f t="shared" ca="1" si="9"/>
        <v>0</v>
      </c>
    </row>
    <row r="17" spans="1:35">
      <c r="A17" s="6" t="s">
        <v>116</v>
      </c>
      <c r="B17" s="32">
        <f>PriorMoistureContent</f>
        <v>89</v>
      </c>
      <c r="D17" s="18" t="str">
        <f>IF(ConceptDemo!C42="","",ConceptDemo!C42)</f>
        <v/>
      </c>
      <c r="E17" s="17" t="str">
        <f>IF(ConceptDemo!D42="","",ConceptDemo!D42)</f>
        <v/>
      </c>
      <c r="G17" s="3">
        <f t="shared" ca="1" si="4"/>
        <v>38</v>
      </c>
      <c r="H17" s="95">
        <f t="shared" ca="1" si="6"/>
        <v>45328</v>
      </c>
      <c r="I17" s="119">
        <f ca="1">HLOOKUP($H$4,'Met Data'!$A$2:$F$368,G17,FALSE)</f>
        <v>17.383333333333301</v>
      </c>
      <c r="J17" s="119">
        <f ca="1">HLOOKUP($H$4,'Met Data'!$H$2:$M$368,G17,FALSE)*L17</f>
        <v>0.15</v>
      </c>
      <c r="K17" s="96">
        <f ca="1">HLOOKUP($H$4,'Met Data'!$O$2:$T$368,G17,FALSE)</f>
        <v>3.67022287265541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45374</v>
      </c>
      <c r="Q17">
        <f ca="1"/>
        <v>162.88827354452417</v>
      </c>
      <c r="R17">
        <f ca="1"/>
        <v>0</v>
      </c>
      <c r="S17">
        <f ca="1"/>
        <v>5.070299738618246</v>
      </c>
      <c r="T17" s="4">
        <f ca="1"/>
        <v>0.95646651984870068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0.7939365493188606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45374</v>
      </c>
      <c r="AE17">
        <f t="shared" ca="1" si="3"/>
        <v>0</v>
      </c>
      <c r="AG17" s="63">
        <f t="shared" ca="1" si="7"/>
        <v>162.88827354452417</v>
      </c>
      <c r="AH17" s="63">
        <f t="shared" ca="1" si="8"/>
        <v>162.88827354452417</v>
      </c>
      <c r="AI17" s="3">
        <f t="shared" ca="1" si="9"/>
        <v>0</v>
      </c>
    </row>
    <row r="18" spans="1:35" ht="15.75" thickBot="1">
      <c r="A18" s="6" t="s">
        <v>117</v>
      </c>
      <c r="B18" s="34">
        <f ca="1">PriorEstablishDate</f>
        <v>45318</v>
      </c>
      <c r="D18" s="35" t="str">
        <f>IF(ConceptDemo!C43="","",ConceptDemo!C43)</f>
        <v/>
      </c>
      <c r="E18" s="20" t="str">
        <f>IF(ConceptDemo!D43="","",ConceptDemo!D43)</f>
        <v/>
      </c>
      <c r="G18" s="3">
        <f t="shared" ca="1" si="4"/>
        <v>39</v>
      </c>
      <c r="H18" s="95">
        <f t="shared" ca="1" si="6"/>
        <v>45329</v>
      </c>
      <c r="I18" s="119">
        <f ca="1">HLOOKUP($H$4,'Met Data'!$A$2:$F$368,G18,FALSE)</f>
        <v>17.0416666666666</v>
      </c>
      <c r="J18" s="119">
        <f ca="1">HLOOKUP($H$4,'Met Data'!$H$2:$M$368,G18,FALSE)*L18</f>
        <v>3.0166666666666599</v>
      </c>
      <c r="K18" s="96">
        <f ca="1">HLOOKUP($H$4,'Met Data'!$O$2:$T$368,G18,FALSE)</f>
        <v>3.8754357428809398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45375</v>
      </c>
      <c r="Q18">
        <f ca="1"/>
        <v>168.80259103202852</v>
      </c>
      <c r="R18">
        <f ca="1"/>
        <v>0</v>
      </c>
      <c r="S18">
        <f ca="1"/>
        <v>4.8847641255002117</v>
      </c>
      <c r="T18" s="4">
        <f ca="1"/>
        <v>1.0295533620041255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0.81190125256619927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45375</v>
      </c>
      <c r="AE18">
        <f t="shared" ca="1" si="3"/>
        <v>0</v>
      </c>
      <c r="AG18" s="63">
        <f t="shared" ca="1" si="7"/>
        <v>168.80259103202852</v>
      </c>
      <c r="AH18" s="63">
        <f t="shared" ca="1" si="8"/>
        <v>168.80259103202852</v>
      </c>
      <c r="AI18" s="3">
        <f t="shared" ca="1" si="9"/>
        <v>0</v>
      </c>
    </row>
    <row r="19" spans="1:35">
      <c r="A19" s="6" t="s">
        <v>118</v>
      </c>
      <c r="B19" s="32" t="str">
        <f>PriorEstablishStage</f>
        <v>Seedling</v>
      </c>
      <c r="G19" s="3">
        <f t="shared" ca="1" si="4"/>
        <v>40</v>
      </c>
      <c r="H19" s="95">
        <f t="shared" ca="1" si="6"/>
        <v>45330</v>
      </c>
      <c r="I19" s="119">
        <f ca="1">HLOOKUP($H$4,'Met Data'!$A$2:$F$368,G19,FALSE)</f>
        <v>17.483333333333299</v>
      </c>
      <c r="J19" s="119">
        <f ca="1">HLOOKUP($H$4,'Met Data'!$H$2:$M$368,G19,FALSE)*L19</f>
        <v>2.69999999999999</v>
      </c>
      <c r="K19" s="96">
        <f ca="1">HLOOKUP($H$4,'Met Data'!$O$2:$T$368,G19,FALSE)</f>
        <v>3.8024866154372199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45376</v>
      </c>
      <c r="Q19">
        <f ca="1"/>
        <v>174.47137360978425</v>
      </c>
      <c r="R19">
        <f ca="1"/>
        <v>0</v>
      </c>
      <c r="S19">
        <f ca="1"/>
        <v>4.5813291077201512</v>
      </c>
      <c r="T19" s="4">
        <f ca="1"/>
        <v>1.0874534700355556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0.84515323679686882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45376</v>
      </c>
      <c r="AE19">
        <f t="shared" ca="1" si="3"/>
        <v>0</v>
      </c>
      <c r="AG19" s="63">
        <f t="shared" ca="1" si="7"/>
        <v>174.47137360978425</v>
      </c>
      <c r="AH19" s="63">
        <f t="shared" ca="1" si="8"/>
        <v>174.47137360978425</v>
      </c>
      <c r="AI19" s="3">
        <f t="shared" ca="1" si="9"/>
        <v>0</v>
      </c>
    </row>
    <row r="20" spans="1:35">
      <c r="A20" s="6" t="s">
        <v>119</v>
      </c>
      <c r="B20" s="34">
        <f ca="1">PriorHarvestDate</f>
        <v>45363</v>
      </c>
      <c r="G20" s="3">
        <f t="shared" ca="1" si="4"/>
        <v>41</v>
      </c>
      <c r="H20" s="95">
        <f t="shared" ca="1" si="6"/>
        <v>45331</v>
      </c>
      <c r="I20" s="119">
        <f ca="1">HLOOKUP($H$4,'Met Data'!$A$2:$F$368,G20,FALSE)</f>
        <v>17.5625</v>
      </c>
      <c r="J20" s="119">
        <f ca="1">HLOOKUP($H$4,'Met Data'!$H$2:$M$368,G20,FALSE)*L20</f>
        <v>0.51666666666666605</v>
      </c>
      <c r="K20" s="96">
        <f ca="1">HLOOKUP($H$4,'Met Data'!$O$2:$T$368,G20,FALSE)</f>
        <v>3.9226252937625699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45377</v>
      </c>
      <c r="Q20">
        <f ca="1"/>
        <v>179.67945269486799</v>
      </c>
      <c r="R20">
        <f ca="1"/>
        <v>0</v>
      </c>
      <c r="S20">
        <f ca="1"/>
        <v>4.1053652249910897</v>
      </c>
      <c r="T20" s="4">
        <f ca="1"/>
        <v>1.1027138600926485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0.83947780757042256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45377</v>
      </c>
      <c r="AE20">
        <f t="shared" ca="1" si="3"/>
        <v>0</v>
      </c>
      <c r="AG20" s="63">
        <f t="shared" ca="1" si="7"/>
        <v>179.67945269486799</v>
      </c>
      <c r="AH20" s="63">
        <f t="shared" ca="1" si="8"/>
        <v>179.67945269486799</v>
      </c>
      <c r="AI20" s="3">
        <f t="shared" ca="1" si="9"/>
        <v>0</v>
      </c>
    </row>
    <row r="21" spans="1:35">
      <c r="A21" s="6" t="s">
        <v>120</v>
      </c>
      <c r="B21" s="32" t="str">
        <f>PriorHarvestStage</f>
        <v>EarlyReproductive</v>
      </c>
      <c r="G21" s="3">
        <f t="shared" ca="1" si="4"/>
        <v>42</v>
      </c>
      <c r="H21" s="95">
        <f t="shared" ca="1" si="6"/>
        <v>45332</v>
      </c>
      <c r="I21" s="119">
        <f ca="1">HLOOKUP($H$4,'Met Data'!$A$2:$F$368,G21,FALSE)</f>
        <v>17.7083333333333</v>
      </c>
      <c r="J21" s="119">
        <f ca="1">HLOOKUP($H$4,'Met Data'!$H$2:$M$368,G21,FALSE)*L21</f>
        <v>2.7333333333333298</v>
      </c>
      <c r="K21" s="96">
        <f ca="1">HLOOKUP($H$4,'Met Data'!$O$2:$T$368,G21,FALSE)</f>
        <v>3.6312925833969301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45378</v>
      </c>
      <c r="Q21">
        <f ca="1"/>
        <v>183.89529925363846</v>
      </c>
      <c r="R21">
        <f ca="1"/>
        <v>0</v>
      </c>
      <c r="S21">
        <f ca="1"/>
        <v>3.2372117183872859</v>
      </c>
      <c r="T21" s="4">
        <f ca="1"/>
        <v>0.97863484038318027</v>
      </c>
      <c r="U21">
        <f ca="1"/>
        <v>0</v>
      </c>
      <c r="V21">
        <f ca="1"/>
        <v>7.3127685764116599</v>
      </c>
      <c r="W21">
        <f ca="1"/>
        <v>2.9830641045968305</v>
      </c>
      <c r="X21">
        <f ca="1"/>
        <v>0</v>
      </c>
      <c r="Y21">
        <f ca="1"/>
        <v>0.82718689365231346</v>
      </c>
      <c r="Z21">
        <f ca="1"/>
        <v>0</v>
      </c>
      <c r="AA21">
        <f ca="1"/>
        <v>0</v>
      </c>
      <c r="AB21">
        <f ca="1"/>
        <v>1.0906897637003848E-2</v>
      </c>
      <c r="AD21" s="2">
        <f t="shared" ca="1" si="2"/>
        <v>45378</v>
      </c>
      <c r="AE21">
        <f t="shared" ca="1" si="3"/>
        <v>0</v>
      </c>
      <c r="AG21" s="63">
        <f t="shared" ca="1" si="7"/>
        <v>183.89529925363846</v>
      </c>
      <c r="AH21" s="63">
        <f t="shared" ca="1" si="8"/>
        <v>183.89529925363846</v>
      </c>
      <c r="AI21" s="3">
        <f t="shared" ca="1" si="9"/>
        <v>0</v>
      </c>
    </row>
    <row r="22" spans="1:35">
      <c r="A22" s="6" t="s">
        <v>164</v>
      </c>
      <c r="B22" s="32" t="str">
        <f>PriorResidueRemoval</f>
        <v>None removed</v>
      </c>
      <c r="G22" s="3">
        <f t="shared" ca="1" si="4"/>
        <v>43</v>
      </c>
      <c r="H22" s="95">
        <f t="shared" ca="1" si="6"/>
        <v>45333</v>
      </c>
      <c r="I22" s="119">
        <f ca="1">HLOOKUP($H$4,'Met Data'!$A$2:$F$368,G22,FALSE)</f>
        <v>17.654166666666601</v>
      </c>
      <c r="J22" s="119">
        <f ca="1">HLOOKUP($H$4,'Met Data'!$H$2:$M$368,G22,FALSE)*L22</f>
        <v>5.3166666666666602</v>
      </c>
      <c r="K22" s="96">
        <f ca="1">HLOOKUP($H$4,'Met Data'!$O$2:$T$368,G22,FALSE)</f>
        <v>3.7825096271499201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45379</v>
      </c>
      <c r="Q22">
        <f ca="1"/>
        <v>187.32842386471265</v>
      </c>
      <c r="R22">
        <f ca="1"/>
        <v>0.60317051419090273</v>
      </c>
      <c r="S22">
        <f ca="1"/>
        <v>3.0148856336387411</v>
      </c>
      <c r="T22" s="4">
        <f ca="1"/>
        <v>1.0214094916263758</v>
      </c>
      <c r="U22">
        <f ca="1"/>
        <v>0</v>
      </c>
      <c r="V22">
        <f ca="1"/>
        <v>7.9159390906025626</v>
      </c>
      <c r="W22">
        <f ca="1"/>
        <v>3.2291126826467327</v>
      </c>
      <c r="X22">
        <f ca="1"/>
        <v>0</v>
      </c>
      <c r="Y22">
        <f ca="1"/>
        <v>0.83432227188888008</v>
      </c>
      <c r="Z22">
        <f ca="1"/>
        <v>0</v>
      </c>
      <c r="AA22">
        <f ca="1"/>
        <v>0</v>
      </c>
      <c r="AB22">
        <f ca="1"/>
        <v>1.7954161996534792E-2</v>
      </c>
      <c r="AD22" s="2">
        <f t="shared" ca="1" si="2"/>
        <v>45379</v>
      </c>
      <c r="AE22">
        <f t="shared" ca="1" si="3"/>
        <v>0</v>
      </c>
      <c r="AG22" s="63">
        <f t="shared" ca="1" si="7"/>
        <v>187.93159437890355</v>
      </c>
      <c r="AH22" s="63">
        <f t="shared" ca="1" si="8"/>
        <v>187.93159437890355</v>
      </c>
      <c r="AI22" s="3">
        <f t="shared" ca="1" si="9"/>
        <v>0</v>
      </c>
    </row>
    <row r="23" spans="1:35" ht="15.75" thickBot="1">
      <c r="A23" s="6" t="s">
        <v>167</v>
      </c>
      <c r="B23" s="101" t="str">
        <f>PriorResidueIncorporation</f>
        <v>Full (Plough)</v>
      </c>
      <c r="G23" s="3">
        <f t="shared" ca="1" si="4"/>
        <v>44</v>
      </c>
      <c r="H23" s="95">
        <f t="shared" ca="1" si="6"/>
        <v>45334</v>
      </c>
      <c r="I23" s="119">
        <f ca="1">HLOOKUP($H$4,'Met Data'!$A$2:$F$368,G23,FALSE)</f>
        <v>18.245833333333302</v>
      </c>
      <c r="J23" s="119">
        <f ca="1">HLOOKUP($H$4,'Met Data'!$H$2:$M$368,G23,FALSE)*L23</f>
        <v>1.8</v>
      </c>
      <c r="K23" s="96">
        <f ca="1">HLOOKUP($H$4,'Met Data'!$O$2:$T$368,G23,FALSE)</f>
        <v>3.5345089397679601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45380</v>
      </c>
      <c r="Q23">
        <f ca="1"/>
        <v>190.44383115923833</v>
      </c>
      <c r="R23">
        <f ca="1"/>
        <v>0.66106052958658434</v>
      </c>
      <c r="S23">
        <f ca="1"/>
        <v>2.7340854191744342</v>
      </c>
      <c r="T23" s="4">
        <f ca="1"/>
        <v>1.042382404937817</v>
      </c>
      <c r="U23">
        <f ca="1"/>
        <v>0</v>
      </c>
      <c r="V23">
        <f ca="1"/>
        <v>8.576999620189147</v>
      </c>
      <c r="W23">
        <f ca="1"/>
        <v>3.4987760688417264</v>
      </c>
      <c r="X23">
        <f ca="1"/>
        <v>0</v>
      </c>
      <c r="Y23">
        <f ca="1"/>
        <v>0.83631351224295625</v>
      </c>
      <c r="Z23">
        <f ca="1"/>
        <v>0</v>
      </c>
      <c r="AA23">
        <f ca="1"/>
        <v>0</v>
      </c>
      <c r="AB23">
        <f ca="1"/>
        <v>2.9618087224529185E-2</v>
      </c>
      <c r="AD23" s="2">
        <f t="shared" ca="1" si="2"/>
        <v>45380</v>
      </c>
      <c r="AE23">
        <f t="shared" ca="1" si="3"/>
        <v>0</v>
      </c>
      <c r="AG23" s="63">
        <f t="shared" ca="1" si="7"/>
        <v>191.10489168882492</v>
      </c>
      <c r="AH23" s="63">
        <f t="shared" ca="1" si="8"/>
        <v>191.10489168882492</v>
      </c>
      <c r="AI23" s="3">
        <f t="shared" ca="1" si="9"/>
        <v>0</v>
      </c>
    </row>
    <row r="24" spans="1:35" ht="15.75" thickBot="1">
      <c r="A24" s="8" t="s">
        <v>142</v>
      </c>
      <c r="B24" s="11" t="str">
        <f>CurrentCropNameFull</f>
        <v>Kale Fodder General</v>
      </c>
      <c r="G24" s="3">
        <f t="shared" ca="1" si="4"/>
        <v>45</v>
      </c>
      <c r="H24" s="95">
        <f t="shared" ca="1" si="6"/>
        <v>45335</v>
      </c>
      <c r="I24" s="119">
        <f ca="1">HLOOKUP($H$4,'Met Data'!$A$2:$F$368,G24,FALSE)</f>
        <v>18.674999999999901</v>
      </c>
      <c r="J24" s="119">
        <f ca="1">HLOOKUP($H$4,'Met Data'!$H$2:$M$368,G24,FALSE)*L24</f>
        <v>0.44999999999999901</v>
      </c>
      <c r="K24" s="96">
        <f ca="1">HLOOKUP($H$4,'Met Data'!$O$2:$T$368,G24,FALSE)</f>
        <v>3.2860966338213999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45381</v>
      </c>
      <c r="Q24">
        <f ca="1"/>
        <v>193.08623903516207</v>
      </c>
      <c r="R24">
        <f ca="1"/>
        <v>0.69181207813325329</v>
      </c>
      <c r="S24">
        <f ca="1"/>
        <v>2.3336282596777806</v>
      </c>
      <c r="T24" s="4">
        <f ca="1"/>
        <v>1.0005916943791904</v>
      </c>
      <c r="U24">
        <f ca="1"/>
        <v>0</v>
      </c>
      <c r="V24">
        <f ca="1"/>
        <v>9.2688116983224003</v>
      </c>
      <c r="W24">
        <f ca="1"/>
        <v>3.7809837930219579</v>
      </c>
      <c r="X24">
        <f ca="1"/>
        <v>0</v>
      </c>
      <c r="Y24">
        <f ca="1"/>
        <v>0.83634331590133915</v>
      </c>
      <c r="Z24">
        <f ca="1"/>
        <v>0</v>
      </c>
      <c r="AA24">
        <f ca="1"/>
        <v>0</v>
      </c>
      <c r="AB24">
        <f ca="1"/>
        <v>4.7755998105924742E-2</v>
      </c>
      <c r="AD24" s="2">
        <f t="shared" ca="1" si="2"/>
        <v>45381</v>
      </c>
      <c r="AE24">
        <f t="shared" ca="1" si="3"/>
        <v>0</v>
      </c>
      <c r="AG24" s="63">
        <f t="shared" ca="1" si="7"/>
        <v>193.77805111329531</v>
      </c>
      <c r="AH24" s="63">
        <f t="shared" ca="1" si="8"/>
        <v>193.77805111329531</v>
      </c>
      <c r="AI24" s="3">
        <f t="shared" ca="1" si="9"/>
        <v>0</v>
      </c>
    </row>
    <row r="25" spans="1:35">
      <c r="A25" s="9" t="s">
        <v>242</v>
      </c>
      <c r="B25" s="11">
        <f>CurrentYield</f>
        <v>25</v>
      </c>
      <c r="G25" s="3">
        <f t="shared" ca="1" si="4"/>
        <v>46</v>
      </c>
      <c r="H25" s="95">
        <f t="shared" ca="1" si="6"/>
        <v>45336</v>
      </c>
      <c r="I25" s="119">
        <f ca="1">HLOOKUP($H$4,'Met Data'!$A$2:$F$368,G25,FALSE)</f>
        <v>18.670833333333299</v>
      </c>
      <c r="J25" s="119">
        <f ca="1">HLOOKUP($H$4,'Met Data'!$H$2:$M$368,G25,FALSE)*L25</f>
        <v>1.13333333333333</v>
      </c>
      <c r="K25" s="96">
        <f ca="1">HLOOKUP($H$4,'Met Data'!$O$2:$T$368,G25,FALSE)</f>
        <v>3.8932908527116399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45382</v>
      </c>
      <c r="Q25">
        <f ca="1"/>
        <v>195.32921183069681</v>
      </c>
      <c r="R25">
        <f ca="1"/>
        <v>0.73408246716292958</v>
      </c>
      <c r="S25">
        <f ca="1"/>
        <v>2.0111106651095554</v>
      </c>
      <c r="T25" s="4">
        <f ca="1"/>
        <v>0.96594459758809903</v>
      </c>
      <c r="U25">
        <f ca="1"/>
        <v>0</v>
      </c>
      <c r="V25">
        <f ca="1"/>
        <v>10.00289416548533</v>
      </c>
      <c r="W25">
        <f ca="1"/>
        <v>4.0804346828902851</v>
      </c>
      <c r="X25">
        <f ca="1"/>
        <v>0</v>
      </c>
      <c r="Y25">
        <f ca="1"/>
        <v>0.82461229906366385</v>
      </c>
      <c r="Z25">
        <f ca="1"/>
        <v>0</v>
      </c>
      <c r="AA25">
        <f ca="1"/>
        <v>0</v>
      </c>
      <c r="AB25">
        <f ca="1"/>
        <v>7.558985403603298E-2</v>
      </c>
      <c r="AD25" s="2">
        <f t="shared" ca="1" si="2"/>
        <v>45382</v>
      </c>
      <c r="AE25">
        <f t="shared" ca="1" si="3"/>
        <v>0</v>
      </c>
      <c r="AG25" s="63">
        <f t="shared" ca="1" si="7"/>
        <v>196.06329429785973</v>
      </c>
      <c r="AH25" s="63">
        <f t="shared" ca="1" si="8"/>
        <v>196.06329429785973</v>
      </c>
      <c r="AI25" s="3">
        <f t="shared" ca="1" si="9"/>
        <v>0</v>
      </c>
    </row>
    <row r="26" spans="1:35">
      <c r="A26" s="9" t="s">
        <v>236</v>
      </c>
      <c r="B26" s="13" t="str">
        <f>CurrentPopulation</f>
        <v>1</v>
      </c>
      <c r="G26" s="3">
        <f t="shared" ca="1" si="4"/>
        <v>47</v>
      </c>
      <c r="H26" s="95">
        <f t="shared" ca="1" si="6"/>
        <v>45337</v>
      </c>
      <c r="I26" s="119">
        <f ca="1">HLOOKUP($H$4,'Met Data'!$A$2:$F$368,G26,FALSE)</f>
        <v>18.1666666666666</v>
      </c>
      <c r="J26" s="119">
        <f ca="1">HLOOKUP($H$4,'Met Data'!$H$2:$M$368,G26,FALSE)*L26</f>
        <v>1.7333333333333301</v>
      </c>
      <c r="K26" s="96">
        <f ca="1">HLOOKUP($H$4,'Met Data'!$O$2:$T$368,G26,FALSE)</f>
        <v>3.7918051722380999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45383</v>
      </c>
      <c r="Q26">
        <f ca="1"/>
        <v>197.12582372448824</v>
      </c>
      <c r="R26">
        <f ca="1"/>
        <v>0.7614694783351883</v>
      </c>
      <c r="S26">
        <f ca="1"/>
        <v>1.6666328681846494</v>
      </c>
      <c r="T26" s="4">
        <f ca="1"/>
        <v>0.89144850394198272</v>
      </c>
      <c r="U26">
        <f ca="1"/>
        <v>0</v>
      </c>
      <c r="V26">
        <f ca="1"/>
        <v>10.764363643820518</v>
      </c>
      <c r="W26">
        <f ca="1"/>
        <v>4.3910574304629151</v>
      </c>
      <c r="X26">
        <f ca="1"/>
        <v>0</v>
      </c>
      <c r="Y26">
        <f ca="1"/>
        <v>0.79805691618868535</v>
      </c>
      <c r="Z26">
        <f ca="1"/>
        <v>0</v>
      </c>
      <c r="AA26">
        <f ca="1"/>
        <v>0</v>
      </c>
      <c r="AB26">
        <f ca="1"/>
        <v>0.11585443222541358</v>
      </c>
      <c r="AD26" s="2">
        <f t="shared" ca="1" si="2"/>
        <v>45383</v>
      </c>
      <c r="AE26">
        <f t="shared" ca="1" si="3"/>
        <v>0</v>
      </c>
      <c r="AG26" s="63">
        <f t="shared" ca="1" si="7"/>
        <v>197.88729320282343</v>
      </c>
      <c r="AH26" s="63">
        <f t="shared" ca="1" si="8"/>
        <v>197.88729320282343</v>
      </c>
      <c r="AI26" s="3">
        <f t="shared" ca="1" si="9"/>
        <v>0</v>
      </c>
    </row>
    <row r="27" spans="1:35">
      <c r="A27" s="9" t="s">
        <v>237</v>
      </c>
      <c r="B27" s="13" t="str">
        <f>CurrentUnits</f>
        <v>t/ha</v>
      </c>
      <c r="G27" s="3">
        <f t="shared" ca="1" si="4"/>
        <v>48</v>
      </c>
      <c r="H27" s="95">
        <f t="shared" ca="1" si="6"/>
        <v>45338</v>
      </c>
      <c r="I27" s="119">
        <f ca="1">HLOOKUP($H$4,'Met Data'!$A$2:$F$368,G27,FALSE)</f>
        <v>17.879166666666599</v>
      </c>
      <c r="J27" s="119">
        <f ca="1">HLOOKUP($H$4,'Met Data'!$H$2:$M$368,G27,FALSE)*L27</f>
        <v>0.73333333333333295</v>
      </c>
      <c r="K27" s="96">
        <f ca="1">HLOOKUP($H$4,'Met Data'!$O$2:$T$368,G27,FALSE)</f>
        <v>3.8813294167315999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45384</v>
      </c>
      <c r="Q27">
        <f ca="1"/>
        <v>198.99265472569471</v>
      </c>
      <c r="R27">
        <f ca="1"/>
        <v>0.87123346170115035</v>
      </c>
      <c r="S27">
        <f ca="1"/>
        <v>1.7136749592663705</v>
      </c>
      <c r="T27" s="4">
        <f ca="1"/>
        <v>1.0243895036412292</v>
      </c>
      <c r="U27">
        <f ca="1"/>
        <v>0</v>
      </c>
      <c r="V27">
        <f ca="1"/>
        <v>11.635597105521668</v>
      </c>
      <c r="W27">
        <f ca="1"/>
        <v>4.7464556957256221</v>
      </c>
      <c r="X27">
        <f ca="1"/>
        <v>0</v>
      </c>
      <c r="Y27">
        <f ca="1"/>
        <v>0.84503334832122268</v>
      </c>
      <c r="Z27">
        <f ca="1"/>
        <v>0</v>
      </c>
      <c r="AA27">
        <f ca="1"/>
        <v>0</v>
      </c>
      <c r="AB27">
        <f ca="1"/>
        <v>0.1778550344572547</v>
      </c>
      <c r="AD27" s="2">
        <f t="shared" ca="1" si="2"/>
        <v>45384</v>
      </c>
      <c r="AE27">
        <f t="shared" ca="1" si="3"/>
        <v>0</v>
      </c>
      <c r="AG27" s="63">
        <f t="shared" ca="1" si="7"/>
        <v>199.86388818739584</v>
      </c>
      <c r="AH27" s="63">
        <f t="shared" ca="1" si="8"/>
        <v>199.86388818739584</v>
      </c>
      <c r="AI27" s="3">
        <f t="shared" ca="1" si="9"/>
        <v>0</v>
      </c>
    </row>
    <row r="28" spans="1:35">
      <c r="A28" s="9" t="s">
        <v>121</v>
      </c>
      <c r="B28" s="10">
        <f>CurrentFieldLoss</f>
        <v>0</v>
      </c>
      <c r="G28" s="3">
        <f t="shared" ca="1" si="4"/>
        <v>49</v>
      </c>
      <c r="H28" s="95">
        <f t="shared" ca="1" si="6"/>
        <v>45339</v>
      </c>
      <c r="I28" s="119">
        <f ca="1">HLOOKUP($H$4,'Met Data'!$A$2:$F$368,G28,FALSE)</f>
        <v>18.2083333333333</v>
      </c>
      <c r="J28" s="119">
        <f ca="1">HLOOKUP($H$4,'Met Data'!$H$2:$M$368,G28,FALSE)*L28</f>
        <v>2.8833333333333302</v>
      </c>
      <c r="K28" s="96">
        <f ca="1">HLOOKUP($H$4,'Met Data'!$O$2:$T$368,G28,FALSE)</f>
        <v>3.5062121478789399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45385</v>
      </c>
      <c r="Q28">
        <f ca="1"/>
        <v>200.77994327576425</v>
      </c>
      <c r="R28">
        <f ca="1"/>
        <v>0.92384800038832537</v>
      </c>
      <c r="S28">
        <f ca="1"/>
        <v>1.6173440911404953</v>
      </c>
      <c r="T28" s="4">
        <f ca="1"/>
        <v>1.0937924593173569</v>
      </c>
      <c r="U28">
        <f ca="1"/>
        <v>0</v>
      </c>
      <c r="V28">
        <f ca="1"/>
        <v>12.559445105909994</v>
      </c>
      <c r="W28">
        <f ca="1"/>
        <v>5.1233167681451022</v>
      </c>
      <c r="X28">
        <f ca="1"/>
        <v>0</v>
      </c>
      <c r="Y28">
        <f ca="1"/>
        <v>0.91253386492667365</v>
      </c>
      <c r="Z28">
        <f ca="1"/>
        <v>0</v>
      </c>
      <c r="AA28">
        <f ca="1"/>
        <v>0</v>
      </c>
      <c r="AB28">
        <f ca="1"/>
        <v>0.26161904037940398</v>
      </c>
      <c r="AD28" s="2">
        <f t="shared" ca="1" si="2"/>
        <v>45385</v>
      </c>
      <c r="AE28">
        <f t="shared" ca="1" si="3"/>
        <v>0</v>
      </c>
      <c r="AG28" s="63">
        <f t="shared" ca="1" si="7"/>
        <v>201.70379127615257</v>
      </c>
      <c r="AH28" s="63">
        <f t="shared" ca="1" si="8"/>
        <v>201.70379127615257</v>
      </c>
      <c r="AI28" s="3">
        <f t="shared" ca="1" si="9"/>
        <v>0</v>
      </c>
    </row>
    <row r="29" spans="1:35">
      <c r="A29" s="9" t="s">
        <v>122</v>
      </c>
      <c r="B29" s="10">
        <f>CurrentDressingLoss</f>
        <v>0</v>
      </c>
      <c r="G29" s="3">
        <f t="shared" ca="1" si="4"/>
        <v>50</v>
      </c>
      <c r="H29" s="95">
        <f t="shared" ca="1" si="6"/>
        <v>45340</v>
      </c>
      <c r="I29" s="119">
        <f ca="1">HLOOKUP($H$4,'Met Data'!$A$2:$F$368,G29,FALSE)</f>
        <v>18.529166666666601</v>
      </c>
      <c r="J29" s="119">
        <f ca="1">HLOOKUP($H$4,'Met Data'!$H$2:$M$368,G29,FALSE)*L29</f>
        <v>2.85</v>
      </c>
      <c r="K29" s="96">
        <f ca="1">HLOOKUP($H$4,'Met Data'!$O$2:$T$368,G29,FALSE)</f>
        <v>3.5342235016405201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45386</v>
      </c>
      <c r="Q29">
        <f ca="1"/>
        <v>202.24652213563752</v>
      </c>
      <c r="R29">
        <f ca="1"/>
        <v>0.91736990636076676</v>
      </c>
      <c r="S29">
        <f ca="1"/>
        <v>1.3499205703971882</v>
      </c>
      <c r="T29" s="4">
        <f ca="1"/>
        <v>1.0340281958368311</v>
      </c>
      <c r="U29">
        <f ca="1"/>
        <v>0</v>
      </c>
      <c r="V29">
        <f ca="1"/>
        <v>13.476815012270761</v>
      </c>
      <c r="W29">
        <f ca="1"/>
        <v>5.4975352614158108</v>
      </c>
      <c r="X29">
        <f ca="1"/>
        <v>0</v>
      </c>
      <c r="Y29">
        <f ca="1"/>
        <v>0.94588676831520047</v>
      </c>
      <c r="Z29">
        <f ca="1"/>
        <v>0</v>
      </c>
      <c r="AA29">
        <f ca="1"/>
        <v>0</v>
      </c>
      <c r="AB29">
        <f ca="1"/>
        <v>0.35866178680617117</v>
      </c>
      <c r="AD29" s="2">
        <f t="shared" ca="1" si="2"/>
        <v>45386</v>
      </c>
      <c r="AE29">
        <f t="shared" ca="1" si="3"/>
        <v>0</v>
      </c>
      <c r="AG29" s="63">
        <f t="shared" ca="1" si="7"/>
        <v>203.16389204199828</v>
      </c>
      <c r="AH29" s="63">
        <f t="shared" ca="1" si="8"/>
        <v>203.16389204199828</v>
      </c>
      <c r="AI29" s="3">
        <f t="shared" ca="1" si="9"/>
        <v>0</v>
      </c>
    </row>
    <row r="30" spans="1:35">
      <c r="A30" s="9" t="s">
        <v>123</v>
      </c>
      <c r="B30" s="10">
        <f>CurrentMoistureContent</f>
        <v>0</v>
      </c>
      <c r="G30" s="3">
        <f t="shared" ca="1" si="4"/>
        <v>51</v>
      </c>
      <c r="H30" s="95">
        <f t="shared" ca="1" si="6"/>
        <v>45341</v>
      </c>
      <c r="I30" s="119">
        <f ca="1">HLOOKUP($H$4,'Met Data'!$A$2:$F$368,G30,FALSE)</f>
        <v>18.925000000000001</v>
      </c>
      <c r="J30" s="119">
        <f ca="1">HLOOKUP($H$4,'Met Data'!$H$2:$M$368,G30,FALSE)*L30</f>
        <v>3.86666666666666</v>
      </c>
      <c r="K30" s="96">
        <f ca="1">HLOOKUP($H$4,'Met Data'!$O$2:$T$368,G30,FALSE)</f>
        <v>3.6338116563958698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45387</v>
      </c>
      <c r="Q30">
        <f ca="1"/>
        <v>203.39123846749285</v>
      </c>
      <c r="R30">
        <f ca="1"/>
        <v>0.94576298139779524</v>
      </c>
      <c r="S30">
        <f ca="1"/>
        <v>1.1229912999036742</v>
      </c>
      <c r="T30" s="4">
        <f ca="1"/>
        <v>0.96748801334946422</v>
      </c>
      <c r="U30">
        <f ca="1"/>
        <v>0</v>
      </c>
      <c r="V30">
        <f ca="1"/>
        <v>14.422577993668556</v>
      </c>
      <c r="W30">
        <f ca="1"/>
        <v>5.8833360114032569</v>
      </c>
      <c r="X30">
        <f ca="1"/>
        <v>0</v>
      </c>
      <c r="Y30">
        <f ca="1"/>
        <v>0.92807038068505188</v>
      </c>
      <c r="Z30">
        <f ca="1"/>
        <v>0</v>
      </c>
      <c r="AA30">
        <f ca="1"/>
        <v>0</v>
      </c>
      <c r="AB30">
        <f ca="1"/>
        <v>0.46481718171479453</v>
      </c>
      <c r="AD30" s="2">
        <f t="shared" ca="1" si="2"/>
        <v>45387</v>
      </c>
      <c r="AE30">
        <f t="shared" ca="1" si="3"/>
        <v>0</v>
      </c>
      <c r="AG30" s="63">
        <f t="shared" ca="1" si="7"/>
        <v>204.33700144889065</v>
      </c>
      <c r="AH30" s="63">
        <f t="shared" ca="1" si="8"/>
        <v>204.33700144889065</v>
      </c>
      <c r="AI30" s="3">
        <f t="shared" ca="1" si="9"/>
        <v>0</v>
      </c>
    </row>
    <row r="31" spans="1:35">
      <c r="A31" s="9" t="s">
        <v>124</v>
      </c>
      <c r="B31" s="36">
        <f ca="1">CurrentEstablishDate</f>
        <v>45378</v>
      </c>
      <c r="G31" s="3">
        <f t="shared" ca="1" si="4"/>
        <v>52</v>
      </c>
      <c r="H31" s="95">
        <f t="shared" ca="1" si="6"/>
        <v>45342</v>
      </c>
      <c r="I31" s="119">
        <f ca="1">HLOOKUP($H$4,'Met Data'!$A$2:$F$368,G31,FALSE)</f>
        <v>19.195833333333301</v>
      </c>
      <c r="J31" s="119">
        <f ca="1">HLOOKUP($H$4,'Met Data'!$H$2:$M$368,G31,FALSE)*L31</f>
        <v>1.18333333333333</v>
      </c>
      <c r="K31" s="96">
        <f ca="1">HLOOKUP($H$4,'Met Data'!$O$2:$T$368,G31,FALSE)</f>
        <v>3.7477053916930299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45388</v>
      </c>
      <c r="Q31">
        <f ca="1"/>
        <v>204.2351451113359</v>
      </c>
      <c r="R31">
        <f ca="1"/>
        <v>0.93468265759941893</v>
      </c>
      <c r="S31">
        <f ca="1"/>
        <v>0.90741087142555443</v>
      </c>
      <c r="T31" s="4">
        <f ca="1"/>
        <v>0.87117843001691075</v>
      </c>
      <c r="U31">
        <f ca="1"/>
        <v>0</v>
      </c>
      <c r="V31">
        <f ca="1"/>
        <v>15.357260651267975</v>
      </c>
      <c r="W31">
        <f ca="1"/>
        <v>6.2646168157853035</v>
      </c>
      <c r="X31">
        <f ca="1"/>
        <v>0</v>
      </c>
      <c r="Y31">
        <f ca="1"/>
        <v>0.91507732555379129</v>
      </c>
      <c r="Z31">
        <f ca="1"/>
        <v>0</v>
      </c>
      <c r="AA31">
        <f ca="1"/>
        <v>0</v>
      </c>
      <c r="AB31">
        <f ca="1"/>
        <v>0.56651788133948855</v>
      </c>
      <c r="AD31" s="2">
        <f t="shared" ca="1" si="2"/>
        <v>45388</v>
      </c>
      <c r="AE31">
        <f t="shared" ca="1" si="3"/>
        <v>0</v>
      </c>
      <c r="AG31" s="63">
        <f t="shared" ca="1" si="7"/>
        <v>205.16982776893531</v>
      </c>
      <c r="AH31" s="63">
        <f t="shared" ca="1" si="8"/>
        <v>205.16982776893531</v>
      </c>
      <c r="AI31" s="3">
        <f t="shared" ca="1" si="9"/>
        <v>0</v>
      </c>
    </row>
    <row r="32" spans="1:35">
      <c r="A32" s="9" t="s">
        <v>125</v>
      </c>
      <c r="B32" s="10" t="str">
        <f>CurrentEstablishStage</f>
        <v>Seed</v>
      </c>
      <c r="G32" s="3">
        <f t="shared" ca="1" si="4"/>
        <v>53</v>
      </c>
      <c r="H32" s="95">
        <f t="shared" ca="1" si="6"/>
        <v>45343</v>
      </c>
      <c r="I32" s="119">
        <f ca="1">HLOOKUP($H$4,'Met Data'!$A$2:$F$368,G32,FALSE)</f>
        <v>18.945833333333301</v>
      </c>
      <c r="J32" s="119">
        <f ca="1">HLOOKUP($H$4,'Met Data'!$H$2:$M$368,G32,FALSE)*L32</f>
        <v>1.3333333333333299</v>
      </c>
      <c r="K32" s="96">
        <f ca="1">HLOOKUP($H$4,'Met Data'!$O$2:$T$368,G32,FALSE)</f>
        <v>3.7395681594102799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45389</v>
      </c>
      <c r="Q32">
        <f ca="1"/>
        <v>205.07659631533707</v>
      </c>
      <c r="R32">
        <f ca="1"/>
        <v>1.0394996547015936</v>
      </c>
      <c r="S32">
        <f ca="1"/>
        <v>0.9085599270305238</v>
      </c>
      <c r="T32" s="4">
        <f ca="1"/>
        <v>0.97239093167223734</v>
      </c>
      <c r="U32">
        <f ca="1"/>
        <v>0</v>
      </c>
      <c r="V32">
        <f ca="1"/>
        <v>16.396760305969568</v>
      </c>
      <c r="W32">
        <f ca="1"/>
        <v>6.688655136467772</v>
      </c>
      <c r="X32">
        <f ca="1"/>
        <v>0</v>
      </c>
      <c r="Y32">
        <f ca="1"/>
        <v>0.97299923128617682</v>
      </c>
      <c r="Z32">
        <f ca="1"/>
        <v>0</v>
      </c>
      <c r="AA32">
        <f ca="1"/>
        <v>0</v>
      </c>
      <c r="AB32">
        <f ca="1"/>
        <v>0.66708478112904701</v>
      </c>
      <c r="AD32" s="2">
        <f t="shared" ca="1" si="2"/>
        <v>45389</v>
      </c>
      <c r="AE32">
        <f t="shared" ca="1" si="3"/>
        <v>0</v>
      </c>
      <c r="AG32" s="63">
        <f t="shared" ca="1" si="7"/>
        <v>206.11609597003866</v>
      </c>
      <c r="AH32" s="63">
        <f t="shared" ca="1" si="8"/>
        <v>206.11609597003866</v>
      </c>
      <c r="AI32" s="3">
        <f t="shared" ca="1" si="9"/>
        <v>0</v>
      </c>
    </row>
    <row r="33" spans="1:35">
      <c r="A33" s="9" t="s">
        <v>126</v>
      </c>
      <c r="B33" s="36">
        <f ca="1">CurrentHarvestDate</f>
        <v>45503</v>
      </c>
      <c r="G33" s="3">
        <f t="shared" ca="1" si="4"/>
        <v>54</v>
      </c>
      <c r="H33" s="95">
        <f t="shared" ca="1" si="6"/>
        <v>45344</v>
      </c>
      <c r="I33" s="119">
        <f ca="1">HLOOKUP($H$4,'Met Data'!$A$2:$F$368,G33,FALSE)</f>
        <v>18.912499999999898</v>
      </c>
      <c r="J33" s="119">
        <f ca="1">HLOOKUP($H$4,'Met Data'!$H$2:$M$368,G33,FALSE)*L33</f>
        <v>6.18333333333333</v>
      </c>
      <c r="K33" s="96">
        <f ca="1">HLOOKUP($H$4,'Met Data'!$O$2:$T$368,G33,FALSE)</f>
        <v>3.0629444033618198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45390</v>
      </c>
      <c r="Q33">
        <f ca="1"/>
        <v>204.3456950154667</v>
      </c>
      <c r="R33">
        <f ca="1"/>
        <v>1.1507372929459869</v>
      </c>
      <c r="S33">
        <f ca="1"/>
        <v>0.84561490734927247</v>
      </c>
      <c r="T33" s="4">
        <f ca="1"/>
        <v>1.0179955350228496</v>
      </c>
      <c r="U33">
        <f ca="1"/>
        <v>0</v>
      </c>
      <c r="V33">
        <f ca="1"/>
        <v>17.547497598915555</v>
      </c>
      <c r="W33">
        <f ca="1"/>
        <v>7.1580701161077425</v>
      </c>
      <c r="X33">
        <f ca="1"/>
        <v>1.4437744492965094</v>
      </c>
      <c r="Y33">
        <f ca="1"/>
        <v>1</v>
      </c>
      <c r="Z33">
        <f ca="1"/>
        <v>1.004023833447512</v>
      </c>
      <c r="AA33">
        <f ca="1"/>
        <v>0</v>
      </c>
      <c r="AB33">
        <f ca="1"/>
        <v>0.75748978979913439</v>
      </c>
      <c r="AD33" s="2">
        <f t="shared" ca="1" si="2"/>
        <v>45390</v>
      </c>
      <c r="AE33">
        <f t="shared" ca="1" si="3"/>
        <v>0</v>
      </c>
      <c r="AG33" s="63">
        <f t="shared" ca="1" si="7"/>
        <v>206.94020675770921</v>
      </c>
      <c r="AH33" s="63">
        <f t="shared" ca="1" si="8"/>
        <v>206.94020675770921</v>
      </c>
      <c r="AI33" s="3">
        <f t="shared" ca="1" si="9"/>
        <v>0</v>
      </c>
    </row>
    <row r="34" spans="1:35">
      <c r="A34" s="9" t="s">
        <v>127</v>
      </c>
      <c r="B34" s="10" t="str">
        <f>CurrentHarvestStage</f>
        <v>LateReproductive</v>
      </c>
      <c r="G34" s="3">
        <f t="shared" ca="1" si="4"/>
        <v>55</v>
      </c>
      <c r="H34" s="95">
        <f t="shared" ca="1" si="6"/>
        <v>45345</v>
      </c>
      <c r="I34" s="119">
        <f ca="1">HLOOKUP($H$4,'Met Data'!$A$2:$F$368,G34,FALSE)</f>
        <v>17.745833333333302</v>
      </c>
      <c r="J34" s="119">
        <f ca="1">HLOOKUP($H$4,'Met Data'!$H$2:$M$368,G34,FALSE)*L34</f>
        <v>0.7</v>
      </c>
      <c r="K34" s="96">
        <f ca="1">HLOOKUP($H$4,'Met Data'!$O$2:$T$368,G34,FALSE)</f>
        <v>3.7397228058893299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45391</v>
      </c>
      <c r="Q34">
        <f ca="1"/>
        <v>201.40687953236645</v>
      </c>
      <c r="R34">
        <f ca="1"/>
        <v>1.2393828309194923</v>
      </c>
      <c r="S34">
        <f ca="1"/>
        <v>0.75773428612109228</v>
      </c>
      <c r="T34" s="4">
        <f ca="1"/>
        <v>1.0298668751929874</v>
      </c>
      <c r="U34">
        <f ca="1"/>
        <v>0</v>
      </c>
      <c r="V34">
        <f ca="1"/>
        <v>18.786880429835048</v>
      </c>
      <c r="W34">
        <f ca="1"/>
        <v>7.6636458629863231</v>
      </c>
      <c r="X34">
        <f ca="1"/>
        <v>3.4870338134948708</v>
      </c>
      <c r="Y34">
        <f ca="1"/>
        <v>1</v>
      </c>
      <c r="Z34">
        <f ca="1"/>
        <v>2.4603224023811663</v>
      </c>
      <c r="AA34">
        <f ca="1"/>
        <v>0</v>
      </c>
      <c r="AB34">
        <f ca="1"/>
        <v>0.83021347571252391</v>
      </c>
      <c r="AD34" s="2">
        <f t="shared" ca="1" si="2"/>
        <v>45391</v>
      </c>
      <c r="AE34">
        <f t="shared" ca="1" si="3"/>
        <v>0</v>
      </c>
      <c r="AG34" s="63">
        <f t="shared" ca="1" si="7"/>
        <v>206.13329617678079</v>
      </c>
      <c r="AH34" s="63">
        <f t="shared" ca="1" si="8"/>
        <v>206.13329617678079</v>
      </c>
      <c r="AI34" s="3">
        <f t="shared" ca="1" si="9"/>
        <v>0</v>
      </c>
    </row>
    <row r="35" spans="1:35">
      <c r="A35" s="9" t="s">
        <v>165</v>
      </c>
      <c r="B35" s="10" t="str">
        <f>CurrentResidueRemoval</f>
        <v>None removed</v>
      </c>
      <c r="G35" s="3">
        <f t="shared" ca="1" si="4"/>
        <v>56</v>
      </c>
      <c r="H35" s="95">
        <f t="shared" ca="1" si="6"/>
        <v>45346</v>
      </c>
      <c r="I35" s="119">
        <f ca="1">HLOOKUP($H$4,'Met Data'!$A$2:$F$368,G35,FALSE)</f>
        <v>16.945833333333301</v>
      </c>
      <c r="J35" s="119">
        <f ca="1">HLOOKUP($H$4,'Met Data'!$H$2:$M$368,G35,FALSE)*L35</f>
        <v>1.5999999999999901</v>
      </c>
      <c r="K35" s="96">
        <f ca="1">HLOOKUP($H$4,'Met Data'!$O$2:$T$368,G35,FALSE)</f>
        <v>3.5683594386422701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45392</v>
      </c>
      <c r="Q35">
        <f ca="1"/>
        <v>201.77344767063022</v>
      </c>
      <c r="R35">
        <f ca="1"/>
        <v>1.2973895609774644</v>
      </c>
      <c r="S35">
        <f ca="1"/>
        <v>0.65668172180539841</v>
      </c>
      <c r="T35" s="4">
        <f ca="1"/>
        <v>1.0072759774358129</v>
      </c>
      <c r="U35">
        <f ca="1"/>
        <v>0</v>
      </c>
      <c r="V35">
        <f ca="1"/>
        <v>20.084269990812512</v>
      </c>
      <c r="W35">
        <f ca="1"/>
        <v>8.1928840288862208</v>
      </c>
      <c r="X35">
        <f ca="1"/>
        <v>0</v>
      </c>
      <c r="Y35">
        <f ca="1"/>
        <v>0.99435123161993555</v>
      </c>
      <c r="Z35">
        <f ca="1"/>
        <v>0</v>
      </c>
      <c r="AA35">
        <f ca="1"/>
        <v>0</v>
      </c>
      <c r="AB35">
        <f ca="1"/>
        <v>0.88362606780001973</v>
      </c>
      <c r="AD35" s="2">
        <f t="shared" ca="1" si="2"/>
        <v>45392</v>
      </c>
      <c r="AE35">
        <f t="shared" ca="1" si="3"/>
        <v>0</v>
      </c>
      <c r="AG35" s="63">
        <f t="shared" ca="1" si="7"/>
        <v>203.07083723160767</v>
      </c>
      <c r="AH35" s="63">
        <f t="shared" ca="1" si="8"/>
        <v>203.0708372316077</v>
      </c>
      <c r="AI35" s="3">
        <f t="shared" ca="1" si="9"/>
        <v>0</v>
      </c>
    </row>
    <row r="36" spans="1:35" ht="15.75" thickBot="1">
      <c r="A36" s="9" t="s">
        <v>168</v>
      </c>
      <c r="B36" s="10" t="str">
        <f>CurrentResidueIncorporation</f>
        <v>Full (Plough)</v>
      </c>
      <c r="G36" s="3">
        <f t="shared" ca="1" si="4"/>
        <v>57</v>
      </c>
      <c r="H36" s="95">
        <f t="shared" ca="1" si="6"/>
        <v>45347</v>
      </c>
      <c r="I36" s="119">
        <f ca="1">HLOOKUP($H$4,'Met Data'!$A$2:$F$368,G36,FALSE)</f>
        <v>17.495833333333302</v>
      </c>
      <c r="J36" s="119">
        <f ca="1">HLOOKUP($H$4,'Met Data'!$H$2:$M$368,G36,FALSE)*L36</f>
        <v>0.86666666666666603</v>
      </c>
      <c r="K36" s="96">
        <f ca="1">HLOOKUP($H$4,'Met Data'!$O$2:$T$368,G36,FALSE)</f>
        <v>3.5556810366886502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45393</v>
      </c>
      <c r="Q36">
        <f ca="1"/>
        <v>199.78365150066696</v>
      </c>
      <c r="R36">
        <f ca="1"/>
        <v>1.4703631427931718</v>
      </c>
      <c r="S36">
        <f ca="1"/>
        <v>0.62461828960556431</v>
      </c>
      <c r="T36">
        <f ca="1"/>
        <v>1.084883785260359</v>
      </c>
      <c r="U36">
        <f ca="1"/>
        <v>0</v>
      </c>
      <c r="V36">
        <f ca="1"/>
        <v>21.554633133605684</v>
      </c>
      <c r="W36">
        <f ca="1"/>
        <v>8.7926825137086109</v>
      </c>
      <c r="X36">
        <f ca="1"/>
        <v>2.2289351020360146</v>
      </c>
      <c r="Y36">
        <f ca="1"/>
        <v>1</v>
      </c>
      <c r="Z36">
        <f ca="1"/>
        <v>1.5854320754350582</v>
      </c>
      <c r="AA36">
        <f ca="1"/>
        <v>0</v>
      </c>
      <c r="AB36">
        <f ca="1"/>
        <v>0.9237668038552308</v>
      </c>
      <c r="AD36" s="2">
        <f t="shared" ca="1" si="2"/>
        <v>45393</v>
      </c>
      <c r="AE36">
        <f t="shared" ca="1" si="3"/>
        <v>0</v>
      </c>
      <c r="AG36" s="63">
        <f t="shared" ca="1" si="7"/>
        <v>203.48294974549614</v>
      </c>
      <c r="AH36" s="63">
        <f t="shared" ca="1" si="8"/>
        <v>203.48294974549614</v>
      </c>
      <c r="AI36" s="3">
        <f t="shared" ca="1" si="9"/>
        <v>0</v>
      </c>
    </row>
    <row r="37" spans="1:35">
      <c r="A37" s="5" t="s">
        <v>143</v>
      </c>
      <c r="B37" s="31" t="str">
        <f>FollowingCropFullName</f>
        <v>Broccoli Vegetable General</v>
      </c>
      <c r="G37" s="3">
        <f t="shared" ca="1" si="4"/>
        <v>58</v>
      </c>
      <c r="H37" s="95">
        <f t="shared" ca="1" si="6"/>
        <v>45348</v>
      </c>
      <c r="I37" s="119">
        <f ca="1">HLOOKUP($H$4,'Met Data'!$A$2:$F$368,G37,FALSE)</f>
        <v>16.954166666666602</v>
      </c>
      <c r="J37" s="119">
        <f ca="1">HLOOKUP($H$4,'Met Data'!$H$2:$M$368,G37,FALSE)*L37</f>
        <v>0.93333333333333302</v>
      </c>
      <c r="K37" s="96">
        <f ca="1">HLOOKUP($H$4,'Met Data'!$O$2:$T$368,G37,FALSE)</f>
        <v>3.6102637976598602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45394</v>
      </c>
      <c r="Q37">
        <f ca="1"/>
        <v>195.9471573942088</v>
      </c>
      <c r="R37">
        <f ca="1"/>
        <v>1.5184530458615626</v>
      </c>
      <c r="S37">
        <f ca="1"/>
        <v>0.52831500689711675</v>
      </c>
      <c r="T37">
        <f ca="1"/>
        <v>1.0414584223980456</v>
      </c>
      <c r="U37">
        <f ca="1"/>
        <v>0</v>
      </c>
      <c r="V37">
        <f ca="1"/>
        <v>23.073086179467246</v>
      </c>
      <c r="W37">
        <f ca="1"/>
        <v>9.412098091857267</v>
      </c>
      <c r="X37">
        <f ca="1"/>
        <v>3.887814489891785</v>
      </c>
      <c r="Y37">
        <f ca="1"/>
        <v>1</v>
      </c>
      <c r="Z37">
        <f ca="1"/>
        <v>2.8195300638307543</v>
      </c>
      <c r="AA37">
        <f ca="1"/>
        <v>0</v>
      </c>
      <c r="AB37">
        <f ca="1"/>
        <v>0.9501189825238886</v>
      </c>
      <c r="AD37" s="2">
        <f t="shared" ca="1" si="2"/>
        <v>45394</v>
      </c>
      <c r="AE37">
        <f t="shared" ca="1" si="3"/>
        <v>0</v>
      </c>
      <c r="AG37" s="63">
        <f t="shared" ca="1" si="7"/>
        <v>201.35342492996213</v>
      </c>
      <c r="AH37" s="63">
        <f t="shared" ca="1" si="8"/>
        <v>201.35342492996213</v>
      </c>
      <c r="AI37" s="3">
        <f t="shared" ca="1" si="9"/>
        <v>0</v>
      </c>
    </row>
    <row r="38" spans="1:35">
      <c r="A38" s="6" t="s">
        <v>243</v>
      </c>
      <c r="B38" s="32">
        <f>FollowingYIeld</f>
        <v>0</v>
      </c>
      <c r="G38" s="3">
        <f t="shared" ca="1" si="4"/>
        <v>59</v>
      </c>
      <c r="H38" s="95">
        <f t="shared" ca="1" si="6"/>
        <v>45349</v>
      </c>
      <c r="I38" s="119">
        <f ca="1">HLOOKUP($H$4,'Met Data'!$A$2:$F$368,G38,FALSE)</f>
        <v>16.829166666666602</v>
      </c>
      <c r="J38" s="119">
        <f ca="1">HLOOKUP($H$4,'Met Data'!$H$2:$M$368,G38,FALSE)*L38</f>
        <v>0.41666666666666602</v>
      </c>
      <c r="K38" s="96">
        <f ca="1">HLOOKUP($H$4,'Met Data'!$O$2:$T$368,G38,FALSE)</f>
        <v>3.6752740997587301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45395</v>
      </c>
      <c r="Q38">
        <f ca="1"/>
        <v>192.04124728082323</v>
      </c>
      <c r="R38">
        <f ca="1"/>
        <v>1.4851083515481953</v>
      </c>
      <c r="S38">
        <f ca="1"/>
        <v>0.4247305314091534</v>
      </c>
      <c r="T38">
        <f ca="1"/>
        <v>0.94235305295784044</v>
      </c>
      <c r="U38">
        <f ca="1"/>
        <v>0</v>
      </c>
      <c r="V38">
        <f ca="1"/>
        <v>24.558194531015442</v>
      </c>
      <c r="W38">
        <f ca="1"/>
        <v>10.017911521975995</v>
      </c>
      <c r="X38">
        <f ca="1"/>
        <v>3.7878853462043409</v>
      </c>
      <c r="Y38">
        <f ca="1"/>
        <v>1</v>
      </c>
      <c r="Z38">
        <f ca="1"/>
        <v>2.8029314095589726</v>
      </c>
      <c r="AA38">
        <f ca="1"/>
        <v>0</v>
      </c>
      <c r="AB38">
        <f ca="1"/>
        <v>0.96653267860079173</v>
      </c>
      <c r="AD38" s="2">
        <f t="shared" ca="1" si="2"/>
        <v>45395</v>
      </c>
      <c r="AE38">
        <f t="shared" ca="1" si="3"/>
        <v>0</v>
      </c>
      <c r="AG38" s="63">
        <f t="shared" ca="1" si="7"/>
        <v>197.31424097857578</v>
      </c>
      <c r="AH38" s="63">
        <f t="shared" ca="1" si="8"/>
        <v>197.31424097857578</v>
      </c>
      <c r="AI38" s="3">
        <f t="shared" ca="1" si="9"/>
        <v>0</v>
      </c>
    </row>
    <row r="39" spans="1:35">
      <c r="A39" s="6" t="s">
        <v>238</v>
      </c>
      <c r="B39" s="32">
        <f>FollowingPopulation</f>
        <v>20000</v>
      </c>
      <c r="G39" s="3">
        <f t="shared" ca="1" si="4"/>
        <v>60</v>
      </c>
      <c r="H39" s="95">
        <f t="shared" ca="1" si="6"/>
        <v>45350</v>
      </c>
      <c r="I39" s="119">
        <f ca="1">HLOOKUP($H$4,'Met Data'!$A$2:$F$368,G39,FALSE)</f>
        <v>17.512499999999999</v>
      </c>
      <c r="J39" s="119">
        <f ca="1">HLOOKUP($H$4,'Met Data'!$H$2:$M$368,G39,FALSE)*L39</f>
        <v>0.38333333333333303</v>
      </c>
      <c r="K39" s="96">
        <f ca="1">HLOOKUP($H$4,'Met Data'!$O$2:$T$368,G39,FALSE)</f>
        <v>3.6973328494211302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45396</v>
      </c>
      <c r="Q39">
        <f ca="1"/>
        <v>191.78799971187843</v>
      </c>
      <c r="R39">
        <f ca="1"/>
        <v>1.6066218764620039</v>
      </c>
      <c r="S39">
        <f ca="1"/>
        <v>0.38828681186726044</v>
      </c>
      <c r="T39">
        <f ca="1"/>
        <v>0.96508749564995289</v>
      </c>
      <c r="U39">
        <f ca="1"/>
        <v>0</v>
      </c>
      <c r="V39">
        <f ca="1"/>
        <v>26.164816407477446</v>
      </c>
      <c r="W39">
        <f ca="1"/>
        <v>10.673293406313643</v>
      </c>
      <c r="X39">
        <f ca="1"/>
        <v>0</v>
      </c>
      <c r="Y39">
        <f ca="1"/>
        <v>0.97842705307845979</v>
      </c>
      <c r="Z39">
        <f ca="1"/>
        <v>0</v>
      </c>
      <c r="AA39">
        <f ca="1"/>
        <v>0</v>
      </c>
      <c r="AB39">
        <f ca="1"/>
        <v>0.97785652448615612</v>
      </c>
      <c r="AD39" s="2">
        <f t="shared" ca="1" si="2"/>
        <v>45396</v>
      </c>
      <c r="AE39">
        <f t="shared" ca="1" si="3"/>
        <v>0</v>
      </c>
      <c r="AG39" s="63">
        <f t="shared" ca="1" si="7"/>
        <v>193.39462158834044</v>
      </c>
      <c r="AH39" s="63">
        <f t="shared" ca="1" si="8"/>
        <v>193.39462158834044</v>
      </c>
      <c r="AI39" s="3">
        <f t="shared" ca="1" si="9"/>
        <v>0</v>
      </c>
    </row>
    <row r="40" spans="1:35">
      <c r="A40" s="6" t="s">
        <v>239</v>
      </c>
      <c r="B40" s="32" t="str">
        <f>FollowingUnits</f>
        <v>kg/head</v>
      </c>
      <c r="G40" s="3">
        <f t="shared" ca="1" si="4"/>
        <v>61</v>
      </c>
      <c r="H40" s="95">
        <f t="shared" ca="1" si="6"/>
        <v>45351</v>
      </c>
      <c r="I40" s="119">
        <f ca="1">HLOOKUP($H$4,'Met Data'!$A$2:$F$368,G40,FALSE)</f>
        <v>17.1166666666666</v>
      </c>
      <c r="J40" s="119">
        <f ca="1">HLOOKUP($H$4,'Met Data'!$H$2:$M$368,G40,FALSE)*L40</f>
        <v>2.3166666666666602</v>
      </c>
      <c r="K40" s="96">
        <f ca="1">HLOOKUP($H$4,'Met Data'!$O$2:$T$368,G40,FALSE)</f>
        <v>3.5365052642272401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45397</v>
      </c>
      <c r="Q40">
        <f ca="1"/>
        <v>185.23185993056458</v>
      </c>
      <c r="R40">
        <f ca="1"/>
        <v>1.7214335614152887</v>
      </c>
      <c r="S40">
        <f ca="1"/>
        <v>0.35015940300539228</v>
      </c>
      <c r="T40">
        <f ca="1"/>
        <v>0.9769290013821742</v>
      </c>
      <c r="U40">
        <f ca="1"/>
        <v>0</v>
      </c>
      <c r="V40">
        <f ca="1"/>
        <v>27.886249968892734</v>
      </c>
      <c r="W40">
        <f ca="1"/>
        <v>11.375509894070463</v>
      </c>
      <c r="X40">
        <f ca="1"/>
        <v>6.161794624286097</v>
      </c>
      <c r="Y40">
        <f ca="1"/>
        <v>1</v>
      </c>
      <c r="Z40">
        <f ca="1"/>
        <v>4.7271751573261227</v>
      </c>
      <c r="AA40">
        <f ca="1"/>
        <v>0</v>
      </c>
      <c r="AB40">
        <f ca="1"/>
        <v>0.98546939089652907</v>
      </c>
      <c r="AD40" s="2">
        <f t="shared" ca="1" si="2"/>
        <v>45397</v>
      </c>
      <c r="AE40">
        <f t="shared" ca="1" si="3"/>
        <v>0</v>
      </c>
      <c r="AG40" s="63">
        <f t="shared" ca="1" si="7"/>
        <v>193.11508811626598</v>
      </c>
      <c r="AH40" s="63">
        <f t="shared" ca="1" si="8"/>
        <v>193.11508811626598</v>
      </c>
      <c r="AI40" s="3">
        <f t="shared" ca="1" si="9"/>
        <v>0</v>
      </c>
    </row>
    <row r="41" spans="1:35">
      <c r="A41" s="6" t="s">
        <v>128</v>
      </c>
      <c r="B41" s="32">
        <f>FollowingFieldLoss</f>
        <v>0</v>
      </c>
      <c r="G41" s="3">
        <f t="shared" ca="1" si="4"/>
        <v>62</v>
      </c>
      <c r="H41" s="95">
        <f t="shared" ca="1" si="6"/>
        <v>45352</v>
      </c>
      <c r="I41" s="119">
        <f ca="1">HLOOKUP($H$4,'Met Data'!$A$2:$F$368,G41,FALSE)</f>
        <v>17.037500000000001</v>
      </c>
      <c r="J41" s="119">
        <f ca="1">HLOOKUP($H$4,'Met Data'!$H$2:$M$368,G41,FALSE)*L41</f>
        <v>2.18333333333333</v>
      </c>
      <c r="K41" s="96">
        <f ca="1">HLOOKUP($H$4,'Met Data'!$O$2:$T$368,G41,FALSE)</f>
        <v>3.0680063753167199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45398</v>
      </c>
      <c r="Q41">
        <f ca="1"/>
        <v>182.16466064628577</v>
      </c>
      <c r="R41">
        <f ca="1"/>
        <v>1.7874295173584187</v>
      </c>
      <c r="S41">
        <f ca="1"/>
        <v>0.30476272056000653</v>
      </c>
      <c r="T41">
        <f ca="1"/>
        <v>0.95367872730614145</v>
      </c>
      <c r="U41">
        <f ca="1"/>
        <v>0</v>
      </c>
      <c r="V41">
        <f ca="1"/>
        <v>29.673679486251153</v>
      </c>
      <c r="W41">
        <f ca="1"/>
        <v>12.104647809076809</v>
      </c>
      <c r="X41">
        <f ca="1"/>
        <v>2.5382112147865521</v>
      </c>
      <c r="Y41">
        <f ca="1"/>
        <v>1</v>
      </c>
      <c r="Z41">
        <f ca="1"/>
        <v>1.9800392202740724</v>
      </c>
      <c r="AA41">
        <f ca="1"/>
        <v>0</v>
      </c>
      <c r="AB41">
        <f ca="1"/>
        <v>0.99040904292722032</v>
      </c>
      <c r="AD41" s="2">
        <f t="shared" ca="1" si="2"/>
        <v>45398</v>
      </c>
      <c r="AE41">
        <f t="shared" ca="1" si="3"/>
        <v>0</v>
      </c>
      <c r="AG41" s="63">
        <f t="shared" ca="1" si="7"/>
        <v>186.49030137843073</v>
      </c>
      <c r="AH41" s="63">
        <f t="shared" ca="1" si="8"/>
        <v>186.49030137843073</v>
      </c>
      <c r="AI41" s="3">
        <f t="shared" ca="1" si="9"/>
        <v>0</v>
      </c>
    </row>
    <row r="42" spans="1:35">
      <c r="A42" s="6" t="s">
        <v>129</v>
      </c>
      <c r="B42" s="32">
        <f>FollowingDressingLoss</f>
        <v>0</v>
      </c>
      <c r="G42" s="3">
        <f t="shared" ca="1" si="4"/>
        <v>63</v>
      </c>
      <c r="H42" s="95">
        <f t="shared" ca="1" si="6"/>
        <v>45353</v>
      </c>
      <c r="I42" s="119">
        <f ca="1">HLOOKUP($H$4,'Met Data'!$A$2:$F$368,G42,FALSE)</f>
        <v>17.204166666666602</v>
      </c>
      <c r="J42" s="119">
        <f ca="1">HLOOKUP($H$4,'Met Data'!$H$2:$M$368,G42,FALSE)*L42</f>
        <v>0.61666666666666603</v>
      </c>
      <c r="K42" s="96">
        <f ca="1">HLOOKUP($H$4,'Met Data'!$O$2:$T$368,G42,FALSE)</f>
        <v>3.2161744467378801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45399</v>
      </c>
      <c r="Q42">
        <f ca="1"/>
        <v>180.51421977760691</v>
      </c>
      <c r="R42">
        <f ca="1"/>
        <v>1.8975616274797744</v>
      </c>
      <c r="S42">
        <f ca="1"/>
        <v>0.27309211904508857</v>
      </c>
      <c r="T42">
        <f ca="1"/>
        <v>0.95712715024194195</v>
      </c>
      <c r="U42">
        <f ca="1"/>
        <v>0</v>
      </c>
      <c r="V42">
        <f ca="1"/>
        <v>31.571241113730927</v>
      </c>
      <c r="W42">
        <f ca="1"/>
        <v>12.878711410030098</v>
      </c>
      <c r="X42">
        <f ca="1"/>
        <v>0.98309851048611785</v>
      </c>
      <c r="Y42">
        <f ca="1"/>
        <v>1</v>
      </c>
      <c r="Z42">
        <f ca="1"/>
        <v>0.77391948797650656</v>
      </c>
      <c r="AA42">
        <f ca="1"/>
        <v>0</v>
      </c>
      <c r="AB42">
        <f ca="1"/>
        <v>0.99368829796562053</v>
      </c>
      <c r="AD42" s="2">
        <f t="shared" ca="1" si="2"/>
        <v>45399</v>
      </c>
      <c r="AE42">
        <f t="shared" ca="1" si="3"/>
        <v>0</v>
      </c>
      <c r="AG42" s="63">
        <f t="shared" ca="1" si="7"/>
        <v>183.3948799155728</v>
      </c>
      <c r="AH42" s="63">
        <f t="shared" ca="1" si="8"/>
        <v>183.3948799155728</v>
      </c>
      <c r="AI42" s="3">
        <f t="shared" ca="1" si="9"/>
        <v>0</v>
      </c>
    </row>
    <row r="43" spans="1:35">
      <c r="A43" s="6" t="s">
        <v>130</v>
      </c>
      <c r="B43" s="32">
        <f>FollowingMoistureLoss</f>
        <v>89</v>
      </c>
      <c r="G43" s="3">
        <f t="shared" ca="1" si="4"/>
        <v>64</v>
      </c>
      <c r="H43" s="95">
        <f t="shared" ca="1" si="6"/>
        <v>45354</v>
      </c>
      <c r="I43" s="119">
        <f ca="1">HLOOKUP($H$4,'Met Data'!$A$2:$F$368,G43,FALSE)</f>
        <v>16.720833333333299</v>
      </c>
      <c r="J43" s="119">
        <f ca="1">HLOOKUP($H$4,'Met Data'!$H$2:$M$368,G43,FALSE)*L43</f>
        <v>2.93333333333333</v>
      </c>
      <c r="K43" s="96">
        <f ca="1">HLOOKUP($H$4,'Met Data'!$O$2:$T$368,G43,FALSE)</f>
        <v>2.8476580172568502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45400</v>
      </c>
      <c r="Q43">
        <f ca="1"/>
        <v>179.74472659687262</v>
      </c>
      <c r="R43">
        <f ca="1"/>
        <v>1.896097552557876</v>
      </c>
      <c r="S43">
        <f ca="1"/>
        <v>0.22938889284802144</v>
      </c>
      <c r="T43">
        <f ca="1"/>
        <v>0.89721547897557863</v>
      </c>
      <c r="U43">
        <f ca="1"/>
        <v>0</v>
      </c>
      <c r="V43">
        <f ca="1"/>
        <v>33.467338666288803</v>
      </c>
      <c r="W43">
        <f ca="1"/>
        <v>13.652177777623637</v>
      </c>
      <c r="X43">
        <f ca="1"/>
        <v>0</v>
      </c>
      <c r="Y43">
        <f ca="1"/>
        <v>0.99808465797299628</v>
      </c>
      <c r="Z43">
        <f ca="1"/>
        <v>0</v>
      </c>
      <c r="AA43">
        <f ca="1"/>
        <v>0</v>
      </c>
      <c r="AB43">
        <f ca="1"/>
        <v>0.99575605595716632</v>
      </c>
      <c r="AD43" s="2">
        <f t="shared" ca="1" si="2"/>
        <v>45400</v>
      </c>
      <c r="AE43">
        <f t="shared" ca="1" si="3"/>
        <v>0</v>
      </c>
      <c r="AG43" s="63">
        <f t="shared" ca="1" si="7"/>
        <v>181.6408241494305</v>
      </c>
      <c r="AH43" s="63">
        <f t="shared" ca="1" si="8"/>
        <v>181.6408241494305</v>
      </c>
      <c r="AI43" s="3">
        <f t="shared" ca="1" si="9"/>
        <v>0</v>
      </c>
    </row>
    <row r="44" spans="1:35">
      <c r="A44" s="6" t="s">
        <v>131</v>
      </c>
      <c r="B44" s="34">
        <f ca="1">FollowingEstablishDate</f>
        <v>45518</v>
      </c>
      <c r="G44" s="3">
        <f t="shared" ca="1" si="4"/>
        <v>65</v>
      </c>
      <c r="H44" s="95">
        <f t="shared" ca="1" si="6"/>
        <v>45355</v>
      </c>
      <c r="I44" s="119">
        <f ca="1">HLOOKUP($H$4,'Met Data'!$A$2:$F$368,G44,FALSE)</f>
        <v>17.05</v>
      </c>
      <c r="J44" s="119">
        <f ca="1">HLOOKUP($H$4,'Met Data'!$H$2:$M$368,G44,FALSE)*L44</f>
        <v>3.5</v>
      </c>
      <c r="K44" s="96">
        <f ca="1">HLOOKUP($H$4,'Met Data'!$O$2:$T$368,G44,FALSE)</f>
        <v>3.0856400612975601</v>
      </c>
      <c r="L44">
        <f t="shared" ca="1" si="0"/>
        <v>1</v>
      </c>
      <c r="N44" t="b">
        <f t="shared" ca="1" si="5"/>
        <v>1</v>
      </c>
      <c r="O44" t="b">
        <f t="array" aca="1" ref="O44" ca="1">AND(IF(P44&gt;($P$2-1),TRUE,FALSE),IF(P44&lt;($P$3+1),TRUE,FALSE))</f>
        <v>1</v>
      </c>
      <c r="P44" s="2">
        <f ca="1"/>
        <v>45401</v>
      </c>
      <c r="Q44">
        <f ca="1"/>
        <v>178.77172762468473</v>
      </c>
      <c r="R44">
        <f ca="1"/>
        <v>2.2113572540322579</v>
      </c>
      <c r="S44">
        <f ca="1"/>
        <v>0.23036981605008577</v>
      </c>
      <c r="T44">
        <f ca="1"/>
        <v>1.0079884657942944</v>
      </c>
      <c r="U44">
        <f ca="1"/>
        <v>0</v>
      </c>
      <c r="V44">
        <f ca="1"/>
        <v>35.678695920321061</v>
      </c>
      <c r="W44">
        <f ca="1"/>
        <v>14.554246587543556</v>
      </c>
      <c r="X44">
        <f ca="1"/>
        <v>0</v>
      </c>
      <c r="Y44">
        <f ca="1"/>
        <v>0.98814506454272066</v>
      </c>
      <c r="Z44">
        <f ca="1"/>
        <v>0</v>
      </c>
      <c r="AA44">
        <f ca="1"/>
        <v>0</v>
      </c>
      <c r="AB44">
        <f ca="1"/>
        <v>0.99726354164298947</v>
      </c>
      <c r="AD44" s="2">
        <f t="shared" ca="1" si="2"/>
        <v>45401</v>
      </c>
      <c r="AE44">
        <f t="shared" ca="1" si="3"/>
        <v>0</v>
      </c>
      <c r="AG44" s="63">
        <f t="shared" ca="1" si="7"/>
        <v>180.98308487871699</v>
      </c>
      <c r="AH44" s="63">
        <f t="shared" ca="1" si="8"/>
        <v>180.98308487871699</v>
      </c>
      <c r="AI44" s="3">
        <f t="shared" ca="1" si="9"/>
        <v>0</v>
      </c>
    </row>
    <row r="45" spans="1:35">
      <c r="A45" s="6" t="s">
        <v>132</v>
      </c>
      <c r="B45" s="32" t="str">
        <f>FollowingEstablishStage</f>
        <v>Seedling</v>
      </c>
      <c r="G45" s="3">
        <f t="shared" ca="1" si="4"/>
        <v>66</v>
      </c>
      <c r="H45" s="95">
        <f t="shared" ca="1" si="6"/>
        <v>45356</v>
      </c>
      <c r="I45" s="119">
        <f ca="1">HLOOKUP($H$4,'Met Data'!$A$2:$F$368,G45,FALSE)</f>
        <v>16.5625</v>
      </c>
      <c r="J45" s="119">
        <f ca="1">HLOOKUP($H$4,'Met Data'!$H$2:$M$368,G45,FALSE)*L45</f>
        <v>1.9166666666666601</v>
      </c>
      <c r="K45" s="96">
        <f ca="1">HLOOKUP($H$4,'Met Data'!$O$2:$T$368,G45,FALSE)</f>
        <v>2.4477007585282702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45402</v>
      </c>
      <c r="Q45">
        <f ca="1"/>
        <v>177.64396534322094</v>
      </c>
      <c r="R45">
        <f ca="1"/>
        <v>2.3391627448237813</v>
      </c>
      <c r="S45">
        <f ca="1"/>
        <v>0.20448061502716541</v>
      </c>
      <c r="T45">
        <f ca="1"/>
        <v>1.0069198483328248</v>
      </c>
      <c r="U45">
        <f ca="1"/>
        <v>0</v>
      </c>
      <c r="V45">
        <f ca="1"/>
        <v>38.017858665144843</v>
      </c>
      <c r="W45">
        <f ca="1"/>
        <v>15.508450504429714</v>
      </c>
      <c r="X45">
        <f ca="1"/>
        <v>0</v>
      </c>
      <c r="Y45">
        <f ca="1"/>
        <v>0.99866586252650935</v>
      </c>
      <c r="Z45">
        <f ca="1"/>
        <v>0</v>
      </c>
      <c r="AA45">
        <f ca="1"/>
        <v>0</v>
      </c>
      <c r="AB45">
        <f ca="1"/>
        <v>0.99823582536271793</v>
      </c>
      <c r="AD45" s="2">
        <f t="shared" ca="1" si="2"/>
        <v>45402</v>
      </c>
      <c r="AE45">
        <f t="shared" ca="1" si="3"/>
        <v>0</v>
      </c>
      <c r="AG45" s="63">
        <f t="shared" ca="1" si="7"/>
        <v>179.98312808804471</v>
      </c>
      <c r="AH45" s="63">
        <f t="shared" ca="1" si="8"/>
        <v>179.98312808804474</v>
      </c>
      <c r="AI45" s="3">
        <f t="shared" ca="1" si="9"/>
        <v>0</v>
      </c>
    </row>
    <row r="46" spans="1:35">
      <c r="A46" s="6" t="s">
        <v>133</v>
      </c>
      <c r="B46" s="34">
        <f ca="1">FollowingHarvestDate</f>
        <v>45638</v>
      </c>
      <c r="G46" s="3">
        <f t="shared" ca="1" si="4"/>
        <v>67</v>
      </c>
      <c r="H46" s="95">
        <f t="shared" ca="1" si="6"/>
        <v>45357</v>
      </c>
      <c r="I46" s="119">
        <f ca="1">HLOOKUP($H$4,'Met Data'!$A$2:$F$368,G46,FALSE)</f>
        <v>16.349999999999898</v>
      </c>
      <c r="J46" s="119">
        <f ca="1">HLOOKUP($H$4,'Met Data'!$H$2:$M$368,G46,FALSE)*L46</f>
        <v>5.4</v>
      </c>
      <c r="K46" s="96">
        <f ca="1">HLOOKUP($H$4,'Met Data'!$O$2:$T$368,G46,FALSE)</f>
        <v>3.2051572713162999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45403</v>
      </c>
      <c r="Q46">
        <f ca="1"/>
        <v>176.41253096436353</v>
      </c>
      <c r="R46">
        <f ca="1"/>
        <v>2.3534308830585289</v>
      </c>
      <c r="S46">
        <f ca="1"/>
        <v>0.17210222921329432</v>
      </c>
      <c r="T46">
        <f ca="1"/>
        <v>0.94989427498782941</v>
      </c>
      <c r="U46">
        <f ca="1"/>
        <v>0</v>
      </c>
      <c r="V46">
        <f ca="1"/>
        <v>40.371289548203372</v>
      </c>
      <c r="W46">
        <f ca="1"/>
        <v>16.468474757425614</v>
      </c>
      <c r="X46">
        <f ca="1"/>
        <v>0</v>
      </c>
      <c r="Y46">
        <f ca="1"/>
        <v>0.98221179380817325</v>
      </c>
      <c r="Z46">
        <f ca="1"/>
        <v>0</v>
      </c>
      <c r="AA46">
        <f ca="1"/>
        <v>0</v>
      </c>
      <c r="AB46">
        <f ca="1"/>
        <v>0.99883902178511397</v>
      </c>
      <c r="AD46" s="2">
        <f t="shared" ca="1" si="2"/>
        <v>45403</v>
      </c>
      <c r="AE46">
        <f t="shared" ca="1" si="3"/>
        <v>0</v>
      </c>
      <c r="AG46" s="63">
        <f t="shared" ca="1" si="7"/>
        <v>178.76596184742206</v>
      </c>
      <c r="AH46" s="63">
        <f t="shared" ca="1" si="8"/>
        <v>178.76596184742206</v>
      </c>
      <c r="AI46" s="3">
        <f t="shared" ca="1" si="9"/>
        <v>0</v>
      </c>
    </row>
    <row r="47" spans="1:35">
      <c r="A47" s="6" t="s">
        <v>134</v>
      </c>
      <c r="B47" s="32" t="str">
        <f>FollowingHarvestStage</f>
        <v>EarlyReproductive</v>
      </c>
      <c r="G47" s="3">
        <f t="shared" ca="1" si="4"/>
        <v>68</v>
      </c>
      <c r="H47" s="95">
        <f t="shared" ca="1" si="6"/>
        <v>45358</v>
      </c>
      <c r="I47" s="119">
        <f ca="1">HLOOKUP($H$4,'Met Data'!$A$2:$F$368,G47,FALSE)</f>
        <v>16.404166666666601</v>
      </c>
      <c r="J47" s="119">
        <f ca="1">HLOOKUP($H$4,'Met Data'!$H$2:$M$368,G47,FALSE)*L47</f>
        <v>1.7666666666666599</v>
      </c>
      <c r="K47" s="96">
        <f ca="1">HLOOKUP($H$4,'Met Data'!$O$2:$T$368,G47,FALSE)</f>
        <v>3.3473688975414899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45404</v>
      </c>
      <c r="Q47">
        <f ca="1"/>
        <v>175.00191942434247</v>
      </c>
      <c r="R47">
        <f ca="1"/>
        <v>2.5399935436154877</v>
      </c>
      <c r="S47">
        <f ca="1"/>
        <v>0.15756178076847505</v>
      </c>
      <c r="T47">
        <f ca="1"/>
        <v>0.9718202228259496</v>
      </c>
      <c r="U47">
        <f ca="1"/>
        <v>0</v>
      </c>
      <c r="V47">
        <f ca="1"/>
        <v>42.911283091818859</v>
      </c>
      <c r="W47">
        <f ca="1"/>
        <v>17.504602659832866</v>
      </c>
      <c r="X47">
        <f ca="1"/>
        <v>0</v>
      </c>
      <c r="Y47">
        <f ca="1"/>
        <v>0.95691854898658424</v>
      </c>
      <c r="Z47">
        <f ca="1"/>
        <v>0</v>
      </c>
      <c r="AA47">
        <f ca="1"/>
        <v>0</v>
      </c>
      <c r="AB47">
        <f ca="1"/>
        <v>0.99924354779044999</v>
      </c>
      <c r="AD47" s="2">
        <f t="shared" ca="1" si="2"/>
        <v>45404</v>
      </c>
      <c r="AE47">
        <f t="shared" ca="1" si="3"/>
        <v>0</v>
      </c>
      <c r="AG47" s="63">
        <f t="shared" ca="1" si="7"/>
        <v>177.54191296795796</v>
      </c>
      <c r="AH47" s="63">
        <f t="shared" ca="1" si="8"/>
        <v>177.54191296795796</v>
      </c>
      <c r="AI47" s="3">
        <f t="shared" ca="1" si="9"/>
        <v>0</v>
      </c>
    </row>
    <row r="48" spans="1:35" ht="15.75" thickBot="1">
      <c r="A48" s="7" t="s">
        <v>166</v>
      </c>
      <c r="B48" s="33" t="str">
        <f>FollowingResidueRemoval</f>
        <v>None removed</v>
      </c>
      <c r="G48" s="3">
        <f t="shared" ca="1" si="4"/>
        <v>69</v>
      </c>
      <c r="H48" s="95">
        <f t="shared" ca="1" si="6"/>
        <v>45359</v>
      </c>
      <c r="I48" s="119">
        <f ca="1">HLOOKUP($H$4,'Met Data'!$A$2:$F$368,G48,FALSE)</f>
        <v>16.174999999999901</v>
      </c>
      <c r="J48" s="119">
        <f ca="1">HLOOKUP($H$4,'Met Data'!$H$2:$M$368,G48,FALSE)*L48</f>
        <v>0.54999999999999905</v>
      </c>
      <c r="K48" s="96">
        <f ca="1">HLOOKUP($H$4,'Met Data'!$O$2:$T$368,G48,FALSE)</f>
        <v>3.3552920602916099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45405</v>
      </c>
      <c r="Q48">
        <f ca="1"/>
        <v>173.35047500116104</v>
      </c>
      <c r="R48">
        <f ca="1"/>
        <v>2.857882195726603</v>
      </c>
      <c r="S48">
        <f ca="1"/>
        <v>0.15221087426385793</v>
      </c>
      <c r="T48">
        <f ca="1"/>
        <v>1.0542268982813103</v>
      </c>
      <c r="U48">
        <f ca="1"/>
        <v>0</v>
      </c>
      <c r="V48">
        <f ca="1"/>
        <v>45.769165287545462</v>
      </c>
      <c r="W48">
        <f ca="1"/>
        <v>18.670405420327402</v>
      </c>
      <c r="X48">
        <f ca="1"/>
        <v>0</v>
      </c>
      <c r="Y48">
        <f ca="1"/>
        <v>0.97465795444009939</v>
      </c>
      <c r="Z48">
        <f ca="1"/>
        <v>0</v>
      </c>
      <c r="AA48">
        <f ca="1"/>
        <v>0</v>
      </c>
      <c r="AB48">
        <f ca="1"/>
        <v>0.99952079037550734</v>
      </c>
      <c r="AD48" s="2">
        <f t="shared" ca="1" si="2"/>
        <v>45405</v>
      </c>
      <c r="AE48">
        <f t="shared" ca="1" si="3"/>
        <v>0</v>
      </c>
      <c r="AG48" s="63">
        <f t="shared" ca="1" si="7"/>
        <v>176.20835719688765</v>
      </c>
      <c r="AH48" s="63">
        <f t="shared" ca="1" si="8"/>
        <v>176.20835719688765</v>
      </c>
      <c r="AI48" s="3">
        <f t="shared" ca="1" si="9"/>
        <v>0</v>
      </c>
    </row>
    <row r="49" spans="1:35">
      <c r="A49" s="6" t="s">
        <v>169</v>
      </c>
      <c r="B49" t="str">
        <f>FollowingResidueIncorporation</f>
        <v>Full (Plough)</v>
      </c>
      <c r="G49" s="3">
        <f t="shared" ca="1" si="4"/>
        <v>70</v>
      </c>
      <c r="H49" s="95">
        <f t="shared" ca="1" si="6"/>
        <v>45360</v>
      </c>
      <c r="I49" s="119">
        <f ca="1">HLOOKUP($H$4,'Met Data'!$A$2:$F$368,G49,FALSE)</f>
        <v>16.625</v>
      </c>
      <c r="J49" s="119">
        <f ca="1">HLOOKUP($H$4,'Met Data'!$H$2:$M$368,G49,FALSE)*L49</f>
        <v>2.0666666666666602</v>
      </c>
      <c r="K49" s="96">
        <f ca="1">HLOOKUP($H$4,'Met Data'!$O$2:$T$368,G49,FALSE)</f>
        <v>3.2920876744510998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45406</v>
      </c>
      <c r="Q49">
        <f ca="1"/>
        <v>166.23874403767718</v>
      </c>
      <c r="R49">
        <f ca="1"/>
        <v>2.9357940902524859</v>
      </c>
      <c r="S49">
        <f ca="1"/>
        <v>0.13083813333287253</v>
      </c>
      <c r="T49">
        <f ca="1"/>
        <v>1.0190712908476462</v>
      </c>
      <c r="U49">
        <f ca="1"/>
        <v>0</v>
      </c>
      <c r="V49">
        <f ca="1"/>
        <v>48.704959377797948</v>
      </c>
      <c r="W49">
        <f ca="1"/>
        <v>19.867990422178647</v>
      </c>
      <c r="X49">
        <f ca="1"/>
        <v>5.3258462974118785</v>
      </c>
      <c r="Y49">
        <f ca="1"/>
        <v>1</v>
      </c>
      <c r="Z49">
        <f ca="1"/>
        <v>4.5526738908751767</v>
      </c>
      <c r="AA49">
        <f ca="1"/>
        <v>0</v>
      </c>
      <c r="AB49">
        <f ca="1"/>
        <v>0.99969264978926942</v>
      </c>
      <c r="AD49" s="2">
        <f t="shared" ca="1" si="2"/>
        <v>45406</v>
      </c>
      <c r="AE49">
        <f t="shared" ca="1" si="3"/>
        <v>0</v>
      </c>
      <c r="AG49" s="63">
        <f t="shared" ca="1" si="7"/>
        <v>174.50038442534157</v>
      </c>
      <c r="AH49" s="63">
        <f t="shared" ca="1" si="8"/>
        <v>174.50038442534157</v>
      </c>
      <c r="AI49" s="3">
        <f t="shared" ca="1" si="9"/>
        <v>0</v>
      </c>
    </row>
    <row r="50" spans="1:35">
      <c r="A50" s="12"/>
      <c r="B50" s="13"/>
      <c r="G50" s="3">
        <f t="shared" ca="1" si="4"/>
        <v>71</v>
      </c>
      <c r="H50" s="95">
        <f t="shared" ca="1" si="6"/>
        <v>45361</v>
      </c>
      <c r="I50" s="119">
        <f ca="1">HLOOKUP($H$4,'Met Data'!$A$2:$F$368,G50,FALSE)</f>
        <v>16.266666666666602</v>
      </c>
      <c r="J50" s="119">
        <f ca="1">HLOOKUP($H$4,'Met Data'!$H$2:$M$368,G50,FALSE)*L50</f>
        <v>3.44999999999999</v>
      </c>
      <c r="K50" s="96">
        <f ca="1">HLOOKUP($H$4,'Met Data'!$O$2:$T$368,G50,FALSE)</f>
        <v>2.5592177640993499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45407</v>
      </c>
      <c r="Q50">
        <f ca="1"/>
        <v>164.34028619159579</v>
      </c>
      <c r="R50">
        <f ca="1"/>
        <v>2.9891384194889739</v>
      </c>
      <c r="S50">
        <f ca="1"/>
        <v>0.11235264246428756</v>
      </c>
      <c r="T50">
        <f ca="1"/>
        <v>0.97832793094330073</v>
      </c>
      <c r="U50">
        <f ca="1"/>
        <v>0</v>
      </c>
      <c r="V50">
        <f ca="1"/>
        <v>51.694097797286922</v>
      </c>
      <c r="W50">
        <f ca="1"/>
        <v>21.087335931294199</v>
      </c>
      <c r="X50">
        <f ca="1"/>
        <v>0</v>
      </c>
      <c r="Y50">
        <f ca="1"/>
        <v>0.98524940255229887</v>
      </c>
      <c r="Z50">
        <f ca="1"/>
        <v>0</v>
      </c>
      <c r="AA50">
        <f ca="1"/>
        <v>0</v>
      </c>
      <c r="AB50">
        <f ca="1"/>
        <v>0.99979995528685739</v>
      </c>
      <c r="AD50" s="2">
        <f t="shared" ca="1" si="2"/>
        <v>45407</v>
      </c>
      <c r="AE50">
        <f t="shared" ca="1" si="3"/>
        <v>0</v>
      </c>
      <c r="AG50" s="63">
        <f t="shared" ca="1" si="7"/>
        <v>167.32942461108476</v>
      </c>
      <c r="AH50" s="63">
        <f t="shared" ca="1" si="8"/>
        <v>167.32942461108476</v>
      </c>
      <c r="AI50" s="3">
        <f t="shared" ca="1" si="9"/>
        <v>0</v>
      </c>
    </row>
    <row r="51" spans="1:35" ht="15.75" thickBot="1">
      <c r="A51" s="14"/>
      <c r="B51" s="15"/>
      <c r="G51" s="3">
        <f t="shared" ca="1" si="4"/>
        <v>72</v>
      </c>
      <c r="H51" s="95">
        <f t="shared" ca="1" si="6"/>
        <v>45362</v>
      </c>
      <c r="I51" s="119">
        <f ca="1">HLOOKUP($H$4,'Met Data'!$A$2:$F$368,G51,FALSE)</f>
        <v>16.404166666666601</v>
      </c>
      <c r="J51" s="119">
        <f ca="1">HLOOKUP($H$4,'Met Data'!$H$2:$M$368,G51,FALSE)*L51</f>
        <v>1.5833333333333299</v>
      </c>
      <c r="K51" s="96">
        <f ca="1">HLOOKUP($H$4,'Met Data'!$O$2:$T$368,G51,FALSE)</f>
        <v>2.85115032224514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45408</v>
      </c>
      <c r="Q51">
        <f ca="1"/>
        <v>159.66994731398734</v>
      </c>
      <c r="R51">
        <f ca="1"/>
        <v>3.3424774509662143</v>
      </c>
      <c r="S51">
        <f ca="1"/>
        <v>0.10815829865734372</v>
      </c>
      <c r="T51">
        <f ca="1"/>
        <v>1.0527961298532535</v>
      </c>
      <c r="U51">
        <f ca="1"/>
        <v>0</v>
      </c>
      <c r="V51">
        <f ca="1"/>
        <v>55.036575248253136</v>
      </c>
      <c r="W51">
        <f ca="1"/>
        <v>22.450817408961065</v>
      </c>
      <c r="X51">
        <f ca="1"/>
        <v>2.4888158551528279</v>
      </c>
      <c r="Y51">
        <f ca="1"/>
        <v>1</v>
      </c>
      <c r="Z51">
        <f ca="1"/>
        <v>2.2150306804607496</v>
      </c>
      <c r="AA51">
        <f ca="1"/>
        <v>0</v>
      </c>
      <c r="AB51">
        <f ca="1"/>
        <v>0.99987323467396039</v>
      </c>
      <c r="AD51" s="2">
        <f t="shared" ca="1" si="2"/>
        <v>45408</v>
      </c>
      <c r="AE51">
        <f t="shared" ca="1" si="3"/>
        <v>0</v>
      </c>
      <c r="AG51" s="63">
        <f t="shared" ca="1" si="7"/>
        <v>165.50124062010639</v>
      </c>
      <c r="AH51" s="63">
        <f t="shared" ca="1" si="8"/>
        <v>165.50124062010639</v>
      </c>
      <c r="AI51" s="3">
        <f t="shared" ca="1" si="9"/>
        <v>0</v>
      </c>
    </row>
    <row r="52" spans="1:35">
      <c r="G52" s="3">
        <f t="shared" ca="1" si="4"/>
        <v>73</v>
      </c>
      <c r="H52" s="95">
        <f t="shared" ca="1" si="6"/>
        <v>45363</v>
      </c>
      <c r="I52" s="119">
        <f ca="1">HLOOKUP($H$4,'Met Data'!$A$2:$F$368,G52,FALSE)</f>
        <v>15.324999999999999</v>
      </c>
      <c r="J52" s="119">
        <f ca="1">HLOOKUP($H$4,'Met Data'!$H$2:$M$368,G52,FALSE)*L52</f>
        <v>1.38333333333333</v>
      </c>
      <c r="K52" s="96">
        <f ca="1">HLOOKUP($H$4,'Met Data'!$O$2:$T$368,G52,FALSE)</f>
        <v>2.7545575054438101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45409</v>
      </c>
      <c r="Q52">
        <f ca="1"/>
        <v>152.80885525939493</v>
      </c>
      <c r="R52">
        <f ca="1"/>
        <v>3.3502468940021828</v>
      </c>
      <c r="S52">
        <f ca="1"/>
        <v>9.1353927102602484E-2</v>
      </c>
      <c r="T52">
        <f ca="1"/>
        <v>0.99280175014297667</v>
      </c>
      <c r="U52">
        <f ca="1"/>
        <v>0</v>
      </c>
      <c r="V52">
        <f ca="1"/>
        <v>58.386822142255319</v>
      </c>
      <c r="W52">
        <f ca="1"/>
        <v>23.817468239847738</v>
      </c>
      <c r="X52">
        <f ca="1"/>
        <v>4.5950008378358236</v>
      </c>
      <c r="Y52">
        <f ca="1"/>
        <v>1</v>
      </c>
      <c r="Z52">
        <f ca="1"/>
        <v>4.2731411223713138</v>
      </c>
      <c r="AA52">
        <f ca="1"/>
        <v>0</v>
      </c>
      <c r="AB52">
        <f ca="1"/>
        <v>0.99991793270834706</v>
      </c>
      <c r="AD52" s="2">
        <f t="shared" ca="1" si="2"/>
        <v>45409</v>
      </c>
      <c r="AE52">
        <f t="shared" ca="1" si="3"/>
        <v>0</v>
      </c>
      <c r="AG52" s="63">
        <f t="shared" ca="1" si="7"/>
        <v>160.75410299123291</v>
      </c>
      <c r="AH52" s="63">
        <f t="shared" ca="1" si="8"/>
        <v>160.75410299123291</v>
      </c>
      <c r="AI52" s="3">
        <f t="shared" ca="1" si="9"/>
        <v>0</v>
      </c>
    </row>
    <row r="53" spans="1:35">
      <c r="G53" s="3">
        <f t="shared" ca="1" si="4"/>
        <v>74</v>
      </c>
      <c r="H53" s="95">
        <f t="shared" ca="1" si="6"/>
        <v>45364</v>
      </c>
      <c r="I53" s="119">
        <f ca="1">HLOOKUP($H$4,'Met Data'!$A$2:$F$368,G53,FALSE)</f>
        <v>15.8333333333333</v>
      </c>
      <c r="J53" s="119">
        <f ca="1">HLOOKUP($H$4,'Met Data'!$H$2:$M$368,G53,FALSE)*L53</f>
        <v>0.483333333333333</v>
      </c>
      <c r="K53" s="96">
        <f ca="1">HLOOKUP($H$4,'Met Data'!$O$2:$T$368,G53,FALSE)</f>
        <v>2.9925841251346701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45410</v>
      </c>
      <c r="Q53">
        <f ca="1"/>
        <v>147.12590573329715</v>
      </c>
      <c r="R53">
        <f ca="1"/>
        <v>3.4456582052795568</v>
      </c>
      <c r="S53">
        <f ca="1"/>
        <v>8.0489353576609801E-2</v>
      </c>
      <c r="T53">
        <f ca="1"/>
        <v>0.96995270794436117</v>
      </c>
      <c r="U53">
        <f ca="1"/>
        <v>0</v>
      </c>
      <c r="V53">
        <f ca="1"/>
        <v>61.832480347534876</v>
      </c>
      <c r="W53">
        <f ca="1"/>
        <v>25.223039768807933</v>
      </c>
      <c r="X53">
        <f ca="1"/>
        <v>3.2877333823392259</v>
      </c>
      <c r="Y53">
        <f ca="1"/>
        <v>1</v>
      </c>
      <c r="Z53">
        <f ca="1"/>
        <v>3.1755401277680946</v>
      </c>
      <c r="AA53">
        <f ca="1"/>
        <v>0</v>
      </c>
      <c r="AB53">
        <f ca="1"/>
        <v>0.99994642429162028</v>
      </c>
      <c r="AD53" s="2">
        <f t="shared" ca="1" si="2"/>
        <v>45410</v>
      </c>
      <c r="AE53">
        <f t="shared" ca="1" si="3"/>
        <v>0</v>
      </c>
      <c r="AG53" s="63">
        <f t="shared" ca="1" si="7"/>
        <v>153.85929732091591</v>
      </c>
      <c r="AH53" s="63">
        <f t="shared" ca="1" si="8"/>
        <v>153.85929732091591</v>
      </c>
      <c r="AI53" s="3">
        <f t="shared" ca="1" si="9"/>
        <v>0</v>
      </c>
    </row>
    <row r="54" spans="1:35">
      <c r="G54" s="3">
        <f t="shared" ca="1" si="4"/>
        <v>75</v>
      </c>
      <c r="H54" s="95">
        <f t="shared" ca="1" si="6"/>
        <v>45365</v>
      </c>
      <c r="I54" s="119">
        <f ca="1">HLOOKUP($H$4,'Met Data'!$A$2:$F$368,G54,FALSE)</f>
        <v>16.966666666666601</v>
      </c>
      <c r="J54" s="119">
        <f ca="1">HLOOKUP($H$4,'Met Data'!$H$2:$M$368,G54,FALSE)*L54</f>
        <v>0.31666666666666599</v>
      </c>
      <c r="K54" s="96">
        <f ca="1">HLOOKUP($H$4,'Met Data'!$O$2:$T$368,G54,FALSE)</f>
        <v>2.9125814341448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45411</v>
      </c>
      <c r="Q54">
        <f ca="1"/>
        <v>140.83259165475468</v>
      </c>
      <c r="R54">
        <f ca="1"/>
        <v>3.5560681240893572</v>
      </c>
      <c r="S54">
        <f ca="1"/>
        <v>7.1721442041649652E-2</v>
      </c>
      <c r="T54">
        <f ca="1"/>
        <v>0.95402322618763402</v>
      </c>
      <c r="U54">
        <f ca="1"/>
        <v>0</v>
      </c>
      <c r="V54">
        <f ca="1"/>
        <v>65.388548471624233</v>
      </c>
      <c r="W54">
        <f ca="1"/>
        <v>26.673650308937624</v>
      </c>
      <c r="X54">
        <f ca="1"/>
        <v>3.7629906226824006</v>
      </c>
      <c r="Y54">
        <f ca="1"/>
        <v>1</v>
      </c>
      <c r="Z54">
        <f ca="1"/>
        <v>3.7969958971419615</v>
      </c>
      <c r="AA54">
        <f ca="1"/>
        <v>0</v>
      </c>
      <c r="AB54">
        <f ca="1"/>
        <v>0.99996481749082422</v>
      </c>
      <c r="AD54" s="2">
        <f t="shared" ca="1" si="2"/>
        <v>45411</v>
      </c>
      <c r="AE54">
        <f t="shared" ca="1" si="3"/>
        <v>0</v>
      </c>
      <c r="AG54" s="63">
        <f t="shared" ca="1" si="7"/>
        <v>148.15165040152644</v>
      </c>
      <c r="AH54" s="63">
        <f t="shared" ca="1" si="8"/>
        <v>148.15165040152644</v>
      </c>
      <c r="AI54" s="3">
        <f t="shared" ca="1" si="9"/>
        <v>0</v>
      </c>
    </row>
    <row r="55" spans="1:35">
      <c r="G55" s="3">
        <f t="shared" ca="1" si="4"/>
        <v>76</v>
      </c>
      <c r="H55" s="95">
        <f t="shared" ca="1" si="6"/>
        <v>45366</v>
      </c>
      <c r="I55" s="119">
        <f ca="1">HLOOKUP($H$4,'Met Data'!$A$2:$F$368,G55,FALSE)</f>
        <v>17.766666666666602</v>
      </c>
      <c r="J55" s="119">
        <f ca="1">HLOOKUP($H$4,'Met Data'!$H$2:$M$368,G55,FALSE)*L55</f>
        <v>2.25</v>
      </c>
      <c r="K55" s="96">
        <f ca="1">HLOOKUP($H$4,'Met Data'!$O$2:$T$368,G55,FALSE)</f>
        <v>2.3685635659939601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45412</v>
      </c>
      <c r="Q55">
        <f ca="1"/>
        <v>138.47706874640917</v>
      </c>
      <c r="R55">
        <f ca="1"/>
        <v>3.2266789451914804</v>
      </c>
      <c r="S55">
        <f ca="1"/>
        <v>5.6084875952450375E-2</v>
      </c>
      <c r="T55">
        <f ca="1"/>
        <v>0.81507116089351006</v>
      </c>
      <c r="U55">
        <f ca="1"/>
        <v>0</v>
      </c>
      <c r="V55">
        <f ca="1"/>
        <v>68.615227416815713</v>
      </c>
      <c r="W55">
        <f ca="1"/>
        <v>27.989894633899176</v>
      </c>
      <c r="X55">
        <f ca="1"/>
        <v>0</v>
      </c>
      <c r="Y55">
        <f ca="1"/>
        <v>0.97354852714932549</v>
      </c>
      <c r="Z55">
        <f ca="1"/>
        <v>0</v>
      </c>
      <c r="AA55">
        <f ca="1"/>
        <v>0</v>
      </c>
      <c r="AB55">
        <f ca="1"/>
        <v>0.99997560653985362</v>
      </c>
      <c r="AD55" s="2">
        <f t="shared" ca="1" si="2"/>
        <v>45412</v>
      </c>
      <c r="AE55">
        <f t="shared" ca="1" si="3"/>
        <v>0</v>
      </c>
      <c r="AG55" s="63">
        <f t="shared" ca="1" si="7"/>
        <v>141.70374769160065</v>
      </c>
      <c r="AH55" s="63">
        <f t="shared" ca="1" si="8"/>
        <v>141.70374769160065</v>
      </c>
      <c r="AI55" s="3">
        <f t="shared" ca="1" si="9"/>
        <v>0</v>
      </c>
    </row>
    <row r="56" spans="1:35">
      <c r="G56" s="3">
        <f t="shared" ca="1" si="4"/>
        <v>77</v>
      </c>
      <c r="H56" s="95">
        <f t="shared" ca="1" si="6"/>
        <v>45367</v>
      </c>
      <c r="I56" s="119">
        <f ca="1">HLOOKUP($H$4,'Met Data'!$A$2:$F$368,G56,FALSE)</f>
        <v>16.100000000000001</v>
      </c>
      <c r="J56" s="119">
        <f ca="1">HLOOKUP($H$4,'Met Data'!$H$2:$M$368,G56,FALSE)*L56</f>
        <v>1.4</v>
      </c>
      <c r="K56" s="96">
        <f ca="1">HLOOKUP($H$4,'Met Data'!$O$2:$T$368,G56,FALSE)</f>
        <v>2.7759280674014901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45413</v>
      </c>
      <c r="Q56">
        <f ca="1"/>
        <v>135.98887611050719</v>
      </c>
      <c r="R56">
        <f ca="1"/>
        <v>3.3406801475418746</v>
      </c>
      <c r="S56">
        <f ca="1"/>
        <v>5.0985311650634912E-2</v>
      </c>
      <c r="T56">
        <f ca="1"/>
        <v>0.80150219998927386</v>
      </c>
      <c r="U56">
        <f ca="1"/>
        <v>0</v>
      </c>
      <c r="V56">
        <f ca="1"/>
        <v>71.955907564357588</v>
      </c>
      <c r="W56">
        <f ca="1"/>
        <v>29.352642945833509</v>
      </c>
      <c r="X56">
        <f ca="1"/>
        <v>0</v>
      </c>
      <c r="Y56">
        <f ca="1"/>
        <v>0.94924697450088658</v>
      </c>
      <c r="Z56">
        <f ca="1"/>
        <v>0</v>
      </c>
      <c r="AA56">
        <f ca="1"/>
        <v>0</v>
      </c>
      <c r="AB56">
        <f ca="1"/>
        <v>0.99998307187106439</v>
      </c>
      <c r="AD56" s="2">
        <f t="shared" ca="1" si="2"/>
        <v>45413</v>
      </c>
      <c r="AE56">
        <f t="shared" ca="1" si="3"/>
        <v>0</v>
      </c>
      <c r="AG56" s="63">
        <f t="shared" ca="1" si="7"/>
        <v>139.32955625804908</v>
      </c>
      <c r="AH56" s="63">
        <f t="shared" ca="1" si="8"/>
        <v>139.32955625804908</v>
      </c>
      <c r="AI56" s="3">
        <f t="shared" ca="1" si="9"/>
        <v>0</v>
      </c>
    </row>
    <row r="57" spans="1:35">
      <c r="G57" s="3">
        <f t="shared" ca="1" si="4"/>
        <v>78</v>
      </c>
      <c r="H57" s="95">
        <f t="shared" ca="1" si="6"/>
        <v>45368</v>
      </c>
      <c r="I57" s="119">
        <f ca="1">HLOOKUP($H$4,'Met Data'!$A$2:$F$368,G57,FALSE)</f>
        <v>15.379166666666601</v>
      </c>
      <c r="J57" s="119">
        <f ca="1">HLOOKUP($H$4,'Met Data'!$H$2:$M$368,G57,FALSE)*L57</f>
        <v>3.68333333333333</v>
      </c>
      <c r="K57" s="96">
        <f ca="1">HLOOKUP($H$4,'Met Data'!$O$2:$T$368,G57,FALSE)</f>
        <v>2.7162290778951999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45414</v>
      </c>
      <c r="Q57">
        <f ca="1"/>
        <v>133.11985099356014</v>
      </c>
      <c r="R57">
        <f ca="1"/>
        <v>3.8308898380195728</v>
      </c>
      <c r="S57">
        <f ca="1"/>
        <v>5.3325569122591787E-2</v>
      </c>
      <c r="T57">
        <f ca="1"/>
        <v>0.90853915194992119</v>
      </c>
      <c r="U57">
        <f ca="1"/>
        <v>0</v>
      </c>
      <c r="V57">
        <f ca="1"/>
        <v>75.786797402377161</v>
      </c>
      <c r="W57">
        <f ca="1"/>
        <v>30.915360245724944</v>
      </c>
      <c r="X57">
        <f ca="1"/>
        <v>0</v>
      </c>
      <c r="Y57">
        <f ca="1"/>
        <v>0.96223504597398968</v>
      </c>
      <c r="Z57">
        <f ca="1"/>
        <v>0</v>
      </c>
      <c r="AA57">
        <f ca="1"/>
        <v>0</v>
      </c>
      <c r="AB57">
        <f ca="1"/>
        <v>0.99998869070392737</v>
      </c>
      <c r="AD57" s="2">
        <f t="shared" ca="1" si="2"/>
        <v>45414</v>
      </c>
      <c r="AE57">
        <f t="shared" ca="1" si="3"/>
        <v>0</v>
      </c>
      <c r="AG57" s="63">
        <f t="shared" ca="1" si="7"/>
        <v>136.95074083157971</v>
      </c>
      <c r="AH57" s="63">
        <f t="shared" ca="1" si="8"/>
        <v>136.95074083157971</v>
      </c>
      <c r="AI57" s="3">
        <f t="shared" ca="1" si="9"/>
        <v>0</v>
      </c>
    </row>
    <row r="58" spans="1:35">
      <c r="G58" s="3">
        <f t="shared" ca="1" si="4"/>
        <v>79</v>
      </c>
      <c r="H58" s="95">
        <f t="shared" ca="1" si="6"/>
        <v>45369</v>
      </c>
      <c r="I58" s="119">
        <f ca="1">HLOOKUP($H$4,'Met Data'!$A$2:$F$368,G58,FALSE)</f>
        <v>15.858333333333301</v>
      </c>
      <c r="J58" s="119">
        <f ca="1">HLOOKUP($H$4,'Met Data'!$H$2:$M$368,G58,FALSE)*L58</f>
        <v>0.85</v>
      </c>
      <c r="K58" s="96">
        <f ca="1">HLOOKUP($H$4,'Met Data'!$O$2:$T$368,G58,FALSE)</f>
        <v>2.8216063312721902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45415</v>
      </c>
      <c r="Q58">
        <f ca="1"/>
        <v>130.08482432984036</v>
      </c>
      <c r="R58">
        <f ca="1"/>
        <v>3.9968905439204718</v>
      </c>
      <c r="S58">
        <f ca="1"/>
        <v>4.9307196405123932E-2</v>
      </c>
      <c r="T58">
        <f ca="1"/>
        <v>0.91255668379556198</v>
      </c>
      <c r="U58">
        <f ca="1"/>
        <v>0</v>
      </c>
      <c r="V58">
        <f ca="1"/>
        <v>79.783687946297633</v>
      </c>
      <c r="W58">
        <f ca="1"/>
        <v>32.545793451286912</v>
      </c>
      <c r="X58">
        <f ca="1"/>
        <v>0</v>
      </c>
      <c r="Y58">
        <f ca="1"/>
        <v>0.99623261371038596</v>
      </c>
      <c r="Z58">
        <f ca="1"/>
        <v>0</v>
      </c>
      <c r="AA58">
        <f ca="1"/>
        <v>0</v>
      </c>
      <c r="AB58">
        <f ca="1"/>
        <v>0.99999245616578025</v>
      </c>
      <c r="AD58" s="2">
        <f t="shared" ca="1" si="2"/>
        <v>45415</v>
      </c>
      <c r="AE58">
        <f t="shared" ca="1" si="3"/>
        <v>0</v>
      </c>
      <c r="AG58" s="63">
        <f t="shared" ca="1" si="7"/>
        <v>134.08171487376083</v>
      </c>
      <c r="AH58" s="63">
        <f t="shared" ca="1" si="8"/>
        <v>134.08171487376083</v>
      </c>
      <c r="AI58" s="3">
        <f t="shared" ca="1" si="9"/>
        <v>0</v>
      </c>
    </row>
    <row r="59" spans="1:35">
      <c r="A59" s="1"/>
      <c r="B59" s="1"/>
      <c r="G59" s="3">
        <f t="shared" ca="1" si="4"/>
        <v>80</v>
      </c>
      <c r="H59" s="95">
        <f t="shared" ca="1" si="6"/>
        <v>45370</v>
      </c>
      <c r="I59" s="119">
        <f ca="1">HLOOKUP($H$4,'Met Data'!$A$2:$F$368,G59,FALSE)</f>
        <v>16.216666666666601</v>
      </c>
      <c r="J59" s="119">
        <f ca="1">HLOOKUP($H$4,'Met Data'!$H$2:$M$368,G59,FALSE)*L59</f>
        <v>8.3333333333333301E-2</v>
      </c>
      <c r="K59" s="96">
        <f ca="1">HLOOKUP($H$4,'Met Data'!$O$2:$T$368,G59,FALSE)</f>
        <v>2.7500481593686201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45416</v>
      </c>
      <c r="Q59">
        <f ca="1"/>
        <v>123.87379297208001</v>
      </c>
      <c r="R59">
        <f ca="1"/>
        <v>4.2949505239845251</v>
      </c>
      <c r="S59">
        <f ca="1"/>
        <v>4.7308038735366154E-2</v>
      </c>
      <c r="T59">
        <f ca="1"/>
        <v>0.94955069155428162</v>
      </c>
      <c r="U59">
        <f ca="1"/>
        <v>0</v>
      </c>
      <c r="V59">
        <f ca="1"/>
        <v>84.078638470282158</v>
      </c>
      <c r="W59">
        <f ca="1"/>
        <v>34.297812895802743</v>
      </c>
      <c r="X59">
        <f ca="1"/>
        <v>2.9129395640654812</v>
      </c>
      <c r="Y59">
        <f ca="1"/>
        <v>1</v>
      </c>
      <c r="Z59">
        <f ca="1"/>
        <v>3.3416595502800774</v>
      </c>
      <c r="AA59">
        <f ca="1"/>
        <v>0</v>
      </c>
      <c r="AB59">
        <f ca="1"/>
        <v>0.99999503785814281</v>
      </c>
      <c r="AD59" s="2">
        <f t="shared" ca="1" si="2"/>
        <v>45416</v>
      </c>
      <c r="AE59">
        <f t="shared" ca="1" si="3"/>
        <v>0</v>
      </c>
      <c r="AG59" s="63">
        <f t="shared" ca="1" si="7"/>
        <v>131.08168306013002</v>
      </c>
      <c r="AH59" s="63">
        <f t="shared" ca="1" si="8"/>
        <v>131.08168306013002</v>
      </c>
      <c r="AI59" s="3">
        <f t="shared" ca="1" si="9"/>
        <v>0</v>
      </c>
    </row>
    <row r="60" spans="1:35">
      <c r="G60" s="3">
        <f t="shared" ca="1" si="4"/>
        <v>81</v>
      </c>
      <c r="H60" s="95">
        <f t="shared" ca="1" si="6"/>
        <v>45371</v>
      </c>
      <c r="I60" s="119">
        <f ca="1">HLOOKUP($H$4,'Met Data'!$A$2:$F$368,G60,FALSE)</f>
        <v>16.483333333333299</v>
      </c>
      <c r="J60" s="119">
        <f ca="1">HLOOKUP($H$4,'Met Data'!$H$2:$M$368,G60,FALSE)*L60</f>
        <v>1.11666666666666</v>
      </c>
      <c r="K60" s="96">
        <f ca="1">HLOOKUP($H$4,'Met Data'!$O$2:$T$368,G60,FALSE)</f>
        <v>2.6292753041097501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45417</v>
      </c>
      <c r="Q60">
        <f ca="1"/>
        <v>119.58986512665513</v>
      </c>
      <c r="R60">
        <f ca="1"/>
        <v>4.3500539548864907</v>
      </c>
      <c r="S60">
        <f ca="1"/>
        <v>4.2553584651784604E-2</v>
      </c>
      <c r="T60">
        <f ca="1"/>
        <v>0.92332357619681471</v>
      </c>
      <c r="U60">
        <f ca="1"/>
        <v>0</v>
      </c>
      <c r="V60">
        <f ca="1"/>
        <v>88.428692425168649</v>
      </c>
      <c r="W60">
        <f ca="1"/>
        <v>36.072310429847349</v>
      </c>
      <c r="X60">
        <f ca="1"/>
        <v>0.89975105138699396</v>
      </c>
      <c r="Y60">
        <f ca="1"/>
        <v>1</v>
      </c>
      <c r="Z60">
        <f ca="1"/>
        <v>1.0691487928222685</v>
      </c>
      <c r="AA60">
        <f ca="1"/>
        <v>0</v>
      </c>
      <c r="AB60">
        <f ca="1"/>
        <v>0.99999670359804627</v>
      </c>
      <c r="AD60" s="2">
        <f t="shared" ca="1" si="2"/>
        <v>45417</v>
      </c>
      <c r="AE60">
        <f t="shared" ca="1" si="3"/>
        <v>0</v>
      </c>
      <c r="AG60" s="63">
        <f t="shared" ca="1" si="7"/>
        <v>124.83967013292862</v>
      </c>
      <c r="AH60" s="63">
        <f t="shared" ca="1" si="8"/>
        <v>124.83967013292862</v>
      </c>
      <c r="AI60" s="3">
        <f t="shared" ca="1" si="9"/>
        <v>0</v>
      </c>
    </row>
    <row r="61" spans="1:35">
      <c r="G61" s="3">
        <f t="shared" ca="1" si="4"/>
        <v>82</v>
      </c>
      <c r="H61" s="95">
        <f t="shared" ca="1" si="6"/>
        <v>45372</v>
      </c>
      <c r="I61" s="119">
        <f ca="1">HLOOKUP($H$4,'Met Data'!$A$2:$F$368,G61,FALSE)</f>
        <v>16.6791666666666</v>
      </c>
      <c r="J61" s="119">
        <f ca="1">HLOOKUP($H$4,'Met Data'!$H$2:$M$368,G61,FALSE)*L61</f>
        <v>1.63333333333333</v>
      </c>
      <c r="K61" s="96">
        <f ca="1">HLOOKUP($H$4,'Met Data'!$O$2:$T$368,G61,FALSE)</f>
        <v>2.3413673129625598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45418</v>
      </c>
      <c r="Q61">
        <f ca="1"/>
        <v>112.93809127247827</v>
      </c>
      <c r="R61">
        <f ca="1"/>
        <v>4.2995142405720372</v>
      </c>
      <c r="S61">
        <f ca="1"/>
        <v>3.760582497287146E-2</v>
      </c>
      <c r="T61">
        <f ca="1"/>
        <v>0.87613789542166609</v>
      </c>
      <c r="U61">
        <f ca="1"/>
        <v>0</v>
      </c>
      <c r="V61">
        <f ca="1"/>
        <v>92.728206665740686</v>
      </c>
      <c r="W61">
        <f ca="1"/>
        <v>37.826191530313793</v>
      </c>
      <c r="X61">
        <f ca="1"/>
        <v>3.2660033339993548</v>
      </c>
      <c r="Y61">
        <f ca="1"/>
        <v>1</v>
      </c>
      <c r="Z61">
        <f ca="1"/>
        <v>4.1094750054948008</v>
      </c>
      <c r="AA61">
        <f ca="1"/>
        <v>0</v>
      </c>
      <c r="AB61">
        <f ca="1"/>
        <v>0.99999776986922073</v>
      </c>
      <c r="AD61" s="2">
        <f t="shared" ca="1" si="2"/>
        <v>45418</v>
      </c>
      <c r="AE61">
        <f t="shared" ca="1" si="3"/>
        <v>0</v>
      </c>
      <c r="AG61" s="63">
        <f t="shared" ca="1" si="7"/>
        <v>120.50360884704966</v>
      </c>
      <c r="AH61" s="63">
        <f t="shared" ca="1" si="8"/>
        <v>120.50360884704966</v>
      </c>
      <c r="AI61" s="3">
        <f t="shared" ca="1" si="9"/>
        <v>0</v>
      </c>
    </row>
    <row r="62" spans="1:35">
      <c r="G62" s="3">
        <f t="shared" ca="1" si="4"/>
        <v>83</v>
      </c>
      <c r="H62" s="95">
        <f t="shared" ca="1" si="6"/>
        <v>45373</v>
      </c>
      <c r="I62" s="119">
        <f ca="1">HLOOKUP($H$4,'Met Data'!$A$2:$F$368,G62,FALSE)</f>
        <v>16.8</v>
      </c>
      <c r="J62" s="119">
        <f ca="1">HLOOKUP($H$4,'Met Data'!$H$2:$M$368,G62,FALSE)*L62</f>
        <v>2.2833333333333301</v>
      </c>
      <c r="K62" s="96">
        <f ca="1">HLOOKUP($H$4,'Met Data'!$O$2:$T$368,G62,FALSE)</f>
        <v>2.7038604411954998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45419</v>
      </c>
      <c r="Q62">
        <f ca="1"/>
        <v>108.69338857086022</v>
      </c>
      <c r="R62">
        <f ca="1"/>
        <v>4.4809591341714707</v>
      </c>
      <c r="S62">
        <f ca="1"/>
        <v>3.5588194339453594E-2</v>
      </c>
      <c r="T62">
        <f ca="1"/>
        <v>0.88565026900786681</v>
      </c>
      <c r="U62">
        <f ca="1"/>
        <v>0</v>
      </c>
      <c r="V62">
        <f ca="1"/>
        <v>97.209165799912157</v>
      </c>
      <c r="W62">
        <f ca="1"/>
        <v>39.65408861301777</v>
      </c>
      <c r="X62">
        <f ca="1"/>
        <v>0.6849820307939084</v>
      </c>
      <c r="Y62">
        <f ca="1"/>
        <v>1</v>
      </c>
      <c r="Z62">
        <f ca="1"/>
        <v>0.89554252585417515</v>
      </c>
      <c r="AA62">
        <f ca="1"/>
        <v>0</v>
      </c>
      <c r="AB62">
        <f ca="1"/>
        <v>0.99999849684764275</v>
      </c>
      <c r="AD62" s="2">
        <f t="shared" ca="1" si="2"/>
        <v>45419</v>
      </c>
      <c r="AE62">
        <f t="shared" ca="1" si="3"/>
        <v>0</v>
      </c>
      <c r="AG62" s="63">
        <f t="shared" ca="1" si="7"/>
        <v>113.8593297358256</v>
      </c>
      <c r="AH62" s="63">
        <f t="shared" ca="1" si="8"/>
        <v>113.8593297358256</v>
      </c>
      <c r="AI62" s="3">
        <f t="shared" ca="1" si="9"/>
        <v>0</v>
      </c>
    </row>
    <row r="63" spans="1:35">
      <c r="G63" s="3">
        <f t="shared" ca="1" si="4"/>
        <v>84</v>
      </c>
      <c r="H63" s="95">
        <f t="shared" ca="1" si="6"/>
        <v>45374</v>
      </c>
      <c r="I63" s="119">
        <f ca="1">HLOOKUP($H$4,'Met Data'!$A$2:$F$368,G63,FALSE)</f>
        <v>16.237500000000001</v>
      </c>
      <c r="J63" s="119">
        <f ca="1">HLOOKUP($H$4,'Met Data'!$H$2:$M$368,G63,FALSE)*L63</f>
        <v>3.7833333333333301</v>
      </c>
      <c r="K63" s="96">
        <f ca="1">HLOOKUP($H$4,'Met Data'!$O$2:$T$368,G63,FALSE)</f>
        <v>2.1387131538714801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45420</v>
      </c>
      <c r="Q63">
        <f ca="1"/>
        <v>104.62614900046599</v>
      </c>
      <c r="R63">
        <f ca="1"/>
        <v>5.0965845920845254</v>
      </c>
      <c r="S63">
        <f ca="1"/>
        <v>3.7313354264711052E-2</v>
      </c>
      <c r="T63">
        <f ca="1"/>
        <v>0.9920316674255808</v>
      </c>
      <c r="U63">
        <f ca="1"/>
        <v>0</v>
      </c>
      <c r="V63">
        <f ca="1"/>
        <v>102.30575039199668</v>
      </c>
      <c r="W63">
        <f ca="1"/>
        <v>41.733114961770205</v>
      </c>
      <c r="X63">
        <f ca="1"/>
        <v>0</v>
      </c>
      <c r="Y63">
        <f ca="1"/>
        <v>0.9976663026598166</v>
      </c>
      <c r="Z63">
        <f ca="1"/>
        <v>0</v>
      </c>
      <c r="AA63">
        <f ca="1"/>
        <v>0</v>
      </c>
      <c r="AB63">
        <f ca="1"/>
        <v>0.99999902663635076</v>
      </c>
      <c r="AD63" s="2">
        <f t="shared" ca="1" si="2"/>
        <v>45420</v>
      </c>
      <c r="AE63">
        <f t="shared" ca="1" si="3"/>
        <v>0</v>
      </c>
      <c r="AG63" s="63">
        <f t="shared" ca="1" si="7"/>
        <v>109.72273359255051</v>
      </c>
      <c r="AH63" s="63">
        <f t="shared" ca="1" si="8"/>
        <v>109.72273359255051</v>
      </c>
      <c r="AI63" s="3">
        <f t="shared" ca="1" si="9"/>
        <v>0</v>
      </c>
    </row>
    <row r="64" spans="1:35">
      <c r="G64" s="3">
        <f t="shared" ca="1" si="4"/>
        <v>85</v>
      </c>
      <c r="H64" s="95">
        <f t="shared" ca="1" si="6"/>
        <v>45375</v>
      </c>
      <c r="I64" s="119">
        <f ca="1">HLOOKUP($H$4,'Met Data'!$A$2:$F$368,G64,FALSE)</f>
        <v>16.875</v>
      </c>
      <c r="J64" s="119">
        <f ca="1">HLOOKUP($H$4,'Met Data'!$H$2:$M$368,G64,FALSE)*L64</f>
        <v>2.9</v>
      </c>
      <c r="K64" s="96">
        <f ca="1">HLOOKUP($H$4,'Met Data'!$O$2:$T$368,G64,FALSE)</f>
        <v>2.4308063740099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45421</v>
      </c>
      <c r="Q64">
        <f ca="1"/>
        <v>100.32565098687593</v>
      </c>
      <c r="R64">
        <f ca="1"/>
        <v>5.1251223419410081</v>
      </c>
      <c r="S64">
        <f ca="1"/>
        <v>3.3929344358028857E-2</v>
      </c>
      <c r="T64">
        <f ca="1"/>
        <v>0.96196776675821705</v>
      </c>
      <c r="U64">
        <f ca="1"/>
        <v>0</v>
      </c>
      <c r="V64">
        <f ca="1"/>
        <v>107.43087273393769</v>
      </c>
      <c r="W64">
        <f ca="1"/>
        <v>43.823782583774104</v>
      </c>
      <c r="X64">
        <f ca="1"/>
        <v>0.17127278276529317</v>
      </c>
      <c r="Y64">
        <f ca="1"/>
        <v>1</v>
      </c>
      <c r="Z64">
        <f ca="1"/>
        <v>0.2425976171321409</v>
      </c>
      <c r="AA64">
        <f ca="1"/>
        <v>0</v>
      </c>
      <c r="AB64">
        <f ca="1"/>
        <v>0.99999936270069933</v>
      </c>
      <c r="AD64" s="2">
        <f t="shared" ca="1" si="2"/>
        <v>45421</v>
      </c>
      <c r="AE64">
        <f t="shared" ca="1" si="3"/>
        <v>0</v>
      </c>
      <c r="AG64" s="63">
        <f t="shared" ca="1" si="7"/>
        <v>105.62204611158224</v>
      </c>
      <c r="AH64" s="63">
        <f t="shared" ca="1" si="8"/>
        <v>105.62204611158224</v>
      </c>
      <c r="AI64" s="3">
        <f t="shared" ca="1" si="9"/>
        <v>0</v>
      </c>
    </row>
    <row r="65" spans="7:35">
      <c r="G65" s="3">
        <f t="shared" ca="1" si="4"/>
        <v>86</v>
      </c>
      <c r="H65" s="95">
        <f t="shared" ca="1" si="6"/>
        <v>45376</v>
      </c>
      <c r="I65" s="119">
        <f ca="1">HLOOKUP($H$4,'Met Data'!$A$2:$F$368,G65,FALSE)</f>
        <v>17.024999999999999</v>
      </c>
      <c r="J65" s="119">
        <f ca="1">HLOOKUP($H$4,'Met Data'!$H$2:$M$368,G65,FALSE)*L65</f>
        <v>3.7333333333333298</v>
      </c>
      <c r="K65" s="96">
        <f ca="1">HLOOKUP($H$4,'Met Data'!$O$2:$T$368,G65,FALSE)</f>
        <v>2.3866525377963699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45422</v>
      </c>
      <c r="Q65">
        <f ca="1"/>
        <v>94.48698230604262</v>
      </c>
      <c r="R65">
        <f ca="1"/>
        <v>5.0266059959622567</v>
      </c>
      <c r="S65">
        <f ca="1"/>
        <v>3.0297894020407057E-2</v>
      </c>
      <c r="T65">
        <f ca="1"/>
        <v>0.90954251006873443</v>
      </c>
      <c r="U65">
        <f ca="1"/>
        <v>0</v>
      </c>
      <c r="V65">
        <f ca="1"/>
        <v>112.45747872989995</v>
      </c>
      <c r="W65">
        <f ca="1"/>
        <v>45.874262885157314</v>
      </c>
      <c r="X65">
        <f ca="1"/>
        <v>1.7519030889601837</v>
      </c>
      <c r="Y65">
        <f ca="1"/>
        <v>1</v>
      </c>
      <c r="Z65">
        <f ca="1"/>
        <v>2.6348036883795629</v>
      </c>
      <c r="AA65">
        <f ca="1"/>
        <v>0</v>
      </c>
      <c r="AB65">
        <f ca="1"/>
        <v>0.9999995744011978</v>
      </c>
      <c r="AD65" s="2">
        <f t="shared" ca="1" si="2"/>
        <v>45422</v>
      </c>
      <c r="AE65">
        <f t="shared" ca="1" si="3"/>
        <v>0</v>
      </c>
      <c r="AG65" s="63">
        <f t="shared" ca="1" si="7"/>
        <v>101.26549139096507</v>
      </c>
      <c r="AH65" s="63">
        <f t="shared" ca="1" si="8"/>
        <v>101.26549139096505</v>
      </c>
      <c r="AI65" s="3">
        <f t="shared" ca="1" si="9"/>
        <v>0</v>
      </c>
    </row>
    <row r="66" spans="7:35">
      <c r="G66" s="3">
        <f t="shared" ca="1" si="4"/>
        <v>87</v>
      </c>
      <c r="H66" s="95">
        <f t="shared" ca="1" si="6"/>
        <v>45377</v>
      </c>
      <c r="I66" s="119">
        <f ca="1">HLOOKUP($H$4,'Met Data'!$A$2:$F$368,G66,FALSE)</f>
        <v>17.3</v>
      </c>
      <c r="J66" s="119">
        <f ca="1">HLOOKUP($H$4,'Met Data'!$H$2:$M$368,G66,FALSE)*L66</f>
        <v>1.93333333333333</v>
      </c>
      <c r="K66" s="96">
        <f ca="1">HLOOKUP($H$4,'Met Data'!$O$2:$T$368,G66,FALSE)</f>
        <v>2.6501779961824399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45423</v>
      </c>
      <c r="Q66">
        <f ca="1"/>
        <v>87.095900861483955</v>
      </c>
      <c r="R66">
        <f ca="1"/>
        <v>5.3450668743621605</v>
      </c>
      <c r="S66">
        <f ca="1"/>
        <v>2.9951155102196481E-2</v>
      </c>
      <c r="T66">
        <f ca="1"/>
        <v>0.94749079248855428</v>
      </c>
      <c r="U66">
        <f ca="1"/>
        <v>0</v>
      </c>
      <c r="V66">
        <f ca="1"/>
        <v>117.80254560426211</v>
      </c>
      <c r="W66">
        <f ca="1"/>
        <v>48.054651470270095</v>
      </c>
      <c r="X66">
        <f ca="1"/>
        <v>3.0234565177872486</v>
      </c>
      <c r="Y66">
        <f ca="1"/>
        <v>1</v>
      </c>
      <c r="Z66">
        <f ca="1"/>
        <v>4.9330574671925902</v>
      </c>
      <c r="AA66">
        <f ca="1"/>
        <v>0</v>
      </c>
      <c r="AB66">
        <f ca="1"/>
        <v>0.99999971983685565</v>
      </c>
      <c r="AD66" s="2">
        <f t="shared" ca="1" si="2"/>
        <v>45423</v>
      </c>
      <c r="AE66">
        <f t="shared" ca="1" si="3"/>
        <v>0</v>
      </c>
      <c r="AG66" s="63">
        <f t="shared" ca="1" si="7"/>
        <v>95.464424253633368</v>
      </c>
      <c r="AH66" s="63">
        <f t="shared" ca="1" si="8"/>
        <v>95.464424253633368</v>
      </c>
      <c r="AI66" s="3">
        <f t="shared" ca="1" si="9"/>
        <v>0</v>
      </c>
    </row>
    <row r="67" spans="7:35">
      <c r="G67" s="3">
        <f t="shared" ca="1" si="4"/>
        <v>88</v>
      </c>
      <c r="H67" s="95">
        <f t="shared" ca="1" si="6"/>
        <v>45378</v>
      </c>
      <c r="I67" s="119">
        <f ca="1">HLOOKUP($H$4,'Met Data'!$A$2:$F$368,G67,FALSE)</f>
        <v>15.983333333333301</v>
      </c>
      <c r="J67" s="119">
        <f ca="1">HLOOKUP($H$4,'Met Data'!$H$2:$M$368,G67,FALSE)*L67</f>
        <v>1.2166666666666599</v>
      </c>
      <c r="K67" s="96">
        <f ca="1">HLOOKUP($H$4,'Met Data'!$O$2:$T$368,G67,FALSE)</f>
        <v>2.2352735074469998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45424</v>
      </c>
      <c r="Q67">
        <f ca="1"/>
        <v>80.638768527343785</v>
      </c>
      <c r="R67">
        <f ca="1"/>
        <v>5.2029527393315789</v>
      </c>
      <c r="S67">
        <f ca="1"/>
        <v>2.689791367623684E-2</v>
      </c>
      <c r="T67">
        <f ca="1"/>
        <v>0.89257826212956104</v>
      </c>
      <c r="U67">
        <f ca="1"/>
        <v>0</v>
      </c>
      <c r="V67">
        <f ca="1"/>
        <v>123.00549834359369</v>
      </c>
      <c r="W67">
        <f ca="1"/>
        <v>50.177068088878535</v>
      </c>
      <c r="X67">
        <f ca="1"/>
        <v>2.1736557706143866</v>
      </c>
      <c r="Y67">
        <f ca="1"/>
        <v>1</v>
      </c>
      <c r="Z67">
        <f ca="1"/>
        <v>3.8305139195310645</v>
      </c>
      <c r="AA67">
        <f ca="1"/>
        <v>0</v>
      </c>
      <c r="AB67">
        <f ca="1"/>
        <v>0.99999981167316288</v>
      </c>
      <c r="AD67" s="2">
        <f t="shared" ca="1" si="2"/>
        <v>45424</v>
      </c>
      <c r="AE67">
        <f t="shared" ca="1" si="3"/>
        <v>0</v>
      </c>
      <c r="AG67" s="63">
        <f t="shared" ca="1" si="7"/>
        <v>88.015377037289753</v>
      </c>
      <c r="AH67" s="63">
        <f t="shared" ca="1" si="8"/>
        <v>88.015377037289753</v>
      </c>
      <c r="AI67" s="3">
        <f t="shared" ca="1" si="9"/>
        <v>0</v>
      </c>
    </row>
    <row r="68" spans="7:35">
      <c r="G68" s="3">
        <f t="shared" ca="1" si="4"/>
        <v>89</v>
      </c>
      <c r="H68" s="95">
        <f t="shared" ca="1" si="6"/>
        <v>45379</v>
      </c>
      <c r="I68" s="119">
        <f ca="1">HLOOKUP($H$4,'Met Data'!$A$2:$F$368,G68,FALSE)</f>
        <v>16.404166666666601</v>
      </c>
      <c r="J68" s="119">
        <f ca="1">HLOOKUP($H$4,'Met Data'!$H$2:$M$368,G68,FALSE)*L68</f>
        <v>2.3333333333333299</v>
      </c>
      <c r="K68" s="96">
        <f ca="1">HLOOKUP($H$4,'Met Data'!$O$2:$T$368,G68,FALSE)</f>
        <v>2.3461969045698901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45425</v>
      </c>
      <c r="Q68">
        <f ca="1"/>
        <v>74.279319408923143</v>
      </c>
      <c r="R68">
        <f ca="1"/>
        <v>5.3655980317176244</v>
      </c>
      <c r="S68">
        <f ca="1"/>
        <v>2.6032094271357664E-2</v>
      </c>
      <c r="T68">
        <f ca="1"/>
        <v>0.90153476661562515</v>
      </c>
      <c r="U68">
        <f ca="1"/>
        <v>0</v>
      </c>
      <c r="V68">
        <f ca="1"/>
        <v>128.37109637531131</v>
      </c>
      <c r="W68">
        <f ca="1"/>
        <v>52.365831854730708</v>
      </c>
      <c r="X68">
        <f ca="1"/>
        <v>1.9214179475900011</v>
      </c>
      <c r="Y68">
        <f ca="1"/>
        <v>1</v>
      </c>
      <c r="Z68">
        <f ca="1"/>
        <v>3.6759034042223391</v>
      </c>
      <c r="AA68">
        <f ca="1"/>
        <v>0</v>
      </c>
      <c r="AB68">
        <f ca="1"/>
        <v>0.99999987384409017</v>
      </c>
      <c r="AD68" s="2">
        <f t="shared" ca="1" si="2"/>
        <v>45425</v>
      </c>
      <c r="AE68">
        <f t="shared" ca="1" si="3"/>
        <v>0</v>
      </c>
      <c r="AG68" s="63">
        <f t="shared" ca="1" si="7"/>
        <v>81.566335388230769</v>
      </c>
      <c r="AH68" s="63">
        <f t="shared" ca="1" si="8"/>
        <v>81.566335388230769</v>
      </c>
      <c r="AI68" s="3">
        <f t="shared" ca="1" si="9"/>
        <v>0</v>
      </c>
    </row>
    <row r="69" spans="7:35">
      <c r="G69" s="3">
        <f t="shared" ca="1" si="4"/>
        <v>90</v>
      </c>
      <c r="H69" s="95">
        <f t="shared" ca="1" si="6"/>
        <v>45380</v>
      </c>
      <c r="I69" s="119">
        <f ca="1">HLOOKUP($H$4,'Met Data'!$A$2:$F$368,G69,FALSE)</f>
        <v>16.629166666666599</v>
      </c>
      <c r="J69" s="119">
        <f ca="1">HLOOKUP($H$4,'Met Data'!$H$2:$M$368,G69,FALSE)*L69</f>
        <v>2.2333333333333298</v>
      </c>
      <c r="K69" s="96">
        <f ca="1">HLOOKUP($H$4,'Met Data'!$O$2:$T$368,G69,FALSE)</f>
        <v>2.5330458314755799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45426</v>
      </c>
      <c r="Q69">
        <f ca="1"/>
        <v>66.030393125448796</v>
      </c>
      <c r="R69">
        <f ca="1"/>
        <v>5.676277297537041</v>
      </c>
      <c r="S69">
        <f ca="1"/>
        <v>2.6069148743061987E-2</v>
      </c>
      <c r="T69">
        <f ca="1"/>
        <v>0.9396199368622089</v>
      </c>
      <c r="U69">
        <f ca="1"/>
        <v>0</v>
      </c>
      <c r="V69">
        <f ca="1"/>
        <v>134.04737367284835</v>
      </c>
      <c r="W69">
        <f ca="1"/>
        <v>54.681329586826237</v>
      </c>
      <c r="X69">
        <f ca="1"/>
        <v>3.5383380715425838</v>
      </c>
      <c r="Y69">
        <f ca="1"/>
        <v>1</v>
      </c>
      <c r="Z69">
        <f ca="1"/>
        <v>7.6149245672803048</v>
      </c>
      <c r="AA69">
        <f ca="1"/>
        <v>0</v>
      </c>
      <c r="AB69">
        <f ca="1"/>
        <v>0.99999991670846078</v>
      </c>
      <c r="AD69" s="2">
        <f t="shared" ca="1" si="2"/>
        <v>45426</v>
      </c>
      <c r="AE69">
        <f t="shared" ca="1" si="3"/>
        <v>0</v>
      </c>
      <c r="AG69" s="63">
        <f t="shared" ca="1" si="7"/>
        <v>75.24500849452842</v>
      </c>
      <c r="AH69" s="63">
        <f t="shared" ca="1" si="8"/>
        <v>75.24500849452842</v>
      </c>
      <c r="AI69" s="3">
        <f t="shared" ca="1" si="9"/>
        <v>0</v>
      </c>
    </row>
    <row r="70" spans="7:35">
      <c r="G70" s="3">
        <f t="shared" ca="1" si="4"/>
        <v>91</v>
      </c>
      <c r="H70" s="95">
        <f t="shared" ca="1" si="6"/>
        <v>45381</v>
      </c>
      <c r="I70" s="119">
        <f ca="1">HLOOKUP($H$4,'Met Data'!$A$2:$F$368,G70,FALSE)</f>
        <v>16.112499999999901</v>
      </c>
      <c r="J70" s="119">
        <f ca="1">HLOOKUP($H$4,'Met Data'!$H$2:$M$368,G70,FALSE)*L70</f>
        <v>2.0833333333333299</v>
      </c>
      <c r="K70" s="96">
        <f ca="1">HLOOKUP($H$4,'Met Data'!$O$2:$T$368,G70,FALSE)</f>
        <v>2.4661161715906501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45427</v>
      </c>
      <c r="Q70">
        <f ca="1"/>
        <v>59.891989520202948</v>
      </c>
      <c r="R70">
        <f ca="1"/>
        <v>5.5240196694429358</v>
      </c>
      <c r="S70">
        <f ca="1"/>
        <v>2.3842805222642482E-2</v>
      </c>
      <c r="T70">
        <f ca="1"/>
        <v>0.89092571145221244</v>
      </c>
      <c r="U70">
        <f ca="1"/>
        <v>0</v>
      </c>
      <c r="V70">
        <f ca="1"/>
        <v>139.57139334229129</v>
      </c>
      <c r="W70">
        <f ca="1"/>
        <v>56.934717563871736</v>
      </c>
      <c r="X70">
        <f ca="1"/>
        <v>1.52915245247777</v>
      </c>
      <c r="Y70">
        <f ca="1"/>
        <v>1</v>
      </c>
      <c r="Z70">
        <f ca="1"/>
        <v>3.6282082697318501</v>
      </c>
      <c r="AA70">
        <f ca="1"/>
        <v>0</v>
      </c>
      <c r="AB70">
        <f ca="1"/>
        <v>0.99999994397512149</v>
      </c>
      <c r="AD70" s="2">
        <f t="shared" ref="AD70:AD133" ca="1" si="12">IFERROR(P70,$AD$4)</f>
        <v>45427</v>
      </c>
      <c r="AE70">
        <f t="shared" ref="AE70:AE133" ca="1" si="13">IFERROR(U70,0)</f>
        <v>0</v>
      </c>
      <c r="AG70" s="63">
        <f t="shared" ca="1" si="7"/>
        <v>66.945161642123651</v>
      </c>
      <c r="AH70" s="63">
        <f t="shared" ca="1" si="8"/>
        <v>66.945161642123651</v>
      </c>
      <c r="AI70" s="3">
        <f t="shared" ca="1" si="9"/>
        <v>0</v>
      </c>
    </row>
    <row r="71" spans="7:35">
      <c r="G71" s="3">
        <f t="shared" ref="G71:G134" ca="1" si="14">H71-DATE(YEAR(H71),1,0)+1</f>
        <v>92</v>
      </c>
      <c r="H71" s="95">
        <f t="shared" ca="1" si="6"/>
        <v>45382</v>
      </c>
      <c r="I71" s="119">
        <f ca="1">HLOOKUP($H$4,'Met Data'!$A$2:$F$368,G71,FALSE)</f>
        <v>15.862500000000001</v>
      </c>
      <c r="J71" s="119">
        <f ca="1">HLOOKUP($H$4,'Met Data'!$H$2:$M$368,G71,FALSE)*L71</f>
        <v>1.3333333333333299</v>
      </c>
      <c r="K71" s="96">
        <f ca="1">HLOOKUP($H$4,'Met Data'!$O$2:$T$368,G71,FALSE)</f>
        <v>2.3173978620084501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45428</v>
      </c>
      <c r="Q71">
        <f ca="1"/>
        <v>54.49321719748832</v>
      </c>
      <c r="R71">
        <f ca="1"/>
        <v>5.3386776037029904</v>
      </c>
      <c r="S71">
        <f ca="1"/>
        <v>2.184562184038441E-2</v>
      </c>
      <c r="T71">
        <f ca="1"/>
        <v>0.84190860352123364</v>
      </c>
      <c r="U71">
        <f ca="1"/>
        <v>0</v>
      </c>
      <c r="V71">
        <f ca="1"/>
        <v>144.91007094599428</v>
      </c>
      <c r="W71">
        <f ca="1"/>
        <v>59.112499803144502</v>
      </c>
      <c r="X71">
        <f ca="1"/>
        <v>0.92384894437325238</v>
      </c>
      <c r="Y71">
        <f ca="1"/>
        <v>1</v>
      </c>
      <c r="Z71">
        <f ca="1"/>
        <v>2.4091768500751201</v>
      </c>
      <c r="AA71">
        <f ca="1"/>
        <v>0</v>
      </c>
      <c r="AB71">
        <f ca="1"/>
        <v>0.9999999615777907</v>
      </c>
      <c r="AD71" s="2">
        <f t="shared" ca="1" si="12"/>
        <v>45428</v>
      </c>
      <c r="AE71">
        <f t="shared" ca="1" si="13"/>
        <v>0</v>
      </c>
      <c r="AG71" s="63">
        <f t="shared" ca="1" si="7"/>
        <v>60.755743745564565</v>
      </c>
      <c r="AH71" s="63">
        <f t="shared" ca="1" si="8"/>
        <v>60.755743745564565</v>
      </c>
      <c r="AI71" s="3">
        <f t="shared" ca="1" si="9"/>
        <v>0</v>
      </c>
    </row>
    <row r="72" spans="7:35">
      <c r="G72" s="3">
        <f t="shared" ca="1" si="14"/>
        <v>93</v>
      </c>
      <c r="H72" s="95">
        <f t="shared" ref="H72:H135" ca="1" si="16">H71+1</f>
        <v>45383</v>
      </c>
      <c r="I72" s="119">
        <f ca="1">HLOOKUP($H$4,'Met Data'!$A$2:$F$368,G72,FALSE)</f>
        <v>15.299999999999899</v>
      </c>
      <c r="J72" s="119">
        <f ca="1">HLOOKUP($H$4,'Met Data'!$H$2:$M$368,G72,FALSE)*L72</f>
        <v>0.36666666666666597</v>
      </c>
      <c r="K72" s="96">
        <f ca="1">HLOOKUP($H$4,'Met Data'!$O$2:$T$368,G72,FALSE)</f>
        <v>2.1311275850035698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45429</v>
      </c>
      <c r="Q72">
        <f ca="1"/>
        <v>49.72976375728576</v>
      </c>
      <c r="R72">
        <f ca="1"/>
        <v>5.1276648694941684</v>
      </c>
      <c r="S72">
        <f ca="1"/>
        <v>2.0057056819666741E-2</v>
      </c>
      <c r="T72">
        <f ca="1"/>
        <v>0.79368335392164846</v>
      </c>
      <c r="U72">
        <f ca="1"/>
        <v>0</v>
      </c>
      <c r="V72">
        <f ca="1"/>
        <v>150.03773581548845</v>
      </c>
      <c r="W72">
        <f ca="1"/>
        <v>61.204204586737703</v>
      </c>
      <c r="X72">
        <f ca="1"/>
        <v>0.4495289814497066</v>
      </c>
      <c r="Y72">
        <f ca="1"/>
        <v>1</v>
      </c>
      <c r="Z72">
        <f ca="1"/>
        <v>1.2845513306234437</v>
      </c>
      <c r="AA72">
        <f ca="1"/>
        <v>0</v>
      </c>
      <c r="AB72">
        <f ca="1"/>
        <v>0.99999997312351752</v>
      </c>
      <c r="AD72" s="2">
        <f t="shared" ca="1" si="12"/>
        <v>45429</v>
      </c>
      <c r="AE72">
        <f t="shared" ca="1" si="13"/>
        <v>0</v>
      </c>
      <c r="AG72" s="63">
        <f t="shared" ref="AG72:AG135" ca="1" si="17">Q71+S72+T72+U72</f>
        <v>55.306957608229638</v>
      </c>
      <c r="AH72" s="63">
        <f t="shared" ref="AH72:AH135" ca="1" si="18">Q72+R72+X72</f>
        <v>55.306957608229638</v>
      </c>
      <c r="AI72" s="3">
        <f t="shared" ref="AI72:AI135" ca="1" si="19">AH72-AG72</f>
        <v>0</v>
      </c>
    </row>
    <row r="73" spans="7:35">
      <c r="G73" s="3">
        <f t="shared" ca="1" si="14"/>
        <v>94</v>
      </c>
      <c r="H73" s="95">
        <f t="shared" ca="1" si="16"/>
        <v>45384</v>
      </c>
      <c r="I73" s="119">
        <f ca="1">HLOOKUP($H$4,'Met Data'!$A$2:$F$368,G73,FALSE)</f>
        <v>16.266666666666602</v>
      </c>
      <c r="J73" s="119">
        <f ca="1">HLOOKUP($H$4,'Met Data'!$H$2:$M$368,G73,FALSE)*L73</f>
        <v>4.36666666666666</v>
      </c>
      <c r="K73" s="96">
        <f ca="1">HLOOKUP($H$4,'Met Data'!$O$2:$T$368,G73,FALSE)</f>
        <v>2.1942415542804201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45430</v>
      </c>
      <c r="Q73">
        <f ca="1"/>
        <v>44.907454073529188</v>
      </c>
      <c r="R73">
        <f ca="1"/>
        <v>5.326076598441972</v>
      </c>
      <c r="S73">
        <f ca="1"/>
        <v>2.0156190501296578E-2</v>
      </c>
      <c r="T73">
        <f ca="1"/>
        <v>0.81663483703502238</v>
      </c>
      <c r="U73">
        <f ca="1"/>
        <v>0</v>
      </c>
      <c r="V73">
        <f ca="1"/>
        <v>155.36381241393042</v>
      </c>
      <c r="W73">
        <f ca="1"/>
        <v>63.376846555799112</v>
      </c>
      <c r="X73">
        <f ca="1"/>
        <v>0.33302411285091943</v>
      </c>
      <c r="Y73">
        <f ca="1"/>
        <v>1</v>
      </c>
      <c r="Z73">
        <f ca="1"/>
        <v>1.0538223591370297</v>
      </c>
      <c r="AA73">
        <f ca="1"/>
        <v>0</v>
      </c>
      <c r="AB73">
        <f ca="1"/>
        <v>0.99999998137760671</v>
      </c>
      <c r="AD73" s="2">
        <f t="shared" ca="1" si="12"/>
        <v>45430</v>
      </c>
      <c r="AE73">
        <f t="shared" ca="1" si="13"/>
        <v>0</v>
      </c>
      <c r="AG73" s="63">
        <f t="shared" ca="1" si="17"/>
        <v>50.566554784822081</v>
      </c>
      <c r="AH73" s="63">
        <f t="shared" ca="1" si="18"/>
        <v>50.566554784822081</v>
      </c>
      <c r="AI73" s="3">
        <f t="shared" ca="1" si="19"/>
        <v>0</v>
      </c>
    </row>
    <row r="74" spans="7:35">
      <c r="G74" s="3">
        <f t="shared" ca="1" si="14"/>
        <v>95</v>
      </c>
      <c r="H74" s="95">
        <f t="shared" ca="1" si="16"/>
        <v>45385</v>
      </c>
      <c r="I74" s="119">
        <f ca="1">HLOOKUP($H$4,'Met Data'!$A$2:$F$368,G74,FALSE)</f>
        <v>16.008333333333301</v>
      </c>
      <c r="J74" s="119">
        <f ca="1">HLOOKUP($H$4,'Met Data'!$H$2:$M$368,G74,FALSE)*L74</f>
        <v>5.5833333333333304</v>
      </c>
      <c r="K74" s="96">
        <f ca="1">HLOOKUP($H$4,'Met Data'!$O$2:$T$368,G74,FALSE)</f>
        <v>2.18875214188912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45431</v>
      </c>
      <c r="Q74">
        <f ca="1"/>
        <v>40.416455429387518</v>
      </c>
      <c r="R74">
        <f ca="1"/>
        <v>5.316508913074955</v>
      </c>
      <c r="S74">
        <f ca="1"/>
        <v>1.9471534935377122E-2</v>
      </c>
      <c r="T74">
        <f ca="1"/>
        <v>0.80603873399791059</v>
      </c>
      <c r="U74">
        <f ca="1"/>
        <v>0</v>
      </c>
      <c r="V74">
        <f ca="1"/>
        <v>160.68032132700537</v>
      </c>
      <c r="W74">
        <f ca="1"/>
        <v>65.545585622904284</v>
      </c>
      <c r="X74">
        <f ca="1"/>
        <v>0</v>
      </c>
      <c r="Y74">
        <f ca="1"/>
        <v>0.98242000874267021</v>
      </c>
      <c r="Z74">
        <f ca="1"/>
        <v>0</v>
      </c>
      <c r="AA74">
        <f ca="1"/>
        <v>0</v>
      </c>
      <c r="AB74">
        <f ca="1"/>
        <v>0.99999998704030579</v>
      </c>
      <c r="AD74" s="2">
        <f t="shared" ca="1" si="12"/>
        <v>45431</v>
      </c>
      <c r="AE74">
        <f t="shared" ca="1" si="13"/>
        <v>0</v>
      </c>
      <c r="AG74" s="63">
        <f t="shared" ca="1" si="17"/>
        <v>45.732964342462473</v>
      </c>
      <c r="AH74" s="63">
        <f t="shared" ca="1" si="18"/>
        <v>45.732964342462473</v>
      </c>
      <c r="AI74" s="3">
        <f t="shared" ca="1" si="19"/>
        <v>0</v>
      </c>
    </row>
    <row r="75" spans="7:35">
      <c r="G75" s="3">
        <f t="shared" ca="1" si="14"/>
        <v>96</v>
      </c>
      <c r="H75" s="95">
        <f t="shared" ca="1" si="16"/>
        <v>45386</v>
      </c>
      <c r="I75" s="119">
        <f ca="1">HLOOKUP($H$4,'Met Data'!$A$2:$F$368,G75,FALSE)</f>
        <v>14.8083333333333</v>
      </c>
      <c r="J75" s="119">
        <f ca="1">HLOOKUP($H$4,'Met Data'!$H$2:$M$368,G75,FALSE)*L75</f>
        <v>3.93333333333333</v>
      </c>
      <c r="K75" s="96">
        <f ca="1">HLOOKUP($H$4,'Met Data'!$O$2:$T$368,G75,FALSE)</f>
        <v>2.25899576438928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45432</v>
      </c>
      <c r="Q75">
        <f ca="1"/>
        <v>35.937110567154669</v>
      </c>
      <c r="R75">
        <f ca="1"/>
        <v>5.2930971522036145</v>
      </c>
      <c r="S75">
        <f ca="1"/>
        <v>1.8838772968024387E-2</v>
      </c>
      <c r="T75">
        <f ca="1"/>
        <v>0.79491351700274004</v>
      </c>
      <c r="U75">
        <f ca="1"/>
        <v>0</v>
      </c>
      <c r="V75">
        <f ca="1"/>
        <v>165.97341847920899</v>
      </c>
      <c r="W75">
        <f ca="1"/>
        <v>67.704774437905769</v>
      </c>
      <c r="X75">
        <f ca="1"/>
        <v>0</v>
      </c>
      <c r="Y75">
        <f ca="1"/>
        <v>0.99981433472632364</v>
      </c>
      <c r="Z75">
        <f ca="1"/>
        <v>0</v>
      </c>
      <c r="AA75">
        <f ca="1"/>
        <v>0</v>
      </c>
      <c r="AB75">
        <f ca="1"/>
        <v>0.9999999909392997</v>
      </c>
      <c r="AD75" s="2">
        <f t="shared" ca="1" si="12"/>
        <v>45432</v>
      </c>
      <c r="AE75">
        <f t="shared" ca="1" si="13"/>
        <v>0</v>
      </c>
      <c r="AG75" s="63">
        <f t="shared" ca="1" si="17"/>
        <v>41.230207719358283</v>
      </c>
      <c r="AH75" s="63">
        <f t="shared" ca="1" si="18"/>
        <v>41.230207719358283</v>
      </c>
      <c r="AI75" s="3">
        <f t="shared" ca="1" si="19"/>
        <v>0</v>
      </c>
    </row>
    <row r="76" spans="7:35">
      <c r="G76" s="3">
        <f t="shared" ca="1" si="14"/>
        <v>97</v>
      </c>
      <c r="H76" s="95">
        <f t="shared" ca="1" si="16"/>
        <v>45387</v>
      </c>
      <c r="I76" s="119">
        <f ca="1">HLOOKUP($H$4,'Met Data'!$A$2:$F$368,G76,FALSE)</f>
        <v>14.283333333333299</v>
      </c>
      <c r="J76" s="119">
        <f ca="1">HLOOKUP($H$4,'Met Data'!$H$2:$M$368,G76,FALSE)*L76</f>
        <v>1.2666666666666599</v>
      </c>
      <c r="K76" s="96">
        <f ca="1">HLOOKUP($H$4,'Met Data'!$O$2:$T$368,G76,FALSE)</f>
        <v>2.2952223200603901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45433</v>
      </c>
      <c r="Q76">
        <f ca="1"/>
        <v>31.575325274655921</v>
      </c>
      <c r="R76">
        <f ca="1"/>
        <v>4.6676207803126317</v>
      </c>
      <c r="S76">
        <f ca="1"/>
        <v>1.6165160463884831E-2</v>
      </c>
      <c r="T76">
        <f ca="1"/>
        <v>0.69317113793991392</v>
      </c>
      <c r="U76">
        <f ca="1"/>
        <v>0</v>
      </c>
      <c r="V76">
        <f ca="1"/>
        <v>170.64103925952162</v>
      </c>
      <c r="W76">
        <f ca="1"/>
        <v>69.608815548755885</v>
      </c>
      <c r="X76">
        <f ca="1"/>
        <v>0.40350081058991505</v>
      </c>
      <c r="Y76">
        <f ca="1"/>
        <v>1</v>
      </c>
      <c r="Z76">
        <f ca="1"/>
        <v>1.8159619378276872</v>
      </c>
      <c r="AA76">
        <f ca="1"/>
        <v>0</v>
      </c>
      <c r="AB76">
        <f ca="1"/>
        <v>0.99999999337829726</v>
      </c>
      <c r="AD76" s="2">
        <f t="shared" ca="1" si="12"/>
        <v>45433</v>
      </c>
      <c r="AE76">
        <f t="shared" ca="1" si="13"/>
        <v>0</v>
      </c>
      <c r="AG76" s="63">
        <f t="shared" ca="1" si="17"/>
        <v>36.646446865558467</v>
      </c>
      <c r="AH76" s="63">
        <f t="shared" ca="1" si="18"/>
        <v>36.646446865558474</v>
      </c>
      <c r="AI76" s="3">
        <f t="shared" ca="1" si="19"/>
        <v>0</v>
      </c>
    </row>
    <row r="77" spans="7:35">
      <c r="G77" s="3">
        <f t="shared" ca="1" si="14"/>
        <v>98</v>
      </c>
      <c r="H77" s="95">
        <f t="shared" ca="1" si="16"/>
        <v>45388</v>
      </c>
      <c r="I77" s="119">
        <f ca="1">HLOOKUP($H$4,'Met Data'!$A$2:$F$368,G77,FALSE)</f>
        <v>13.258333333333301</v>
      </c>
      <c r="J77" s="119">
        <f ca="1">HLOOKUP($H$4,'Met Data'!$H$2:$M$368,G77,FALSE)*L77</f>
        <v>1.18333333333333</v>
      </c>
      <c r="K77" s="96">
        <f ca="1">HLOOKUP($H$4,'Met Data'!$O$2:$T$368,G77,FALSE)</f>
        <v>1.94562323949851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45434</v>
      </c>
      <c r="Q77">
        <f ca="1"/>
        <v>76.042363629894069</v>
      </c>
      <c r="R77">
        <f ca="1"/>
        <v>4.9511627135699428</v>
      </c>
      <c r="S77">
        <f ca="1"/>
        <v>1.683898328164446E-2</v>
      </c>
      <c r="T77">
        <f ca="1"/>
        <v>0.73222937726143589</v>
      </c>
      <c r="U77">
        <f ca="1"/>
        <v>49.654930399531018</v>
      </c>
      <c r="V77">
        <f ca="1"/>
        <v>175.59220197309156</v>
      </c>
      <c r="W77">
        <f ca="1"/>
        <v>71.628520618393992</v>
      </c>
      <c r="X77">
        <f ca="1"/>
        <v>0.98579769126600181</v>
      </c>
      <c r="Y77">
        <f ca="1"/>
        <v>1</v>
      </c>
      <c r="Z77">
        <f ca="1"/>
        <v>1.8507891791923257</v>
      </c>
      <c r="AA77">
        <f ca="1"/>
        <v>0</v>
      </c>
      <c r="AB77">
        <f ca="1"/>
        <v>0.99999999524453731</v>
      </c>
      <c r="AD77" s="2">
        <f t="shared" ca="1" si="12"/>
        <v>45434</v>
      </c>
      <c r="AE77">
        <f t="shared" ca="1" si="13"/>
        <v>49.654930399531018</v>
      </c>
      <c r="AG77" s="63">
        <f t="shared" ca="1" si="17"/>
        <v>81.979324034730013</v>
      </c>
      <c r="AH77" s="63">
        <f t="shared" ca="1" si="18"/>
        <v>81.979324034730013</v>
      </c>
      <c r="AI77" s="3">
        <f t="shared" ca="1" si="19"/>
        <v>0</v>
      </c>
    </row>
    <row r="78" spans="7:35">
      <c r="G78" s="3">
        <f t="shared" ca="1" si="14"/>
        <v>99</v>
      </c>
      <c r="H78" s="95">
        <f t="shared" ca="1" si="16"/>
        <v>45389</v>
      </c>
      <c r="I78" s="119">
        <f ca="1">HLOOKUP($H$4,'Met Data'!$A$2:$F$368,G78,FALSE)</f>
        <v>13.8666666666666</v>
      </c>
      <c r="J78" s="119">
        <f ca="1">HLOOKUP($H$4,'Met Data'!$H$2:$M$368,G78,FALSE)*L78</f>
        <v>4.7333333333333298</v>
      </c>
      <c r="K78" s="96">
        <f ca="1">HLOOKUP($H$4,'Met Data'!$O$2:$T$368,G78,FALSE)</f>
        <v>1.65226329552866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45435</v>
      </c>
      <c r="Q78">
        <f ca="1"/>
        <v>69.450222017355387</v>
      </c>
      <c r="R78">
        <f ca="1"/>
        <v>5.0806386253626385</v>
      </c>
      <c r="S78">
        <f ca="1"/>
        <v>1.7005887352752325E-2</v>
      </c>
      <c r="T78">
        <f ca="1"/>
        <v>0.74930050391162784</v>
      </c>
      <c r="U78">
        <f ca="1"/>
        <v>0</v>
      </c>
      <c r="V78">
        <f ca="1"/>
        <v>180.6728405984542</v>
      </c>
      <c r="W78">
        <f ca="1"/>
        <v>73.701042202166619</v>
      </c>
      <c r="X78">
        <f ca="1"/>
        <v>2.2778093784404287</v>
      </c>
      <c r="Y78">
        <f ca="1"/>
        <v>1</v>
      </c>
      <c r="Z78">
        <f ca="1"/>
        <v>4.6607295375658992</v>
      </c>
      <c r="AA78">
        <f ca="1"/>
        <v>0</v>
      </c>
      <c r="AB78">
        <f ca="1"/>
        <v>0.99999999661014471</v>
      </c>
      <c r="AD78" s="2">
        <f t="shared" ca="1" si="12"/>
        <v>45435</v>
      </c>
      <c r="AE78">
        <f t="shared" ca="1" si="13"/>
        <v>0</v>
      </c>
      <c r="AG78" s="63">
        <f t="shared" ca="1" si="17"/>
        <v>76.808670021158449</v>
      </c>
      <c r="AH78" s="63">
        <f t="shared" ca="1" si="18"/>
        <v>76.808670021158449</v>
      </c>
      <c r="AI78" s="3">
        <f t="shared" ca="1" si="19"/>
        <v>0</v>
      </c>
    </row>
    <row r="79" spans="7:35">
      <c r="G79" s="3">
        <f t="shared" ca="1" si="14"/>
        <v>100</v>
      </c>
      <c r="H79" s="95">
        <f t="shared" ca="1" si="16"/>
        <v>45390</v>
      </c>
      <c r="I79" s="119">
        <f ca="1">HLOOKUP($H$4,'Met Data'!$A$2:$F$368,G79,FALSE)</f>
        <v>14.404166666666599</v>
      </c>
      <c r="J79" s="119">
        <f ca="1">HLOOKUP($H$4,'Met Data'!$H$2:$M$368,G79,FALSE)*L79</f>
        <v>4.3166666666666602</v>
      </c>
      <c r="K79" s="96">
        <f ca="1">HLOOKUP($H$4,'Met Data'!$O$2:$T$368,G79,FALSE)</f>
        <v>1.8668252234765801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45436</v>
      </c>
      <c r="Q79">
        <f ca="1"/>
        <v>64.224016515649382</v>
      </c>
      <c r="R79">
        <f ca="1"/>
        <v>4.9910946995345</v>
      </c>
      <c r="S79">
        <f ca="1"/>
        <v>1.6460488655866357E-2</v>
      </c>
      <c r="T79">
        <f ca="1"/>
        <v>0.73398384362819324</v>
      </c>
      <c r="U79">
        <f ca="1"/>
        <v>0</v>
      </c>
      <c r="V79">
        <f ca="1"/>
        <v>185.6639352979887</v>
      </c>
      <c r="W79">
        <f ca="1"/>
        <v>75.737036543468562</v>
      </c>
      <c r="X79">
        <f ca="1"/>
        <v>0.98555513445556497</v>
      </c>
      <c r="Y79">
        <f ca="1"/>
        <v>1</v>
      </c>
      <c r="Z79">
        <f ca="1"/>
        <v>2.1806884610571799</v>
      </c>
      <c r="AA79">
        <f ca="1"/>
        <v>0</v>
      </c>
      <c r="AB79">
        <f ca="1"/>
        <v>0.9999999975674061</v>
      </c>
      <c r="AD79" s="2">
        <f t="shared" ca="1" si="12"/>
        <v>45436</v>
      </c>
      <c r="AE79">
        <f t="shared" ca="1" si="13"/>
        <v>0</v>
      </c>
      <c r="AG79" s="63">
        <f t="shared" ca="1" si="17"/>
        <v>70.200666349639448</v>
      </c>
      <c r="AH79" s="63">
        <f t="shared" ca="1" si="18"/>
        <v>70.200666349639448</v>
      </c>
      <c r="AI79" s="3">
        <f t="shared" ca="1" si="19"/>
        <v>0</v>
      </c>
    </row>
    <row r="80" spans="7:35">
      <c r="G80" s="3">
        <f t="shared" ca="1" si="14"/>
        <v>101</v>
      </c>
      <c r="H80" s="95">
        <f t="shared" ca="1" si="16"/>
        <v>45391</v>
      </c>
      <c r="I80" s="119">
        <f ca="1">HLOOKUP($H$4,'Met Data'!$A$2:$F$368,G80,FALSE)</f>
        <v>14.5416666666666</v>
      </c>
      <c r="J80" s="119">
        <f ca="1">HLOOKUP($H$4,'Met Data'!$H$2:$M$368,G80,FALSE)*L80</f>
        <v>4.43333333333333</v>
      </c>
      <c r="K80" s="96">
        <f ca="1">HLOOKUP($H$4,'Met Data'!$O$2:$T$368,G80,FALSE)</f>
        <v>1.97301093095216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45437</v>
      </c>
      <c r="Q80">
        <f ca="1"/>
        <v>57.734636462371249</v>
      </c>
      <c r="R80">
        <f ca="1"/>
        <v>5.1878717194413753</v>
      </c>
      <c r="S80">
        <f ca="1"/>
        <v>1.6939541831931137E-2</v>
      </c>
      <c r="T80">
        <f ca="1"/>
        <v>0.76361645365669428</v>
      </c>
      <c r="U80">
        <f ca="1"/>
        <v>0</v>
      </c>
      <c r="V80">
        <f ca="1"/>
        <v>190.85180701743008</v>
      </c>
      <c r="W80">
        <f ca="1"/>
        <v>77.853301230886387</v>
      </c>
      <c r="X80">
        <f ca="1"/>
        <v>2.0820643293253838</v>
      </c>
      <c r="Y80">
        <f ca="1"/>
        <v>1</v>
      </c>
      <c r="Z80">
        <f ca="1"/>
        <v>5.1246932094789415</v>
      </c>
      <c r="AA80">
        <f ca="1"/>
        <v>0</v>
      </c>
      <c r="AB80">
        <f ca="1"/>
        <v>0.99999999827662012</v>
      </c>
      <c r="AD80" s="2">
        <f t="shared" ca="1" si="12"/>
        <v>45437</v>
      </c>
      <c r="AE80">
        <f t="shared" ca="1" si="13"/>
        <v>0</v>
      </c>
      <c r="AG80" s="63">
        <f t="shared" ca="1" si="17"/>
        <v>65.004572511138008</v>
      </c>
      <c r="AH80" s="63">
        <f t="shared" ca="1" si="18"/>
        <v>65.004572511138008</v>
      </c>
      <c r="AI80" s="3">
        <f t="shared" ca="1" si="19"/>
        <v>0</v>
      </c>
    </row>
    <row r="81" spans="7:35">
      <c r="G81" s="3">
        <f t="shared" ca="1" si="14"/>
        <v>102</v>
      </c>
      <c r="H81" s="95">
        <f t="shared" ca="1" si="16"/>
        <v>45392</v>
      </c>
      <c r="I81" s="119">
        <f ca="1">HLOOKUP($H$4,'Met Data'!$A$2:$F$368,G81,FALSE)</f>
        <v>14.279166666666599</v>
      </c>
      <c r="J81" s="119">
        <f ca="1">HLOOKUP($H$4,'Met Data'!$H$2:$M$368,G81,FALSE)*L81</f>
        <v>1.3333333333333299</v>
      </c>
      <c r="K81" s="96">
        <f ca="1">HLOOKUP($H$4,'Met Data'!$O$2:$T$368,G81,FALSE)</f>
        <v>1.63836682585681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45438</v>
      </c>
      <c r="Q81">
        <f ca="1"/>
        <v>52.934729804644569</v>
      </c>
      <c r="R81">
        <f ca="1"/>
        <v>4.8981761006777447</v>
      </c>
      <c r="S81">
        <f ca="1"/>
        <v>1.5817363590429068E-2</v>
      </c>
      <c r="T81">
        <f ca="1"/>
        <v>0.72002234479376215</v>
      </c>
      <c r="U81">
        <f ca="1"/>
        <v>0</v>
      </c>
      <c r="V81">
        <f ca="1"/>
        <v>195.74998311810782</v>
      </c>
      <c r="W81">
        <f ca="1"/>
        <v>79.851391714845846</v>
      </c>
      <c r="X81">
        <f ca="1"/>
        <v>0.63757026543312389</v>
      </c>
      <c r="Y81">
        <f ca="1"/>
        <v>1</v>
      </c>
      <c r="Z81">
        <f ca="1"/>
        <v>1.7115812375993897</v>
      </c>
      <c r="AA81">
        <f ca="1"/>
        <v>0</v>
      </c>
      <c r="AB81">
        <f ca="1"/>
        <v>0.99999999875563872</v>
      </c>
      <c r="AD81" s="2">
        <f t="shared" ca="1" si="12"/>
        <v>45438</v>
      </c>
      <c r="AE81">
        <f t="shared" ca="1" si="13"/>
        <v>0</v>
      </c>
      <c r="AG81" s="63">
        <f t="shared" ca="1" si="17"/>
        <v>58.47047617075544</v>
      </c>
      <c r="AH81" s="63">
        <f t="shared" ca="1" si="18"/>
        <v>58.47047617075544</v>
      </c>
      <c r="AI81" s="3">
        <f t="shared" ca="1" si="19"/>
        <v>0</v>
      </c>
    </row>
    <row r="82" spans="7:35">
      <c r="G82" s="3">
        <f t="shared" ca="1" si="14"/>
        <v>103</v>
      </c>
      <c r="H82" s="95">
        <f t="shared" ca="1" si="16"/>
        <v>45393</v>
      </c>
      <c r="I82" s="119">
        <f ca="1">HLOOKUP($H$4,'Met Data'!$A$2:$F$368,G82,FALSE)</f>
        <v>15.1666666666666</v>
      </c>
      <c r="J82" s="119">
        <f ca="1">HLOOKUP($H$4,'Met Data'!$H$2:$M$368,G82,FALSE)*L82</f>
        <v>3.7833333333333301</v>
      </c>
      <c r="K82" s="96">
        <f ca="1">HLOOKUP($H$4,'Met Data'!$O$2:$T$368,G82,FALSE)</f>
        <v>1.8936832301932101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45439</v>
      </c>
      <c r="Q82">
        <f ca="1"/>
        <v>48.291799780295875</v>
      </c>
      <c r="R82">
        <f ca="1"/>
        <v>4.7570184319487225</v>
      </c>
      <c r="S82">
        <f ca="1"/>
        <v>1.5259462232336318E-2</v>
      </c>
      <c r="T82">
        <f ca="1"/>
        <v>0.70053332085755937</v>
      </c>
      <c r="U82">
        <f ca="1"/>
        <v>0</v>
      </c>
      <c r="V82">
        <f ca="1"/>
        <v>200.50700155005654</v>
      </c>
      <c r="W82">
        <f ca="1"/>
        <v>81.791900399207194</v>
      </c>
      <c r="X82">
        <f ca="1"/>
        <v>0.60170437548986455</v>
      </c>
      <c r="Y82">
        <f ca="1"/>
        <v>1</v>
      </c>
      <c r="Z82">
        <f ca="1"/>
        <v>1.7705978864165672</v>
      </c>
      <c r="AA82">
        <f ca="1"/>
        <v>0</v>
      </c>
      <c r="AB82">
        <f ca="1"/>
        <v>0.99999999909363235</v>
      </c>
      <c r="AD82" s="2">
        <f t="shared" ca="1" si="12"/>
        <v>45439</v>
      </c>
      <c r="AE82">
        <f t="shared" ca="1" si="13"/>
        <v>0</v>
      </c>
      <c r="AG82" s="63">
        <f t="shared" ca="1" si="17"/>
        <v>53.650522587734464</v>
      </c>
      <c r="AH82" s="63">
        <f t="shared" ca="1" si="18"/>
        <v>53.650522587734464</v>
      </c>
      <c r="AI82" s="3">
        <f t="shared" ca="1" si="19"/>
        <v>0</v>
      </c>
    </row>
    <row r="83" spans="7:35">
      <c r="G83" s="3">
        <f t="shared" ca="1" si="14"/>
        <v>104</v>
      </c>
      <c r="H83" s="95">
        <f t="shared" ca="1" si="16"/>
        <v>45394</v>
      </c>
      <c r="I83" s="119">
        <f ca="1">HLOOKUP($H$4,'Met Data'!$A$2:$F$368,G83,FALSE)</f>
        <v>14.675000000000001</v>
      </c>
      <c r="J83" s="119">
        <f ca="1">HLOOKUP($H$4,'Met Data'!$H$2:$M$368,G83,FALSE)*L83</f>
        <v>4.5166666666666604</v>
      </c>
      <c r="K83" s="96">
        <f ca="1">HLOOKUP($H$4,'Met Data'!$O$2:$T$368,G83,FALSE)</f>
        <v>1.6971366028359001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45440</v>
      </c>
      <c r="Q83">
        <f ca="1"/>
        <v>43.409839622982659</v>
      </c>
      <c r="R83">
        <f ca="1"/>
        <v>4.9789044139702696</v>
      </c>
      <c r="S83">
        <f ca="1"/>
        <v>1.591481677493789E-2</v>
      </c>
      <c r="T83">
        <f ca="1"/>
        <v>0.73632726096711176</v>
      </c>
      <c r="U83">
        <f ca="1"/>
        <v>0</v>
      </c>
      <c r="V83">
        <f ca="1"/>
        <v>205.48590596402681</v>
      </c>
      <c r="W83">
        <f ca="1"/>
        <v>83.822922013297642</v>
      </c>
      <c r="X83">
        <f ca="1"/>
        <v>0.65529782108499146</v>
      </c>
      <c r="Y83">
        <f ca="1"/>
        <v>1</v>
      </c>
      <c r="Z83">
        <f ca="1"/>
        <v>2.1451650160618456</v>
      </c>
      <c r="AA83">
        <f ca="1"/>
        <v>0</v>
      </c>
      <c r="AB83">
        <f ca="1"/>
        <v>0.99999999935024952</v>
      </c>
      <c r="AD83" s="2">
        <f t="shared" ca="1" si="12"/>
        <v>45440</v>
      </c>
      <c r="AE83">
        <f t="shared" ca="1" si="13"/>
        <v>0</v>
      </c>
      <c r="AG83" s="63">
        <f t="shared" ca="1" si="17"/>
        <v>49.044041858037922</v>
      </c>
      <c r="AH83" s="63">
        <f t="shared" ca="1" si="18"/>
        <v>49.044041858037922</v>
      </c>
      <c r="AI83" s="3">
        <f t="shared" ca="1" si="19"/>
        <v>0</v>
      </c>
    </row>
    <row r="84" spans="7:35">
      <c r="G84" s="3">
        <f t="shared" ca="1" si="14"/>
        <v>105</v>
      </c>
      <c r="H84" s="95">
        <f t="shared" ca="1" si="16"/>
        <v>45395</v>
      </c>
      <c r="I84" s="119">
        <f ca="1">HLOOKUP($H$4,'Met Data'!$A$2:$F$368,G84,FALSE)</f>
        <v>13.504166666666601</v>
      </c>
      <c r="J84" s="119">
        <f ca="1">HLOOKUP($H$4,'Met Data'!$H$2:$M$368,G84,FALSE)*L84</f>
        <v>4.5</v>
      </c>
      <c r="K84" s="96">
        <f ca="1">HLOOKUP($H$4,'Met Data'!$O$2:$T$368,G84,FALSE)</f>
        <v>1.6970685904410301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45441</v>
      </c>
      <c r="Q84">
        <f ca="1"/>
        <v>39.409145809156556</v>
      </c>
      <c r="R84">
        <f ca="1"/>
        <v>4.4340676988740029</v>
      </c>
      <c r="S84">
        <f ca="1"/>
        <v>1.4145802554679676E-2</v>
      </c>
      <c r="T84">
        <f ca="1"/>
        <v>0.65901021315056518</v>
      </c>
      <c r="U84">
        <f ca="1"/>
        <v>0</v>
      </c>
      <c r="V84">
        <f ca="1"/>
        <v>209.91997366290082</v>
      </c>
      <c r="W84">
        <f ca="1"/>
        <v>85.631690888129697</v>
      </c>
      <c r="X84">
        <f ca="1"/>
        <v>0.2397821306573435</v>
      </c>
      <c r="Y84">
        <f ca="1"/>
        <v>1</v>
      </c>
      <c r="Z84">
        <f ca="1"/>
        <v>0.86462931580987146</v>
      </c>
      <c r="AA84">
        <f ca="1"/>
        <v>0</v>
      </c>
      <c r="AB84">
        <f ca="1"/>
        <v>0.99999999951759211</v>
      </c>
      <c r="AD84" s="2">
        <f t="shared" ca="1" si="12"/>
        <v>45441</v>
      </c>
      <c r="AE84">
        <f t="shared" ca="1" si="13"/>
        <v>0</v>
      </c>
      <c r="AG84" s="63">
        <f t="shared" ca="1" si="17"/>
        <v>44.082995638687905</v>
      </c>
      <c r="AH84" s="63">
        <f t="shared" ca="1" si="18"/>
        <v>44.082995638687905</v>
      </c>
      <c r="AI84" s="3">
        <f t="shared" ca="1" si="19"/>
        <v>0</v>
      </c>
    </row>
    <row r="85" spans="7:35">
      <c r="G85" s="3">
        <f t="shared" ca="1" si="14"/>
        <v>106</v>
      </c>
      <c r="H85" s="95">
        <f t="shared" ca="1" si="16"/>
        <v>45396</v>
      </c>
      <c r="I85" s="119">
        <f ca="1">HLOOKUP($H$4,'Met Data'!$A$2:$F$368,G85,FALSE)</f>
        <v>13.779166666666599</v>
      </c>
      <c r="J85" s="119">
        <f ca="1">HLOOKUP($H$4,'Met Data'!$H$2:$M$368,G85,FALSE)*L85</f>
        <v>0.9</v>
      </c>
      <c r="K85" s="96">
        <f ca="1">HLOOKUP($H$4,'Met Data'!$O$2:$T$368,G85,FALSE)</f>
        <v>2.0649391337631702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45442</v>
      </c>
      <c r="Q85">
        <f ca="1"/>
        <v>34.77111925849001</v>
      </c>
      <c r="R85">
        <f ca="1"/>
        <v>4.4343463509036667</v>
      </c>
      <c r="S85">
        <f ca="1"/>
        <v>1.4137336057871153E-2</v>
      </c>
      <c r="T85">
        <f ca="1"/>
        <v>0.66256877154914895</v>
      </c>
      <c r="U85">
        <f ca="1"/>
        <v>0</v>
      </c>
      <c r="V85">
        <f ca="1"/>
        <v>214.35432001380448</v>
      </c>
      <c r="W85">
        <f ca="1"/>
        <v>87.440573432204616</v>
      </c>
      <c r="X85">
        <f ca="1"/>
        <v>0.88038630736989731</v>
      </c>
      <c r="Y85">
        <f ca="1"/>
        <v>1</v>
      </c>
      <c r="Z85">
        <f ca="1"/>
        <v>3.5980299328115279</v>
      </c>
      <c r="AA85">
        <f ca="1"/>
        <v>0</v>
      </c>
      <c r="AB85">
        <f ca="1"/>
        <v>0.99999999964243336</v>
      </c>
      <c r="AD85" s="2">
        <f t="shared" ca="1" si="12"/>
        <v>45442</v>
      </c>
      <c r="AE85">
        <f t="shared" ca="1" si="13"/>
        <v>0</v>
      </c>
      <c r="AG85" s="63">
        <f t="shared" ca="1" si="17"/>
        <v>40.085851916763573</v>
      </c>
      <c r="AH85" s="63">
        <f t="shared" ca="1" si="18"/>
        <v>40.085851916763573</v>
      </c>
      <c r="AI85" s="3">
        <f t="shared" ca="1" si="19"/>
        <v>0</v>
      </c>
    </row>
    <row r="86" spans="7:35">
      <c r="G86" s="3">
        <f t="shared" ca="1" si="14"/>
        <v>107</v>
      </c>
      <c r="H86" s="95">
        <f t="shared" ca="1" si="16"/>
        <v>45397</v>
      </c>
      <c r="I86" s="119">
        <f ca="1">HLOOKUP($H$4,'Met Data'!$A$2:$F$368,G86,FALSE)</f>
        <v>13.920833333333301</v>
      </c>
      <c r="J86" s="119">
        <f ca="1">HLOOKUP($H$4,'Met Data'!$H$2:$M$368,G86,FALSE)*L86</f>
        <v>7.6</v>
      </c>
      <c r="K86" s="96">
        <f ca="1">HLOOKUP($H$4,'Met Data'!$O$2:$T$368,G86,FALSE)</f>
        <v>1.7084212444020199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45443</v>
      </c>
      <c r="Q86">
        <f ca="1"/>
        <v>30.645508015855658</v>
      </c>
      <c r="R86">
        <f ca="1"/>
        <v>4.5347037121665892</v>
      </c>
      <c r="S86">
        <f ca="1"/>
        <v>1.4463430850128134E-2</v>
      </c>
      <c r="T86">
        <f ca="1"/>
        <v>0.68166183666182911</v>
      </c>
      <c r="U86">
        <f ca="1"/>
        <v>0</v>
      </c>
      <c r="V86">
        <f ca="1"/>
        <v>218.88902372597107</v>
      </c>
      <c r="W86">
        <f ca="1"/>
        <v>89.290394293811033</v>
      </c>
      <c r="X86">
        <f ca="1"/>
        <v>0.28703279797972292</v>
      </c>
      <c r="Y86">
        <f ca="1"/>
        <v>1</v>
      </c>
      <c r="Z86">
        <f ca="1"/>
        <v>1.330990214642604</v>
      </c>
      <c r="AA86">
        <f ca="1"/>
        <v>0</v>
      </c>
      <c r="AB86">
        <f ca="1"/>
        <v>0.99999999973730525</v>
      </c>
      <c r="AD86" s="2">
        <f t="shared" ca="1" si="12"/>
        <v>45443</v>
      </c>
      <c r="AE86">
        <f t="shared" ca="1" si="13"/>
        <v>0</v>
      </c>
      <c r="AG86" s="63">
        <f t="shared" ca="1" si="17"/>
        <v>35.46724452600197</v>
      </c>
      <c r="AH86" s="63">
        <f t="shared" ca="1" si="18"/>
        <v>35.467244526001963</v>
      </c>
      <c r="AI86" s="3">
        <f t="shared" ca="1" si="19"/>
        <v>0</v>
      </c>
    </row>
    <row r="87" spans="7:35">
      <c r="G87" s="3">
        <f t="shared" ca="1" si="14"/>
        <v>108</v>
      </c>
      <c r="H87" s="95">
        <f t="shared" ca="1" si="16"/>
        <v>45398</v>
      </c>
      <c r="I87" s="119">
        <f ca="1">HLOOKUP($H$4,'Met Data'!$A$2:$F$368,G87,FALSE)</f>
        <v>13.6416666666666</v>
      </c>
      <c r="J87" s="119">
        <f ca="1">HLOOKUP($H$4,'Met Data'!$H$2:$M$368,G87,FALSE)*L87</f>
        <v>3.44999999999999</v>
      </c>
      <c r="K87" s="96">
        <f ca="1">HLOOKUP($H$4,'Met Data'!$O$2:$T$368,G87,FALSE)</f>
        <v>1.46996077972592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45444</v>
      </c>
      <c r="Q87">
        <f ca="1"/>
        <v>81.46950664306631</v>
      </c>
      <c r="R87">
        <f ca="1"/>
        <v>4.4945896408262911</v>
      </c>
      <c r="S87">
        <f ca="1"/>
        <v>1.4375969375379327E-2</v>
      </c>
      <c r="T87">
        <f ca="1"/>
        <v>0.6811035422960201</v>
      </c>
      <c r="U87">
        <f ca="1"/>
        <v>55.625351065830685</v>
      </c>
      <c r="V87">
        <f ca="1"/>
        <v>223.38361336679736</v>
      </c>
      <c r="W87">
        <f ca="1"/>
        <v>91.123851606502413</v>
      </c>
      <c r="X87">
        <f ca="1"/>
        <v>1.002242309465138</v>
      </c>
      <c r="Y87">
        <f ca="1"/>
        <v>1</v>
      </c>
      <c r="Z87">
        <f ca="1"/>
        <v>1.7552437564817325</v>
      </c>
      <c r="AA87">
        <f ca="1"/>
        <v>0</v>
      </c>
      <c r="AB87">
        <f ca="1"/>
        <v>0.99999999980695553</v>
      </c>
      <c r="AD87" s="2">
        <f t="shared" ca="1" si="12"/>
        <v>45444</v>
      </c>
      <c r="AE87">
        <f t="shared" ca="1" si="13"/>
        <v>55.625351065830685</v>
      </c>
      <c r="AG87" s="63">
        <f t="shared" ca="1" si="17"/>
        <v>86.966338593357747</v>
      </c>
      <c r="AH87" s="63">
        <f t="shared" ca="1" si="18"/>
        <v>86.966338593357733</v>
      </c>
      <c r="AI87" s="3">
        <f t="shared" ca="1" si="19"/>
        <v>0</v>
      </c>
    </row>
    <row r="88" spans="7:35">
      <c r="G88" s="3">
        <f t="shared" ca="1" si="14"/>
        <v>109</v>
      </c>
      <c r="H88" s="95">
        <f t="shared" ca="1" si="16"/>
        <v>45399</v>
      </c>
      <c r="I88" s="119">
        <f ca="1">HLOOKUP($H$4,'Met Data'!$A$2:$F$368,G88,FALSE)</f>
        <v>13.6833333333333</v>
      </c>
      <c r="J88" s="119">
        <f ca="1">HLOOKUP($H$4,'Met Data'!$H$2:$M$368,G88,FALSE)*L88</f>
        <v>2.4166666666666599</v>
      </c>
      <c r="K88" s="96">
        <f ca="1">HLOOKUP($H$4,'Met Data'!$O$2:$T$368,G88,FALSE)</f>
        <v>1.64274717869015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45445</v>
      </c>
      <c r="Q88">
        <f ca="1"/>
        <v>77.305699149119278</v>
      </c>
      <c r="R88">
        <f ca="1"/>
        <v>4.4108279671831667</v>
      </c>
      <c r="S88">
        <f ca="1"/>
        <v>1.4172197674781728E-2</v>
      </c>
      <c r="T88">
        <f ca="1"/>
        <v>0.67470408554641381</v>
      </c>
      <c r="U88">
        <f ca="1"/>
        <v>0</v>
      </c>
      <c r="V88">
        <f ca="1"/>
        <v>227.79444133398053</v>
      </c>
      <c r="W88">
        <f ca="1"/>
        <v>92.923140404304391</v>
      </c>
      <c r="X88">
        <f ca="1"/>
        <v>0.44185580998506124</v>
      </c>
      <c r="Y88">
        <f ca="1"/>
        <v>1</v>
      </c>
      <c r="Z88">
        <f ca="1"/>
        <v>0.81223036395612525</v>
      </c>
      <c r="AA88">
        <f ca="1"/>
        <v>0</v>
      </c>
      <c r="AB88">
        <f ca="1"/>
        <v>0.99999999985771915</v>
      </c>
      <c r="AD88" s="2">
        <f t="shared" ca="1" si="12"/>
        <v>45445</v>
      </c>
      <c r="AE88">
        <f t="shared" ca="1" si="13"/>
        <v>0</v>
      </c>
      <c r="AG88" s="63">
        <f t="shared" ca="1" si="17"/>
        <v>82.158382926287501</v>
      </c>
      <c r="AH88" s="63">
        <f t="shared" ca="1" si="18"/>
        <v>82.158382926287501</v>
      </c>
      <c r="AI88" s="3">
        <f t="shared" ca="1" si="19"/>
        <v>0</v>
      </c>
    </row>
    <row r="89" spans="7:35">
      <c r="G89" s="3">
        <f t="shared" ca="1" si="14"/>
        <v>110</v>
      </c>
      <c r="H89" s="95">
        <f t="shared" ca="1" si="16"/>
        <v>45400</v>
      </c>
      <c r="I89" s="119">
        <f ca="1">HLOOKUP($H$4,'Met Data'!$A$2:$F$368,G89,FALSE)</f>
        <v>12.945833333333301</v>
      </c>
      <c r="J89" s="119">
        <f ca="1">HLOOKUP($H$4,'Met Data'!$H$2:$M$368,G89,FALSE)*L89</f>
        <v>1.5999999999999901</v>
      </c>
      <c r="K89" s="96">
        <f ca="1">HLOOKUP($H$4,'Met Data'!$O$2:$T$368,G89,FALSE)</f>
        <v>1.70342846945819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45446</v>
      </c>
      <c r="Q89">
        <f ca="1"/>
        <v>72.482737292027792</v>
      </c>
      <c r="R89">
        <f ca="1"/>
        <v>4.8259068296924568</v>
      </c>
      <c r="S89">
        <f ca="1"/>
        <v>1.5615606087266087E-2</v>
      </c>
      <c r="T89">
        <f ca="1"/>
        <v>0.74693109311786077</v>
      </c>
      <c r="U89">
        <f ca="1"/>
        <v>0</v>
      </c>
      <c r="V89">
        <f ca="1"/>
        <v>232.62034816367299</v>
      </c>
      <c r="W89">
        <f ca="1"/>
        <v>94.891750416416713</v>
      </c>
      <c r="X89">
        <f ca="1"/>
        <v>0.75960172660416292</v>
      </c>
      <c r="Y89">
        <f ca="1"/>
        <v>1</v>
      </c>
      <c r="Z89">
        <f ca="1"/>
        <v>1.4892291225065009</v>
      </c>
      <c r="AA89">
        <f ca="1"/>
        <v>0</v>
      </c>
      <c r="AB89">
        <f ca="1"/>
        <v>0.99999999989847321</v>
      </c>
      <c r="AD89" s="2">
        <f t="shared" ca="1" si="12"/>
        <v>45446</v>
      </c>
      <c r="AE89">
        <f t="shared" ca="1" si="13"/>
        <v>0</v>
      </c>
      <c r="AG89" s="63">
        <f t="shared" ca="1" si="17"/>
        <v>78.068245848324409</v>
      </c>
      <c r="AH89" s="63">
        <f t="shared" ca="1" si="18"/>
        <v>78.068245848324409</v>
      </c>
      <c r="AI89" s="3">
        <f t="shared" ca="1" si="19"/>
        <v>0</v>
      </c>
    </row>
    <row r="90" spans="7:35">
      <c r="G90" s="3">
        <f t="shared" ca="1" si="14"/>
        <v>111</v>
      </c>
      <c r="H90" s="95">
        <f t="shared" ca="1" si="16"/>
        <v>45401</v>
      </c>
      <c r="I90" s="119">
        <f ca="1">HLOOKUP($H$4,'Met Data'!$A$2:$F$368,G90,FALSE)</f>
        <v>14.2875</v>
      </c>
      <c r="J90" s="119">
        <f ca="1">HLOOKUP($H$4,'Met Data'!$H$2:$M$368,G90,FALSE)*L90</f>
        <v>1.1499999999999999</v>
      </c>
      <c r="K90" s="96">
        <f ca="1">HLOOKUP($H$4,'Met Data'!$O$2:$T$368,G90,FALSE)</f>
        <v>1.68674688590323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45447</v>
      </c>
      <c r="Q90">
        <f ca="1"/>
        <v>67.023344611206966</v>
      </c>
      <c r="R90">
        <f ca="1"/>
        <v>4.6512719107496991</v>
      </c>
      <c r="S90">
        <f ca="1"/>
        <v>1.5159674377741794E-2</v>
      </c>
      <c r="T90">
        <f ca="1"/>
        <v>0.72843713392516851</v>
      </c>
      <c r="U90">
        <f ca="1"/>
        <v>0</v>
      </c>
      <c r="V90">
        <f ca="1"/>
        <v>237.27162007442269</v>
      </c>
      <c r="W90">
        <f ca="1"/>
        <v>96.789122407981282</v>
      </c>
      <c r="X90">
        <f ca="1"/>
        <v>1.5517175783740433</v>
      </c>
      <c r="Y90">
        <f ca="1"/>
        <v>1</v>
      </c>
      <c r="Z90">
        <f ca="1"/>
        <v>3.2900064313517348</v>
      </c>
      <c r="AA90">
        <f ca="1"/>
        <v>0</v>
      </c>
      <c r="AB90">
        <f ca="1"/>
        <v>0.99999999992696531</v>
      </c>
      <c r="AD90" s="2">
        <f t="shared" ca="1" si="12"/>
        <v>45447</v>
      </c>
      <c r="AE90">
        <f t="shared" ca="1" si="13"/>
        <v>0</v>
      </c>
      <c r="AG90" s="63">
        <f t="shared" ca="1" si="17"/>
        <v>73.226334100330703</v>
      </c>
      <c r="AH90" s="63">
        <f t="shared" ca="1" si="18"/>
        <v>73.226334100330703</v>
      </c>
      <c r="AI90" s="3">
        <f t="shared" ca="1" si="19"/>
        <v>0</v>
      </c>
    </row>
    <row r="91" spans="7:35">
      <c r="G91" s="3">
        <f t="shared" ca="1" si="14"/>
        <v>112</v>
      </c>
      <c r="H91" s="95">
        <f t="shared" ca="1" si="16"/>
        <v>45402</v>
      </c>
      <c r="I91" s="119">
        <f ca="1">HLOOKUP($H$4,'Met Data'!$A$2:$F$368,G91,FALSE)</f>
        <v>14.275</v>
      </c>
      <c r="J91" s="119">
        <f ca="1">HLOOKUP($H$4,'Met Data'!$H$2:$M$368,G91,FALSE)*L91</f>
        <v>2.0833333333333299</v>
      </c>
      <c r="K91" s="96">
        <f ca="1">HLOOKUP($H$4,'Met Data'!$O$2:$T$368,G91,FALSE)</f>
        <v>1.5152419322458901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45448</v>
      </c>
      <c r="Q91">
        <f ca="1"/>
        <v>61.338308141421606</v>
      </c>
      <c r="R91">
        <f ca="1"/>
        <v>4.5344668270205375</v>
      </c>
      <c r="S91">
        <f ca="1"/>
        <v>1.4915790597541445E-2</v>
      </c>
      <c r="T91">
        <f ca="1"/>
        <v>0.71973328284684113</v>
      </c>
      <c r="U91">
        <f ca="1"/>
        <v>0</v>
      </c>
      <c r="V91">
        <f ca="1"/>
        <v>241.80608690144322</v>
      </c>
      <c r="W91">
        <f ca="1"/>
        <v>98.63884663811784</v>
      </c>
      <c r="X91">
        <f ca="1"/>
        <v>1.8852187162092122</v>
      </c>
      <c r="Y91">
        <f ca="1"/>
        <v>1</v>
      </c>
      <c r="Z91">
        <f ca="1"/>
        <v>4.3675724012378936</v>
      </c>
      <c r="AA91">
        <f ca="1"/>
        <v>0</v>
      </c>
      <c r="AB91">
        <f ca="1"/>
        <v>0.99999999994725886</v>
      </c>
      <c r="AD91" s="2">
        <f t="shared" ca="1" si="12"/>
        <v>45448</v>
      </c>
      <c r="AE91">
        <f t="shared" ca="1" si="13"/>
        <v>0</v>
      </c>
      <c r="AG91" s="63">
        <f t="shared" ca="1" si="17"/>
        <v>67.757993684651353</v>
      </c>
      <c r="AH91" s="63">
        <f t="shared" ca="1" si="18"/>
        <v>67.757993684651353</v>
      </c>
      <c r="AI91" s="3">
        <f t="shared" ca="1" si="19"/>
        <v>0</v>
      </c>
    </row>
    <row r="92" spans="7:35">
      <c r="G92" s="3">
        <f t="shared" ca="1" si="14"/>
        <v>113</v>
      </c>
      <c r="H92" s="95">
        <f t="shared" ca="1" si="16"/>
        <v>45403</v>
      </c>
      <c r="I92" s="119">
        <f ca="1">HLOOKUP($H$4,'Met Data'!$A$2:$F$368,G92,FALSE)</f>
        <v>13.595833333333299</v>
      </c>
      <c r="J92" s="119">
        <f ca="1">HLOOKUP($H$4,'Met Data'!$H$2:$M$368,G92,FALSE)*L92</f>
        <v>0.76666666666666605</v>
      </c>
      <c r="K92" s="96">
        <f ca="1">HLOOKUP($H$4,'Met Data'!$O$2:$T$368,G92,FALSE)</f>
        <v>1.65518894118648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45449</v>
      </c>
      <c r="Q92">
        <f ca="1"/>
        <v>57.057622796677514</v>
      </c>
      <c r="R92">
        <f ca="1"/>
        <v>4.4256676157643255</v>
      </c>
      <c r="S92">
        <f ca="1"/>
        <v>1.4714579841495379E-2</v>
      </c>
      <c r="T92">
        <f ca="1"/>
        <v>0.7128178345085342</v>
      </c>
      <c r="U92">
        <f ca="1"/>
        <v>0</v>
      </c>
      <c r="V92">
        <f ca="1"/>
        <v>246.23175451720755</v>
      </c>
      <c r="W92">
        <f ca="1"/>
        <v>100.44418890562079</v>
      </c>
      <c r="X92">
        <f ca="1"/>
        <v>0.58255014332979382</v>
      </c>
      <c r="Y92">
        <f ca="1"/>
        <v>1</v>
      </c>
      <c r="Z92">
        <f ca="1"/>
        <v>1.4508743505761714</v>
      </c>
      <c r="AA92">
        <f ca="1"/>
        <v>0</v>
      </c>
      <c r="AB92">
        <f ca="1"/>
        <v>0.99999999996179589</v>
      </c>
      <c r="AD92" s="2">
        <f t="shared" ca="1" si="12"/>
        <v>45449</v>
      </c>
      <c r="AE92">
        <f t="shared" ca="1" si="13"/>
        <v>0</v>
      </c>
      <c r="AG92" s="63">
        <f t="shared" ca="1" si="17"/>
        <v>62.065840555771636</v>
      </c>
      <c r="AH92" s="63">
        <f t="shared" ca="1" si="18"/>
        <v>62.065840555771636</v>
      </c>
      <c r="AI92" s="3">
        <f t="shared" ca="1" si="19"/>
        <v>0</v>
      </c>
    </row>
    <row r="93" spans="7:35">
      <c r="G93" s="3">
        <f t="shared" ca="1" si="14"/>
        <v>114</v>
      </c>
      <c r="H93" s="95">
        <f t="shared" ca="1" si="16"/>
        <v>45404</v>
      </c>
      <c r="I93" s="119">
        <f ca="1">HLOOKUP($H$4,'Met Data'!$A$2:$F$368,G93,FALSE)</f>
        <v>13.9125</v>
      </c>
      <c r="J93" s="119">
        <f ca="1">HLOOKUP($H$4,'Met Data'!$H$2:$M$368,G93,FALSE)*L93</f>
        <v>0.3</v>
      </c>
      <c r="K93" s="96">
        <f ca="1">HLOOKUP($H$4,'Met Data'!$O$2:$T$368,G93,FALSE)</f>
        <v>1.66585763602601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45450</v>
      </c>
      <c r="Q93">
        <f ca="1"/>
        <v>53.486480844318898</v>
      </c>
      <c r="R93">
        <f ca="1"/>
        <v>3.9942635819770373</v>
      </c>
      <c r="S93">
        <f ca="1"/>
        <v>1.3454349265742849E-2</v>
      </c>
      <c r="T93">
        <f ca="1"/>
        <v>0.6541031798344823</v>
      </c>
      <c r="U93">
        <f ca="1"/>
        <v>0</v>
      </c>
      <c r="V93">
        <f ca="1"/>
        <v>250.22601809918459</v>
      </c>
      <c r="W93">
        <f ca="1"/>
        <v>102.07355050666035</v>
      </c>
      <c r="X93">
        <f ca="1"/>
        <v>0.24443589948180308</v>
      </c>
      <c r="Y93">
        <f ca="1"/>
        <v>1</v>
      </c>
      <c r="Z93">
        <f ca="1"/>
        <v>0.64942817835037658</v>
      </c>
      <c r="AA93">
        <f ca="1"/>
        <v>0</v>
      </c>
      <c r="AB93">
        <f ca="1"/>
        <v>0.99999999997156963</v>
      </c>
      <c r="AD93" s="2">
        <f t="shared" ca="1" si="12"/>
        <v>45450</v>
      </c>
      <c r="AE93">
        <f t="shared" ca="1" si="13"/>
        <v>0</v>
      </c>
      <c r="AG93" s="63">
        <f t="shared" ca="1" si="17"/>
        <v>57.725180325777735</v>
      </c>
      <c r="AH93" s="63">
        <f t="shared" ca="1" si="18"/>
        <v>57.725180325777735</v>
      </c>
      <c r="AI93" s="3">
        <f t="shared" ca="1" si="19"/>
        <v>0</v>
      </c>
    </row>
    <row r="94" spans="7:35">
      <c r="G94" s="3">
        <f t="shared" ca="1" si="14"/>
        <v>115</v>
      </c>
      <c r="H94" s="95">
        <f t="shared" ca="1" si="16"/>
        <v>45405</v>
      </c>
      <c r="I94" s="119">
        <f ca="1">HLOOKUP($H$4,'Met Data'!$A$2:$F$368,G94,FALSE)</f>
        <v>14.820833333333301</v>
      </c>
      <c r="J94" s="119">
        <f ca="1">HLOOKUP($H$4,'Met Data'!$H$2:$M$368,G94,FALSE)*L94</f>
        <v>2.5333333333333301</v>
      </c>
      <c r="K94" s="96">
        <f ca="1">HLOOKUP($H$4,'Met Data'!$O$2:$T$368,G94,FALSE)</f>
        <v>1.5754379638326901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45451</v>
      </c>
      <c r="Q94">
        <f ca="1"/>
        <v>50.042764238840576</v>
      </c>
      <c r="R94">
        <f ca="1"/>
        <v>3.8917760649316051</v>
      </c>
      <c r="S94">
        <f ca="1"/>
        <v>1.3276938932222038E-2</v>
      </c>
      <c r="T94">
        <f ca="1"/>
        <v>0.64759691239393802</v>
      </c>
      <c r="U94">
        <f ca="1"/>
        <v>0</v>
      </c>
      <c r="V94">
        <f ca="1"/>
        <v>254.11779416411619</v>
      </c>
      <c r="W94">
        <f ca="1"/>
        <v>103.66110484550192</v>
      </c>
      <c r="X94">
        <f ca="1"/>
        <v>0.21281439187287454</v>
      </c>
      <c r="Y94">
        <f ca="1"/>
        <v>1</v>
      </c>
      <c r="Z94">
        <f ca="1"/>
        <v>0.60432403407104118</v>
      </c>
      <c r="AA94">
        <f ca="1"/>
        <v>0</v>
      </c>
      <c r="AB94">
        <f ca="1"/>
        <v>0.99999999997877764</v>
      </c>
      <c r="AD94" s="2">
        <f t="shared" ca="1" si="12"/>
        <v>45451</v>
      </c>
      <c r="AE94">
        <f t="shared" ca="1" si="13"/>
        <v>0</v>
      </c>
      <c r="AG94" s="63">
        <f t="shared" ca="1" si="17"/>
        <v>54.147354695645056</v>
      </c>
      <c r="AH94" s="63">
        <f t="shared" ca="1" si="18"/>
        <v>54.147354695645056</v>
      </c>
      <c r="AI94" s="3">
        <f t="shared" ca="1" si="19"/>
        <v>0</v>
      </c>
    </row>
    <row r="95" spans="7:35">
      <c r="G95" s="3">
        <f t="shared" ca="1" si="14"/>
        <v>116</v>
      </c>
      <c r="H95" s="95">
        <f t="shared" ca="1" si="16"/>
        <v>45406</v>
      </c>
      <c r="I95" s="119">
        <f ca="1">HLOOKUP($H$4,'Met Data'!$A$2:$F$368,G95,FALSE)</f>
        <v>14.4166666666666</v>
      </c>
      <c r="J95" s="119">
        <f ca="1">HLOOKUP($H$4,'Met Data'!$H$2:$M$368,G95,FALSE)*L95</f>
        <v>7.3833333333333302</v>
      </c>
      <c r="K95" s="96">
        <f ca="1">HLOOKUP($H$4,'Met Data'!$O$2:$T$368,G95,FALSE)</f>
        <v>1.4622003711311999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45452</v>
      </c>
      <c r="Q95">
        <f ca="1"/>
        <v>45.11786814052013</v>
      </c>
      <c r="R95">
        <f ca="1"/>
        <v>4.3928903779291488</v>
      </c>
      <c r="S95">
        <f ca="1"/>
        <v>1.5189170934746699E-2</v>
      </c>
      <c r="T95">
        <f ca="1"/>
        <v>0.74338584738824542</v>
      </c>
      <c r="U95">
        <f ca="1"/>
        <v>0</v>
      </c>
      <c r="V95">
        <f ca="1"/>
        <v>258.51068454204534</v>
      </c>
      <c r="W95">
        <f ca="1"/>
        <v>105.45307644489026</v>
      </c>
      <c r="X95">
        <f ca="1"/>
        <v>1.2905807387142896</v>
      </c>
      <c r="Y95">
        <f ca="1"/>
        <v>1</v>
      </c>
      <c r="Z95">
        <f ca="1"/>
        <v>4.0648710380177562</v>
      </c>
      <c r="AA95">
        <f ca="1"/>
        <v>0</v>
      </c>
      <c r="AB95">
        <f ca="1"/>
        <v>0.99999999998483324</v>
      </c>
      <c r="AD95" s="2">
        <f t="shared" ca="1" si="12"/>
        <v>45452</v>
      </c>
      <c r="AE95">
        <f t="shared" ca="1" si="13"/>
        <v>0</v>
      </c>
      <c r="AG95" s="63">
        <f t="shared" ca="1" si="17"/>
        <v>50.801339257163569</v>
      </c>
      <c r="AH95" s="63">
        <f t="shared" ca="1" si="18"/>
        <v>50.801339257163569</v>
      </c>
      <c r="AI95" s="3">
        <f t="shared" ca="1" si="19"/>
        <v>0</v>
      </c>
    </row>
    <row r="96" spans="7:35">
      <c r="G96" s="3">
        <f t="shared" ca="1" si="14"/>
        <v>117</v>
      </c>
      <c r="H96" s="95">
        <f t="shared" ca="1" si="16"/>
        <v>45407</v>
      </c>
      <c r="I96" s="119">
        <f ca="1">HLOOKUP($H$4,'Met Data'!$A$2:$F$368,G96,FALSE)</f>
        <v>13.9375</v>
      </c>
      <c r="J96" s="119">
        <f ca="1">HLOOKUP($H$4,'Met Data'!$H$2:$M$368,G96,FALSE)*L96</f>
        <v>0.7</v>
      </c>
      <c r="K96" s="96">
        <f ca="1">HLOOKUP($H$4,'Met Data'!$O$2:$T$368,G96,FALSE)</f>
        <v>1.4965322621758601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45453</v>
      </c>
      <c r="Q96">
        <f ca="1"/>
        <v>39.787002878789778</v>
      </c>
      <c r="R96">
        <f ca="1"/>
        <v>4.303727380708267</v>
      </c>
      <c r="S96">
        <f ca="1"/>
        <v>1.5129037225250386E-2</v>
      </c>
      <c r="T96">
        <f ca="1"/>
        <v>0.74306407992497425</v>
      </c>
      <c r="U96">
        <f ca="1"/>
        <v>0</v>
      </c>
      <c r="V96">
        <f ca="1"/>
        <v>262.81441192275361</v>
      </c>
      <c r="W96">
        <f ca="1"/>
        <v>107.20867619226544</v>
      </c>
      <c r="X96">
        <f ca="1"/>
        <v>1.785330998172312</v>
      </c>
      <c r="Y96">
        <f ca="1"/>
        <v>1</v>
      </c>
      <c r="Z96">
        <f ca="1"/>
        <v>6.3765781024554613</v>
      </c>
      <c r="AA96">
        <f ca="1"/>
        <v>0</v>
      </c>
      <c r="AB96">
        <f ca="1"/>
        <v>0.99999999998915934</v>
      </c>
      <c r="AD96" s="2">
        <f t="shared" ca="1" si="12"/>
        <v>45453</v>
      </c>
      <c r="AE96">
        <f t="shared" ca="1" si="13"/>
        <v>0</v>
      </c>
      <c r="AG96" s="63">
        <f t="shared" ca="1" si="17"/>
        <v>45.876061257670358</v>
      </c>
      <c r="AH96" s="63">
        <f t="shared" ca="1" si="18"/>
        <v>45.876061257670358</v>
      </c>
      <c r="AI96" s="3">
        <f t="shared" ca="1" si="19"/>
        <v>0</v>
      </c>
    </row>
    <row r="97" spans="7:35">
      <c r="G97" s="3">
        <f t="shared" ca="1" si="14"/>
        <v>118</v>
      </c>
      <c r="H97" s="95">
        <f t="shared" ca="1" si="16"/>
        <v>45408</v>
      </c>
      <c r="I97" s="119">
        <f ca="1">HLOOKUP($H$4,'Met Data'!$A$2:$F$368,G97,FALSE)</f>
        <v>14.8045454545454</v>
      </c>
      <c r="J97" s="119">
        <f ca="1">HLOOKUP($H$4,'Met Data'!$H$2:$M$368,G97,FALSE)*L97</f>
        <v>4.5818181818181802</v>
      </c>
      <c r="K97" s="96">
        <f ca="1">HLOOKUP($H$4,'Met Data'!$O$2:$T$368,G97,FALSE)</f>
        <v>1.5702581753512701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45454</v>
      </c>
      <c r="Q97">
        <f ca="1"/>
        <v>36.042237989298904</v>
      </c>
      <c r="R97">
        <f ca="1"/>
        <v>4.5728679774945249</v>
      </c>
      <c r="S97">
        <f ca="1"/>
        <v>1.6465426867739552E-2</v>
      </c>
      <c r="T97">
        <f ca="1"/>
        <v>0.81163766113591407</v>
      </c>
      <c r="U97">
        <f ca="1"/>
        <v>0</v>
      </c>
      <c r="V97">
        <f ca="1"/>
        <v>267.38727990024813</v>
      </c>
      <c r="W97">
        <f ca="1"/>
        <v>109.07406522737392</v>
      </c>
      <c r="X97">
        <f ca="1"/>
        <v>0</v>
      </c>
      <c r="Y97">
        <f ca="1"/>
        <v>0.9999400014338059</v>
      </c>
      <c r="Z97">
        <f ca="1"/>
        <v>0</v>
      </c>
      <c r="AA97">
        <f ca="1"/>
        <v>0</v>
      </c>
      <c r="AB97">
        <f ca="1"/>
        <v>0.99999999999247313</v>
      </c>
      <c r="AD97" s="2">
        <f t="shared" ca="1" si="12"/>
        <v>45454</v>
      </c>
      <c r="AE97">
        <f t="shared" ca="1" si="13"/>
        <v>0</v>
      </c>
      <c r="AG97" s="63">
        <f t="shared" ca="1" si="17"/>
        <v>40.615105966793429</v>
      </c>
      <c r="AH97" s="63">
        <f t="shared" ca="1" si="18"/>
        <v>40.615105966793429</v>
      </c>
      <c r="AI97" s="3">
        <f t="shared" ca="1" si="19"/>
        <v>0</v>
      </c>
    </row>
    <row r="98" spans="7:35">
      <c r="G98" s="3">
        <f t="shared" ca="1" si="14"/>
        <v>119</v>
      </c>
      <c r="H98" s="95">
        <f t="shared" ca="1" si="16"/>
        <v>45409</v>
      </c>
      <c r="I98" s="119">
        <f ca="1">HLOOKUP($H$4,'Met Data'!$A$2:$F$368,G98,FALSE)</f>
        <v>14.1090909090909</v>
      </c>
      <c r="J98" s="119">
        <f ca="1">HLOOKUP($H$4,'Met Data'!$H$2:$M$368,G98,FALSE)*L98</f>
        <v>5.5454545454545396</v>
      </c>
      <c r="K98" s="96">
        <f ca="1">HLOOKUP($H$4,'Met Data'!$O$2:$T$368,G98,FALSE)</f>
        <v>1.27231342308323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45455</v>
      </c>
      <c r="Q98">
        <f ca="1"/>
        <v>31.791000066454217</v>
      </c>
      <c r="R98">
        <f ca="1"/>
        <v>3.9602870459657424</v>
      </c>
      <c r="S98">
        <f ca="1"/>
        <v>1.445059873452692E-2</v>
      </c>
      <c r="T98">
        <f ca="1"/>
        <v>0.71483047102511066</v>
      </c>
      <c r="U98">
        <f ca="1"/>
        <v>0</v>
      </c>
      <c r="V98">
        <f ca="1"/>
        <v>271.34756694621387</v>
      </c>
      <c r="W98">
        <f ca="1"/>
        <v>110.6895669361012</v>
      </c>
      <c r="X98">
        <f ca="1"/>
        <v>1.0202319466385834</v>
      </c>
      <c r="Y98">
        <f ca="1"/>
        <v>1</v>
      </c>
      <c r="Z98">
        <f ca="1"/>
        <v>4.5604205264416962</v>
      </c>
      <c r="AA98">
        <f ca="1"/>
        <v>0</v>
      </c>
      <c r="AB98">
        <f ca="1"/>
        <v>0.99999999999455258</v>
      </c>
      <c r="AD98" s="2">
        <f t="shared" ca="1" si="12"/>
        <v>45455</v>
      </c>
      <c r="AE98">
        <f t="shared" ca="1" si="13"/>
        <v>0</v>
      </c>
      <c r="AG98" s="63">
        <f t="shared" ca="1" si="17"/>
        <v>36.771519059058541</v>
      </c>
      <c r="AH98" s="63">
        <f t="shared" ca="1" si="18"/>
        <v>36.771519059058541</v>
      </c>
      <c r="AI98" s="3">
        <f t="shared" ca="1" si="19"/>
        <v>0</v>
      </c>
    </row>
    <row r="99" spans="7:35">
      <c r="G99" s="3">
        <f t="shared" ca="1" si="14"/>
        <v>120</v>
      </c>
      <c r="H99" s="95">
        <f t="shared" ca="1" si="16"/>
        <v>45410</v>
      </c>
      <c r="I99" s="119">
        <f ca="1">HLOOKUP($H$4,'Met Data'!$A$2:$F$368,G99,FALSE)</f>
        <v>13.8375</v>
      </c>
      <c r="J99" s="119">
        <f ca="1">HLOOKUP($H$4,'Met Data'!$H$2:$M$368,G99,FALSE)*L99</f>
        <v>4.68333333333333</v>
      </c>
      <c r="K99" s="96">
        <f ca="1">HLOOKUP($H$4,'Met Data'!$O$2:$T$368,G99,FALSE)</f>
        <v>1.5077932055652401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45456</v>
      </c>
      <c r="Q99">
        <f ca="1"/>
        <v>126.44260362895425</v>
      </c>
      <c r="R99">
        <f ca="1"/>
        <v>3.7400407759321297</v>
      </c>
      <c r="S99">
        <f ca="1"/>
        <v>1.3910844183044446E-2</v>
      </c>
      <c r="T99">
        <f ca="1"/>
        <v>0.6903526822510605</v>
      </c>
      <c r="U99">
        <f ca="1"/>
        <v>97.780808545644419</v>
      </c>
      <c r="V99">
        <f ca="1"/>
        <v>275.087607722146</v>
      </c>
      <c r="W99">
        <f ca="1"/>
        <v>112.21522459528099</v>
      </c>
      <c r="X99">
        <f ca="1"/>
        <v>9.342773364636052E-2</v>
      </c>
      <c r="Y99">
        <f ca="1"/>
        <v>1</v>
      </c>
      <c r="Z99">
        <f ca="1"/>
        <v>0.10501842223930424</v>
      </c>
      <c r="AA99">
        <f ca="1"/>
        <v>0</v>
      </c>
      <c r="AB99">
        <f ca="1"/>
        <v>0.99999999999601386</v>
      </c>
      <c r="AD99" s="2">
        <f t="shared" ca="1" si="12"/>
        <v>45456</v>
      </c>
      <c r="AE99">
        <f t="shared" ca="1" si="13"/>
        <v>97.780808545644419</v>
      </c>
      <c r="AG99" s="63">
        <f t="shared" ca="1" si="17"/>
        <v>130.27607213853275</v>
      </c>
      <c r="AH99" s="63">
        <f t="shared" ca="1" si="18"/>
        <v>130.27607213853275</v>
      </c>
      <c r="AI99" s="3">
        <f t="shared" ca="1" si="19"/>
        <v>0</v>
      </c>
    </row>
    <row r="100" spans="7:35">
      <c r="G100" s="3">
        <f t="shared" ca="1" si="14"/>
        <v>121</v>
      </c>
      <c r="H100" s="95">
        <f t="shared" ca="1" si="16"/>
        <v>45411</v>
      </c>
      <c r="I100" s="119">
        <f ca="1">HLOOKUP($H$4,'Met Data'!$A$2:$F$368,G100,FALSE)</f>
        <v>13.6458333333333</v>
      </c>
      <c r="J100" s="119">
        <f ca="1">HLOOKUP($H$4,'Met Data'!$H$2:$M$368,G100,FALSE)*L100</f>
        <v>5.3999999999999897</v>
      </c>
      <c r="K100" s="96">
        <f ca="1">HLOOKUP($H$4,'Met Data'!$O$2:$T$368,G100,FALSE)</f>
        <v>1.60300410285803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45457</v>
      </c>
      <c r="Q100">
        <f ca="1"/>
        <v>122.70194647006988</v>
      </c>
      <c r="R100">
        <f ca="1"/>
        <v>3.2606621315910616</v>
      </c>
      <c r="S100">
        <f ca="1"/>
        <v>1.242170134656817E-2</v>
      </c>
      <c r="T100">
        <f ca="1"/>
        <v>0.61830740793692207</v>
      </c>
      <c r="U100">
        <f ca="1"/>
        <v>0</v>
      </c>
      <c r="V100">
        <f ca="1"/>
        <v>278.34826985373707</v>
      </c>
      <c r="W100">
        <f ca="1"/>
        <v>113.54533152541721</v>
      </c>
      <c r="X100">
        <f ca="1"/>
        <v>1.110724136576799</v>
      </c>
      <c r="Y100">
        <f ca="1"/>
        <v>1</v>
      </c>
      <c r="Z100">
        <f ca="1"/>
        <v>1.2863670892341759</v>
      </c>
      <c r="AA100">
        <f ca="1"/>
        <v>0</v>
      </c>
      <c r="AB100">
        <f ca="1"/>
        <v>0.99999999999698219</v>
      </c>
      <c r="AD100" s="2">
        <f t="shared" ca="1" si="12"/>
        <v>45457</v>
      </c>
      <c r="AE100">
        <f t="shared" ca="1" si="13"/>
        <v>0</v>
      </c>
      <c r="AG100" s="63">
        <f t="shared" ca="1" si="17"/>
        <v>127.07333273823774</v>
      </c>
      <c r="AH100" s="63">
        <f t="shared" ca="1" si="18"/>
        <v>127.07333273823775</v>
      </c>
      <c r="AI100" s="3">
        <f t="shared" ca="1" si="19"/>
        <v>0</v>
      </c>
    </row>
    <row r="101" spans="7:35">
      <c r="G101" s="3">
        <f t="shared" ca="1" si="14"/>
        <v>122</v>
      </c>
      <c r="H101" s="95">
        <f t="shared" ca="1" si="16"/>
        <v>45412</v>
      </c>
      <c r="I101" s="119">
        <f ca="1">HLOOKUP($H$4,'Met Data'!$A$2:$F$368,G101,FALSE)</f>
        <v>11.883333333333301</v>
      </c>
      <c r="J101" s="119">
        <f ca="1">HLOOKUP($H$4,'Met Data'!$H$2:$M$368,G101,FALSE)*L101</f>
        <v>0.25</v>
      </c>
      <c r="K101" s="96">
        <f ca="1">HLOOKUP($H$4,'Met Data'!$O$2:$T$368,G101,FALSE)</f>
        <v>1.67837953393642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45458</v>
      </c>
      <c r="Q101">
        <f ca="1"/>
        <v>118.30179727570265</v>
      </c>
      <c r="R101">
        <f ca="1"/>
        <v>3.5744665238170228</v>
      </c>
      <c r="S101">
        <f ca="1"/>
        <v>1.3815948361155961E-2</v>
      </c>
      <c r="T101">
        <f ca="1"/>
        <v>0.68978986723301106</v>
      </c>
      <c r="U101">
        <f ca="1"/>
        <v>0</v>
      </c>
      <c r="V101">
        <f ca="1"/>
        <v>281.92273637755409</v>
      </c>
      <c r="W101">
        <f ca="1"/>
        <v>115.00344724026097</v>
      </c>
      <c r="X101">
        <f ca="1"/>
        <v>1.5292884861443738</v>
      </c>
      <c r="Y101">
        <f ca="1"/>
        <v>1</v>
      </c>
      <c r="Z101">
        <f ca="1"/>
        <v>1.8369961215502073</v>
      </c>
      <c r="AA101">
        <f ca="1"/>
        <v>0</v>
      </c>
      <c r="AB101">
        <f ca="1"/>
        <v>0.9999999999977911</v>
      </c>
      <c r="AD101" s="2">
        <f t="shared" ca="1" si="12"/>
        <v>45458</v>
      </c>
      <c r="AE101">
        <f t="shared" ca="1" si="13"/>
        <v>0</v>
      </c>
      <c r="AG101" s="63">
        <f t="shared" ca="1" si="17"/>
        <v>123.40555228566406</v>
      </c>
      <c r="AH101" s="63">
        <f t="shared" ca="1" si="18"/>
        <v>123.40555228566404</v>
      </c>
      <c r="AI101" s="3">
        <f t="shared" ca="1" si="19"/>
        <v>0</v>
      </c>
    </row>
    <row r="102" spans="7:35">
      <c r="G102" s="3">
        <f t="shared" ca="1" si="14"/>
        <v>123</v>
      </c>
      <c r="H102" s="95">
        <f t="shared" ca="1" si="16"/>
        <v>45413</v>
      </c>
      <c r="I102" s="119">
        <f ca="1">HLOOKUP($H$4,'Met Data'!$A$2:$F$368,G102,FALSE)</f>
        <v>11.8541666666666</v>
      </c>
      <c r="J102" s="119">
        <f ca="1">HLOOKUP($H$4,'Met Data'!$H$2:$M$368,G102,FALSE)*L102</f>
        <v>0.133333333333333</v>
      </c>
      <c r="K102" s="96">
        <f ca="1">HLOOKUP($H$4,'Met Data'!$O$2:$T$368,G102,FALSE)</f>
        <v>1.44561782365903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45459</v>
      </c>
      <c r="Q102">
        <f ca="1"/>
        <v>114.19096388685837</v>
      </c>
      <c r="R102">
        <f ca="1"/>
        <v>3.5220521775908651</v>
      </c>
      <c r="S102">
        <f ca="1"/>
        <v>1.3912193293322161E-2</v>
      </c>
      <c r="T102">
        <f ca="1"/>
        <v>0.69684605152828705</v>
      </c>
      <c r="U102">
        <f ca="1"/>
        <v>0</v>
      </c>
      <c r="V102">
        <f ca="1"/>
        <v>285.44478855514495</v>
      </c>
      <c r="W102">
        <f ca="1"/>
        <v>116.44018181153928</v>
      </c>
      <c r="X102">
        <f ca="1"/>
        <v>1.299539456075028</v>
      </c>
      <c r="Y102">
        <f ca="1"/>
        <v>1</v>
      </c>
      <c r="Z102">
        <f ca="1"/>
        <v>1.6172154967759411</v>
      </c>
      <c r="AA102">
        <f ca="1"/>
        <v>0</v>
      </c>
      <c r="AB102">
        <f ca="1"/>
        <v>0.9999999999983884</v>
      </c>
      <c r="AD102" s="2">
        <f t="shared" ca="1" si="12"/>
        <v>45459</v>
      </c>
      <c r="AE102">
        <f t="shared" ca="1" si="13"/>
        <v>0</v>
      </c>
      <c r="AG102" s="63">
        <f t="shared" ca="1" si="17"/>
        <v>119.01255552052426</v>
      </c>
      <c r="AH102" s="63">
        <f t="shared" ca="1" si="18"/>
        <v>119.01255552052426</v>
      </c>
      <c r="AI102" s="3">
        <f t="shared" ca="1" si="19"/>
        <v>0</v>
      </c>
    </row>
    <row r="103" spans="7:35">
      <c r="G103" s="3">
        <f t="shared" ca="1" si="14"/>
        <v>124</v>
      </c>
      <c r="H103" s="95">
        <f t="shared" ca="1" si="16"/>
        <v>45414</v>
      </c>
      <c r="I103" s="119">
        <f ca="1">HLOOKUP($H$4,'Met Data'!$A$2:$F$368,G103,FALSE)</f>
        <v>13.0875</v>
      </c>
      <c r="J103" s="119">
        <f ca="1">HLOOKUP($H$4,'Met Data'!$H$2:$M$368,G103,FALSE)*L103</f>
        <v>2.1333333333333302</v>
      </c>
      <c r="K103" s="96">
        <f ca="1">HLOOKUP($H$4,'Met Data'!$O$2:$T$368,G103,FALSE)</f>
        <v>1.4319782957140901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45460</v>
      </c>
      <c r="Q103">
        <f ca="1"/>
        <v>107.84258594214515</v>
      </c>
      <c r="R103">
        <f ca="1"/>
        <v>3.4603534189168386</v>
      </c>
      <c r="S103">
        <f ca="1"/>
        <v>1.398485819819939E-2</v>
      </c>
      <c r="T103">
        <f ca="1"/>
        <v>0.7028085556786331</v>
      </c>
      <c r="U103">
        <f ca="1"/>
        <v>0</v>
      </c>
      <c r="V103">
        <f ca="1"/>
        <v>288.90514197406179</v>
      </c>
      <c r="W103">
        <f ca="1"/>
        <v>117.85174789151704</v>
      </c>
      <c r="X103">
        <f ca="1"/>
        <v>3.6048179396732163</v>
      </c>
      <c r="Y103">
        <f ca="1"/>
        <v>1</v>
      </c>
      <c r="Z103">
        <f ca="1"/>
        <v>4.7501049560178288</v>
      </c>
      <c r="AA103">
        <f ca="1"/>
        <v>0</v>
      </c>
      <c r="AB103">
        <f ca="1"/>
        <v>0.99999999999882738</v>
      </c>
      <c r="AD103" s="2">
        <f t="shared" ca="1" si="12"/>
        <v>45460</v>
      </c>
      <c r="AE103">
        <f t="shared" ca="1" si="13"/>
        <v>0</v>
      </c>
      <c r="AG103" s="63">
        <f t="shared" ca="1" si="17"/>
        <v>114.9077573007352</v>
      </c>
      <c r="AH103" s="63">
        <f t="shared" ca="1" si="18"/>
        <v>114.9077573007352</v>
      </c>
      <c r="AI103" s="3">
        <f t="shared" ca="1" si="19"/>
        <v>0</v>
      </c>
    </row>
    <row r="104" spans="7:35">
      <c r="G104" s="3">
        <f t="shared" ca="1" si="14"/>
        <v>125</v>
      </c>
      <c r="H104" s="95">
        <f t="shared" ca="1" si="16"/>
        <v>45415</v>
      </c>
      <c r="I104" s="119">
        <f ca="1">HLOOKUP($H$4,'Met Data'!$A$2:$F$368,G104,FALSE)</f>
        <v>13.137499999999999</v>
      </c>
      <c r="J104" s="119">
        <f ca="1">HLOOKUP($H$4,'Met Data'!$H$2:$M$368,G104,FALSE)*L104</f>
        <v>3</v>
      </c>
      <c r="K104" s="96">
        <f ca="1">HLOOKUP($H$4,'Met Data'!$O$2:$T$368,G104,FALSE)</f>
        <v>1.16413167388704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45461</v>
      </c>
      <c r="Q104">
        <f ca="1"/>
        <v>97.448941403706229</v>
      </c>
      <c r="R104">
        <f ca="1"/>
        <v>3.4799841377344478</v>
      </c>
      <c r="S104">
        <f ca="1"/>
        <v>1.4416201325531119E-2</v>
      </c>
      <c r="T104">
        <f ca="1"/>
        <v>0.72698189308329042</v>
      </c>
      <c r="U104">
        <f ca="1"/>
        <v>0</v>
      </c>
      <c r="V104">
        <f ca="1"/>
        <v>292.38512611179624</v>
      </c>
      <c r="W104">
        <f ca="1"/>
        <v>119.2713218404763</v>
      </c>
      <c r="X104">
        <f ca="1"/>
        <v>7.6550584951133001</v>
      </c>
      <c r="Y104">
        <f ca="1"/>
        <v>1</v>
      </c>
      <c r="Z104">
        <f ca="1"/>
        <v>11.163016101227555</v>
      </c>
      <c r="AA104">
        <f ca="1"/>
        <v>0</v>
      </c>
      <c r="AB104">
        <f ca="1"/>
        <v>0.99999999999915601</v>
      </c>
      <c r="AD104" s="2">
        <f t="shared" ca="1" si="12"/>
        <v>45461</v>
      </c>
      <c r="AE104">
        <f t="shared" ca="1" si="13"/>
        <v>0</v>
      </c>
      <c r="AG104" s="63">
        <f t="shared" ca="1" si="17"/>
        <v>108.58398403655397</v>
      </c>
      <c r="AH104" s="63">
        <f t="shared" ca="1" si="18"/>
        <v>108.58398403655397</v>
      </c>
      <c r="AI104" s="3">
        <f t="shared" ca="1" si="19"/>
        <v>0</v>
      </c>
    </row>
    <row r="105" spans="7:35">
      <c r="G105" s="3">
        <f t="shared" ca="1" si="14"/>
        <v>126</v>
      </c>
      <c r="H105" s="95">
        <f t="shared" ca="1" si="16"/>
        <v>45416</v>
      </c>
      <c r="I105" s="119">
        <f ca="1">HLOOKUP($H$4,'Met Data'!$A$2:$F$368,G105,FALSE)</f>
        <v>13.591666666666599</v>
      </c>
      <c r="J105" s="119">
        <f ca="1">HLOOKUP($H$4,'Met Data'!$H$2:$M$368,G105,FALSE)*L105</f>
        <v>4.8499999999999996</v>
      </c>
      <c r="K105" s="96">
        <f ca="1">HLOOKUP($H$4,'Met Data'!$O$2:$T$368,G105,FALSE)</f>
        <v>1.3049016144750001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45462</v>
      </c>
      <c r="Q105">
        <f ca="1"/>
        <v>89.655500543204269</v>
      </c>
      <c r="R105">
        <f ca="1"/>
        <v>3.364930045495214</v>
      </c>
      <c r="S105">
        <f ca="1"/>
        <v>1.4298200214426515E-2</v>
      </c>
      <c r="T105">
        <f ca="1"/>
        <v>0.72360227521892684</v>
      </c>
      <c r="U105">
        <f ca="1"/>
        <v>0</v>
      </c>
      <c r="V105">
        <f ca="1"/>
        <v>295.75005615729145</v>
      </c>
      <c r="W105">
        <f ca="1"/>
        <v>120.6439623019254</v>
      </c>
      <c r="X105">
        <f ca="1"/>
        <v>5.1664112904400925</v>
      </c>
      <c r="Y105">
        <f ca="1"/>
        <v>1</v>
      </c>
      <c r="Z105">
        <f ca="1"/>
        <v>8.1888365082086096</v>
      </c>
      <c r="AA105">
        <f ca="1"/>
        <v>0</v>
      </c>
      <c r="AB105">
        <f ca="1"/>
        <v>0.9999999999993916</v>
      </c>
      <c r="AD105" s="2">
        <f t="shared" ca="1" si="12"/>
        <v>45462</v>
      </c>
      <c r="AE105">
        <f t="shared" ca="1" si="13"/>
        <v>0</v>
      </c>
      <c r="AG105" s="63">
        <f t="shared" ca="1" si="17"/>
        <v>98.186841879139578</v>
      </c>
      <c r="AH105" s="63">
        <f t="shared" ca="1" si="18"/>
        <v>98.186841879139578</v>
      </c>
      <c r="AI105" s="3">
        <f t="shared" ca="1" si="19"/>
        <v>0</v>
      </c>
    </row>
    <row r="106" spans="7:35">
      <c r="G106" s="3">
        <f t="shared" ca="1" si="14"/>
        <v>127</v>
      </c>
      <c r="H106" s="95">
        <f t="shared" ca="1" si="16"/>
        <v>45417</v>
      </c>
      <c r="I106" s="119">
        <f ca="1">HLOOKUP($H$4,'Met Data'!$A$2:$F$368,G106,FALSE)</f>
        <v>13.2708333333333</v>
      </c>
      <c r="J106" s="119">
        <f ca="1">HLOOKUP($H$4,'Met Data'!$H$2:$M$368,G106,FALSE)*L106</f>
        <v>2.36666666666666</v>
      </c>
      <c r="K106" s="96">
        <f ca="1">HLOOKUP($H$4,'Met Data'!$O$2:$T$368,G106,FALSE)</f>
        <v>1.29751787384439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45463</v>
      </c>
      <c r="Q106">
        <f ca="1"/>
        <v>86.652715871543407</v>
      </c>
      <c r="R106">
        <f ca="1"/>
        <v>3.0879394194371343</v>
      </c>
      <c r="S106">
        <f ca="1"/>
        <v>1.3458544365022362E-2</v>
      </c>
      <c r="T106">
        <f ca="1"/>
        <v>0.68351644649199894</v>
      </c>
      <c r="U106">
        <f ca="1"/>
        <v>0</v>
      </c>
      <c r="V106">
        <f ca="1"/>
        <v>298.83799557672859</v>
      </c>
      <c r="W106">
        <f ca="1"/>
        <v>121.90361124924826</v>
      </c>
      <c r="X106">
        <f ca="1"/>
        <v>0.61182024308074445</v>
      </c>
      <c r="Y106">
        <f ca="1"/>
        <v>1</v>
      </c>
      <c r="Z106">
        <f ca="1"/>
        <v>1.0033485479809201</v>
      </c>
      <c r="AA106">
        <f ca="1"/>
        <v>0</v>
      </c>
      <c r="AB106">
        <f ca="1"/>
        <v>0.99999999999955325</v>
      </c>
      <c r="AD106" s="2">
        <f t="shared" ca="1" si="12"/>
        <v>45463</v>
      </c>
      <c r="AE106">
        <f t="shared" ca="1" si="13"/>
        <v>0</v>
      </c>
      <c r="AG106" s="63">
        <f t="shared" ca="1" si="17"/>
        <v>90.352475534061284</v>
      </c>
      <c r="AH106" s="63">
        <f t="shared" ca="1" si="18"/>
        <v>90.352475534061284</v>
      </c>
      <c r="AI106" s="3">
        <f t="shared" ca="1" si="19"/>
        <v>0</v>
      </c>
    </row>
    <row r="107" spans="7:35">
      <c r="G107" s="3">
        <f t="shared" ca="1" si="14"/>
        <v>128</v>
      </c>
      <c r="H107" s="95">
        <f t="shared" ca="1" si="16"/>
        <v>45418</v>
      </c>
      <c r="I107" s="119">
        <f ca="1">HLOOKUP($H$4,'Met Data'!$A$2:$F$368,G107,FALSE)</f>
        <v>12.6791666666666</v>
      </c>
      <c r="J107" s="119">
        <f ca="1">HLOOKUP($H$4,'Met Data'!$H$2:$M$368,G107,FALSE)*L107</f>
        <v>5.4166666666666599</v>
      </c>
      <c r="K107" s="96">
        <f ca="1">HLOOKUP($H$4,'Met Data'!$O$2:$T$368,G107,FALSE)</f>
        <v>1.3071916611718599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45464</v>
      </c>
      <c r="Q107">
        <f ca="1"/>
        <v>83.963614326257883</v>
      </c>
      <c r="R107">
        <f ca="1"/>
        <v>2.6869096253466864</v>
      </c>
      <c r="S107">
        <f ca="1"/>
        <v>1.2064518129108137E-2</v>
      </c>
      <c r="T107">
        <f ca="1"/>
        <v>0.61476072927272918</v>
      </c>
      <c r="U107">
        <f ca="1"/>
        <v>0</v>
      </c>
      <c r="V107">
        <f ca="1"/>
        <v>301.52490520207527</v>
      </c>
      <c r="W107">
        <f ca="1"/>
        <v>122.99966995422649</v>
      </c>
      <c r="X107">
        <f ca="1"/>
        <v>0.62901716734068347</v>
      </c>
      <c r="Y107">
        <f ca="1"/>
        <v>1</v>
      </c>
      <c r="Z107">
        <f ca="1"/>
        <v>1.0645879267232488</v>
      </c>
      <c r="AA107">
        <f ca="1"/>
        <v>0</v>
      </c>
      <c r="AB107">
        <f ca="1"/>
        <v>0.99999999999966116</v>
      </c>
      <c r="AD107" s="2">
        <f t="shared" ca="1" si="12"/>
        <v>45464</v>
      </c>
      <c r="AE107">
        <f t="shared" ca="1" si="13"/>
        <v>0</v>
      </c>
      <c r="AG107" s="63">
        <f t="shared" ca="1" si="17"/>
        <v>87.279541118945247</v>
      </c>
      <c r="AH107" s="63">
        <f t="shared" ca="1" si="18"/>
        <v>87.279541118945247</v>
      </c>
      <c r="AI107" s="3">
        <f t="shared" ca="1" si="19"/>
        <v>0</v>
      </c>
    </row>
    <row r="108" spans="7:35">
      <c r="G108" s="3">
        <f t="shared" ca="1" si="14"/>
        <v>129</v>
      </c>
      <c r="H108" s="95">
        <f t="shared" ca="1" si="16"/>
        <v>45419</v>
      </c>
      <c r="I108" s="119">
        <f ca="1">HLOOKUP($H$4,'Met Data'!$A$2:$F$368,G108,FALSE)</f>
        <v>12.799999999999899</v>
      </c>
      <c r="J108" s="119">
        <f ca="1">HLOOKUP($H$4,'Met Data'!$H$2:$M$368,G108,FALSE)*L108</f>
        <v>2.1666666666666599</v>
      </c>
      <c r="K108" s="96">
        <f ca="1">HLOOKUP($H$4,'Met Data'!$O$2:$T$368,G108,FALSE)</f>
        <v>1.27112414081248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45465</v>
      </c>
      <c r="Q108">
        <f ca="1"/>
        <v>80.719553053458483</v>
      </c>
      <c r="R108">
        <f ca="1"/>
        <v>2.6306145175577171</v>
      </c>
      <c r="S108">
        <f ca="1"/>
        <v>1.2087069476848455E-2</v>
      </c>
      <c r="T108">
        <f ca="1"/>
        <v>0.61790208984288353</v>
      </c>
      <c r="U108">
        <f ca="1"/>
        <v>0</v>
      </c>
      <c r="V108">
        <f ca="1"/>
        <v>304.15551971963299</v>
      </c>
      <c r="W108">
        <f ca="1"/>
        <v>124.07276445439571</v>
      </c>
      <c r="X108">
        <f ca="1"/>
        <v>1.2434359145614158</v>
      </c>
      <c r="Y108">
        <f ca="1"/>
        <v>1</v>
      </c>
      <c r="Z108">
        <f ca="1"/>
        <v>2.1890456670604266</v>
      </c>
      <c r="AA108">
        <f ca="1"/>
        <v>0</v>
      </c>
      <c r="AB108">
        <f ca="1"/>
        <v>0.99999999999974354</v>
      </c>
      <c r="AD108" s="2">
        <f t="shared" ca="1" si="12"/>
        <v>45465</v>
      </c>
      <c r="AE108">
        <f t="shared" ca="1" si="13"/>
        <v>0</v>
      </c>
      <c r="AG108" s="63">
        <f t="shared" ca="1" si="17"/>
        <v>84.593603485577617</v>
      </c>
      <c r="AH108" s="63">
        <f t="shared" ca="1" si="18"/>
        <v>84.593603485577617</v>
      </c>
      <c r="AI108" s="3">
        <f t="shared" ca="1" si="19"/>
        <v>0</v>
      </c>
    </row>
    <row r="109" spans="7:35">
      <c r="G109" s="3">
        <f t="shared" ca="1" si="14"/>
        <v>130</v>
      </c>
      <c r="H109" s="95">
        <f t="shared" ca="1" si="16"/>
        <v>45420</v>
      </c>
      <c r="I109" s="119">
        <f ca="1">HLOOKUP($H$4,'Met Data'!$A$2:$F$368,G109,FALSE)</f>
        <v>14.1</v>
      </c>
      <c r="J109" s="119">
        <f ca="1">HLOOKUP($H$4,'Met Data'!$H$2:$M$368,G109,FALSE)*L109</f>
        <v>1.2333333333333301</v>
      </c>
      <c r="K109" s="96">
        <f ca="1">HLOOKUP($H$4,'Met Data'!$O$2:$T$368,G109,FALSE)</f>
        <v>1.3593529897032299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45466</v>
      </c>
      <c r="Q109">
        <f ca="1"/>
        <v>76.958740899013563</v>
      </c>
      <c r="R109">
        <f ca="1"/>
        <v>2.9325005380699167</v>
      </c>
      <c r="S109">
        <f ca="1"/>
        <v>1.3755852623631881E-2</v>
      </c>
      <c r="T109">
        <f ca="1"/>
        <v>0.70571108625259726</v>
      </c>
      <c r="U109">
        <f ca="1"/>
        <v>0</v>
      </c>
      <c r="V109">
        <f ca="1"/>
        <v>307.08802025770291</v>
      </c>
      <c r="W109">
        <f ca="1"/>
        <v>125.26900593262938</v>
      </c>
      <c r="X109">
        <f ca="1"/>
        <v>1.5477785552512311</v>
      </c>
      <c r="Y109">
        <f ca="1"/>
        <v>1</v>
      </c>
      <c r="Z109">
        <f ca="1"/>
        <v>2.8579921700218662</v>
      </c>
      <c r="AA109">
        <f ca="1"/>
        <v>0</v>
      </c>
      <c r="AB109">
        <f ca="1"/>
        <v>0.99999999999981348</v>
      </c>
      <c r="AD109" s="2">
        <f t="shared" ca="1" si="12"/>
        <v>45466</v>
      </c>
      <c r="AE109">
        <f t="shared" ca="1" si="13"/>
        <v>0</v>
      </c>
      <c r="AG109" s="63">
        <f t="shared" ca="1" si="17"/>
        <v>81.439019992334707</v>
      </c>
      <c r="AH109" s="63">
        <f t="shared" ca="1" si="18"/>
        <v>81.439019992334707</v>
      </c>
      <c r="AI109" s="3">
        <f t="shared" ca="1" si="19"/>
        <v>0</v>
      </c>
    </row>
    <row r="110" spans="7:35">
      <c r="G110" s="3">
        <f t="shared" ca="1" si="14"/>
        <v>131</v>
      </c>
      <c r="H110" s="95">
        <f t="shared" ca="1" si="16"/>
        <v>45421</v>
      </c>
      <c r="I110" s="119">
        <f ca="1">HLOOKUP($H$4,'Met Data'!$A$2:$F$368,G110,FALSE)</f>
        <v>13.7416666666666</v>
      </c>
      <c r="J110" s="119">
        <f ca="1">HLOOKUP($H$4,'Met Data'!$H$2:$M$368,G110,FALSE)*L110</f>
        <v>1.56666666666666</v>
      </c>
      <c r="K110" s="96">
        <f ca="1">HLOOKUP($H$4,'Met Data'!$O$2:$T$368,G110,FALSE)</f>
        <v>1.1980493949464299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45467</v>
      </c>
      <c r="Q110">
        <f ca="1"/>
        <v>73.902553205742393</v>
      </c>
      <c r="R110">
        <f ca="1"/>
        <v>2.6098511449625335</v>
      </c>
      <c r="S110">
        <f ca="1"/>
        <v>1.260343676580078E-2</v>
      </c>
      <c r="T110">
        <f ca="1"/>
        <v>0.64899815238353231</v>
      </c>
      <c r="U110">
        <f ca="1"/>
        <v>0</v>
      </c>
      <c r="V110">
        <f ca="1"/>
        <v>309.69787140266544</v>
      </c>
      <c r="W110">
        <f ca="1"/>
        <v>126.33363052556281</v>
      </c>
      <c r="X110">
        <f ca="1"/>
        <v>1.1079381374579638</v>
      </c>
      <c r="Y110">
        <f ca="1"/>
        <v>1</v>
      </c>
      <c r="Z110">
        <f ca="1"/>
        <v>2.1304249143843919</v>
      </c>
      <c r="AA110">
        <f ca="1"/>
        <v>0</v>
      </c>
      <c r="AB110">
        <f ca="1"/>
        <v>0.999999999999861</v>
      </c>
      <c r="AD110" s="2">
        <f t="shared" ca="1" si="12"/>
        <v>45467</v>
      </c>
      <c r="AE110">
        <f t="shared" ca="1" si="13"/>
        <v>0</v>
      </c>
      <c r="AG110" s="63">
        <f t="shared" ca="1" si="17"/>
        <v>77.620342488162891</v>
      </c>
      <c r="AH110" s="63">
        <f t="shared" ca="1" si="18"/>
        <v>77.620342488162891</v>
      </c>
      <c r="AI110" s="3">
        <f t="shared" ca="1" si="19"/>
        <v>0</v>
      </c>
    </row>
    <row r="111" spans="7:35">
      <c r="G111" s="3">
        <f t="shared" ca="1" si="14"/>
        <v>132</v>
      </c>
      <c r="H111" s="95">
        <f t="shared" ca="1" si="16"/>
        <v>45422</v>
      </c>
      <c r="I111" s="119">
        <f ca="1">HLOOKUP($H$4,'Met Data'!$A$2:$F$368,G111,FALSE)</f>
        <v>13.1</v>
      </c>
      <c r="J111" s="119">
        <f ca="1">HLOOKUP($H$4,'Met Data'!$H$2:$M$368,G111,FALSE)*L111</f>
        <v>3.7166666666666601</v>
      </c>
      <c r="K111" s="96">
        <f ca="1">HLOOKUP($H$4,'Met Data'!$O$2:$T$368,G111,FALSE)</f>
        <v>1.0818629782871001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45468</v>
      </c>
      <c r="Q111">
        <f ca="1"/>
        <v>71.980443649422085</v>
      </c>
      <c r="R111">
        <f ca="1"/>
        <v>2.4318179718006263</v>
      </c>
      <c r="S111">
        <f ca="1"/>
        <v>1.2084402407026573E-2</v>
      </c>
      <c r="T111">
        <f ca="1"/>
        <v>0.62450370468095451</v>
      </c>
      <c r="U111">
        <f ca="1"/>
        <v>0</v>
      </c>
      <c r="V111">
        <f ca="1"/>
        <v>312.12968937446607</v>
      </c>
      <c r="W111">
        <f ca="1"/>
        <v>127.32563086370992</v>
      </c>
      <c r="X111">
        <f ca="1"/>
        <v>0.12687969160767149</v>
      </c>
      <c r="Y111">
        <f ca="1"/>
        <v>1</v>
      </c>
      <c r="Z111">
        <f ca="1"/>
        <v>0.25048848063671869</v>
      </c>
      <c r="AA111">
        <f ca="1"/>
        <v>0</v>
      </c>
      <c r="AB111">
        <f ca="1"/>
        <v>0.99999999999989497</v>
      </c>
      <c r="AD111" s="2">
        <f t="shared" ca="1" si="12"/>
        <v>45468</v>
      </c>
      <c r="AE111">
        <f t="shared" ca="1" si="13"/>
        <v>0</v>
      </c>
      <c r="AG111" s="63">
        <f t="shared" ca="1" si="17"/>
        <v>74.539141312830381</v>
      </c>
      <c r="AH111" s="63">
        <f t="shared" ca="1" si="18"/>
        <v>74.539141312830381</v>
      </c>
      <c r="AI111" s="3">
        <f t="shared" ca="1" si="19"/>
        <v>0</v>
      </c>
    </row>
    <row r="112" spans="7:35">
      <c r="G112" s="3">
        <f t="shared" ca="1" si="14"/>
        <v>133</v>
      </c>
      <c r="H112" s="95">
        <f t="shared" ca="1" si="16"/>
        <v>45423</v>
      </c>
      <c r="I112" s="119">
        <f ca="1">HLOOKUP($H$4,'Met Data'!$A$2:$F$368,G112,FALSE)</f>
        <v>13.566666666666601</v>
      </c>
      <c r="J112" s="119">
        <f ca="1">HLOOKUP($H$4,'Met Data'!$H$2:$M$368,G112,FALSE)*L112</f>
        <v>5.86666666666666</v>
      </c>
      <c r="K112" s="96">
        <f ca="1">HLOOKUP($H$4,'Met Data'!$O$2:$T$368,G112,FALSE)</f>
        <v>0.93360919947406795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45469</v>
      </c>
      <c r="Q112">
        <f ca="1"/>
        <v>69.304073869505999</v>
      </c>
      <c r="R112">
        <f ca="1"/>
        <v>2.2703823793920037</v>
      </c>
      <c r="S112">
        <f ca="1"/>
        <v>1.1613641556692755E-2</v>
      </c>
      <c r="T112">
        <f ca="1"/>
        <v>0.6022981521284384</v>
      </c>
      <c r="U112">
        <f ca="1"/>
        <v>0</v>
      </c>
      <c r="V112">
        <f ca="1"/>
        <v>314.40007175385807</v>
      </c>
      <c r="W112">
        <f ca="1"/>
        <v>128.25177752197004</v>
      </c>
      <c r="X112">
        <f ca="1"/>
        <v>1.0198991942092168</v>
      </c>
      <c r="Y112">
        <f ca="1"/>
        <v>1</v>
      </c>
      <c r="Z112">
        <f ca="1"/>
        <v>2.0912629704932328</v>
      </c>
      <c r="AA112">
        <f ca="1"/>
        <v>0</v>
      </c>
      <c r="AB112">
        <f ca="1"/>
        <v>0.99999999999991984</v>
      </c>
      <c r="AD112" s="2">
        <f t="shared" ca="1" si="12"/>
        <v>45469</v>
      </c>
      <c r="AE112">
        <f t="shared" ca="1" si="13"/>
        <v>0</v>
      </c>
      <c r="AG112" s="63">
        <f t="shared" ca="1" si="17"/>
        <v>72.594355443107219</v>
      </c>
      <c r="AH112" s="63">
        <f t="shared" ca="1" si="18"/>
        <v>72.594355443107219</v>
      </c>
      <c r="AI112" s="3">
        <f t="shared" ca="1" si="19"/>
        <v>0</v>
      </c>
    </row>
    <row r="113" spans="7:35">
      <c r="G113" s="3">
        <f t="shared" ca="1" si="14"/>
        <v>134</v>
      </c>
      <c r="H113" s="95">
        <f t="shared" ca="1" si="16"/>
        <v>45424</v>
      </c>
      <c r="I113" s="119">
        <f ca="1">HLOOKUP($H$4,'Met Data'!$A$2:$F$368,G113,FALSE)</f>
        <v>12.887499999999999</v>
      </c>
      <c r="J113" s="119">
        <f ca="1">HLOOKUP($H$4,'Met Data'!$H$2:$M$368,G113,FALSE)*L113</f>
        <v>5.1666666666666599</v>
      </c>
      <c r="K113" s="96">
        <f ca="1">HLOOKUP($H$4,'Met Data'!$O$2:$T$368,G113,FALSE)</f>
        <v>1.3361527471355901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45470</v>
      </c>
      <c r="Q113">
        <f ca="1"/>
        <v>67.700767699606104</v>
      </c>
      <c r="R113">
        <f ca="1"/>
        <v>2.2212001066456537</v>
      </c>
      <c r="S113">
        <f ca="1"/>
        <v>1.1648250282831896E-2</v>
      </c>
      <c r="T113">
        <f ca="1"/>
        <v>0.60624568646292709</v>
      </c>
      <c r="U113">
        <f ca="1"/>
        <v>0</v>
      </c>
      <c r="V113">
        <f ca="1"/>
        <v>316.62127186050373</v>
      </c>
      <c r="W113">
        <f ca="1"/>
        <v>129.15786148155743</v>
      </c>
      <c r="X113">
        <f ca="1"/>
        <v>0</v>
      </c>
      <c r="Y113">
        <f ca="1"/>
        <v>0.99925472063176879</v>
      </c>
      <c r="Z113">
        <f ca="1"/>
        <v>0</v>
      </c>
      <c r="AA113">
        <f ca="1"/>
        <v>0</v>
      </c>
      <c r="AB113">
        <f ca="1"/>
        <v>0.99999999999993894</v>
      </c>
      <c r="AD113" s="2">
        <f t="shared" ca="1" si="12"/>
        <v>45470</v>
      </c>
      <c r="AE113">
        <f t="shared" ca="1" si="13"/>
        <v>0</v>
      </c>
      <c r="AG113" s="63">
        <f t="shared" ca="1" si="17"/>
        <v>69.921967806251757</v>
      </c>
      <c r="AH113" s="63">
        <f t="shared" ca="1" si="18"/>
        <v>69.921967806251757</v>
      </c>
      <c r="AI113" s="3">
        <f t="shared" ca="1" si="19"/>
        <v>0</v>
      </c>
    </row>
    <row r="114" spans="7:35">
      <c r="G114" s="3">
        <f t="shared" ca="1" si="14"/>
        <v>135</v>
      </c>
      <c r="H114" s="95">
        <f t="shared" ca="1" si="16"/>
        <v>45425</v>
      </c>
      <c r="I114" s="119">
        <f ca="1">HLOOKUP($H$4,'Met Data'!$A$2:$F$368,G114,FALSE)</f>
        <v>13</v>
      </c>
      <c r="J114" s="119">
        <f ca="1">HLOOKUP($H$4,'Met Data'!$H$2:$M$368,G114,FALSE)*L114</f>
        <v>4.86666666666666</v>
      </c>
      <c r="K114" s="96">
        <f ca="1">HLOOKUP($H$4,'Met Data'!$O$2:$T$368,G114,FALSE)</f>
        <v>1.1907632624443201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45471</v>
      </c>
      <c r="Q114">
        <f ca="1"/>
        <v>65.805624891576542</v>
      </c>
      <c r="R114">
        <f ca="1"/>
        <v>2.1265947597382251</v>
      </c>
      <c r="S114">
        <f ca="1"/>
        <v>1.1460631045991931E-2</v>
      </c>
      <c r="T114">
        <f ca="1"/>
        <v>0.59864746105561539</v>
      </c>
      <c r="U114">
        <f ca="1"/>
        <v>0</v>
      </c>
      <c r="V114">
        <f ca="1"/>
        <v>318.74786662024195</v>
      </c>
      <c r="W114">
        <f ca="1"/>
        <v>130.02535351641572</v>
      </c>
      <c r="X114">
        <f ca="1"/>
        <v>0.37865614039294404</v>
      </c>
      <c r="Y114">
        <f ca="1"/>
        <v>1</v>
      </c>
      <c r="Z114">
        <f ca="1"/>
        <v>0.81769652010066807</v>
      </c>
      <c r="AA114">
        <f ca="1"/>
        <v>0</v>
      </c>
      <c r="AB114">
        <f ca="1"/>
        <v>0.99999999999995337</v>
      </c>
      <c r="AD114" s="2">
        <f t="shared" ca="1" si="12"/>
        <v>45471</v>
      </c>
      <c r="AE114">
        <f t="shared" ca="1" si="13"/>
        <v>0</v>
      </c>
      <c r="AG114" s="63">
        <f t="shared" ca="1" si="17"/>
        <v>68.310875791707716</v>
      </c>
      <c r="AH114" s="63">
        <f t="shared" ca="1" si="18"/>
        <v>68.310875791707716</v>
      </c>
      <c r="AI114" s="3">
        <f t="shared" ca="1" si="19"/>
        <v>0</v>
      </c>
    </row>
    <row r="115" spans="7:35">
      <c r="G115" s="3">
        <f t="shared" ca="1" si="14"/>
        <v>136</v>
      </c>
      <c r="H115" s="95">
        <f t="shared" ca="1" si="16"/>
        <v>45426</v>
      </c>
      <c r="I115" s="119">
        <f ca="1">HLOOKUP($H$4,'Met Data'!$A$2:$F$368,G115,FALSE)</f>
        <v>13.470833333333299</v>
      </c>
      <c r="J115" s="119">
        <f ca="1">HLOOKUP($H$4,'Met Data'!$H$2:$M$368,G115,FALSE)*L115</f>
        <v>8.7833333333333297</v>
      </c>
      <c r="K115" s="96">
        <f ca="1">HLOOKUP($H$4,'Met Data'!$O$2:$T$368,G115,FALSE)</f>
        <v>1.16840876605303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45472</v>
      </c>
      <c r="Q115">
        <f ca="1"/>
        <v>63.596754284412718</v>
      </c>
      <c r="R115">
        <f ca="1"/>
        <v>2.0210597584725178</v>
      </c>
      <c r="S115">
        <f ca="1"/>
        <v>1.1203273502189859E-2</v>
      </c>
      <c r="T115">
        <f ca="1"/>
        <v>0.58734273127335168</v>
      </c>
      <c r="U115">
        <f ca="1"/>
        <v>0</v>
      </c>
      <c r="V115">
        <f ca="1"/>
        <v>320.76892637871447</v>
      </c>
      <c r="W115">
        <f ca="1"/>
        <v>130.84979514283222</v>
      </c>
      <c r="X115">
        <f ca="1"/>
        <v>0.78635685346684636</v>
      </c>
      <c r="Y115">
        <f ca="1"/>
        <v>1</v>
      </c>
      <c r="Z115">
        <f ca="1"/>
        <v>1.7570935632686613</v>
      </c>
      <c r="AA115">
        <f ca="1"/>
        <v>0</v>
      </c>
      <c r="AB115">
        <f ca="1"/>
        <v>0.99999999999996425</v>
      </c>
      <c r="AD115" s="2">
        <f t="shared" ca="1" si="12"/>
        <v>45472</v>
      </c>
      <c r="AE115">
        <f t="shared" ca="1" si="13"/>
        <v>0</v>
      </c>
      <c r="AG115" s="63">
        <f t="shared" ca="1" si="17"/>
        <v>66.404170896352085</v>
      </c>
      <c r="AH115" s="63">
        <f t="shared" ca="1" si="18"/>
        <v>66.404170896352085</v>
      </c>
      <c r="AI115" s="3">
        <f t="shared" ca="1" si="19"/>
        <v>0</v>
      </c>
    </row>
    <row r="116" spans="7:35">
      <c r="G116" s="3">
        <f t="shared" ca="1" si="14"/>
        <v>137</v>
      </c>
      <c r="H116" s="95">
        <f t="shared" ca="1" si="16"/>
        <v>45427</v>
      </c>
      <c r="I116" s="119">
        <f ca="1">HLOOKUP($H$4,'Met Data'!$A$2:$F$368,G116,FALSE)</f>
        <v>12.8666666666666</v>
      </c>
      <c r="J116" s="119">
        <f ca="1">HLOOKUP($H$4,'Met Data'!$H$2:$M$368,G116,FALSE)*L116</f>
        <v>4.86666666666666</v>
      </c>
      <c r="K116" s="96">
        <f ca="1">HLOOKUP($H$4,'Met Data'!$O$2:$T$368,G116,FALSE)</f>
        <v>1.23845839693481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45473</v>
      </c>
      <c r="Q116">
        <f ca="1"/>
        <v>61.610361540189722</v>
      </c>
      <c r="R116">
        <f ca="1"/>
        <v>2.0280949666207562</v>
      </c>
      <c r="S116">
        <f ca="1"/>
        <v>1.1502246982530551E-2</v>
      </c>
      <c r="T116">
        <f ca="1"/>
        <v>0.60528076646217532</v>
      </c>
      <c r="U116">
        <f ca="1"/>
        <v>0</v>
      </c>
      <c r="V116">
        <f ca="1"/>
        <v>322.79702134533522</v>
      </c>
      <c r="W116">
        <f ca="1"/>
        <v>131.67710660940247</v>
      </c>
      <c r="X116">
        <f ca="1"/>
        <v>0.57508079104694976</v>
      </c>
      <c r="Y116">
        <f ca="1"/>
        <v>1</v>
      </c>
      <c r="Z116">
        <f ca="1"/>
        <v>1.326432845154919</v>
      </c>
      <c r="AA116">
        <f ca="1"/>
        <v>0</v>
      </c>
      <c r="AB116">
        <f ca="1"/>
        <v>0.99999999999997269</v>
      </c>
      <c r="AD116" s="2">
        <f t="shared" ca="1" si="12"/>
        <v>45473</v>
      </c>
      <c r="AE116">
        <f t="shared" ca="1" si="13"/>
        <v>0</v>
      </c>
      <c r="AG116" s="63">
        <f t="shared" ca="1" si="17"/>
        <v>64.213537297857428</v>
      </c>
      <c r="AH116" s="63">
        <f t="shared" ca="1" si="18"/>
        <v>64.213537297857428</v>
      </c>
      <c r="AI116" s="3">
        <f t="shared" ca="1" si="19"/>
        <v>0</v>
      </c>
    </row>
    <row r="117" spans="7:35">
      <c r="G117" s="3">
        <f t="shared" ca="1" si="14"/>
        <v>138</v>
      </c>
      <c r="H117" s="95">
        <f t="shared" ca="1" si="16"/>
        <v>45428</v>
      </c>
      <c r="I117" s="119">
        <f ca="1">HLOOKUP($H$4,'Met Data'!$A$2:$F$368,G117,FALSE)</f>
        <v>12.237499999999899</v>
      </c>
      <c r="J117" s="119">
        <f ca="1">HLOOKUP($H$4,'Met Data'!$H$2:$M$368,G117,FALSE)*L117</f>
        <v>3.7166666666666601</v>
      </c>
      <c r="K117" s="96">
        <f ca="1">HLOOKUP($H$4,'Met Data'!$O$2:$T$368,G117,FALSE)</f>
        <v>1.3074898165915401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45474</v>
      </c>
      <c r="Q117">
        <f ca="1"/>
        <v>60.355052659016856</v>
      </c>
      <c r="R117">
        <f ca="1"/>
        <v>1.8350869623919266</v>
      </c>
      <c r="S117">
        <f ca="1"/>
        <v>1.0772243961440608E-2</v>
      </c>
      <c r="T117">
        <f ca="1"/>
        <v>0.56900583725761766</v>
      </c>
      <c r="U117">
        <f ca="1"/>
        <v>0</v>
      </c>
      <c r="V117">
        <f ca="1"/>
        <v>324.63210830772715</v>
      </c>
      <c r="W117">
        <f ca="1"/>
        <v>132.42568520711478</v>
      </c>
      <c r="X117">
        <f ca="1"/>
        <v>0</v>
      </c>
      <c r="Y117">
        <f ca="1"/>
        <v>0.9966373090597449</v>
      </c>
      <c r="Z117">
        <f ca="1"/>
        <v>0</v>
      </c>
      <c r="AA117">
        <f ca="1"/>
        <v>0</v>
      </c>
      <c r="AB117">
        <f ca="1"/>
        <v>0.99999999999997891</v>
      </c>
      <c r="AD117" s="2">
        <f t="shared" ca="1" si="12"/>
        <v>45474</v>
      </c>
      <c r="AE117">
        <f t="shared" ca="1" si="13"/>
        <v>0</v>
      </c>
      <c r="AG117" s="63">
        <f t="shared" ca="1" si="17"/>
        <v>62.190139621408782</v>
      </c>
      <c r="AH117" s="63">
        <f t="shared" ca="1" si="18"/>
        <v>62.190139621408782</v>
      </c>
      <c r="AI117" s="3">
        <f t="shared" ca="1" si="19"/>
        <v>0</v>
      </c>
    </row>
    <row r="118" spans="7:35">
      <c r="G118" s="3">
        <f t="shared" ca="1" si="14"/>
        <v>139</v>
      </c>
      <c r="H118" s="95">
        <f t="shared" ca="1" si="16"/>
        <v>45429</v>
      </c>
      <c r="I118" s="119">
        <f ca="1">HLOOKUP($H$4,'Met Data'!$A$2:$F$368,G118,FALSE)</f>
        <v>11.595833333333299</v>
      </c>
      <c r="J118" s="119">
        <f ca="1">HLOOKUP($H$4,'Met Data'!$H$2:$M$368,G118,FALSE)*L118</f>
        <v>2.61666666666666</v>
      </c>
      <c r="K118" s="96">
        <f ca="1">HLOOKUP($H$4,'Met Data'!$O$2:$T$368,G118,FALSE)</f>
        <v>1.3321153360432201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45475</v>
      </c>
      <c r="Q118">
        <f ca="1"/>
        <v>58.042351105481416</v>
      </c>
      <c r="R118">
        <f ca="1"/>
        <v>1.9115941685346911</v>
      </c>
      <c r="S118">
        <f ca="1"/>
        <v>1.1429610355918385E-2</v>
      </c>
      <c r="T118">
        <f ca="1"/>
        <v>0.60605733160147568</v>
      </c>
      <c r="U118">
        <f ca="1"/>
        <v>0</v>
      </c>
      <c r="V118">
        <f ca="1"/>
        <v>326.54370247626184</v>
      </c>
      <c r="W118">
        <f ca="1"/>
        <v>133.20547303810213</v>
      </c>
      <c r="X118">
        <f ca="1"/>
        <v>1.018594326958143</v>
      </c>
      <c r="Y118">
        <f ca="1"/>
        <v>1</v>
      </c>
      <c r="Z118">
        <f ca="1"/>
        <v>2.4938275608524734</v>
      </c>
      <c r="AA118">
        <f ca="1"/>
        <v>0</v>
      </c>
      <c r="AB118">
        <f ca="1"/>
        <v>0.99999999999998379</v>
      </c>
      <c r="AD118" s="2">
        <f t="shared" ca="1" si="12"/>
        <v>45475</v>
      </c>
      <c r="AE118">
        <f t="shared" ca="1" si="13"/>
        <v>0</v>
      </c>
      <c r="AG118" s="63">
        <f t="shared" ca="1" si="17"/>
        <v>60.972539600974251</v>
      </c>
      <c r="AH118" s="63">
        <f t="shared" ca="1" si="18"/>
        <v>60.972539600974251</v>
      </c>
      <c r="AI118" s="3">
        <f t="shared" ca="1" si="19"/>
        <v>0</v>
      </c>
    </row>
    <row r="119" spans="7:35">
      <c r="G119" s="3">
        <f t="shared" ca="1" si="14"/>
        <v>140</v>
      </c>
      <c r="H119" s="95">
        <f t="shared" ca="1" si="16"/>
        <v>45430</v>
      </c>
      <c r="I119" s="119">
        <f ca="1">HLOOKUP($H$4,'Met Data'!$A$2:$F$368,G119,FALSE)</f>
        <v>11.904166666666599</v>
      </c>
      <c r="J119" s="119">
        <f ca="1">HLOOKUP($H$4,'Met Data'!$H$2:$M$368,G119,FALSE)*L119</f>
        <v>2.35</v>
      </c>
      <c r="K119" s="96">
        <f ca="1">HLOOKUP($H$4,'Met Data'!$O$2:$T$368,G119,FALSE)</f>
        <v>1.2961776408629699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45476</v>
      </c>
      <c r="Q119">
        <f ca="1"/>
        <v>56.841941376509126</v>
      </c>
      <c r="R119">
        <f ca="1"/>
        <v>1.8031904692642797</v>
      </c>
      <c r="S119">
        <f ca="1"/>
        <v>1.1113637745722826E-2</v>
      </c>
      <c r="T119">
        <f ca="1"/>
        <v>0.59166710254626464</v>
      </c>
      <c r="U119">
        <f ca="1"/>
        <v>0</v>
      </c>
      <c r="V119">
        <f ca="1"/>
        <v>328.34689294552612</v>
      </c>
      <c r="W119">
        <f ca="1"/>
        <v>133.94104024584396</v>
      </c>
      <c r="X119">
        <f ca="1"/>
        <v>0</v>
      </c>
      <c r="Y119">
        <f ca="1"/>
        <v>0.99742763825195346</v>
      </c>
      <c r="Z119">
        <f ca="1"/>
        <v>0</v>
      </c>
      <c r="AA119">
        <f ca="1"/>
        <v>0</v>
      </c>
      <c r="AB119">
        <f ca="1"/>
        <v>0.99999999999998757</v>
      </c>
      <c r="AD119" s="2">
        <f t="shared" ca="1" si="12"/>
        <v>45476</v>
      </c>
      <c r="AE119">
        <f t="shared" ca="1" si="13"/>
        <v>0</v>
      </c>
      <c r="AG119" s="63">
        <f t="shared" ca="1" si="17"/>
        <v>58.645131845773406</v>
      </c>
      <c r="AH119" s="63">
        <f t="shared" ca="1" si="18"/>
        <v>58.645131845773406</v>
      </c>
      <c r="AI119" s="3">
        <f t="shared" ca="1" si="19"/>
        <v>0</v>
      </c>
    </row>
    <row r="120" spans="7:35">
      <c r="G120" s="3">
        <f t="shared" ca="1" si="14"/>
        <v>141</v>
      </c>
      <c r="H120" s="95">
        <f t="shared" ca="1" si="16"/>
        <v>45431</v>
      </c>
      <c r="I120" s="119">
        <f ca="1">HLOOKUP($H$4,'Met Data'!$A$2:$F$368,G120,FALSE)</f>
        <v>11.762499999999999</v>
      </c>
      <c r="J120" s="119">
        <f ca="1">HLOOKUP($H$4,'Met Data'!$H$2:$M$368,G120,FALSE)*L120</f>
        <v>0.31666666666666599</v>
      </c>
      <c r="K120" s="96">
        <f ca="1">HLOOKUP($H$4,'Met Data'!$O$2:$T$368,G120,FALSE)</f>
        <v>1.26598619456247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45477</v>
      </c>
      <c r="Q120">
        <f ca="1"/>
        <v>55.589068082736723</v>
      </c>
      <c r="R120">
        <f ca="1"/>
        <v>1.9068185850178452</v>
      </c>
      <c r="S120">
        <f ca="1"/>
        <v>1.2007250254185919E-2</v>
      </c>
      <c r="T120">
        <f ca="1"/>
        <v>0.64193804099125662</v>
      </c>
      <c r="U120">
        <f ca="1"/>
        <v>0</v>
      </c>
      <c r="V120">
        <f ca="1"/>
        <v>330.25371153054397</v>
      </c>
      <c r="W120">
        <f ca="1"/>
        <v>134.71887999497713</v>
      </c>
      <c r="X120">
        <f ca="1"/>
        <v>0</v>
      </c>
      <c r="Y120">
        <f ca="1"/>
        <v>0.98132776167161828</v>
      </c>
      <c r="Z120">
        <f ca="1"/>
        <v>0</v>
      </c>
      <c r="AA120">
        <f ca="1"/>
        <v>0</v>
      </c>
      <c r="AB120">
        <f ca="1"/>
        <v>0.99999999999999067</v>
      </c>
      <c r="AD120" s="2">
        <f t="shared" ca="1" si="12"/>
        <v>45477</v>
      </c>
      <c r="AE120">
        <f t="shared" ca="1" si="13"/>
        <v>0</v>
      </c>
      <c r="AG120" s="63">
        <f t="shared" ca="1" si="17"/>
        <v>57.495886667754569</v>
      </c>
      <c r="AH120" s="63">
        <f t="shared" ca="1" si="18"/>
        <v>57.495886667754569</v>
      </c>
      <c r="AI120" s="3">
        <f t="shared" ca="1" si="19"/>
        <v>0</v>
      </c>
    </row>
    <row r="121" spans="7:35">
      <c r="G121" s="3">
        <f t="shared" ca="1" si="14"/>
        <v>142</v>
      </c>
      <c r="H121" s="95">
        <f t="shared" ca="1" si="16"/>
        <v>45432</v>
      </c>
      <c r="I121" s="119">
        <f ca="1">HLOOKUP($H$4,'Met Data'!$A$2:$F$368,G121,FALSE)</f>
        <v>11.612500000000001</v>
      </c>
      <c r="J121" s="119">
        <f ca="1">HLOOKUP($H$4,'Met Data'!$H$2:$M$368,G121,FALSE)*L121</f>
        <v>2</v>
      </c>
      <c r="K121" s="96">
        <f ca="1">HLOOKUP($H$4,'Met Data'!$O$2:$T$368,G121,FALSE)</f>
        <v>1.0607063970516699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45478</v>
      </c>
      <c r="Q121">
        <f ca="1"/>
        <v>54.313700527802865</v>
      </c>
      <c r="R121">
        <f ca="1"/>
        <v>1.7874781856800723</v>
      </c>
      <c r="S121">
        <f ca="1"/>
        <v>1.1622148769504292E-2</v>
      </c>
      <c r="T121">
        <f ca="1"/>
        <v>0.62409577961193974</v>
      </c>
      <c r="U121">
        <f ca="1"/>
        <v>0</v>
      </c>
      <c r="V121">
        <f ca="1"/>
        <v>332.04118971622404</v>
      </c>
      <c r="W121">
        <f ca="1"/>
        <v>135.44803776302845</v>
      </c>
      <c r="X121">
        <f ca="1"/>
        <v>0.12360729763523395</v>
      </c>
      <c r="Y121">
        <f ca="1"/>
        <v>1</v>
      </c>
      <c r="Z121">
        <f ca="1"/>
        <v>0.323403623542454</v>
      </c>
      <c r="AA121">
        <f ca="1"/>
        <v>0</v>
      </c>
      <c r="AB121">
        <f ca="1"/>
        <v>0.99999999999999289</v>
      </c>
      <c r="AD121" s="2">
        <f t="shared" ca="1" si="12"/>
        <v>45478</v>
      </c>
      <c r="AE121">
        <f t="shared" ca="1" si="13"/>
        <v>0</v>
      </c>
      <c r="AG121" s="63">
        <f t="shared" ca="1" si="17"/>
        <v>56.224786011118169</v>
      </c>
      <c r="AH121" s="63">
        <f t="shared" ca="1" si="18"/>
        <v>56.224786011118169</v>
      </c>
      <c r="AI121" s="3">
        <f t="shared" ca="1" si="19"/>
        <v>0</v>
      </c>
    </row>
    <row r="122" spans="7:35">
      <c r="G122" s="3">
        <f t="shared" ca="1" si="14"/>
        <v>143</v>
      </c>
      <c r="H122" s="95">
        <f t="shared" ca="1" si="16"/>
        <v>45433</v>
      </c>
      <c r="I122" s="119">
        <f ca="1">HLOOKUP($H$4,'Met Data'!$A$2:$F$368,G122,FALSE)</f>
        <v>10.174999999999899</v>
      </c>
      <c r="J122" s="119">
        <f ca="1">HLOOKUP($H$4,'Met Data'!$H$2:$M$368,G122,FALSE)*L122</f>
        <v>2.93333333333333</v>
      </c>
      <c r="K122" s="96">
        <f ca="1">HLOOKUP($H$4,'Met Data'!$O$2:$T$368,G122,FALSE)</f>
        <v>1.10734547072848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45479</v>
      </c>
      <c r="Q122">
        <f ca="1"/>
        <v>51.788079428818655</v>
      </c>
      <c r="R122">
        <f ca="1"/>
        <v>1.8269702199926883</v>
      </c>
      <c r="S122">
        <f ca="1"/>
        <v>1.2211416020505794E-2</v>
      </c>
      <c r="T122">
        <f ca="1"/>
        <v>0.65873698494411936</v>
      </c>
      <c r="U122">
        <f ca="1"/>
        <v>0</v>
      </c>
      <c r="V122">
        <f ca="1"/>
        <v>333.86815993621673</v>
      </c>
      <c r="W122">
        <f ca="1"/>
        <v>136.19330533528651</v>
      </c>
      <c r="X122">
        <f ca="1"/>
        <v>1.3695992799561454</v>
      </c>
      <c r="Y122">
        <f ca="1"/>
        <v>1</v>
      </c>
      <c r="Z122">
        <f ca="1"/>
        <v>3.7581479801069122</v>
      </c>
      <c r="AA122">
        <f ca="1"/>
        <v>0</v>
      </c>
      <c r="AB122">
        <f ca="1"/>
        <v>0.99999999999999489</v>
      </c>
      <c r="AD122" s="2">
        <f t="shared" ca="1" si="12"/>
        <v>45479</v>
      </c>
      <c r="AE122">
        <f t="shared" ca="1" si="13"/>
        <v>0</v>
      </c>
      <c r="AG122" s="63">
        <f t="shared" ca="1" si="17"/>
        <v>54.984648928767491</v>
      </c>
      <c r="AH122" s="63">
        <f t="shared" ca="1" si="18"/>
        <v>54.984648928767491</v>
      </c>
      <c r="AI122" s="3">
        <f t="shared" ca="1" si="19"/>
        <v>0</v>
      </c>
    </row>
    <row r="123" spans="7:35">
      <c r="G123" s="3">
        <f t="shared" ca="1" si="14"/>
        <v>144</v>
      </c>
      <c r="H123" s="95">
        <f t="shared" ca="1" si="16"/>
        <v>45434</v>
      </c>
      <c r="I123" s="119">
        <f ca="1">HLOOKUP($H$4,'Met Data'!$A$2:$F$368,G123,FALSE)</f>
        <v>10.7416666666666</v>
      </c>
      <c r="J123" s="119">
        <f ca="1">HLOOKUP($H$4,'Met Data'!$H$2:$M$368,G123,FALSE)*L123</f>
        <v>2.8</v>
      </c>
      <c r="K123" s="96">
        <f ca="1">HLOOKUP($H$4,'Met Data'!$O$2:$T$368,G123,FALSE)</f>
        <v>0.94921082080766905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45480</v>
      </c>
      <c r="Q123">
        <f ca="1"/>
        <v>49.884212911020022</v>
      </c>
      <c r="R123">
        <f ca="1"/>
        <v>1.5583216114674769</v>
      </c>
      <c r="S123">
        <f ca="1"/>
        <v>1.0838841527828436E-2</v>
      </c>
      <c r="T123">
        <f ca="1"/>
        <v>0.58734273127335168</v>
      </c>
      <c r="U123">
        <f ca="1"/>
        <v>0</v>
      </c>
      <c r="V123">
        <f ca="1"/>
        <v>335.4264815476842</v>
      </c>
      <c r="W123">
        <f ca="1"/>
        <v>136.82898431432338</v>
      </c>
      <c r="X123">
        <f ca="1"/>
        <v>0.94372647913233443</v>
      </c>
      <c r="Y123">
        <f ca="1"/>
        <v>1</v>
      </c>
      <c r="Z123">
        <f ca="1"/>
        <v>2.6883956233886508</v>
      </c>
      <c r="AA123">
        <f ca="1"/>
        <v>0</v>
      </c>
      <c r="AB123">
        <f ca="1"/>
        <v>0.999999999999996</v>
      </c>
      <c r="AD123" s="2">
        <f t="shared" ca="1" si="12"/>
        <v>45480</v>
      </c>
      <c r="AE123">
        <f t="shared" ca="1" si="13"/>
        <v>0</v>
      </c>
      <c r="AG123" s="63">
        <f t="shared" ca="1" si="17"/>
        <v>52.386261001619836</v>
      </c>
      <c r="AH123" s="63">
        <f t="shared" ca="1" si="18"/>
        <v>52.386261001619836</v>
      </c>
      <c r="AI123" s="3">
        <f t="shared" ca="1" si="19"/>
        <v>0</v>
      </c>
    </row>
    <row r="124" spans="7:35">
      <c r="G124" s="3">
        <f t="shared" ca="1" si="14"/>
        <v>145</v>
      </c>
      <c r="H124" s="95">
        <f t="shared" ca="1" si="16"/>
        <v>45435</v>
      </c>
      <c r="I124" s="119">
        <f ca="1">HLOOKUP($H$4,'Met Data'!$A$2:$F$368,G124,FALSE)</f>
        <v>10.983333333333301</v>
      </c>
      <c r="J124" s="119">
        <f ca="1">HLOOKUP($H$4,'Met Data'!$H$2:$M$368,G124,FALSE)*L124</f>
        <v>5.61666666666666</v>
      </c>
      <c r="K124" s="96">
        <f ca="1">HLOOKUP($H$4,'Met Data'!$O$2:$T$368,G124,FALSE)</f>
        <v>0.95593712910075901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45481</v>
      </c>
      <c r="Q124">
        <f ca="1"/>
        <v>47.906144172509698</v>
      </c>
      <c r="R124">
        <f ca="1"/>
        <v>1.4433357706836887</v>
      </c>
      <c r="S124">
        <f ca="1"/>
        <v>1.0382910982457361E-2</v>
      </c>
      <c r="T124">
        <f ca="1"/>
        <v>0.56503702356331631</v>
      </c>
      <c r="U124">
        <f ca="1"/>
        <v>0</v>
      </c>
      <c r="V124">
        <f ca="1"/>
        <v>336.86981731836789</v>
      </c>
      <c r="W124">
        <f ca="1"/>
        <v>137.41775764735286</v>
      </c>
      <c r="X124">
        <f ca="1"/>
        <v>1.1101529023724022</v>
      </c>
      <c r="Y124">
        <f ca="1"/>
        <v>1</v>
      </c>
      <c r="Z124">
        <f ca="1"/>
        <v>3.293075931326122</v>
      </c>
      <c r="AA124">
        <f ca="1"/>
        <v>0</v>
      </c>
      <c r="AB124">
        <f ca="1"/>
        <v>0.99582925128182975</v>
      </c>
      <c r="AD124" s="2">
        <f t="shared" ca="1" si="12"/>
        <v>45481</v>
      </c>
      <c r="AE124">
        <f t="shared" ca="1" si="13"/>
        <v>0</v>
      </c>
      <c r="AG124" s="63">
        <f t="shared" ca="1" si="17"/>
        <v>50.459632845565793</v>
      </c>
      <c r="AH124" s="63">
        <f t="shared" ca="1" si="18"/>
        <v>50.459632845565793</v>
      </c>
      <c r="AI124" s="3">
        <f t="shared" ca="1" si="19"/>
        <v>0</v>
      </c>
    </row>
    <row r="125" spans="7:35">
      <c r="G125" s="3">
        <f t="shared" ca="1" si="14"/>
        <v>146</v>
      </c>
      <c r="H125" s="95">
        <f t="shared" ca="1" si="16"/>
        <v>45436</v>
      </c>
      <c r="I125" s="119">
        <f ca="1">HLOOKUP($H$4,'Met Data'!$A$2:$F$368,G125,FALSE)</f>
        <v>10.7666666666666</v>
      </c>
      <c r="J125" s="119">
        <f ca="1">HLOOKUP($H$4,'Met Data'!$H$2:$M$368,G125,FALSE)*L125</f>
        <v>3.1666666666666599</v>
      </c>
      <c r="K125" s="96">
        <f ca="1">HLOOKUP($H$4,'Met Data'!$O$2:$T$368,G125,FALSE)</f>
        <v>0.98597820560947502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45482</v>
      </c>
      <c r="Q125">
        <f ca="1"/>
        <v>46.679517143850312</v>
      </c>
      <c r="R125">
        <f ca="1"/>
        <v>1.4122191040409007</v>
      </c>
      <c r="S125">
        <f ca="1"/>
        <v>1.0429534824822895E-2</v>
      </c>
      <c r="T125">
        <f ca="1"/>
        <v>0.57000085701251524</v>
      </c>
      <c r="U125">
        <f ca="1"/>
        <v>0</v>
      </c>
      <c r="V125">
        <f ca="1"/>
        <v>338.28203642240879</v>
      </c>
      <c r="W125">
        <f ca="1"/>
        <v>137.9938377014488</v>
      </c>
      <c r="X125">
        <f ca="1"/>
        <v>0.39483831645582407</v>
      </c>
      <c r="Y125">
        <f ca="1"/>
        <v>1</v>
      </c>
      <c r="Z125">
        <f ca="1"/>
        <v>1.2019962137111975</v>
      </c>
      <c r="AA125">
        <f ca="1"/>
        <v>0</v>
      </c>
      <c r="AB125">
        <f ca="1"/>
        <v>0.98108022449432442</v>
      </c>
      <c r="AD125" s="2">
        <f t="shared" ca="1" si="12"/>
        <v>45482</v>
      </c>
      <c r="AE125">
        <f t="shared" ca="1" si="13"/>
        <v>0</v>
      </c>
      <c r="AG125" s="63">
        <f t="shared" ca="1" si="17"/>
        <v>48.486574564347038</v>
      </c>
      <c r="AH125" s="63">
        <f t="shared" ca="1" si="18"/>
        <v>48.486574564347038</v>
      </c>
      <c r="AI125" s="3">
        <f t="shared" ca="1" si="19"/>
        <v>0</v>
      </c>
    </row>
    <row r="126" spans="7:35">
      <c r="G126" s="3">
        <f t="shared" ca="1" si="14"/>
        <v>147</v>
      </c>
      <c r="H126" s="95">
        <f t="shared" ca="1" si="16"/>
        <v>45437</v>
      </c>
      <c r="I126" s="119">
        <f ca="1">HLOOKUP($H$4,'Met Data'!$A$2:$F$368,G126,FALSE)</f>
        <v>11.1833333333333</v>
      </c>
      <c r="J126" s="119">
        <f ca="1">HLOOKUP($H$4,'Met Data'!$H$2:$M$368,G126,FALSE)*L126</f>
        <v>6.1499999999999897</v>
      </c>
      <c r="K126" s="96">
        <f ca="1">HLOOKUP($H$4,'Met Data'!$O$2:$T$368,G126,FALSE)</f>
        <v>1.02530679052105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45483</v>
      </c>
      <c r="Q126">
        <f ca="1"/>
        <v>44.774928054639197</v>
      </c>
      <c r="R126">
        <f ca="1"/>
        <v>1.3331502551146173</v>
      </c>
      <c r="S126">
        <f ca="1"/>
        <v>1.0159564446638569E-2</v>
      </c>
      <c r="T126">
        <f ca="1"/>
        <v>0.55764400786107171</v>
      </c>
      <c r="U126">
        <f ca="1"/>
        <v>0</v>
      </c>
      <c r="V126">
        <f ca="1"/>
        <v>339.61518667752341</v>
      </c>
      <c r="W126">
        <f ca="1"/>
        <v>138.53766356309228</v>
      </c>
      <c r="X126">
        <f ca="1"/>
        <v>1.1392424064042104</v>
      </c>
      <c r="Y126">
        <f ca="1"/>
        <v>1</v>
      </c>
      <c r="Z126">
        <f ca="1"/>
        <v>3.615691839083361</v>
      </c>
      <c r="AA126">
        <f ca="1"/>
        <v>0</v>
      </c>
      <c r="AB126">
        <f ca="1"/>
        <v>0.96670402447091142</v>
      </c>
      <c r="AD126" s="2">
        <f t="shared" ca="1" si="12"/>
        <v>45483</v>
      </c>
      <c r="AE126">
        <f t="shared" ca="1" si="13"/>
        <v>0</v>
      </c>
      <c r="AG126" s="63">
        <f t="shared" ca="1" si="17"/>
        <v>47.247320716158022</v>
      </c>
      <c r="AH126" s="63">
        <f t="shared" ca="1" si="18"/>
        <v>47.247320716158022</v>
      </c>
      <c r="AI126" s="3">
        <f t="shared" ca="1" si="19"/>
        <v>0</v>
      </c>
    </row>
    <row r="127" spans="7:35">
      <c r="G127" s="3">
        <f t="shared" ca="1" si="14"/>
        <v>148</v>
      </c>
      <c r="H127" s="95">
        <f t="shared" ca="1" si="16"/>
        <v>45438</v>
      </c>
      <c r="I127" s="119">
        <f ca="1">HLOOKUP($H$4,'Met Data'!$A$2:$F$368,G127,FALSE)</f>
        <v>10.566666666666601</v>
      </c>
      <c r="J127" s="119">
        <f ca="1">HLOOKUP($H$4,'Met Data'!$H$2:$M$368,G127,FALSE)*L127</f>
        <v>2.7666666666666599</v>
      </c>
      <c r="K127" s="96">
        <f ca="1">HLOOKUP($H$4,'Met Data'!$O$2:$T$368,G127,FALSE)</f>
        <v>1.05508542906727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45484</v>
      </c>
      <c r="Q127">
        <f ca="1"/>
        <v>43.829508456982552</v>
      </c>
      <c r="R127">
        <f ca="1"/>
        <v>1.3446622159643766</v>
      </c>
      <c r="S127">
        <f ca="1"/>
        <v>1.0479567795670164E-2</v>
      </c>
      <c r="T127">
        <f ca="1"/>
        <v>0.57775051364613772</v>
      </c>
      <c r="U127">
        <f ca="1"/>
        <v>0</v>
      </c>
      <c r="V127">
        <f ca="1"/>
        <v>340.95984889348779</v>
      </c>
      <c r="W127">
        <f ca="1"/>
        <v>139.08618544606145</v>
      </c>
      <c r="X127">
        <f ca="1"/>
        <v>0.18898746313407247</v>
      </c>
      <c r="Y127">
        <f ca="1"/>
        <v>1</v>
      </c>
      <c r="Z127">
        <f ca="1"/>
        <v>0.61274046019860862</v>
      </c>
      <c r="AA127">
        <f ca="1"/>
        <v>0</v>
      </c>
      <c r="AB127">
        <f ca="1"/>
        <v>0.95172384508966834</v>
      </c>
      <c r="AD127" s="2">
        <f t="shared" ca="1" si="12"/>
        <v>45484</v>
      </c>
      <c r="AE127">
        <f t="shared" ca="1" si="13"/>
        <v>0</v>
      </c>
      <c r="AG127" s="63">
        <f t="shared" ca="1" si="17"/>
        <v>45.363158136081005</v>
      </c>
      <c r="AH127" s="63">
        <f t="shared" ca="1" si="18"/>
        <v>45.363158136081005</v>
      </c>
      <c r="AI127" s="3">
        <f t="shared" ca="1" si="19"/>
        <v>0</v>
      </c>
    </row>
    <row r="128" spans="7:35">
      <c r="G128" s="3">
        <f t="shared" ca="1" si="14"/>
        <v>149</v>
      </c>
      <c r="H128" s="95">
        <f t="shared" ca="1" si="16"/>
        <v>45439</v>
      </c>
      <c r="I128" s="119">
        <f ca="1">HLOOKUP($H$4,'Met Data'!$A$2:$F$368,G128,FALSE)</f>
        <v>10.283333333333299</v>
      </c>
      <c r="J128" s="119">
        <f ca="1">HLOOKUP($H$4,'Met Data'!$H$2:$M$368,G128,FALSE)*L128</f>
        <v>2.7333333333333298</v>
      </c>
      <c r="K128" s="96">
        <f ca="1">HLOOKUP($H$4,'Met Data'!$O$2:$T$368,G128,FALSE)</f>
        <v>0.96273544691676505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45485</v>
      </c>
      <c r="Q128">
        <f ca="1"/>
        <v>41.906905873556731</v>
      </c>
      <c r="R128">
        <f ca="1"/>
        <v>1.2576725987249802</v>
      </c>
      <c r="S128">
        <f ca="1"/>
        <v>1.0131675950361796E-2</v>
      </c>
      <c r="T128">
        <f ca="1"/>
        <v>0.56108621525375746</v>
      </c>
      <c r="U128">
        <f ca="1"/>
        <v>0</v>
      </c>
      <c r="V128">
        <f ca="1"/>
        <v>342.21752149221277</v>
      </c>
      <c r="W128">
        <f ca="1"/>
        <v>139.59922205393292</v>
      </c>
      <c r="X128">
        <f ca="1"/>
        <v>1.2361478759049636</v>
      </c>
      <c r="Y128">
        <f ca="1"/>
        <v>1</v>
      </c>
      <c r="Z128">
        <f ca="1"/>
        <v>4.191746337407146</v>
      </c>
      <c r="AA128">
        <f ca="1"/>
        <v>0</v>
      </c>
      <c r="AB128">
        <f ca="1"/>
        <v>0.93724325357230931</v>
      </c>
      <c r="AD128" s="2">
        <f t="shared" ca="1" si="12"/>
        <v>45485</v>
      </c>
      <c r="AE128">
        <f t="shared" ca="1" si="13"/>
        <v>0</v>
      </c>
      <c r="AG128" s="63">
        <f t="shared" ca="1" si="17"/>
        <v>44.400726348186673</v>
      </c>
      <c r="AH128" s="63">
        <f t="shared" ca="1" si="18"/>
        <v>44.400726348186673</v>
      </c>
      <c r="AI128" s="3">
        <f t="shared" ca="1" si="19"/>
        <v>0</v>
      </c>
    </row>
    <row r="129" spans="7:35">
      <c r="G129" s="3">
        <f t="shared" ca="1" si="14"/>
        <v>150</v>
      </c>
      <c r="H129" s="95">
        <f t="shared" ca="1" si="16"/>
        <v>45440</v>
      </c>
      <c r="I129" s="119">
        <f ca="1">HLOOKUP($H$4,'Met Data'!$A$2:$F$368,G129,FALSE)</f>
        <v>10.8</v>
      </c>
      <c r="J129" s="119">
        <f ca="1">HLOOKUP($H$4,'Met Data'!$H$2:$M$368,G129,FALSE)*L129</f>
        <v>3.2333333333333298</v>
      </c>
      <c r="K129" s="96">
        <f ca="1">HLOOKUP($H$4,'Met Data'!$O$2:$T$368,G129,FALSE)</f>
        <v>1.08816831727148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45486</v>
      </c>
      <c r="Q129">
        <f ca="1"/>
        <v>40.321789292664334</v>
      </c>
      <c r="R129">
        <f ca="1"/>
        <v>1.1911901195265955</v>
      </c>
      <c r="S129">
        <f ca="1"/>
        <v>9.9006543903783495E-3</v>
      </c>
      <c r="T129">
        <f ca="1"/>
        <v>0.55073996838800721</v>
      </c>
      <c r="U129">
        <f ca="1"/>
        <v>0</v>
      </c>
      <c r="V129">
        <f ca="1"/>
        <v>343.40871161173936</v>
      </c>
      <c r="W129">
        <f ca="1"/>
        <v>140.08513876935754</v>
      </c>
      <c r="X129">
        <f ca="1"/>
        <v>0.95456708414418456</v>
      </c>
      <c r="Y129">
        <f ca="1"/>
        <v>1</v>
      </c>
      <c r="Z129">
        <f ca="1"/>
        <v>3.3641613895058953</v>
      </c>
      <c r="AA129">
        <f ca="1"/>
        <v>0</v>
      </c>
      <c r="AB129">
        <f ca="1"/>
        <v>0.92307770067060857</v>
      </c>
      <c r="AD129" s="2">
        <f t="shared" ca="1" si="12"/>
        <v>45486</v>
      </c>
      <c r="AE129">
        <f t="shared" ca="1" si="13"/>
        <v>0</v>
      </c>
      <c r="AG129" s="63">
        <f t="shared" ca="1" si="17"/>
        <v>42.467546496335117</v>
      </c>
      <c r="AH129" s="63">
        <f t="shared" ca="1" si="18"/>
        <v>42.467546496335117</v>
      </c>
      <c r="AI129" s="3">
        <f t="shared" ca="1" si="19"/>
        <v>0</v>
      </c>
    </row>
    <row r="130" spans="7:35">
      <c r="G130" s="3">
        <f t="shared" ca="1" si="14"/>
        <v>151</v>
      </c>
      <c r="H130" s="95">
        <f t="shared" ca="1" si="16"/>
        <v>45441</v>
      </c>
      <c r="I130" s="119">
        <f ca="1">HLOOKUP($H$4,'Met Data'!$A$2:$F$368,G130,FALSE)</f>
        <v>9.6624999999999996</v>
      </c>
      <c r="J130" s="119">
        <f ca="1">HLOOKUP($H$4,'Met Data'!$H$2:$M$368,G130,FALSE)*L130</f>
        <v>1.88333333333333</v>
      </c>
      <c r="K130" s="96">
        <f ca="1">HLOOKUP($H$4,'Met Data'!$O$2:$T$368,G130,FALSE)</f>
        <v>1.0187040175234601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45487</v>
      </c>
      <c r="Q130">
        <f ca="1"/>
        <v>39.35047706563595</v>
      </c>
      <c r="R130">
        <f ca="1"/>
        <v>1.288442734938144</v>
      </c>
      <c r="S130">
        <f ca="1"/>
        <v>1.0872553145759412E-2</v>
      </c>
      <c r="T130">
        <f ca="1"/>
        <v>0.60765955040397923</v>
      </c>
      <c r="U130">
        <f ca="1"/>
        <v>0</v>
      </c>
      <c r="V130">
        <f ca="1"/>
        <v>344.69715434667751</v>
      </c>
      <c r="W130">
        <f ca="1"/>
        <v>140.61072729759567</v>
      </c>
      <c r="X130">
        <f ca="1"/>
        <v>0.30140159563997981</v>
      </c>
      <c r="Y130">
        <f ca="1"/>
        <v>1</v>
      </c>
      <c r="Z130">
        <f ca="1"/>
        <v>1.088443044621485</v>
      </c>
      <c r="AA130">
        <f ca="1"/>
        <v>0</v>
      </c>
      <c r="AB130">
        <f ca="1"/>
        <v>0.90722375092770124</v>
      </c>
      <c r="AD130" s="2">
        <f t="shared" ca="1" si="12"/>
        <v>45487</v>
      </c>
      <c r="AE130">
        <f t="shared" ca="1" si="13"/>
        <v>0</v>
      </c>
      <c r="AG130" s="63">
        <f t="shared" ca="1" si="17"/>
        <v>40.940321396214074</v>
      </c>
      <c r="AH130" s="63">
        <f t="shared" ca="1" si="18"/>
        <v>40.940321396214074</v>
      </c>
      <c r="AI130" s="3">
        <f t="shared" ca="1" si="19"/>
        <v>0</v>
      </c>
    </row>
    <row r="131" spans="7:35">
      <c r="G131" s="3">
        <f t="shared" ca="1" si="14"/>
        <v>152</v>
      </c>
      <c r="H131" s="95">
        <f t="shared" ca="1" si="16"/>
        <v>45442</v>
      </c>
      <c r="I131" s="119">
        <f ca="1">HLOOKUP($H$4,'Met Data'!$A$2:$F$368,G131,FALSE)</f>
        <v>9.7166666666666597</v>
      </c>
      <c r="J131" s="119">
        <f ca="1">HLOOKUP($H$4,'Met Data'!$H$2:$M$368,G131,FALSE)*L131</f>
        <v>4.7</v>
      </c>
      <c r="K131" s="96">
        <f ca="1">HLOOKUP($H$4,'Met Data'!$O$2:$T$368,G131,FALSE)</f>
        <v>1.10197006718848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45488</v>
      </c>
      <c r="Q131">
        <f ca="1"/>
        <v>37.339484494814918</v>
      </c>
      <c r="R131">
        <f ca="1"/>
        <v>1.2424574277679312</v>
      </c>
      <c r="S131">
        <f ca="1"/>
        <v>1.081812638560109E-2</v>
      </c>
      <c r="T131">
        <f ca="1"/>
        <v>0.60765955040397923</v>
      </c>
      <c r="U131">
        <f ca="1"/>
        <v>0</v>
      </c>
      <c r="V131">
        <f ca="1"/>
        <v>345.93961177444544</v>
      </c>
      <c r="W131">
        <f ca="1"/>
        <v>141.11755725064788</v>
      </c>
      <c r="X131">
        <f ca="1"/>
        <v>1.3870128198426808</v>
      </c>
      <c r="Y131">
        <f ca="1"/>
        <v>1</v>
      </c>
      <c r="Z131">
        <f ca="1"/>
        <v>5.2786433565918145</v>
      </c>
      <c r="AA131">
        <f ca="1"/>
        <v>0</v>
      </c>
      <c r="AB131">
        <f ca="1"/>
        <v>0.89136980118479392</v>
      </c>
      <c r="AD131" s="2">
        <f t="shared" ca="1" si="12"/>
        <v>45488</v>
      </c>
      <c r="AE131">
        <f t="shared" ca="1" si="13"/>
        <v>0</v>
      </c>
      <c r="AG131" s="63">
        <f t="shared" ca="1" si="17"/>
        <v>39.968954742425531</v>
      </c>
      <c r="AH131" s="63">
        <f t="shared" ca="1" si="18"/>
        <v>39.968954742425531</v>
      </c>
      <c r="AI131" s="3">
        <f t="shared" ca="1" si="19"/>
        <v>0</v>
      </c>
    </row>
    <row r="132" spans="7:35">
      <c r="G132" s="3">
        <f t="shared" ca="1" si="14"/>
        <v>153</v>
      </c>
      <c r="H132" s="95">
        <f t="shared" ca="1" si="16"/>
        <v>45443</v>
      </c>
      <c r="I132" s="119">
        <f ca="1">HLOOKUP($H$4,'Met Data'!$A$2:$F$368,G132,FALSE)</f>
        <v>10.004166666666601</v>
      </c>
      <c r="J132" s="119">
        <f ca="1">HLOOKUP($H$4,'Met Data'!$H$2:$M$368,G132,FALSE)*L132</f>
        <v>2.5</v>
      </c>
      <c r="K132" s="96">
        <f ca="1">HLOOKUP($H$4,'Met Data'!$O$2:$T$368,G132,FALSE)</f>
        <v>1.1690097853574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45489</v>
      </c>
      <c r="Q132">
        <f ca="1"/>
        <v>35.790048296682151</v>
      </c>
      <c r="R132">
        <f ca="1"/>
        <v>1.2947527915700334</v>
      </c>
      <c r="S132">
        <f ca="1"/>
        <v>1.158742776644317E-2</v>
      </c>
      <c r="T132">
        <f ca="1"/>
        <v>0.6543257182393688</v>
      </c>
      <c r="U132">
        <f ca="1"/>
        <v>0</v>
      </c>
      <c r="V132">
        <f ca="1"/>
        <v>347.23436456601547</v>
      </c>
      <c r="W132">
        <f ca="1"/>
        <v>141.64571981131166</v>
      </c>
      <c r="X132">
        <f ca="1"/>
        <v>0.92059655256855055</v>
      </c>
      <c r="Y132">
        <f ca="1"/>
        <v>1</v>
      </c>
      <c r="Z132">
        <f ca="1"/>
        <v>3.6552511547499691</v>
      </c>
      <c r="AA132">
        <f ca="1"/>
        <v>0</v>
      </c>
      <c r="AB132">
        <f ca="1"/>
        <v>0.8742062126996557</v>
      </c>
      <c r="AD132" s="2">
        <f t="shared" ca="1" si="12"/>
        <v>45489</v>
      </c>
      <c r="AE132">
        <f t="shared" ca="1" si="13"/>
        <v>0</v>
      </c>
      <c r="AG132" s="63">
        <f t="shared" ca="1" si="17"/>
        <v>38.005397640820732</v>
      </c>
      <c r="AH132" s="63">
        <f t="shared" ca="1" si="18"/>
        <v>38.005397640820732</v>
      </c>
      <c r="AI132" s="3">
        <f t="shared" ca="1" si="19"/>
        <v>0</v>
      </c>
    </row>
    <row r="133" spans="7:35">
      <c r="G133" s="3">
        <f t="shared" ca="1" si="14"/>
        <v>154</v>
      </c>
      <c r="H133" s="95">
        <f t="shared" ca="1" si="16"/>
        <v>45444</v>
      </c>
      <c r="I133" s="119">
        <f ca="1">HLOOKUP($H$4,'Met Data'!$A$2:$F$368,G133,FALSE)</f>
        <v>9.99583333333333</v>
      </c>
      <c r="J133" s="119">
        <f ca="1">HLOOKUP($H$4,'Met Data'!$H$2:$M$368,G133,FALSE)*L133</f>
        <v>2.7833333333333301</v>
      </c>
      <c r="K133" s="96">
        <f ca="1">HLOOKUP($H$4,'Met Data'!$O$2:$T$368,G133,FALSE)</f>
        <v>1.0280895768516001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45490</v>
      </c>
      <c r="Q133">
        <f ca="1"/>
        <v>35.239637549807064</v>
      </c>
      <c r="R133">
        <f ca="1"/>
        <v>1.1490393502892289</v>
      </c>
      <c r="S133">
        <f ca="1"/>
        <v>1.0687938968970911E-2</v>
      </c>
      <c r="T133">
        <f ca="1"/>
        <v>0.60678270476712359</v>
      </c>
      <c r="U133">
        <f ca="1"/>
        <v>0</v>
      </c>
      <c r="V133">
        <f ca="1"/>
        <v>348.3834039163047</v>
      </c>
      <c r="W133">
        <f ca="1"/>
        <v>142.11444215700072</v>
      </c>
      <c r="X133">
        <f ca="1"/>
        <v>1.8842040321948573E-2</v>
      </c>
      <c r="Y133">
        <f ca="1"/>
        <v>1</v>
      </c>
      <c r="Z133">
        <f ca="1"/>
        <v>7.5981289381815031E-2</v>
      </c>
      <c r="AA133">
        <f ca="1"/>
        <v>0</v>
      </c>
      <c r="AB133">
        <f ca="1"/>
        <v>0.85837747960333766</v>
      </c>
      <c r="AD133" s="2">
        <f t="shared" ca="1" si="12"/>
        <v>45490</v>
      </c>
      <c r="AE133">
        <f t="shared" ca="1" si="13"/>
        <v>0</v>
      </c>
      <c r="AG133" s="63">
        <f t="shared" ca="1" si="17"/>
        <v>36.407518940418242</v>
      </c>
      <c r="AH133" s="63">
        <f t="shared" ca="1" si="18"/>
        <v>36.407518940418242</v>
      </c>
      <c r="AI133" s="3">
        <f t="shared" ca="1" si="19"/>
        <v>0</v>
      </c>
    </row>
    <row r="134" spans="7:35">
      <c r="G134" s="3">
        <f t="shared" ca="1" si="14"/>
        <v>155</v>
      </c>
      <c r="H134" s="95">
        <f t="shared" ca="1" si="16"/>
        <v>45445</v>
      </c>
      <c r="I134" s="119">
        <f ca="1">HLOOKUP($H$4,'Met Data'!$A$2:$F$368,G134,FALSE)</f>
        <v>9.8999999999999897</v>
      </c>
      <c r="J134" s="119">
        <f ca="1">HLOOKUP($H$4,'Met Data'!$H$2:$M$368,G134,FALSE)*L134</f>
        <v>1.7833333333333301</v>
      </c>
      <c r="K134" s="96">
        <f ca="1">HLOOKUP($H$4,'Met Data'!$O$2:$T$368,G134,FALSE)</f>
        <v>0.97110296937720297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45491</v>
      </c>
      <c r="Q134">
        <f ca="1"/>
        <v>34.6952570217586</v>
      </c>
      <c r="R134">
        <f ca="1"/>
        <v>1.1251594523129711</v>
      </c>
      <c r="S134">
        <f ca="1"/>
        <v>1.0792224425927088E-2</v>
      </c>
      <c r="T134">
        <f ca="1"/>
        <v>0.61594942662656826</v>
      </c>
      <c r="U134">
        <f ca="1"/>
        <v>0</v>
      </c>
      <c r="V134">
        <f ca="1"/>
        <v>349.50856336861767</v>
      </c>
      <c r="W134">
        <f ca="1"/>
        <v>142.57342328556663</v>
      </c>
      <c r="X134">
        <f ca="1"/>
        <v>4.5962726787988115E-2</v>
      </c>
      <c r="Y134">
        <f ca="1"/>
        <v>1</v>
      </c>
      <c r="Z134">
        <f ca="1"/>
        <v>0.18825470529200317</v>
      </c>
      <c r="AA134">
        <f ca="1"/>
        <v>0</v>
      </c>
      <c r="AB134">
        <f ca="1"/>
        <v>0.84228627646509868</v>
      </c>
      <c r="AD134" s="2">
        <f t="shared" ref="AD134:AD197" ca="1" si="22">IFERROR(P134,$AD$4)</f>
        <v>45491</v>
      </c>
      <c r="AE134">
        <f t="shared" ref="AE134:AE197" ca="1" si="23">IFERROR(U134,0)</f>
        <v>0</v>
      </c>
      <c r="AG134" s="63">
        <f t="shared" ca="1" si="17"/>
        <v>35.866379200859562</v>
      </c>
      <c r="AH134" s="63">
        <f t="shared" ca="1" si="18"/>
        <v>35.866379200859562</v>
      </c>
      <c r="AI134" s="3">
        <f t="shared" ca="1" si="19"/>
        <v>0</v>
      </c>
    </row>
    <row r="135" spans="7:35">
      <c r="G135" s="3">
        <f t="shared" ref="G135:G198" ca="1" si="24">H135-DATE(YEAR(H135),1,0)+1</f>
        <v>156</v>
      </c>
      <c r="H135" s="95">
        <f t="shared" ca="1" si="16"/>
        <v>45446</v>
      </c>
      <c r="I135" s="119">
        <f ca="1">HLOOKUP($H$4,'Met Data'!$A$2:$F$368,G135,FALSE)</f>
        <v>10.95</v>
      </c>
      <c r="J135" s="119">
        <f ca="1">HLOOKUP($H$4,'Met Data'!$H$2:$M$368,G135,FALSE)*L135</f>
        <v>2.44999999999999</v>
      </c>
      <c r="K135" s="96">
        <f ca="1">HLOOKUP($H$4,'Met Data'!$O$2:$T$368,G135,FALSE)</f>
        <v>0.960770877493487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45492</v>
      </c>
      <c r="Q135">
        <f ca="1"/>
        <v>33.783066971266948</v>
      </c>
      <c r="R135">
        <f ca="1"/>
        <v>1.1431924294271312</v>
      </c>
      <c r="S135">
        <f ca="1"/>
        <v>1.1298144548135269E-2</v>
      </c>
      <c r="T135">
        <f ca="1"/>
        <v>0.64840792028976846</v>
      </c>
      <c r="U135">
        <f ca="1"/>
        <v>0</v>
      </c>
      <c r="V135">
        <f ca="1"/>
        <v>350.6517557980448</v>
      </c>
      <c r="W135">
        <f ca="1"/>
        <v>143.03976052367796</v>
      </c>
      <c r="X135">
        <f ca="1"/>
        <v>0.4287036859024268</v>
      </c>
      <c r="Y135">
        <f ca="1"/>
        <v>1</v>
      </c>
      <c r="Z135">
        <f ca="1"/>
        <v>1.8033013448346225</v>
      </c>
      <c r="AA135">
        <f ca="1"/>
        <v>0</v>
      </c>
      <c r="AB135">
        <f ca="1"/>
        <v>0.82528537602247343</v>
      </c>
      <c r="AD135" s="2">
        <f t="shared" ca="1" si="22"/>
        <v>45492</v>
      </c>
      <c r="AE135">
        <f t="shared" ca="1" si="23"/>
        <v>0</v>
      </c>
      <c r="AG135" s="63">
        <f t="shared" ca="1" si="17"/>
        <v>35.354963086596506</v>
      </c>
      <c r="AH135" s="63">
        <f t="shared" ca="1" si="18"/>
        <v>35.354963086596506</v>
      </c>
      <c r="AI135" s="3">
        <f t="shared" ca="1" si="19"/>
        <v>0</v>
      </c>
    </row>
    <row r="136" spans="7:35">
      <c r="G136" s="3">
        <f t="shared" ca="1" si="24"/>
        <v>157</v>
      </c>
      <c r="H136" s="95">
        <f t="shared" ref="H136:H199" ca="1" si="26">H135+1</f>
        <v>45447</v>
      </c>
      <c r="I136" s="119">
        <f ca="1">HLOOKUP($H$4,'Met Data'!$A$2:$F$368,G136,FALSE)</f>
        <v>10.6875</v>
      </c>
      <c r="J136" s="119">
        <f ca="1">HLOOKUP($H$4,'Met Data'!$H$2:$M$368,G136,FALSE)*L136</f>
        <v>4.1333333333333302</v>
      </c>
      <c r="K136" s="96">
        <f ca="1">HLOOKUP($H$4,'Met Data'!$O$2:$T$368,G136,FALSE)</f>
        <v>0.84332690198160198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45493</v>
      </c>
      <c r="Q136">
        <f ca="1"/>
        <v>32.741427848415015</v>
      </c>
      <c r="R136">
        <f ca="1"/>
        <v>1.135584947123391</v>
      </c>
      <c r="S136">
        <f ca="1"/>
        <v>1.1610877148285681E-2</v>
      </c>
      <c r="T136">
        <f ca="1"/>
        <v>0.67027497962928773</v>
      </c>
      <c r="U136">
        <f ca="1"/>
        <v>0</v>
      </c>
      <c r="V136">
        <f ca="1"/>
        <v>351.78734074516819</v>
      </c>
      <c r="W136">
        <f ca="1"/>
        <v>143.50299447646719</v>
      </c>
      <c r="X136">
        <f ca="1"/>
        <v>0.58794003250612004</v>
      </c>
      <c r="Y136">
        <f ca="1"/>
        <v>1</v>
      </c>
      <c r="Z136">
        <f ca="1"/>
        <v>2.5517938138543315</v>
      </c>
      <c r="AA136">
        <f ca="1"/>
        <v>0</v>
      </c>
      <c r="AB136">
        <f ca="1"/>
        <v>0.80768795275729999</v>
      </c>
      <c r="AD136" s="2">
        <f t="shared" ca="1" si="22"/>
        <v>45493</v>
      </c>
      <c r="AE136">
        <f t="shared" ca="1" si="23"/>
        <v>0</v>
      </c>
      <c r="AG136" s="63">
        <f t="shared" ref="AG136:AG199" ca="1" si="27">Q135+S136+T136+U136</f>
        <v>34.464952828044524</v>
      </c>
      <c r="AH136" s="63">
        <f t="shared" ref="AH136:AH199" ca="1" si="28">Q136+R136+X136</f>
        <v>34.464952828044524</v>
      </c>
      <c r="AI136" s="3">
        <f t="shared" ref="AI136:AI199" ca="1" si="29">AH136-AG136</f>
        <v>0</v>
      </c>
    </row>
    <row r="137" spans="7:35">
      <c r="G137" s="3">
        <f t="shared" ca="1" si="24"/>
        <v>158</v>
      </c>
      <c r="H137" s="95">
        <f t="shared" ca="1" si="26"/>
        <v>45448</v>
      </c>
      <c r="I137" s="119">
        <f ca="1">HLOOKUP($H$4,'Met Data'!$A$2:$F$368,G137,FALSE)</f>
        <v>10.5625</v>
      </c>
      <c r="J137" s="119">
        <f ca="1">HLOOKUP($H$4,'Met Data'!$H$2:$M$368,G137,FALSE)*L137</f>
        <v>5.3</v>
      </c>
      <c r="K137" s="96">
        <f ca="1">HLOOKUP($H$4,'Met Data'!$O$2:$T$368,G137,FALSE)</f>
        <v>0.93242759876210701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45494</v>
      </c>
      <c r="Q137">
        <f ca="1"/>
        <v>31.526568467546397</v>
      </c>
      <c r="R137">
        <f ca="1"/>
        <v>1.1099130707729046</v>
      </c>
      <c r="S137">
        <f ca="1"/>
        <v>1.1765103517433317E-2</v>
      </c>
      <c r="T137">
        <f ca="1"/>
        <v>0.68333846809331622</v>
      </c>
      <c r="U137">
        <f ca="1"/>
        <v>0</v>
      </c>
      <c r="V137">
        <f ca="1"/>
        <v>352.8972538159411</v>
      </c>
      <c r="W137">
        <f ca="1"/>
        <v>143.955756218624</v>
      </c>
      <c r="X137">
        <f ca="1"/>
        <v>0.80004988170646563</v>
      </c>
      <c r="Y137">
        <f ca="1"/>
        <v>1</v>
      </c>
      <c r="Z137">
        <f ca="1"/>
        <v>3.6062059559819915</v>
      </c>
      <c r="AA137">
        <f ca="1"/>
        <v>0</v>
      </c>
      <c r="AB137">
        <f ca="1"/>
        <v>0.78974007233387933</v>
      </c>
      <c r="AD137" s="2">
        <f t="shared" ca="1" si="22"/>
        <v>45494</v>
      </c>
      <c r="AE137">
        <f t="shared" ca="1" si="23"/>
        <v>0</v>
      </c>
      <c r="AG137" s="63">
        <f t="shared" ca="1" si="27"/>
        <v>33.436531420025766</v>
      </c>
      <c r="AH137" s="63">
        <f t="shared" ca="1" si="28"/>
        <v>33.436531420025766</v>
      </c>
      <c r="AI137" s="3">
        <f t="shared" ca="1" si="29"/>
        <v>0</v>
      </c>
    </row>
    <row r="138" spans="7:35">
      <c r="G138" s="3">
        <f t="shared" ca="1" si="24"/>
        <v>159</v>
      </c>
      <c r="H138" s="95">
        <f t="shared" ca="1" si="26"/>
        <v>45449</v>
      </c>
      <c r="I138" s="119">
        <f ca="1">HLOOKUP($H$4,'Met Data'!$A$2:$F$368,G138,FALSE)</f>
        <v>10.4625</v>
      </c>
      <c r="J138" s="119">
        <f ca="1">HLOOKUP($H$4,'Met Data'!$H$2:$M$368,G138,FALSE)*L138</f>
        <v>2.44999999999999</v>
      </c>
      <c r="K138" s="96">
        <f ca="1">HLOOKUP($H$4,'Met Data'!$O$2:$T$368,G138,FALSE)</f>
        <v>0.99912564942381998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45495</v>
      </c>
      <c r="Q138">
        <f ca="1"/>
        <v>30.247182848292102</v>
      </c>
      <c r="R138">
        <f ca="1"/>
        <v>1.0001519775067322</v>
      </c>
      <c r="S138">
        <f ca="1"/>
        <v>1.1013034394920851E-2</v>
      </c>
      <c r="T138">
        <f ca="1"/>
        <v>0.64355161573716402</v>
      </c>
      <c r="U138">
        <f ca="1"/>
        <v>0</v>
      </c>
      <c r="V138">
        <f ca="1"/>
        <v>353.89740579344783</v>
      </c>
      <c r="W138">
        <f ca="1"/>
        <v>144.36374362203583</v>
      </c>
      <c r="X138">
        <f ca="1"/>
        <v>0.93379829187965058</v>
      </c>
      <c r="Y138">
        <f ca="1"/>
        <v>1</v>
      </c>
      <c r="Z138">
        <f ca="1"/>
        <v>4.3871078066843197</v>
      </c>
      <c r="AA138">
        <f ca="1"/>
        <v>0</v>
      </c>
      <c r="AB138">
        <f ca="1"/>
        <v>0.77287338952632756</v>
      </c>
      <c r="AD138" s="2">
        <f t="shared" ca="1" si="22"/>
        <v>45495</v>
      </c>
      <c r="AE138">
        <f t="shared" ca="1" si="23"/>
        <v>0</v>
      </c>
      <c r="AG138" s="63">
        <f t="shared" ca="1" si="27"/>
        <v>32.181133117678485</v>
      </c>
      <c r="AH138" s="63">
        <f t="shared" ca="1" si="28"/>
        <v>32.181133117678485</v>
      </c>
      <c r="AI138" s="3">
        <f t="shared" ca="1" si="29"/>
        <v>0</v>
      </c>
    </row>
    <row r="139" spans="7:35">
      <c r="G139" s="3">
        <f t="shared" ca="1" si="24"/>
        <v>160</v>
      </c>
      <c r="H139" s="95">
        <f t="shared" ca="1" si="26"/>
        <v>45450</v>
      </c>
      <c r="I139" s="119">
        <f ca="1">HLOOKUP($H$4,'Met Data'!$A$2:$F$368,G139,FALSE)</f>
        <v>9.5875000000000004</v>
      </c>
      <c r="J139" s="119">
        <f ca="1">HLOOKUP($H$4,'Met Data'!$H$2:$M$368,G139,FALSE)*L139</f>
        <v>1.7333333333333301</v>
      </c>
      <c r="K139" s="96">
        <f ca="1">HLOOKUP($H$4,'Met Data'!$O$2:$T$368,G139,FALSE)</f>
        <v>1.0839051549829499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45496</v>
      </c>
      <c r="Q139">
        <f ca="1"/>
        <v>29.713333583969142</v>
      </c>
      <c r="R139">
        <f ca="1"/>
        <v>0.95754038927879037</v>
      </c>
      <c r="S139">
        <f ca="1"/>
        <v>1.0920151044160775E-2</v>
      </c>
      <c r="T139">
        <f ca="1"/>
        <v>0.64193804099125662</v>
      </c>
      <c r="U139">
        <f ca="1"/>
        <v>0</v>
      </c>
      <c r="V139">
        <f ca="1"/>
        <v>354.85494618272662</v>
      </c>
      <c r="W139">
        <f ca="1"/>
        <v>144.75434867593742</v>
      </c>
      <c r="X139">
        <f ca="1"/>
        <v>0.22916706707958634</v>
      </c>
      <c r="Y139">
        <f ca="1"/>
        <v>1</v>
      </c>
      <c r="Z139">
        <f ca="1"/>
        <v>1.0960011027519769</v>
      </c>
      <c r="AA139">
        <f ca="1"/>
        <v>0</v>
      </c>
      <c r="AB139">
        <f ca="1"/>
        <v>0.75605144593046658</v>
      </c>
      <c r="AD139" s="2">
        <f t="shared" ca="1" si="22"/>
        <v>45496</v>
      </c>
      <c r="AE139">
        <f t="shared" ca="1" si="23"/>
        <v>0</v>
      </c>
      <c r="AG139" s="63">
        <f t="shared" ca="1" si="27"/>
        <v>30.900041040327519</v>
      </c>
      <c r="AH139" s="63">
        <f t="shared" ca="1" si="28"/>
        <v>30.900041040327519</v>
      </c>
      <c r="AI139" s="3">
        <f t="shared" ca="1" si="29"/>
        <v>0</v>
      </c>
    </row>
    <row r="140" spans="7:35">
      <c r="G140" s="3">
        <f t="shared" ca="1" si="24"/>
        <v>161</v>
      </c>
      <c r="H140" s="95">
        <f t="shared" ca="1" si="26"/>
        <v>45451</v>
      </c>
      <c r="I140" s="119">
        <f ca="1">HLOOKUP($H$4,'Met Data'!$A$2:$F$368,G140,FALSE)</f>
        <v>9.4875000000000007</v>
      </c>
      <c r="J140" s="119">
        <f ca="1">HLOOKUP($H$4,'Met Data'!$H$2:$M$368,G140,FALSE)*L140</f>
        <v>1.55</v>
      </c>
      <c r="K140" s="96">
        <f ca="1">HLOOKUP($H$4,'Met Data'!$O$2:$T$368,G140,FALSE)</f>
        <v>0.94567596592895498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45497</v>
      </c>
      <c r="Q140">
        <f ca="1"/>
        <v>29.461837384360035</v>
      </c>
      <c r="R140">
        <f ca="1"/>
        <v>0.87387884878125988</v>
      </c>
      <c r="S140">
        <f ca="1"/>
        <v>1.0350318194014108E-2</v>
      </c>
      <c r="T140">
        <f ca="1"/>
        <v>0.61203233097813936</v>
      </c>
      <c r="U140">
        <f ca="1"/>
        <v>0</v>
      </c>
      <c r="V140">
        <f ca="1"/>
        <v>355.72882503150788</v>
      </c>
      <c r="W140">
        <f ca="1"/>
        <v>145.11082606180389</v>
      </c>
      <c r="X140">
        <f ca="1"/>
        <v>0</v>
      </c>
      <c r="Y140">
        <f ca="1"/>
        <v>0.99820832302443341</v>
      </c>
      <c r="Z140">
        <f ca="1"/>
        <v>0</v>
      </c>
      <c r="AA140">
        <f ca="1"/>
        <v>0</v>
      </c>
      <c r="AB140">
        <f ca="1"/>
        <v>0.74007209082145531</v>
      </c>
      <c r="AD140" s="2">
        <f t="shared" ca="1" si="22"/>
        <v>45497</v>
      </c>
      <c r="AE140">
        <f t="shared" ca="1" si="23"/>
        <v>0</v>
      </c>
      <c r="AG140" s="63">
        <f t="shared" ca="1" si="27"/>
        <v>30.335716233141294</v>
      </c>
      <c r="AH140" s="63">
        <f t="shared" ca="1" si="28"/>
        <v>30.335716233141294</v>
      </c>
      <c r="AI140" s="3">
        <f t="shared" ca="1" si="29"/>
        <v>0</v>
      </c>
    </row>
    <row r="141" spans="7:35">
      <c r="G141" s="3">
        <f t="shared" ca="1" si="24"/>
        <v>162</v>
      </c>
      <c r="H141" s="95">
        <f t="shared" ca="1" si="26"/>
        <v>45452</v>
      </c>
      <c r="I141" s="119">
        <f ca="1">HLOOKUP($H$4,'Met Data'!$A$2:$F$368,G141,FALSE)</f>
        <v>10.9</v>
      </c>
      <c r="J141" s="119">
        <f ca="1">HLOOKUP($H$4,'Met Data'!$H$2:$M$368,G141,FALSE)*L141</f>
        <v>4.8363636363636298</v>
      </c>
      <c r="K141" s="96">
        <f ca="1">HLOOKUP($H$4,'Met Data'!$O$2:$T$368,G141,FALSE)</f>
        <v>0.77149259834587403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45498</v>
      </c>
      <c r="Q141">
        <f ca="1"/>
        <v>29.248727465139211</v>
      </c>
      <c r="R141">
        <f ca="1"/>
        <v>0.82489171091702929</v>
      </c>
      <c r="S141">
        <f ca="1"/>
        <v>1.0116514592937165E-2</v>
      </c>
      <c r="T141">
        <f ca="1"/>
        <v>0.60166527710326823</v>
      </c>
      <c r="U141">
        <f ca="1"/>
        <v>0</v>
      </c>
      <c r="V141">
        <f ca="1"/>
        <v>356.55371674242491</v>
      </c>
      <c r="W141">
        <f ca="1"/>
        <v>145.44732034947401</v>
      </c>
      <c r="X141">
        <f ca="1"/>
        <v>0</v>
      </c>
      <c r="Y141">
        <f ca="1"/>
        <v>0.98220170392359119</v>
      </c>
      <c r="Z141">
        <f ca="1"/>
        <v>0</v>
      </c>
      <c r="AA141">
        <f ca="1"/>
        <v>0</v>
      </c>
      <c r="AB141">
        <f ca="1"/>
        <v>0.72439099712371802</v>
      </c>
      <c r="AD141" s="2">
        <f t="shared" ca="1" si="22"/>
        <v>45498</v>
      </c>
      <c r="AE141">
        <f t="shared" ca="1" si="23"/>
        <v>0</v>
      </c>
      <c r="AG141" s="63">
        <f t="shared" ca="1" si="27"/>
        <v>30.073619176056241</v>
      </c>
      <c r="AH141" s="63">
        <f t="shared" ca="1" si="28"/>
        <v>30.073619176056241</v>
      </c>
      <c r="AI141" s="3">
        <f t="shared" ca="1" si="29"/>
        <v>0</v>
      </c>
    </row>
    <row r="142" spans="7:35">
      <c r="G142" s="3">
        <f t="shared" ca="1" si="24"/>
        <v>163</v>
      </c>
      <c r="H142" s="95">
        <f t="shared" ca="1" si="26"/>
        <v>45453</v>
      </c>
      <c r="I142" s="119">
        <f ca="1">HLOOKUP($H$4,'Met Data'!$A$2:$F$368,G142,FALSE)</f>
        <v>10.8954545454545</v>
      </c>
      <c r="J142" s="119">
        <f ca="1">HLOOKUP($H$4,'Met Data'!$H$2:$M$368,G142,FALSE)*L142</f>
        <v>7.1454545454545402</v>
      </c>
      <c r="K142" s="96">
        <f ca="1">HLOOKUP($H$4,'Met Data'!$O$2:$T$368,G142,FALSE)</f>
        <v>0.76887644299908198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45499</v>
      </c>
      <c r="Q142">
        <f ca="1"/>
        <v>29.052792565609366</v>
      </c>
      <c r="R142">
        <f ca="1"/>
        <v>0.84424065171276652</v>
      </c>
      <c r="S142">
        <f ca="1"/>
        <v>1.0657894894308129E-2</v>
      </c>
      <c r="T142">
        <f ca="1"/>
        <v>0.6376478572886124</v>
      </c>
      <c r="U142">
        <f ca="1"/>
        <v>0</v>
      </c>
      <c r="V142">
        <f ca="1"/>
        <v>357.39795739413768</v>
      </c>
      <c r="W142">
        <f ca="1"/>
        <v>145.79170756171115</v>
      </c>
      <c r="X142">
        <f ca="1"/>
        <v>0</v>
      </c>
      <c r="Y142">
        <f ca="1"/>
        <v>0.99892260404114186</v>
      </c>
      <c r="Z142">
        <f ca="1"/>
        <v>0</v>
      </c>
      <c r="AA142">
        <f ca="1"/>
        <v>0</v>
      </c>
      <c r="AB142">
        <f ca="1"/>
        <v>0.70768835809236696</v>
      </c>
      <c r="AD142" s="2">
        <f t="shared" ca="1" si="22"/>
        <v>45499</v>
      </c>
      <c r="AE142">
        <f t="shared" ca="1" si="23"/>
        <v>0</v>
      </c>
      <c r="AG142" s="63">
        <f t="shared" ca="1" si="27"/>
        <v>29.897033217322132</v>
      </c>
      <c r="AH142" s="63">
        <f t="shared" ca="1" si="28"/>
        <v>29.897033217322132</v>
      </c>
      <c r="AI142" s="3">
        <f t="shared" ca="1" si="29"/>
        <v>0</v>
      </c>
    </row>
    <row r="143" spans="7:35">
      <c r="G143" s="3">
        <f t="shared" ca="1" si="24"/>
        <v>164</v>
      </c>
      <c r="H143" s="95">
        <f t="shared" ca="1" si="26"/>
        <v>45454</v>
      </c>
      <c r="I143" s="119">
        <f ca="1">HLOOKUP($H$4,'Met Data'!$A$2:$F$368,G143,FALSE)</f>
        <v>11.8375</v>
      </c>
      <c r="J143" s="119">
        <f ca="1">HLOOKUP($H$4,'Met Data'!$H$2:$M$368,G143,FALSE)*L143</f>
        <v>0.88333333333333297</v>
      </c>
      <c r="K143" s="96">
        <f ca="1">HLOOKUP($H$4,'Met Data'!$O$2:$T$368,G143,FALSE)</f>
        <v>0.886573255907814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45500</v>
      </c>
      <c r="Q143">
        <f ca="1"/>
        <v>28.898119978061871</v>
      </c>
      <c r="R143">
        <f ca="1"/>
        <v>0.78058875918009107</v>
      </c>
      <c r="S143">
        <f ca="1"/>
        <v>1.0228385207000201E-2</v>
      </c>
      <c r="T143">
        <f ca="1"/>
        <v>0.61568778642559618</v>
      </c>
      <c r="U143">
        <f ca="1"/>
        <v>0</v>
      </c>
      <c r="V143">
        <f ca="1"/>
        <v>358.17854615331777</v>
      </c>
      <c r="W143">
        <f ca="1"/>
        <v>146.11012954972171</v>
      </c>
      <c r="X143">
        <f ca="1"/>
        <v>0</v>
      </c>
      <c r="Y143">
        <f ca="1"/>
        <v>0.99858815689677138</v>
      </c>
      <c r="Z143">
        <f ca="1"/>
        <v>0</v>
      </c>
      <c r="AA143">
        <f ca="1"/>
        <v>0</v>
      </c>
      <c r="AB143">
        <f ca="1"/>
        <v>0.69160461148940977</v>
      </c>
      <c r="AD143" s="2">
        <f t="shared" ca="1" si="22"/>
        <v>45500</v>
      </c>
      <c r="AE143">
        <f t="shared" ca="1" si="23"/>
        <v>0</v>
      </c>
      <c r="AG143" s="63">
        <f t="shared" ca="1" si="27"/>
        <v>29.678708737241962</v>
      </c>
      <c r="AH143" s="63">
        <f t="shared" ca="1" si="28"/>
        <v>29.678708737241962</v>
      </c>
      <c r="AI143" s="3">
        <f t="shared" ca="1" si="29"/>
        <v>0</v>
      </c>
    </row>
    <row r="144" spans="7:35">
      <c r="G144" s="3">
        <f t="shared" ca="1" si="24"/>
        <v>165</v>
      </c>
      <c r="H144" s="95">
        <f t="shared" ca="1" si="26"/>
        <v>45455</v>
      </c>
      <c r="I144" s="119">
        <f ca="1">HLOOKUP($H$4,'Met Data'!$A$2:$F$368,G144,FALSE)</f>
        <v>10.4916666666666</v>
      </c>
      <c r="J144" s="119">
        <f ca="1">HLOOKUP($H$4,'Met Data'!$H$2:$M$368,G144,FALSE)*L144</f>
        <v>5.3166666666666602</v>
      </c>
      <c r="K144" s="96">
        <f ca="1">HLOOKUP($H$4,'Met Data'!$O$2:$T$368,G144,FALSE)</f>
        <v>0.75300621765048603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45501</v>
      </c>
      <c r="Q144">
        <f ca="1"/>
        <v>28.466966413253385</v>
      </c>
      <c r="R144">
        <f ca="1"/>
        <v>0.75403548267075848</v>
      </c>
      <c r="S144">
        <f ca="1"/>
        <v>1.0218489676930176E-2</v>
      </c>
      <c r="T144">
        <f ca="1"/>
        <v>0.61883219102385001</v>
      </c>
      <c r="U144">
        <f ca="1"/>
        <v>0</v>
      </c>
      <c r="V144">
        <f ca="1"/>
        <v>358.93258163598853</v>
      </c>
      <c r="W144">
        <f ca="1"/>
        <v>146.41771978158039</v>
      </c>
      <c r="X144">
        <f ca="1"/>
        <v>0.30616876283850497</v>
      </c>
      <c r="Y144">
        <f ca="1"/>
        <v>1</v>
      </c>
      <c r="Z144">
        <f ca="1"/>
        <v>1.5283747478493765</v>
      </c>
      <c r="AA144">
        <f ca="1"/>
        <v>0</v>
      </c>
      <c r="AB144">
        <f ca="1"/>
        <v>0.67543138646307033</v>
      </c>
      <c r="AD144" s="2">
        <f t="shared" ca="1" si="22"/>
        <v>45501</v>
      </c>
      <c r="AE144">
        <f t="shared" ca="1" si="23"/>
        <v>0</v>
      </c>
      <c r="AG144" s="63">
        <f t="shared" ca="1" si="27"/>
        <v>29.52717065876265</v>
      </c>
      <c r="AH144" s="63">
        <f t="shared" ca="1" si="28"/>
        <v>29.52717065876265</v>
      </c>
      <c r="AI144" s="3">
        <f t="shared" ca="1" si="29"/>
        <v>0</v>
      </c>
    </row>
    <row r="145" spans="7:35">
      <c r="G145" s="3">
        <f t="shared" ca="1" si="24"/>
        <v>166</v>
      </c>
      <c r="H145" s="95">
        <f t="shared" ca="1" si="26"/>
        <v>45456</v>
      </c>
      <c r="I145" s="119">
        <f ca="1">HLOOKUP($H$4,'Met Data'!$A$2:$F$368,G145,FALSE)</f>
        <v>10.133333333333301</v>
      </c>
      <c r="J145" s="119">
        <f ca="1">HLOOKUP($H$4,'Met Data'!$H$2:$M$368,G145,FALSE)*L145</f>
        <v>1.2</v>
      </c>
      <c r="K145" s="96">
        <f ca="1">HLOOKUP($H$4,'Met Data'!$O$2:$T$368,G145,FALSE)</f>
        <v>1.0949815777606999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45502</v>
      </c>
      <c r="Q145">
        <f ca="1"/>
        <v>28.349182361380912</v>
      </c>
      <c r="R145">
        <f ca="1"/>
        <v>0.65662518800428415</v>
      </c>
      <c r="S145">
        <f ca="1"/>
        <v>9.2958302360841571E-3</v>
      </c>
      <c r="T145">
        <f ca="1"/>
        <v>0.56627534246959277</v>
      </c>
      <c r="U145">
        <f ca="1"/>
        <v>0</v>
      </c>
      <c r="V145">
        <f ca="1"/>
        <v>359.58920682399281</v>
      </c>
      <c r="W145">
        <f ca="1"/>
        <v>146.68557387925111</v>
      </c>
      <c r="X145">
        <f ca="1"/>
        <v>3.6730036573863444E-2</v>
      </c>
      <c r="Y145">
        <f ca="1"/>
        <v>1</v>
      </c>
      <c r="Z145">
        <f ca="1"/>
        <v>0.18411576907552529</v>
      </c>
      <c r="AA145">
        <f ca="1"/>
        <v>0</v>
      </c>
      <c r="AB145">
        <f ca="1"/>
        <v>0.66079420770479269</v>
      </c>
      <c r="AD145" s="2">
        <f t="shared" ca="1" si="22"/>
        <v>45502</v>
      </c>
      <c r="AE145">
        <f t="shared" ca="1" si="23"/>
        <v>0</v>
      </c>
      <c r="AG145" s="63">
        <f t="shared" ca="1" si="27"/>
        <v>29.04253758595906</v>
      </c>
      <c r="AH145" s="63">
        <f t="shared" ca="1" si="28"/>
        <v>29.04253758595906</v>
      </c>
      <c r="AI145" s="3">
        <f t="shared" ca="1" si="29"/>
        <v>0</v>
      </c>
    </row>
    <row r="146" spans="7:35">
      <c r="G146" s="3">
        <f t="shared" ca="1" si="24"/>
        <v>167</v>
      </c>
      <c r="H146" s="95">
        <f t="shared" ca="1" si="26"/>
        <v>45457</v>
      </c>
      <c r="I146" s="119">
        <f ca="1">HLOOKUP($H$4,'Met Data'!$A$2:$F$368,G146,FALSE)</f>
        <v>9.0291666666666597</v>
      </c>
      <c r="J146" s="119">
        <f ca="1">HLOOKUP($H$4,'Met Data'!$H$2:$M$368,G146,FALSE)*L146</f>
        <v>2.0499999999999998</v>
      </c>
      <c r="K146" s="96">
        <f ca="1">HLOOKUP($H$4,'Met Data'!$O$2:$T$368,G146,FALSE)</f>
        <v>0.76363291076582096</v>
      </c>
      <c r="L146">
        <f t="shared" ca="1" si="20"/>
        <v>1</v>
      </c>
      <c r="N146" t="b">
        <f t="shared" ca="1" si="25"/>
        <v>0</v>
      </c>
      <c r="O146" t="b">
        <f t="shared" ca="1" si="21"/>
        <v>1</v>
      </c>
      <c r="P146" s="2">
        <f ca="1"/>
        <v>45503</v>
      </c>
      <c r="Q146">
        <f ca="1"/>
        <v>27.978113063364887</v>
      </c>
      <c r="R146">
        <f ca="1"/>
        <v>0.67624303199443148</v>
      </c>
      <c r="S146">
        <f ca="1"/>
        <v>9.8065895982415441E-3</v>
      </c>
      <c r="T146">
        <f ca="1"/>
        <v>0.60089234581004602</v>
      </c>
      <c r="U146">
        <f ca="1"/>
        <v>0</v>
      </c>
      <c r="V146">
        <f ca="1"/>
        <v>360.26544985598724</v>
      </c>
      <c r="W146">
        <f ca="1"/>
        <v>146.96143059393418</v>
      </c>
      <c r="X146">
        <f ca="1"/>
        <v>0.30552520142988138</v>
      </c>
      <c r="Y146">
        <f ca="1"/>
        <v>1</v>
      </c>
      <c r="Z146">
        <f ca="1"/>
        <v>1.55181084057498</v>
      </c>
      <c r="AA146">
        <f ca="1"/>
        <v>0</v>
      </c>
      <c r="AB146">
        <f ca="1"/>
        <v>0.64513548361290107</v>
      </c>
      <c r="AD146" s="2">
        <f t="shared" ca="1" si="22"/>
        <v>45503</v>
      </c>
      <c r="AE146">
        <f t="shared" ca="1" si="23"/>
        <v>0</v>
      </c>
      <c r="AG146" s="63">
        <f t="shared" ca="1" si="27"/>
        <v>28.959881296789199</v>
      </c>
      <c r="AH146" s="63">
        <f t="shared" ca="1" si="28"/>
        <v>28.959881296789199</v>
      </c>
      <c r="AI146" s="3">
        <f t="shared" ca="1" si="29"/>
        <v>0</v>
      </c>
    </row>
    <row r="147" spans="7:35">
      <c r="G147" s="3">
        <f t="shared" ca="1" si="24"/>
        <v>168</v>
      </c>
      <c r="H147" s="95">
        <f t="shared" ca="1" si="26"/>
        <v>45458</v>
      </c>
      <c r="I147" s="119">
        <f ca="1">HLOOKUP($H$4,'Met Data'!$A$2:$F$368,G147,FALSE)</f>
        <v>10.125</v>
      </c>
      <c r="J147" s="119">
        <f ca="1">HLOOKUP($H$4,'Met Data'!$H$2:$M$368,G147,FALSE)*L147</f>
        <v>2.68333333333333</v>
      </c>
      <c r="K147" s="96">
        <f ca="1">HLOOKUP($H$4,'Met Data'!$O$2:$T$368,G147,FALSE)</f>
        <v>0.84633721178312304</v>
      </c>
      <c r="L147">
        <f t="shared" ca="1" si="20"/>
        <v>1</v>
      </c>
      <c r="N147" t="b">
        <f t="shared" ca="1" si="25"/>
        <v>0</v>
      </c>
      <c r="O147" t="b">
        <f t="shared" ca="1" si="21"/>
        <v>0</v>
      </c>
      <c r="P147" s="2">
        <f ca="1"/>
        <v>45504</v>
      </c>
      <c r="Q147">
        <f ca="1"/>
        <v>22.654522837635106</v>
      </c>
      <c r="R147">
        <f ca="1"/>
        <v>0</v>
      </c>
      <c r="S147">
        <f ca="1"/>
        <v>-5.3387871891044938</v>
      </c>
      <c r="T147">
        <f ca="1"/>
        <v>0.70423295673958386</v>
      </c>
      <c r="U147">
        <f ca="1"/>
        <v>0</v>
      </c>
      <c r="V147">
        <f ca="1"/>
        <v>0</v>
      </c>
      <c r="W147">
        <f ca="1"/>
        <v>0</v>
      </c>
      <c r="X147">
        <f ca="1"/>
        <v>0.68903599336487065</v>
      </c>
      <c r="Y147">
        <f ca="1"/>
        <v>1</v>
      </c>
      <c r="Z147">
        <f ca="1"/>
        <v>4.3221233068618332</v>
      </c>
      <c r="AA147">
        <f ca="1"/>
        <v>0</v>
      </c>
      <c r="AB147">
        <f ca="1"/>
        <v>0</v>
      </c>
      <c r="AD147" s="2">
        <f t="shared" ca="1" si="22"/>
        <v>45504</v>
      </c>
      <c r="AE147">
        <f t="shared" ca="1" si="23"/>
        <v>0</v>
      </c>
      <c r="AG147" s="63">
        <f t="shared" ca="1" si="27"/>
        <v>23.343558830999978</v>
      </c>
      <c r="AH147" s="63">
        <f t="shared" ca="1" si="28"/>
        <v>23.343558830999978</v>
      </c>
      <c r="AI147" s="3">
        <f t="shared" ca="1" si="29"/>
        <v>0</v>
      </c>
    </row>
    <row r="148" spans="7:35">
      <c r="G148" s="3">
        <f t="shared" ca="1" si="24"/>
        <v>169</v>
      </c>
      <c r="H148" s="95">
        <f t="shared" ca="1" si="26"/>
        <v>45459</v>
      </c>
      <c r="I148" s="119">
        <f ca="1">HLOOKUP($H$4,'Met Data'!$A$2:$F$368,G148,FALSE)</f>
        <v>10.2291666666666</v>
      </c>
      <c r="J148" s="119">
        <f ca="1">HLOOKUP($H$4,'Met Data'!$H$2:$M$368,G148,FALSE)*L148</f>
        <v>2.5333333333333301</v>
      </c>
      <c r="K148" s="96">
        <f ca="1">HLOOKUP($H$4,'Met Data'!$O$2:$T$368,G148,FALSE)</f>
        <v>0.91611783655738799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45505</v>
      </c>
      <c r="Q148">
        <f ca="1"/>
        <v>17.721931938667613</v>
      </c>
      <c r="R148">
        <f ca="1"/>
        <v>0</v>
      </c>
      <c r="S148">
        <f ca="1"/>
        <v>-5.2389041549441799</v>
      </c>
      <c r="T148">
        <f ca="1"/>
        <v>0.72202150857364666</v>
      </c>
      <c r="U148">
        <f ca="1"/>
        <v>0</v>
      </c>
      <c r="V148">
        <f ca="1"/>
        <v>0</v>
      </c>
      <c r="W148">
        <f ca="1"/>
        <v>0</v>
      </c>
      <c r="X148">
        <f ca="1"/>
        <v>0.41570825259696176</v>
      </c>
      <c r="Y148">
        <f ca="1"/>
        <v>1</v>
      </c>
      <c r="Z148">
        <f ca="1"/>
        <v>3.3334024098865385</v>
      </c>
      <c r="AA148">
        <f ca="1"/>
        <v>0</v>
      </c>
      <c r="AB148">
        <f ca="1"/>
        <v>0</v>
      </c>
      <c r="AD148" s="2">
        <f t="shared" ca="1" si="22"/>
        <v>45505</v>
      </c>
      <c r="AE148">
        <f t="shared" ca="1" si="23"/>
        <v>0</v>
      </c>
      <c r="AG148" s="63">
        <f t="shared" ca="1" si="27"/>
        <v>18.137640191264573</v>
      </c>
      <c r="AH148" s="63">
        <f t="shared" ca="1" si="28"/>
        <v>18.137640191264573</v>
      </c>
      <c r="AI148" s="3">
        <f t="shared" ca="1" si="29"/>
        <v>0</v>
      </c>
    </row>
    <row r="149" spans="7:35">
      <c r="G149" s="3">
        <f t="shared" ca="1" si="24"/>
        <v>170</v>
      </c>
      <c r="H149" s="95">
        <f t="shared" ca="1" si="26"/>
        <v>45460</v>
      </c>
      <c r="I149" s="119">
        <f ca="1">HLOOKUP($H$4,'Met Data'!$A$2:$F$368,G149,FALSE)</f>
        <v>10.316666666666601</v>
      </c>
      <c r="J149" s="119">
        <f ca="1">HLOOKUP($H$4,'Met Data'!$H$2:$M$368,G149,FALSE)*L149</f>
        <v>5.5</v>
      </c>
      <c r="K149" s="96">
        <f ca="1">HLOOKUP($H$4,'Met Data'!$O$2:$T$368,G149,FALSE)</f>
        <v>0.749895043982166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45506</v>
      </c>
      <c r="Q149">
        <f ca="1"/>
        <v>13.562753462226501</v>
      </c>
      <c r="R149">
        <f ca="1"/>
        <v>0</v>
      </c>
      <c r="S149">
        <f ca="1"/>
        <v>-4.781564650956426</v>
      </c>
      <c r="T149">
        <f ca="1"/>
        <v>0.6883841068669283</v>
      </c>
      <c r="U149">
        <f ca="1"/>
        <v>0</v>
      </c>
      <c r="V149">
        <f ca="1"/>
        <v>0</v>
      </c>
      <c r="W149">
        <f ca="1"/>
        <v>0</v>
      </c>
      <c r="X149">
        <f ca="1"/>
        <v>6.599793235161458E-2</v>
      </c>
      <c r="Y149">
        <f ca="1"/>
        <v>1</v>
      </c>
      <c r="Z149">
        <f ca="1"/>
        <v>0.69150070233330752</v>
      </c>
      <c r="AA149">
        <f ca="1"/>
        <v>0</v>
      </c>
      <c r="AB149">
        <f ca="1"/>
        <v>0</v>
      </c>
      <c r="AD149" s="2">
        <f t="shared" ca="1" si="22"/>
        <v>45506</v>
      </c>
      <c r="AE149">
        <f t="shared" ca="1" si="23"/>
        <v>0</v>
      </c>
      <c r="AG149" s="63">
        <f t="shared" ca="1" si="27"/>
        <v>13.628751394578115</v>
      </c>
      <c r="AH149" s="63">
        <f t="shared" ca="1" si="28"/>
        <v>13.628751394578115</v>
      </c>
      <c r="AI149" s="3">
        <f t="shared" ca="1" si="29"/>
        <v>0</v>
      </c>
    </row>
    <row r="150" spans="7:35">
      <c r="G150" s="3">
        <f t="shared" ca="1" si="24"/>
        <v>171</v>
      </c>
      <c r="H150" s="95">
        <f t="shared" ca="1" si="26"/>
        <v>45461</v>
      </c>
      <c r="I150" s="119">
        <f ca="1">HLOOKUP($H$4,'Met Data'!$A$2:$F$368,G150,FALSE)</f>
        <v>10.6666666666666</v>
      </c>
      <c r="J150" s="119">
        <f ca="1">HLOOKUP($H$4,'Met Data'!$H$2:$M$368,G150,FALSE)*L150</f>
        <v>11.883333333333301</v>
      </c>
      <c r="K150" s="96">
        <f ca="1">HLOOKUP($H$4,'Met Data'!$O$2:$T$368,G150,FALSE)</f>
        <v>0.72031723210574305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45507</v>
      </c>
      <c r="Q150">
        <f ca="1"/>
        <v>9.3160215762937924</v>
      </c>
      <c r="R150">
        <f ca="1"/>
        <v>0</v>
      </c>
      <c r="S150">
        <f ca="1"/>
        <v>-4.6157507690390247</v>
      </c>
      <c r="T150">
        <f ca="1"/>
        <v>0.69373570547655927</v>
      </c>
      <c r="U150">
        <f ca="1"/>
        <v>0</v>
      </c>
      <c r="V150">
        <f ca="1"/>
        <v>0</v>
      </c>
      <c r="W150">
        <f ca="1"/>
        <v>0</v>
      </c>
      <c r="X150">
        <f ca="1"/>
        <v>0.32471682237024285</v>
      </c>
      <c r="Y150">
        <f ca="1"/>
        <v>1</v>
      </c>
      <c r="Z150">
        <f ca="1"/>
        <v>4.9531840514560344</v>
      </c>
      <c r="AA150">
        <f ca="1"/>
        <v>0</v>
      </c>
      <c r="AB150">
        <f ca="1"/>
        <v>0</v>
      </c>
      <c r="AD150" s="2">
        <f t="shared" ca="1" si="22"/>
        <v>45507</v>
      </c>
      <c r="AE150">
        <f t="shared" ca="1" si="23"/>
        <v>0</v>
      </c>
      <c r="AG150" s="63">
        <f t="shared" ca="1" si="27"/>
        <v>9.6407383986640358</v>
      </c>
      <c r="AH150" s="63">
        <f t="shared" ca="1" si="28"/>
        <v>9.6407383986640358</v>
      </c>
      <c r="AI150" s="3">
        <f t="shared" ca="1" si="29"/>
        <v>0</v>
      </c>
    </row>
    <row r="151" spans="7:35">
      <c r="G151" s="3">
        <f t="shared" ca="1" si="24"/>
        <v>172</v>
      </c>
      <c r="H151" s="95">
        <f t="shared" ca="1" si="26"/>
        <v>45462</v>
      </c>
      <c r="I151" s="119">
        <f ca="1">HLOOKUP($H$4,'Met Data'!$A$2:$F$368,G151,FALSE)</f>
        <v>10.6181818181818</v>
      </c>
      <c r="J151" s="119">
        <f ca="1">HLOOKUP($H$4,'Met Data'!$H$2:$M$368,G151,FALSE)*L151</f>
        <v>9.0181818181818105</v>
      </c>
      <c r="K151" s="96">
        <f ca="1">HLOOKUP($H$4,'Met Data'!$O$2:$T$368,G151,FALSE)</f>
        <v>0.829345309973199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45508</v>
      </c>
      <c r="Q151">
        <f ca="1"/>
        <v>5.6695812428552692</v>
      </c>
      <c r="R151">
        <f ca="1"/>
        <v>0</v>
      </c>
      <c r="S151">
        <f ca="1"/>
        <v>-4.2471445616264845</v>
      </c>
      <c r="T151">
        <f ca="1"/>
        <v>0.66613957971577464</v>
      </c>
      <c r="U151">
        <f ca="1"/>
        <v>0</v>
      </c>
      <c r="V151">
        <f ca="1"/>
        <v>0</v>
      </c>
      <c r="W151">
        <f ca="1"/>
        <v>0</v>
      </c>
      <c r="X151">
        <f ca="1"/>
        <v>6.5435351527813074E-2</v>
      </c>
      <c r="Y151">
        <f ca="1"/>
        <v>1</v>
      </c>
      <c r="Z151">
        <f ca="1"/>
        <v>1.6401048773059443</v>
      </c>
      <c r="AA151">
        <f ca="1"/>
        <v>0</v>
      </c>
      <c r="AB151">
        <f ca="1"/>
        <v>0</v>
      </c>
      <c r="AD151" s="2">
        <f t="shared" ca="1" si="22"/>
        <v>45508</v>
      </c>
      <c r="AE151">
        <f t="shared" ca="1" si="23"/>
        <v>0</v>
      </c>
      <c r="AG151" s="63">
        <f t="shared" ca="1" si="27"/>
        <v>5.7350165943830822</v>
      </c>
      <c r="AH151" s="63">
        <f t="shared" ca="1" si="28"/>
        <v>5.7350165943830822</v>
      </c>
      <c r="AI151" s="3">
        <f t="shared" ca="1" si="29"/>
        <v>0</v>
      </c>
    </row>
    <row r="152" spans="7:35">
      <c r="G152" s="3">
        <f t="shared" ca="1" si="24"/>
        <v>173</v>
      </c>
      <c r="H152" s="95">
        <f t="shared" ca="1" si="26"/>
        <v>45463</v>
      </c>
      <c r="I152" s="119">
        <f ca="1">HLOOKUP($H$4,'Met Data'!$A$2:$F$368,G152,FALSE)</f>
        <v>10.0318181818181</v>
      </c>
      <c r="J152" s="119">
        <f ca="1">HLOOKUP($H$4,'Met Data'!$H$2:$M$368,G152,FALSE)*L152</f>
        <v>1.9090909090909001</v>
      </c>
      <c r="K152" s="96">
        <f ca="1">HLOOKUP($H$4,'Met Data'!$O$2:$T$368,G152,FALSE)</f>
        <v>0.90574236110997597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45509</v>
      </c>
      <c r="Q152">
        <f ca="1"/>
        <v>2.1747835250628236</v>
      </c>
      <c r="R152">
        <f ca="1"/>
        <v>0</v>
      </c>
      <c r="S152">
        <f ca="1"/>
        <v>-4.11520432136831</v>
      </c>
      <c r="T152">
        <f ca="1"/>
        <v>0.67331799134000314</v>
      </c>
      <c r="U152">
        <f ca="1"/>
        <v>0</v>
      </c>
      <c r="V152">
        <f ca="1"/>
        <v>0</v>
      </c>
      <c r="W152">
        <f ca="1"/>
        <v>0</v>
      </c>
      <c r="X152">
        <f ca="1"/>
        <v>5.2911387764138541E-2</v>
      </c>
      <c r="Y152">
        <f ca="1"/>
        <v>1</v>
      </c>
      <c r="Z152">
        <f ca="1"/>
        <v>3.4573494766818769</v>
      </c>
      <c r="AA152">
        <f ca="1"/>
        <v>0</v>
      </c>
      <c r="AB152">
        <f ca="1"/>
        <v>0</v>
      </c>
      <c r="AD152" s="2">
        <f t="shared" ca="1" si="22"/>
        <v>45509</v>
      </c>
      <c r="AE152">
        <f t="shared" ca="1" si="23"/>
        <v>0</v>
      </c>
      <c r="AG152" s="63">
        <f t="shared" ca="1" si="27"/>
        <v>2.2276949128269621</v>
      </c>
      <c r="AH152" s="63">
        <f t="shared" ca="1" si="28"/>
        <v>2.2276949128269621</v>
      </c>
      <c r="AI152" s="3">
        <f t="shared" ca="1" si="29"/>
        <v>0</v>
      </c>
    </row>
    <row r="153" spans="7:35">
      <c r="G153" s="3">
        <f t="shared" ca="1" si="24"/>
        <v>174</v>
      </c>
      <c r="H153" s="95">
        <f t="shared" ca="1" si="26"/>
        <v>45464</v>
      </c>
      <c r="I153" s="119">
        <f ca="1">HLOOKUP($H$4,'Met Data'!$A$2:$F$368,G153,FALSE)</f>
        <v>8.9727272727272709</v>
      </c>
      <c r="J153" s="119">
        <f ca="1">HLOOKUP($H$4,'Met Data'!$H$2:$M$368,G153,FALSE)*L153</f>
        <v>1.9636363636363601</v>
      </c>
      <c r="K153" s="96">
        <f ca="1">HLOOKUP($H$4,'Met Data'!$O$2:$T$368,G153,FALSE)</f>
        <v>0.89904843691310898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45510</v>
      </c>
      <c r="Q153">
        <f ca="1"/>
        <v>-1.128852218836391</v>
      </c>
      <c r="R153">
        <f ca="1"/>
        <v>0</v>
      </c>
      <c r="S153">
        <f ca="1"/>
        <v>-3.9841812831507184</v>
      </c>
      <c r="T153">
        <f ca="1"/>
        <v>0.68054553925150396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1</v>
      </c>
      <c r="Z153">
        <f ca="1"/>
        <v>1.0970515352017429</v>
      </c>
      <c r="AA153">
        <f ca="1"/>
        <v>0</v>
      </c>
      <c r="AB153">
        <f ca="1"/>
        <v>0</v>
      </c>
      <c r="AD153" s="2">
        <f t="shared" ca="1" si="22"/>
        <v>45510</v>
      </c>
      <c r="AE153">
        <f t="shared" ca="1" si="23"/>
        <v>0</v>
      </c>
      <c r="AG153" s="63">
        <f t="shared" ca="1" si="27"/>
        <v>-1.128852218836391</v>
      </c>
      <c r="AH153" s="63">
        <f t="shared" ca="1" si="28"/>
        <v>-1.128852218836391</v>
      </c>
      <c r="AI153" s="3">
        <f t="shared" ca="1" si="29"/>
        <v>0</v>
      </c>
    </row>
    <row r="154" spans="7:35">
      <c r="G154" s="3">
        <f t="shared" ca="1" si="24"/>
        <v>175</v>
      </c>
      <c r="H154" s="95">
        <f t="shared" ca="1" si="26"/>
        <v>45465</v>
      </c>
      <c r="I154" s="119">
        <f ca="1">HLOOKUP($H$4,'Met Data'!$A$2:$F$368,G154,FALSE)</f>
        <v>9.0227272727272698</v>
      </c>
      <c r="J154" s="119">
        <f ca="1">HLOOKUP($H$4,'Met Data'!$H$2:$M$368,G154,FALSE)*L154</f>
        <v>3.0181818181818101</v>
      </c>
      <c r="K154" s="96">
        <f ca="1">HLOOKUP($H$4,'Met Data'!$O$2:$T$368,G154,FALSE)</f>
        <v>0.82913615112138495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45511</v>
      </c>
      <c r="Q154">
        <f ca="1"/>
        <v>-4.1073937153289739</v>
      </c>
      <c r="R154">
        <f ca="1"/>
        <v>0</v>
      </c>
      <c r="S154">
        <f ca="1"/>
        <v>-3.6245183420978719</v>
      </c>
      <c r="T154">
        <f ca="1"/>
        <v>0.64597684560528867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1</v>
      </c>
      <c r="Z154">
        <f ca="1"/>
        <v>2.5087648280373287</v>
      </c>
      <c r="AA154">
        <f ca="1"/>
        <v>0</v>
      </c>
      <c r="AB154">
        <f ca="1"/>
        <v>0</v>
      </c>
      <c r="AD154" s="2">
        <f t="shared" ca="1" si="22"/>
        <v>45511</v>
      </c>
      <c r="AE154">
        <f t="shared" ca="1" si="23"/>
        <v>0</v>
      </c>
      <c r="AG154" s="63">
        <f t="shared" ca="1" si="27"/>
        <v>-4.1073937153289739</v>
      </c>
      <c r="AH154" s="63">
        <f t="shared" ca="1" si="28"/>
        <v>-4.1073937153289739</v>
      </c>
      <c r="AI154" s="3">
        <f t="shared" ca="1" si="29"/>
        <v>0</v>
      </c>
    </row>
    <row r="155" spans="7:35">
      <c r="G155" s="3">
        <f t="shared" ca="1" si="24"/>
        <v>176</v>
      </c>
      <c r="H155" s="95">
        <f t="shared" ca="1" si="26"/>
        <v>45466</v>
      </c>
      <c r="I155" s="119">
        <f ca="1">HLOOKUP($H$4,'Met Data'!$A$2:$F$368,G155,FALSE)</f>
        <v>10.3590909090909</v>
      </c>
      <c r="J155" s="119">
        <f ca="1">HLOOKUP($H$4,'Met Data'!$H$2:$M$368,G155,FALSE)*L155</f>
        <v>3.7454545454545398</v>
      </c>
      <c r="K155" s="96">
        <f ca="1">HLOOKUP($H$4,'Met Data'!$O$2:$T$368,G155,FALSE)</f>
        <v>0.88746237543267503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45512</v>
      </c>
      <c r="Q155">
        <f ca="1"/>
        <v>-6.6609989548981234</v>
      </c>
      <c r="R155">
        <f ca="1"/>
        <v>0</v>
      </c>
      <c r="S155">
        <f ca="1"/>
        <v>-3.1348778414756424</v>
      </c>
      <c r="T155">
        <f ca="1"/>
        <v>0.58127260190649321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1</v>
      </c>
      <c r="Z155">
        <f ca="1"/>
        <v>2.0759745733569659</v>
      </c>
      <c r="AA155">
        <f ca="1"/>
        <v>0</v>
      </c>
      <c r="AB155">
        <f ca="1"/>
        <v>0</v>
      </c>
      <c r="AD155" s="2">
        <f t="shared" ca="1" si="22"/>
        <v>45512</v>
      </c>
      <c r="AE155">
        <f t="shared" ca="1" si="23"/>
        <v>0</v>
      </c>
      <c r="AG155" s="63">
        <f t="shared" ca="1" si="27"/>
        <v>-6.6609989548981234</v>
      </c>
      <c r="AH155" s="63">
        <f t="shared" ca="1" si="28"/>
        <v>-6.6609989548981234</v>
      </c>
      <c r="AI155" s="3">
        <f t="shared" ca="1" si="29"/>
        <v>0</v>
      </c>
    </row>
    <row r="156" spans="7:35">
      <c r="G156" s="3">
        <f t="shared" ca="1" si="24"/>
        <v>177</v>
      </c>
      <c r="H156" s="95">
        <f t="shared" ca="1" si="26"/>
        <v>45467</v>
      </c>
      <c r="I156" s="119">
        <f ca="1">HLOOKUP($H$4,'Met Data'!$A$2:$F$368,G156,FALSE)</f>
        <v>9.5090909090909097</v>
      </c>
      <c r="J156" s="119">
        <f ca="1">HLOOKUP($H$4,'Met Data'!$H$2:$M$368,G156,FALSE)*L156</f>
        <v>3.1090909090909</v>
      </c>
      <c r="K156" s="96">
        <f ca="1">HLOOKUP($H$4,'Met Data'!$O$2:$T$368,G156,FALSE)</f>
        <v>0.97866599470650895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45513</v>
      </c>
      <c r="Q156">
        <f ca="1"/>
        <v>-8.9555738107165155</v>
      </c>
      <c r="R156">
        <f ca="1"/>
        <v>0</v>
      </c>
      <c r="S156">
        <f ca="1"/>
        <v>-2.8410054603975397</v>
      </c>
      <c r="T156">
        <f ca="1"/>
        <v>0.54643060457914605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1</v>
      </c>
      <c r="Z156">
        <f ca="1"/>
        <v>9.5105913910252582E-2</v>
      </c>
      <c r="AA156">
        <f ca="1"/>
        <v>0</v>
      </c>
      <c r="AB156">
        <f ca="1"/>
        <v>0</v>
      </c>
      <c r="AD156" s="2">
        <f t="shared" ca="1" si="22"/>
        <v>45513</v>
      </c>
      <c r="AE156">
        <f t="shared" ca="1" si="23"/>
        <v>0</v>
      </c>
      <c r="AG156" s="63">
        <f t="shared" ca="1" si="27"/>
        <v>-8.9555738107165155</v>
      </c>
      <c r="AH156" s="63">
        <f t="shared" ca="1" si="28"/>
        <v>-8.9555738107165155</v>
      </c>
      <c r="AI156" s="3">
        <f t="shared" ca="1" si="29"/>
        <v>0</v>
      </c>
    </row>
    <row r="157" spans="7:35">
      <c r="G157" s="3">
        <f t="shared" ca="1" si="24"/>
        <v>178</v>
      </c>
      <c r="H157" s="95">
        <f t="shared" ca="1" si="26"/>
        <v>45468</v>
      </c>
      <c r="I157" s="119">
        <f ca="1">HLOOKUP($H$4,'Met Data'!$A$2:$F$368,G157,FALSE)</f>
        <v>9.1272727272727199</v>
      </c>
      <c r="J157" s="119">
        <f ca="1">HLOOKUP($H$4,'Met Data'!$H$2:$M$368,G157,FALSE)*L157</f>
        <v>1.25454545454545</v>
      </c>
      <c r="K157" s="96">
        <f ca="1">HLOOKUP($H$4,'Met Data'!$O$2:$T$368,G157,FALSE)</f>
        <v>1.0040569739087299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45514</v>
      </c>
      <c r="Q157">
        <f ca="1"/>
        <v>-11.37395505486068</v>
      </c>
      <c r="R157">
        <f ca="1"/>
        <v>0</v>
      </c>
      <c r="S157">
        <f ca="1"/>
        <v>-3.0218525202551945</v>
      </c>
      <c r="T157">
        <f ca="1"/>
        <v>0.60347127611103024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1</v>
      </c>
      <c r="Z157">
        <f ca="1"/>
        <v>3.4299187004357634</v>
      </c>
      <c r="AA157">
        <f ca="1"/>
        <v>0</v>
      </c>
      <c r="AB157">
        <f ca="1"/>
        <v>0</v>
      </c>
      <c r="AD157" s="2">
        <f t="shared" ca="1" si="22"/>
        <v>45514</v>
      </c>
      <c r="AE157">
        <f t="shared" ca="1" si="23"/>
        <v>0</v>
      </c>
      <c r="AG157" s="63">
        <f t="shared" ca="1" si="27"/>
        <v>-11.37395505486068</v>
      </c>
      <c r="AH157" s="63">
        <f t="shared" ca="1" si="28"/>
        <v>-11.37395505486068</v>
      </c>
      <c r="AI157" s="3">
        <f t="shared" ca="1" si="29"/>
        <v>0</v>
      </c>
    </row>
    <row r="158" spans="7:35">
      <c r="G158" s="3">
        <f t="shared" ca="1" si="24"/>
        <v>179</v>
      </c>
      <c r="H158" s="95">
        <f t="shared" ca="1" si="26"/>
        <v>45469</v>
      </c>
      <c r="I158" s="119">
        <f ca="1">HLOOKUP($H$4,'Met Data'!$A$2:$F$368,G158,FALSE)</f>
        <v>8.7727272727272698</v>
      </c>
      <c r="J158" s="119">
        <f ca="1">HLOOKUP($H$4,'Met Data'!$H$2:$M$368,G158,FALSE)*L158</f>
        <v>2.9818181818181801</v>
      </c>
      <c r="K158" s="96">
        <f ca="1">HLOOKUP($H$4,'Met Data'!$O$2:$T$368,G158,FALSE)</f>
        <v>0.89055521132494797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45515</v>
      </c>
      <c r="Q158">
        <f ca="1"/>
        <v>-13.770829148835503</v>
      </c>
      <c r="R158">
        <f ca="1"/>
        <v>0</v>
      </c>
      <c r="S158">
        <f ca="1"/>
        <v>-3.0262621441996913</v>
      </c>
      <c r="T158">
        <f ca="1"/>
        <v>0.62938805022486832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1</v>
      </c>
      <c r="Z158">
        <f ca="1"/>
        <v>3.7499885056706646</v>
      </c>
      <c r="AA158">
        <f ca="1"/>
        <v>0</v>
      </c>
      <c r="AB158">
        <f ca="1"/>
        <v>0</v>
      </c>
      <c r="AD158" s="2">
        <f t="shared" ca="1" si="22"/>
        <v>45515</v>
      </c>
      <c r="AE158">
        <f t="shared" ca="1" si="23"/>
        <v>0</v>
      </c>
      <c r="AG158" s="63">
        <f t="shared" ca="1" si="27"/>
        <v>-13.770829148835503</v>
      </c>
      <c r="AH158" s="63">
        <f t="shared" ca="1" si="28"/>
        <v>-13.770829148835503</v>
      </c>
      <c r="AI158" s="3">
        <f t="shared" ca="1" si="29"/>
        <v>0</v>
      </c>
    </row>
    <row r="159" spans="7:35">
      <c r="G159" s="3">
        <f t="shared" ca="1" si="24"/>
        <v>180</v>
      </c>
      <c r="H159" s="95">
        <f t="shared" ca="1" si="26"/>
        <v>45470</v>
      </c>
      <c r="I159" s="119">
        <f ca="1">HLOOKUP($H$4,'Met Data'!$A$2:$F$368,G159,FALSE)</f>
        <v>8.8363636363636306</v>
      </c>
      <c r="J159" s="119">
        <f ca="1">HLOOKUP($H$4,'Met Data'!$H$2:$M$368,G159,FALSE)*L159</f>
        <v>0.90909090909090895</v>
      </c>
      <c r="K159" s="96">
        <f ca="1">HLOOKUP($H$4,'Met Data'!$O$2:$T$368,G159,FALSE)</f>
        <v>0.949335994975394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45516</v>
      </c>
      <c r="Q159">
        <f ca="1"/>
        <v>-16.109734237651413</v>
      </c>
      <c r="R159">
        <f ca="1"/>
        <v>0</v>
      </c>
      <c r="S159">
        <f ca="1"/>
        <v>-2.987042600940697</v>
      </c>
      <c r="T159">
        <f ca="1"/>
        <v>0.64813751212478699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1</v>
      </c>
      <c r="Z159">
        <f ca="1"/>
        <v>1.9124909862252579</v>
      </c>
      <c r="AA159">
        <f ca="1"/>
        <v>0</v>
      </c>
      <c r="AB159">
        <f ca="1"/>
        <v>0</v>
      </c>
      <c r="AD159" s="2">
        <f t="shared" ca="1" si="22"/>
        <v>45516</v>
      </c>
      <c r="AE159">
        <f t="shared" ca="1" si="23"/>
        <v>0</v>
      </c>
      <c r="AG159" s="63">
        <f t="shared" ca="1" si="27"/>
        <v>-16.109734237651413</v>
      </c>
      <c r="AH159" s="63">
        <f t="shared" ca="1" si="28"/>
        <v>-16.109734237651413</v>
      </c>
      <c r="AI159" s="3">
        <f t="shared" ca="1" si="29"/>
        <v>0</v>
      </c>
    </row>
    <row r="160" spans="7:35">
      <c r="G160" s="3">
        <f t="shared" ca="1" si="24"/>
        <v>181</v>
      </c>
      <c r="H160" s="95">
        <f t="shared" ca="1" si="26"/>
        <v>45471</v>
      </c>
      <c r="I160" s="119">
        <f ca="1">HLOOKUP($H$4,'Met Data'!$A$2:$F$368,G160,FALSE)</f>
        <v>8.7136363636363594</v>
      </c>
      <c r="J160" s="119">
        <f ca="1">HLOOKUP($H$4,'Met Data'!$H$2:$M$368,G160,FALSE)*L160</f>
        <v>1.7833333333333301</v>
      </c>
      <c r="K160" s="96">
        <f ca="1">HLOOKUP($H$4,'Met Data'!$O$2:$T$368,G160,FALSE)</f>
        <v>0.92539172734817898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45517</v>
      </c>
      <c r="Q160">
        <f ca="1"/>
        <v>-18.383298718741507</v>
      </c>
      <c r="R160">
        <f ca="1"/>
        <v>0</v>
      </c>
      <c r="S160">
        <f ca="1"/>
        <v>-2.9402545039007464</v>
      </c>
      <c r="T160">
        <f ca="1"/>
        <v>0.66669002281065193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1</v>
      </c>
      <c r="Z160">
        <f ca="1"/>
        <v>5.5642705258588023</v>
      </c>
      <c r="AA160">
        <f ca="1"/>
        <v>0</v>
      </c>
      <c r="AB160">
        <f ca="1"/>
        <v>0</v>
      </c>
      <c r="AD160" s="2">
        <f t="shared" ca="1" si="22"/>
        <v>45517</v>
      </c>
      <c r="AE160">
        <f t="shared" ca="1" si="23"/>
        <v>0</v>
      </c>
      <c r="AG160" s="63">
        <f t="shared" ca="1" si="27"/>
        <v>-18.383298718741507</v>
      </c>
      <c r="AH160" s="63">
        <f t="shared" ca="1" si="28"/>
        <v>-18.383298718741507</v>
      </c>
      <c r="AI160" s="3">
        <f t="shared" ca="1" si="29"/>
        <v>0</v>
      </c>
    </row>
    <row r="161" spans="7:35">
      <c r="G161" s="3">
        <f t="shared" ca="1" si="24"/>
        <v>182</v>
      </c>
      <c r="H161" s="95">
        <f t="shared" ca="1" si="26"/>
        <v>45472</v>
      </c>
      <c r="I161" s="119">
        <f ca="1">HLOOKUP($H$4,'Met Data'!$A$2:$F$368,G161,FALSE)</f>
        <v>8.5291666666666597</v>
      </c>
      <c r="J161" s="119">
        <f ca="1">HLOOKUP($H$4,'Met Data'!$H$2:$M$368,G161,FALSE)*L161</f>
        <v>2.5833333333333299</v>
      </c>
      <c r="K161" s="96">
        <f ca="1">HLOOKUP($H$4,'Met Data'!$O$2:$T$368,G161,FALSE)</f>
        <v>0.82623977006466498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45518</v>
      </c>
      <c r="Q161">
        <f ca="1"/>
        <v>-20.457608733977867</v>
      </c>
      <c r="R161">
        <f ca="1"/>
        <v>0</v>
      </c>
      <c r="S161">
        <f ca="1"/>
        <v>-2.7186693917495148</v>
      </c>
      <c r="T161">
        <f ca="1"/>
        <v>0.64435937651315334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1</v>
      </c>
      <c r="Z161">
        <f ca="1"/>
        <v>2.0422947834481633</v>
      </c>
      <c r="AA161">
        <f ca="1"/>
        <v>0</v>
      </c>
      <c r="AB161">
        <f ca="1"/>
        <v>7.8932455396503141E-3</v>
      </c>
      <c r="AD161" s="2">
        <f t="shared" ca="1" si="22"/>
        <v>45518</v>
      </c>
      <c r="AE161">
        <f t="shared" ca="1" si="23"/>
        <v>0</v>
      </c>
      <c r="AG161" s="63">
        <f t="shared" ca="1" si="27"/>
        <v>-20.457608733977867</v>
      </c>
      <c r="AH161" s="63">
        <f t="shared" ca="1" si="28"/>
        <v>-20.457608733977867</v>
      </c>
      <c r="AI161" s="3">
        <f t="shared" ca="1" si="29"/>
        <v>0</v>
      </c>
    </row>
    <row r="162" spans="7:35">
      <c r="G162" s="3">
        <f t="shared" ca="1" si="24"/>
        <v>183</v>
      </c>
      <c r="H162" s="95">
        <f t="shared" ca="1" si="26"/>
        <v>45473</v>
      </c>
      <c r="I162" s="119">
        <f ca="1">HLOOKUP($H$4,'Met Data'!$A$2:$F$368,G162,FALSE)</f>
        <v>8.8208333333333293</v>
      </c>
      <c r="J162" s="119">
        <f ca="1">HLOOKUP($H$4,'Met Data'!$H$2:$M$368,G162,FALSE)*L162</f>
        <v>2.1333333333333302</v>
      </c>
      <c r="K162" s="96">
        <f ca="1">HLOOKUP($H$4,'Met Data'!$O$2:$T$368,G162,FALSE)</f>
        <v>0.80690048817841498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45519</v>
      </c>
      <c r="Q162">
        <f ca="1"/>
        <v>-22.465512738917976</v>
      </c>
      <c r="R162">
        <f ca="1"/>
        <v>0</v>
      </c>
      <c r="S162">
        <f ca="1"/>
        <v>-2.6693765312711406</v>
      </c>
      <c r="T162">
        <f ca="1"/>
        <v>0.66147252633103026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1</v>
      </c>
      <c r="Z162">
        <f ca="1"/>
        <v>0.2984162316246568</v>
      </c>
      <c r="AA162">
        <f ca="1"/>
        <v>0</v>
      </c>
      <c r="AB162">
        <f ca="1"/>
        <v>9.3496336416767755E-3</v>
      </c>
      <c r="AD162" s="2">
        <f t="shared" ca="1" si="22"/>
        <v>45519</v>
      </c>
      <c r="AE162">
        <f t="shared" ca="1" si="23"/>
        <v>0</v>
      </c>
      <c r="AG162" s="63">
        <f t="shared" ca="1" si="27"/>
        <v>-22.465512738917976</v>
      </c>
      <c r="AH162" s="63">
        <f t="shared" ca="1" si="28"/>
        <v>-22.465512738917976</v>
      </c>
      <c r="AI162" s="3">
        <f t="shared" ca="1" si="29"/>
        <v>0</v>
      </c>
    </row>
    <row r="163" spans="7:35">
      <c r="G163" s="3">
        <f t="shared" ca="1" si="24"/>
        <v>184</v>
      </c>
      <c r="H163" s="95">
        <f t="shared" ca="1" si="26"/>
        <v>45474</v>
      </c>
      <c r="I163" s="119">
        <f ca="1">HLOOKUP($H$4,'Met Data'!$A$2:$F$368,G163,FALSE)</f>
        <v>8.2249999999999996</v>
      </c>
      <c r="J163" s="119">
        <f ca="1">HLOOKUP($H$4,'Met Data'!$H$2:$M$368,G163,FALSE)*L163</f>
        <v>0.83333333333333304</v>
      </c>
      <c r="K163" s="96">
        <f ca="1">HLOOKUP($H$4,'Met Data'!$O$2:$T$368,G163,FALSE)</f>
        <v>1.0149186441071101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45520</v>
      </c>
      <c r="Q163">
        <f ca="1"/>
        <v>-24.33947227734604</v>
      </c>
      <c r="R163">
        <f ca="1"/>
        <v>0</v>
      </c>
      <c r="S163">
        <f ca="1"/>
        <v>-2.5299682229828875</v>
      </c>
      <c r="T163">
        <f ca="1"/>
        <v>0.6560086845548232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1</v>
      </c>
      <c r="Z163">
        <f ca="1"/>
        <v>5.2286154223918473</v>
      </c>
      <c r="AA163">
        <f ca="1"/>
        <v>0</v>
      </c>
      <c r="AB163">
        <f ca="1"/>
        <v>1.1055687384118183E-2</v>
      </c>
      <c r="AD163" s="2">
        <f t="shared" ca="1" si="22"/>
        <v>45520</v>
      </c>
      <c r="AE163">
        <f t="shared" ca="1" si="23"/>
        <v>0</v>
      </c>
      <c r="AG163" s="63">
        <f t="shared" ca="1" si="27"/>
        <v>-24.33947227734604</v>
      </c>
      <c r="AH163" s="63">
        <f t="shared" ca="1" si="28"/>
        <v>-24.33947227734604</v>
      </c>
      <c r="AI163" s="3">
        <f t="shared" ca="1" si="29"/>
        <v>0</v>
      </c>
    </row>
    <row r="164" spans="7:35">
      <c r="G164" s="3">
        <f t="shared" ca="1" si="24"/>
        <v>185</v>
      </c>
      <c r="H164" s="95">
        <f t="shared" ca="1" si="26"/>
        <v>45475</v>
      </c>
      <c r="I164" s="119">
        <f ca="1">HLOOKUP($H$4,'Met Data'!$A$2:$F$368,G164,FALSE)</f>
        <v>8.8333333333333304</v>
      </c>
      <c r="J164" s="119">
        <f ca="1">HLOOKUP($H$4,'Met Data'!$H$2:$M$368,G164,FALSE)*L164</f>
        <v>3.5666666666666602</v>
      </c>
      <c r="K164" s="96">
        <f ca="1">HLOOKUP($H$4,'Met Data'!$O$2:$T$368,G164,FALSE)</f>
        <v>0.89125379504041602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45521</v>
      </c>
      <c r="Q164">
        <f ca="1"/>
        <v>-25.970413409256373</v>
      </c>
      <c r="R164">
        <f ca="1"/>
        <v>0</v>
      </c>
      <c r="S164">
        <f ca="1"/>
        <v>-2.2369984635118101</v>
      </c>
      <c r="T164">
        <f ca="1"/>
        <v>0.60605733160147568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1</v>
      </c>
      <c r="Z164">
        <f ca="1"/>
        <v>1.9120200148195678</v>
      </c>
      <c r="AA164">
        <f ca="1"/>
        <v>0</v>
      </c>
      <c r="AB164">
        <f ca="1"/>
        <v>1.2892227783872142E-2</v>
      </c>
      <c r="AD164" s="2">
        <f t="shared" ca="1" si="22"/>
        <v>45521</v>
      </c>
      <c r="AE164">
        <f t="shared" ca="1" si="23"/>
        <v>0</v>
      </c>
      <c r="AG164" s="63">
        <f t="shared" ca="1" si="27"/>
        <v>-25.970413409256373</v>
      </c>
      <c r="AH164" s="63">
        <f t="shared" ca="1" si="28"/>
        <v>-25.970413409256373</v>
      </c>
      <c r="AI164" s="3">
        <f t="shared" ca="1" si="29"/>
        <v>0</v>
      </c>
    </row>
    <row r="165" spans="7:35">
      <c r="G165" s="3">
        <f t="shared" ca="1" si="24"/>
        <v>186</v>
      </c>
      <c r="H165" s="95">
        <f t="shared" ca="1" si="26"/>
        <v>45476</v>
      </c>
      <c r="I165" s="119">
        <f ca="1">HLOOKUP($H$4,'Met Data'!$A$2:$F$368,G165,FALSE)</f>
        <v>8.6</v>
      </c>
      <c r="J165" s="119">
        <f ca="1">HLOOKUP($H$4,'Met Data'!$H$2:$M$368,G165,FALSE)*L165</f>
        <v>0.73333333333333295</v>
      </c>
      <c r="K165" s="96">
        <f ca="1">HLOOKUP($H$4,'Met Data'!$O$2:$T$368,G165,FALSE)</f>
        <v>0.87224086772784204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45522</v>
      </c>
      <c r="Q165">
        <f ca="1"/>
        <v>-27.609595029332933</v>
      </c>
      <c r="R165">
        <f ca="1"/>
        <v>0</v>
      </c>
      <c r="S165">
        <f ca="1"/>
        <v>-2.2865083408938318</v>
      </c>
      <c r="T165">
        <f ca="1"/>
        <v>0.64732672081727138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1</v>
      </c>
      <c r="Z165">
        <f ca="1"/>
        <v>0.57240704758539351</v>
      </c>
      <c r="AA165">
        <f ca="1"/>
        <v>0</v>
      </c>
      <c r="AB165">
        <f ca="1"/>
        <v>1.5199584994551882E-2</v>
      </c>
      <c r="AD165" s="2">
        <f t="shared" ca="1" si="22"/>
        <v>45522</v>
      </c>
      <c r="AE165">
        <f t="shared" ca="1" si="23"/>
        <v>0</v>
      </c>
      <c r="AG165" s="63">
        <f t="shared" ca="1" si="27"/>
        <v>-27.609595029332933</v>
      </c>
      <c r="AH165" s="63">
        <f t="shared" ca="1" si="28"/>
        <v>-27.609595029332933</v>
      </c>
      <c r="AI165" s="3">
        <f t="shared" ca="1" si="29"/>
        <v>0</v>
      </c>
    </row>
    <row r="166" spans="7:35">
      <c r="G166" s="3">
        <f t="shared" ca="1" si="24"/>
        <v>187</v>
      </c>
      <c r="H166" s="95">
        <f t="shared" ca="1" si="26"/>
        <v>45477</v>
      </c>
      <c r="I166" s="119">
        <f ca="1">HLOOKUP($H$4,'Met Data'!$A$2:$F$368,G166,FALSE)</f>
        <v>9.4</v>
      </c>
      <c r="J166" s="119">
        <f ca="1">HLOOKUP($H$4,'Met Data'!$H$2:$M$368,G166,FALSE)*L166</f>
        <v>9.9999999999999895E-2</v>
      </c>
      <c r="K166" s="96">
        <f ca="1">HLOOKUP($H$4,'Met Data'!$O$2:$T$368,G166,FALSE)</f>
        <v>0.96939333533810901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45523</v>
      </c>
      <c r="Q166">
        <f ca="1"/>
        <v>-29.112877425600125</v>
      </c>
      <c r="R166">
        <f ca="1"/>
        <v>0</v>
      </c>
      <c r="S166">
        <f ca="1"/>
        <v>-2.136125824391172</v>
      </c>
      <c r="T166">
        <f ca="1"/>
        <v>0.63284342812398009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1</v>
      </c>
      <c r="Z166">
        <f ca="1"/>
        <v>2.2077225249515138</v>
      </c>
      <c r="AA166">
        <f ca="1"/>
        <v>0</v>
      </c>
      <c r="AB166">
        <f ca="1"/>
        <v>1.7842840875812057E-2</v>
      </c>
      <c r="AD166" s="2">
        <f t="shared" ca="1" si="22"/>
        <v>45523</v>
      </c>
      <c r="AE166">
        <f t="shared" ca="1" si="23"/>
        <v>0</v>
      </c>
      <c r="AG166" s="63">
        <f t="shared" ca="1" si="27"/>
        <v>-29.112877425600125</v>
      </c>
      <c r="AH166" s="63">
        <f t="shared" ca="1" si="28"/>
        <v>-29.112877425600125</v>
      </c>
      <c r="AI166" s="3">
        <f t="shared" ca="1" si="29"/>
        <v>0</v>
      </c>
    </row>
    <row r="167" spans="7:35">
      <c r="G167" s="3">
        <f t="shared" ca="1" si="24"/>
        <v>188</v>
      </c>
      <c r="H167" s="95">
        <f t="shared" ca="1" si="26"/>
        <v>45478</v>
      </c>
      <c r="I167" s="119">
        <f ca="1">HLOOKUP($H$4,'Met Data'!$A$2:$F$368,G167,FALSE)</f>
        <v>9.12083333333333</v>
      </c>
      <c r="J167" s="119">
        <f ca="1">HLOOKUP($H$4,'Met Data'!$H$2:$M$368,G167,FALSE)*L167</f>
        <v>2.18333333333333</v>
      </c>
      <c r="K167" s="96">
        <f ca="1">HLOOKUP($H$4,'Met Data'!$O$2:$T$368,G167,FALSE)</f>
        <v>0.851628840058262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45524</v>
      </c>
      <c r="Q167">
        <f ca="1"/>
        <v>-30.592945804138246</v>
      </c>
      <c r="R167">
        <f ca="1"/>
        <v>0</v>
      </c>
      <c r="S167">
        <f ca="1"/>
        <v>-2.1462079582538962</v>
      </c>
      <c r="T167">
        <f ca="1"/>
        <v>0.66613957971577464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1</v>
      </c>
      <c r="Z167">
        <f ca="1"/>
        <v>0.66201845026684225</v>
      </c>
      <c r="AA167">
        <f ca="1"/>
        <v>0</v>
      </c>
      <c r="AB167">
        <f ca="1"/>
        <v>2.1121771418424362E-2</v>
      </c>
      <c r="AD167" s="2">
        <f t="shared" ca="1" si="22"/>
        <v>45524</v>
      </c>
      <c r="AE167">
        <f t="shared" ca="1" si="23"/>
        <v>0</v>
      </c>
      <c r="AG167" s="63">
        <f t="shared" ca="1" si="27"/>
        <v>-30.592945804138246</v>
      </c>
      <c r="AH167" s="63">
        <f t="shared" ca="1" si="28"/>
        <v>-30.592945804138246</v>
      </c>
      <c r="AI167" s="3">
        <f t="shared" ca="1" si="29"/>
        <v>0</v>
      </c>
    </row>
    <row r="168" spans="7:35">
      <c r="G168" s="3">
        <f t="shared" ca="1" si="24"/>
        <v>189</v>
      </c>
      <c r="H168" s="95">
        <f t="shared" ca="1" si="26"/>
        <v>45479</v>
      </c>
      <c r="I168" s="119">
        <f ca="1">HLOOKUP($H$4,'Met Data'!$A$2:$F$368,G168,FALSE)</f>
        <v>9.6583333333333297</v>
      </c>
      <c r="J168" s="119">
        <f ca="1">HLOOKUP($H$4,'Met Data'!$H$2:$M$368,G168,FALSE)*L168</f>
        <v>4.5666666666666602</v>
      </c>
      <c r="K168" s="96">
        <f ca="1">HLOOKUP($H$4,'Met Data'!$O$2:$T$368,G168,FALSE)</f>
        <v>0.80851868655974801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45525</v>
      </c>
      <c r="Q168">
        <f ca="1"/>
        <v>-31.939047856887321</v>
      </c>
      <c r="R168">
        <f ca="1"/>
        <v>0</v>
      </c>
      <c r="S168">
        <f ca="1"/>
        <v>-1.9958630970750733</v>
      </c>
      <c r="T168">
        <f ca="1"/>
        <v>0.64976104432599702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1</v>
      </c>
      <c r="Z168">
        <f ca="1"/>
        <v>2.7903834843362318</v>
      </c>
      <c r="AA168">
        <f ca="1"/>
        <v>0</v>
      </c>
      <c r="AB168">
        <f ca="1"/>
        <v>2.4880906797602423E-2</v>
      </c>
      <c r="AD168" s="2">
        <f t="shared" ca="1" si="22"/>
        <v>45525</v>
      </c>
      <c r="AE168">
        <f t="shared" ca="1" si="23"/>
        <v>0</v>
      </c>
      <c r="AG168" s="63">
        <f t="shared" ca="1" si="27"/>
        <v>-31.939047856887321</v>
      </c>
      <c r="AH168" s="63">
        <f t="shared" ca="1" si="28"/>
        <v>-31.939047856887321</v>
      </c>
      <c r="AI168" s="3">
        <f t="shared" ca="1" si="29"/>
        <v>0</v>
      </c>
    </row>
    <row r="169" spans="7:35">
      <c r="G169" s="3">
        <f t="shared" ca="1" si="24"/>
        <v>190</v>
      </c>
      <c r="H169" s="95">
        <f t="shared" ca="1" si="26"/>
        <v>45480</v>
      </c>
      <c r="I169" s="119">
        <f ca="1">HLOOKUP($H$4,'Met Data'!$A$2:$F$368,G169,FALSE)</f>
        <v>8.5291666666666597</v>
      </c>
      <c r="J169" s="119">
        <f ca="1">HLOOKUP($H$4,'Met Data'!$H$2:$M$368,G169,FALSE)*L169</f>
        <v>3.7833333333333301</v>
      </c>
      <c r="K169" s="96">
        <f ca="1">HLOOKUP($H$4,'Met Data'!$O$2:$T$368,G169,FALSE)</f>
        <v>1.09493770994468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45526</v>
      </c>
      <c r="Q169">
        <f ca="1"/>
        <v>-33.199236043452494</v>
      </c>
      <c r="R169">
        <f ca="1"/>
        <v>0</v>
      </c>
      <c r="S169">
        <f ca="1"/>
        <v>-1.9137475874360206</v>
      </c>
      <c r="T169">
        <f ca="1"/>
        <v>0.65355940087084974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1</v>
      </c>
      <c r="Z169">
        <f ca="1"/>
        <v>4.0593681295796102E-2</v>
      </c>
      <c r="AA169">
        <f ca="1"/>
        <v>0</v>
      </c>
      <c r="AB169">
        <f ca="1"/>
        <v>2.9318271076748424E-2</v>
      </c>
      <c r="AD169" s="2">
        <f t="shared" ca="1" si="22"/>
        <v>45526</v>
      </c>
      <c r="AE169">
        <f t="shared" ca="1" si="23"/>
        <v>0</v>
      </c>
      <c r="AG169" s="63">
        <f t="shared" ca="1" si="27"/>
        <v>-33.199236043452494</v>
      </c>
      <c r="AH169" s="63">
        <f t="shared" ca="1" si="28"/>
        <v>-33.199236043452494</v>
      </c>
      <c r="AI169" s="3">
        <f t="shared" ca="1" si="29"/>
        <v>0</v>
      </c>
    </row>
    <row r="170" spans="7:35">
      <c r="G170" s="3">
        <f t="shared" ca="1" si="24"/>
        <v>191</v>
      </c>
      <c r="H170" s="95">
        <f t="shared" ca="1" si="26"/>
        <v>45481</v>
      </c>
      <c r="I170" s="119">
        <f ca="1">HLOOKUP($H$4,'Met Data'!$A$2:$F$368,G170,FALSE)</f>
        <v>8.1583333333333297</v>
      </c>
      <c r="J170" s="119">
        <f ca="1">HLOOKUP($H$4,'Met Data'!$H$2:$M$368,G170,FALSE)*L170</f>
        <v>4.18333333333333</v>
      </c>
      <c r="K170" s="96">
        <f ca="1">HLOOKUP($H$4,'Met Data'!$O$2:$T$368,G170,FALSE)</f>
        <v>0.89025740200721304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45527</v>
      </c>
      <c r="Q170">
        <f ca="1"/>
        <v>-34.403596149555888</v>
      </c>
      <c r="R170">
        <f ca="1"/>
        <v>0</v>
      </c>
      <c r="S170">
        <f ca="1"/>
        <v>-1.8782323170290027</v>
      </c>
      <c r="T170">
        <f ca="1"/>
        <v>0.67387221092560967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0.97829616941121122</v>
      </c>
      <c r="Z170">
        <f ca="1"/>
        <v>0</v>
      </c>
      <c r="AA170">
        <f ca="1"/>
        <v>0</v>
      </c>
      <c r="AB170">
        <f ca="1"/>
        <v>3.4700397099639853E-2</v>
      </c>
      <c r="AD170" s="2">
        <f t="shared" ca="1" si="22"/>
        <v>45527</v>
      </c>
      <c r="AE170">
        <f t="shared" ca="1" si="23"/>
        <v>0</v>
      </c>
      <c r="AG170" s="63">
        <f t="shared" ca="1" si="27"/>
        <v>-34.403596149555888</v>
      </c>
      <c r="AH170" s="63">
        <f t="shared" ca="1" si="28"/>
        <v>-34.403596149555888</v>
      </c>
      <c r="AI170" s="3">
        <f t="shared" ca="1" si="29"/>
        <v>0</v>
      </c>
    </row>
    <row r="171" spans="7:35">
      <c r="G171" s="3">
        <f t="shared" ca="1" si="24"/>
        <v>192</v>
      </c>
      <c r="H171" s="95">
        <f t="shared" ca="1" si="26"/>
        <v>45482</v>
      </c>
      <c r="I171" s="119">
        <f ca="1">HLOOKUP($H$4,'Met Data'!$A$2:$F$368,G171,FALSE)</f>
        <v>8.24166666666666</v>
      </c>
      <c r="J171" s="119">
        <f ca="1">HLOOKUP($H$4,'Met Data'!$H$2:$M$368,G171,FALSE)*L171</f>
        <v>2.2666666666666599</v>
      </c>
      <c r="K171" s="96">
        <f ca="1">HLOOKUP($H$4,'Met Data'!$O$2:$T$368,G171,FALSE)</f>
        <v>1.06467045295546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45528</v>
      </c>
      <c r="Q171">
        <f ca="1"/>
        <v>-35.497517199999891</v>
      </c>
      <c r="R171">
        <f ca="1"/>
        <v>0</v>
      </c>
      <c r="S171">
        <f ca="1"/>
        <v>-1.756764064494206</v>
      </c>
      <c r="T171">
        <f ca="1"/>
        <v>0.66284301405020363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0.99758471204352783</v>
      </c>
      <c r="Z171">
        <f ca="1"/>
        <v>0</v>
      </c>
      <c r="AA171">
        <f ca="1"/>
        <v>0</v>
      </c>
      <c r="AB171">
        <f ca="1"/>
        <v>4.0913478258019643E-2</v>
      </c>
      <c r="AD171" s="2">
        <f t="shared" ca="1" si="22"/>
        <v>45528</v>
      </c>
      <c r="AE171">
        <f t="shared" ca="1" si="23"/>
        <v>0</v>
      </c>
      <c r="AG171" s="63">
        <f t="shared" ca="1" si="27"/>
        <v>-35.497517199999891</v>
      </c>
      <c r="AH171" s="63">
        <f t="shared" ca="1" si="28"/>
        <v>-35.497517199999891</v>
      </c>
      <c r="AI171" s="3">
        <f t="shared" ca="1" si="29"/>
        <v>0</v>
      </c>
    </row>
    <row r="172" spans="7:35">
      <c r="G172" s="3">
        <f t="shared" ca="1" si="24"/>
        <v>193</v>
      </c>
      <c r="H172" s="95">
        <f t="shared" ca="1" si="26"/>
        <v>45483</v>
      </c>
      <c r="I172" s="119">
        <f ca="1">HLOOKUP($H$4,'Met Data'!$A$2:$F$368,G172,FALSE)</f>
        <v>8.0333333333333297</v>
      </c>
      <c r="J172" s="119">
        <f ca="1">HLOOKUP($H$4,'Met Data'!$H$2:$M$368,G172,FALSE)*L172</f>
        <v>4.6500000000000004</v>
      </c>
      <c r="K172" s="96">
        <f ca="1">HLOOKUP($H$4,'Met Data'!$O$2:$T$368,G172,FALSE)</f>
        <v>1.03430816091664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45529</v>
      </c>
      <c r="Q172">
        <f ca="1"/>
        <v>-36.602719584349082</v>
      </c>
      <c r="R172">
        <f ca="1"/>
        <v>0</v>
      </c>
      <c r="S172">
        <f ca="1"/>
        <v>-1.8356799483978534</v>
      </c>
      <c r="T172">
        <f ca="1"/>
        <v>0.73047756404865993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1</v>
      </c>
      <c r="Z172">
        <f ca="1"/>
        <v>1.449702264359253</v>
      </c>
      <c r="AA172">
        <f ca="1"/>
        <v>0</v>
      </c>
      <c r="AB172">
        <f ca="1"/>
        <v>4.8994055805807742E-2</v>
      </c>
      <c r="AD172" s="2">
        <f t="shared" ca="1" si="22"/>
        <v>45529</v>
      </c>
      <c r="AE172">
        <f t="shared" ca="1" si="23"/>
        <v>0</v>
      </c>
      <c r="AG172" s="63">
        <f t="shared" ca="1" si="27"/>
        <v>-36.602719584349082</v>
      </c>
      <c r="AH172" s="63">
        <f t="shared" ca="1" si="28"/>
        <v>-36.602719584349082</v>
      </c>
      <c r="AI172" s="3">
        <f t="shared" ca="1" si="29"/>
        <v>0</v>
      </c>
    </row>
    <row r="173" spans="7:35">
      <c r="G173" s="3">
        <f t="shared" ca="1" si="24"/>
        <v>194</v>
      </c>
      <c r="H173" s="95">
        <f t="shared" ca="1" si="26"/>
        <v>45484</v>
      </c>
      <c r="I173" s="119">
        <f ca="1">HLOOKUP($H$4,'Met Data'!$A$2:$F$368,G173,FALSE)</f>
        <v>8.37083333333333</v>
      </c>
      <c r="J173" s="119">
        <f ca="1">HLOOKUP($H$4,'Met Data'!$H$2:$M$368,G173,FALSE)*L173</f>
        <v>1.61666666666666</v>
      </c>
      <c r="K173" s="96">
        <f ca="1">HLOOKUP($H$4,'Met Data'!$O$2:$T$368,G173,FALSE)</f>
        <v>1.0039262064680501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45530</v>
      </c>
      <c r="Q173">
        <f ca="1"/>
        <v>-37.610180847858537</v>
      </c>
      <c r="R173">
        <f ca="1"/>
        <v>0</v>
      </c>
      <c r="S173">
        <f ca="1"/>
        <v>-1.7405675422476747</v>
      </c>
      <c r="T173">
        <f ca="1"/>
        <v>0.73310627873822098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0.98849971538888204</v>
      </c>
      <c r="Z173">
        <f ca="1"/>
        <v>0</v>
      </c>
      <c r="AA173">
        <f ca="1"/>
        <v>0</v>
      </c>
      <c r="AB173">
        <f ca="1"/>
        <v>5.8609534164410532E-2</v>
      </c>
      <c r="AD173" s="2">
        <f t="shared" ca="1" si="22"/>
        <v>45530</v>
      </c>
      <c r="AE173">
        <f t="shared" ca="1" si="23"/>
        <v>0</v>
      </c>
      <c r="AG173" s="63">
        <f t="shared" ca="1" si="27"/>
        <v>-37.610180847858537</v>
      </c>
      <c r="AH173" s="63">
        <f t="shared" ca="1" si="28"/>
        <v>-37.610180847858537</v>
      </c>
      <c r="AI173" s="3">
        <f t="shared" ca="1" si="29"/>
        <v>0</v>
      </c>
    </row>
    <row r="174" spans="7:35">
      <c r="G174" s="3">
        <f t="shared" ca="1" si="24"/>
        <v>195</v>
      </c>
      <c r="H174" s="95">
        <f t="shared" ca="1" si="26"/>
        <v>45485</v>
      </c>
      <c r="I174" s="119">
        <f ca="1">HLOOKUP($H$4,'Met Data'!$A$2:$F$368,G174,FALSE)</f>
        <v>8.0916666666666597</v>
      </c>
      <c r="J174" s="119">
        <f ca="1">HLOOKUP($H$4,'Met Data'!$H$2:$M$368,G174,FALSE)*L174</f>
        <v>5.0666666666666602</v>
      </c>
      <c r="K174" s="96">
        <f ca="1">HLOOKUP($H$4,'Met Data'!$O$2:$T$368,G174,FALSE)</f>
        <v>0.87492032925951801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45531</v>
      </c>
      <c r="Q174">
        <f ca="1"/>
        <v>-38.547177937401898</v>
      </c>
      <c r="R174">
        <f ca="1"/>
        <v>0</v>
      </c>
      <c r="S174">
        <f ca="1"/>
        <v>-1.6934342365075281</v>
      </c>
      <c r="T174">
        <f ca="1"/>
        <v>0.75643714696416808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0.99359309434480336</v>
      </c>
      <c r="Z174">
        <f ca="1"/>
        <v>0</v>
      </c>
      <c r="AA174">
        <f ca="1"/>
        <v>0</v>
      </c>
      <c r="AB174">
        <f ca="1"/>
        <v>7.0351405486962726E-2</v>
      </c>
      <c r="AD174" s="2">
        <f t="shared" ca="1" si="22"/>
        <v>45531</v>
      </c>
      <c r="AE174">
        <f t="shared" ca="1" si="23"/>
        <v>0</v>
      </c>
      <c r="AG174" s="63">
        <f t="shared" ca="1" si="27"/>
        <v>-38.547177937401898</v>
      </c>
      <c r="AH174" s="63">
        <f t="shared" ca="1" si="28"/>
        <v>-38.547177937401898</v>
      </c>
      <c r="AI174" s="3">
        <f t="shared" ca="1" si="29"/>
        <v>0</v>
      </c>
    </row>
    <row r="175" spans="7:35">
      <c r="G175" s="3">
        <f t="shared" ca="1" si="24"/>
        <v>196</v>
      </c>
      <c r="H175" s="95">
        <f t="shared" ca="1" si="26"/>
        <v>45486</v>
      </c>
      <c r="I175" s="119">
        <f ca="1">HLOOKUP($H$4,'Met Data'!$A$2:$F$368,G175,FALSE)</f>
        <v>7.9156250000000004</v>
      </c>
      <c r="J175" s="119">
        <f ca="1">HLOOKUP($H$4,'Met Data'!$H$2:$M$368,G175,FALSE)*L175</f>
        <v>4.1666666666666599</v>
      </c>
      <c r="K175" s="96">
        <f ca="1">HLOOKUP($H$4,'Met Data'!$O$2:$T$368,G175,FALSE)</f>
        <v>0.80250527716076203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45532</v>
      </c>
      <c r="Q175">
        <f ca="1"/>
        <v>-39.347125304798467</v>
      </c>
      <c r="R175">
        <f ca="1"/>
        <v>0</v>
      </c>
      <c r="S175">
        <f ca="1"/>
        <v>-1.5208373390644851</v>
      </c>
      <c r="T175">
        <f ca="1"/>
        <v>0.72088997166791713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1</v>
      </c>
      <c r="Z175">
        <f ca="1"/>
        <v>1.1730352635314532</v>
      </c>
      <c r="AA175">
        <f ca="1"/>
        <v>0</v>
      </c>
      <c r="AB175">
        <f ca="1"/>
        <v>8.3552882836293613E-2</v>
      </c>
      <c r="AD175" s="2">
        <f t="shared" ca="1" si="22"/>
        <v>45532</v>
      </c>
      <c r="AE175">
        <f t="shared" ca="1" si="23"/>
        <v>0</v>
      </c>
      <c r="AG175" s="63">
        <f t="shared" ca="1" si="27"/>
        <v>-39.347125304798467</v>
      </c>
      <c r="AH175" s="63">
        <f t="shared" ca="1" si="28"/>
        <v>-39.347125304798467</v>
      </c>
      <c r="AI175" s="3">
        <f t="shared" ca="1" si="29"/>
        <v>0</v>
      </c>
    </row>
    <row r="176" spans="7:35">
      <c r="G176" s="3">
        <f t="shared" ca="1" si="24"/>
        <v>197</v>
      </c>
      <c r="H176" s="95">
        <f t="shared" ca="1" si="26"/>
        <v>45487</v>
      </c>
      <c r="I176" s="119">
        <f ca="1">HLOOKUP($H$4,'Met Data'!$A$2:$F$368,G176,FALSE)</f>
        <v>8.8590909090909093</v>
      </c>
      <c r="J176" s="119">
        <f ca="1">HLOOKUP($H$4,'Met Data'!$H$2:$M$368,G176,FALSE)*L176</f>
        <v>2.0666666666666602</v>
      </c>
      <c r="K176" s="96">
        <f ca="1">HLOOKUP($H$4,'Met Data'!$O$2:$T$368,G176,FALSE)</f>
        <v>0.97822362204517799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45533</v>
      </c>
      <c r="Q176">
        <f ca="1"/>
        <v>-40.095368032073431</v>
      </c>
      <c r="R176">
        <f ca="1"/>
        <v>0</v>
      </c>
      <c r="S176">
        <f ca="1"/>
        <v>-1.5073671113335934</v>
      </c>
      <c r="T176">
        <f ca="1"/>
        <v>0.75912438405862992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0.99608193388153743</v>
      </c>
      <c r="Z176">
        <f ca="1"/>
        <v>0</v>
      </c>
      <c r="AA176">
        <f ca="1"/>
        <v>0</v>
      </c>
      <c r="AB176">
        <f ca="1"/>
        <v>9.9821671274144777E-2</v>
      </c>
      <c r="AD176" s="2">
        <f t="shared" ca="1" si="22"/>
        <v>45533</v>
      </c>
      <c r="AE176">
        <f t="shared" ca="1" si="23"/>
        <v>0</v>
      </c>
      <c r="AG176" s="63">
        <f t="shared" ca="1" si="27"/>
        <v>-40.095368032073431</v>
      </c>
      <c r="AH176" s="63">
        <f t="shared" ca="1" si="28"/>
        <v>-40.095368032073431</v>
      </c>
      <c r="AI176" s="3">
        <f t="shared" ca="1" si="29"/>
        <v>0</v>
      </c>
    </row>
    <row r="177" spans="7:35">
      <c r="G177" s="3">
        <f t="shared" ca="1" si="24"/>
        <v>198</v>
      </c>
      <c r="H177" s="95">
        <f t="shared" ca="1" si="26"/>
        <v>45488</v>
      </c>
      <c r="I177" s="119">
        <f ca="1">HLOOKUP($H$4,'Met Data'!$A$2:$F$368,G177,FALSE)</f>
        <v>8.8590909090909093</v>
      </c>
      <c r="J177" s="119">
        <f ca="1">HLOOKUP($H$4,'Met Data'!$H$2:$M$368,G177,FALSE)*L177</f>
        <v>6.0666666666666602</v>
      </c>
      <c r="K177" s="96">
        <f ca="1">HLOOKUP($H$4,'Met Data'!$O$2:$T$368,G177,FALSE)</f>
        <v>0.78802331007485205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45534</v>
      </c>
      <c r="Q177">
        <f ca="1"/>
        <v>-40.725063549700856</v>
      </c>
      <c r="R177">
        <f ca="1"/>
        <v>0</v>
      </c>
      <c r="S177">
        <f ca="1"/>
        <v>-1.3566774107107165</v>
      </c>
      <c r="T177">
        <f ca="1"/>
        <v>0.72698189308329042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0.99482391211761889</v>
      </c>
      <c r="Z177">
        <f ca="1"/>
        <v>0</v>
      </c>
      <c r="AA177">
        <f ca="1"/>
        <v>0</v>
      </c>
      <c r="AB177">
        <f ca="1"/>
        <v>0.11801247450572484</v>
      </c>
      <c r="AD177" s="2">
        <f t="shared" ca="1" si="22"/>
        <v>45534</v>
      </c>
      <c r="AE177">
        <f t="shared" ca="1" si="23"/>
        <v>0</v>
      </c>
      <c r="AG177" s="63">
        <f t="shared" ca="1" si="27"/>
        <v>-40.725063549700856</v>
      </c>
      <c r="AH177" s="63">
        <f t="shared" ca="1" si="28"/>
        <v>-40.725063549700856</v>
      </c>
      <c r="AI177" s="3">
        <f t="shared" ca="1" si="29"/>
        <v>0</v>
      </c>
    </row>
    <row r="178" spans="7:35">
      <c r="G178" s="3">
        <f t="shared" ca="1" si="24"/>
        <v>199</v>
      </c>
      <c r="H178" s="95">
        <f t="shared" ca="1" si="26"/>
        <v>45489</v>
      </c>
      <c r="I178" s="119">
        <f ca="1">HLOOKUP($H$4,'Met Data'!$A$2:$F$368,G178,FALSE)</f>
        <v>9.5909090909090899</v>
      </c>
      <c r="J178" s="119">
        <f ca="1">HLOOKUP($H$4,'Met Data'!$H$2:$M$368,G178,FALSE)*L178</f>
        <v>4.5999999999999996</v>
      </c>
      <c r="K178" s="96">
        <f ca="1">HLOOKUP($H$4,'Met Data'!$O$2:$T$368,G178,FALSE)</f>
        <v>0.944748845250029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45535</v>
      </c>
      <c r="Q178">
        <f ca="1"/>
        <v>-41.246908187429817</v>
      </c>
      <c r="R178">
        <f ca="1"/>
        <v>0</v>
      </c>
      <c r="S178">
        <f ca="1"/>
        <v>-1.211353206935442</v>
      </c>
      <c r="T178">
        <f ca="1"/>
        <v>0.68950856920648274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0.97637207463352516</v>
      </c>
      <c r="Z178">
        <f ca="1"/>
        <v>0</v>
      </c>
      <c r="AA178">
        <f ca="1"/>
        <v>0</v>
      </c>
      <c r="AB178">
        <f ca="1"/>
        <v>0.1378600376021451</v>
      </c>
      <c r="AD178" s="2">
        <f t="shared" ca="1" si="22"/>
        <v>45535</v>
      </c>
      <c r="AE178">
        <f t="shared" ca="1" si="23"/>
        <v>0</v>
      </c>
      <c r="AG178" s="63">
        <f t="shared" ca="1" si="27"/>
        <v>-41.246908187429817</v>
      </c>
      <c r="AH178" s="63">
        <f t="shared" ca="1" si="28"/>
        <v>-41.246908187429817</v>
      </c>
      <c r="AI178" s="3">
        <f t="shared" ca="1" si="29"/>
        <v>0</v>
      </c>
    </row>
    <row r="179" spans="7:35">
      <c r="G179" s="3">
        <f t="shared" ca="1" si="24"/>
        <v>200</v>
      </c>
      <c r="H179" s="95">
        <f t="shared" ca="1" si="26"/>
        <v>45490</v>
      </c>
      <c r="I179" s="119">
        <f ca="1">HLOOKUP($H$4,'Met Data'!$A$2:$F$368,G179,FALSE)</f>
        <v>8.8450000000000006</v>
      </c>
      <c r="J179" s="119">
        <f ca="1">HLOOKUP($H$4,'Met Data'!$H$2:$M$368,G179,FALSE)*L179</f>
        <v>1.1000000000000001</v>
      </c>
      <c r="K179" s="96">
        <f ca="1">HLOOKUP($H$4,'Met Data'!$O$2:$T$368,G179,FALSE)</f>
        <v>1.0240187106181899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45536</v>
      </c>
      <c r="Q179">
        <f ca="1"/>
        <v>-41.679695946640329</v>
      </c>
      <c r="R179">
        <f ca="1"/>
        <v>0</v>
      </c>
      <c r="S179">
        <f ca="1"/>
        <v>-1.0917979723610785</v>
      </c>
      <c r="T179">
        <f ca="1"/>
        <v>0.65901021315056518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1</v>
      </c>
      <c r="Z179">
        <f ca="1"/>
        <v>0.38451276109898203</v>
      </c>
      <c r="AA179">
        <f ca="1"/>
        <v>0</v>
      </c>
      <c r="AB179">
        <f ca="1"/>
        <v>0.15935431277073439</v>
      </c>
      <c r="AD179" s="2">
        <f t="shared" ca="1" si="22"/>
        <v>45536</v>
      </c>
      <c r="AE179">
        <f t="shared" ca="1" si="23"/>
        <v>0</v>
      </c>
      <c r="AG179" s="63">
        <f t="shared" ca="1" si="27"/>
        <v>-41.679695946640329</v>
      </c>
      <c r="AH179" s="63">
        <f t="shared" ca="1" si="28"/>
        <v>-41.679695946640329</v>
      </c>
      <c r="AI179" s="3">
        <f t="shared" ca="1" si="29"/>
        <v>0</v>
      </c>
    </row>
    <row r="180" spans="7:35">
      <c r="G180" s="3">
        <f t="shared" ca="1" si="24"/>
        <v>201</v>
      </c>
      <c r="H180" s="95">
        <f t="shared" ca="1" si="26"/>
        <v>45491</v>
      </c>
      <c r="I180" s="119">
        <f ca="1">HLOOKUP($H$4,'Met Data'!$A$2:$F$368,G180,FALSE)</f>
        <v>8.99166666666666</v>
      </c>
      <c r="J180" s="119">
        <f ca="1">HLOOKUP($H$4,'Met Data'!$H$2:$M$368,G180,FALSE)*L180</f>
        <v>1.3499999999999901</v>
      </c>
      <c r="K180" s="96">
        <f ca="1">HLOOKUP($H$4,'Met Data'!$O$2:$T$368,G180,FALSE)</f>
        <v>1.16174529470798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45537</v>
      </c>
      <c r="Q180">
        <f ca="1"/>
        <v>-42.053509507202961</v>
      </c>
      <c r="R180">
        <f ca="1"/>
        <v>0</v>
      </c>
      <c r="S180">
        <f ca="1"/>
        <v>-1.0388531246709363</v>
      </c>
      <c r="T180">
        <f ca="1"/>
        <v>0.66503956410830789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0.98750025082441928</v>
      </c>
      <c r="Z180">
        <f ca="1"/>
        <v>0</v>
      </c>
      <c r="AA180">
        <f ca="1"/>
        <v>0</v>
      </c>
      <c r="AB180">
        <f ca="1"/>
        <v>0.18372854760483442</v>
      </c>
      <c r="AD180" s="2">
        <f t="shared" ca="1" si="22"/>
        <v>45537</v>
      </c>
      <c r="AE180">
        <f t="shared" ca="1" si="23"/>
        <v>0</v>
      </c>
      <c r="AG180" s="63">
        <f t="shared" ca="1" si="27"/>
        <v>-42.053509507202961</v>
      </c>
      <c r="AH180" s="63">
        <f t="shared" ca="1" si="28"/>
        <v>-42.053509507202961</v>
      </c>
      <c r="AI180" s="3">
        <f t="shared" ca="1" si="29"/>
        <v>0</v>
      </c>
    </row>
    <row r="181" spans="7:35">
      <c r="G181" s="3">
        <f t="shared" ca="1" si="24"/>
        <v>202</v>
      </c>
      <c r="H181" s="95">
        <f t="shared" ca="1" si="26"/>
        <v>45492</v>
      </c>
      <c r="I181" s="119">
        <f ca="1">HLOOKUP($H$4,'Met Data'!$A$2:$F$368,G181,FALSE)</f>
        <v>9.5</v>
      </c>
      <c r="J181" s="119">
        <f ca="1">HLOOKUP($H$4,'Met Data'!$H$2:$M$368,G181,FALSE)*L181</f>
        <v>2.75</v>
      </c>
      <c r="K181" s="96">
        <f ca="1">HLOOKUP($H$4,'Met Data'!$O$2:$T$368,G181,FALSE)</f>
        <v>0.94669865516537999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45538</v>
      </c>
      <c r="Q181">
        <f ca="1"/>
        <v>-42.375039743827408</v>
      </c>
      <c r="R181">
        <f ca="1"/>
        <v>0</v>
      </c>
      <c r="S181">
        <f ca="1"/>
        <v>-1.0068280904239657</v>
      </c>
      <c r="T181">
        <f ca="1"/>
        <v>0.68529785379951635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0.99985640710139645</v>
      </c>
      <c r="Z181">
        <f ca="1"/>
        <v>0</v>
      </c>
      <c r="AA181">
        <f ca="1"/>
        <v>0</v>
      </c>
      <c r="AB181">
        <f ca="1"/>
        <v>0.21178835548654243</v>
      </c>
      <c r="AD181" s="2">
        <f t="shared" ca="1" si="22"/>
        <v>45538</v>
      </c>
      <c r="AE181">
        <f t="shared" ca="1" si="23"/>
        <v>0</v>
      </c>
      <c r="AG181" s="63">
        <f t="shared" ca="1" si="27"/>
        <v>-42.375039743827408</v>
      </c>
      <c r="AH181" s="63">
        <f t="shared" ca="1" si="28"/>
        <v>-42.375039743827408</v>
      </c>
      <c r="AI181" s="3">
        <f t="shared" ca="1" si="29"/>
        <v>0</v>
      </c>
    </row>
    <row r="182" spans="7:35">
      <c r="G182" s="3">
        <f t="shared" ca="1" si="24"/>
        <v>203</v>
      </c>
      <c r="H182" s="95">
        <f t="shared" ca="1" si="26"/>
        <v>45493</v>
      </c>
      <c r="I182" s="119">
        <f ca="1">HLOOKUP($H$4,'Met Data'!$A$2:$F$368,G182,FALSE)</f>
        <v>9.8333333333333304</v>
      </c>
      <c r="J182" s="119">
        <f ca="1">HLOOKUP($H$4,'Met Data'!$H$2:$M$368,G182,FALSE)*L182</f>
        <v>3.6333333333333302</v>
      </c>
      <c r="K182" s="96">
        <f ca="1">HLOOKUP($H$4,'Met Data'!$O$2:$T$368,G182,FALSE)</f>
        <v>1.0815395194790001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45539</v>
      </c>
      <c r="Q182">
        <f ca="1"/>
        <v>-42.62806126340562</v>
      </c>
      <c r="R182">
        <f ca="1"/>
        <v>0</v>
      </c>
      <c r="S182">
        <f ca="1"/>
        <v>-0.91943628456280635</v>
      </c>
      <c r="T182">
        <f ca="1"/>
        <v>0.66641476498459717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1</v>
      </c>
      <c r="Z182">
        <f ca="1"/>
        <v>1.6932095502562845</v>
      </c>
      <c r="AA182">
        <f ca="1"/>
        <v>0</v>
      </c>
      <c r="AB182">
        <f ca="1"/>
        <v>0.24194238710707489</v>
      </c>
      <c r="AD182" s="2">
        <f t="shared" ca="1" si="22"/>
        <v>45539</v>
      </c>
      <c r="AE182">
        <f t="shared" ca="1" si="23"/>
        <v>0</v>
      </c>
      <c r="AG182" s="63">
        <f t="shared" ca="1" si="27"/>
        <v>-42.62806126340562</v>
      </c>
      <c r="AH182" s="63">
        <f t="shared" ca="1" si="28"/>
        <v>-42.62806126340562</v>
      </c>
      <c r="AI182" s="3">
        <f t="shared" ca="1" si="29"/>
        <v>0</v>
      </c>
    </row>
    <row r="183" spans="7:35">
      <c r="G183" s="3">
        <f t="shared" ca="1" si="24"/>
        <v>204</v>
      </c>
      <c r="H183" s="95">
        <f t="shared" ca="1" si="26"/>
        <v>45494</v>
      </c>
      <c r="I183" s="119">
        <f ca="1">HLOOKUP($H$4,'Met Data'!$A$2:$F$368,G183,FALSE)</f>
        <v>10.029166666666599</v>
      </c>
      <c r="J183" s="119">
        <f ca="1">HLOOKUP($H$4,'Met Data'!$H$2:$M$368,G183,FALSE)*L183</f>
        <v>4.68333333333333</v>
      </c>
      <c r="K183" s="96">
        <f ca="1">HLOOKUP($H$4,'Met Data'!$O$2:$T$368,G183,FALSE)</f>
        <v>1.0771273773513399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45540</v>
      </c>
      <c r="Q183">
        <f ca="1"/>
        <v>-42.833911068812967</v>
      </c>
      <c r="R183">
        <f ca="1"/>
        <v>0</v>
      </c>
      <c r="S183">
        <f ca="1"/>
        <v>-0.90979773547735476</v>
      </c>
      <c r="T183">
        <f ca="1"/>
        <v>0.70394793007000667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1</v>
      </c>
      <c r="Z183">
        <f ca="1"/>
        <v>4.4597669175513701</v>
      </c>
      <c r="AA183">
        <f ca="1"/>
        <v>0</v>
      </c>
      <c r="AB183">
        <f ca="1"/>
        <v>0.27685634500642908</v>
      </c>
      <c r="AD183" s="2">
        <f t="shared" ca="1" si="22"/>
        <v>45540</v>
      </c>
      <c r="AE183">
        <f t="shared" ca="1" si="23"/>
        <v>0</v>
      </c>
      <c r="AG183" s="63">
        <f t="shared" ca="1" si="27"/>
        <v>-42.833911068812967</v>
      </c>
      <c r="AH183" s="63">
        <f t="shared" ca="1" si="28"/>
        <v>-42.833911068812967</v>
      </c>
      <c r="AI183" s="3">
        <f t="shared" ca="1" si="29"/>
        <v>0</v>
      </c>
    </row>
    <row r="184" spans="7:35">
      <c r="G184" s="3">
        <f t="shared" ca="1" si="24"/>
        <v>205</v>
      </c>
      <c r="H184" s="95">
        <f t="shared" ca="1" si="26"/>
        <v>45495</v>
      </c>
      <c r="I184" s="119">
        <f ca="1">HLOOKUP($H$4,'Met Data'!$A$2:$F$368,G184,FALSE)</f>
        <v>9.4250000000000007</v>
      </c>
      <c r="J184" s="119">
        <f ca="1">HLOOKUP($H$4,'Met Data'!$H$2:$M$368,G184,FALSE)*L184</f>
        <v>5.2666666666666604</v>
      </c>
      <c r="K184" s="96">
        <f ca="1">HLOOKUP($H$4,'Met Data'!$O$2:$T$368,G184,FALSE)</f>
        <v>0.87955885998233896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45541</v>
      </c>
      <c r="Q184">
        <f ca="1"/>
        <v>-42.984043869321951</v>
      </c>
      <c r="R184">
        <f ca="1"/>
        <v>0</v>
      </c>
      <c r="S184">
        <f ca="1"/>
        <v>-0.88440931321383687</v>
      </c>
      <c r="T184">
        <f ca="1"/>
        <v>0.73427651270485272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0.98857369845778686</v>
      </c>
      <c r="Z184">
        <f ca="1"/>
        <v>0</v>
      </c>
      <c r="AA184">
        <f ca="1"/>
        <v>0</v>
      </c>
      <c r="AB184">
        <f ca="1"/>
        <v>0.31638069932046842</v>
      </c>
      <c r="AD184" s="2">
        <f t="shared" ca="1" si="22"/>
        <v>45541</v>
      </c>
      <c r="AE184">
        <f t="shared" ca="1" si="23"/>
        <v>0</v>
      </c>
      <c r="AG184" s="63">
        <f t="shared" ca="1" si="27"/>
        <v>-42.984043869321951</v>
      </c>
      <c r="AH184" s="63">
        <f t="shared" ca="1" si="28"/>
        <v>-42.984043869321951</v>
      </c>
      <c r="AI184" s="3">
        <f t="shared" ca="1" si="29"/>
        <v>0</v>
      </c>
    </row>
    <row r="185" spans="7:35">
      <c r="G185" s="3">
        <f t="shared" ca="1" si="24"/>
        <v>206</v>
      </c>
      <c r="H185" s="95">
        <f t="shared" ca="1" si="26"/>
        <v>45496</v>
      </c>
      <c r="I185" s="119">
        <f ca="1">HLOOKUP($H$4,'Met Data'!$A$2:$F$368,G185,FALSE)</f>
        <v>9.4</v>
      </c>
      <c r="J185" s="119">
        <f ca="1">HLOOKUP($H$4,'Met Data'!$H$2:$M$368,G185,FALSE)*L185</f>
        <v>2.0499999999999998</v>
      </c>
      <c r="K185" s="96">
        <f ca="1">HLOOKUP($H$4,'Met Data'!$O$2:$T$368,G185,FALSE)</f>
        <v>0.953998897248024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45542</v>
      </c>
      <c r="Q185">
        <f ca="1"/>
        <v>-43.069893617153355</v>
      </c>
      <c r="R185">
        <f ca="1"/>
        <v>0</v>
      </c>
      <c r="S185">
        <f ca="1"/>
        <v>-0.80673971949931911</v>
      </c>
      <c r="T185">
        <f ca="1"/>
        <v>0.72088997166791713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0.97042100428126665</v>
      </c>
      <c r="Z185">
        <f ca="1"/>
        <v>0</v>
      </c>
      <c r="AA185">
        <f ca="1"/>
        <v>0</v>
      </c>
      <c r="AB185">
        <f ca="1"/>
        <v>0.35797234137787942</v>
      </c>
      <c r="AD185" s="2">
        <f t="shared" ca="1" si="22"/>
        <v>45542</v>
      </c>
      <c r="AE185">
        <f t="shared" ca="1" si="23"/>
        <v>0</v>
      </c>
      <c r="AG185" s="63">
        <f t="shared" ca="1" si="27"/>
        <v>-43.069893617153355</v>
      </c>
      <c r="AH185" s="63">
        <f t="shared" ca="1" si="28"/>
        <v>-43.069893617153355</v>
      </c>
      <c r="AI185" s="3">
        <f t="shared" ca="1" si="29"/>
        <v>0</v>
      </c>
    </row>
    <row r="186" spans="7:35">
      <c r="G186" s="3">
        <f t="shared" ca="1" si="24"/>
        <v>207</v>
      </c>
      <c r="H186" s="95">
        <f t="shared" ca="1" si="26"/>
        <v>45497</v>
      </c>
      <c r="I186" s="119">
        <f ca="1">HLOOKUP($H$4,'Met Data'!$A$2:$F$368,G186,FALSE)</f>
        <v>8.92916666666666</v>
      </c>
      <c r="J186" s="119">
        <f ca="1">HLOOKUP($H$4,'Met Data'!$H$2:$M$368,G186,FALSE)*L186</f>
        <v>1.1499999999999999</v>
      </c>
      <c r="K186" s="96">
        <f ca="1">HLOOKUP($H$4,'Met Data'!$O$2:$T$368,G186,FALSE)</f>
        <v>1.2467505566806001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45543</v>
      </c>
      <c r="Q186">
        <f ca="1"/>
        <v>-43.097139279187658</v>
      </c>
      <c r="R186">
        <f ca="1"/>
        <v>0</v>
      </c>
      <c r="S186">
        <f ca="1"/>
        <v>-0.68298191460092994</v>
      </c>
      <c r="T186">
        <f ca="1"/>
        <v>0.65573625256662971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1</v>
      </c>
      <c r="Z186">
        <f ca="1"/>
        <v>0.94988636029990658</v>
      </c>
      <c r="AA186">
        <f ca="1"/>
        <v>0</v>
      </c>
      <c r="AB186">
        <f ca="1"/>
        <v>0.39773357165805989</v>
      </c>
      <c r="AD186" s="2">
        <f t="shared" ca="1" si="22"/>
        <v>45543</v>
      </c>
      <c r="AE186">
        <f t="shared" ca="1" si="23"/>
        <v>0</v>
      </c>
      <c r="AG186" s="63">
        <f t="shared" ca="1" si="27"/>
        <v>-43.097139279187658</v>
      </c>
      <c r="AH186" s="63">
        <f t="shared" ca="1" si="28"/>
        <v>-43.097139279187658</v>
      </c>
      <c r="AI186" s="3">
        <f t="shared" ca="1" si="29"/>
        <v>0</v>
      </c>
    </row>
    <row r="187" spans="7:35">
      <c r="G187" s="3">
        <f t="shared" ca="1" si="24"/>
        <v>208</v>
      </c>
      <c r="H187" s="95">
        <f t="shared" ca="1" si="26"/>
        <v>45498</v>
      </c>
      <c r="I187" s="119">
        <f ca="1">HLOOKUP($H$4,'Met Data'!$A$2:$F$368,G187,FALSE)</f>
        <v>8.7624999999999993</v>
      </c>
      <c r="J187" s="119">
        <f ca="1">HLOOKUP($H$4,'Met Data'!$H$2:$M$368,G187,FALSE)*L187</f>
        <v>0.45</v>
      </c>
      <c r="K187" s="96">
        <f ca="1">HLOOKUP($H$4,'Met Data'!$O$2:$T$368,G187,FALSE)</f>
        <v>1.3150067848265401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45544</v>
      </c>
      <c r="Q187">
        <f ca="1"/>
        <v>-43.075748215757123</v>
      </c>
      <c r="R187">
        <f ca="1"/>
        <v>0</v>
      </c>
      <c r="S187">
        <f ca="1"/>
        <v>-0.66586974848269165</v>
      </c>
      <c r="T187">
        <f ca="1"/>
        <v>0.6872608119132293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1</v>
      </c>
      <c r="Z187">
        <f ca="1"/>
        <v>1.774097938804239</v>
      </c>
      <c r="AA187">
        <f ca="1"/>
        <v>0</v>
      </c>
      <c r="AB187">
        <f ca="1"/>
        <v>0.44095291658202651</v>
      </c>
      <c r="AD187" s="2">
        <f t="shared" ca="1" si="22"/>
        <v>45544</v>
      </c>
      <c r="AE187">
        <f t="shared" ca="1" si="23"/>
        <v>0</v>
      </c>
      <c r="AG187" s="63">
        <f t="shared" ca="1" si="27"/>
        <v>-43.075748215757123</v>
      </c>
      <c r="AH187" s="63">
        <f t="shared" ca="1" si="28"/>
        <v>-43.075748215757123</v>
      </c>
      <c r="AI187" s="3">
        <f t="shared" ca="1" si="29"/>
        <v>0</v>
      </c>
    </row>
    <row r="188" spans="7:35">
      <c r="G188" s="3">
        <f t="shared" ca="1" si="24"/>
        <v>209</v>
      </c>
      <c r="H188" s="95">
        <f t="shared" ca="1" si="26"/>
        <v>45499</v>
      </c>
      <c r="I188" s="119">
        <f ca="1">HLOOKUP($H$4,'Met Data'!$A$2:$F$368,G188,FALSE)</f>
        <v>9.3333333333333304</v>
      </c>
      <c r="J188" s="119">
        <f ca="1">HLOOKUP($H$4,'Met Data'!$H$2:$M$368,G188,FALSE)*L188</f>
        <v>2.0166666666666599</v>
      </c>
      <c r="K188" s="96">
        <f ca="1">HLOOKUP($H$4,'Met Data'!$O$2:$T$368,G188,FALSE)</f>
        <v>1.11956275252086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45545</v>
      </c>
      <c r="Q188">
        <f ca="1"/>
        <v>-42.999930549547521</v>
      </c>
      <c r="R188">
        <f ca="1"/>
        <v>0</v>
      </c>
      <c r="S188">
        <f ca="1"/>
        <v>-0.64942036711184414</v>
      </c>
      <c r="T188">
        <f ca="1"/>
        <v>0.7252380333214492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1</v>
      </c>
      <c r="Z188">
        <f ca="1"/>
        <v>4.7596296112462042</v>
      </c>
      <c r="AA188">
        <f ca="1"/>
        <v>0</v>
      </c>
      <c r="AB188">
        <f ca="1"/>
        <v>0.48752364199770437</v>
      </c>
      <c r="AD188" s="2">
        <f t="shared" ca="1" si="22"/>
        <v>45545</v>
      </c>
      <c r="AE188">
        <f t="shared" ca="1" si="23"/>
        <v>0</v>
      </c>
      <c r="AG188" s="63">
        <f t="shared" ca="1" si="27"/>
        <v>-42.999930549547521</v>
      </c>
      <c r="AH188" s="63">
        <f t="shared" ca="1" si="28"/>
        <v>-42.999930549547521</v>
      </c>
      <c r="AI188" s="3">
        <f t="shared" ca="1" si="29"/>
        <v>0</v>
      </c>
    </row>
    <row r="189" spans="7:35">
      <c r="G189" s="3">
        <f t="shared" ca="1" si="24"/>
        <v>210</v>
      </c>
      <c r="H189" s="95">
        <f t="shared" ca="1" si="26"/>
        <v>45500</v>
      </c>
      <c r="I189" s="119">
        <f ca="1">HLOOKUP($H$4,'Met Data'!$A$2:$F$368,G189,FALSE)</f>
        <v>8.9875000000000007</v>
      </c>
      <c r="J189" s="119">
        <f ca="1">HLOOKUP($H$4,'Met Data'!$H$2:$M$368,G189,FALSE)*L189</f>
        <v>1.2666666666666599</v>
      </c>
      <c r="K189" s="96">
        <f ca="1">HLOOKUP($H$4,'Met Data'!$O$2:$T$368,G189,FALSE)</f>
        <v>1.28515382274214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45546</v>
      </c>
      <c r="Q189">
        <f ca="1"/>
        <v>-42.874424663887929</v>
      </c>
      <c r="R189">
        <f ca="1"/>
        <v>0</v>
      </c>
      <c r="S189">
        <f ca="1"/>
        <v>-0.58673757036658003</v>
      </c>
      <c r="T189">
        <f ca="1"/>
        <v>0.71224345602617489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1</v>
      </c>
      <c r="Z189">
        <f ca="1"/>
        <v>9.4680063959359018E-2</v>
      </c>
      <c r="AA189">
        <f ca="1"/>
        <v>0</v>
      </c>
      <c r="AB189">
        <f ca="1"/>
        <v>0.53349040123993374</v>
      </c>
      <c r="AD189" s="2">
        <f t="shared" ca="1" si="22"/>
        <v>45546</v>
      </c>
      <c r="AE189">
        <f t="shared" ca="1" si="23"/>
        <v>0</v>
      </c>
      <c r="AG189" s="63">
        <f t="shared" ca="1" si="27"/>
        <v>-42.874424663887929</v>
      </c>
      <c r="AH189" s="63">
        <f t="shared" ca="1" si="28"/>
        <v>-42.874424663887929</v>
      </c>
      <c r="AI189" s="3">
        <f t="shared" ca="1" si="29"/>
        <v>0</v>
      </c>
    </row>
    <row r="190" spans="7:35">
      <c r="G190" s="3">
        <f t="shared" ca="1" si="24"/>
        <v>211</v>
      </c>
      <c r="H190" s="95">
        <f t="shared" ca="1" si="26"/>
        <v>45501</v>
      </c>
      <c r="I190" s="119">
        <f ca="1">HLOOKUP($H$4,'Met Data'!$A$2:$F$368,G190,FALSE)</f>
        <v>9.0374999999999996</v>
      </c>
      <c r="J190" s="119">
        <f ca="1">HLOOKUP($H$4,'Met Data'!$H$2:$M$368,G190,FALSE)*L190</f>
        <v>2.7999999999999901</v>
      </c>
      <c r="K190" s="96">
        <f ca="1">HLOOKUP($H$4,'Met Data'!$O$2:$T$368,G190,FALSE)</f>
        <v>1.1959337492079301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45547</v>
      </c>
      <c r="Q190">
        <f ca="1"/>
        <v>-42.685380535398778</v>
      </c>
      <c r="R190">
        <f ca="1"/>
        <v>0</v>
      </c>
      <c r="S190">
        <f ca="1"/>
        <v>-0.57697491869461714</v>
      </c>
      <c r="T190">
        <f ca="1"/>
        <v>0.7660190471837709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0.9930112777620026</v>
      </c>
      <c r="Z190">
        <f ca="1"/>
        <v>0</v>
      </c>
      <c r="AA190">
        <f ca="1"/>
        <v>0</v>
      </c>
      <c r="AB190">
        <f ca="1"/>
        <v>0.58216491699255402</v>
      </c>
      <c r="AD190" s="2">
        <f t="shared" ca="1" si="22"/>
        <v>45547</v>
      </c>
      <c r="AE190">
        <f t="shared" ca="1" si="23"/>
        <v>0</v>
      </c>
      <c r="AG190" s="63">
        <f t="shared" ca="1" si="27"/>
        <v>-42.685380535398778</v>
      </c>
      <c r="AH190" s="63">
        <f t="shared" ca="1" si="28"/>
        <v>-42.685380535398778</v>
      </c>
      <c r="AI190" s="3">
        <f t="shared" ca="1" si="29"/>
        <v>0</v>
      </c>
    </row>
    <row r="191" spans="7:35">
      <c r="G191" s="3">
        <f t="shared" ca="1" si="24"/>
        <v>212</v>
      </c>
      <c r="H191" s="95">
        <f t="shared" ca="1" si="26"/>
        <v>45502</v>
      </c>
      <c r="I191" s="119">
        <f ca="1">HLOOKUP($H$4,'Met Data'!$A$2:$F$368,G191,FALSE)</f>
        <v>8.17916666666666</v>
      </c>
      <c r="J191" s="119">
        <f ca="1">HLOOKUP($H$4,'Met Data'!$H$2:$M$368,G191,FALSE)*L191</f>
        <v>1.55</v>
      </c>
      <c r="K191" s="96">
        <f ca="1">HLOOKUP($H$4,'Met Data'!$O$2:$T$368,G191,FALSE)</f>
        <v>1.3658842309244701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45548</v>
      </c>
      <c r="Q191">
        <f ca="1"/>
        <v>-42.445679428286134</v>
      </c>
      <c r="R191">
        <f ca="1"/>
        <v>0</v>
      </c>
      <c r="S191">
        <f ca="1"/>
        <v>-0.51792962656884356</v>
      </c>
      <c r="T191">
        <f ca="1"/>
        <v>0.75763073368148548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1</v>
      </c>
      <c r="Z191">
        <f ca="1"/>
        <v>0.39197086685744154</v>
      </c>
      <c r="AA191">
        <f ca="1"/>
        <v>0</v>
      </c>
      <c r="AB191">
        <f ca="1"/>
        <v>0.62881048091464542</v>
      </c>
      <c r="AD191" s="2">
        <f t="shared" ca="1" si="22"/>
        <v>45548</v>
      </c>
      <c r="AE191">
        <f t="shared" ca="1" si="23"/>
        <v>0</v>
      </c>
      <c r="AG191" s="63">
        <f t="shared" ca="1" si="27"/>
        <v>-42.445679428286134</v>
      </c>
      <c r="AH191" s="63">
        <f t="shared" ca="1" si="28"/>
        <v>-42.445679428286134</v>
      </c>
      <c r="AI191" s="3">
        <f t="shared" ca="1" si="29"/>
        <v>0</v>
      </c>
    </row>
    <row r="192" spans="7:35">
      <c r="G192" s="3">
        <f t="shared" ca="1" si="24"/>
        <v>213</v>
      </c>
      <c r="H192" s="95">
        <f t="shared" ca="1" si="26"/>
        <v>45503</v>
      </c>
      <c r="I192" s="119">
        <f ca="1">HLOOKUP($H$4,'Met Data'!$A$2:$F$368,G192,FALSE)</f>
        <v>8.75</v>
      </c>
      <c r="J192" s="119">
        <f ca="1">HLOOKUP($H$4,'Met Data'!$H$2:$M$368,G192,FALSE)*L192</f>
        <v>2.44999999999999</v>
      </c>
      <c r="K192" s="96">
        <f ca="1">HLOOKUP($H$4,'Met Data'!$O$2:$T$368,G192,FALSE)</f>
        <v>0.89818915942500899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45549</v>
      </c>
      <c r="Q192">
        <f ca="1"/>
        <v>-42.147742576932188</v>
      </c>
      <c r="R192">
        <f ca="1"/>
        <v>0</v>
      </c>
      <c r="S192">
        <f ca="1"/>
        <v>-0.47925600429944382</v>
      </c>
      <c r="T192">
        <f ca="1"/>
        <v>0.77719285565339125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0.99066645966323696</v>
      </c>
      <c r="Z192">
        <f ca="1"/>
        <v>0</v>
      </c>
      <c r="AA192">
        <f ca="1"/>
        <v>0</v>
      </c>
      <c r="AB192">
        <f ca="1"/>
        <v>0.67422044828654115</v>
      </c>
      <c r="AD192" s="2">
        <f t="shared" ca="1" si="22"/>
        <v>45549</v>
      </c>
      <c r="AE192">
        <f t="shared" ca="1" si="23"/>
        <v>0</v>
      </c>
      <c r="AG192" s="63">
        <f t="shared" ca="1" si="27"/>
        <v>-42.147742576932188</v>
      </c>
      <c r="AH192" s="63">
        <f t="shared" ca="1" si="28"/>
        <v>-42.147742576932188</v>
      </c>
      <c r="AI192" s="3">
        <f t="shared" ca="1" si="29"/>
        <v>0</v>
      </c>
    </row>
    <row r="193" spans="7:35">
      <c r="G193" s="3">
        <f t="shared" ca="1" si="24"/>
        <v>214</v>
      </c>
      <c r="H193" s="95">
        <f t="shared" ca="1" si="26"/>
        <v>45504</v>
      </c>
      <c r="I193" s="119">
        <f ca="1">HLOOKUP($H$4,'Met Data'!$A$2:$F$368,G193,FALSE)</f>
        <v>10.3375</v>
      </c>
      <c r="J193" s="119">
        <f ca="1">HLOOKUP($H$4,'Met Data'!$H$2:$M$368,G193,FALSE)*L193</f>
        <v>5.2666666666666604</v>
      </c>
      <c r="K193" s="96">
        <f ca="1">HLOOKUP($H$4,'Met Data'!$O$2:$T$368,G193,FALSE)</f>
        <v>0.94454335980482496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45550</v>
      </c>
      <c r="Q193">
        <f ca="1"/>
        <v>-41.802235801729907</v>
      </c>
      <c r="R193">
        <f ca="1"/>
        <v>0</v>
      </c>
      <c r="S193">
        <f ca="1"/>
        <v>-0.4259354756270568</v>
      </c>
      <c r="T193">
        <f ca="1"/>
        <v>0.77144225082933637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1</v>
      </c>
      <c r="Z193">
        <f ca="1"/>
        <v>0.21291506586632636</v>
      </c>
      <c r="AA193">
        <f ca="1"/>
        <v>0</v>
      </c>
      <c r="AB193">
        <f ca="1"/>
        <v>0.71629584427327253</v>
      </c>
      <c r="AD193" s="2">
        <f t="shared" ca="1" si="22"/>
        <v>45550</v>
      </c>
      <c r="AE193">
        <f t="shared" ca="1" si="23"/>
        <v>0</v>
      </c>
      <c r="AG193" s="63">
        <f t="shared" ca="1" si="27"/>
        <v>-41.802235801729907</v>
      </c>
      <c r="AH193" s="63">
        <f t="shared" ca="1" si="28"/>
        <v>-41.802235801729907</v>
      </c>
      <c r="AI193" s="3">
        <f t="shared" ca="1" si="29"/>
        <v>0</v>
      </c>
    </row>
    <row r="194" spans="7:35">
      <c r="G194" s="3">
        <f t="shared" ca="1" si="24"/>
        <v>215</v>
      </c>
      <c r="H194" s="95">
        <f t="shared" ca="1" si="26"/>
        <v>45505</v>
      </c>
      <c r="I194" s="119">
        <f ca="1">HLOOKUP($H$4,'Met Data'!$A$2:$F$368,G194,FALSE)</f>
        <v>10.595454545454499</v>
      </c>
      <c r="J194" s="119">
        <f ca="1">HLOOKUP($H$4,'Met Data'!$H$2:$M$368,G194,FALSE)*L194</f>
        <v>4.4166666666666599</v>
      </c>
      <c r="K194" s="96">
        <f ca="1">HLOOKUP($H$4,'Met Data'!$O$2:$T$368,G194,FALSE)</f>
        <v>1.0832642567801201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45551</v>
      </c>
      <c r="Q194">
        <f ca="1"/>
        <v>-41.372279076925579</v>
      </c>
      <c r="R194">
        <f ca="1"/>
        <v>0</v>
      </c>
      <c r="S194">
        <f ca="1"/>
        <v>-0.41003967730007673</v>
      </c>
      <c r="T194">
        <f ca="1"/>
        <v>0.83999640210440196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1</v>
      </c>
      <c r="Z194">
        <f ca="1"/>
        <v>2.5617247807118702</v>
      </c>
      <c r="AA194">
        <f ca="1"/>
        <v>0</v>
      </c>
      <c r="AB194">
        <f ca="1"/>
        <v>0.75789998614174237</v>
      </c>
      <c r="AD194" s="2">
        <f t="shared" ca="1" si="22"/>
        <v>45551</v>
      </c>
      <c r="AE194">
        <f t="shared" ca="1" si="23"/>
        <v>0</v>
      </c>
      <c r="AG194" s="63">
        <f t="shared" ca="1" si="27"/>
        <v>-41.372279076925579</v>
      </c>
      <c r="AH194" s="63">
        <f t="shared" ca="1" si="28"/>
        <v>-41.372279076925579</v>
      </c>
      <c r="AI194" s="3">
        <f t="shared" ca="1" si="29"/>
        <v>0</v>
      </c>
    </row>
    <row r="195" spans="7:35">
      <c r="G195" s="3">
        <f t="shared" ca="1" si="24"/>
        <v>216</v>
      </c>
      <c r="H195" s="95">
        <f t="shared" ca="1" si="26"/>
        <v>45506</v>
      </c>
      <c r="I195" s="119">
        <f ca="1">HLOOKUP($H$4,'Met Data'!$A$2:$F$368,G195,FALSE)</f>
        <v>10.1041666666666</v>
      </c>
      <c r="J195" s="119">
        <f ca="1">HLOOKUP($H$4,'Met Data'!$H$2:$M$368,G195,FALSE)*L195</f>
        <v>2.0833333333333299</v>
      </c>
      <c r="K195" s="96">
        <f ca="1">HLOOKUP($H$4,'Met Data'!$O$2:$T$368,G195,FALSE)</f>
        <v>1.39183263100002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45552</v>
      </c>
      <c r="Q195">
        <f ca="1"/>
        <v>-40.927834853240952</v>
      </c>
      <c r="R195">
        <f ca="1"/>
        <v>0</v>
      </c>
      <c r="S195">
        <f ca="1"/>
        <v>-0.3312327132491788</v>
      </c>
      <c r="T195">
        <f ca="1"/>
        <v>0.77567693693380269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1</v>
      </c>
      <c r="Z195">
        <f ca="1"/>
        <v>1.9258837330422338</v>
      </c>
      <c r="AA195">
        <f ca="1"/>
        <v>0</v>
      </c>
      <c r="AB195">
        <f ca="1"/>
        <v>0.79266300965063585</v>
      </c>
      <c r="AD195" s="2">
        <f t="shared" ca="1" si="22"/>
        <v>45552</v>
      </c>
      <c r="AE195">
        <f t="shared" ca="1" si="23"/>
        <v>0</v>
      </c>
      <c r="AG195" s="63">
        <f t="shared" ca="1" si="27"/>
        <v>-40.927834853240952</v>
      </c>
      <c r="AH195" s="63">
        <f t="shared" ca="1" si="28"/>
        <v>-40.927834853240952</v>
      </c>
      <c r="AI195" s="3">
        <f t="shared" ca="1" si="29"/>
        <v>0</v>
      </c>
    </row>
    <row r="196" spans="7:35">
      <c r="G196" s="3">
        <f t="shared" ca="1" si="24"/>
        <v>217</v>
      </c>
      <c r="H196" s="95">
        <f t="shared" ca="1" si="26"/>
        <v>45507</v>
      </c>
      <c r="I196" s="119">
        <f ca="1">HLOOKUP($H$4,'Met Data'!$A$2:$F$368,G196,FALSE)</f>
        <v>10.1833333333333</v>
      </c>
      <c r="J196" s="119">
        <f ca="1">HLOOKUP($H$4,'Met Data'!$H$2:$M$368,G196,FALSE)*L196</f>
        <v>5.9833333333333298</v>
      </c>
      <c r="K196" s="96">
        <f ca="1">HLOOKUP($H$4,'Met Data'!$O$2:$T$368,G196,FALSE)</f>
        <v>1.0301492818772899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45553</v>
      </c>
      <c r="Q196">
        <f ca="1"/>
        <v>-40.479259421238474</v>
      </c>
      <c r="R196">
        <f ca="1"/>
        <v>0</v>
      </c>
      <c r="S196">
        <f ca="1"/>
        <v>-0.26711869868736926</v>
      </c>
      <c r="T196">
        <f ca="1"/>
        <v>0.71569413068984589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1</v>
      </c>
      <c r="Z196">
        <f ca="1"/>
        <v>6.7945774165971358</v>
      </c>
      <c r="AA196">
        <f ca="1"/>
        <v>0</v>
      </c>
      <c r="AB196">
        <f ca="1"/>
        <v>0.82142198690974788</v>
      </c>
      <c r="AD196" s="2">
        <f t="shared" ca="1" si="22"/>
        <v>45553</v>
      </c>
      <c r="AE196">
        <f t="shared" ca="1" si="23"/>
        <v>0</v>
      </c>
      <c r="AG196" s="63">
        <f t="shared" ca="1" si="27"/>
        <v>-40.479259421238474</v>
      </c>
      <c r="AH196" s="63">
        <f t="shared" ca="1" si="28"/>
        <v>-40.479259421238474</v>
      </c>
      <c r="AI196" s="3">
        <f t="shared" ca="1" si="29"/>
        <v>0</v>
      </c>
    </row>
    <row r="197" spans="7:35">
      <c r="G197" s="3">
        <f t="shared" ca="1" si="24"/>
        <v>218</v>
      </c>
      <c r="H197" s="95">
        <f t="shared" ca="1" si="26"/>
        <v>45508</v>
      </c>
      <c r="I197" s="119">
        <f ca="1">HLOOKUP($H$4,'Met Data'!$A$2:$F$368,G197,FALSE)</f>
        <v>9.7708333333333304</v>
      </c>
      <c r="J197" s="119">
        <f ca="1">HLOOKUP($H$4,'Met Data'!$H$2:$M$368,G197,FALSE)*L197</f>
        <v>2.9833333333333298</v>
      </c>
      <c r="K197" s="96">
        <f ca="1">HLOOKUP($H$4,'Met Data'!$O$2:$T$368,G197,FALSE)</f>
        <v>1.3432284560273799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45554</v>
      </c>
      <c r="Q197">
        <f ca="1"/>
        <v>-40.000995141898464</v>
      </c>
      <c r="R197">
        <f ca="1"/>
        <v>0</v>
      </c>
      <c r="S197">
        <f ca="1"/>
        <v>-0.22939471142375112</v>
      </c>
      <c r="T197">
        <f ca="1"/>
        <v>0.70765899076375927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1</v>
      </c>
      <c r="Z197">
        <f ca="1"/>
        <v>1.7638169905054895</v>
      </c>
      <c r="AA197">
        <f ca="1"/>
        <v>0</v>
      </c>
      <c r="AB197">
        <f ca="1"/>
        <v>0.84669560767644758</v>
      </c>
      <c r="AD197" s="2">
        <f t="shared" ca="1" si="22"/>
        <v>45554</v>
      </c>
      <c r="AE197">
        <f t="shared" ca="1" si="23"/>
        <v>0</v>
      </c>
      <c r="AG197" s="63">
        <f t="shared" ca="1" si="27"/>
        <v>-40.000995141898464</v>
      </c>
      <c r="AH197" s="63">
        <f t="shared" ca="1" si="28"/>
        <v>-40.000995141898464</v>
      </c>
      <c r="AI197" s="3">
        <f t="shared" ca="1" si="29"/>
        <v>0</v>
      </c>
    </row>
    <row r="198" spans="7:35">
      <c r="G198" s="3">
        <f t="shared" ca="1" si="24"/>
        <v>219</v>
      </c>
      <c r="H198" s="95">
        <f t="shared" ca="1" si="26"/>
        <v>45509</v>
      </c>
      <c r="I198" s="119">
        <f ca="1">HLOOKUP($H$4,'Met Data'!$A$2:$F$368,G198,FALSE)</f>
        <v>9.8791666666666593</v>
      </c>
      <c r="J198" s="119">
        <f ca="1">HLOOKUP($H$4,'Met Data'!$H$2:$M$368,G198,FALSE)*L198</f>
        <v>4.4833333333333298</v>
      </c>
      <c r="K198" s="96">
        <f ca="1">HLOOKUP($H$4,'Met Data'!$O$2:$T$368,G198,FALSE)</f>
        <v>1.0259838566514501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45555</v>
      </c>
      <c r="Q198">
        <f ca="1"/>
        <v>-39.51668468180231</v>
      </c>
      <c r="R198">
        <f ca="1"/>
        <v>0</v>
      </c>
      <c r="S198">
        <f ca="1"/>
        <v>-0.18707005206255189</v>
      </c>
      <c r="T198">
        <f ca="1"/>
        <v>0.67138051215870798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0.99370710280189967</v>
      </c>
      <c r="Z198">
        <f ca="1"/>
        <v>0</v>
      </c>
      <c r="AA198">
        <f ca="1"/>
        <v>0</v>
      </c>
      <c r="AB198">
        <f ca="1"/>
        <v>0.86788148989437841</v>
      </c>
      <c r="AD198" s="2">
        <f t="shared" ref="AD198:AD261" ca="1" si="32">IFERROR(P198,$AD$4)</f>
        <v>45555</v>
      </c>
      <c r="AE198">
        <f t="shared" ref="AE198:AE261" ca="1" si="33">IFERROR(U198,0)</f>
        <v>0</v>
      </c>
      <c r="AG198" s="63">
        <f t="shared" ca="1" si="27"/>
        <v>-39.51668468180231</v>
      </c>
      <c r="AH198" s="63">
        <f t="shared" ca="1" si="28"/>
        <v>-39.51668468180231</v>
      </c>
      <c r="AI198" s="3">
        <f t="shared" ca="1" si="29"/>
        <v>0</v>
      </c>
    </row>
    <row r="199" spans="7:35">
      <c r="G199" s="3">
        <f t="shared" ref="G199:G262" ca="1" si="34">H199-DATE(YEAR(H199),1,0)+1</f>
        <v>220</v>
      </c>
      <c r="H199" s="95">
        <f t="shared" ca="1" si="26"/>
        <v>45510</v>
      </c>
      <c r="I199" s="119">
        <f ca="1">HLOOKUP($H$4,'Met Data'!$A$2:$F$368,G199,FALSE)</f>
        <v>9.9874999999999901</v>
      </c>
      <c r="J199" s="119">
        <f ca="1">HLOOKUP($H$4,'Met Data'!$H$2:$M$368,G199,FALSE)*L199</f>
        <v>2.2000000000000002</v>
      </c>
      <c r="K199" s="96">
        <f ca="1">HLOOKUP($H$4,'Met Data'!$O$2:$T$368,G199,FALSE)</f>
        <v>1.1029484647982599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45556</v>
      </c>
      <c r="Q199">
        <f ca="1"/>
        <v>-38.987636232813095</v>
      </c>
      <c r="R199">
        <f ca="1"/>
        <v>0</v>
      </c>
      <c r="S199">
        <f ca="1"/>
        <v>-0.16299443039579842</v>
      </c>
      <c r="T199">
        <f ca="1"/>
        <v>0.69204287938501508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1</v>
      </c>
      <c r="Z199">
        <f ca="1"/>
        <v>1.2810404749745032</v>
      </c>
      <c r="AA199">
        <f ca="1"/>
        <v>0</v>
      </c>
      <c r="AB199">
        <f ca="1"/>
        <v>0.88707694363678791</v>
      </c>
      <c r="AD199" s="2">
        <f t="shared" ca="1" si="32"/>
        <v>45556</v>
      </c>
      <c r="AE199">
        <f t="shared" ca="1" si="33"/>
        <v>0</v>
      </c>
      <c r="AG199" s="63">
        <f t="shared" ca="1" si="27"/>
        <v>-38.987636232813095</v>
      </c>
      <c r="AH199" s="63">
        <f t="shared" ca="1" si="28"/>
        <v>-38.987636232813095</v>
      </c>
      <c r="AI199" s="3">
        <f t="shared" ca="1" si="29"/>
        <v>0</v>
      </c>
    </row>
    <row r="200" spans="7:35">
      <c r="G200" s="3">
        <f t="shared" ca="1" si="34"/>
        <v>221</v>
      </c>
      <c r="H200" s="95">
        <f t="shared" ref="H200:H263" ca="1" si="36">H199+1</f>
        <v>45511</v>
      </c>
      <c r="I200" s="119">
        <f ca="1">HLOOKUP($H$4,'Met Data'!$A$2:$F$368,G200,FALSE)</f>
        <v>9.4625000000000004</v>
      </c>
      <c r="J200" s="119">
        <f ca="1">HLOOKUP($H$4,'Met Data'!$H$2:$M$368,G200,FALSE)*L200</f>
        <v>3.61666666666666</v>
      </c>
      <c r="K200" s="96">
        <f ca="1">HLOOKUP($H$4,'Met Data'!$O$2:$T$368,G200,FALSE)</f>
        <v>1.10790183862933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45557</v>
      </c>
      <c r="Q200">
        <f ca="1"/>
        <v>-38.383378372713324</v>
      </c>
      <c r="R200">
        <f ca="1"/>
        <v>0</v>
      </c>
      <c r="S200">
        <f ca="1"/>
        <v>-0.14356120749347667</v>
      </c>
      <c r="T200">
        <f ca="1"/>
        <v>0.74781906759324768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0.99371677783737011</v>
      </c>
      <c r="Z200">
        <f ca="1"/>
        <v>0</v>
      </c>
      <c r="AA200">
        <f ca="1"/>
        <v>0</v>
      </c>
      <c r="AB200">
        <f ca="1"/>
        <v>0.90501685626198491</v>
      </c>
      <c r="AD200" s="2">
        <f t="shared" ca="1" si="32"/>
        <v>45557</v>
      </c>
      <c r="AE200">
        <f t="shared" ca="1" si="33"/>
        <v>0</v>
      </c>
      <c r="AG200" s="63">
        <f ca="1">Q199+S200+T200+U200</f>
        <v>-38.383378372713324</v>
      </c>
      <c r="AH200" s="63">
        <f ca="1">Q200+R200+X200</f>
        <v>-38.383378372713324</v>
      </c>
      <c r="AI200" s="3">
        <f ca="1">AH200-AG200</f>
        <v>0</v>
      </c>
    </row>
    <row r="201" spans="7:35">
      <c r="G201" s="3">
        <f t="shared" ca="1" si="34"/>
        <v>222</v>
      </c>
      <c r="H201" s="95">
        <f t="shared" ca="1" si="36"/>
        <v>45512</v>
      </c>
      <c r="I201" s="119">
        <f ca="1">HLOOKUP($H$4,'Met Data'!$A$2:$F$368,G201,FALSE)</f>
        <v>8.42916666666666</v>
      </c>
      <c r="J201" s="119">
        <f ca="1">HLOOKUP($H$4,'Met Data'!$H$2:$M$368,G201,FALSE)*L201</f>
        <v>3.4</v>
      </c>
      <c r="K201" s="96">
        <f ca="1">HLOOKUP($H$4,'Met Data'!$O$2:$T$368,G201,FALSE)</f>
        <v>1.32402542664303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45558</v>
      </c>
      <c r="Q201">
        <f ca="1"/>
        <v>-37.703527746482322</v>
      </c>
      <c r="R201">
        <f ca="1"/>
        <v>0</v>
      </c>
      <c r="S201">
        <f ca="1"/>
        <v>-0.11752679839884195</v>
      </c>
      <c r="T201">
        <f ca="1"/>
        <v>0.79737742462984318</v>
      </c>
      <c r="U201">
        <f ca="1"/>
        <v>0</v>
      </c>
      <c r="V201">
        <f ca="1"/>
        <v>0</v>
      </c>
      <c r="W201">
        <f ca="1"/>
        <v>0</v>
      </c>
      <c r="X201">
        <f ca="1"/>
        <v>0</v>
      </c>
      <c r="Y201">
        <f ca="1"/>
        <v>1</v>
      </c>
      <c r="Z201">
        <f ca="1"/>
        <v>3.5026920636704659</v>
      </c>
      <c r="AA201">
        <f ca="1"/>
        <v>0</v>
      </c>
      <c r="AB201">
        <f ca="1"/>
        <v>0.92124000614136603</v>
      </c>
      <c r="AD201" s="2">
        <f t="shared" ca="1" si="32"/>
        <v>45558</v>
      </c>
      <c r="AE201">
        <f t="shared" ca="1" si="33"/>
        <v>0</v>
      </c>
      <c r="AG201" s="63">
        <f ca="1">Q200+S201+T201+U201</f>
        <v>-37.703527746482322</v>
      </c>
      <c r="AH201" s="63">
        <f ca="1">Q201+R201+X201</f>
        <v>-37.703527746482322</v>
      </c>
      <c r="AI201" s="3">
        <f ca="1">AH201-AG201</f>
        <v>0</v>
      </c>
    </row>
    <row r="202" spans="7:35">
      <c r="G202" s="3">
        <f t="shared" ca="1" si="34"/>
        <v>223</v>
      </c>
      <c r="H202" s="95">
        <f t="shared" ca="1" si="36"/>
        <v>45513</v>
      </c>
      <c r="I202" s="119">
        <f ca="1">HLOOKUP($H$4,'Met Data'!$A$2:$F$368,G202,FALSE)</f>
        <v>7.8416666666666597</v>
      </c>
      <c r="J202" s="119">
        <f ca="1">HLOOKUP($H$4,'Met Data'!$H$2:$M$368,G202,FALSE)*L202</f>
        <v>1.38333333333333</v>
      </c>
      <c r="K202" s="96">
        <f ca="1">HLOOKUP($H$4,'Met Data'!$O$2:$T$368,G202,FALSE)</f>
        <v>1.2882274194230801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45559</v>
      </c>
      <c r="Q202">
        <f ca="1"/>
        <v>-36.956632297403829</v>
      </c>
      <c r="R202">
        <f ca="1"/>
        <v>0</v>
      </c>
      <c r="S202">
        <f ca="1"/>
        <v>-8.5479200748750372E-2</v>
      </c>
      <c r="T202">
        <f ca="1"/>
        <v>0.83237464982724185</v>
      </c>
      <c r="U202">
        <f ca="1"/>
        <v>0</v>
      </c>
      <c r="V202">
        <f ca="1"/>
        <v>0</v>
      </c>
      <c r="W202">
        <f ca="1"/>
        <v>0</v>
      </c>
      <c r="X202">
        <f ca="1"/>
        <v>0</v>
      </c>
      <c r="Y202">
        <f ca="1"/>
        <v>0.98888336667063315</v>
      </c>
      <c r="Z202">
        <f ca="1"/>
        <v>0</v>
      </c>
      <c r="AA202">
        <f ca="1"/>
        <v>0</v>
      </c>
      <c r="AB202">
        <f ca="1"/>
        <v>0.93538996853401535</v>
      </c>
      <c r="AD202" s="2">
        <f t="shared" ca="1" si="32"/>
        <v>45559</v>
      </c>
      <c r="AE202">
        <f t="shared" ca="1" si="33"/>
        <v>0</v>
      </c>
      <c r="AG202" s="63">
        <f ca="1">Q201+S202+T202+U202</f>
        <v>-36.956632297403829</v>
      </c>
      <c r="AH202" s="63">
        <f ca="1">Q202+R202+X202</f>
        <v>-36.956632297403829</v>
      </c>
      <c r="AI202" s="3">
        <f ca="1">AH202-AG202</f>
        <v>0</v>
      </c>
    </row>
    <row r="203" spans="7:35">
      <c r="G203" s="3">
        <f t="shared" ca="1" si="34"/>
        <v>224</v>
      </c>
      <c r="H203" s="95">
        <f t="shared" ca="1" si="36"/>
        <v>45514</v>
      </c>
      <c r="I203" s="119">
        <f ca="1">HLOOKUP($H$4,'Met Data'!$A$2:$F$368,G203,FALSE)</f>
        <v>8.7916666666666607</v>
      </c>
      <c r="J203" s="119">
        <f ca="1">HLOOKUP($H$4,'Met Data'!$H$2:$M$368,G203,FALSE)*L203</f>
        <v>4.7</v>
      </c>
      <c r="K203" s="96">
        <f ca="1">HLOOKUP($H$4,'Met Data'!$O$2:$T$368,G203,FALSE)</f>
        <v>1.2700812995642401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45560</v>
      </c>
      <c r="Q203">
        <f ca="1"/>
        <v>-36.204348481411714</v>
      </c>
      <c r="R203">
        <f ca="1"/>
        <v>0</v>
      </c>
      <c r="S203">
        <f ca="1"/>
        <v>-4.8180211106270576E-2</v>
      </c>
      <c r="T203">
        <f ca="1"/>
        <v>0.80046402709838738</v>
      </c>
      <c r="U203">
        <f ca="1"/>
        <v>0</v>
      </c>
      <c r="V203">
        <f ca="1"/>
        <v>0</v>
      </c>
      <c r="W203">
        <f ca="1"/>
        <v>0</v>
      </c>
      <c r="X203">
        <f ca="1"/>
        <v>0</v>
      </c>
      <c r="Y203">
        <f ca="1"/>
        <v>0.96744500499377117</v>
      </c>
      <c r="Z203">
        <f ca="1"/>
        <v>0</v>
      </c>
      <c r="AA203">
        <f ca="1"/>
        <v>0</v>
      </c>
      <c r="AB203">
        <f ca="1"/>
        <v>0.94676771980136265</v>
      </c>
      <c r="AD203" s="2">
        <f t="shared" ca="1" si="32"/>
        <v>45560</v>
      </c>
      <c r="AE203">
        <f t="shared" ca="1" si="33"/>
        <v>0</v>
      </c>
      <c r="AG203" s="63">
        <f t="shared" ref="AG203:AG266" ca="1" si="37">Q202+S203+T203+U203</f>
        <v>-36.204348481411714</v>
      </c>
      <c r="AH203" s="63">
        <f t="shared" ref="AH203:AH266" ca="1" si="38">Q203+R203+X203</f>
        <v>-36.204348481411714</v>
      </c>
      <c r="AI203" s="3">
        <f t="shared" ref="AI203:AI266" ca="1" si="39">AH203-AG203</f>
        <v>0</v>
      </c>
    </row>
    <row r="204" spans="7:35">
      <c r="G204" s="3">
        <f t="shared" ca="1" si="34"/>
        <v>225</v>
      </c>
      <c r="H204" s="95">
        <f t="shared" ca="1" si="36"/>
        <v>45515</v>
      </c>
      <c r="I204" s="119">
        <f ca="1">HLOOKUP($H$4,'Met Data'!$A$2:$F$368,G204,FALSE)</f>
        <v>9.2041666666666604</v>
      </c>
      <c r="J204" s="119">
        <f ca="1">HLOOKUP($H$4,'Met Data'!$H$2:$M$368,G204,FALSE)*L204</f>
        <v>4.9666666666666597</v>
      </c>
      <c r="K204" s="96">
        <f ca="1">HLOOKUP($H$4,'Met Data'!$O$2:$T$368,G204,FALSE)</f>
        <v>1.216678160996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45561</v>
      </c>
      <c r="Q204">
        <f ca="1"/>
        <v>-35.412306675606146</v>
      </c>
      <c r="R204">
        <f ca="1"/>
        <v>0</v>
      </c>
      <c r="S204">
        <f ca="1"/>
        <v>-1.6550999256068621E-2</v>
      </c>
      <c r="T204">
        <f ca="1"/>
        <v>0.80859280506163844</v>
      </c>
      <c r="U204">
        <f ca="1"/>
        <v>0</v>
      </c>
      <c r="V204">
        <f ca="1"/>
        <v>0</v>
      </c>
      <c r="W204">
        <f ca="1"/>
        <v>0</v>
      </c>
      <c r="X204">
        <f ca="1"/>
        <v>0</v>
      </c>
      <c r="Y204">
        <f ca="1"/>
        <v>0.94161141277205251</v>
      </c>
      <c r="Z204">
        <f ca="1"/>
        <v>0</v>
      </c>
      <c r="AA204">
        <f ca="1"/>
        <v>0</v>
      </c>
      <c r="AB204">
        <f ca="1"/>
        <v>0.95650500203991018</v>
      </c>
      <c r="AD204" s="2">
        <f t="shared" ca="1" si="32"/>
        <v>45561</v>
      </c>
      <c r="AE204">
        <f t="shared" ca="1" si="33"/>
        <v>0</v>
      </c>
      <c r="AG204" s="63">
        <f t="shared" ca="1" si="37"/>
        <v>-35.412306675606146</v>
      </c>
      <c r="AH204" s="63">
        <f t="shared" ca="1" si="38"/>
        <v>-35.412306675606146</v>
      </c>
      <c r="AI204" s="3">
        <f t="shared" ca="1" si="39"/>
        <v>0</v>
      </c>
    </row>
    <row r="205" spans="7:35">
      <c r="G205" s="3">
        <f t="shared" ca="1" si="34"/>
        <v>226</v>
      </c>
      <c r="H205" s="95">
        <f t="shared" ca="1" si="36"/>
        <v>45516</v>
      </c>
      <c r="I205" s="119">
        <f ca="1">HLOOKUP($H$4,'Met Data'!$A$2:$F$368,G205,FALSE)</f>
        <v>9.49583333333333</v>
      </c>
      <c r="J205" s="119">
        <f ca="1">HLOOKUP($H$4,'Met Data'!$H$2:$M$368,G205,FALSE)*L205</f>
        <v>3.11666666666666</v>
      </c>
      <c r="K205" s="96">
        <f ca="1">HLOOKUP($H$4,'Met Data'!$O$2:$T$368,G205,FALSE)</f>
        <v>1.2041756804414001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45562</v>
      </c>
      <c r="Q205">
        <f ca="1"/>
        <v>-34.547825337676436</v>
      </c>
      <c r="R205">
        <f ca="1"/>
        <v>0</v>
      </c>
      <c r="S205">
        <f ca="1"/>
        <v>1.553816368426908E-2</v>
      </c>
      <c r="T205">
        <f ca="1"/>
        <v>0.84894317424544063</v>
      </c>
      <c r="U205">
        <f ca="1"/>
        <v>0</v>
      </c>
      <c r="V205">
        <f ca="1"/>
        <v>0</v>
      </c>
      <c r="W205">
        <f ca="1"/>
        <v>0</v>
      </c>
      <c r="X205">
        <f ca="1"/>
        <v>0</v>
      </c>
      <c r="Y205">
        <f ca="1"/>
        <v>0.99756406486679883</v>
      </c>
      <c r="Z205">
        <f ca="1"/>
        <v>0</v>
      </c>
      <c r="AA205">
        <f ca="1"/>
        <v>0</v>
      </c>
      <c r="AB205">
        <f ca="1"/>
        <v>0.96469316742650912</v>
      </c>
      <c r="AD205" s="2">
        <f t="shared" ca="1" si="32"/>
        <v>45562</v>
      </c>
      <c r="AE205">
        <f t="shared" ca="1" si="33"/>
        <v>0</v>
      </c>
      <c r="AG205" s="63">
        <f t="shared" ca="1" si="37"/>
        <v>-34.547825337676436</v>
      </c>
      <c r="AH205" s="63">
        <f t="shared" ca="1" si="38"/>
        <v>-34.547825337676436</v>
      </c>
      <c r="AI205" s="3">
        <f t="shared" ca="1" si="39"/>
        <v>0</v>
      </c>
    </row>
    <row r="206" spans="7:35">
      <c r="G206" s="3">
        <f t="shared" ca="1" si="34"/>
        <v>227</v>
      </c>
      <c r="H206" s="95">
        <f t="shared" ca="1" si="36"/>
        <v>45517</v>
      </c>
      <c r="I206" s="119">
        <f ca="1">HLOOKUP($H$4,'Met Data'!$A$2:$F$368,G206,FALSE)</f>
        <v>9.7791666666666597</v>
      </c>
      <c r="J206" s="119">
        <f ca="1">HLOOKUP($H$4,'Met Data'!$H$2:$M$368,G206,FALSE)*L206</f>
        <v>6.7</v>
      </c>
      <c r="K206" s="96">
        <f ca="1">HLOOKUP($H$4,'Met Data'!$O$2:$T$368,G206,FALSE)</f>
        <v>1.1357294741412001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45563</v>
      </c>
      <c r="Q206">
        <f ca="1"/>
        <v>-33.624685494858419</v>
      </c>
      <c r="R206">
        <f ca="1"/>
        <v>0</v>
      </c>
      <c r="S206">
        <f ca="1"/>
        <v>4.9288512294907605E-2</v>
      </c>
      <c r="T206">
        <f ca="1"/>
        <v>0.87385133052311181</v>
      </c>
      <c r="U206">
        <f ca="1"/>
        <v>0</v>
      </c>
      <c r="V206">
        <f ca="1"/>
        <v>0</v>
      </c>
      <c r="W206">
        <f ca="1"/>
        <v>0</v>
      </c>
      <c r="X206">
        <f ca="1"/>
        <v>0</v>
      </c>
      <c r="Y206">
        <f ca="1"/>
        <v>0.99466414624556543</v>
      </c>
      <c r="Z206">
        <f ca="1"/>
        <v>0</v>
      </c>
      <c r="AA206">
        <f ca="1"/>
        <v>0</v>
      </c>
      <c r="AB206">
        <f ca="1"/>
        <v>0.97154258578549557</v>
      </c>
      <c r="AD206" s="2">
        <f t="shared" ca="1" si="32"/>
        <v>45563</v>
      </c>
      <c r="AE206">
        <f t="shared" ca="1" si="33"/>
        <v>0</v>
      </c>
      <c r="AG206" s="63">
        <f t="shared" ca="1" si="37"/>
        <v>-33.624685494858419</v>
      </c>
      <c r="AH206" s="63">
        <f t="shared" ca="1" si="38"/>
        <v>-33.624685494858419</v>
      </c>
      <c r="AI206" s="3">
        <f t="shared" ca="1" si="39"/>
        <v>0</v>
      </c>
    </row>
    <row r="207" spans="7:35">
      <c r="G207" s="3">
        <f t="shared" ca="1" si="34"/>
        <v>228</v>
      </c>
      <c r="H207" s="95">
        <f t="shared" ca="1" si="36"/>
        <v>45518</v>
      </c>
      <c r="I207" s="119">
        <f ca="1">HLOOKUP($H$4,'Met Data'!$A$2:$F$368,G207,FALSE)</f>
        <v>9.4375</v>
      </c>
      <c r="J207" s="119">
        <f ca="1">HLOOKUP($H$4,'Met Data'!$H$2:$M$368,G207,FALSE)*L207</f>
        <v>3.2833333333333301</v>
      </c>
      <c r="K207" s="96">
        <f ca="1">HLOOKUP($H$4,'Met Data'!$O$2:$T$368,G207,FALSE)</f>
        <v>1.2410385498851699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45564</v>
      </c>
      <c r="Q207">
        <f ca="1"/>
        <v>-32.68087171966036</v>
      </c>
      <c r="R207">
        <f ca="1"/>
        <v>0</v>
      </c>
      <c r="S207">
        <f ca="1"/>
        <v>8.0044179230256418E-2</v>
      </c>
      <c r="T207">
        <f ca="1"/>
        <v>0.86376959596780245</v>
      </c>
      <c r="U207">
        <f ca="1"/>
        <v>0</v>
      </c>
      <c r="V207">
        <f ca="1"/>
        <v>0</v>
      </c>
      <c r="W207">
        <f ca="1"/>
        <v>0</v>
      </c>
      <c r="X207">
        <f ca="1"/>
        <v>0</v>
      </c>
      <c r="Y207">
        <f ca="1"/>
        <v>1</v>
      </c>
      <c r="Z207">
        <f ca="1"/>
        <v>2.8822383838599137</v>
      </c>
      <c r="AA207">
        <f ca="1"/>
        <v>0</v>
      </c>
      <c r="AB207">
        <f ca="1"/>
        <v>0.97704383012207985</v>
      </c>
      <c r="AD207" s="2">
        <f t="shared" ca="1" si="32"/>
        <v>45564</v>
      </c>
      <c r="AE207">
        <f t="shared" ca="1" si="33"/>
        <v>0</v>
      </c>
      <c r="AG207" s="63">
        <f t="shared" ca="1" si="37"/>
        <v>-32.68087171966036</v>
      </c>
      <c r="AH207" s="63">
        <f t="shared" ca="1" si="38"/>
        <v>-32.68087171966036</v>
      </c>
      <c r="AI207" s="3">
        <f t="shared" ca="1" si="39"/>
        <v>0</v>
      </c>
    </row>
    <row r="208" spans="7:35">
      <c r="G208" s="3">
        <f t="shared" ca="1" si="34"/>
        <v>229</v>
      </c>
      <c r="H208" s="95">
        <f t="shared" ca="1" si="36"/>
        <v>45519</v>
      </c>
      <c r="I208" s="119">
        <f ca="1">HLOOKUP($H$4,'Met Data'!$A$2:$F$368,G208,FALSE)</f>
        <v>9.6999999999999993</v>
      </c>
      <c r="J208" s="119">
        <f ca="1">HLOOKUP($H$4,'Met Data'!$H$2:$M$368,G208,FALSE)*L208</f>
        <v>1.5999999999999901</v>
      </c>
      <c r="K208" s="96">
        <f ca="1">HLOOKUP($H$4,'Met Data'!$O$2:$T$368,G208,FALSE)</f>
        <v>1.30158376837533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45565</v>
      </c>
      <c r="Q208">
        <f ca="1"/>
        <v>-31.783151828905272</v>
      </c>
      <c r="R208">
        <f ca="1"/>
        <v>0</v>
      </c>
      <c r="S208">
        <f ca="1"/>
        <v>0.10003414182999393</v>
      </c>
      <c r="T208">
        <f ca="1"/>
        <v>0.79768574892509514</v>
      </c>
      <c r="U208">
        <f ca="1"/>
        <v>0</v>
      </c>
      <c r="V208">
        <f ca="1"/>
        <v>0</v>
      </c>
      <c r="W208">
        <f ca="1"/>
        <v>0</v>
      </c>
      <c r="X208">
        <f ca="1"/>
        <v>0</v>
      </c>
      <c r="Y208">
        <f ca="1"/>
        <v>0.99782684565902013</v>
      </c>
      <c r="Z208">
        <f ca="1"/>
        <v>0</v>
      </c>
      <c r="AA208">
        <f ca="1"/>
        <v>0</v>
      </c>
      <c r="AB208">
        <f ca="1"/>
        <v>0.98122138586773</v>
      </c>
      <c r="AD208" s="2">
        <f t="shared" ca="1" si="32"/>
        <v>45565</v>
      </c>
      <c r="AE208">
        <f t="shared" ca="1" si="33"/>
        <v>0</v>
      </c>
      <c r="AG208" s="63">
        <f t="shared" ca="1" si="37"/>
        <v>-31.783151828905272</v>
      </c>
      <c r="AH208" s="63">
        <f t="shared" ca="1" si="38"/>
        <v>-31.783151828905272</v>
      </c>
      <c r="AI208" s="3">
        <f t="shared" ca="1" si="39"/>
        <v>0</v>
      </c>
    </row>
    <row r="209" spans="7:35">
      <c r="G209" s="3">
        <f t="shared" ca="1" si="34"/>
        <v>230</v>
      </c>
      <c r="H209" s="95">
        <f t="shared" ca="1" si="36"/>
        <v>45520</v>
      </c>
      <c r="I209" s="119">
        <f ca="1">HLOOKUP($H$4,'Met Data'!$A$2:$F$368,G209,FALSE)</f>
        <v>9.61666666666666</v>
      </c>
      <c r="J209" s="119">
        <f ca="1">HLOOKUP($H$4,'Met Data'!$H$2:$M$368,G209,FALSE)*L209</f>
        <v>6.5999999999999899</v>
      </c>
      <c r="K209" s="96">
        <f ca="1">HLOOKUP($H$4,'Met Data'!$O$2:$T$368,G209,FALSE)</f>
        <v>1.3713845776081399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45566</v>
      </c>
      <c r="Q209">
        <f ca="1"/>
        <v>-30.829648257911657</v>
      </c>
      <c r="R209">
        <f ca="1"/>
        <v>0</v>
      </c>
      <c r="S209">
        <f ca="1"/>
        <v>0.12839251872537716</v>
      </c>
      <c r="T209">
        <f ca="1"/>
        <v>0.82511105226823811</v>
      </c>
      <c r="U209">
        <f ca="1"/>
        <v>0</v>
      </c>
      <c r="V209">
        <f ca="1"/>
        <v>0</v>
      </c>
      <c r="W209">
        <f ca="1"/>
        <v>0</v>
      </c>
      <c r="X209">
        <f ca="1"/>
        <v>0</v>
      </c>
      <c r="Y209">
        <f ca="1"/>
        <v>1</v>
      </c>
      <c r="Z209">
        <f ca="1"/>
        <v>4.6150674464705332E-2</v>
      </c>
      <c r="AA209">
        <f ca="1"/>
        <v>0</v>
      </c>
      <c r="AB209">
        <f ca="1"/>
        <v>0.98474792902233699</v>
      </c>
      <c r="AD209" s="2">
        <f t="shared" ca="1" si="32"/>
        <v>45566</v>
      </c>
      <c r="AE209">
        <f t="shared" ca="1" si="33"/>
        <v>0</v>
      </c>
      <c r="AG209" s="63">
        <f t="shared" ca="1" si="37"/>
        <v>-30.829648257911657</v>
      </c>
      <c r="AH209" s="63">
        <f t="shared" ca="1" si="38"/>
        <v>-30.829648257911657</v>
      </c>
      <c r="AI209" s="3">
        <f t="shared" ca="1" si="39"/>
        <v>0</v>
      </c>
    </row>
    <row r="210" spans="7:35">
      <c r="G210" s="3">
        <f t="shared" ca="1" si="34"/>
        <v>231</v>
      </c>
      <c r="H210" s="95">
        <f t="shared" ca="1" si="36"/>
        <v>45521</v>
      </c>
      <c r="I210" s="119">
        <f ca="1">HLOOKUP($H$4,'Met Data'!$A$2:$F$368,G210,FALSE)</f>
        <v>8.8333333333333304</v>
      </c>
      <c r="J210" s="119">
        <f ca="1">HLOOKUP($H$4,'Met Data'!$H$2:$M$368,G210,FALSE)*L210</f>
        <v>3.3</v>
      </c>
      <c r="K210" s="96">
        <f ca="1">HLOOKUP($H$4,'Met Data'!$O$2:$T$368,G210,FALSE)</f>
        <v>1.38797998518043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45567</v>
      </c>
      <c r="Q210">
        <f ca="1"/>
        <v>-29.766096020523339</v>
      </c>
      <c r="R210">
        <f ca="1"/>
        <v>0</v>
      </c>
      <c r="S210">
        <f ca="1"/>
        <v>0.16666848070130413</v>
      </c>
      <c r="T210">
        <f ca="1"/>
        <v>0.89688375668701481</v>
      </c>
      <c r="U210">
        <f ca="1"/>
        <v>0</v>
      </c>
      <c r="V210">
        <f ca="1"/>
        <v>0</v>
      </c>
      <c r="W210">
        <f ca="1"/>
        <v>0</v>
      </c>
      <c r="X210">
        <f ca="1"/>
        <v>0</v>
      </c>
      <c r="Y210">
        <f ca="1"/>
        <v>1</v>
      </c>
      <c r="Z210">
        <f ca="1"/>
        <v>1.6390791116568693</v>
      </c>
      <c r="AA210">
        <f ca="1"/>
        <v>0</v>
      </c>
      <c r="AB210">
        <f ca="1"/>
        <v>0.98781811880377013</v>
      </c>
      <c r="AD210" s="2">
        <f t="shared" ca="1" si="32"/>
        <v>45567</v>
      </c>
      <c r="AE210">
        <f t="shared" ca="1" si="33"/>
        <v>0</v>
      </c>
      <c r="AG210" s="63">
        <f t="shared" ca="1" si="37"/>
        <v>-29.766096020523339</v>
      </c>
      <c r="AH210" s="63">
        <f t="shared" ca="1" si="38"/>
        <v>-29.766096020523339</v>
      </c>
      <c r="AI210" s="3">
        <f t="shared" ca="1" si="39"/>
        <v>0</v>
      </c>
    </row>
    <row r="211" spans="7:35">
      <c r="G211" s="3">
        <f t="shared" ca="1" si="34"/>
        <v>232</v>
      </c>
      <c r="H211" s="95">
        <f t="shared" ca="1" si="36"/>
        <v>45522</v>
      </c>
      <c r="I211" s="119">
        <f ca="1">HLOOKUP($H$4,'Met Data'!$A$2:$F$368,G211,FALSE)</f>
        <v>9.4833333333333307</v>
      </c>
      <c r="J211" s="119">
        <f ca="1">HLOOKUP($H$4,'Met Data'!$H$2:$M$368,G211,FALSE)*L211</f>
        <v>2.1333333333333302</v>
      </c>
      <c r="K211" s="96">
        <f ca="1">HLOOKUP($H$4,'Met Data'!$O$2:$T$368,G211,FALSE)</f>
        <v>1.56092628574794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45568</v>
      </c>
      <c r="Q211">
        <f ca="1"/>
        <v>-28.770341415266355</v>
      </c>
      <c r="R211">
        <f ca="1"/>
        <v>0</v>
      </c>
      <c r="S211">
        <f ca="1"/>
        <v>0.17567308985522345</v>
      </c>
      <c r="T211">
        <f ca="1"/>
        <v>0.820081515401759</v>
      </c>
      <c r="U211">
        <f ca="1"/>
        <v>0</v>
      </c>
      <c r="V211">
        <f ca="1"/>
        <v>0</v>
      </c>
      <c r="W211">
        <f ca="1"/>
        <v>0</v>
      </c>
      <c r="X211">
        <f ca="1"/>
        <v>0</v>
      </c>
      <c r="Y211">
        <f ca="1"/>
        <v>0.97978097742490833</v>
      </c>
      <c r="Z211">
        <f ca="1"/>
        <v>0</v>
      </c>
      <c r="AA211">
        <f ca="1"/>
        <v>0</v>
      </c>
      <c r="AB211">
        <f ca="1"/>
        <v>0.99010680806604279</v>
      </c>
      <c r="AD211" s="2">
        <f t="shared" ca="1" si="32"/>
        <v>45568</v>
      </c>
      <c r="AE211">
        <f t="shared" ca="1" si="33"/>
        <v>0</v>
      </c>
      <c r="AG211" s="63">
        <f t="shared" ca="1" si="37"/>
        <v>-28.770341415266355</v>
      </c>
      <c r="AH211" s="63">
        <f t="shared" ca="1" si="38"/>
        <v>-28.770341415266355</v>
      </c>
      <c r="AI211" s="3">
        <f t="shared" ca="1" si="39"/>
        <v>0</v>
      </c>
    </row>
    <row r="212" spans="7:35">
      <c r="G212" s="3">
        <f t="shared" ca="1" si="34"/>
        <v>233</v>
      </c>
      <c r="H212" s="95">
        <f t="shared" ca="1" si="36"/>
        <v>45523</v>
      </c>
      <c r="I212" s="119">
        <f ca="1">HLOOKUP($H$4,'Met Data'!$A$2:$F$368,G212,FALSE)</f>
        <v>9.2583333333333293</v>
      </c>
      <c r="J212" s="119">
        <f ca="1">HLOOKUP($H$4,'Met Data'!$H$2:$M$368,G212,FALSE)*L212</f>
        <v>3.65</v>
      </c>
      <c r="K212" s="96">
        <f ca="1">HLOOKUP($H$4,'Met Data'!$O$2:$T$368,G212,FALSE)</f>
        <v>1.4422774750484899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45569</v>
      </c>
      <c r="Q212">
        <f ca="1"/>
        <v>-27.758758509975564</v>
      </c>
      <c r="R212">
        <f ca="1"/>
        <v>0</v>
      </c>
      <c r="S212">
        <f ca="1"/>
        <v>0.19557376334982735</v>
      </c>
      <c r="T212">
        <f ca="1"/>
        <v>0.81600914194096408</v>
      </c>
      <c r="U212">
        <f ca="1"/>
        <v>0</v>
      </c>
      <c r="V212">
        <f ca="1"/>
        <v>0</v>
      </c>
      <c r="W212">
        <f ca="1"/>
        <v>0</v>
      </c>
      <c r="X212">
        <f ca="1"/>
        <v>0</v>
      </c>
      <c r="Y212">
        <f ca="1"/>
        <v>0.9770541992054006</v>
      </c>
      <c r="Z212">
        <f ca="1"/>
        <v>0</v>
      </c>
      <c r="AA212">
        <f ca="1"/>
        <v>0</v>
      </c>
      <c r="AB212">
        <f ca="1"/>
        <v>0.99196140042773318</v>
      </c>
      <c r="AD212" s="2">
        <f t="shared" ca="1" si="32"/>
        <v>45569</v>
      </c>
      <c r="AE212">
        <f t="shared" ca="1" si="33"/>
        <v>0</v>
      </c>
      <c r="AG212" s="63">
        <f t="shared" ca="1" si="37"/>
        <v>-27.758758509975564</v>
      </c>
      <c r="AH212" s="63">
        <f t="shared" ca="1" si="38"/>
        <v>-27.758758509975564</v>
      </c>
      <c r="AI212" s="3">
        <f t="shared" ca="1" si="39"/>
        <v>0</v>
      </c>
    </row>
    <row r="213" spans="7:35">
      <c r="G213" s="3">
        <f t="shared" ca="1" si="34"/>
        <v>234</v>
      </c>
      <c r="H213" s="95">
        <f t="shared" ca="1" si="36"/>
        <v>45524</v>
      </c>
      <c r="I213" s="119">
        <f ca="1">HLOOKUP($H$4,'Met Data'!$A$2:$F$368,G213,FALSE)</f>
        <v>9.7708333333333304</v>
      </c>
      <c r="J213" s="119">
        <f ca="1">HLOOKUP($H$4,'Met Data'!$H$2:$M$368,G213,FALSE)*L213</f>
        <v>2.36666666666666</v>
      </c>
      <c r="K213" s="96">
        <f ca="1">HLOOKUP($H$4,'Met Data'!$O$2:$T$368,G213,FALSE)</f>
        <v>1.70464821639982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45570</v>
      </c>
      <c r="Q213">
        <f ca="1"/>
        <v>-26.738311934696871</v>
      </c>
      <c r="R213">
        <f ca="1"/>
        <v>0</v>
      </c>
      <c r="S213">
        <f ca="1"/>
        <v>0.2127990799255457</v>
      </c>
      <c r="T213">
        <f ca="1"/>
        <v>0.80764749535314784</v>
      </c>
      <c r="U213">
        <f ca="1"/>
        <v>0</v>
      </c>
      <c r="V213">
        <f ca="1"/>
        <v>0</v>
      </c>
      <c r="W213">
        <f ca="1"/>
        <v>0</v>
      </c>
      <c r="X213">
        <f ca="1"/>
        <v>0</v>
      </c>
      <c r="Y213">
        <f ca="1"/>
        <v>0.95690503911718994</v>
      </c>
      <c r="Z213">
        <f ca="1"/>
        <v>0</v>
      </c>
      <c r="AA213">
        <f ca="1"/>
        <v>0</v>
      </c>
      <c r="AB213">
        <f ca="1"/>
        <v>0.99346347829113979</v>
      </c>
      <c r="AD213" s="2">
        <f t="shared" ca="1" si="32"/>
        <v>45570</v>
      </c>
      <c r="AE213">
        <f t="shared" ca="1" si="33"/>
        <v>0</v>
      </c>
      <c r="AG213" s="63">
        <f t="shared" ca="1" si="37"/>
        <v>-26.738311934696871</v>
      </c>
      <c r="AH213" s="63">
        <f t="shared" ca="1" si="38"/>
        <v>-26.738311934696871</v>
      </c>
      <c r="AI213" s="3">
        <f t="shared" ca="1" si="39"/>
        <v>0</v>
      </c>
    </row>
    <row r="214" spans="7:35">
      <c r="G214" s="3">
        <f t="shared" ca="1" si="34"/>
        <v>235</v>
      </c>
      <c r="H214" s="95">
        <f t="shared" ca="1" si="36"/>
        <v>45525</v>
      </c>
      <c r="I214" s="119">
        <f ca="1">HLOOKUP($H$4,'Met Data'!$A$2:$F$368,G214,FALSE)</f>
        <v>9.5208333333333304</v>
      </c>
      <c r="J214" s="119">
        <f ca="1">HLOOKUP($H$4,'Met Data'!$H$2:$M$368,G214,FALSE)*L214</f>
        <v>4.4666666666666597</v>
      </c>
      <c r="K214" s="96">
        <f ca="1">HLOOKUP($H$4,'Met Data'!$O$2:$T$368,G214,FALSE)</f>
        <v>1.6762831823304301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45571</v>
      </c>
      <c r="Q214">
        <f ca="1"/>
        <v>-25.695084146392503</v>
      </c>
      <c r="R214">
        <f ca="1"/>
        <v>0</v>
      </c>
      <c r="S214">
        <f ca="1"/>
        <v>0.23190677955497563</v>
      </c>
      <c r="T214">
        <f ca="1"/>
        <v>0.81132100874939217</v>
      </c>
      <c r="U214">
        <f ca="1"/>
        <v>0</v>
      </c>
      <c r="V214">
        <f ca="1"/>
        <v>0</v>
      </c>
      <c r="W214">
        <f ca="1"/>
        <v>0</v>
      </c>
      <c r="X214">
        <f ca="1"/>
        <v>0</v>
      </c>
      <c r="Y214">
        <f ca="1"/>
        <v>0.93852784694741298</v>
      </c>
      <c r="Z214">
        <f ca="1"/>
        <v>0</v>
      </c>
      <c r="AA214">
        <f ca="1"/>
        <v>0</v>
      </c>
      <c r="AB214">
        <f ca="1"/>
        <v>0.99471423101219369</v>
      </c>
      <c r="AD214" s="2">
        <f t="shared" ca="1" si="32"/>
        <v>45571</v>
      </c>
      <c r="AE214">
        <f t="shared" ca="1" si="33"/>
        <v>0</v>
      </c>
      <c r="AG214" s="63">
        <f t="shared" ca="1" si="37"/>
        <v>-25.695084146392503</v>
      </c>
      <c r="AH214" s="63">
        <f t="shared" ca="1" si="38"/>
        <v>-25.695084146392503</v>
      </c>
      <c r="AI214" s="3">
        <f t="shared" ca="1" si="39"/>
        <v>0</v>
      </c>
    </row>
    <row r="215" spans="7:35">
      <c r="G215" s="3">
        <f t="shared" ca="1" si="34"/>
        <v>236</v>
      </c>
      <c r="H215" s="95">
        <f t="shared" ca="1" si="36"/>
        <v>45526</v>
      </c>
      <c r="I215" s="119">
        <f ca="1">HLOOKUP($H$4,'Met Data'!$A$2:$F$368,G215,FALSE)</f>
        <v>9.5791666666666604</v>
      </c>
      <c r="J215" s="119">
        <f ca="1">HLOOKUP($H$4,'Met Data'!$H$2:$M$368,G215,FALSE)*L215</f>
        <v>1.4833333333333301</v>
      </c>
      <c r="K215" s="96">
        <f ca="1">HLOOKUP($H$4,'Met Data'!$O$2:$T$368,G215,FALSE)</f>
        <v>1.44273965203753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45572</v>
      </c>
      <c r="Q215">
        <f ca="1"/>
        <v>-24.631043445731311</v>
      </c>
      <c r="R215">
        <f ca="1"/>
        <v>0</v>
      </c>
      <c r="S215">
        <f ca="1"/>
        <v>0.24990684699683641</v>
      </c>
      <c r="T215">
        <f ca="1"/>
        <v>0.81413385366435398</v>
      </c>
      <c r="U215">
        <f ca="1"/>
        <v>0</v>
      </c>
      <c r="V215">
        <f ca="1"/>
        <v>0</v>
      </c>
      <c r="W215">
        <f ca="1"/>
        <v>0</v>
      </c>
      <c r="X215">
        <f ca="1"/>
        <v>0</v>
      </c>
      <c r="Y215">
        <f ca="1"/>
        <v>0.97724314732038375</v>
      </c>
      <c r="Z215">
        <f ca="1"/>
        <v>0</v>
      </c>
      <c r="AA215">
        <f ca="1"/>
        <v>0</v>
      </c>
      <c r="AB215">
        <f ca="1"/>
        <v>0.99570697114623286</v>
      </c>
      <c r="AD215" s="2">
        <f t="shared" ca="1" si="32"/>
        <v>45572</v>
      </c>
      <c r="AE215">
        <f t="shared" ca="1" si="33"/>
        <v>0</v>
      </c>
      <c r="AG215" s="63">
        <f t="shared" ca="1" si="37"/>
        <v>-24.631043445731311</v>
      </c>
      <c r="AH215" s="63">
        <f t="shared" ca="1" si="38"/>
        <v>-24.631043445731311</v>
      </c>
      <c r="AI215" s="3">
        <f t="shared" ca="1" si="39"/>
        <v>0</v>
      </c>
    </row>
    <row r="216" spans="7:35">
      <c r="G216" s="3">
        <f t="shared" ca="1" si="34"/>
        <v>237</v>
      </c>
      <c r="H216" s="95">
        <f t="shared" ca="1" si="36"/>
        <v>45527</v>
      </c>
      <c r="I216" s="119">
        <f ca="1">HLOOKUP($H$4,'Met Data'!$A$2:$F$368,G216,FALSE)</f>
        <v>9.8874999999999993</v>
      </c>
      <c r="J216" s="119">
        <f ca="1">HLOOKUP($H$4,'Met Data'!$H$2:$M$368,G216,FALSE)*L216</f>
        <v>0.56666666666666599</v>
      </c>
      <c r="K216" s="96">
        <f ca="1">HLOOKUP($H$4,'Met Data'!$O$2:$T$368,G216,FALSE)</f>
        <v>1.7386735184612501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45573</v>
      </c>
      <c r="Q216">
        <f ca="1"/>
        <v>-23.584695969364443</v>
      </c>
      <c r="R216">
        <f ca="1"/>
        <v>0</v>
      </c>
      <c r="S216">
        <f ca="1"/>
        <v>0.25757284267079683</v>
      </c>
      <c r="T216">
        <f ca="1"/>
        <v>0.78877463369607048</v>
      </c>
      <c r="U216">
        <f ca="1"/>
        <v>0</v>
      </c>
      <c r="V216">
        <f ca="1"/>
        <v>0</v>
      </c>
      <c r="W216">
        <f ca="1"/>
        <v>0</v>
      </c>
      <c r="X216">
        <f ca="1"/>
        <v>0</v>
      </c>
      <c r="Y216">
        <f ca="1"/>
        <v>0.97539507902927935</v>
      </c>
      <c r="Z216">
        <f ca="1"/>
        <v>0</v>
      </c>
      <c r="AA216">
        <f ca="1"/>
        <v>0</v>
      </c>
      <c r="AB216">
        <f ca="1"/>
        <v>0.99649295234911317</v>
      </c>
      <c r="AD216" s="2">
        <f t="shared" ca="1" si="32"/>
        <v>45573</v>
      </c>
      <c r="AE216">
        <f t="shared" ca="1" si="33"/>
        <v>0</v>
      </c>
      <c r="AG216" s="63">
        <f t="shared" ca="1" si="37"/>
        <v>-23.584695969364443</v>
      </c>
      <c r="AH216" s="63">
        <f t="shared" ca="1" si="38"/>
        <v>-23.584695969364443</v>
      </c>
      <c r="AI216" s="3">
        <f t="shared" ca="1" si="39"/>
        <v>0</v>
      </c>
    </row>
    <row r="217" spans="7:35">
      <c r="G217" s="3">
        <f t="shared" ca="1" si="34"/>
        <v>238</v>
      </c>
      <c r="H217" s="95">
        <f t="shared" ca="1" si="36"/>
        <v>45528</v>
      </c>
      <c r="I217" s="119">
        <f ca="1">HLOOKUP($H$4,'Met Data'!$A$2:$F$368,G217,FALSE)</f>
        <v>9.7208333333333297</v>
      </c>
      <c r="J217" s="119">
        <f ca="1">HLOOKUP($H$4,'Met Data'!$H$2:$M$368,G217,FALSE)*L217</f>
        <v>2.4666666666666601</v>
      </c>
      <c r="K217" s="96">
        <f ca="1">HLOOKUP($H$4,'Met Data'!$O$2:$T$368,G217,FALSE)</f>
        <v>1.45538034550647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45574</v>
      </c>
      <c r="Q217">
        <f ca="1"/>
        <v>-22.545056494303513</v>
      </c>
      <c r="R217">
        <f ca="1"/>
        <v>0</v>
      </c>
      <c r="S217">
        <f ca="1"/>
        <v>0.26638414231136665</v>
      </c>
      <c r="T217">
        <f ca="1"/>
        <v>0.77325533274956249</v>
      </c>
      <c r="U217">
        <f ca="1"/>
        <v>0</v>
      </c>
      <c r="V217">
        <f ca="1"/>
        <v>0</v>
      </c>
      <c r="W217">
        <f ca="1"/>
        <v>0</v>
      </c>
      <c r="X217">
        <f ca="1"/>
        <v>0</v>
      </c>
      <c r="Y217">
        <f ca="1"/>
        <v>0.98300475678113253</v>
      </c>
      <c r="Z217">
        <f ca="1"/>
        <v>0</v>
      </c>
      <c r="AA217">
        <f ca="1"/>
        <v>0</v>
      </c>
      <c r="AB217">
        <f ca="1"/>
        <v>0.99712474005778251</v>
      </c>
      <c r="AD217" s="2">
        <f t="shared" ca="1" si="32"/>
        <v>45574</v>
      </c>
      <c r="AE217">
        <f t="shared" ca="1" si="33"/>
        <v>0</v>
      </c>
      <c r="AG217" s="63">
        <f t="shared" ca="1" si="37"/>
        <v>-22.545056494303513</v>
      </c>
      <c r="AH217" s="63">
        <f t="shared" ca="1" si="38"/>
        <v>-22.545056494303513</v>
      </c>
      <c r="AI217" s="3">
        <f t="shared" ca="1" si="39"/>
        <v>0</v>
      </c>
    </row>
    <row r="218" spans="7:35">
      <c r="G218" s="3">
        <f t="shared" ca="1" si="34"/>
        <v>239</v>
      </c>
      <c r="H218" s="95">
        <f t="shared" ca="1" si="36"/>
        <v>45529</v>
      </c>
      <c r="I218" s="119">
        <f ca="1">HLOOKUP($H$4,'Met Data'!$A$2:$F$368,G218,FALSE)</f>
        <v>10.716666666666599</v>
      </c>
      <c r="J218" s="119">
        <f ca="1">HLOOKUP($H$4,'Met Data'!$H$2:$M$368,G218,FALSE)*L218</f>
        <v>3.0666666666666602</v>
      </c>
      <c r="K218" s="96">
        <f ca="1">HLOOKUP($H$4,'Met Data'!$O$2:$T$368,G218,FALSE)</f>
        <v>1.4899612238642299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45575</v>
      </c>
      <c r="Q218">
        <f ca="1"/>
        <v>-21.374246183100887</v>
      </c>
      <c r="R218">
        <f ca="1"/>
        <v>0</v>
      </c>
      <c r="S218">
        <f ca="1"/>
        <v>0.31124695765900867</v>
      </c>
      <c r="T218">
        <f ca="1"/>
        <v>0.85956335354361746</v>
      </c>
      <c r="U218">
        <f ca="1"/>
        <v>0</v>
      </c>
      <c r="V218">
        <f ca="1"/>
        <v>0</v>
      </c>
      <c r="W218">
        <f ca="1"/>
        <v>0</v>
      </c>
      <c r="X218">
        <f ca="1"/>
        <v>0</v>
      </c>
      <c r="Y218">
        <f ca="1"/>
        <v>1</v>
      </c>
      <c r="Z218">
        <f ca="1"/>
        <v>0.16833090933155148</v>
      </c>
      <c r="AA218">
        <f ca="1"/>
        <v>0</v>
      </c>
      <c r="AB218">
        <f ca="1"/>
        <v>0.99769012061911655</v>
      </c>
      <c r="AD218" s="2">
        <f t="shared" ca="1" si="32"/>
        <v>45575</v>
      </c>
      <c r="AE218">
        <f t="shared" ca="1" si="33"/>
        <v>0</v>
      </c>
      <c r="AG218" s="63">
        <f t="shared" ca="1" si="37"/>
        <v>-21.374246183100887</v>
      </c>
      <c r="AH218" s="63">
        <f t="shared" ca="1" si="38"/>
        <v>-21.374246183100887</v>
      </c>
      <c r="AI218" s="3">
        <f t="shared" ca="1" si="39"/>
        <v>0</v>
      </c>
    </row>
    <row r="219" spans="7:35">
      <c r="G219" s="3">
        <f t="shared" ca="1" si="34"/>
        <v>240</v>
      </c>
      <c r="H219" s="95">
        <f t="shared" ca="1" si="36"/>
        <v>45530</v>
      </c>
      <c r="I219" s="119">
        <f ca="1">HLOOKUP($H$4,'Met Data'!$A$2:$F$368,G219,FALSE)</f>
        <v>10.754166666666601</v>
      </c>
      <c r="J219" s="119">
        <f ca="1">HLOOKUP($H$4,'Met Data'!$H$2:$M$368,G219,FALSE)*L219</f>
        <v>1.0333333333333301</v>
      </c>
      <c r="K219" s="96">
        <f ca="1">HLOOKUP($H$4,'Met Data'!$O$2:$T$368,G219,FALSE)</f>
        <v>1.6543487023337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45576</v>
      </c>
      <c r="Q219">
        <f ca="1"/>
        <v>-20.177748494336985</v>
      </c>
      <c r="R219">
        <f ca="1"/>
        <v>0</v>
      </c>
      <c r="S219">
        <f ca="1"/>
        <v>0.32915900688591648</v>
      </c>
      <c r="T219">
        <f ca="1"/>
        <v>0.86733868187798435</v>
      </c>
      <c r="U219">
        <f ca="1"/>
        <v>0</v>
      </c>
      <c r="V219">
        <f ca="1"/>
        <v>0</v>
      </c>
      <c r="W219">
        <f ca="1"/>
        <v>0</v>
      </c>
      <c r="X219">
        <f ca="1"/>
        <v>0</v>
      </c>
      <c r="Y219">
        <f ca="1"/>
        <v>0.98542017841335083</v>
      </c>
      <c r="Z219">
        <f ca="1"/>
        <v>0</v>
      </c>
      <c r="AA219">
        <f ca="1"/>
        <v>0</v>
      </c>
      <c r="AB219">
        <f ca="1"/>
        <v>0.99814779190471981</v>
      </c>
      <c r="AD219" s="2">
        <f t="shared" ca="1" si="32"/>
        <v>45576</v>
      </c>
      <c r="AE219">
        <f t="shared" ca="1" si="33"/>
        <v>0</v>
      </c>
      <c r="AG219" s="63">
        <f t="shared" ca="1" si="37"/>
        <v>-20.177748494336985</v>
      </c>
      <c r="AH219" s="63">
        <f t="shared" ca="1" si="38"/>
        <v>-20.177748494336985</v>
      </c>
      <c r="AI219" s="3">
        <f t="shared" ca="1" si="39"/>
        <v>0</v>
      </c>
    </row>
    <row r="220" spans="7:35">
      <c r="G220" s="3">
        <f t="shared" ca="1" si="34"/>
        <v>241</v>
      </c>
      <c r="H220" s="95">
        <f t="shared" ca="1" si="36"/>
        <v>45531</v>
      </c>
      <c r="I220" s="119">
        <f ca="1">HLOOKUP($H$4,'Met Data'!$A$2:$F$368,G220,FALSE)</f>
        <v>11.0833333333333</v>
      </c>
      <c r="J220" s="119">
        <f ca="1">HLOOKUP($H$4,'Met Data'!$H$2:$M$368,G220,FALSE)*L220</f>
        <v>1.9</v>
      </c>
      <c r="K220" s="96">
        <f ca="1">HLOOKUP($H$4,'Met Data'!$O$2:$T$368,G220,FALSE)</f>
        <v>1.6425180639822501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45577</v>
      </c>
      <c r="Q220">
        <f ca="1"/>
        <v>-19.013970250386791</v>
      </c>
      <c r="R220">
        <f ca="1"/>
        <v>0</v>
      </c>
      <c r="S220">
        <f ca="1"/>
        <v>0.32981929712630631</v>
      </c>
      <c r="T220">
        <f ca="1"/>
        <v>0.83395894682388882</v>
      </c>
      <c r="U220">
        <f ca="1"/>
        <v>0</v>
      </c>
      <c r="V220">
        <f ca="1"/>
        <v>0</v>
      </c>
      <c r="W220">
        <f ca="1"/>
        <v>0</v>
      </c>
      <c r="X220">
        <f ca="1"/>
        <v>0</v>
      </c>
      <c r="Y220">
        <f ca="1"/>
        <v>0.99914076049002432</v>
      </c>
      <c r="Z220">
        <f ca="1"/>
        <v>0</v>
      </c>
      <c r="AA220">
        <f ca="1"/>
        <v>0</v>
      </c>
      <c r="AB220">
        <f ca="1"/>
        <v>0.99850355902825039</v>
      </c>
      <c r="AD220" s="2">
        <f t="shared" ca="1" si="32"/>
        <v>45577</v>
      </c>
      <c r="AE220">
        <f t="shared" ca="1" si="33"/>
        <v>0</v>
      </c>
      <c r="AG220" s="63">
        <f t="shared" ca="1" si="37"/>
        <v>-19.013970250386791</v>
      </c>
      <c r="AH220" s="63">
        <f t="shared" ca="1" si="38"/>
        <v>-19.013970250386791</v>
      </c>
      <c r="AI220" s="3">
        <f t="shared" ca="1" si="39"/>
        <v>0</v>
      </c>
    </row>
    <row r="221" spans="7:35">
      <c r="G221" s="3">
        <f t="shared" ca="1" si="34"/>
        <v>242</v>
      </c>
      <c r="H221" s="95">
        <f t="shared" ca="1" si="36"/>
        <v>45532</v>
      </c>
      <c r="I221" s="119">
        <f ca="1">HLOOKUP($H$4,'Met Data'!$A$2:$F$368,G221,FALSE)</f>
        <v>10.5791666666666</v>
      </c>
      <c r="J221" s="119">
        <f ca="1">HLOOKUP($H$4,'Met Data'!$H$2:$M$368,G221,FALSE)*L221</f>
        <v>3.0166666666666599</v>
      </c>
      <c r="K221" s="96">
        <f ca="1">HLOOKUP($H$4,'Met Data'!$O$2:$T$368,G221,FALSE)</f>
        <v>1.5065040723285099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45578</v>
      </c>
      <c r="Q221">
        <f ca="1"/>
        <v>-17.768950880748442</v>
      </c>
      <c r="R221">
        <f ca="1"/>
        <v>0</v>
      </c>
      <c r="S221">
        <f ca="1"/>
        <v>0.36232802311141654</v>
      </c>
      <c r="T221">
        <f ca="1"/>
        <v>0.88269134652693293</v>
      </c>
      <c r="U221">
        <f ca="1"/>
        <v>0</v>
      </c>
      <c r="V221">
        <f ca="1"/>
        <v>0</v>
      </c>
      <c r="W221">
        <f ca="1"/>
        <v>0</v>
      </c>
      <c r="X221">
        <f ca="1"/>
        <v>0</v>
      </c>
      <c r="Y221">
        <f ca="1"/>
        <v>1</v>
      </c>
      <c r="Z221">
        <f ca="1"/>
        <v>1.3687363978379281</v>
      </c>
      <c r="AA221">
        <f ca="1"/>
        <v>0</v>
      </c>
      <c r="AB221">
        <f ca="1"/>
        <v>0.99880437731047433</v>
      </c>
      <c r="AD221" s="2">
        <f t="shared" ca="1" si="32"/>
        <v>45578</v>
      </c>
      <c r="AE221">
        <f t="shared" ca="1" si="33"/>
        <v>0</v>
      </c>
      <c r="AG221" s="63">
        <f t="shared" ca="1" si="37"/>
        <v>-17.768950880748442</v>
      </c>
      <c r="AH221" s="63">
        <f t="shared" ca="1" si="38"/>
        <v>-17.768950880748442</v>
      </c>
      <c r="AI221" s="3">
        <f t="shared" ca="1" si="39"/>
        <v>0</v>
      </c>
    </row>
    <row r="222" spans="7:35">
      <c r="G222" s="3">
        <f t="shared" ca="1" si="34"/>
        <v>243</v>
      </c>
      <c r="H222" s="95">
        <f t="shared" ca="1" si="36"/>
        <v>45533</v>
      </c>
      <c r="I222" s="119">
        <f ca="1">HLOOKUP($H$4,'Met Data'!$A$2:$F$368,G222,FALSE)</f>
        <v>11.1208333333333</v>
      </c>
      <c r="J222" s="119">
        <f ca="1">HLOOKUP($H$4,'Met Data'!$H$2:$M$368,G222,FALSE)*L222</f>
        <v>1.56666666666666</v>
      </c>
      <c r="K222" s="96">
        <f ca="1">HLOOKUP($H$4,'Met Data'!$O$2:$T$368,G222,FALSE)</f>
        <v>1.7782422370636499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45579</v>
      </c>
      <c r="Q222">
        <f ca="1"/>
        <v>-16.521153092150001</v>
      </c>
      <c r="R222">
        <f ca="1"/>
        <v>0</v>
      </c>
      <c r="S222">
        <f ca="1"/>
        <v>0.37198677199444319</v>
      </c>
      <c r="T222">
        <f ca="1"/>
        <v>0.87581101660399607</v>
      </c>
      <c r="U222">
        <f ca="1"/>
        <v>0</v>
      </c>
      <c r="V222">
        <f ca="1"/>
        <v>0</v>
      </c>
      <c r="W222">
        <f ca="1"/>
        <v>0</v>
      </c>
      <c r="X222">
        <f ca="1"/>
        <v>0</v>
      </c>
      <c r="Y222">
        <f ca="1"/>
        <v>1</v>
      </c>
      <c r="Z222">
        <f ca="1"/>
        <v>1.8357422959121621</v>
      </c>
      <c r="AA222">
        <f ca="1"/>
        <v>0</v>
      </c>
      <c r="AB222">
        <f ca="1"/>
        <v>0.99904331076416653</v>
      </c>
      <c r="AD222" s="2">
        <f t="shared" ca="1" si="32"/>
        <v>45579</v>
      </c>
      <c r="AE222">
        <f t="shared" ca="1" si="33"/>
        <v>0</v>
      </c>
      <c r="AG222" s="63">
        <f t="shared" ca="1" si="37"/>
        <v>-16.521153092150001</v>
      </c>
      <c r="AH222" s="63">
        <f t="shared" ca="1" si="38"/>
        <v>-16.521153092150001</v>
      </c>
      <c r="AI222" s="3">
        <f t="shared" ca="1" si="39"/>
        <v>0</v>
      </c>
    </row>
    <row r="223" spans="7:35">
      <c r="G223" s="3">
        <f t="shared" ca="1" si="34"/>
        <v>244</v>
      </c>
      <c r="H223" s="95">
        <f t="shared" ca="1" si="36"/>
        <v>45534</v>
      </c>
      <c r="I223" s="119">
        <f ca="1">HLOOKUP($H$4,'Met Data'!$A$2:$F$368,G223,FALSE)</f>
        <v>10.6666666666666</v>
      </c>
      <c r="J223" s="119">
        <f ca="1">HLOOKUP($H$4,'Met Data'!$H$2:$M$368,G223,FALSE)*L223</f>
        <v>1.7333333333333301</v>
      </c>
      <c r="K223" s="96">
        <f ca="1">HLOOKUP($H$4,'Met Data'!$O$2:$T$368,G223,FALSE)</f>
        <v>1.8075127039194601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45580</v>
      </c>
      <c r="Q223">
        <f ca="1"/>
        <v>-15.303425225853198</v>
      </c>
      <c r="R223">
        <f ca="1"/>
        <v>0</v>
      </c>
      <c r="S223">
        <f ca="1"/>
        <v>0.3707068228508632</v>
      </c>
      <c r="T223">
        <f ca="1"/>
        <v>0.84702104344593998</v>
      </c>
      <c r="U223">
        <f ca="1"/>
        <v>0</v>
      </c>
      <c r="V223">
        <f ca="1"/>
        <v>0</v>
      </c>
      <c r="W223">
        <f ca="1"/>
        <v>0</v>
      </c>
      <c r="X223">
        <f ca="1"/>
        <v>0</v>
      </c>
      <c r="Y223">
        <f ca="1"/>
        <v>0.97567831351785628</v>
      </c>
      <c r="Z223">
        <f ca="1"/>
        <v>0</v>
      </c>
      <c r="AA223">
        <f ca="1"/>
        <v>0</v>
      </c>
      <c r="AB223">
        <f ca="1"/>
        <v>0.99922952155776135</v>
      </c>
      <c r="AD223" s="2">
        <f t="shared" ca="1" si="32"/>
        <v>45580</v>
      </c>
      <c r="AE223">
        <f t="shared" ca="1" si="33"/>
        <v>0</v>
      </c>
      <c r="AG223" s="63">
        <f t="shared" ca="1" si="37"/>
        <v>-15.303425225853198</v>
      </c>
      <c r="AH223" s="63">
        <f t="shared" ca="1" si="38"/>
        <v>-15.303425225853198</v>
      </c>
      <c r="AI223" s="3">
        <f t="shared" ca="1" si="39"/>
        <v>0</v>
      </c>
    </row>
    <row r="224" spans="7:35">
      <c r="G224" s="3">
        <f t="shared" ca="1" si="34"/>
        <v>245</v>
      </c>
      <c r="H224" s="95">
        <f t="shared" ca="1" si="36"/>
        <v>45535</v>
      </c>
      <c r="I224" s="119">
        <f ca="1">HLOOKUP($H$4,'Met Data'!$A$2:$F$368,G224,FALSE)</f>
        <v>10.1208333333333</v>
      </c>
      <c r="J224" s="119">
        <f ca="1">HLOOKUP($H$4,'Met Data'!$H$2:$M$368,G224,FALSE)*L224</f>
        <v>0.8</v>
      </c>
      <c r="K224" s="96">
        <f ca="1">HLOOKUP($H$4,'Met Data'!$O$2:$T$368,G224,FALSE)</f>
        <v>1.80445161149383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45581</v>
      </c>
      <c r="Q224">
        <f ca="1"/>
        <v>-13.997861627931261</v>
      </c>
      <c r="R224">
        <f ca="1"/>
        <v>0</v>
      </c>
      <c r="S224">
        <f ca="1"/>
        <v>0.40502672718729116</v>
      </c>
      <c r="T224">
        <f ca="1"/>
        <v>0.90053687073464661</v>
      </c>
      <c r="U224">
        <f ca="1"/>
        <v>0</v>
      </c>
      <c r="V224">
        <f ca="1"/>
        <v>0</v>
      </c>
      <c r="W224">
        <f ca="1"/>
        <v>0</v>
      </c>
      <c r="X224">
        <f ca="1"/>
        <v>0</v>
      </c>
      <c r="Y224">
        <f ca="1"/>
        <v>0.97750276143721326</v>
      </c>
      <c r="Z224">
        <f ca="1"/>
        <v>0</v>
      </c>
      <c r="AA224">
        <f ca="1"/>
        <v>0</v>
      </c>
      <c r="AB224">
        <f ca="1"/>
        <v>0.99938692721562816</v>
      </c>
      <c r="AD224" s="2">
        <f t="shared" ca="1" si="32"/>
        <v>45581</v>
      </c>
      <c r="AE224">
        <f t="shared" ca="1" si="33"/>
        <v>0</v>
      </c>
      <c r="AG224" s="63">
        <f t="shared" ca="1" si="37"/>
        <v>-13.997861627931261</v>
      </c>
      <c r="AH224" s="63">
        <f t="shared" ca="1" si="38"/>
        <v>-13.997861627931261</v>
      </c>
      <c r="AI224" s="3">
        <f t="shared" ca="1" si="39"/>
        <v>0</v>
      </c>
    </row>
    <row r="225" spans="7:35">
      <c r="G225" s="3">
        <f t="shared" ca="1" si="34"/>
        <v>246</v>
      </c>
      <c r="H225" s="95">
        <f t="shared" ca="1" si="36"/>
        <v>45536</v>
      </c>
      <c r="I225" s="119">
        <f ca="1">HLOOKUP($H$4,'Met Data'!$A$2:$F$368,G225,FALSE)</f>
        <v>9.6624999999999996</v>
      </c>
      <c r="J225" s="119">
        <f ca="1">HLOOKUP($H$4,'Met Data'!$H$2:$M$368,G225,FALSE)*L225</f>
        <v>3.0833333333333299</v>
      </c>
      <c r="K225" s="96">
        <f ca="1">HLOOKUP($H$4,'Met Data'!$O$2:$T$368,G225,FALSE)</f>
        <v>1.4517482623371101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45582</v>
      </c>
      <c r="Q225">
        <f ca="1"/>
        <v>-12.710542989134348</v>
      </c>
      <c r="R225">
        <f ca="1"/>
        <v>0</v>
      </c>
      <c r="S225">
        <f ca="1"/>
        <v>0.40626849050853764</v>
      </c>
      <c r="T225">
        <f ca="1"/>
        <v>0.88105014828837591</v>
      </c>
      <c r="U225">
        <f ca="1"/>
        <v>0</v>
      </c>
      <c r="V225">
        <f ca="1"/>
        <v>0</v>
      </c>
      <c r="W225">
        <f ca="1"/>
        <v>0</v>
      </c>
      <c r="X225">
        <f ca="1"/>
        <v>0</v>
      </c>
      <c r="Y225">
        <f ca="1"/>
        <v>0.99291104840829203</v>
      </c>
      <c r="Z225">
        <f ca="1"/>
        <v>0</v>
      </c>
      <c r="AA225">
        <f ca="1"/>
        <v>0</v>
      </c>
      <c r="AB225">
        <f ca="1"/>
        <v>0.99951007612686016</v>
      </c>
      <c r="AD225" s="2">
        <f t="shared" ca="1" si="32"/>
        <v>45582</v>
      </c>
      <c r="AE225">
        <f t="shared" ca="1" si="33"/>
        <v>0</v>
      </c>
      <c r="AG225" s="63">
        <f t="shared" ca="1" si="37"/>
        <v>-12.710542989134348</v>
      </c>
      <c r="AH225" s="63">
        <f t="shared" ca="1" si="38"/>
        <v>-12.710542989134348</v>
      </c>
      <c r="AI225" s="3">
        <f t="shared" ca="1" si="39"/>
        <v>0</v>
      </c>
    </row>
    <row r="226" spans="7:35">
      <c r="G226" s="3">
        <f t="shared" ca="1" si="34"/>
        <v>247</v>
      </c>
      <c r="H226" s="95">
        <f t="shared" ca="1" si="36"/>
        <v>45537</v>
      </c>
      <c r="I226" s="119">
        <f ca="1">HLOOKUP($H$4,'Met Data'!$A$2:$F$368,G226,FALSE)</f>
        <v>9.7541666666666593</v>
      </c>
      <c r="J226" s="119">
        <f ca="1">HLOOKUP($H$4,'Met Data'!$H$2:$M$368,G226,FALSE)*L226</f>
        <v>1.0833333333333299</v>
      </c>
      <c r="K226" s="96">
        <f ca="1">HLOOKUP($H$4,'Met Data'!$O$2:$T$368,G226,FALSE)</f>
        <v>1.75831978881469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45583</v>
      </c>
      <c r="Q226">
        <f ca="1"/>
        <v>-11.48538179839869</v>
      </c>
      <c r="R226">
        <f ca="1"/>
        <v>0</v>
      </c>
      <c r="S226">
        <f ca="1"/>
        <v>0.39237029390903899</v>
      </c>
      <c r="T226">
        <f ca="1"/>
        <v>0.83279089682661966</v>
      </c>
      <c r="U226">
        <f ca="1"/>
        <v>0</v>
      </c>
      <c r="V226">
        <f ca="1"/>
        <v>0</v>
      </c>
      <c r="W226">
        <f ca="1"/>
        <v>0</v>
      </c>
      <c r="X226">
        <f ca="1"/>
        <v>0</v>
      </c>
      <c r="Y226">
        <f ca="1"/>
        <v>0.95790193705479332</v>
      </c>
      <c r="Z226">
        <f ca="1"/>
        <v>0</v>
      </c>
      <c r="AA226">
        <f ca="1"/>
        <v>0</v>
      </c>
      <c r="AB226">
        <f ca="1"/>
        <v>0.99960442819600781</v>
      </c>
      <c r="AD226" s="2">
        <f t="shared" ca="1" si="32"/>
        <v>45583</v>
      </c>
      <c r="AE226">
        <f t="shared" ca="1" si="33"/>
        <v>0</v>
      </c>
      <c r="AG226" s="63">
        <f t="shared" ca="1" si="37"/>
        <v>-11.48538179839869</v>
      </c>
      <c r="AH226" s="63">
        <f t="shared" ca="1" si="38"/>
        <v>-11.48538179839869</v>
      </c>
      <c r="AI226" s="3">
        <f t="shared" ca="1" si="39"/>
        <v>0</v>
      </c>
    </row>
    <row r="227" spans="7:35">
      <c r="G227" s="3">
        <f t="shared" ca="1" si="34"/>
        <v>248</v>
      </c>
      <c r="H227" s="95">
        <f t="shared" ca="1" si="36"/>
        <v>45538</v>
      </c>
      <c r="I227" s="119">
        <f ca="1">HLOOKUP($H$4,'Met Data'!$A$2:$F$368,G227,FALSE)</f>
        <v>10.0583333333333</v>
      </c>
      <c r="J227" s="119">
        <f ca="1">HLOOKUP($H$4,'Met Data'!$H$2:$M$368,G227,FALSE)*L227</f>
        <v>2.44999999999999</v>
      </c>
      <c r="K227" s="96">
        <f ca="1">HLOOKUP($H$4,'Met Data'!$O$2:$T$368,G227,FALSE)</f>
        <v>1.8005069619965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45584</v>
      </c>
      <c r="Q227">
        <f ca="1"/>
        <v>-10.240740734406698</v>
      </c>
      <c r="R227">
        <f ca="1"/>
        <v>0</v>
      </c>
      <c r="S227">
        <f ca="1"/>
        <v>0.40374586377858179</v>
      </c>
      <c r="T227">
        <f ca="1"/>
        <v>0.84089520021340991</v>
      </c>
      <c r="U227">
        <f ca="1"/>
        <v>0</v>
      </c>
      <c r="V227">
        <f ca="1"/>
        <v>0</v>
      </c>
      <c r="W227">
        <f ca="1"/>
        <v>0</v>
      </c>
      <c r="X227">
        <f ca="1"/>
        <v>0</v>
      </c>
      <c r="Y227">
        <f ca="1"/>
        <v>0.92864162693302832</v>
      </c>
      <c r="Z227">
        <f ca="1"/>
        <v>0</v>
      </c>
      <c r="AA227">
        <f ca="1"/>
        <v>0</v>
      </c>
      <c r="AB227">
        <f ca="1"/>
        <v>0.99968348356937642</v>
      </c>
      <c r="AD227" s="2">
        <f t="shared" ca="1" si="32"/>
        <v>45584</v>
      </c>
      <c r="AE227">
        <f t="shared" ca="1" si="33"/>
        <v>0</v>
      </c>
      <c r="AG227" s="63">
        <f t="shared" ca="1" si="37"/>
        <v>-10.240740734406698</v>
      </c>
      <c r="AH227" s="63">
        <f t="shared" ca="1" si="38"/>
        <v>-10.240740734406698</v>
      </c>
      <c r="AI227" s="3">
        <f t="shared" ca="1" si="39"/>
        <v>0</v>
      </c>
    </row>
    <row r="228" spans="7:35">
      <c r="G228" s="3">
        <f t="shared" ca="1" si="34"/>
        <v>249</v>
      </c>
      <c r="H228" s="95">
        <f t="shared" ca="1" si="36"/>
        <v>45539</v>
      </c>
      <c r="I228" s="119">
        <f ca="1">HLOOKUP($H$4,'Met Data'!$A$2:$F$368,G228,FALSE)</f>
        <v>9.7750000000000004</v>
      </c>
      <c r="J228" s="119">
        <f ca="1">HLOOKUP($H$4,'Met Data'!$H$2:$M$368,G228,FALSE)*L228</f>
        <v>3.2</v>
      </c>
      <c r="K228" s="96">
        <f ca="1">HLOOKUP($H$4,'Met Data'!$O$2:$T$368,G228,FALSE)</f>
        <v>1.49919962363172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45585</v>
      </c>
      <c r="Q228">
        <f ca="1"/>
        <v>-9.0588823896505666</v>
      </c>
      <c r="R228">
        <f ca="1"/>
        <v>0</v>
      </c>
      <c r="S228">
        <f ca="1"/>
        <v>0.38769974259426476</v>
      </c>
      <c r="T228">
        <f ca="1"/>
        <v>0.79415860216186662</v>
      </c>
      <c r="U228">
        <f ca="1"/>
        <v>0</v>
      </c>
      <c r="V228">
        <f ca="1"/>
        <v>0</v>
      </c>
      <c r="W228">
        <f ca="1"/>
        <v>0</v>
      </c>
      <c r="X228">
        <f ca="1"/>
        <v>0</v>
      </c>
      <c r="Y228">
        <f ca="1"/>
        <v>0.8958496931803831</v>
      </c>
      <c r="Z228">
        <f ca="1"/>
        <v>0</v>
      </c>
      <c r="AA228">
        <f ca="1"/>
        <v>0</v>
      </c>
      <c r="AB228">
        <f ca="1"/>
        <v>0.99974596226493961</v>
      </c>
      <c r="AD228" s="2">
        <f t="shared" ca="1" si="32"/>
        <v>45585</v>
      </c>
      <c r="AE228">
        <f t="shared" ca="1" si="33"/>
        <v>0</v>
      </c>
      <c r="AG228" s="63">
        <f t="shared" ca="1" si="37"/>
        <v>-9.0588823896505666</v>
      </c>
      <c r="AH228" s="63">
        <f t="shared" ca="1" si="38"/>
        <v>-9.0588823896505666</v>
      </c>
      <c r="AI228" s="3">
        <f t="shared" ca="1" si="39"/>
        <v>0</v>
      </c>
    </row>
    <row r="229" spans="7:35">
      <c r="G229" s="3">
        <f t="shared" ca="1" si="34"/>
        <v>250</v>
      </c>
      <c r="H229" s="95">
        <f t="shared" ca="1" si="36"/>
        <v>45540</v>
      </c>
      <c r="I229" s="119">
        <f ca="1">HLOOKUP($H$4,'Met Data'!$A$2:$F$368,G229,FALSE)</f>
        <v>10.3333333333333</v>
      </c>
      <c r="J229" s="119">
        <f ca="1">HLOOKUP($H$4,'Met Data'!$H$2:$M$368,G229,FALSE)*L229</f>
        <v>5.93333333333333</v>
      </c>
      <c r="K229" s="96">
        <f ca="1">HLOOKUP($H$4,'Met Data'!$O$2:$T$368,G229,FALSE)</f>
        <v>1.4735664157819599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45586</v>
      </c>
      <c r="Q229">
        <f ca="1"/>
        <v>-7.7830701037377121</v>
      </c>
      <c r="R229">
        <f ca="1"/>
        <v>0</v>
      </c>
      <c r="S229">
        <f ca="1"/>
        <v>0.42276584365438907</v>
      </c>
      <c r="T229">
        <f ca="1"/>
        <v>0.85304644225846515</v>
      </c>
      <c r="U229">
        <f ca="1"/>
        <v>0</v>
      </c>
      <c r="V229">
        <f ca="1"/>
        <v>0</v>
      </c>
      <c r="W229">
        <f ca="1"/>
        <v>0</v>
      </c>
      <c r="X229">
        <f ca="1"/>
        <v>0</v>
      </c>
      <c r="Y229">
        <f ca="1"/>
        <v>0.92173617663716512</v>
      </c>
      <c r="Z229">
        <f ca="1"/>
        <v>0</v>
      </c>
      <c r="AA229">
        <f ca="1"/>
        <v>0</v>
      </c>
      <c r="AB229">
        <f ca="1"/>
        <v>0.99979765998799963</v>
      </c>
      <c r="AD229" s="2">
        <f t="shared" ca="1" si="32"/>
        <v>45586</v>
      </c>
      <c r="AE229">
        <f t="shared" ca="1" si="33"/>
        <v>0</v>
      </c>
      <c r="AG229" s="63">
        <f t="shared" ca="1" si="37"/>
        <v>-7.7830701037377121</v>
      </c>
      <c r="AH229" s="63">
        <f t="shared" ca="1" si="38"/>
        <v>-7.7830701037377121</v>
      </c>
      <c r="AI229" s="3">
        <f t="shared" ca="1" si="39"/>
        <v>0</v>
      </c>
    </row>
    <row r="230" spans="7:35">
      <c r="G230" s="3">
        <f t="shared" ca="1" si="34"/>
        <v>251</v>
      </c>
      <c r="H230" s="95">
        <f t="shared" ca="1" si="36"/>
        <v>45541</v>
      </c>
      <c r="I230" s="119">
        <f ca="1">HLOOKUP($H$4,'Met Data'!$A$2:$F$368,G230,FALSE)</f>
        <v>10.7708333333333</v>
      </c>
      <c r="J230" s="119">
        <f ca="1">HLOOKUP($H$4,'Met Data'!$H$2:$M$368,G230,FALSE)*L230</f>
        <v>1.2</v>
      </c>
      <c r="K230" s="96">
        <f ca="1">HLOOKUP($H$4,'Met Data'!$O$2:$T$368,G230,FALSE)</f>
        <v>1.8170202832795099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45587</v>
      </c>
      <c r="Q230">
        <f ca="1"/>
        <v>-6.575832032947643</v>
      </c>
      <c r="R230">
        <f ca="1"/>
        <v>0</v>
      </c>
      <c r="S230">
        <f ca="1"/>
        <v>0.40368667051014029</v>
      </c>
      <c r="T230">
        <f ca="1"/>
        <v>0.80355140027992911</v>
      </c>
      <c r="U230">
        <f ca="1"/>
        <v>0</v>
      </c>
      <c r="V230">
        <f ca="1"/>
        <v>0</v>
      </c>
      <c r="W230">
        <f ca="1"/>
        <v>0</v>
      </c>
      <c r="X230">
        <f ca="1"/>
        <v>0</v>
      </c>
      <c r="Y230">
        <f ca="1"/>
        <v>0.92392632648800144</v>
      </c>
      <c r="Z230">
        <f ca="1"/>
        <v>0</v>
      </c>
      <c r="AA230">
        <f ca="1"/>
        <v>0</v>
      </c>
      <c r="AB230">
        <f ca="1"/>
        <v>0.99983685228598773</v>
      </c>
      <c r="AD230" s="2">
        <f t="shared" ca="1" si="32"/>
        <v>45587</v>
      </c>
      <c r="AE230">
        <f t="shared" ca="1" si="33"/>
        <v>0</v>
      </c>
      <c r="AG230" s="63">
        <f t="shared" ca="1" si="37"/>
        <v>-6.575832032947643</v>
      </c>
      <c r="AH230" s="63">
        <f t="shared" ca="1" si="38"/>
        <v>-6.575832032947643</v>
      </c>
      <c r="AI230" s="3">
        <f t="shared" ca="1" si="39"/>
        <v>0</v>
      </c>
    </row>
    <row r="231" spans="7:35">
      <c r="G231" s="3">
        <f t="shared" ca="1" si="34"/>
        <v>252</v>
      </c>
      <c r="H231" s="95">
        <f t="shared" ca="1" si="36"/>
        <v>45542</v>
      </c>
      <c r="I231" s="119">
        <f ca="1">HLOOKUP($H$4,'Met Data'!$A$2:$F$368,G231,FALSE)</f>
        <v>10.5791666666666</v>
      </c>
      <c r="J231" s="119">
        <f ca="1">HLOOKUP($H$4,'Met Data'!$H$2:$M$368,G231,FALSE)*L231</f>
        <v>0.88333333333333297</v>
      </c>
      <c r="K231" s="96">
        <f ca="1">HLOOKUP($H$4,'Met Data'!$O$2:$T$368,G231,FALSE)</f>
        <v>1.8773510693625799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45588</v>
      </c>
      <c r="Q231">
        <f ca="1"/>
        <v>-5.417832818401866</v>
      </c>
      <c r="R231">
        <f ca="1"/>
        <v>0</v>
      </c>
      <c r="S231">
        <f ca="1"/>
        <v>0.39020542591731555</v>
      </c>
      <c r="T231">
        <f ca="1"/>
        <v>0.76779378862846115</v>
      </c>
      <c r="U231">
        <f ca="1"/>
        <v>0</v>
      </c>
      <c r="V231">
        <f ca="1"/>
        <v>0</v>
      </c>
      <c r="W231">
        <f ca="1"/>
        <v>0</v>
      </c>
      <c r="X231">
        <f ca="1"/>
        <v>0</v>
      </c>
      <c r="Y231">
        <f ca="1"/>
        <v>0.88501888518234406</v>
      </c>
      <c r="Z231">
        <f ca="1"/>
        <v>0</v>
      </c>
      <c r="AA231">
        <f ca="1"/>
        <v>0</v>
      </c>
      <c r="AB231">
        <f ca="1"/>
        <v>0.9998685506844317</v>
      </c>
      <c r="AD231" s="2">
        <f t="shared" ca="1" si="32"/>
        <v>45588</v>
      </c>
      <c r="AE231">
        <f t="shared" ca="1" si="33"/>
        <v>0</v>
      </c>
      <c r="AG231" s="63">
        <f t="shared" ca="1" si="37"/>
        <v>-5.417832818401866</v>
      </c>
      <c r="AH231" s="63">
        <f t="shared" ca="1" si="38"/>
        <v>-5.417832818401866</v>
      </c>
      <c r="AI231" s="3">
        <f t="shared" ca="1" si="39"/>
        <v>0</v>
      </c>
    </row>
    <row r="232" spans="7:35">
      <c r="G232" s="3">
        <f t="shared" ca="1" si="34"/>
        <v>253</v>
      </c>
      <c r="H232" s="95">
        <f t="shared" ca="1" si="36"/>
        <v>45543</v>
      </c>
      <c r="I232" s="119">
        <f ca="1">HLOOKUP($H$4,'Met Data'!$A$2:$F$368,G232,FALSE)</f>
        <v>9.6125000000000007</v>
      </c>
      <c r="J232" s="119">
        <f ca="1">HLOOKUP($H$4,'Met Data'!$H$2:$M$368,G232,FALSE)*L232</f>
        <v>4.36666666666666</v>
      </c>
      <c r="K232" s="96">
        <f ca="1">HLOOKUP($H$4,'Met Data'!$O$2:$T$368,G232,FALSE)</f>
        <v>1.8525160666589899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45589</v>
      </c>
      <c r="Q232">
        <f ca="1"/>
        <v>-4.2398331098248381</v>
      </c>
      <c r="R232">
        <f ca="1"/>
        <v>0</v>
      </c>
      <c r="S232">
        <f ca="1"/>
        <v>0.39963019153992718</v>
      </c>
      <c r="T232">
        <f ca="1"/>
        <v>0.778369517037101</v>
      </c>
      <c r="U232">
        <f ca="1"/>
        <v>0</v>
      </c>
      <c r="V232">
        <f ca="1"/>
        <v>0</v>
      </c>
      <c r="W232">
        <f ca="1"/>
        <v>0</v>
      </c>
      <c r="X232">
        <f ca="1"/>
        <v>0</v>
      </c>
      <c r="Y232">
        <f ca="1"/>
        <v>0.85444653706218143</v>
      </c>
      <c r="Z232">
        <f ca="1"/>
        <v>0</v>
      </c>
      <c r="AA232">
        <f ca="1"/>
        <v>0</v>
      </c>
      <c r="AB232">
        <f ca="1"/>
        <v>0.99989518081333251</v>
      </c>
      <c r="AD232" s="2">
        <f t="shared" ca="1" si="32"/>
        <v>45589</v>
      </c>
      <c r="AE232">
        <f t="shared" ca="1" si="33"/>
        <v>0</v>
      </c>
      <c r="AG232" s="63">
        <f t="shared" ca="1" si="37"/>
        <v>-4.2398331098248381</v>
      </c>
      <c r="AH232" s="63">
        <f t="shared" ca="1" si="38"/>
        <v>-4.2398331098248381</v>
      </c>
      <c r="AI232" s="3">
        <f t="shared" ca="1" si="39"/>
        <v>0</v>
      </c>
    </row>
    <row r="233" spans="7:35">
      <c r="G233" s="3">
        <f t="shared" ca="1" si="34"/>
        <v>254</v>
      </c>
      <c r="H233" s="95">
        <f t="shared" ca="1" si="36"/>
        <v>45544</v>
      </c>
      <c r="I233" s="119">
        <f ca="1">HLOOKUP($H$4,'Met Data'!$A$2:$F$368,G233,FALSE)</f>
        <v>10.0875</v>
      </c>
      <c r="J233" s="119">
        <f ca="1">HLOOKUP($H$4,'Met Data'!$H$2:$M$368,G233,FALSE)*L233</f>
        <v>3.44999999999999</v>
      </c>
      <c r="K233" s="96">
        <f ca="1">HLOOKUP($H$4,'Met Data'!$O$2:$T$368,G233,FALSE)</f>
        <v>1.67590206119575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45590</v>
      </c>
      <c r="Q233">
        <f ca="1"/>
        <v>-2.9410887776138299</v>
      </c>
      <c r="R233">
        <f ca="1"/>
        <v>0</v>
      </c>
      <c r="S233">
        <f ca="1"/>
        <v>0.44338437698304745</v>
      </c>
      <c r="T233">
        <f ca="1"/>
        <v>0.85535995522796071</v>
      </c>
      <c r="U233">
        <f ca="1"/>
        <v>0</v>
      </c>
      <c r="V233">
        <f ca="1"/>
        <v>0</v>
      </c>
      <c r="W233">
        <f ca="1"/>
        <v>0</v>
      </c>
      <c r="X233">
        <f ca="1"/>
        <v>0</v>
      </c>
      <c r="Y233">
        <f ca="1"/>
        <v>0.86561805544652948</v>
      </c>
      <c r="Z233">
        <f ca="1"/>
        <v>0</v>
      </c>
      <c r="AA233">
        <f ca="1"/>
        <v>0</v>
      </c>
      <c r="AB233">
        <f ca="1"/>
        <v>0.99991774856420479</v>
      </c>
      <c r="AD233" s="2">
        <f t="shared" ca="1" si="32"/>
        <v>45590</v>
      </c>
      <c r="AE233">
        <f t="shared" ca="1" si="33"/>
        <v>0</v>
      </c>
      <c r="AG233" s="63">
        <f t="shared" ca="1" si="37"/>
        <v>-2.9410887776138299</v>
      </c>
      <c r="AH233" s="63">
        <f t="shared" ca="1" si="38"/>
        <v>-2.9410887776138299</v>
      </c>
      <c r="AI233" s="3">
        <f t="shared" ca="1" si="39"/>
        <v>0</v>
      </c>
    </row>
    <row r="234" spans="7:35">
      <c r="G234" s="3">
        <f t="shared" ca="1" si="34"/>
        <v>255</v>
      </c>
      <c r="H234" s="95">
        <f t="shared" ca="1" si="36"/>
        <v>45545</v>
      </c>
      <c r="I234" s="119">
        <f ca="1">HLOOKUP($H$4,'Met Data'!$A$2:$F$368,G234,FALSE)</f>
        <v>10.6416666666666</v>
      </c>
      <c r="J234" s="119">
        <f ca="1">HLOOKUP($H$4,'Met Data'!$H$2:$M$368,G234,FALSE)*L234</f>
        <v>6.4666666666666597</v>
      </c>
      <c r="K234" s="96">
        <f ca="1">HLOOKUP($H$4,'Met Data'!$O$2:$T$368,G234,FALSE)</f>
        <v>1.7070370554204599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45591</v>
      </c>
      <c r="Q234">
        <f ca="1"/>
        <v>-1.5504230539854</v>
      </c>
      <c r="R234">
        <f ca="1"/>
        <v>0</v>
      </c>
      <c r="S234">
        <f ca="1"/>
        <v>0.4776154147834859</v>
      </c>
      <c r="T234">
        <f ca="1"/>
        <v>0.91305030884494387</v>
      </c>
      <c r="U234">
        <f ca="1"/>
        <v>0</v>
      </c>
      <c r="V234">
        <f ca="1"/>
        <v>0</v>
      </c>
      <c r="W234">
        <f ca="1"/>
        <v>0</v>
      </c>
      <c r="X234">
        <f ca="1"/>
        <v>0</v>
      </c>
      <c r="Y234">
        <f ca="1"/>
        <v>0.90812027081033486</v>
      </c>
      <c r="Z234">
        <f ca="1"/>
        <v>0</v>
      </c>
      <c r="AA234">
        <f ca="1"/>
        <v>0</v>
      </c>
      <c r="AB234">
        <f ca="1"/>
        <v>0.99993560437073004</v>
      </c>
      <c r="AD234" s="2">
        <f t="shared" ca="1" si="32"/>
        <v>45591</v>
      </c>
      <c r="AE234">
        <f t="shared" ca="1" si="33"/>
        <v>0</v>
      </c>
      <c r="AG234" s="63">
        <f t="shared" ca="1" si="37"/>
        <v>-1.5504230539854</v>
      </c>
      <c r="AH234" s="63">
        <f t="shared" ca="1" si="38"/>
        <v>-1.5504230539854</v>
      </c>
      <c r="AI234" s="3">
        <f t="shared" ca="1" si="39"/>
        <v>0</v>
      </c>
    </row>
    <row r="235" spans="7:35">
      <c r="G235" s="3">
        <f t="shared" ca="1" si="34"/>
        <v>256</v>
      </c>
      <c r="H235" s="95">
        <f t="shared" ca="1" si="36"/>
        <v>45546</v>
      </c>
      <c r="I235" s="119">
        <f ca="1">HLOOKUP($H$4,'Met Data'!$A$2:$F$368,G235,FALSE)</f>
        <v>10.4541666666666</v>
      </c>
      <c r="J235" s="119">
        <f ca="1">HLOOKUP($H$4,'Met Data'!$H$2:$M$368,G235,FALSE)*L235</f>
        <v>2.0166666666666599</v>
      </c>
      <c r="K235" s="96">
        <f ca="1">HLOOKUP($H$4,'Met Data'!$O$2:$T$368,G235,FALSE)</f>
        <v>1.9219866027073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45592</v>
      </c>
      <c r="Q235">
        <f ca="1"/>
        <v>-0.12096444671460593</v>
      </c>
      <c r="R235">
        <f ca="1"/>
        <v>0</v>
      </c>
      <c r="S235">
        <f ca="1"/>
        <v>0.49358874423427324</v>
      </c>
      <c r="T235">
        <f ca="1"/>
        <v>0.93586986303652087</v>
      </c>
      <c r="U235">
        <f ca="1"/>
        <v>0</v>
      </c>
      <c r="V235">
        <f ca="1"/>
        <v>0</v>
      </c>
      <c r="W235">
        <f ca="1"/>
        <v>0</v>
      </c>
      <c r="X235">
        <f ca="1"/>
        <v>0</v>
      </c>
      <c r="Y235">
        <f ca="1"/>
        <v>0.9646577399000511</v>
      </c>
      <c r="Z235">
        <f ca="1"/>
        <v>0</v>
      </c>
      <c r="AA235">
        <f ca="1"/>
        <v>0</v>
      </c>
      <c r="AB235">
        <f ca="1"/>
        <v>0.9999491606714993</v>
      </c>
      <c r="AD235" s="2">
        <f t="shared" ca="1" si="32"/>
        <v>45592</v>
      </c>
      <c r="AE235">
        <f t="shared" ca="1" si="33"/>
        <v>0</v>
      </c>
      <c r="AG235" s="63">
        <f t="shared" ca="1" si="37"/>
        <v>-0.12096444671460593</v>
      </c>
      <c r="AH235" s="63">
        <f t="shared" ca="1" si="38"/>
        <v>-0.12096444671460593</v>
      </c>
      <c r="AI235" s="3">
        <f t="shared" ca="1" si="39"/>
        <v>0</v>
      </c>
    </row>
    <row r="236" spans="7:35">
      <c r="G236" s="3">
        <f t="shared" ca="1" si="34"/>
        <v>257</v>
      </c>
      <c r="H236" s="95">
        <f t="shared" ca="1" si="36"/>
        <v>45547</v>
      </c>
      <c r="I236" s="119">
        <f ca="1">HLOOKUP($H$4,'Met Data'!$A$2:$F$368,G236,FALSE)</f>
        <v>11.216666666666599</v>
      </c>
      <c r="J236" s="119">
        <f ca="1">HLOOKUP($H$4,'Met Data'!$H$2:$M$368,G236,FALSE)*L236</f>
        <v>1.4833333333333301</v>
      </c>
      <c r="K236" s="96">
        <f ca="1">HLOOKUP($H$4,'Met Data'!$O$2:$T$368,G236,FALSE)</f>
        <v>1.86072433418519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45593</v>
      </c>
      <c r="Q236">
        <f ca="1"/>
        <v>1.3802917651480486</v>
      </c>
      <c r="R236">
        <f ca="1"/>
        <v>0</v>
      </c>
      <c r="S236">
        <f ca="1"/>
        <v>0.52082759146333046</v>
      </c>
      <c r="T236">
        <f ca="1"/>
        <v>0.98042862039932421</v>
      </c>
      <c r="U236">
        <f ca="1"/>
        <v>0</v>
      </c>
      <c r="V236">
        <f ca="1"/>
        <v>0</v>
      </c>
      <c r="W236">
        <f ca="1"/>
        <v>0</v>
      </c>
      <c r="X236">
        <f ca="1"/>
        <v>0</v>
      </c>
      <c r="Y236">
        <f ca="1"/>
        <v>0.98080930246330056</v>
      </c>
      <c r="Z236">
        <f ca="1"/>
        <v>0</v>
      </c>
      <c r="AA236">
        <f ca="1"/>
        <v>0</v>
      </c>
      <c r="AB236">
        <f ca="1"/>
        <v>0.99996024133237749</v>
      </c>
      <c r="AD236" s="2">
        <f t="shared" ca="1" si="32"/>
        <v>45593</v>
      </c>
      <c r="AE236">
        <f t="shared" ca="1" si="33"/>
        <v>0</v>
      </c>
      <c r="AG236" s="63">
        <f t="shared" ca="1" si="37"/>
        <v>1.3802917651480486</v>
      </c>
      <c r="AH236" s="63">
        <f t="shared" ca="1" si="38"/>
        <v>1.3802917651480486</v>
      </c>
      <c r="AI236" s="3">
        <f t="shared" ca="1" si="39"/>
        <v>0</v>
      </c>
    </row>
    <row r="237" spans="7:35">
      <c r="G237" s="3">
        <f t="shared" ca="1" si="34"/>
        <v>258</v>
      </c>
      <c r="H237" s="95">
        <f t="shared" ca="1" si="36"/>
        <v>45548</v>
      </c>
      <c r="I237" s="119">
        <f ca="1">HLOOKUP($H$4,'Met Data'!$A$2:$F$368,G237,FALSE)</f>
        <v>11.1</v>
      </c>
      <c r="J237" s="119">
        <f ca="1">HLOOKUP($H$4,'Met Data'!$H$2:$M$368,G237,FALSE)*L237</f>
        <v>2.4166666666666599</v>
      </c>
      <c r="K237" s="96">
        <f ca="1">HLOOKUP($H$4,'Met Data'!$O$2:$T$368,G237,FALSE)</f>
        <v>1.6515892534407901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45594</v>
      </c>
      <c r="Q237">
        <f ca="1"/>
        <v>2.7155781013727718</v>
      </c>
      <c r="R237">
        <f ca="1"/>
        <v>0</v>
      </c>
      <c r="S237">
        <f ca="1"/>
        <v>0.46500494430381423</v>
      </c>
      <c r="T237">
        <f ca="1"/>
        <v>0.87028139192090881</v>
      </c>
      <c r="U237">
        <f ca="1"/>
        <v>0</v>
      </c>
      <c r="V237">
        <f ca="1"/>
        <v>0</v>
      </c>
      <c r="W237">
        <f ca="1"/>
        <v>0</v>
      </c>
      <c r="X237">
        <f ca="1"/>
        <v>0</v>
      </c>
      <c r="Y237">
        <f ca="1"/>
        <v>0.92911704922306149</v>
      </c>
      <c r="Z237">
        <f ca="1"/>
        <v>0</v>
      </c>
      <c r="AA237">
        <f ca="1"/>
        <v>0</v>
      </c>
      <c r="AB237">
        <f ca="1"/>
        <v>0.99996840106670182</v>
      </c>
      <c r="AD237" s="2">
        <f t="shared" ca="1" si="32"/>
        <v>45594</v>
      </c>
      <c r="AE237">
        <f t="shared" ca="1" si="33"/>
        <v>0</v>
      </c>
      <c r="AG237" s="63">
        <f t="shared" ca="1" si="37"/>
        <v>2.7155781013727718</v>
      </c>
      <c r="AH237" s="63">
        <f t="shared" ca="1" si="38"/>
        <v>2.7155781013727718</v>
      </c>
      <c r="AI237" s="3">
        <f t="shared" ca="1" si="39"/>
        <v>0</v>
      </c>
    </row>
    <row r="238" spans="7:35">
      <c r="G238" s="3">
        <f t="shared" ca="1" si="34"/>
        <v>259</v>
      </c>
      <c r="H238" s="95">
        <f t="shared" ca="1" si="36"/>
        <v>45549</v>
      </c>
      <c r="I238" s="119">
        <f ca="1">HLOOKUP($H$4,'Met Data'!$A$2:$F$368,G238,FALSE)</f>
        <v>11.3708333333333</v>
      </c>
      <c r="J238" s="119">
        <f ca="1">HLOOKUP($H$4,'Met Data'!$H$2:$M$368,G238,FALSE)*L238</f>
        <v>1.3</v>
      </c>
      <c r="K238" s="96">
        <f ca="1">HLOOKUP($H$4,'Met Data'!$O$2:$T$368,G238,FALSE)</f>
        <v>1.8040111781852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45595</v>
      </c>
      <c r="Q238">
        <f ca="1"/>
        <v>4.0113233170553366</v>
      </c>
      <c r="R238">
        <f ca="1"/>
        <v>0</v>
      </c>
      <c r="S238">
        <f ca="1"/>
        <v>0.45253310777307831</v>
      </c>
      <c r="T238">
        <f ca="1"/>
        <v>0.84321210790948686</v>
      </c>
      <c r="U238">
        <f ca="1"/>
        <v>0</v>
      </c>
      <c r="V238">
        <f ca="1"/>
        <v>0</v>
      </c>
      <c r="W238">
        <f ca="1"/>
        <v>0</v>
      </c>
      <c r="X238">
        <f ca="1"/>
        <v>0</v>
      </c>
      <c r="Y238">
        <f ca="1"/>
        <v>0.93439837794335023</v>
      </c>
      <c r="Z238">
        <f ca="1"/>
        <v>0</v>
      </c>
      <c r="AA238">
        <f ca="1"/>
        <v>0</v>
      </c>
      <c r="AB238">
        <f ca="1"/>
        <v>0.99997469571341147</v>
      </c>
      <c r="AD238" s="2">
        <f t="shared" ca="1" si="32"/>
        <v>45595</v>
      </c>
      <c r="AE238">
        <f t="shared" ca="1" si="33"/>
        <v>0</v>
      </c>
      <c r="AG238" s="63">
        <f t="shared" ca="1" si="37"/>
        <v>4.0113233170553366</v>
      </c>
      <c r="AH238" s="63">
        <f t="shared" ca="1" si="38"/>
        <v>4.0113233170553366</v>
      </c>
      <c r="AI238" s="3">
        <f t="shared" ca="1" si="39"/>
        <v>0</v>
      </c>
    </row>
    <row r="239" spans="7:35">
      <c r="G239" s="3">
        <f t="shared" ca="1" si="34"/>
        <v>260</v>
      </c>
      <c r="H239" s="95">
        <f t="shared" ca="1" si="36"/>
        <v>45550</v>
      </c>
      <c r="I239" s="119">
        <f ca="1">HLOOKUP($H$4,'Met Data'!$A$2:$F$368,G239,FALSE)</f>
        <v>11.2916666666666</v>
      </c>
      <c r="J239" s="119">
        <f ca="1">HLOOKUP($H$4,'Met Data'!$H$2:$M$368,G239,FALSE)*L239</f>
        <v>2.6</v>
      </c>
      <c r="K239" s="96">
        <f ca="1">HLOOKUP($H$4,'Met Data'!$O$2:$T$368,G239,FALSE)</f>
        <v>1.8880733064353601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45596</v>
      </c>
      <c r="Q239">
        <f ca="1"/>
        <v>5.2803036153312091</v>
      </c>
      <c r="R239">
        <f ca="1"/>
        <v>0</v>
      </c>
      <c r="S239">
        <f ca="1"/>
        <v>0.44418674194895402</v>
      </c>
      <c r="T239">
        <f ca="1"/>
        <v>0.82479355632691853</v>
      </c>
      <c r="U239">
        <f ca="1"/>
        <v>0</v>
      </c>
      <c r="V239">
        <f ca="1"/>
        <v>0</v>
      </c>
      <c r="W239">
        <f ca="1"/>
        <v>0</v>
      </c>
      <c r="X239">
        <f ca="1"/>
        <v>0</v>
      </c>
      <c r="Y239">
        <f ca="1"/>
        <v>0.92666918031040424</v>
      </c>
      <c r="Z239">
        <f ca="1"/>
        <v>0</v>
      </c>
      <c r="AA239">
        <f ca="1"/>
        <v>0</v>
      </c>
      <c r="AB239">
        <f ca="1"/>
        <v>0.99997968734534137</v>
      </c>
      <c r="AD239" s="2">
        <f t="shared" ca="1" si="32"/>
        <v>45596</v>
      </c>
      <c r="AE239">
        <f t="shared" ca="1" si="33"/>
        <v>0</v>
      </c>
      <c r="AG239" s="63">
        <f t="shared" ca="1" si="37"/>
        <v>5.2803036153312091</v>
      </c>
      <c r="AH239" s="63">
        <f t="shared" ca="1" si="38"/>
        <v>5.2803036153312091</v>
      </c>
      <c r="AI239" s="3">
        <f t="shared" ca="1" si="39"/>
        <v>0</v>
      </c>
    </row>
    <row r="240" spans="7:35">
      <c r="G240" s="3">
        <f t="shared" ca="1" si="34"/>
        <v>261</v>
      </c>
      <c r="H240" s="95">
        <f t="shared" ca="1" si="36"/>
        <v>45551</v>
      </c>
      <c r="I240" s="119">
        <f ca="1">HLOOKUP($H$4,'Met Data'!$A$2:$F$368,G240,FALSE)</f>
        <v>12.2125</v>
      </c>
      <c r="J240" s="119">
        <f ca="1">HLOOKUP($H$4,'Met Data'!$H$2:$M$368,G240,FALSE)*L240</f>
        <v>4.5999999999999996</v>
      </c>
      <c r="K240" s="96">
        <f ca="1">HLOOKUP($H$4,'Met Data'!$O$2:$T$368,G240,FALSE)</f>
        <v>2.0382752192881299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45597</v>
      </c>
      <c r="Q240">
        <f ca="1"/>
        <v>6.591037604355412</v>
      </c>
      <c r="R240">
        <f ca="1"/>
        <v>0</v>
      </c>
      <c r="S240">
        <f ca="1"/>
        <v>0.45961172947579598</v>
      </c>
      <c r="T240">
        <f ca="1"/>
        <v>0.85112225954840659</v>
      </c>
      <c r="U240">
        <f ca="1"/>
        <v>0</v>
      </c>
      <c r="V240">
        <f ca="1"/>
        <v>0</v>
      </c>
      <c r="W240">
        <f ca="1"/>
        <v>0</v>
      </c>
      <c r="X240">
        <f ca="1"/>
        <v>0</v>
      </c>
      <c r="Y240">
        <f ca="1"/>
        <v>0.89295217032228158</v>
      </c>
      <c r="Z240">
        <f ca="1"/>
        <v>0</v>
      </c>
      <c r="AA240">
        <f ca="1"/>
        <v>0</v>
      </c>
      <c r="AB240">
        <f ca="1"/>
        <v>0.99998393183233114</v>
      </c>
      <c r="AD240" s="2">
        <f t="shared" ca="1" si="32"/>
        <v>45597</v>
      </c>
      <c r="AE240">
        <f t="shared" ca="1" si="33"/>
        <v>0</v>
      </c>
      <c r="AG240" s="63">
        <f t="shared" ca="1" si="37"/>
        <v>6.591037604355412</v>
      </c>
      <c r="AH240" s="63">
        <f t="shared" ca="1" si="38"/>
        <v>6.591037604355412</v>
      </c>
      <c r="AI240" s="3">
        <f t="shared" ca="1" si="39"/>
        <v>0</v>
      </c>
    </row>
    <row r="241" spans="7:35">
      <c r="G241" s="3">
        <f t="shared" ca="1" si="34"/>
        <v>262</v>
      </c>
      <c r="H241" s="95">
        <f t="shared" ca="1" si="36"/>
        <v>45552</v>
      </c>
      <c r="I241" s="119">
        <f ca="1">HLOOKUP($H$4,'Met Data'!$A$2:$F$368,G241,FALSE)</f>
        <v>11.35</v>
      </c>
      <c r="J241" s="119">
        <f ca="1">HLOOKUP($H$4,'Met Data'!$H$2:$M$368,G241,FALSE)*L241</f>
        <v>3.93333333333333</v>
      </c>
      <c r="K241" s="96">
        <f ca="1">HLOOKUP($H$4,'Met Data'!$O$2:$T$368,G241,FALSE)</f>
        <v>2.00744960029109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45598</v>
      </c>
      <c r="Q241">
        <f ca="1"/>
        <v>8.1123026806692913</v>
      </c>
      <c r="R241">
        <f ca="1"/>
        <v>0</v>
      </c>
      <c r="S241">
        <f ca="1"/>
        <v>0.53417555830213814</v>
      </c>
      <c r="T241">
        <f ca="1"/>
        <v>0.98708951801174116</v>
      </c>
      <c r="U241">
        <f ca="1"/>
        <v>0</v>
      </c>
      <c r="V241">
        <f ca="1"/>
        <v>0</v>
      </c>
      <c r="W241">
        <f ca="1"/>
        <v>0</v>
      </c>
      <c r="X241">
        <f ca="1"/>
        <v>0</v>
      </c>
      <c r="Y241">
        <f ca="1"/>
        <v>0.93954251177359593</v>
      </c>
      <c r="Z241">
        <f ca="1"/>
        <v>0</v>
      </c>
      <c r="AA241">
        <f ca="1"/>
        <v>0</v>
      </c>
      <c r="AB241">
        <f ca="1"/>
        <v>0.99998751950354725</v>
      </c>
      <c r="AD241" s="2">
        <f t="shared" ca="1" si="32"/>
        <v>45598</v>
      </c>
      <c r="AE241">
        <f t="shared" ca="1" si="33"/>
        <v>0</v>
      </c>
      <c r="AG241" s="63">
        <f t="shared" ca="1" si="37"/>
        <v>8.1123026806692913</v>
      </c>
      <c r="AH241" s="63">
        <f t="shared" ca="1" si="38"/>
        <v>8.1123026806692913</v>
      </c>
      <c r="AI241" s="3">
        <f t="shared" ca="1" si="39"/>
        <v>0</v>
      </c>
    </row>
    <row r="242" spans="7:35">
      <c r="G242" s="3">
        <f t="shared" ca="1" si="34"/>
        <v>263</v>
      </c>
      <c r="H242" s="95">
        <f t="shared" ca="1" si="36"/>
        <v>45553</v>
      </c>
      <c r="I242" s="119">
        <f ca="1">HLOOKUP($H$4,'Met Data'!$A$2:$F$368,G242,FALSE)</f>
        <v>10.504166666666601</v>
      </c>
      <c r="J242" s="119">
        <f ca="1">HLOOKUP($H$4,'Met Data'!$H$2:$M$368,G242,FALSE)*L242</f>
        <v>8.7333333333333307</v>
      </c>
      <c r="K242" s="96">
        <f ca="1">HLOOKUP($H$4,'Met Data'!$O$2:$T$368,G242,FALSE)</f>
        <v>1.9387559167362001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45599</v>
      </c>
      <c r="Q242">
        <f ca="1"/>
        <v>9.5444608950395669</v>
      </c>
      <c r="R242">
        <f ca="1"/>
        <v>0</v>
      </c>
      <c r="S242">
        <f ca="1"/>
        <v>0.50333522210951287</v>
      </c>
      <c r="T242">
        <f ca="1"/>
        <v>0.92882299226076359</v>
      </c>
      <c r="U242">
        <f ca="1"/>
        <v>0</v>
      </c>
      <c r="V242">
        <f ca="1"/>
        <v>0</v>
      </c>
      <c r="W242">
        <f ca="1"/>
        <v>0</v>
      </c>
      <c r="X242">
        <f ca="1"/>
        <v>0</v>
      </c>
      <c r="Y242">
        <f ca="1"/>
        <v>0.92338339285036053</v>
      </c>
      <c r="Z242">
        <f ca="1"/>
        <v>0</v>
      </c>
      <c r="AA242">
        <f ca="1"/>
        <v>0</v>
      </c>
      <c r="AB242">
        <f ca="1"/>
        <v>0.99999022471648402</v>
      </c>
      <c r="AD242" s="2">
        <f t="shared" ca="1" si="32"/>
        <v>45599</v>
      </c>
      <c r="AE242">
        <f t="shared" ca="1" si="33"/>
        <v>0</v>
      </c>
      <c r="AG242" s="63">
        <f t="shared" ca="1" si="37"/>
        <v>9.5444608950395669</v>
      </c>
      <c r="AH242" s="63">
        <f t="shared" ca="1" si="38"/>
        <v>9.5444608950395669</v>
      </c>
      <c r="AI242" s="3">
        <f t="shared" ca="1" si="39"/>
        <v>0</v>
      </c>
    </row>
    <row r="243" spans="7:35">
      <c r="G243" s="3">
        <f t="shared" ca="1" si="34"/>
        <v>264</v>
      </c>
      <c r="H243" s="95">
        <f t="shared" ca="1" si="36"/>
        <v>45554</v>
      </c>
      <c r="I243" s="119">
        <f ca="1">HLOOKUP($H$4,'Met Data'!$A$2:$F$368,G243,FALSE)</f>
        <v>10.387499999999999</v>
      </c>
      <c r="J243" s="119">
        <f ca="1">HLOOKUP($H$4,'Met Data'!$H$2:$M$368,G243,FALSE)*L243</f>
        <v>3.85</v>
      </c>
      <c r="K243" s="96">
        <f ca="1">HLOOKUP($H$4,'Met Data'!$O$2:$T$368,G243,FALSE)</f>
        <v>2.0861830094945102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45600</v>
      </c>
      <c r="Q243">
        <f ca="1"/>
        <v>10.83795425772724</v>
      </c>
      <c r="R243">
        <f ca="1"/>
        <v>0</v>
      </c>
      <c r="S243">
        <f ca="1"/>
        <v>0.45475785967819604</v>
      </c>
      <c r="T243">
        <f ca="1"/>
        <v>0.83873550300947819</v>
      </c>
      <c r="U243">
        <f ca="1"/>
        <v>0</v>
      </c>
      <c r="V243">
        <f ca="1"/>
        <v>0</v>
      </c>
      <c r="W243">
        <f ca="1"/>
        <v>0</v>
      </c>
      <c r="X243">
        <f ca="1"/>
        <v>0</v>
      </c>
      <c r="Y243">
        <f ca="1"/>
        <v>0.88115711171895528</v>
      </c>
      <c r="Z243">
        <f ca="1"/>
        <v>0</v>
      </c>
      <c r="AA243">
        <f ca="1"/>
        <v>0</v>
      </c>
      <c r="AB243">
        <f ca="1"/>
        <v>0.99999226792223772</v>
      </c>
      <c r="AD243" s="2">
        <f t="shared" ca="1" si="32"/>
        <v>45600</v>
      </c>
      <c r="AE243">
        <f t="shared" ca="1" si="33"/>
        <v>0</v>
      </c>
      <c r="AG243" s="63">
        <f t="shared" ca="1" si="37"/>
        <v>10.83795425772724</v>
      </c>
      <c r="AH243" s="63">
        <f t="shared" ca="1" si="38"/>
        <v>10.83795425772724</v>
      </c>
      <c r="AI243" s="3">
        <f t="shared" ca="1" si="39"/>
        <v>0</v>
      </c>
    </row>
    <row r="244" spans="7:35">
      <c r="G244" s="3">
        <f t="shared" ca="1" si="34"/>
        <v>265</v>
      </c>
      <c r="H244" s="95">
        <f t="shared" ca="1" si="36"/>
        <v>45555</v>
      </c>
      <c r="I244" s="119">
        <f ca="1">HLOOKUP($H$4,'Met Data'!$A$2:$F$368,G244,FALSE)</f>
        <v>9.85</v>
      </c>
      <c r="J244" s="119">
        <f ca="1">HLOOKUP($H$4,'Met Data'!$H$2:$M$368,G244,FALSE)*L244</f>
        <v>1.7999999999999901</v>
      </c>
      <c r="K244" s="96">
        <f ca="1">HLOOKUP($H$4,'Met Data'!$O$2:$T$368,G244,FALSE)</f>
        <v>2.1398164486974101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45601</v>
      </c>
      <c r="Q244">
        <f ca="1"/>
        <v>12.029263946127156</v>
      </c>
      <c r="R244">
        <f ca="1"/>
        <v>0</v>
      </c>
      <c r="S244">
        <f ca="1"/>
        <v>0.41880596716313789</v>
      </c>
      <c r="T244">
        <f ca="1"/>
        <v>0.77250372123677702</v>
      </c>
      <c r="U244">
        <f ca="1"/>
        <v>0</v>
      </c>
      <c r="V244">
        <f ca="1"/>
        <v>0</v>
      </c>
      <c r="W244">
        <f ca="1"/>
        <v>0</v>
      </c>
      <c r="X244">
        <f ca="1"/>
        <v>0</v>
      </c>
      <c r="Y244">
        <f ca="1"/>
        <v>0.82886852833073754</v>
      </c>
      <c r="Z244">
        <f ca="1"/>
        <v>0</v>
      </c>
      <c r="AA244">
        <f ca="1"/>
        <v>0</v>
      </c>
      <c r="AB244">
        <f ca="1"/>
        <v>0.99999386559918768</v>
      </c>
      <c r="AD244" s="2">
        <f t="shared" ca="1" si="32"/>
        <v>45601</v>
      </c>
      <c r="AE244">
        <f t="shared" ca="1" si="33"/>
        <v>0</v>
      </c>
      <c r="AG244" s="63">
        <f t="shared" ca="1" si="37"/>
        <v>12.029263946127156</v>
      </c>
      <c r="AH244" s="63">
        <f t="shared" ca="1" si="38"/>
        <v>12.029263946127156</v>
      </c>
      <c r="AI244" s="3">
        <f t="shared" ca="1" si="39"/>
        <v>0</v>
      </c>
    </row>
    <row r="245" spans="7:35">
      <c r="G245" s="3">
        <f t="shared" ca="1" si="34"/>
        <v>266</v>
      </c>
      <c r="H245" s="95">
        <f t="shared" ca="1" si="36"/>
        <v>45556</v>
      </c>
      <c r="I245" s="119">
        <f ca="1">HLOOKUP($H$4,'Met Data'!$A$2:$F$368,G245,FALSE)</f>
        <v>10.158333333333299</v>
      </c>
      <c r="J245" s="119">
        <f ca="1">HLOOKUP($H$4,'Met Data'!$H$2:$M$368,G245,FALSE)*L245</f>
        <v>3.93333333333333</v>
      </c>
      <c r="K245" s="96">
        <f ca="1">HLOOKUP($H$4,'Met Data'!$O$2:$T$368,G245,FALSE)</f>
        <v>2.31412085445224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45602</v>
      </c>
      <c r="Q245">
        <f ca="1"/>
        <v>13.217673761166029</v>
      </c>
      <c r="R245">
        <f ca="1"/>
        <v>0</v>
      </c>
      <c r="S245">
        <f ca="1"/>
        <v>0.41762650218011288</v>
      </c>
      <c r="T245">
        <f ca="1"/>
        <v>0.77078331285876123</v>
      </c>
      <c r="U245">
        <f ca="1"/>
        <v>0</v>
      </c>
      <c r="V245">
        <f ca="1"/>
        <v>0</v>
      </c>
      <c r="W245">
        <f ca="1"/>
        <v>0</v>
      </c>
      <c r="X245">
        <f ca="1"/>
        <v>0</v>
      </c>
      <c r="Y245">
        <f ca="1"/>
        <v>0.80881008982139191</v>
      </c>
      <c r="Z245">
        <f ca="1"/>
        <v>0</v>
      </c>
      <c r="AA245">
        <f ca="1"/>
        <v>0</v>
      </c>
      <c r="AB245">
        <f ca="1"/>
        <v>0.99999515633652791</v>
      </c>
      <c r="AD245" s="2">
        <f t="shared" ca="1" si="32"/>
        <v>45602</v>
      </c>
      <c r="AE245">
        <f t="shared" ca="1" si="33"/>
        <v>0</v>
      </c>
      <c r="AG245" s="63">
        <f t="shared" ca="1" si="37"/>
        <v>13.217673761166029</v>
      </c>
      <c r="AH245" s="63">
        <f t="shared" ca="1" si="38"/>
        <v>13.217673761166029</v>
      </c>
      <c r="AI245" s="3">
        <f t="shared" ca="1" si="39"/>
        <v>0</v>
      </c>
    </row>
    <row r="246" spans="7:35">
      <c r="G246" s="3">
        <f t="shared" ca="1" si="34"/>
        <v>267</v>
      </c>
      <c r="H246" s="95">
        <f t="shared" ca="1" si="36"/>
        <v>45557</v>
      </c>
      <c r="I246" s="119">
        <f ca="1">HLOOKUP($H$4,'Met Data'!$A$2:$F$368,G246,FALSE)</f>
        <v>10.9625</v>
      </c>
      <c r="J246" s="119">
        <f ca="1">HLOOKUP($H$4,'Met Data'!$H$2:$M$368,G246,FALSE)*L246</f>
        <v>1.86666666666666</v>
      </c>
      <c r="K246" s="96">
        <f ca="1">HLOOKUP($H$4,'Met Data'!$O$2:$T$368,G246,FALSE)</f>
        <v>2.2059606634486699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45603</v>
      </c>
      <c r="Q246">
        <f ca="1"/>
        <v>14.446476013640559</v>
      </c>
      <c r="R246">
        <f ca="1"/>
        <v>0</v>
      </c>
      <c r="S246">
        <f ca="1"/>
        <v>0.43152125791006313</v>
      </c>
      <c r="T246">
        <f ca="1"/>
        <v>0.79728099456446722</v>
      </c>
      <c r="U246">
        <f ca="1"/>
        <v>0</v>
      </c>
      <c r="V246">
        <f ca="1"/>
        <v>0</v>
      </c>
      <c r="W246">
        <f ca="1"/>
        <v>0</v>
      </c>
      <c r="X246">
        <f ca="1"/>
        <v>0</v>
      </c>
      <c r="Y246">
        <f ca="1"/>
        <v>0.80453165032973095</v>
      </c>
      <c r="Z246">
        <f ca="1"/>
        <v>0</v>
      </c>
      <c r="AA246">
        <f ca="1"/>
        <v>0</v>
      </c>
      <c r="AB246">
        <f ca="1"/>
        <v>0.99999620595387306</v>
      </c>
      <c r="AD246" s="2">
        <f t="shared" ca="1" si="32"/>
        <v>45603</v>
      </c>
      <c r="AE246">
        <f t="shared" ca="1" si="33"/>
        <v>0</v>
      </c>
      <c r="AG246" s="63">
        <f t="shared" ca="1" si="37"/>
        <v>14.446476013640559</v>
      </c>
      <c r="AH246" s="63">
        <f t="shared" ca="1" si="38"/>
        <v>14.446476013640559</v>
      </c>
      <c r="AI246" s="3">
        <f t="shared" ca="1" si="39"/>
        <v>0</v>
      </c>
    </row>
    <row r="247" spans="7:35">
      <c r="G247" s="3">
        <f t="shared" ca="1" si="34"/>
        <v>268</v>
      </c>
      <c r="H247" s="95">
        <f t="shared" ca="1" si="36"/>
        <v>45558</v>
      </c>
      <c r="I247" s="119">
        <f ca="1">HLOOKUP($H$4,'Met Data'!$A$2:$F$368,G247,FALSE)</f>
        <v>11.6458333333333</v>
      </c>
      <c r="J247" s="119">
        <f ca="1">HLOOKUP($H$4,'Met Data'!$H$2:$M$368,G247,FALSE)*L247</f>
        <v>5.5166666666666604</v>
      </c>
      <c r="K247" s="96">
        <f ca="1">HLOOKUP($H$4,'Met Data'!$O$2:$T$368,G247,FALSE)</f>
        <v>1.6755097599300399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45604</v>
      </c>
      <c r="Q247">
        <f ca="1"/>
        <v>15.702602538226412</v>
      </c>
      <c r="R247">
        <f ca="1"/>
        <v>0</v>
      </c>
      <c r="S247">
        <f ca="1"/>
        <v>0.44066759601449235</v>
      </c>
      <c r="T247">
        <f ca="1"/>
        <v>0.81545892857135993</v>
      </c>
      <c r="U247">
        <f ca="1"/>
        <v>0</v>
      </c>
      <c r="V247">
        <f ca="1"/>
        <v>0</v>
      </c>
      <c r="W247">
        <f ca="1"/>
        <v>0</v>
      </c>
      <c r="X247">
        <f ca="1"/>
        <v>0</v>
      </c>
      <c r="Y247">
        <f ca="1"/>
        <v>0.80294223803077869</v>
      </c>
      <c r="Z247">
        <f ca="1"/>
        <v>0</v>
      </c>
      <c r="AA247">
        <f ca="1"/>
        <v>0</v>
      </c>
      <c r="AB247">
        <f ca="1"/>
        <v>0.99999704312738713</v>
      </c>
      <c r="AD247" s="2">
        <f t="shared" ca="1" si="32"/>
        <v>45604</v>
      </c>
      <c r="AE247">
        <f t="shared" ca="1" si="33"/>
        <v>0</v>
      </c>
      <c r="AG247" s="63">
        <f t="shared" ca="1" si="37"/>
        <v>15.702602538226412</v>
      </c>
      <c r="AH247" s="63">
        <f t="shared" ca="1" si="38"/>
        <v>15.702602538226412</v>
      </c>
      <c r="AI247" s="3">
        <f t="shared" ca="1" si="39"/>
        <v>0</v>
      </c>
    </row>
    <row r="248" spans="7:35">
      <c r="G248" s="3">
        <f t="shared" ca="1" si="34"/>
        <v>269</v>
      </c>
      <c r="H248" s="95">
        <f t="shared" ca="1" si="36"/>
        <v>45559</v>
      </c>
      <c r="I248" s="119">
        <f ca="1">HLOOKUP($H$4,'Met Data'!$A$2:$F$368,G248,FALSE)</f>
        <v>12.112500000000001</v>
      </c>
      <c r="J248" s="119">
        <f ca="1">HLOOKUP($H$4,'Met Data'!$H$2:$M$368,G248,FALSE)*L248</f>
        <v>1.56666666666666</v>
      </c>
      <c r="K248" s="96">
        <f ca="1">HLOOKUP($H$4,'Met Data'!$O$2:$T$368,G248,FALSE)</f>
        <v>2.1669648664524801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45605</v>
      </c>
      <c r="Q248">
        <f ca="1"/>
        <v>16.888381628264817</v>
      </c>
      <c r="R248">
        <f ca="1"/>
        <v>0</v>
      </c>
      <c r="S248">
        <f ca="1"/>
        <v>0.41545351708602141</v>
      </c>
      <c r="T248">
        <f ca="1"/>
        <v>0.77032557295238469</v>
      </c>
      <c r="U248">
        <f ca="1"/>
        <v>0</v>
      </c>
      <c r="V248">
        <f ca="1"/>
        <v>0</v>
      </c>
      <c r="W248">
        <f ca="1"/>
        <v>0</v>
      </c>
      <c r="X248">
        <f ca="1"/>
        <v>0</v>
      </c>
      <c r="Y248">
        <f ca="1"/>
        <v>0.79167020098583385</v>
      </c>
      <c r="Z248">
        <f ca="1"/>
        <v>0</v>
      </c>
      <c r="AA248">
        <f ca="1"/>
        <v>0</v>
      </c>
      <c r="AB248">
        <f ca="1"/>
        <v>0.9999976755384653</v>
      </c>
      <c r="AD248" s="2">
        <f t="shared" ca="1" si="32"/>
        <v>45605</v>
      </c>
      <c r="AE248">
        <f t="shared" ca="1" si="33"/>
        <v>0</v>
      </c>
      <c r="AG248" s="63">
        <f t="shared" ca="1" si="37"/>
        <v>16.888381628264817</v>
      </c>
      <c r="AH248" s="63">
        <f t="shared" ca="1" si="38"/>
        <v>16.888381628264817</v>
      </c>
      <c r="AI248" s="3">
        <f t="shared" ca="1" si="39"/>
        <v>0</v>
      </c>
    </row>
    <row r="249" spans="7:35">
      <c r="G249" s="3">
        <f t="shared" ca="1" si="34"/>
        <v>270</v>
      </c>
      <c r="H249" s="95">
        <f t="shared" ca="1" si="36"/>
        <v>45560</v>
      </c>
      <c r="I249" s="119">
        <f ca="1">HLOOKUP($H$4,'Met Data'!$A$2:$F$368,G249,FALSE)</f>
        <v>11.6875</v>
      </c>
      <c r="J249" s="119">
        <f ca="1">HLOOKUP($H$4,'Met Data'!$H$2:$M$368,G249,FALSE)*L249</f>
        <v>1.0833333333333299</v>
      </c>
      <c r="K249" s="96">
        <f ca="1">HLOOKUP($H$4,'Met Data'!$O$2:$T$368,G249,FALSE)</f>
        <v>2.2423317945335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45606</v>
      </c>
      <c r="Q249">
        <f ca="1"/>
        <v>18.128560096749634</v>
      </c>
      <c r="R249">
        <f ca="1"/>
        <v>0</v>
      </c>
      <c r="S249">
        <f ca="1"/>
        <v>0.43383927376132192</v>
      </c>
      <c r="T249">
        <f ca="1"/>
        <v>0.8063391947234948</v>
      </c>
      <c r="U249">
        <f ca="1"/>
        <v>0</v>
      </c>
      <c r="V249">
        <f ca="1"/>
        <v>0</v>
      </c>
      <c r="W249">
        <f ca="1"/>
        <v>0</v>
      </c>
      <c r="X249">
        <f ca="1"/>
        <v>0</v>
      </c>
      <c r="Y249">
        <f ca="1"/>
        <v>0.81156318825382168</v>
      </c>
      <c r="Z249">
        <f ca="1"/>
        <v>0</v>
      </c>
      <c r="AA249">
        <f ca="1"/>
        <v>0</v>
      </c>
      <c r="AB249">
        <f ca="1"/>
        <v>0.99999818004942309</v>
      </c>
      <c r="AD249" s="2">
        <f t="shared" ca="1" si="32"/>
        <v>45606</v>
      </c>
      <c r="AE249">
        <f t="shared" ca="1" si="33"/>
        <v>0</v>
      </c>
      <c r="AG249" s="63">
        <f t="shared" ca="1" si="37"/>
        <v>18.128560096749634</v>
      </c>
      <c r="AH249" s="63">
        <f t="shared" ca="1" si="38"/>
        <v>18.128560096749634</v>
      </c>
      <c r="AI249" s="3">
        <f t="shared" ca="1" si="39"/>
        <v>0</v>
      </c>
    </row>
    <row r="250" spans="7:35">
      <c r="G250" s="3">
        <f t="shared" ca="1" si="34"/>
        <v>271</v>
      </c>
      <c r="H250" s="95">
        <f t="shared" ca="1" si="36"/>
        <v>45561</v>
      </c>
      <c r="I250" s="119">
        <f ca="1">HLOOKUP($H$4,'Met Data'!$A$2:$F$368,G250,FALSE)</f>
        <v>12.0541666666666</v>
      </c>
      <c r="J250" s="119">
        <f ca="1">HLOOKUP($H$4,'Met Data'!$H$2:$M$368,G250,FALSE)*L250</f>
        <v>1.05</v>
      </c>
      <c r="K250" s="96">
        <f ca="1">HLOOKUP($H$4,'Met Data'!$O$2:$T$368,G250,FALSE)</f>
        <v>2.4484809787012698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45607</v>
      </c>
      <c r="Q250">
        <f ca="1"/>
        <v>19.285520200832583</v>
      </c>
      <c r="R250">
        <f ca="1"/>
        <v>0</v>
      </c>
      <c r="S250">
        <f ca="1"/>
        <v>0.40400586677360195</v>
      </c>
      <c r="T250">
        <f ca="1"/>
        <v>0.7529542373093463</v>
      </c>
      <c r="U250">
        <f ca="1"/>
        <v>0</v>
      </c>
      <c r="V250">
        <f ca="1"/>
        <v>0</v>
      </c>
      <c r="W250">
        <f ca="1"/>
        <v>0</v>
      </c>
      <c r="X250">
        <f ca="1"/>
        <v>0</v>
      </c>
      <c r="Y250">
        <f ca="1"/>
        <v>0.81474704461018077</v>
      </c>
      <c r="Z250">
        <f ca="1"/>
        <v>0</v>
      </c>
      <c r="AA250">
        <f ca="1"/>
        <v>0</v>
      </c>
      <c r="AB250">
        <f ca="1"/>
        <v>0.99999855399644344</v>
      </c>
      <c r="AD250" s="2">
        <f t="shared" ca="1" si="32"/>
        <v>45607</v>
      </c>
      <c r="AE250">
        <f t="shared" ca="1" si="33"/>
        <v>0</v>
      </c>
      <c r="AG250" s="63">
        <f t="shared" ca="1" si="37"/>
        <v>19.285520200832583</v>
      </c>
      <c r="AH250" s="63">
        <f t="shared" ca="1" si="38"/>
        <v>19.285520200832583</v>
      </c>
      <c r="AI250" s="3">
        <f t="shared" ca="1" si="39"/>
        <v>0</v>
      </c>
    </row>
    <row r="251" spans="7:35">
      <c r="G251" s="3">
        <f t="shared" ca="1" si="34"/>
        <v>272</v>
      </c>
      <c r="H251" s="95">
        <f t="shared" ca="1" si="36"/>
        <v>45562</v>
      </c>
      <c r="I251" s="119">
        <f ca="1">HLOOKUP($H$4,'Met Data'!$A$2:$F$368,G251,FALSE)</f>
        <v>12.3291666666666</v>
      </c>
      <c r="J251" s="119">
        <f ca="1">HLOOKUP($H$4,'Met Data'!$H$2:$M$368,G251,FALSE)*L251</f>
        <v>5.1499999999999897</v>
      </c>
      <c r="K251" s="96">
        <f ca="1">HLOOKUP($H$4,'Met Data'!$O$2:$T$368,G251,FALSE)</f>
        <v>2.13295390564413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45608</v>
      </c>
      <c r="Q251">
        <f ca="1"/>
        <v>20.335766513477122</v>
      </c>
      <c r="R251">
        <f ca="1"/>
        <v>0</v>
      </c>
      <c r="S251">
        <f ca="1"/>
        <v>0.36606072897923525</v>
      </c>
      <c r="T251">
        <f ca="1"/>
        <v>0.68418558366530358</v>
      </c>
      <c r="U251">
        <f ca="1"/>
        <v>0</v>
      </c>
      <c r="V251">
        <f ca="1"/>
        <v>0</v>
      </c>
      <c r="W251">
        <f ca="1"/>
        <v>0</v>
      </c>
      <c r="X251">
        <f ca="1"/>
        <v>0</v>
      </c>
      <c r="Y251">
        <f ca="1"/>
        <v>0.77636336865396705</v>
      </c>
      <c r="Z251">
        <f ca="1"/>
        <v>0</v>
      </c>
      <c r="AA251">
        <f ca="1"/>
        <v>0</v>
      </c>
      <c r="AB251">
        <f ca="1"/>
        <v>0.99999884069359646</v>
      </c>
      <c r="AD251" s="2">
        <f t="shared" ca="1" si="32"/>
        <v>45608</v>
      </c>
      <c r="AE251">
        <f t="shared" ca="1" si="33"/>
        <v>0</v>
      </c>
      <c r="AG251" s="63">
        <f t="shared" ca="1" si="37"/>
        <v>20.335766513477122</v>
      </c>
      <c r="AH251" s="63">
        <f t="shared" ca="1" si="38"/>
        <v>20.335766513477122</v>
      </c>
      <c r="AI251" s="3">
        <f t="shared" ca="1" si="39"/>
        <v>0</v>
      </c>
    </row>
    <row r="252" spans="7:35">
      <c r="G252" s="3">
        <f t="shared" ca="1" si="34"/>
        <v>273</v>
      </c>
      <c r="H252" s="95">
        <f t="shared" ca="1" si="36"/>
        <v>45563</v>
      </c>
      <c r="I252" s="119">
        <f ca="1">HLOOKUP($H$4,'Met Data'!$A$2:$F$368,G252,FALSE)</f>
        <v>12.65</v>
      </c>
      <c r="J252" s="119">
        <f ca="1">HLOOKUP($H$4,'Met Data'!$H$2:$M$368,G252,FALSE)*L252</f>
        <v>2.15</v>
      </c>
      <c r="K252" s="96">
        <f ca="1">HLOOKUP($H$4,'Met Data'!$O$2:$T$368,G252,FALSE)</f>
        <v>2.3067555107961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45609</v>
      </c>
      <c r="Q252">
        <f ca="1"/>
        <v>21.338714384138651</v>
      </c>
      <c r="R252">
        <f ca="1"/>
        <v>0</v>
      </c>
      <c r="S252">
        <f ca="1"/>
        <v>0.34890825202036524</v>
      </c>
      <c r="T252">
        <f ca="1"/>
        <v>0.65403961864116533</v>
      </c>
      <c r="U252">
        <f ca="1"/>
        <v>0</v>
      </c>
      <c r="V252">
        <f ca="1"/>
        <v>0</v>
      </c>
      <c r="W252">
        <f ca="1"/>
        <v>0</v>
      </c>
      <c r="X252">
        <f ca="1"/>
        <v>0</v>
      </c>
      <c r="Y252">
        <f ca="1"/>
        <v>0.73924715101750349</v>
      </c>
      <c r="Z252">
        <f ca="1"/>
        <v>0</v>
      </c>
      <c r="AA252">
        <f ca="1"/>
        <v>0</v>
      </c>
      <c r="AB252">
        <f ca="1"/>
        <v>0.99999907122941112</v>
      </c>
      <c r="AD252" s="2">
        <f t="shared" ca="1" si="32"/>
        <v>45609</v>
      </c>
      <c r="AE252">
        <f t="shared" ca="1" si="33"/>
        <v>0</v>
      </c>
      <c r="AG252" s="63">
        <f t="shared" ca="1" si="37"/>
        <v>21.338714384138651</v>
      </c>
      <c r="AH252" s="63">
        <f t="shared" ca="1" si="38"/>
        <v>21.338714384138651</v>
      </c>
      <c r="AI252" s="3">
        <f t="shared" ca="1" si="39"/>
        <v>0</v>
      </c>
    </row>
    <row r="253" spans="7:35">
      <c r="G253" s="3">
        <f t="shared" ca="1" si="34"/>
        <v>274</v>
      </c>
      <c r="H253" s="95">
        <f t="shared" ca="1" si="36"/>
        <v>45564</v>
      </c>
      <c r="I253" s="119">
        <f ca="1">HLOOKUP($H$4,'Met Data'!$A$2:$F$368,G253,FALSE)</f>
        <v>12.5208333333333</v>
      </c>
      <c r="J253" s="119">
        <f ca="1">HLOOKUP($H$4,'Met Data'!$H$2:$M$368,G253,FALSE)*L253</f>
        <v>5.61666666666666</v>
      </c>
      <c r="K253" s="96">
        <f ca="1">HLOOKUP($H$4,'Met Data'!$O$2:$T$368,G253,FALSE)</f>
        <v>2.4465918649770302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45610</v>
      </c>
      <c r="Q253">
        <f ca="1"/>
        <v>22.386315857127212</v>
      </c>
      <c r="R253">
        <f ca="1"/>
        <v>0</v>
      </c>
      <c r="S253">
        <f ca="1"/>
        <v>0.36368715316915257</v>
      </c>
      <c r="T253">
        <f ca="1"/>
        <v>0.68391431981940853</v>
      </c>
      <c r="U253">
        <f ca="1"/>
        <v>0</v>
      </c>
      <c r="V253">
        <f ca="1"/>
        <v>0</v>
      </c>
      <c r="W253">
        <f ca="1"/>
        <v>0</v>
      </c>
      <c r="X253">
        <f ca="1"/>
        <v>0</v>
      </c>
      <c r="Y253">
        <f ca="1"/>
        <v>0.71473423736955777</v>
      </c>
      <c r="Z253">
        <f ca="1"/>
        <v>0</v>
      </c>
      <c r="AA253">
        <f ca="1"/>
        <v>0</v>
      </c>
      <c r="AB253">
        <f ca="1"/>
        <v>0.99999926724414179</v>
      </c>
      <c r="AD253" s="2">
        <f t="shared" ca="1" si="32"/>
        <v>45610</v>
      </c>
      <c r="AE253">
        <f t="shared" ca="1" si="33"/>
        <v>0</v>
      </c>
      <c r="AG253" s="63">
        <f t="shared" ca="1" si="37"/>
        <v>22.386315857127212</v>
      </c>
      <c r="AH253" s="63">
        <f t="shared" ca="1" si="38"/>
        <v>22.386315857127212</v>
      </c>
      <c r="AI253" s="3">
        <f t="shared" ca="1" si="39"/>
        <v>0</v>
      </c>
    </row>
    <row r="254" spans="7:35">
      <c r="G254" s="3">
        <f t="shared" ca="1" si="34"/>
        <v>275</v>
      </c>
      <c r="H254" s="95">
        <f t="shared" ca="1" si="36"/>
        <v>45565</v>
      </c>
      <c r="I254" s="119">
        <f ca="1">HLOOKUP($H$4,'Met Data'!$A$2:$F$368,G254,FALSE)</f>
        <v>11.65</v>
      </c>
      <c r="J254" s="119">
        <f ca="1">HLOOKUP($H$4,'Met Data'!$H$2:$M$368,G254,FALSE)*L254</f>
        <v>2.35</v>
      </c>
      <c r="K254" s="96">
        <f ca="1">HLOOKUP($H$4,'Met Data'!$O$2:$T$368,G254,FALSE)</f>
        <v>2.46735033441291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45611</v>
      </c>
      <c r="Q254">
        <f ca="1"/>
        <v>23.606898437214312</v>
      </c>
      <c r="R254">
        <f ca="1"/>
        <v>0</v>
      </c>
      <c r="S254">
        <f ca="1"/>
        <v>0.42268788479671571</v>
      </c>
      <c r="T254">
        <f ca="1"/>
        <v>0.79789469529038304</v>
      </c>
      <c r="U254">
        <f ca="1"/>
        <v>0</v>
      </c>
      <c r="V254">
        <f ca="1"/>
        <v>0</v>
      </c>
      <c r="W254">
        <f ca="1"/>
        <v>0</v>
      </c>
      <c r="X254">
        <f ca="1"/>
        <v>0</v>
      </c>
      <c r="Y254">
        <f ca="1"/>
        <v>0.74848662280377243</v>
      </c>
      <c r="Z254">
        <f ca="1"/>
        <v>0</v>
      </c>
      <c r="AA254">
        <f ca="1"/>
        <v>0</v>
      </c>
      <c r="AB254">
        <f ca="1"/>
        <v>0.99999943480756726</v>
      </c>
      <c r="AD254" s="2">
        <f t="shared" ca="1" si="32"/>
        <v>45611</v>
      </c>
      <c r="AE254">
        <f t="shared" ca="1" si="33"/>
        <v>0</v>
      </c>
      <c r="AG254" s="63">
        <f t="shared" ca="1" si="37"/>
        <v>23.606898437214312</v>
      </c>
      <c r="AH254" s="63">
        <f t="shared" ca="1" si="38"/>
        <v>23.606898437214312</v>
      </c>
      <c r="AI254" s="3">
        <f t="shared" ca="1" si="39"/>
        <v>0</v>
      </c>
    </row>
    <row r="255" spans="7:35">
      <c r="G255" s="3">
        <f t="shared" ca="1" si="34"/>
        <v>276</v>
      </c>
      <c r="H255" s="95">
        <f t="shared" ca="1" si="36"/>
        <v>45566</v>
      </c>
      <c r="I255" s="119">
        <f ca="1">HLOOKUP($H$4,'Met Data'!$A$2:$F$368,G255,FALSE)</f>
        <v>12.0166666666666</v>
      </c>
      <c r="J255" s="119">
        <f ca="1">HLOOKUP($H$4,'Met Data'!$H$2:$M$368,G255,FALSE)*L255</f>
        <v>2.2833333333333301</v>
      </c>
      <c r="K255" s="96">
        <f ca="1">HLOOKUP($H$4,'Met Data'!$O$2:$T$368,G255,FALSE)</f>
        <v>2.1199025888480301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45612</v>
      </c>
      <c r="Q255">
        <f ca="1"/>
        <v>24.922639805441499</v>
      </c>
      <c r="R255">
        <f ca="1"/>
        <v>0</v>
      </c>
      <c r="S255">
        <f ca="1"/>
        <v>0.45427438959521282</v>
      </c>
      <c r="T255">
        <f ca="1"/>
        <v>0.86146697863197297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0.79424027193134084</v>
      </c>
      <c r="Z255">
        <f ca="1"/>
        <v>0</v>
      </c>
      <c r="AA255">
        <f ca="1"/>
        <v>0</v>
      </c>
      <c r="AB255">
        <f ca="1"/>
        <v>0.99999956558587355</v>
      </c>
      <c r="AD255" s="2">
        <f t="shared" ca="1" si="32"/>
        <v>45612</v>
      </c>
      <c r="AE255">
        <f t="shared" ca="1" si="33"/>
        <v>0</v>
      </c>
      <c r="AG255" s="63">
        <f t="shared" ca="1" si="37"/>
        <v>24.922639805441499</v>
      </c>
      <c r="AH255" s="63">
        <f t="shared" ca="1" si="38"/>
        <v>24.922639805441499</v>
      </c>
      <c r="AI255" s="3">
        <f t="shared" ca="1" si="39"/>
        <v>0</v>
      </c>
    </row>
    <row r="256" spans="7:35">
      <c r="G256" s="3">
        <f t="shared" ca="1" si="34"/>
        <v>277</v>
      </c>
      <c r="H256" s="95">
        <f t="shared" ca="1" si="36"/>
        <v>45567</v>
      </c>
      <c r="I256" s="119">
        <f ca="1">HLOOKUP($H$4,'Met Data'!$A$2:$F$368,G256,FALSE)</f>
        <v>12.941666666666601</v>
      </c>
      <c r="J256" s="119">
        <f ca="1">HLOOKUP($H$4,'Met Data'!$H$2:$M$368,G256,FALSE)*L256</f>
        <v>4.2666666666666604</v>
      </c>
      <c r="K256" s="96">
        <f ca="1">HLOOKUP($H$4,'Met Data'!$O$2:$T$368,G256,FALSE)</f>
        <v>2.6275875550097898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45613</v>
      </c>
      <c r="Q256">
        <f ca="1"/>
        <v>26.270864610615781</v>
      </c>
      <c r="R256">
        <f ca="1"/>
        <v>0</v>
      </c>
      <c r="S256">
        <f ca="1"/>
        <v>0.4639074065547959</v>
      </c>
      <c r="T256">
        <f ca="1"/>
        <v>0.88431739861948544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0.84642259234791961</v>
      </c>
      <c r="Z256">
        <f ca="1"/>
        <v>0</v>
      </c>
      <c r="AA256">
        <f ca="1"/>
        <v>0</v>
      </c>
      <c r="AB256">
        <f ca="1"/>
        <v>0.99999966317585298</v>
      </c>
      <c r="AD256" s="2">
        <f t="shared" ca="1" si="32"/>
        <v>45613</v>
      </c>
      <c r="AE256">
        <f t="shared" ca="1" si="33"/>
        <v>0</v>
      </c>
      <c r="AG256" s="63">
        <f t="shared" ca="1" si="37"/>
        <v>26.270864610615781</v>
      </c>
      <c r="AH256" s="63">
        <f t="shared" ca="1" si="38"/>
        <v>26.270864610615781</v>
      </c>
      <c r="AI256" s="3">
        <f t="shared" ca="1" si="39"/>
        <v>0</v>
      </c>
    </row>
    <row r="257" spans="7:35">
      <c r="G257" s="3">
        <f t="shared" ca="1" si="34"/>
        <v>278</v>
      </c>
      <c r="H257" s="95">
        <f t="shared" ca="1" si="36"/>
        <v>45568</v>
      </c>
      <c r="I257" s="119">
        <f ca="1">HLOOKUP($H$4,'Met Data'!$A$2:$F$368,G257,FALSE)</f>
        <v>11.95</v>
      </c>
      <c r="J257" s="119">
        <f ca="1">HLOOKUP($H$4,'Met Data'!$H$2:$M$368,G257,FALSE)*L257</f>
        <v>1.13333333333333</v>
      </c>
      <c r="K257" s="96">
        <f ca="1">HLOOKUP($H$4,'Met Data'!$O$2:$T$368,G257,FALSE)</f>
        <v>2.2251605523882798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45614</v>
      </c>
      <c r="Q257">
        <f ca="1"/>
        <v>27.481246665673424</v>
      </c>
      <c r="R257">
        <f ca="1"/>
        <v>0</v>
      </c>
      <c r="S257">
        <f ca="1"/>
        <v>0.41502169083679519</v>
      </c>
      <c r="T257">
        <f ca="1"/>
        <v>0.79536036422084844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0.79800976607153185</v>
      </c>
      <c r="Z257">
        <f ca="1"/>
        <v>0</v>
      </c>
      <c r="AA257">
        <f ca="1"/>
        <v>0</v>
      </c>
      <c r="AB257">
        <f ca="1"/>
        <v>0.99999973649444851</v>
      </c>
      <c r="AD257" s="2">
        <f t="shared" ca="1" si="32"/>
        <v>45614</v>
      </c>
      <c r="AE257">
        <f t="shared" ca="1" si="33"/>
        <v>0</v>
      </c>
      <c r="AG257" s="63">
        <f t="shared" ca="1" si="37"/>
        <v>27.481246665673424</v>
      </c>
      <c r="AH257" s="63">
        <f t="shared" ca="1" si="38"/>
        <v>27.481246665673424</v>
      </c>
      <c r="AI257" s="3">
        <f t="shared" ca="1" si="39"/>
        <v>0</v>
      </c>
    </row>
    <row r="258" spans="7:35">
      <c r="G258" s="3">
        <f t="shared" ca="1" si="34"/>
        <v>279</v>
      </c>
      <c r="H258" s="95">
        <f t="shared" ca="1" si="36"/>
        <v>45569</v>
      </c>
      <c r="I258" s="119">
        <f ca="1">HLOOKUP($H$4,'Met Data'!$A$2:$F$368,G258,FALSE)</f>
        <v>11.8958333333333</v>
      </c>
      <c r="J258" s="119">
        <f ca="1">HLOOKUP($H$4,'Met Data'!$H$2:$M$368,G258,FALSE)*L258</f>
        <v>2.0666666666666602</v>
      </c>
      <c r="K258" s="96">
        <f ca="1">HLOOKUP($H$4,'Met Data'!$O$2:$T$368,G258,FALSE)</f>
        <v>2.2142725820580198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45615</v>
      </c>
      <c r="Q258">
        <f ca="1"/>
        <v>28.681931244015818</v>
      </c>
      <c r="R258">
        <f ca="1"/>
        <v>0</v>
      </c>
      <c r="S258">
        <f ca="1"/>
        <v>0.4102562832716643</v>
      </c>
      <c r="T258">
        <f ca="1"/>
        <v>0.79042829507073031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0.78151331376083932</v>
      </c>
      <c r="Z258">
        <f ca="1"/>
        <v>0</v>
      </c>
      <c r="AA258">
        <f ca="1"/>
        <v>0</v>
      </c>
      <c r="AB258">
        <f ca="1"/>
        <v>0.99999979450265952</v>
      </c>
      <c r="AD258" s="2">
        <f t="shared" ca="1" si="32"/>
        <v>45615</v>
      </c>
      <c r="AE258">
        <f t="shared" ca="1" si="33"/>
        <v>0</v>
      </c>
      <c r="AG258" s="63">
        <f t="shared" ca="1" si="37"/>
        <v>28.681931244015818</v>
      </c>
      <c r="AH258" s="63">
        <f t="shared" ca="1" si="38"/>
        <v>28.681931244015818</v>
      </c>
      <c r="AI258" s="3">
        <f t="shared" ca="1" si="39"/>
        <v>0</v>
      </c>
    </row>
    <row r="259" spans="7:35">
      <c r="G259" s="3">
        <f t="shared" ca="1" si="34"/>
        <v>280</v>
      </c>
      <c r="H259" s="95">
        <f t="shared" ca="1" si="36"/>
        <v>45570</v>
      </c>
      <c r="I259" s="119">
        <f ca="1">HLOOKUP($H$4,'Met Data'!$A$2:$F$368,G259,FALSE)</f>
        <v>11.8333333333333</v>
      </c>
      <c r="J259" s="119">
        <f ca="1">HLOOKUP($H$4,'Met Data'!$H$2:$M$368,G259,FALSE)*L259</f>
        <v>1.43333333333333</v>
      </c>
      <c r="K259" s="96">
        <f ca="1">HLOOKUP($H$4,'Met Data'!$O$2:$T$368,G259,FALSE)</f>
        <v>2.5217662070296001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45616</v>
      </c>
      <c r="Q259">
        <f ca="1"/>
        <v>29.836580724598715</v>
      </c>
      <c r="R259">
        <f ca="1"/>
        <v>0</v>
      </c>
      <c r="S259">
        <f ca="1"/>
        <v>0.39310570600416384</v>
      </c>
      <c r="T259">
        <f ca="1"/>
        <v>0.76154377457873157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0.74802861085430539</v>
      </c>
      <c r="Z259">
        <f ca="1"/>
        <v>0</v>
      </c>
      <c r="AA259">
        <f ca="1"/>
        <v>0</v>
      </c>
      <c r="AB259">
        <f ca="1"/>
        <v>0.99999983996416486</v>
      </c>
      <c r="AD259" s="2">
        <f t="shared" ca="1" si="32"/>
        <v>45616</v>
      </c>
      <c r="AE259">
        <f t="shared" ca="1" si="33"/>
        <v>0</v>
      </c>
      <c r="AG259" s="63">
        <f t="shared" ca="1" si="37"/>
        <v>29.836580724598715</v>
      </c>
      <c r="AH259" s="63">
        <f t="shared" ca="1" si="38"/>
        <v>29.836580724598715</v>
      </c>
      <c r="AI259" s="3">
        <f t="shared" ca="1" si="39"/>
        <v>0</v>
      </c>
    </row>
    <row r="260" spans="7:35">
      <c r="G260" s="3">
        <f t="shared" ca="1" si="34"/>
        <v>281</v>
      </c>
      <c r="H260" s="95">
        <f t="shared" ca="1" si="36"/>
        <v>45571</v>
      </c>
      <c r="I260" s="119">
        <f ca="1">HLOOKUP($H$4,'Met Data'!$A$2:$F$368,G260,FALSE)</f>
        <v>12.133333333333301</v>
      </c>
      <c r="J260" s="119">
        <f ca="1">HLOOKUP($H$4,'Met Data'!$H$2:$M$368,G260,FALSE)*L260</f>
        <v>1.5</v>
      </c>
      <c r="K260" s="96">
        <f ca="1">HLOOKUP($H$4,'Met Data'!$O$2:$T$368,G260,FALSE)</f>
        <v>2.4929362431341402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45617</v>
      </c>
      <c r="Q260">
        <f ca="1"/>
        <v>30.942685488138512</v>
      </c>
      <c r="R260">
        <f ca="1"/>
        <v>0</v>
      </c>
      <c r="S260">
        <f ca="1"/>
        <v>0.375213352342044</v>
      </c>
      <c r="T260">
        <f ca="1"/>
        <v>0.73089141119775147</v>
      </c>
      <c r="U260">
        <f ca="1"/>
        <v>0</v>
      </c>
      <c r="V260">
        <f ca="1"/>
        <v>0</v>
      </c>
      <c r="W260">
        <f ca="1"/>
        <v>0</v>
      </c>
      <c r="X260">
        <f ca="1"/>
        <v>0</v>
      </c>
      <c r="Y260">
        <f ca="1"/>
        <v>0.71104763379787161</v>
      </c>
      <c r="Z260">
        <f ca="1"/>
        <v>0</v>
      </c>
      <c r="AA260">
        <f ca="1"/>
        <v>0</v>
      </c>
      <c r="AB260">
        <f ca="1"/>
        <v>0.99999987556937409</v>
      </c>
      <c r="AD260" s="2">
        <f t="shared" ca="1" si="32"/>
        <v>45617</v>
      </c>
      <c r="AE260">
        <f t="shared" ca="1" si="33"/>
        <v>0</v>
      </c>
      <c r="AG260" s="63">
        <f t="shared" ca="1" si="37"/>
        <v>30.942685488138512</v>
      </c>
      <c r="AH260" s="63">
        <f t="shared" ca="1" si="38"/>
        <v>30.942685488138512</v>
      </c>
      <c r="AI260" s="3">
        <f t="shared" ca="1" si="39"/>
        <v>0</v>
      </c>
    </row>
    <row r="261" spans="7:35">
      <c r="G261" s="3">
        <f t="shared" ca="1" si="34"/>
        <v>282</v>
      </c>
      <c r="H261" s="95">
        <f t="shared" ca="1" si="36"/>
        <v>45572</v>
      </c>
      <c r="I261" s="119">
        <f ca="1">HLOOKUP($H$4,'Met Data'!$A$2:$F$368,G261,FALSE)</f>
        <v>11.8708333333333</v>
      </c>
      <c r="J261" s="119">
        <f ca="1">HLOOKUP($H$4,'Met Data'!$H$2:$M$368,G261,FALSE)*L261</f>
        <v>4.18333333333333</v>
      </c>
      <c r="K261" s="96">
        <f ca="1">HLOOKUP($H$4,'Met Data'!$O$2:$T$368,G261,FALSE)</f>
        <v>2.0932595279969002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45618</v>
      </c>
      <c r="Q261">
        <f ca="1"/>
        <v>32.002465394131441</v>
      </c>
      <c r="R261">
        <f ca="1"/>
        <v>0</v>
      </c>
      <c r="S261">
        <f ca="1"/>
        <v>0.35819638416506905</v>
      </c>
      <c r="T261">
        <f ca="1"/>
        <v>0.70158352182786166</v>
      </c>
      <c r="U261">
        <f ca="1"/>
        <v>0</v>
      </c>
      <c r="V261">
        <f ca="1"/>
        <v>0</v>
      </c>
      <c r="W261">
        <f ca="1"/>
        <v>0</v>
      </c>
      <c r="X261">
        <f ca="1"/>
        <v>0</v>
      </c>
      <c r="Y261">
        <f ca="1"/>
        <v>0.6439552111975525</v>
      </c>
      <c r="Z261">
        <f ca="1"/>
        <v>0</v>
      </c>
      <c r="AA261">
        <f ca="1"/>
        <v>0</v>
      </c>
      <c r="AB261">
        <f ca="1"/>
        <v>0.99999990422762919</v>
      </c>
      <c r="AD261" s="2">
        <f t="shared" ca="1" si="32"/>
        <v>45618</v>
      </c>
      <c r="AE261">
        <f t="shared" ca="1" si="33"/>
        <v>0</v>
      </c>
      <c r="AG261" s="63">
        <f t="shared" ca="1" si="37"/>
        <v>32.002465394131441</v>
      </c>
      <c r="AH261" s="63">
        <f t="shared" ca="1" si="38"/>
        <v>32.002465394131441</v>
      </c>
      <c r="AI261" s="3">
        <f t="shared" ca="1" si="39"/>
        <v>0</v>
      </c>
    </row>
    <row r="262" spans="7:35">
      <c r="G262" s="3">
        <f t="shared" ca="1" si="34"/>
        <v>283</v>
      </c>
      <c r="H262" s="95">
        <f t="shared" ca="1" si="36"/>
        <v>45573</v>
      </c>
      <c r="I262" s="119">
        <f ca="1">HLOOKUP($H$4,'Met Data'!$A$2:$F$368,G262,FALSE)</f>
        <v>11.529166666666599</v>
      </c>
      <c r="J262" s="119">
        <f ca="1">HLOOKUP($H$4,'Met Data'!$H$2:$M$368,G262,FALSE)*L262</f>
        <v>2.2166666666666601</v>
      </c>
      <c r="K262" s="96">
        <f ca="1">HLOOKUP($H$4,'Met Data'!$O$2:$T$368,G262,FALSE)</f>
        <v>2.3166472445358202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45619</v>
      </c>
      <c r="Q262">
        <f ca="1"/>
        <v>33.022287339212561</v>
      </c>
      <c r="R262">
        <f ca="1"/>
        <v>0</v>
      </c>
      <c r="S262">
        <f ca="1"/>
        <v>0.34344489856877658</v>
      </c>
      <c r="T262">
        <f ca="1"/>
        <v>0.67637704651234509</v>
      </c>
      <c r="U262">
        <f ca="1"/>
        <v>0</v>
      </c>
      <c r="V262">
        <f ca="1"/>
        <v>0</v>
      </c>
      <c r="W262">
        <f ca="1"/>
        <v>0</v>
      </c>
      <c r="X262">
        <f ca="1"/>
        <v>0</v>
      </c>
      <c r="Y262">
        <f ca="1"/>
        <v>0.61600949749565803</v>
      </c>
      <c r="Z262">
        <f ca="1"/>
        <v>0</v>
      </c>
      <c r="AA262">
        <f ca="1"/>
        <v>0</v>
      </c>
      <c r="AB262">
        <f ca="1"/>
        <v>0.99999992629627077</v>
      </c>
      <c r="AD262" s="2">
        <f t="shared" ref="AD262:AD325" ca="1" si="42">IFERROR(P262,$AD$4)</f>
        <v>45619</v>
      </c>
      <c r="AE262">
        <f t="shared" ref="AE262:AE325" ca="1" si="43">IFERROR(U262,0)</f>
        <v>0</v>
      </c>
      <c r="AG262" s="63">
        <f t="shared" ca="1" si="37"/>
        <v>33.022287339212561</v>
      </c>
      <c r="AH262" s="63">
        <f t="shared" ca="1" si="38"/>
        <v>33.022287339212561</v>
      </c>
      <c r="AI262" s="3">
        <f t="shared" ca="1" si="39"/>
        <v>0</v>
      </c>
    </row>
    <row r="263" spans="7:35">
      <c r="G263" s="3">
        <f t="shared" ref="G263:G326" ca="1" si="44">H263-DATE(YEAR(H263),1,0)+1</f>
        <v>284</v>
      </c>
      <c r="H263" s="95">
        <f t="shared" ca="1" si="36"/>
        <v>45574</v>
      </c>
      <c r="I263" s="119">
        <f ca="1">HLOOKUP($H$4,'Met Data'!$A$2:$F$368,G263,FALSE)</f>
        <v>11.316666666666601</v>
      </c>
      <c r="J263" s="119">
        <f ca="1">HLOOKUP($H$4,'Met Data'!$H$2:$M$368,G263,FALSE)*L263</f>
        <v>2.9833333333333298</v>
      </c>
      <c r="K263" s="96">
        <f ca="1">HLOOKUP($H$4,'Met Data'!$O$2:$T$368,G263,FALSE)</f>
        <v>2.57259273420483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45620</v>
      </c>
      <c r="Q263">
        <f ca="1"/>
        <v>34.087968243517807</v>
      </c>
      <c r="R263">
        <f ca="1"/>
        <v>0</v>
      </c>
      <c r="S263">
        <f ca="1"/>
        <v>0.35754055646422955</v>
      </c>
      <c r="T263">
        <f ca="1"/>
        <v>0.70814034784101954</v>
      </c>
      <c r="U263">
        <f ca="1"/>
        <v>0</v>
      </c>
      <c r="V263">
        <f ca="1"/>
        <v>0</v>
      </c>
      <c r="W263">
        <f ca="1"/>
        <v>0</v>
      </c>
      <c r="X263">
        <f ca="1"/>
        <v>0</v>
      </c>
      <c r="Y263">
        <f ca="1"/>
        <v>0.59282124701236705</v>
      </c>
      <c r="Z263">
        <f ca="1"/>
        <v>0</v>
      </c>
      <c r="AA263">
        <f ca="1"/>
        <v>0</v>
      </c>
      <c r="AB263">
        <f ca="1"/>
        <v>0.99999994420830984</v>
      </c>
      <c r="AD263" s="2">
        <f t="shared" ca="1" si="42"/>
        <v>45620</v>
      </c>
      <c r="AE263">
        <f t="shared" ca="1" si="43"/>
        <v>0</v>
      </c>
      <c r="AG263" s="63">
        <f t="shared" ca="1" si="37"/>
        <v>34.087968243517807</v>
      </c>
      <c r="AH263" s="63">
        <f t="shared" ca="1" si="38"/>
        <v>34.087968243517807</v>
      </c>
      <c r="AI263" s="3">
        <f t="shared" ca="1" si="39"/>
        <v>0</v>
      </c>
    </row>
    <row r="264" spans="7:35">
      <c r="G264" s="3">
        <f t="shared" ca="1" si="44"/>
        <v>285</v>
      </c>
      <c r="H264" s="95">
        <f t="shared" ref="H264:H327" ca="1" si="46">H263+1</f>
        <v>45575</v>
      </c>
      <c r="I264" s="119">
        <f ca="1">HLOOKUP($H$4,'Met Data'!$A$2:$F$368,G264,FALSE)</f>
        <v>12.466666666666599</v>
      </c>
      <c r="J264" s="119">
        <f ca="1">HLOOKUP($H$4,'Met Data'!$H$2:$M$368,G264,FALSE)*L264</f>
        <v>3.5333333333333301</v>
      </c>
      <c r="K264" s="96">
        <f ca="1">HLOOKUP($H$4,'Met Data'!$O$2:$T$368,G264,FALSE)</f>
        <v>2.44735536591925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45621</v>
      </c>
      <c r="Q264">
        <f ca="1"/>
        <v>35.236555292118695</v>
      </c>
      <c r="R264">
        <f ca="1"/>
        <v>0</v>
      </c>
      <c r="S264">
        <f ca="1"/>
        <v>0.38376477685409327</v>
      </c>
      <c r="T264">
        <f ca="1"/>
        <v>0.76482227174679396</v>
      </c>
      <c r="U264">
        <f ca="1"/>
        <v>0</v>
      </c>
      <c r="V264">
        <f ca="1"/>
        <v>0</v>
      </c>
      <c r="W264">
        <f ca="1"/>
        <v>0</v>
      </c>
      <c r="X264">
        <f ca="1"/>
        <v>0</v>
      </c>
      <c r="Y264">
        <f ca="1"/>
        <v>0.64248973808346888</v>
      </c>
      <c r="Z264">
        <f ca="1"/>
        <v>0</v>
      </c>
      <c r="AA264">
        <f ca="1"/>
        <v>0</v>
      </c>
      <c r="AB264">
        <f ca="1"/>
        <v>0.99999995786626528</v>
      </c>
      <c r="AD264" s="2">
        <f t="shared" ca="1" si="42"/>
        <v>45621</v>
      </c>
      <c r="AE264">
        <f t="shared" ca="1" si="43"/>
        <v>0</v>
      </c>
      <c r="AG264" s="63">
        <f t="shared" ca="1" si="37"/>
        <v>35.236555292118695</v>
      </c>
      <c r="AH264" s="63">
        <f t="shared" ca="1" si="38"/>
        <v>35.236555292118695</v>
      </c>
      <c r="AI264" s="3">
        <f t="shared" ca="1" si="39"/>
        <v>0</v>
      </c>
    </row>
    <row r="265" spans="7:35">
      <c r="G265" s="3">
        <f t="shared" ca="1" si="44"/>
        <v>286</v>
      </c>
      <c r="H265" s="95">
        <f t="shared" ca="1" si="46"/>
        <v>45576</v>
      </c>
      <c r="I265" s="119">
        <f ca="1">HLOOKUP($H$4,'Met Data'!$A$2:$F$368,G265,FALSE)</f>
        <v>12.566666666666601</v>
      </c>
      <c r="J265" s="119">
        <f ca="1">HLOOKUP($H$4,'Met Data'!$H$2:$M$368,G265,FALSE)*L265</f>
        <v>1.88333333333333</v>
      </c>
      <c r="K265" s="96">
        <f ca="1">HLOOKUP($H$4,'Met Data'!$O$2:$T$368,G265,FALSE)</f>
        <v>2.6706436990123898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45622</v>
      </c>
      <c r="Q265">
        <f ca="1"/>
        <v>36.364939881606347</v>
      </c>
      <c r="R265">
        <f ca="1"/>
        <v>0</v>
      </c>
      <c r="S265">
        <f ca="1"/>
        <v>0.37535859369224056</v>
      </c>
      <c r="T265">
        <f ca="1"/>
        <v>0.75302599579541096</v>
      </c>
      <c r="U265">
        <f ca="1"/>
        <v>0</v>
      </c>
      <c r="V265">
        <f ca="1"/>
        <v>0</v>
      </c>
      <c r="W265">
        <f ca="1"/>
        <v>0</v>
      </c>
      <c r="X265">
        <f ca="1"/>
        <v>0</v>
      </c>
      <c r="Y265">
        <f ca="1"/>
        <v>0.61086957568564459</v>
      </c>
      <c r="Z265">
        <f ca="1"/>
        <v>0</v>
      </c>
      <c r="AA265">
        <f ca="1"/>
        <v>0</v>
      </c>
      <c r="AB265">
        <f ca="1"/>
        <v>0.99999996836692906</v>
      </c>
      <c r="AD265" s="2">
        <f t="shared" ca="1" si="42"/>
        <v>45622</v>
      </c>
      <c r="AE265">
        <f t="shared" ca="1" si="43"/>
        <v>0</v>
      </c>
      <c r="AG265" s="63">
        <f t="shared" ca="1" si="37"/>
        <v>36.364939881606347</v>
      </c>
      <c r="AH265" s="63">
        <f t="shared" ca="1" si="38"/>
        <v>36.364939881606347</v>
      </c>
      <c r="AI265" s="3">
        <f t="shared" ca="1" si="39"/>
        <v>0</v>
      </c>
    </row>
    <row r="266" spans="7:35">
      <c r="G266" s="3">
        <f t="shared" ca="1" si="44"/>
        <v>287</v>
      </c>
      <c r="H266" s="95">
        <f t="shared" ca="1" si="46"/>
        <v>45577</v>
      </c>
      <c r="I266" s="119">
        <f ca="1">HLOOKUP($H$4,'Met Data'!$A$2:$F$368,G266,FALSE)</f>
        <v>12.133333333333301</v>
      </c>
      <c r="J266" s="119">
        <f ca="1">HLOOKUP($H$4,'Met Data'!$H$2:$M$368,G266,FALSE)*L266</f>
        <v>2.6666666666666599</v>
      </c>
      <c r="K266" s="96">
        <f ca="1">HLOOKUP($H$4,'Met Data'!$O$2:$T$368,G266,FALSE)</f>
        <v>1.9257972512671799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45623</v>
      </c>
      <c r="Q266">
        <f ca="1"/>
        <v>37.599812893016768</v>
      </c>
      <c r="R266">
        <f ca="1"/>
        <v>0</v>
      </c>
      <c r="S266">
        <f ca="1"/>
        <v>0.40884487329321928</v>
      </c>
      <c r="T266">
        <f ca="1"/>
        <v>0.82602813811720321</v>
      </c>
      <c r="U266">
        <f ca="1"/>
        <v>0</v>
      </c>
      <c r="V266">
        <f ca="1"/>
        <v>0</v>
      </c>
      <c r="W266">
        <f ca="1"/>
        <v>0</v>
      </c>
      <c r="X266">
        <f ca="1"/>
        <v>0</v>
      </c>
      <c r="Y266">
        <f ca="1"/>
        <v>0.69278316092666836</v>
      </c>
      <c r="Z266">
        <f ca="1"/>
        <v>0</v>
      </c>
      <c r="AA266">
        <f ca="1"/>
        <v>0</v>
      </c>
      <c r="AB266">
        <f ca="1"/>
        <v>0.99999997616331238</v>
      </c>
      <c r="AD266" s="2">
        <f t="shared" ca="1" si="42"/>
        <v>45623</v>
      </c>
      <c r="AE266">
        <f t="shared" ca="1" si="43"/>
        <v>0</v>
      </c>
      <c r="AG266" s="63">
        <f t="shared" ca="1" si="37"/>
        <v>37.599812893016768</v>
      </c>
      <c r="AH266" s="63">
        <f t="shared" ca="1" si="38"/>
        <v>37.599812893016768</v>
      </c>
      <c r="AI266" s="3">
        <f t="shared" ca="1" si="39"/>
        <v>0</v>
      </c>
    </row>
    <row r="267" spans="7:35">
      <c r="G267" s="3">
        <f t="shared" ca="1" si="44"/>
        <v>288</v>
      </c>
      <c r="H267" s="95">
        <f t="shared" ca="1" si="46"/>
        <v>45578</v>
      </c>
      <c r="I267" s="119">
        <f ca="1">HLOOKUP($H$4,'Met Data'!$A$2:$F$368,G267,FALSE)</f>
        <v>12.762499999999999</v>
      </c>
      <c r="J267" s="119">
        <f ca="1">HLOOKUP($H$4,'Met Data'!$H$2:$M$368,G267,FALSE)*L267</f>
        <v>3.6333333333333302</v>
      </c>
      <c r="K267" s="96">
        <f ca="1">HLOOKUP($H$4,'Met Data'!$O$2:$T$368,G267,FALSE)</f>
        <v>2.2182002807721002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45624</v>
      </c>
      <c r="Q267">
        <f ca="1"/>
        <v>38.649379892196613</v>
      </c>
      <c r="R267">
        <f ca="1"/>
        <v>0</v>
      </c>
      <c r="S267">
        <f ca="1"/>
        <v>0.34585846028429046</v>
      </c>
      <c r="T267">
        <f ca="1"/>
        <v>0.70370853889555207</v>
      </c>
      <c r="U267">
        <f ca="1"/>
        <v>0</v>
      </c>
      <c r="V267">
        <f ca="1"/>
        <v>0</v>
      </c>
      <c r="W267">
        <f ca="1"/>
        <v>0</v>
      </c>
      <c r="X267">
        <f ca="1"/>
        <v>0</v>
      </c>
      <c r="Y267">
        <f ca="1"/>
        <v>0.6358505228676713</v>
      </c>
      <c r="Z267">
        <f ca="1"/>
        <v>0</v>
      </c>
      <c r="AA267">
        <f ca="1"/>
        <v>0</v>
      </c>
      <c r="AB267">
        <f ca="1"/>
        <v>0.99999998170702564</v>
      </c>
      <c r="AD267" s="2">
        <f t="shared" ca="1" si="42"/>
        <v>45624</v>
      </c>
      <c r="AE267">
        <f t="shared" ca="1" si="43"/>
        <v>0</v>
      </c>
      <c r="AG267" s="63">
        <f t="shared" ref="AG267:AG330" ca="1" si="47">Q266+S267+T267+U267</f>
        <v>38.649379892196613</v>
      </c>
      <c r="AH267" s="63">
        <f t="shared" ref="AH267:AH330" ca="1" si="48">Q267+R267+X267</f>
        <v>38.649379892196613</v>
      </c>
      <c r="AI267" s="3">
        <f t="shared" ref="AI267:AI330" ca="1" si="49">AH267-AG267</f>
        <v>0</v>
      </c>
    </row>
    <row r="268" spans="7:35">
      <c r="G268" s="3">
        <f t="shared" ca="1" si="44"/>
        <v>289</v>
      </c>
      <c r="H268" s="95">
        <f t="shared" ca="1" si="46"/>
        <v>45579</v>
      </c>
      <c r="I268" s="119">
        <f ca="1">HLOOKUP($H$4,'Met Data'!$A$2:$F$368,G268,FALSE)</f>
        <v>12.675000000000001</v>
      </c>
      <c r="J268" s="119">
        <f ca="1">HLOOKUP($H$4,'Met Data'!$H$2:$M$368,G268,FALSE)*L268</f>
        <v>4.2166666666666597</v>
      </c>
      <c r="K268" s="96">
        <f ca="1">HLOOKUP($H$4,'Met Data'!$O$2:$T$368,G268,FALSE)</f>
        <v>2.3809243707544998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45625</v>
      </c>
      <c r="Q268">
        <f ca="1"/>
        <v>39.844893011423792</v>
      </c>
      <c r="R268">
        <f ca="1"/>
        <v>0</v>
      </c>
      <c r="S268">
        <f ca="1"/>
        <v>0.39207368406185594</v>
      </c>
      <c r="T268">
        <f ca="1"/>
        <v>0.8034394351653239</v>
      </c>
      <c r="U268">
        <f ca="1"/>
        <v>0</v>
      </c>
      <c r="V268">
        <f ca="1"/>
        <v>0</v>
      </c>
      <c r="W268">
        <f ca="1"/>
        <v>0</v>
      </c>
      <c r="X268">
        <f ca="1"/>
        <v>0</v>
      </c>
      <c r="Y268">
        <f ca="1"/>
        <v>0.6691790502169771</v>
      </c>
      <c r="Z268">
        <f ca="1"/>
        <v>0</v>
      </c>
      <c r="AA268">
        <f ca="1"/>
        <v>0</v>
      </c>
      <c r="AB268">
        <f ca="1"/>
        <v>0.99999998622668818</v>
      </c>
      <c r="AD268" s="2">
        <f t="shared" ca="1" si="42"/>
        <v>45625</v>
      </c>
      <c r="AE268">
        <f t="shared" ca="1" si="43"/>
        <v>0</v>
      </c>
      <c r="AG268" s="63">
        <f t="shared" ca="1" si="47"/>
        <v>39.844893011423792</v>
      </c>
      <c r="AH268" s="63">
        <f t="shared" ca="1" si="48"/>
        <v>39.844893011423792</v>
      </c>
      <c r="AI268" s="3">
        <f t="shared" ca="1" si="49"/>
        <v>0</v>
      </c>
    </row>
    <row r="269" spans="7:35">
      <c r="G269" s="3">
        <f t="shared" ca="1" si="44"/>
        <v>290</v>
      </c>
      <c r="H269" s="95">
        <f t="shared" ca="1" si="46"/>
        <v>45580</v>
      </c>
      <c r="I269" s="119">
        <f ca="1">HLOOKUP($H$4,'Met Data'!$A$2:$F$368,G269,FALSE)</f>
        <v>12.3041666666666</v>
      </c>
      <c r="J269" s="119">
        <f ca="1">HLOOKUP($H$4,'Met Data'!$H$2:$M$368,G269,FALSE)*L269</f>
        <v>1.4666666666666599</v>
      </c>
      <c r="K269" s="96">
        <f ca="1">HLOOKUP($H$4,'Met Data'!$O$2:$T$368,G269,FALSE)</f>
        <v>2.7800377367024298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45626</v>
      </c>
      <c r="Q269">
        <f ca="1"/>
        <v>41.120687823752483</v>
      </c>
      <c r="R269">
        <f ca="1"/>
        <v>0</v>
      </c>
      <c r="S269">
        <f ca="1"/>
        <v>0.41614227064005149</v>
      </c>
      <c r="T269">
        <f ca="1"/>
        <v>0.85965254168864236</v>
      </c>
      <c r="U269">
        <f ca="1"/>
        <v>0</v>
      </c>
      <c r="V269">
        <f ca="1"/>
        <v>0</v>
      </c>
      <c r="W269">
        <f ca="1"/>
        <v>0</v>
      </c>
      <c r="X269">
        <f ca="1"/>
        <v>0</v>
      </c>
      <c r="Y269">
        <f ca="1"/>
        <v>0.73401230609968648</v>
      </c>
      <c r="Z269">
        <f ca="1"/>
        <v>0</v>
      </c>
      <c r="AA269">
        <f ca="1"/>
        <v>0</v>
      </c>
      <c r="AB269">
        <f ca="1"/>
        <v>0.99999998958774261</v>
      </c>
      <c r="AD269" s="2">
        <f t="shared" ca="1" si="42"/>
        <v>45626</v>
      </c>
      <c r="AE269">
        <f t="shared" ca="1" si="43"/>
        <v>0</v>
      </c>
      <c r="AG269" s="63">
        <f t="shared" ca="1" si="47"/>
        <v>41.120687823752483</v>
      </c>
      <c r="AH269" s="63">
        <f t="shared" ca="1" si="48"/>
        <v>41.120687823752483</v>
      </c>
      <c r="AI269" s="3">
        <f t="shared" ca="1" si="49"/>
        <v>0</v>
      </c>
    </row>
    <row r="270" spans="7:35">
      <c r="G270" s="3">
        <f t="shared" ca="1" si="44"/>
        <v>291</v>
      </c>
      <c r="H270" s="95">
        <f t="shared" ca="1" si="46"/>
        <v>45581</v>
      </c>
      <c r="I270" s="119">
        <f ca="1">HLOOKUP($H$4,'Met Data'!$A$2:$F$368,G270,FALSE)</f>
        <v>12.987499999999899</v>
      </c>
      <c r="J270" s="119">
        <f ca="1">HLOOKUP($H$4,'Met Data'!$H$2:$M$368,G270,FALSE)*L270</f>
        <v>2.75</v>
      </c>
      <c r="K270" s="96">
        <f ca="1">HLOOKUP($H$4,'Met Data'!$O$2:$T$368,G270,FALSE)</f>
        <v>2.65151934906442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45627</v>
      </c>
      <c r="Q270">
        <f ca="1"/>
        <v>42.3339245965009</v>
      </c>
      <c r="R270">
        <f ca="1"/>
        <v>0</v>
      </c>
      <c r="S270">
        <f ca="1"/>
        <v>0.39351956210096262</v>
      </c>
      <c r="T270">
        <f ca="1"/>
        <v>0.81971721064745195</v>
      </c>
      <c r="U270">
        <f ca="1"/>
        <v>0</v>
      </c>
      <c r="V270">
        <f ca="1"/>
        <v>0</v>
      </c>
      <c r="W270">
        <f ca="1"/>
        <v>0</v>
      </c>
      <c r="X270">
        <f ca="1"/>
        <v>0</v>
      </c>
      <c r="Y270">
        <f ca="1"/>
        <v>0.68250170441771074</v>
      </c>
      <c r="Z270">
        <f ca="1"/>
        <v>0</v>
      </c>
      <c r="AA270">
        <f ca="1"/>
        <v>0</v>
      </c>
      <c r="AB270">
        <f ca="1"/>
        <v>0.99999999216433422</v>
      </c>
      <c r="AD270" s="2">
        <f t="shared" ca="1" si="42"/>
        <v>45627</v>
      </c>
      <c r="AE270">
        <f t="shared" ca="1" si="43"/>
        <v>0</v>
      </c>
      <c r="AG270" s="63">
        <f t="shared" ca="1" si="47"/>
        <v>42.3339245965009</v>
      </c>
      <c r="AH270" s="63">
        <f t="shared" ca="1" si="48"/>
        <v>42.3339245965009</v>
      </c>
      <c r="AI270" s="3">
        <f t="shared" ca="1" si="49"/>
        <v>0</v>
      </c>
    </row>
    <row r="271" spans="7:35">
      <c r="G271" s="3">
        <f t="shared" ca="1" si="44"/>
        <v>292</v>
      </c>
      <c r="H271" s="95">
        <f t="shared" ca="1" si="46"/>
        <v>45582</v>
      </c>
      <c r="I271" s="119">
        <f ca="1">HLOOKUP($H$4,'Met Data'!$A$2:$F$368,G271,FALSE)</f>
        <v>12.7416666666666</v>
      </c>
      <c r="J271" s="119">
        <f ca="1">HLOOKUP($H$4,'Met Data'!$H$2:$M$368,G271,FALSE)*L271</f>
        <v>3.0666666666666602</v>
      </c>
      <c r="K271" s="96">
        <f ca="1">HLOOKUP($H$4,'Met Data'!$O$2:$T$368,G271,FALSE)</f>
        <v>2.2346438003254501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45628</v>
      </c>
      <c r="Q271">
        <f ca="1"/>
        <v>43.50386447930024</v>
      </c>
      <c r="R271">
        <f ca="1"/>
        <v>0</v>
      </c>
      <c r="S271">
        <f ca="1"/>
        <v>0.37738225948628212</v>
      </c>
      <c r="T271">
        <f ca="1"/>
        <v>0.79255762331305524</v>
      </c>
      <c r="U271">
        <f ca="1"/>
        <v>0</v>
      </c>
      <c r="V271">
        <f ca="1"/>
        <v>0</v>
      </c>
      <c r="W271">
        <f ca="1"/>
        <v>0</v>
      </c>
      <c r="X271">
        <f ca="1"/>
        <v>0</v>
      </c>
      <c r="Y271">
        <f ca="1"/>
        <v>0.66219309605714161</v>
      </c>
      <c r="Z271">
        <f ca="1"/>
        <v>0</v>
      </c>
      <c r="AA271">
        <f ca="1"/>
        <v>0</v>
      </c>
      <c r="AB271">
        <f ca="1"/>
        <v>0.99999999409466978</v>
      </c>
      <c r="AD271" s="2">
        <f t="shared" ca="1" si="42"/>
        <v>45628</v>
      </c>
      <c r="AE271">
        <f t="shared" ca="1" si="43"/>
        <v>0</v>
      </c>
      <c r="AG271" s="63">
        <f t="shared" ca="1" si="47"/>
        <v>43.50386447930024</v>
      </c>
      <c r="AH271" s="63">
        <f t="shared" ca="1" si="48"/>
        <v>43.50386447930024</v>
      </c>
      <c r="AI271" s="3">
        <f t="shared" ca="1" si="49"/>
        <v>0</v>
      </c>
    </row>
    <row r="272" spans="7:35">
      <c r="G272" s="3">
        <f t="shared" ca="1" si="44"/>
        <v>293</v>
      </c>
      <c r="H272" s="95">
        <f t="shared" ca="1" si="46"/>
        <v>45583</v>
      </c>
      <c r="I272" s="119">
        <f ca="1">HLOOKUP($H$4,'Met Data'!$A$2:$F$368,G272,FALSE)</f>
        <v>12.154166666666599</v>
      </c>
      <c r="J272" s="119">
        <f ca="1">HLOOKUP($H$4,'Met Data'!$H$2:$M$368,G272,FALSE)*L272</f>
        <v>1.1000000000000001</v>
      </c>
      <c r="K272" s="96">
        <f ca="1">HLOOKUP($H$4,'Met Data'!$O$2:$T$368,G272,FALSE)</f>
        <v>2.9905003990183601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45629</v>
      </c>
      <c r="Q272">
        <f ca="1"/>
        <v>44.704547774111532</v>
      </c>
      <c r="R272">
        <f ca="1"/>
        <v>0</v>
      </c>
      <c r="S272">
        <f ca="1"/>
        <v>0.3851168924699806</v>
      </c>
      <c r="T272">
        <f ca="1"/>
        <v>0.81556640234131195</v>
      </c>
      <c r="U272">
        <f ca="1"/>
        <v>0</v>
      </c>
      <c r="V272">
        <f ca="1"/>
        <v>0</v>
      </c>
      <c r="W272">
        <f ca="1"/>
        <v>0</v>
      </c>
      <c r="X272">
        <f ca="1"/>
        <v>0</v>
      </c>
      <c r="Y272">
        <f ca="1"/>
        <v>0.65214662575033744</v>
      </c>
      <c r="Z272">
        <f ca="1"/>
        <v>0</v>
      </c>
      <c r="AA272">
        <f ca="1"/>
        <v>0</v>
      </c>
      <c r="AB272">
        <f ca="1"/>
        <v>0.9999999955907386</v>
      </c>
      <c r="AD272" s="2">
        <f t="shared" ca="1" si="42"/>
        <v>45629</v>
      </c>
      <c r="AE272">
        <f t="shared" ca="1" si="43"/>
        <v>0</v>
      </c>
      <c r="AG272" s="63">
        <f t="shared" ca="1" si="47"/>
        <v>44.704547774111532</v>
      </c>
      <c r="AH272" s="63">
        <f t="shared" ca="1" si="48"/>
        <v>44.704547774111532</v>
      </c>
      <c r="AI272" s="3">
        <f t="shared" ca="1" si="49"/>
        <v>0</v>
      </c>
    </row>
    <row r="273" spans="7:35">
      <c r="G273" s="3">
        <f t="shared" ca="1" si="44"/>
        <v>294</v>
      </c>
      <c r="H273" s="95">
        <f t="shared" ca="1" si="46"/>
        <v>45584</v>
      </c>
      <c r="I273" s="119">
        <f ca="1">HLOOKUP($H$4,'Met Data'!$A$2:$F$368,G273,FALSE)</f>
        <v>12.6666666666666</v>
      </c>
      <c r="J273" s="119">
        <f ca="1">HLOOKUP($H$4,'Met Data'!$H$2:$M$368,G273,FALSE)*L273</f>
        <v>1.13333333333333</v>
      </c>
      <c r="K273" s="96">
        <f ca="1">HLOOKUP($H$4,'Met Data'!$O$2:$T$368,G273,FALSE)</f>
        <v>2.7134262355768599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45630</v>
      </c>
      <c r="Q273">
        <f ca="1"/>
        <v>45.822804289348184</v>
      </c>
      <c r="R273">
        <f ca="1"/>
        <v>0</v>
      </c>
      <c r="S273">
        <f ca="1"/>
        <v>0.35665244707452359</v>
      </c>
      <c r="T273">
        <f ca="1"/>
        <v>0.76160406816212833</v>
      </c>
      <c r="U273">
        <f ca="1"/>
        <v>0</v>
      </c>
      <c r="V273">
        <f ca="1"/>
        <v>0</v>
      </c>
      <c r="W273">
        <f ca="1"/>
        <v>0</v>
      </c>
      <c r="X273">
        <f ca="1"/>
        <v>0</v>
      </c>
      <c r="Y273">
        <f ca="1"/>
        <v>0.609701687388993</v>
      </c>
      <c r="Z273">
        <f ca="1"/>
        <v>0</v>
      </c>
      <c r="AA273">
        <f ca="1"/>
        <v>0</v>
      </c>
      <c r="AB273">
        <f ca="1"/>
        <v>0.99999999669908313</v>
      </c>
      <c r="AD273" s="2">
        <f t="shared" ca="1" si="42"/>
        <v>45630</v>
      </c>
      <c r="AE273">
        <f t="shared" ca="1" si="43"/>
        <v>0</v>
      </c>
      <c r="AG273" s="63">
        <f t="shared" ca="1" si="47"/>
        <v>45.822804289348184</v>
      </c>
      <c r="AH273" s="63">
        <f t="shared" ca="1" si="48"/>
        <v>45.822804289348184</v>
      </c>
      <c r="AI273" s="3">
        <f t="shared" ca="1" si="49"/>
        <v>0</v>
      </c>
    </row>
    <row r="274" spans="7:35">
      <c r="G274" s="3">
        <f t="shared" ca="1" si="44"/>
        <v>295</v>
      </c>
      <c r="H274" s="95">
        <f t="shared" ca="1" si="46"/>
        <v>45585</v>
      </c>
      <c r="I274" s="119">
        <f ca="1">HLOOKUP($H$4,'Met Data'!$A$2:$F$368,G274,FALSE)</f>
        <v>12.4916666666666</v>
      </c>
      <c r="J274" s="119">
        <f ca="1">HLOOKUP($H$4,'Met Data'!$H$2:$M$368,G274,FALSE)*L274</f>
        <v>0.51666666666666605</v>
      </c>
      <c r="K274" s="96">
        <f ca="1">HLOOKUP($H$4,'Met Data'!$O$2:$T$368,G274,FALSE)</f>
        <v>2.2874725559703002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45631</v>
      </c>
      <c r="Q274">
        <f ca="1"/>
        <v>46.931990126230367</v>
      </c>
      <c r="R274">
        <f ca="1"/>
        <v>0</v>
      </c>
      <c r="S274">
        <f ca="1"/>
        <v>0.35179453650583525</v>
      </c>
      <c r="T274">
        <f ca="1"/>
        <v>0.75739130037634583</v>
      </c>
      <c r="U274">
        <f ca="1"/>
        <v>0</v>
      </c>
      <c r="V274">
        <f ca="1"/>
        <v>0</v>
      </c>
      <c r="W274">
        <f ca="1"/>
        <v>0</v>
      </c>
      <c r="X274">
        <f ca="1"/>
        <v>0</v>
      </c>
      <c r="Y274">
        <f ca="1"/>
        <v>0.60480355336317781</v>
      </c>
      <c r="Z274">
        <f ca="1"/>
        <v>0</v>
      </c>
      <c r="AA274">
        <f ca="1"/>
        <v>0</v>
      </c>
      <c r="AB274">
        <f ca="1"/>
        <v>0.99999999752936986</v>
      </c>
      <c r="AD274" s="2">
        <f t="shared" ca="1" si="42"/>
        <v>45631</v>
      </c>
      <c r="AE274">
        <f t="shared" ca="1" si="43"/>
        <v>0</v>
      </c>
      <c r="AG274" s="63">
        <f t="shared" ca="1" si="47"/>
        <v>46.931990126230367</v>
      </c>
      <c r="AH274" s="63">
        <f t="shared" ca="1" si="48"/>
        <v>46.931990126230367</v>
      </c>
      <c r="AI274" s="3">
        <f t="shared" ca="1" si="49"/>
        <v>0</v>
      </c>
    </row>
    <row r="275" spans="7:35">
      <c r="G275" s="3">
        <f t="shared" ca="1" si="44"/>
        <v>296</v>
      </c>
      <c r="H275" s="95">
        <f t="shared" ca="1" si="46"/>
        <v>45586</v>
      </c>
      <c r="I275" s="119">
        <f ca="1">HLOOKUP($H$4,'Met Data'!$A$2:$F$368,G275,FALSE)</f>
        <v>12.925000000000001</v>
      </c>
      <c r="J275" s="119">
        <f ca="1">HLOOKUP($H$4,'Met Data'!$H$2:$M$368,G275,FALSE)*L275</f>
        <v>3.7166666666666601</v>
      </c>
      <c r="K275" s="96">
        <f ca="1">HLOOKUP($H$4,'Met Data'!$O$2:$T$368,G275,FALSE)</f>
        <v>2.31884542682567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45632</v>
      </c>
      <c r="Q275">
        <f ca="1"/>
        <v>47.984409421768142</v>
      </c>
      <c r="R275">
        <f ca="1"/>
        <v>0</v>
      </c>
      <c r="S275">
        <f ca="1"/>
        <v>0.33195163411059525</v>
      </c>
      <c r="T275">
        <f ca="1"/>
        <v>0.72046766142717766</v>
      </c>
      <c r="U275">
        <f ca="1"/>
        <v>0</v>
      </c>
      <c r="V275">
        <f ca="1"/>
        <v>0</v>
      </c>
      <c r="W275">
        <f ca="1"/>
        <v>0</v>
      </c>
      <c r="X275">
        <f ca="1"/>
        <v>0</v>
      </c>
      <c r="Y275">
        <f ca="1"/>
        <v>0.60173060536274603</v>
      </c>
      <c r="Z275">
        <f ca="1"/>
        <v>0</v>
      </c>
      <c r="AA275">
        <f ca="1"/>
        <v>0</v>
      </c>
      <c r="AB275">
        <f ca="1"/>
        <v>0.99999999813199514</v>
      </c>
      <c r="AD275" s="2">
        <f t="shared" ca="1" si="42"/>
        <v>45632</v>
      </c>
      <c r="AE275">
        <f t="shared" ca="1" si="43"/>
        <v>0</v>
      </c>
      <c r="AG275" s="63">
        <f t="shared" ca="1" si="47"/>
        <v>47.984409421768142</v>
      </c>
      <c r="AH275" s="63">
        <f t="shared" ca="1" si="48"/>
        <v>47.984409421768142</v>
      </c>
      <c r="AI275" s="3">
        <f t="shared" ca="1" si="49"/>
        <v>0</v>
      </c>
    </row>
    <row r="276" spans="7:35">
      <c r="G276" s="3">
        <f t="shared" ca="1" si="44"/>
        <v>297</v>
      </c>
      <c r="H276" s="95">
        <f t="shared" ca="1" si="46"/>
        <v>45587</v>
      </c>
      <c r="I276" s="119">
        <f ca="1">HLOOKUP($H$4,'Met Data'!$A$2:$F$368,G276,FALSE)</f>
        <v>12.2291666666666</v>
      </c>
      <c r="J276" s="119">
        <f ca="1">HLOOKUP($H$4,'Met Data'!$H$2:$M$368,G276,FALSE)*L276</f>
        <v>2.8333333333333299</v>
      </c>
      <c r="K276" s="96">
        <f ca="1">HLOOKUP($H$4,'Met Data'!$O$2:$T$368,G276,FALSE)</f>
        <v>2.7150999093147798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45633</v>
      </c>
      <c r="Q276">
        <f ca="1"/>
        <v>49.064516397378497</v>
      </c>
      <c r="R276">
        <f ca="1"/>
        <v>0</v>
      </c>
      <c r="S276">
        <f ca="1"/>
        <v>0.33879497819917503</v>
      </c>
      <c r="T276">
        <f ca="1"/>
        <v>0.7413119974111807</v>
      </c>
      <c r="U276">
        <f ca="1"/>
        <v>0</v>
      </c>
      <c r="V276">
        <f ca="1"/>
        <v>0</v>
      </c>
      <c r="W276">
        <f ca="1"/>
        <v>0</v>
      </c>
      <c r="X276">
        <f ca="1"/>
        <v>0</v>
      </c>
      <c r="Y276">
        <f ca="1"/>
        <v>0.66093087032659792</v>
      </c>
      <c r="Z276">
        <f ca="1"/>
        <v>0</v>
      </c>
      <c r="AA276">
        <f ca="1"/>
        <v>0</v>
      </c>
      <c r="AB276">
        <f ca="1"/>
        <v>0.99999999857212551</v>
      </c>
      <c r="AD276" s="2">
        <f t="shared" ca="1" si="42"/>
        <v>45633</v>
      </c>
      <c r="AE276">
        <f t="shared" ca="1" si="43"/>
        <v>0</v>
      </c>
      <c r="AG276" s="63">
        <f t="shared" ca="1" si="47"/>
        <v>49.064516397378497</v>
      </c>
      <c r="AH276" s="63">
        <f t="shared" ca="1" si="48"/>
        <v>49.064516397378497</v>
      </c>
      <c r="AI276" s="3">
        <f t="shared" ca="1" si="49"/>
        <v>0</v>
      </c>
    </row>
    <row r="277" spans="7:35">
      <c r="G277" s="3">
        <f t="shared" ca="1" si="44"/>
        <v>298</v>
      </c>
      <c r="H277" s="95">
        <f t="shared" ca="1" si="46"/>
        <v>45588</v>
      </c>
      <c r="I277" s="119">
        <f ca="1">HLOOKUP($H$4,'Met Data'!$A$2:$F$368,G277,FALSE)</f>
        <v>12.2708333333333</v>
      </c>
      <c r="J277" s="119">
        <f ca="1">HLOOKUP($H$4,'Met Data'!$H$2:$M$368,G277,FALSE)*L277</f>
        <v>0.85</v>
      </c>
      <c r="K277" s="96">
        <f ca="1">HLOOKUP($H$4,'Met Data'!$O$2:$T$368,G277,FALSE)</f>
        <v>2.95103134032406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45634</v>
      </c>
      <c r="Q277">
        <f ca="1"/>
        <v>50.151563360840143</v>
      </c>
      <c r="R277">
        <f ca="1"/>
        <v>0</v>
      </c>
      <c r="S277">
        <f ca="1"/>
        <v>0.33901122812936535</v>
      </c>
      <c r="T277">
        <f ca="1"/>
        <v>0.74803573533227763</v>
      </c>
      <c r="U277">
        <f ca="1"/>
        <v>0</v>
      </c>
      <c r="V277">
        <f ca="1"/>
        <v>0</v>
      </c>
      <c r="W277">
        <f ca="1"/>
        <v>0</v>
      </c>
      <c r="X277">
        <f ca="1"/>
        <v>0</v>
      </c>
      <c r="Y277">
        <f ca="1"/>
        <v>0.62786247460293709</v>
      </c>
      <c r="Z277">
        <f ca="1"/>
        <v>0</v>
      </c>
      <c r="AA277">
        <f ca="1"/>
        <v>0</v>
      </c>
      <c r="AB277">
        <f ca="1"/>
        <v>0.99999999892103997</v>
      </c>
      <c r="AD277" s="2">
        <f t="shared" ca="1" si="42"/>
        <v>45634</v>
      </c>
      <c r="AE277">
        <f t="shared" ca="1" si="43"/>
        <v>0</v>
      </c>
      <c r="AG277" s="63">
        <f t="shared" ca="1" si="47"/>
        <v>50.151563360840143</v>
      </c>
      <c r="AH277" s="63">
        <f t="shared" ca="1" si="48"/>
        <v>50.151563360840143</v>
      </c>
      <c r="AI277" s="3">
        <f t="shared" ca="1" si="49"/>
        <v>0</v>
      </c>
    </row>
    <row r="278" spans="7:35">
      <c r="G278" s="3">
        <f t="shared" ca="1" si="44"/>
        <v>299</v>
      </c>
      <c r="H278" s="95">
        <f t="shared" ca="1" si="46"/>
        <v>45589</v>
      </c>
      <c r="I278" s="119">
        <f ca="1">HLOOKUP($H$4,'Met Data'!$A$2:$F$368,G278,FALSE)</f>
        <v>12.858333333333301</v>
      </c>
      <c r="J278" s="119">
        <f ca="1">HLOOKUP($H$4,'Met Data'!$H$2:$M$368,G278,FALSE)*L278</f>
        <v>1.0333333333333301</v>
      </c>
      <c r="K278" s="96">
        <f ca="1">HLOOKUP($H$4,'Met Data'!$O$2:$T$368,G278,FALSE)</f>
        <v>2.6842724832832401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45635</v>
      </c>
      <c r="Q278">
        <f ca="1"/>
        <v>51.409167551229658</v>
      </c>
      <c r="R278">
        <f ca="1"/>
        <v>0</v>
      </c>
      <c r="S278">
        <f ca="1"/>
        <v>0.38971237393424474</v>
      </c>
      <c r="T278">
        <f ca="1"/>
        <v>0.86789181645526958</v>
      </c>
      <c r="U278">
        <f ca="1"/>
        <v>0</v>
      </c>
      <c r="V278">
        <f ca="1"/>
        <v>0</v>
      </c>
      <c r="W278">
        <f ca="1"/>
        <v>0</v>
      </c>
      <c r="X278">
        <f ca="1"/>
        <v>0</v>
      </c>
      <c r="Y278">
        <f ca="1"/>
        <v>0.69124292290718059</v>
      </c>
      <c r="Z278">
        <f ca="1"/>
        <v>0</v>
      </c>
      <c r="AA278">
        <f ca="1"/>
        <v>0</v>
      </c>
      <c r="AB278">
        <f ca="1"/>
        <v>0.99999999919621607</v>
      </c>
      <c r="AD278" s="2">
        <f t="shared" ca="1" si="42"/>
        <v>45635</v>
      </c>
      <c r="AE278">
        <f t="shared" ca="1" si="43"/>
        <v>0</v>
      </c>
      <c r="AG278" s="63">
        <f t="shared" ca="1" si="47"/>
        <v>51.409167551229658</v>
      </c>
      <c r="AH278" s="63">
        <f t="shared" ca="1" si="48"/>
        <v>51.409167551229658</v>
      </c>
      <c r="AI278" s="3">
        <f t="shared" ca="1" si="49"/>
        <v>0</v>
      </c>
    </row>
    <row r="279" spans="7:35">
      <c r="G279" s="3">
        <f t="shared" ca="1" si="44"/>
        <v>300</v>
      </c>
      <c r="H279" s="95">
        <f t="shared" ca="1" si="46"/>
        <v>45590</v>
      </c>
      <c r="I279" s="119">
        <f ca="1">HLOOKUP($H$4,'Met Data'!$A$2:$F$368,G279,FALSE)</f>
        <v>13.7708333333333</v>
      </c>
      <c r="J279" s="119">
        <f ca="1">HLOOKUP($H$4,'Met Data'!$H$2:$M$368,G279,FALSE)*L279</f>
        <v>3.5166666666666599</v>
      </c>
      <c r="K279" s="96">
        <f ca="1">HLOOKUP($H$4,'Met Data'!$O$2:$T$368,G279,FALSE)</f>
        <v>2.91343955355575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45636</v>
      </c>
      <c r="Q279">
        <f ca="1"/>
        <v>52.710190662852021</v>
      </c>
      <c r="R279">
        <f ca="1"/>
        <v>0</v>
      </c>
      <c r="S279">
        <f ca="1"/>
        <v>0.40031555893330051</v>
      </c>
      <c r="T279">
        <f ca="1"/>
        <v>0.90070755268906044</v>
      </c>
      <c r="U279">
        <f ca="1"/>
        <v>0</v>
      </c>
      <c r="V279">
        <f ca="1"/>
        <v>0</v>
      </c>
      <c r="W279">
        <f ca="1"/>
        <v>0</v>
      </c>
      <c r="X279">
        <f ca="1"/>
        <v>0</v>
      </c>
      <c r="Y279">
        <f ca="1"/>
        <v>0.67211153017377978</v>
      </c>
      <c r="Z279">
        <f ca="1"/>
        <v>0</v>
      </c>
      <c r="AA279">
        <f ca="1"/>
        <v>0</v>
      </c>
      <c r="AB279">
        <f ca="1"/>
        <v>0.99999999940967421</v>
      </c>
      <c r="AD279" s="2">
        <f t="shared" ca="1" si="42"/>
        <v>45636</v>
      </c>
      <c r="AE279">
        <f t="shared" ca="1" si="43"/>
        <v>0</v>
      </c>
      <c r="AG279" s="63">
        <f t="shared" ca="1" si="47"/>
        <v>52.710190662852021</v>
      </c>
      <c r="AH279" s="63">
        <f t="shared" ca="1" si="48"/>
        <v>52.710190662852021</v>
      </c>
      <c r="AI279" s="3">
        <f t="shared" ca="1" si="49"/>
        <v>0</v>
      </c>
    </row>
    <row r="280" spans="7:35">
      <c r="G280" s="3">
        <f t="shared" ca="1" si="44"/>
        <v>301</v>
      </c>
      <c r="H280" s="95">
        <f t="shared" ca="1" si="46"/>
        <v>45591</v>
      </c>
      <c r="I280" s="119">
        <f ca="1">HLOOKUP($H$4,'Met Data'!$A$2:$F$368,G280,FALSE)</f>
        <v>13.899999999999901</v>
      </c>
      <c r="J280" s="119">
        <f ca="1">HLOOKUP($H$4,'Met Data'!$H$2:$M$368,G280,FALSE)*L280</f>
        <v>4.75</v>
      </c>
      <c r="K280" s="96">
        <f ca="1">HLOOKUP($H$4,'Met Data'!$O$2:$T$368,G280,FALSE)</f>
        <v>2.4549016141153701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45637</v>
      </c>
      <c r="Q280">
        <f ca="1"/>
        <v>53.921238728906495</v>
      </c>
      <c r="R280">
        <f ca="1"/>
        <v>0</v>
      </c>
      <c r="S280">
        <f ca="1"/>
        <v>0.36998745168455116</v>
      </c>
      <c r="T280">
        <f ca="1"/>
        <v>0.84106061436991975</v>
      </c>
      <c r="U280">
        <f ca="1"/>
        <v>0</v>
      </c>
      <c r="V280">
        <f ca="1"/>
        <v>0</v>
      </c>
      <c r="W280">
        <f ca="1"/>
        <v>0</v>
      </c>
      <c r="X280">
        <f ca="1"/>
        <v>0</v>
      </c>
      <c r="Y280">
        <f ca="1"/>
        <v>0.65104058877775062</v>
      </c>
      <c r="Z280">
        <f ca="1"/>
        <v>0</v>
      </c>
      <c r="AA280">
        <f ca="1"/>
        <v>0</v>
      </c>
      <c r="AB280">
        <f ca="1"/>
        <v>0.99999999956241847</v>
      </c>
      <c r="AD280" s="2">
        <f t="shared" ca="1" si="42"/>
        <v>45637</v>
      </c>
      <c r="AE280">
        <f t="shared" ca="1" si="43"/>
        <v>0</v>
      </c>
      <c r="AG280" s="63">
        <f t="shared" ca="1" si="47"/>
        <v>53.921238728906495</v>
      </c>
      <c r="AH280" s="63">
        <f t="shared" ca="1" si="48"/>
        <v>53.921238728906495</v>
      </c>
      <c r="AI280" s="3">
        <f t="shared" ca="1" si="49"/>
        <v>0</v>
      </c>
    </row>
    <row r="281" spans="7:35">
      <c r="G281" s="3">
        <f t="shared" ca="1" si="44"/>
        <v>302</v>
      </c>
      <c r="H281" s="95">
        <f t="shared" ca="1" si="46"/>
        <v>45592</v>
      </c>
      <c r="I281" s="119">
        <f ca="1">HLOOKUP($H$4,'Met Data'!$A$2:$F$368,G281,FALSE)</f>
        <v>13.425000000000001</v>
      </c>
      <c r="J281" s="119">
        <f ca="1">HLOOKUP($H$4,'Met Data'!$H$2:$M$368,G281,FALSE)*L281</f>
        <v>5.6333333333333302</v>
      </c>
      <c r="K281" s="96">
        <f ca="1">HLOOKUP($H$4,'Met Data'!$O$2:$T$368,G281,FALSE)</f>
        <v>2.5803220554406501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45638</v>
      </c>
      <c r="Q281">
        <f ca="1"/>
        <v>55.065859117002596</v>
      </c>
      <c r="R281">
        <f ca="1"/>
        <v>0</v>
      </c>
      <c r="S281">
        <f ca="1"/>
        <v>0.34731954919334385</v>
      </c>
      <c r="T281">
        <f ca="1"/>
        <v>0.79730083890275705</v>
      </c>
      <c r="U281">
        <f ca="1"/>
        <v>0</v>
      </c>
      <c r="V281">
        <f ca="1"/>
        <v>0</v>
      </c>
      <c r="W281">
        <f ca="1"/>
        <v>0</v>
      </c>
      <c r="X281">
        <f ca="1"/>
        <v>0</v>
      </c>
      <c r="Y281">
        <f ca="1"/>
        <v>0.61803529531583568</v>
      </c>
      <c r="Z281">
        <f ca="1"/>
        <v>0</v>
      </c>
      <c r="AA281">
        <f ca="1"/>
        <v>0</v>
      </c>
      <c r="AB281">
        <f ca="1"/>
        <v>0.99999999967495001</v>
      </c>
      <c r="AD281" s="2">
        <f t="shared" ca="1" si="42"/>
        <v>45638</v>
      </c>
      <c r="AE281">
        <f t="shared" ca="1" si="43"/>
        <v>0</v>
      </c>
      <c r="AG281" s="63">
        <f t="shared" ca="1" si="47"/>
        <v>55.065859117002596</v>
      </c>
      <c r="AH281" s="63">
        <f t="shared" ca="1" si="48"/>
        <v>55.065859117002596</v>
      </c>
      <c r="AI281" s="3">
        <f t="shared" ca="1" si="49"/>
        <v>0</v>
      </c>
    </row>
    <row r="282" spans="7:35">
      <c r="G282" s="3">
        <f t="shared" ca="1" si="44"/>
        <v>303</v>
      </c>
      <c r="H282" s="95">
        <f t="shared" ca="1" si="46"/>
        <v>45593</v>
      </c>
      <c r="I282" s="119">
        <f ca="1">HLOOKUP($H$4,'Met Data'!$A$2:$F$368,G282,FALSE)</f>
        <v>13.9625</v>
      </c>
      <c r="J282" s="119">
        <f ca="1">HLOOKUP($H$4,'Met Data'!$H$2:$M$368,G282,FALSE)*L282</f>
        <v>3.7833333333333301</v>
      </c>
      <c r="K282" s="96">
        <f ca="1">HLOOKUP($H$4,'Met Data'!$O$2:$T$368,G282,FALSE)</f>
        <v>2.91115304555708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3" t="e">
        <f t="shared" ca="1" si="47"/>
        <v>#N/A</v>
      </c>
      <c r="AH282" s="63" t="e">
        <f t="shared" ca="1" si="48"/>
        <v>#N/A</v>
      </c>
      <c r="AI282" s="3" t="e">
        <f t="shared" ca="1" si="49"/>
        <v>#N/A</v>
      </c>
    </row>
    <row r="283" spans="7:35">
      <c r="G283" s="3">
        <f t="shared" ca="1" si="44"/>
        <v>304</v>
      </c>
      <c r="H283" s="95">
        <f t="shared" ca="1" si="46"/>
        <v>45594</v>
      </c>
      <c r="I283" s="119">
        <f ca="1">HLOOKUP($H$4,'Met Data'!$A$2:$F$368,G283,FALSE)</f>
        <v>13.045833333333301</v>
      </c>
      <c r="J283" s="119">
        <f ca="1">HLOOKUP($H$4,'Met Data'!$H$2:$M$368,G283,FALSE)*L283</f>
        <v>0.39999999999999902</v>
      </c>
      <c r="K283" s="96">
        <f ca="1">HLOOKUP($H$4,'Met Data'!$O$2:$T$368,G283,FALSE)</f>
        <v>3.19138361024571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305</v>
      </c>
      <c r="H284" s="95">
        <f t="shared" ca="1" si="46"/>
        <v>45595</v>
      </c>
      <c r="I284" s="119">
        <f ca="1">HLOOKUP($H$4,'Met Data'!$A$2:$F$368,G284,FALSE)</f>
        <v>12.6166666666666</v>
      </c>
      <c r="J284" s="119">
        <f ca="1">HLOOKUP($H$4,'Met Data'!$H$2:$M$368,G284,FALSE)*L284</f>
        <v>3.4666666666666601</v>
      </c>
      <c r="K284" s="96">
        <f ca="1">HLOOKUP($H$4,'Met Data'!$O$2:$T$368,G284,FALSE)</f>
        <v>3.1814806222099299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306</v>
      </c>
      <c r="H285" s="95">
        <f t="shared" ca="1" si="46"/>
        <v>45596</v>
      </c>
      <c r="I285" s="119">
        <f ca="1">HLOOKUP($H$4,'Met Data'!$A$2:$F$368,G285,FALSE)</f>
        <v>12.4791666666666</v>
      </c>
      <c r="J285" s="119">
        <f ca="1">HLOOKUP($H$4,'Met Data'!$H$2:$M$368,G285,FALSE)*L285</f>
        <v>2.68333333333333</v>
      </c>
      <c r="K285" s="96">
        <f ca="1">HLOOKUP($H$4,'Met Data'!$O$2:$T$368,G285,FALSE)</f>
        <v>3.1007141373476301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307</v>
      </c>
      <c r="H286" s="95">
        <f t="shared" ca="1" si="46"/>
        <v>45597</v>
      </c>
      <c r="I286" s="119">
        <f ca="1">HLOOKUP($H$4,'Met Data'!$A$2:$F$368,G286,FALSE)</f>
        <v>13.3125</v>
      </c>
      <c r="J286" s="119">
        <f ca="1">HLOOKUP($H$4,'Met Data'!$H$2:$M$368,G286,FALSE)*L286</f>
        <v>1.68333333333333</v>
      </c>
      <c r="K286" s="96">
        <f ca="1">HLOOKUP($H$4,'Met Data'!$O$2:$T$368,G286,FALSE)</f>
        <v>3.50405600149278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308</v>
      </c>
      <c r="H287" s="95">
        <f t="shared" ca="1" si="46"/>
        <v>45598</v>
      </c>
      <c r="I287" s="119">
        <f ca="1">HLOOKUP($H$4,'Met Data'!$A$2:$F$368,G287,FALSE)</f>
        <v>14.35</v>
      </c>
      <c r="J287" s="119">
        <f ca="1">HLOOKUP($H$4,'Met Data'!$H$2:$M$368,G287,FALSE)*L287</f>
        <v>5.1333333333333302</v>
      </c>
      <c r="K287" s="96">
        <f ca="1">HLOOKUP($H$4,'Met Data'!$O$2:$T$368,G287,FALSE)</f>
        <v>2.61745839191309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309</v>
      </c>
      <c r="H288" s="95">
        <f t="shared" ca="1" si="46"/>
        <v>45599</v>
      </c>
      <c r="I288" s="119">
        <f ca="1">HLOOKUP($H$4,'Met Data'!$A$2:$F$368,G288,FALSE)</f>
        <v>13.875</v>
      </c>
      <c r="J288" s="119">
        <f ca="1">HLOOKUP($H$4,'Met Data'!$H$2:$M$368,G288,FALSE)*L288</f>
        <v>1.86666666666666</v>
      </c>
      <c r="K288" s="96">
        <f ca="1">HLOOKUP($H$4,'Met Data'!$O$2:$T$368,G288,FALSE)</f>
        <v>2.7392607073945601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310</v>
      </c>
      <c r="H289" s="95">
        <f t="shared" ca="1" si="46"/>
        <v>45600</v>
      </c>
      <c r="I289" s="119">
        <f ca="1">HLOOKUP($H$4,'Met Data'!$A$2:$F$368,G289,FALSE)</f>
        <v>13.316666666666601</v>
      </c>
      <c r="J289" s="119">
        <f ca="1">HLOOKUP($H$4,'Met Data'!$H$2:$M$368,G289,FALSE)*L289</f>
        <v>1.13333333333333</v>
      </c>
      <c r="K289" s="96">
        <f ca="1">HLOOKUP($H$4,'Met Data'!$O$2:$T$368,G289,FALSE)</f>
        <v>3.4135545366379101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311</v>
      </c>
      <c r="H290" s="95">
        <f t="shared" ca="1" si="46"/>
        <v>45601</v>
      </c>
      <c r="I290" s="119">
        <f ca="1">HLOOKUP($H$4,'Met Data'!$A$2:$F$368,G290,FALSE)</f>
        <v>13.1454545454545</v>
      </c>
      <c r="J290" s="119">
        <f ca="1">HLOOKUP($H$4,'Met Data'!$H$2:$M$368,G290,FALSE)*L290</f>
        <v>0.472727272727272</v>
      </c>
      <c r="K290" s="96">
        <f ca="1">HLOOKUP($H$4,'Met Data'!$O$2:$T$368,G290,FALSE)</f>
        <v>3.2963131788019302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312</v>
      </c>
      <c r="H291" s="95">
        <f t="shared" ca="1" si="46"/>
        <v>45602</v>
      </c>
      <c r="I291" s="119">
        <f ca="1">HLOOKUP($H$4,'Met Data'!$A$2:$F$368,G291,FALSE)</f>
        <v>13.4166666666666</v>
      </c>
      <c r="J291" s="119">
        <f ca="1">HLOOKUP($H$4,'Met Data'!$H$2:$M$368,G291,FALSE)*L291</f>
        <v>2.35</v>
      </c>
      <c r="K291" s="96">
        <f ca="1">HLOOKUP($H$4,'Met Data'!$O$2:$T$368,G291,FALSE)</f>
        <v>3.43315852526095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313</v>
      </c>
      <c r="H292" s="95">
        <f t="shared" ca="1" si="46"/>
        <v>45603</v>
      </c>
      <c r="I292" s="119">
        <f ca="1">HLOOKUP($H$4,'Met Data'!$A$2:$F$368,G292,FALSE)</f>
        <v>13.8708333333333</v>
      </c>
      <c r="J292" s="119">
        <f ca="1">HLOOKUP($H$4,'Met Data'!$H$2:$M$368,G292,FALSE)*L292</f>
        <v>2.86666666666666</v>
      </c>
      <c r="K292" s="96">
        <f ca="1">HLOOKUP($H$4,'Met Data'!$O$2:$T$368,G292,FALSE)</f>
        <v>3.09770464623969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314</v>
      </c>
      <c r="H293" s="95">
        <f t="shared" ca="1" si="46"/>
        <v>45604</v>
      </c>
      <c r="I293" s="119">
        <f ca="1">HLOOKUP($H$4,'Met Data'!$A$2:$F$368,G293,FALSE)</f>
        <v>14.158333333333299</v>
      </c>
      <c r="J293" s="119">
        <f ca="1">HLOOKUP($H$4,'Met Data'!$H$2:$M$368,G293,FALSE)*L293</f>
        <v>3.2166666666666601</v>
      </c>
      <c r="K293" s="96">
        <f ca="1">HLOOKUP($H$4,'Met Data'!$O$2:$T$368,G293,FALSE)</f>
        <v>3.3024968395707299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315</v>
      </c>
      <c r="H294" s="95">
        <f t="shared" ca="1" si="46"/>
        <v>45605</v>
      </c>
      <c r="I294" s="119">
        <f ca="1">HLOOKUP($H$4,'Met Data'!$A$2:$F$368,G294,FALSE)</f>
        <v>13.6666666666666</v>
      </c>
      <c r="J294" s="119">
        <f ca="1">HLOOKUP($H$4,'Met Data'!$H$2:$M$368,G294,FALSE)*L294</f>
        <v>2.0499999999999998</v>
      </c>
      <c r="K294" s="96">
        <f ca="1">HLOOKUP($H$4,'Met Data'!$O$2:$T$368,G294,FALSE)</f>
        <v>2.6586912182490101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316</v>
      </c>
      <c r="H295" s="95">
        <f t="shared" ca="1" si="46"/>
        <v>45606</v>
      </c>
      <c r="I295" s="119">
        <f ca="1">HLOOKUP($H$4,'Met Data'!$A$2:$F$368,G295,FALSE)</f>
        <v>13.8958333333333</v>
      </c>
      <c r="J295" s="119">
        <f ca="1">HLOOKUP($H$4,'Met Data'!$H$2:$M$368,G295,FALSE)*L295</f>
        <v>3.94999999999999</v>
      </c>
      <c r="K295" s="96">
        <f ca="1">HLOOKUP($H$4,'Met Data'!$O$2:$T$368,G295,FALSE)</f>
        <v>2.87577977788037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317</v>
      </c>
      <c r="H296" s="95">
        <f t="shared" ca="1" si="46"/>
        <v>45607</v>
      </c>
      <c r="I296" s="119">
        <f ca="1">HLOOKUP($H$4,'Met Data'!$A$2:$F$368,G296,FALSE)</f>
        <v>13.0625</v>
      </c>
      <c r="J296" s="119">
        <f ca="1">HLOOKUP($H$4,'Met Data'!$H$2:$M$368,G296,FALSE)*L296</f>
        <v>3.0666666666666602</v>
      </c>
      <c r="K296" s="96">
        <f ca="1">HLOOKUP($H$4,'Met Data'!$O$2:$T$368,G296,FALSE)</f>
        <v>2.8947392121826798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318</v>
      </c>
      <c r="H297" s="95">
        <f t="shared" ca="1" si="46"/>
        <v>45608</v>
      </c>
      <c r="I297" s="119">
        <f ca="1">HLOOKUP($H$4,'Met Data'!$A$2:$F$368,G297,FALSE)</f>
        <v>12.55</v>
      </c>
      <c r="J297" s="119">
        <f ca="1">HLOOKUP($H$4,'Met Data'!$H$2:$M$368,G297,FALSE)*L297</f>
        <v>1.2</v>
      </c>
      <c r="K297" s="96">
        <f ca="1">HLOOKUP($H$4,'Met Data'!$O$2:$T$368,G297,FALSE)</f>
        <v>3.2727192045008802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319</v>
      </c>
      <c r="H298" s="95">
        <f t="shared" ca="1" si="46"/>
        <v>45609</v>
      </c>
      <c r="I298" s="119">
        <f ca="1">HLOOKUP($H$4,'Met Data'!$A$2:$F$368,G298,FALSE)</f>
        <v>12.591666666666599</v>
      </c>
      <c r="J298" s="119">
        <f ca="1">HLOOKUP($H$4,'Met Data'!$H$2:$M$368,G298,FALSE)*L298</f>
        <v>1.25</v>
      </c>
      <c r="K298" s="96">
        <f ca="1">HLOOKUP($H$4,'Met Data'!$O$2:$T$368,G298,FALSE)</f>
        <v>3.2542764283054399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320</v>
      </c>
      <c r="H299" s="95">
        <f t="shared" ca="1" si="46"/>
        <v>45610</v>
      </c>
      <c r="I299" s="119">
        <f ca="1">HLOOKUP($H$4,'Met Data'!$A$2:$F$368,G299,FALSE)</f>
        <v>13.462499999999901</v>
      </c>
      <c r="J299" s="119">
        <f ca="1">HLOOKUP($H$4,'Met Data'!$H$2:$M$368,G299,FALSE)*L299</f>
        <v>2.0666666666666602</v>
      </c>
      <c r="K299" s="96">
        <f ca="1">HLOOKUP($H$4,'Met Data'!$O$2:$T$368,G299,FALSE)</f>
        <v>3.39036465144653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321</v>
      </c>
      <c r="H300" s="95">
        <f t="shared" ca="1" si="46"/>
        <v>45611</v>
      </c>
      <c r="I300" s="119">
        <f ca="1">HLOOKUP($H$4,'Met Data'!$A$2:$F$368,G300,FALSE)</f>
        <v>14.7458333333333</v>
      </c>
      <c r="J300" s="119">
        <f ca="1">HLOOKUP($H$4,'Met Data'!$H$2:$M$368,G300,FALSE)*L300</f>
        <v>5.2166666666666597</v>
      </c>
      <c r="K300" s="96">
        <f ca="1">HLOOKUP($H$4,'Met Data'!$O$2:$T$368,G300,FALSE)</f>
        <v>3.3940384004400501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322</v>
      </c>
      <c r="H301" s="95">
        <f t="shared" ca="1" si="46"/>
        <v>45612</v>
      </c>
      <c r="I301" s="119">
        <f ca="1">HLOOKUP($H$4,'Met Data'!$A$2:$F$368,G301,FALSE)</f>
        <v>14.945833333333301</v>
      </c>
      <c r="J301" s="119">
        <f ca="1">HLOOKUP($H$4,'Met Data'!$H$2:$M$368,G301,FALSE)*L301</f>
        <v>5.3333333333333304</v>
      </c>
      <c r="K301" s="96">
        <f ca="1">HLOOKUP($H$4,'Met Data'!$O$2:$T$368,G301,FALSE)</f>
        <v>2.86263659321907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323</v>
      </c>
      <c r="H302" s="95">
        <f t="shared" ca="1" si="46"/>
        <v>45613</v>
      </c>
      <c r="I302" s="119">
        <f ca="1">HLOOKUP($H$4,'Met Data'!$A$2:$F$368,G302,FALSE)</f>
        <v>14.45</v>
      </c>
      <c r="J302" s="119">
        <f ca="1">HLOOKUP($H$4,'Met Data'!$H$2:$M$368,G302,FALSE)*L302</f>
        <v>6.0833333333333304</v>
      </c>
      <c r="K302" s="96">
        <f ca="1">HLOOKUP($H$4,'Met Data'!$O$2:$T$368,G302,FALSE)</f>
        <v>3.2654882571522399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324</v>
      </c>
      <c r="H303" s="95">
        <f t="shared" ca="1" si="46"/>
        <v>45614</v>
      </c>
      <c r="I303" s="119">
        <f ca="1">HLOOKUP($H$4,'Met Data'!$A$2:$F$368,G303,FALSE)</f>
        <v>13.941666666666601</v>
      </c>
      <c r="J303" s="119">
        <f ca="1">HLOOKUP($H$4,'Met Data'!$H$2:$M$368,G303,FALSE)*L303</f>
        <v>0.98333333333333295</v>
      </c>
      <c r="K303" s="96">
        <f ca="1">HLOOKUP($H$4,'Met Data'!$O$2:$T$368,G303,FALSE)</f>
        <v>3.5976260978488002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325</v>
      </c>
      <c r="H304" s="95">
        <f t="shared" ca="1" si="46"/>
        <v>45615</v>
      </c>
      <c r="I304" s="119">
        <f ca="1">HLOOKUP($H$4,'Met Data'!$A$2:$F$368,G304,FALSE)</f>
        <v>14.1208333333333</v>
      </c>
      <c r="J304" s="119">
        <f ca="1">HLOOKUP($H$4,'Met Data'!$H$2:$M$368,G304,FALSE)*L304</f>
        <v>2.36666666666666</v>
      </c>
      <c r="K304" s="96">
        <f ca="1">HLOOKUP($H$4,'Met Data'!$O$2:$T$368,G304,FALSE)</f>
        <v>3.2574752266568199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326</v>
      </c>
      <c r="H305" s="95">
        <f t="shared" ca="1" si="46"/>
        <v>45616</v>
      </c>
      <c r="I305" s="119">
        <f ca="1">HLOOKUP($H$4,'Met Data'!$A$2:$F$368,G305,FALSE)</f>
        <v>14.2</v>
      </c>
      <c r="J305" s="119">
        <f ca="1">HLOOKUP($H$4,'Met Data'!$H$2:$M$368,G305,FALSE)*L305</f>
        <v>1.4166666666666601</v>
      </c>
      <c r="K305" s="96">
        <f ca="1">HLOOKUP($H$4,'Met Data'!$O$2:$T$368,G305,FALSE)</f>
        <v>3.2248407363783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327</v>
      </c>
      <c r="H306" s="95">
        <f t="shared" ca="1" si="46"/>
        <v>45617</v>
      </c>
      <c r="I306" s="119">
        <f ca="1">HLOOKUP($H$4,'Met Data'!$A$2:$F$368,G306,FALSE)</f>
        <v>14.2916666666666</v>
      </c>
      <c r="J306" s="119">
        <f ca="1">HLOOKUP($H$4,'Met Data'!$H$2:$M$368,G306,FALSE)*L306</f>
        <v>1.2333333333333301</v>
      </c>
      <c r="K306" s="96">
        <f ca="1">HLOOKUP($H$4,'Met Data'!$O$2:$T$368,G306,FALSE)</f>
        <v>3.2303061956604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328</v>
      </c>
      <c r="H307" s="95">
        <f t="shared" ca="1" si="46"/>
        <v>45618</v>
      </c>
      <c r="I307" s="119">
        <f ca="1">HLOOKUP($H$4,'Met Data'!$A$2:$F$368,G307,FALSE)</f>
        <v>14.8666666666666</v>
      </c>
      <c r="J307" s="119">
        <f ca="1">HLOOKUP($H$4,'Met Data'!$H$2:$M$368,G307,FALSE)*L307</f>
        <v>0.21666666666666601</v>
      </c>
      <c r="K307" s="96">
        <f ca="1">HLOOKUP($H$4,'Met Data'!$O$2:$T$368,G307,FALSE)</f>
        <v>3.8851743269165699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329</v>
      </c>
      <c r="H308" s="95">
        <f t="shared" ca="1" si="46"/>
        <v>45619</v>
      </c>
      <c r="I308" s="119">
        <f ca="1">HLOOKUP($H$4,'Met Data'!$A$2:$F$368,G308,FALSE)</f>
        <v>14.875</v>
      </c>
      <c r="J308" s="119">
        <f ca="1">HLOOKUP($H$4,'Met Data'!$H$2:$M$368,G308,FALSE)*L308</f>
        <v>1.8333333333333299</v>
      </c>
      <c r="K308" s="96">
        <f ca="1">HLOOKUP($H$4,'Met Data'!$O$2:$T$368,G308,FALSE)</f>
        <v>3.3424019609463702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330</v>
      </c>
      <c r="H309" s="95">
        <f t="shared" ca="1" si="46"/>
        <v>45620</v>
      </c>
      <c r="I309" s="119">
        <f ca="1">HLOOKUP($H$4,'Met Data'!$A$2:$F$368,G309,FALSE)</f>
        <v>15.8125</v>
      </c>
      <c r="J309" s="119">
        <f ca="1">HLOOKUP($H$4,'Met Data'!$H$2:$M$368,G309,FALSE)*L309</f>
        <v>2.0166666666666599</v>
      </c>
      <c r="K309" s="96">
        <f ca="1">HLOOKUP($H$4,'Met Data'!$O$2:$T$368,G309,FALSE)</f>
        <v>3.2688322627941302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331</v>
      </c>
      <c r="H310" s="95">
        <f t="shared" ca="1" si="46"/>
        <v>45621</v>
      </c>
      <c r="I310" s="119">
        <f ca="1">HLOOKUP($H$4,'Met Data'!$A$2:$F$368,G310,FALSE)</f>
        <v>15.945833333333301</v>
      </c>
      <c r="J310" s="119">
        <f ca="1">HLOOKUP($H$4,'Met Data'!$H$2:$M$368,G310,FALSE)*L310</f>
        <v>5.8833333333333302</v>
      </c>
      <c r="K310" s="96">
        <f ca="1">HLOOKUP($H$4,'Met Data'!$O$2:$T$368,G310,FALSE)</f>
        <v>3.26798762006384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332</v>
      </c>
      <c r="H311" s="95">
        <f t="shared" ca="1" si="46"/>
        <v>45622</v>
      </c>
      <c r="I311" s="119">
        <f ca="1">HLOOKUP($H$4,'Met Data'!$A$2:$F$368,G311,FALSE)</f>
        <v>16.279166666666601</v>
      </c>
      <c r="J311" s="119">
        <f ca="1">HLOOKUP($H$4,'Met Data'!$H$2:$M$368,G311,FALSE)*L311</f>
        <v>1.4833333333333301</v>
      </c>
      <c r="K311" s="96">
        <f ca="1">HLOOKUP($H$4,'Met Data'!$O$2:$T$368,G311,FALSE)</f>
        <v>3.19082213890132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333</v>
      </c>
      <c r="H312" s="95">
        <f t="shared" ca="1" si="46"/>
        <v>45623</v>
      </c>
      <c r="I312" s="119">
        <f ca="1">HLOOKUP($H$4,'Met Data'!$A$2:$F$368,G312,FALSE)</f>
        <v>16.070833333333301</v>
      </c>
      <c r="J312" s="119">
        <f ca="1">HLOOKUP($H$4,'Met Data'!$H$2:$M$368,G312,FALSE)*L312</f>
        <v>7.43333333333333</v>
      </c>
      <c r="K312" s="96">
        <f ca="1">HLOOKUP($H$4,'Met Data'!$O$2:$T$368,G312,FALSE)</f>
        <v>3.00999975823754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334</v>
      </c>
      <c r="H313" s="95">
        <f t="shared" ca="1" si="46"/>
        <v>45624</v>
      </c>
      <c r="I313" s="119">
        <f ca="1">HLOOKUP($H$4,'Met Data'!$A$2:$F$368,G313,FALSE)</f>
        <v>15.033333333333299</v>
      </c>
      <c r="J313" s="119">
        <f ca="1">HLOOKUP($H$4,'Met Data'!$H$2:$M$368,G313,FALSE)*L313</f>
        <v>0.66666666666666596</v>
      </c>
      <c r="K313" s="96">
        <f ca="1">HLOOKUP($H$4,'Met Data'!$O$2:$T$368,G313,FALSE)</f>
        <v>4.1701433642644803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335</v>
      </c>
      <c r="H314" s="95">
        <f t="shared" ca="1" si="46"/>
        <v>45625</v>
      </c>
      <c r="I314" s="119">
        <f ca="1">HLOOKUP($H$4,'Met Data'!$A$2:$F$368,G314,FALSE)</f>
        <v>16.1166666666666</v>
      </c>
      <c r="J314" s="119">
        <f ca="1">HLOOKUP($H$4,'Met Data'!$H$2:$M$368,G314,FALSE)*L314</f>
        <v>5.2333333333333298</v>
      </c>
      <c r="K314" s="96">
        <f ca="1">HLOOKUP($H$4,'Met Data'!$O$2:$T$368,G314,FALSE)</f>
        <v>3.7664149911337801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336</v>
      </c>
      <c r="H315" s="95">
        <f t="shared" ca="1" si="46"/>
        <v>45626</v>
      </c>
      <c r="I315" s="119">
        <f ca="1">HLOOKUP($H$4,'Met Data'!$A$2:$F$368,G315,FALSE)</f>
        <v>15.887499999999999</v>
      </c>
      <c r="J315" s="119">
        <f ca="1">HLOOKUP($H$4,'Met Data'!$H$2:$M$368,G315,FALSE)*L315</f>
        <v>6.75</v>
      </c>
      <c r="K315" s="96">
        <f ca="1">HLOOKUP($H$4,'Met Data'!$O$2:$T$368,G315,FALSE)</f>
        <v>3.2490041935251899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337</v>
      </c>
      <c r="H316" s="95">
        <f t="shared" ca="1" si="46"/>
        <v>45627</v>
      </c>
      <c r="I316" s="119">
        <f ca="1">HLOOKUP($H$4,'Met Data'!$A$2:$F$368,G316,FALSE)</f>
        <v>16.1458333333333</v>
      </c>
      <c r="J316" s="119">
        <f ca="1">HLOOKUP($H$4,'Met Data'!$H$2:$M$368,G316,FALSE)*L316</f>
        <v>1.0833333333333299</v>
      </c>
      <c r="K316" s="96">
        <f ca="1">HLOOKUP($H$4,'Met Data'!$O$2:$T$368,G316,FALSE)</f>
        <v>3.8649058322152201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338</v>
      </c>
      <c r="H317" s="95">
        <f t="shared" ca="1" si="46"/>
        <v>45628</v>
      </c>
      <c r="I317" s="119">
        <f ca="1">HLOOKUP($H$4,'Met Data'!$A$2:$F$368,G317,FALSE)</f>
        <v>16.0625</v>
      </c>
      <c r="J317" s="119">
        <f ca="1">HLOOKUP($H$4,'Met Data'!$H$2:$M$368,G317,FALSE)*L317</f>
        <v>2.2666666666666599</v>
      </c>
      <c r="K317" s="96">
        <f ca="1">HLOOKUP($H$4,'Met Data'!$O$2:$T$368,G317,FALSE)</f>
        <v>3.3633315244434101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339</v>
      </c>
      <c r="H318" s="95">
        <f t="shared" ca="1" si="46"/>
        <v>45629</v>
      </c>
      <c r="I318" s="119">
        <f ca="1">HLOOKUP($H$4,'Met Data'!$A$2:$F$368,G318,FALSE)</f>
        <v>16.591666666666601</v>
      </c>
      <c r="J318" s="119">
        <f ca="1">HLOOKUP($H$4,'Met Data'!$H$2:$M$368,G318,FALSE)*L318</f>
        <v>3.0333333333333301</v>
      </c>
      <c r="K318" s="96">
        <f ca="1">HLOOKUP($H$4,'Met Data'!$O$2:$T$368,G318,FALSE)</f>
        <v>3.8332290024095501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340</v>
      </c>
      <c r="H319" s="95">
        <f t="shared" ca="1" si="46"/>
        <v>45630</v>
      </c>
      <c r="I319" s="119">
        <f ca="1">HLOOKUP($H$4,'Met Data'!$A$2:$F$368,G319,FALSE)</f>
        <v>16.441666666666599</v>
      </c>
      <c r="J319" s="119">
        <f ca="1">HLOOKUP($H$4,'Met Data'!$H$2:$M$368,G319,FALSE)*L319</f>
        <v>1.0833333333333299</v>
      </c>
      <c r="K319" s="96">
        <f ca="1">HLOOKUP($H$4,'Met Data'!$O$2:$T$368,G319,FALSE)</f>
        <v>3.3753600087216298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341</v>
      </c>
      <c r="H320" s="95">
        <f t="shared" ca="1" si="46"/>
        <v>45631</v>
      </c>
      <c r="I320" s="119">
        <f ca="1">HLOOKUP($H$4,'Met Data'!$A$2:$F$368,G320,FALSE)</f>
        <v>16.454166666666602</v>
      </c>
      <c r="J320" s="119">
        <f ca="1">HLOOKUP($H$4,'Met Data'!$H$2:$M$368,G320,FALSE)*L320</f>
        <v>2.61666666666666</v>
      </c>
      <c r="K320" s="96">
        <f ca="1">HLOOKUP($H$4,'Met Data'!$O$2:$T$368,G320,FALSE)</f>
        <v>2.8811659068389401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342</v>
      </c>
      <c r="H321" s="95">
        <f t="shared" ca="1" si="46"/>
        <v>45632</v>
      </c>
      <c r="I321" s="119">
        <f ca="1">HLOOKUP($H$4,'Met Data'!$A$2:$F$368,G321,FALSE)</f>
        <v>15.879166666666601</v>
      </c>
      <c r="J321" s="119">
        <f ca="1">HLOOKUP($H$4,'Met Data'!$H$2:$M$368,G321,FALSE)*L321</f>
        <v>3.1</v>
      </c>
      <c r="K321" s="96">
        <f ca="1">HLOOKUP($H$4,'Met Data'!$O$2:$T$368,G321,FALSE)</f>
        <v>3.4185168625157498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343</v>
      </c>
      <c r="H322" s="95">
        <f t="shared" ca="1" si="46"/>
        <v>45633</v>
      </c>
      <c r="I322" s="119">
        <f ca="1">HLOOKUP($H$4,'Met Data'!$A$2:$F$368,G322,FALSE)</f>
        <v>15.259090909090901</v>
      </c>
      <c r="J322" s="119">
        <f ca="1">HLOOKUP($H$4,'Met Data'!$H$2:$M$368,G322,FALSE)*L322</f>
        <v>6.1090909090908996</v>
      </c>
      <c r="K322" s="96">
        <f ca="1">HLOOKUP($H$4,'Met Data'!$O$2:$T$368,G322,FALSE)</f>
        <v>2.9122766026990501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344</v>
      </c>
      <c r="H323" s="95">
        <f t="shared" ca="1" si="46"/>
        <v>45634</v>
      </c>
      <c r="I323" s="119">
        <f ca="1">HLOOKUP($H$4,'Met Data'!$A$2:$F$368,G323,FALSE)</f>
        <v>15.9125</v>
      </c>
      <c r="J323" s="119">
        <f ca="1">HLOOKUP($H$4,'Met Data'!$H$2:$M$368,G323,FALSE)*L323</f>
        <v>1.7833333333333301</v>
      </c>
      <c r="K323" s="96">
        <f ca="1">HLOOKUP($H$4,'Met Data'!$O$2:$T$368,G323,FALSE)</f>
        <v>3.7124167377990198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345</v>
      </c>
      <c r="H324" s="95">
        <f t="shared" ca="1" si="46"/>
        <v>45635</v>
      </c>
      <c r="I324" s="119">
        <f ca="1">HLOOKUP($H$4,'Met Data'!$A$2:$F$368,G324,FALSE)</f>
        <v>16.720833333333299</v>
      </c>
      <c r="J324" s="119">
        <f ca="1">HLOOKUP($H$4,'Met Data'!$H$2:$M$368,G324,FALSE)*L324</f>
        <v>6.61666666666666</v>
      </c>
      <c r="K324" s="96">
        <f ca="1">HLOOKUP($H$4,'Met Data'!$O$2:$T$368,G324,FALSE)</f>
        <v>3.19412245919293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346</v>
      </c>
      <c r="H325" s="95">
        <f t="shared" ca="1" si="46"/>
        <v>45636</v>
      </c>
      <c r="I325" s="119">
        <f ca="1">HLOOKUP($H$4,'Met Data'!$A$2:$F$368,G325,FALSE)</f>
        <v>17.529166666666601</v>
      </c>
      <c r="J325" s="119">
        <f ca="1">HLOOKUP($H$4,'Met Data'!$H$2:$M$368,G325,FALSE)*L325</f>
        <v>2.0333333333333301</v>
      </c>
      <c r="K325" s="96">
        <f ca="1">HLOOKUP($H$4,'Met Data'!$O$2:$T$368,G325,FALSE)</f>
        <v>3.0664285414958901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347</v>
      </c>
      <c r="H326" s="95">
        <f t="shared" ca="1" si="46"/>
        <v>45637</v>
      </c>
      <c r="I326" s="119">
        <f ca="1">HLOOKUP($H$4,'Met Data'!$A$2:$F$368,G326,FALSE)</f>
        <v>17.004166666666599</v>
      </c>
      <c r="J326" s="119">
        <f ca="1">HLOOKUP($H$4,'Met Data'!$H$2:$M$368,G326,FALSE)*L326</f>
        <v>2.4666666666666601</v>
      </c>
      <c r="K326" s="96">
        <f ca="1">HLOOKUP($H$4,'Met Data'!$O$2:$T$368,G326,FALSE)</f>
        <v>3.6044975025694099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ref="G327:G390" ca="1" si="54">H327-DATE(YEAR(H327),1,0)+1</f>
        <v>348</v>
      </c>
      <c r="H327" s="95">
        <f t="shared" ca="1" si="46"/>
        <v>45638</v>
      </c>
      <c r="I327" s="119">
        <f ca="1">HLOOKUP($H$4,'Met Data'!$A$2:$F$368,G327,FALSE)</f>
        <v>16.883333333333301</v>
      </c>
      <c r="J327" s="119">
        <f ca="1">HLOOKUP($H$4,'Met Data'!$H$2:$M$368,G327,FALSE)*L327</f>
        <v>1.7333333333333301</v>
      </c>
      <c r="K327" s="96">
        <f ca="1">HLOOKUP($H$4,'Met Data'!$O$2:$T$368,G327,FALSE)</f>
        <v>4.1436131117359496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ca="1" si="54"/>
        <v>349</v>
      </c>
      <c r="H328" s="95">
        <f t="shared" ref="H328:H391" ca="1" si="56">H327+1</f>
        <v>45639</v>
      </c>
      <c r="I328" s="119">
        <f ca="1">HLOOKUP($H$4,'Met Data'!$A$2:$F$368,G328,FALSE)</f>
        <v>16.191666666666599</v>
      </c>
      <c r="J328" s="119">
        <f ca="1">HLOOKUP($H$4,'Met Data'!$H$2:$M$368,G328,FALSE)*L328</f>
        <v>1.5333333333333301</v>
      </c>
      <c r="K328" s="96">
        <f ca="1">HLOOKUP($H$4,'Met Data'!$O$2:$T$368,G328,FALSE)</f>
        <v>3.8138486605430502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350</v>
      </c>
      <c r="H329" s="95">
        <f t="shared" ca="1" si="56"/>
        <v>45640</v>
      </c>
      <c r="I329" s="119">
        <f ca="1">HLOOKUP($H$4,'Met Data'!$A$2:$F$368,G329,FALSE)</f>
        <v>15.754166666666601</v>
      </c>
      <c r="J329" s="119">
        <f ca="1">HLOOKUP($H$4,'Met Data'!$H$2:$M$368,G329,FALSE)*L329</f>
        <v>4.9166666666666599</v>
      </c>
      <c r="K329" s="96">
        <f ca="1">HLOOKUP($H$4,'Met Data'!$O$2:$T$368,G329,FALSE)</f>
        <v>4.2245531095694204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351</v>
      </c>
      <c r="H330" s="95">
        <f t="shared" ca="1" si="56"/>
        <v>45641</v>
      </c>
      <c r="I330" s="119">
        <f ca="1">HLOOKUP($H$4,'Met Data'!$A$2:$F$368,G330,FALSE)</f>
        <v>16.766666666666602</v>
      </c>
      <c r="J330" s="119">
        <f ca="1">HLOOKUP($H$4,'Met Data'!$H$2:$M$368,G330,FALSE)*L330</f>
        <v>1.5999999999999901</v>
      </c>
      <c r="K330" s="96">
        <f ca="1">HLOOKUP($H$4,'Met Data'!$O$2:$T$368,G330,FALSE)</f>
        <v>4.0567025040665996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352</v>
      </c>
      <c r="H331" s="95">
        <f t="shared" ca="1" si="56"/>
        <v>45642</v>
      </c>
      <c r="I331" s="119">
        <f ca="1">HLOOKUP($H$4,'Met Data'!$A$2:$F$368,G331,FALSE)</f>
        <v>16.766666666666602</v>
      </c>
      <c r="J331" s="119">
        <f ca="1">HLOOKUP($H$4,'Met Data'!$H$2:$M$368,G331,FALSE)*L331</f>
        <v>4.3166666666666602</v>
      </c>
      <c r="K331" s="96">
        <f ca="1">HLOOKUP($H$4,'Met Data'!$O$2:$T$368,G331,FALSE)</f>
        <v>3.8858032497445998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ref="AG331:AG394" ca="1" si="57">Q330+S331+T331+U331</f>
        <v>#N/A</v>
      </c>
      <c r="AH331" s="63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>
      <c r="G332" s="3">
        <f t="shared" ca="1" si="54"/>
        <v>353</v>
      </c>
      <c r="H332" s="95">
        <f t="shared" ca="1" si="56"/>
        <v>45643</v>
      </c>
      <c r="I332" s="119">
        <f ca="1">HLOOKUP($H$4,'Met Data'!$A$2:$F$368,G332,FALSE)</f>
        <v>17.191666666666599</v>
      </c>
      <c r="J332" s="119">
        <f ca="1">HLOOKUP($H$4,'Met Data'!$H$2:$M$368,G332,FALSE)*L332</f>
        <v>1.25</v>
      </c>
      <c r="K332" s="96">
        <f ca="1">HLOOKUP($H$4,'Met Data'!$O$2:$T$368,G332,FALSE)</f>
        <v>3.5439221574521702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ca="1" si="57"/>
        <v>#N/A</v>
      </c>
      <c r="AH332" s="63" t="e">
        <f t="shared" ca="1" si="58"/>
        <v>#N/A</v>
      </c>
      <c r="AI332" s="3" t="e">
        <f t="shared" ca="1" si="59"/>
        <v>#N/A</v>
      </c>
    </row>
    <row r="333" spans="7:35">
      <c r="G333" s="3">
        <f t="shared" ca="1" si="54"/>
        <v>354</v>
      </c>
      <c r="H333" s="95">
        <f t="shared" ca="1" si="56"/>
        <v>45644</v>
      </c>
      <c r="I333" s="119">
        <f ca="1">HLOOKUP($H$4,'Met Data'!$A$2:$F$368,G333,FALSE)</f>
        <v>16.725000000000001</v>
      </c>
      <c r="J333" s="119">
        <f ca="1">HLOOKUP($H$4,'Met Data'!$H$2:$M$368,G333,FALSE)*L333</f>
        <v>6.43333333333333</v>
      </c>
      <c r="K333" s="96">
        <f ca="1">HLOOKUP($H$4,'Met Data'!$O$2:$T$368,G333,FALSE)</f>
        <v>2.7226403112081199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355</v>
      </c>
      <c r="H334" s="95">
        <f t="shared" ca="1" si="56"/>
        <v>45645</v>
      </c>
      <c r="I334" s="119">
        <f ca="1">HLOOKUP($H$4,'Met Data'!$A$2:$F$368,G334,FALSE)</f>
        <v>15.9625</v>
      </c>
      <c r="J334" s="119">
        <f ca="1">HLOOKUP($H$4,'Met Data'!$H$2:$M$368,G334,FALSE)*L334</f>
        <v>4.3333333333333304</v>
      </c>
      <c r="K334" s="96">
        <f ca="1">HLOOKUP($H$4,'Met Data'!$O$2:$T$368,G334,FALSE)</f>
        <v>3.7253118866284498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356</v>
      </c>
      <c r="H335" s="95">
        <f t="shared" ca="1" si="56"/>
        <v>45646</v>
      </c>
      <c r="I335" s="119">
        <f ca="1">HLOOKUP($H$4,'Met Data'!$A$2:$F$368,G335,FALSE)</f>
        <v>16.074999999999999</v>
      </c>
      <c r="J335" s="119">
        <f ca="1">HLOOKUP($H$4,'Met Data'!$H$2:$M$368,G335,FALSE)*L335</f>
        <v>0.89999999999999902</v>
      </c>
      <c r="K335" s="96">
        <f ca="1">HLOOKUP($H$4,'Met Data'!$O$2:$T$368,G335,FALSE)</f>
        <v>3.69045556475041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357</v>
      </c>
      <c r="H336" s="95">
        <f t="shared" ca="1" si="56"/>
        <v>45647</v>
      </c>
      <c r="I336" s="119">
        <f ca="1">HLOOKUP($H$4,'Met Data'!$A$2:$F$368,G336,FALSE)</f>
        <v>16.1458333333333</v>
      </c>
      <c r="J336" s="119">
        <f ca="1">HLOOKUP($H$4,'Met Data'!$H$2:$M$368,G336,FALSE)*L336</f>
        <v>0.78333333333333299</v>
      </c>
      <c r="K336" s="96">
        <f ca="1">HLOOKUP($H$4,'Met Data'!$O$2:$T$368,G336,FALSE)</f>
        <v>3.66376320931905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358</v>
      </c>
      <c r="H337" s="95">
        <f t="shared" ca="1" si="56"/>
        <v>45648</v>
      </c>
      <c r="I337" s="119">
        <f ca="1">HLOOKUP($H$4,'Met Data'!$A$2:$F$368,G337,FALSE)</f>
        <v>16.820833333333301</v>
      </c>
      <c r="J337" s="119">
        <f ca="1">HLOOKUP($H$4,'Met Data'!$H$2:$M$368,G337,FALSE)*L337</f>
        <v>1.1666666666666601</v>
      </c>
      <c r="K337" s="96">
        <f ca="1">HLOOKUP($H$4,'Met Data'!$O$2:$T$368,G337,FALSE)</f>
        <v>4.2904592235930501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359</v>
      </c>
      <c r="H338" s="95">
        <f t="shared" ca="1" si="56"/>
        <v>45649</v>
      </c>
      <c r="I338" s="119">
        <f ca="1">HLOOKUP($H$4,'Met Data'!$A$2:$F$368,G338,FALSE)</f>
        <v>16.883333333333301</v>
      </c>
      <c r="J338" s="119">
        <f ca="1">HLOOKUP($H$4,'Met Data'!$H$2:$M$368,G338,FALSE)*L338</f>
        <v>4.1499999999999897</v>
      </c>
      <c r="K338" s="96">
        <f ca="1">HLOOKUP($H$4,'Met Data'!$O$2:$T$368,G338,FALSE)</f>
        <v>3.61274265774352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360</v>
      </c>
      <c r="H339" s="95">
        <f t="shared" ca="1" si="56"/>
        <v>45650</v>
      </c>
      <c r="I339" s="119">
        <f ca="1">HLOOKUP($H$4,'Met Data'!$A$2:$F$368,G339,FALSE)</f>
        <v>17.399999999999999</v>
      </c>
      <c r="J339" s="119">
        <f ca="1">HLOOKUP($H$4,'Met Data'!$H$2:$M$368,G339,FALSE)*L339</f>
        <v>5.0166666666666604</v>
      </c>
      <c r="K339" s="96">
        <f ca="1">HLOOKUP($H$4,'Met Data'!$O$2:$T$368,G339,FALSE)</f>
        <v>4.09028075025509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361</v>
      </c>
      <c r="H340" s="95">
        <f t="shared" ca="1" si="56"/>
        <v>45651</v>
      </c>
      <c r="I340" s="119">
        <f ca="1">HLOOKUP($H$4,'Met Data'!$A$2:$F$368,G340,FALSE)</f>
        <v>17.920833333333299</v>
      </c>
      <c r="J340" s="119">
        <f ca="1">HLOOKUP($H$4,'Met Data'!$H$2:$M$368,G340,FALSE)*L340</f>
        <v>0.56666666666666599</v>
      </c>
      <c r="K340" s="96">
        <f ca="1">HLOOKUP($H$4,'Met Data'!$O$2:$T$368,G340,FALSE)</f>
        <v>4.1244552423616296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362</v>
      </c>
      <c r="H341" s="95">
        <f t="shared" ca="1" si="56"/>
        <v>45652</v>
      </c>
      <c r="I341" s="119">
        <f ca="1">HLOOKUP($H$4,'Met Data'!$A$2:$F$368,G341,FALSE)</f>
        <v>17.537500000000001</v>
      </c>
      <c r="J341" s="119">
        <f ca="1">HLOOKUP($H$4,'Met Data'!$H$2:$M$368,G341,FALSE)*L341</f>
        <v>1.2833333333333301</v>
      </c>
      <c r="K341" s="96">
        <f ca="1">HLOOKUP($H$4,'Met Data'!$O$2:$T$368,G341,FALSE)</f>
        <v>4.3692883234689903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363</v>
      </c>
      <c r="H342" s="95">
        <f t="shared" ca="1" si="56"/>
        <v>45653</v>
      </c>
      <c r="I342" s="119">
        <f ca="1">HLOOKUP($H$4,'Met Data'!$A$2:$F$368,G342,FALSE)</f>
        <v>17.012499999999999</v>
      </c>
      <c r="J342" s="119">
        <f ca="1">HLOOKUP($H$4,'Met Data'!$H$2:$M$368,G342,FALSE)*L342</f>
        <v>1.5833333333333299</v>
      </c>
      <c r="K342" s="96">
        <f ca="1">HLOOKUP($H$4,'Met Data'!$O$2:$T$368,G342,FALSE)</f>
        <v>3.8686759650684999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364</v>
      </c>
      <c r="H343" s="95">
        <f t="shared" ca="1" si="56"/>
        <v>45654</v>
      </c>
      <c r="I343" s="119">
        <f ca="1">HLOOKUP($H$4,'Met Data'!$A$2:$F$368,G343,FALSE)</f>
        <v>17.1041666666666</v>
      </c>
      <c r="J343" s="119">
        <f ca="1">HLOOKUP($H$4,'Met Data'!$H$2:$M$368,G343,FALSE)*L343</f>
        <v>4.2833333333333297</v>
      </c>
      <c r="K343" s="96">
        <f ca="1">HLOOKUP($H$4,'Met Data'!$O$2:$T$368,G343,FALSE)</f>
        <v>3.65125453231978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365</v>
      </c>
      <c r="H344" s="95">
        <f t="shared" ca="1" si="56"/>
        <v>45655</v>
      </c>
      <c r="I344" s="119">
        <f ca="1">HLOOKUP($H$4,'Met Data'!$A$2:$F$368,G344,FALSE)</f>
        <v>17.0541666666666</v>
      </c>
      <c r="J344" s="119">
        <f ca="1">HLOOKUP($H$4,'Met Data'!$H$2:$M$368,G344,FALSE)*L344</f>
        <v>3.68333333333333</v>
      </c>
      <c r="K344" s="96">
        <f ca="1">HLOOKUP($H$4,'Met Data'!$O$2:$T$368,G344,FALSE)</f>
        <v>3.3111049356888498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366</v>
      </c>
      <c r="H345" s="95">
        <f t="shared" ca="1" si="56"/>
        <v>45656</v>
      </c>
      <c r="I345" s="119">
        <f ca="1">HLOOKUP($H$4,'Met Data'!$A$2:$F$368,G345,FALSE)</f>
        <v>16.6875</v>
      </c>
      <c r="J345" s="119">
        <f ca="1">HLOOKUP($H$4,'Met Data'!$H$2:$M$368,G345,FALSE)*L345</f>
        <v>4.68333333333333</v>
      </c>
      <c r="K345" s="96">
        <f ca="1">HLOOKUP($H$4,'Met Data'!$O$2:$T$368,G345,FALSE)</f>
        <v>3.7095349810249001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367</v>
      </c>
      <c r="H346" s="95">
        <f t="shared" ca="1" si="56"/>
        <v>45657</v>
      </c>
      <c r="I346" s="119">
        <f ca="1">HLOOKUP($H$4,'Met Data'!$A$2:$F$368,G346,FALSE)</f>
        <v>15.483333333333301</v>
      </c>
      <c r="J346" s="119">
        <f ca="1">HLOOKUP($H$4,'Met Data'!$H$2:$M$368,G346,FALSE)*L346</f>
        <v>0</v>
      </c>
      <c r="K346" s="96">
        <f ca="1">HLOOKUP($H$4,'Met Data'!$O$2:$T$368,G346,FALSE)</f>
        <v>5.2329405479025102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2</v>
      </c>
      <c r="H347" s="95">
        <f t="shared" ca="1" si="56"/>
        <v>45658</v>
      </c>
      <c r="I347" s="119">
        <f ca="1">HLOOKUP($H$4,'Met Data'!$A$2:$F$368,G347,FALSE)</f>
        <v>17.908333333333299</v>
      </c>
      <c r="J347" s="119">
        <f ca="1">HLOOKUP($H$4,'Met Data'!$H$2:$M$368,G347,FALSE)*L347</f>
        <v>2.5499999999999998</v>
      </c>
      <c r="K347" s="96">
        <f ca="1">HLOOKUP($H$4,'Met Data'!$O$2:$T$368,G347,FALSE)</f>
        <v>3.6545263506553698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3</v>
      </c>
      <c r="H348" s="95">
        <f t="shared" ca="1" si="56"/>
        <v>45659</v>
      </c>
      <c r="I348" s="119">
        <f ca="1">HLOOKUP($H$4,'Met Data'!$A$2:$F$368,G348,FALSE)</f>
        <v>18.454166666666602</v>
      </c>
      <c r="J348" s="119">
        <f ca="1">HLOOKUP($H$4,'Met Data'!$H$2:$M$368,G348,FALSE)*L348</f>
        <v>2.3166666666666602</v>
      </c>
      <c r="K348" s="96">
        <f ca="1">HLOOKUP($H$4,'Met Data'!$O$2:$T$368,G348,FALSE)</f>
        <v>3.0374578661788201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4</v>
      </c>
      <c r="H349" s="95">
        <f t="shared" ca="1" si="56"/>
        <v>45660</v>
      </c>
      <c r="I349" s="119">
        <f ca="1">HLOOKUP($H$4,'Met Data'!$A$2:$F$368,G349,FALSE)</f>
        <v>18.4916666666666</v>
      </c>
      <c r="J349" s="119">
        <f ca="1">HLOOKUP($H$4,'Met Data'!$H$2:$M$368,G349,FALSE)*L349</f>
        <v>6.6333333333333302</v>
      </c>
      <c r="K349" s="96">
        <f ca="1">HLOOKUP($H$4,'Met Data'!$O$2:$T$368,G349,FALSE)</f>
        <v>3.5424660833564698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5</v>
      </c>
      <c r="H350" s="95">
        <f t="shared" ca="1" si="56"/>
        <v>45661</v>
      </c>
      <c r="I350" s="119">
        <f ca="1">HLOOKUP($H$4,'Met Data'!$A$2:$F$368,G350,FALSE)</f>
        <v>17</v>
      </c>
      <c r="J350" s="119">
        <f ca="1">HLOOKUP($H$4,'Met Data'!$H$2:$M$368,G350,FALSE)*L350</f>
        <v>1.93333333333333</v>
      </c>
      <c r="K350" s="96">
        <f ca="1">HLOOKUP($H$4,'Met Data'!$O$2:$T$368,G350,FALSE)</f>
        <v>4.6893309655458602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6</v>
      </c>
      <c r="H351" s="95">
        <f t="shared" ca="1" si="56"/>
        <v>45662</v>
      </c>
      <c r="I351" s="119">
        <f ca="1">HLOOKUP($H$4,'Met Data'!$A$2:$F$368,G351,FALSE)</f>
        <v>16.4166666666666</v>
      </c>
      <c r="J351" s="119">
        <f ca="1">HLOOKUP($H$4,'Met Data'!$H$2:$M$368,G351,FALSE)*L351</f>
        <v>2.9833333333333298</v>
      </c>
      <c r="K351" s="96">
        <f ca="1">HLOOKUP($H$4,'Met Data'!$O$2:$T$368,G351,FALSE)</f>
        <v>4.0957861961112103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7</v>
      </c>
      <c r="H352" s="95">
        <f t="shared" ca="1" si="56"/>
        <v>45663</v>
      </c>
      <c r="I352" s="119">
        <f ca="1">HLOOKUP($H$4,'Met Data'!$A$2:$F$368,G352,FALSE)</f>
        <v>17.629166666666599</v>
      </c>
      <c r="J352" s="119">
        <f ca="1">HLOOKUP($H$4,'Met Data'!$H$2:$M$368,G352,FALSE)*L352</f>
        <v>0.43333333333333302</v>
      </c>
      <c r="K352" s="96">
        <f ca="1">HLOOKUP($H$4,'Met Data'!$O$2:$T$368,G352,FALSE)</f>
        <v>4.0765351917680999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8</v>
      </c>
      <c r="H353" s="95">
        <f t="shared" ca="1" si="56"/>
        <v>45664</v>
      </c>
      <c r="I353" s="119">
        <f ca="1">HLOOKUP($H$4,'Met Data'!$A$2:$F$368,G353,FALSE)</f>
        <v>17.004166666666599</v>
      </c>
      <c r="J353" s="119">
        <f ca="1">HLOOKUP($H$4,'Met Data'!$H$2:$M$368,G353,FALSE)*L353</f>
        <v>2.7833333333333301</v>
      </c>
      <c r="K353" s="96">
        <f ca="1">HLOOKUP($H$4,'Met Data'!$O$2:$T$368,G353,FALSE)</f>
        <v>3.5869881049730998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9</v>
      </c>
      <c r="H354" s="95">
        <f t="shared" ca="1" si="56"/>
        <v>45665</v>
      </c>
      <c r="I354" s="119">
        <f ca="1">HLOOKUP($H$4,'Met Data'!$A$2:$F$368,G354,FALSE)</f>
        <v>17.433333333333302</v>
      </c>
      <c r="J354" s="119">
        <f ca="1">HLOOKUP($H$4,'Met Data'!$H$2:$M$368,G354,FALSE)*L354</f>
        <v>2.3833333333333302</v>
      </c>
      <c r="K354" s="96">
        <f ca="1">HLOOKUP($H$4,'Met Data'!$O$2:$T$368,G354,FALSE)</f>
        <v>4.2605807421289903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10</v>
      </c>
      <c r="H355" s="95">
        <f t="shared" ca="1" si="56"/>
        <v>45666</v>
      </c>
      <c r="I355" s="119">
        <f ca="1">HLOOKUP($H$4,'Met Data'!$A$2:$F$368,G355,FALSE)</f>
        <v>17.0208333333333</v>
      </c>
      <c r="J355" s="119">
        <f ca="1">HLOOKUP($H$4,'Met Data'!$H$2:$M$368,G355,FALSE)*L355</f>
        <v>0.3</v>
      </c>
      <c r="K355" s="96">
        <f ca="1">HLOOKUP($H$4,'Met Data'!$O$2:$T$368,G355,FALSE)</f>
        <v>4.14669035003873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11</v>
      </c>
      <c r="H356" s="95">
        <f t="shared" ca="1" si="56"/>
        <v>45667</v>
      </c>
      <c r="I356" s="119">
        <f ca="1">HLOOKUP($H$4,'Met Data'!$A$2:$F$368,G356,FALSE)</f>
        <v>17.6041666666666</v>
      </c>
      <c r="J356" s="119">
        <f ca="1">HLOOKUP($H$4,'Met Data'!$H$2:$M$368,G356,FALSE)*L356</f>
        <v>0.88333333333333297</v>
      </c>
      <c r="K356" s="96">
        <f ca="1">HLOOKUP($H$4,'Met Data'!$O$2:$T$368,G356,FALSE)</f>
        <v>3.4815515936566799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12</v>
      </c>
      <c r="H357" s="95">
        <f t="shared" ca="1" si="56"/>
        <v>45668</v>
      </c>
      <c r="I357" s="119">
        <f ca="1">HLOOKUP($H$4,'Met Data'!$A$2:$F$368,G357,FALSE)</f>
        <v>17.654166666666601</v>
      </c>
      <c r="J357" s="119">
        <f ca="1">HLOOKUP($H$4,'Met Data'!$H$2:$M$368,G357,FALSE)*L357</f>
        <v>0.33333333333333298</v>
      </c>
      <c r="K357" s="96">
        <f ca="1">HLOOKUP($H$4,'Met Data'!$O$2:$T$368,G357,FALSE)</f>
        <v>4.1035718910061201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13</v>
      </c>
      <c r="H358" s="95">
        <f t="shared" ca="1" si="56"/>
        <v>45669</v>
      </c>
      <c r="I358" s="119">
        <f ca="1">HLOOKUP($H$4,'Met Data'!$A$2:$F$368,G358,FALSE)</f>
        <v>18.175000000000001</v>
      </c>
      <c r="J358" s="119">
        <f ca="1">HLOOKUP($H$4,'Met Data'!$H$2:$M$368,G358,FALSE)*L358</f>
        <v>0.96666666666666601</v>
      </c>
      <c r="K358" s="96">
        <f ca="1">HLOOKUP($H$4,'Met Data'!$O$2:$T$368,G358,FALSE)</f>
        <v>3.7942004669494902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14</v>
      </c>
      <c r="H359" s="95">
        <f t="shared" ca="1" si="56"/>
        <v>45670</v>
      </c>
      <c r="I359" s="119">
        <f ca="1">HLOOKUP($H$4,'Met Data'!$A$2:$F$368,G359,FALSE)</f>
        <v>17.883333333333301</v>
      </c>
      <c r="J359" s="119">
        <f ca="1">HLOOKUP($H$4,'Met Data'!$H$2:$M$368,G359,FALSE)*L359</f>
        <v>3.0333333333333301</v>
      </c>
      <c r="K359" s="96">
        <f ca="1">HLOOKUP($H$4,'Met Data'!$O$2:$T$368,G359,FALSE)</f>
        <v>3.9941259720520699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15</v>
      </c>
      <c r="H360" s="95">
        <f t="shared" ca="1" si="56"/>
        <v>45671</v>
      </c>
      <c r="I360" s="119">
        <f ca="1">HLOOKUP($H$4,'Met Data'!$A$2:$F$368,G360,FALSE)</f>
        <v>17.279166666666601</v>
      </c>
      <c r="J360" s="119">
        <f ca="1">HLOOKUP($H$4,'Met Data'!$H$2:$M$368,G360,FALSE)*L360</f>
        <v>2.8833333333333302</v>
      </c>
      <c r="K360" s="96">
        <f ca="1">HLOOKUP($H$4,'Met Data'!$O$2:$T$368,G360,FALSE)</f>
        <v>4.3919546564694203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16</v>
      </c>
      <c r="H361" s="95">
        <f t="shared" ca="1" si="56"/>
        <v>45672</v>
      </c>
      <c r="I361" s="119">
        <f ca="1">HLOOKUP($H$4,'Met Data'!$A$2:$F$368,G361,FALSE)</f>
        <v>17.5208333333333</v>
      </c>
      <c r="J361" s="119">
        <f ca="1">HLOOKUP($H$4,'Met Data'!$H$2:$M$368,G361,FALSE)*L361</f>
        <v>2.5833333333333299</v>
      </c>
      <c r="K361" s="96">
        <f ca="1">HLOOKUP($H$4,'Met Data'!$O$2:$T$368,G361,FALSE)</f>
        <v>4.2128718222508397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17</v>
      </c>
      <c r="H362" s="95">
        <f t="shared" ca="1" si="56"/>
        <v>45673</v>
      </c>
      <c r="I362" s="119">
        <f ca="1">HLOOKUP($H$4,'Met Data'!$A$2:$F$368,G362,FALSE)</f>
        <v>17.970833333333299</v>
      </c>
      <c r="J362" s="119">
        <f ca="1">HLOOKUP($H$4,'Met Data'!$H$2:$M$368,G362,FALSE)*L362</f>
        <v>0.266666666666666</v>
      </c>
      <c r="K362" s="96">
        <f ca="1">HLOOKUP($H$4,'Met Data'!$O$2:$T$368,G362,FALSE)</f>
        <v>4.0252286180437302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18</v>
      </c>
      <c r="H363" s="95">
        <f t="shared" ca="1" si="56"/>
        <v>45674</v>
      </c>
      <c r="I363" s="119">
        <f ca="1">HLOOKUP($H$4,'Met Data'!$A$2:$F$368,G363,FALSE)</f>
        <v>18.2708333333333</v>
      </c>
      <c r="J363" s="119">
        <f ca="1">HLOOKUP($H$4,'Met Data'!$H$2:$M$368,G363,FALSE)*L363</f>
        <v>1.81666666666666</v>
      </c>
      <c r="K363" s="96">
        <f ca="1">HLOOKUP($H$4,'Met Data'!$O$2:$T$368,G363,FALSE)</f>
        <v>4.3125410240098896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19</v>
      </c>
      <c r="H364" s="95">
        <f t="shared" ca="1" si="56"/>
        <v>45675</v>
      </c>
      <c r="I364" s="119">
        <f ca="1">HLOOKUP($H$4,'Met Data'!$A$2:$F$368,G364,FALSE)</f>
        <v>17.954166666666602</v>
      </c>
      <c r="J364" s="119">
        <f ca="1">HLOOKUP($H$4,'Met Data'!$H$2:$M$368,G364,FALSE)*L364</f>
        <v>4.1499999999999897</v>
      </c>
      <c r="K364" s="96">
        <f ca="1">HLOOKUP($H$4,'Met Data'!$O$2:$T$368,G364,FALSE)</f>
        <v>3.9046074195490301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20</v>
      </c>
      <c r="H365" s="95">
        <f t="shared" ca="1" si="56"/>
        <v>45676</v>
      </c>
      <c r="I365" s="119">
        <f ca="1">HLOOKUP($H$4,'Met Data'!$A$2:$F$368,G365,FALSE)</f>
        <v>18.454166666666602</v>
      </c>
      <c r="J365" s="119">
        <f ca="1">HLOOKUP($H$4,'Met Data'!$H$2:$M$368,G365,FALSE)*L365</f>
        <v>2.5166666666666599</v>
      </c>
      <c r="K365" s="96">
        <f ca="1">HLOOKUP($H$4,'Met Data'!$O$2:$T$368,G365,FALSE)</f>
        <v>4.0894627552594898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21</v>
      </c>
      <c r="H366" s="95">
        <f t="shared" ca="1" si="56"/>
        <v>45677</v>
      </c>
      <c r="I366" s="119">
        <f ca="1">HLOOKUP($H$4,'Met Data'!$A$2:$F$368,G366,FALSE)</f>
        <v>18.125</v>
      </c>
      <c r="J366" s="119">
        <f ca="1">HLOOKUP($H$4,'Met Data'!$H$2:$M$368,G366,FALSE)*L366</f>
        <v>3.3333333333333299</v>
      </c>
      <c r="K366" s="96">
        <f ca="1">HLOOKUP($H$4,'Met Data'!$O$2:$T$368,G366,FALSE)</f>
        <v>4.4627747616983804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22</v>
      </c>
      <c r="H367" s="95">
        <f t="shared" ca="1" si="56"/>
        <v>45678</v>
      </c>
      <c r="I367" s="119">
        <f ca="1">HLOOKUP($H$4,'Met Data'!$A$2:$F$368,G367,FALSE)</f>
        <v>17.6791666666666</v>
      </c>
      <c r="J367" s="119">
        <f ca="1">HLOOKUP($H$4,'Met Data'!$H$2:$M$368,G367,FALSE)*L367</f>
        <v>2.4</v>
      </c>
      <c r="K367" s="96">
        <f ca="1">HLOOKUP($H$4,'Met Data'!$O$2:$T$368,G367,FALSE)</f>
        <v>3.8954755691343999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23</v>
      </c>
      <c r="H368" s="95">
        <f t="shared" ca="1" si="56"/>
        <v>45679</v>
      </c>
      <c r="I368" s="119">
        <f ca="1">HLOOKUP($H$4,'Met Data'!$A$2:$F$368,G368,FALSE)</f>
        <v>17.350000000000001</v>
      </c>
      <c r="J368" s="119">
        <f ca="1">HLOOKUP($H$4,'Met Data'!$H$2:$M$368,G368,FALSE)*L368</f>
        <v>2.6333333333333302</v>
      </c>
      <c r="K368" s="96">
        <f ca="1">HLOOKUP($H$4,'Met Data'!$O$2:$T$368,G368,FALSE)</f>
        <v>3.2997711779398098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24</v>
      </c>
      <c r="H369" s="95">
        <f t="shared" ca="1" si="56"/>
        <v>45680</v>
      </c>
      <c r="I369" s="119">
        <f ca="1">HLOOKUP($H$4,'Met Data'!$A$2:$F$368,G369,FALSE)</f>
        <v>17.504166666666599</v>
      </c>
      <c r="J369" s="119">
        <f ca="1">HLOOKUP($H$4,'Met Data'!$H$2:$M$368,G369,FALSE)*L369</f>
        <v>5.5166666666666604</v>
      </c>
      <c r="K369" s="96">
        <f ca="1">HLOOKUP($H$4,'Met Data'!$O$2:$T$368,G369,FALSE)</f>
        <v>3.46570930270954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25</v>
      </c>
      <c r="H370" s="95">
        <f t="shared" ca="1" si="56"/>
        <v>45681</v>
      </c>
      <c r="I370" s="119">
        <f ca="1">HLOOKUP($H$4,'Met Data'!$A$2:$F$368,G370,FALSE)</f>
        <v>17.713636363636301</v>
      </c>
      <c r="J370" s="119">
        <f ca="1">HLOOKUP($H$4,'Met Data'!$H$2:$M$368,G370,FALSE)*L370</f>
        <v>1.3818181818181801</v>
      </c>
      <c r="K370" s="96">
        <f ca="1">HLOOKUP($H$4,'Met Data'!$O$2:$T$368,G370,FALSE)</f>
        <v>4.0186876239346203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26</v>
      </c>
      <c r="H371" s="95">
        <f t="shared" ca="1" si="56"/>
        <v>45682</v>
      </c>
      <c r="I371" s="119">
        <f ca="1">HLOOKUP($H$4,'Met Data'!$A$2:$F$368,G371,FALSE)</f>
        <v>17.8541666666666</v>
      </c>
      <c r="J371" s="119">
        <f ca="1">HLOOKUP($H$4,'Met Data'!$H$2:$M$368,G371,FALSE)*L371</f>
        <v>0.46666666666666601</v>
      </c>
      <c r="K371" s="96">
        <f ca="1">HLOOKUP($H$4,'Met Data'!$O$2:$T$368,G371,FALSE)</f>
        <v>4.1496250953293998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27</v>
      </c>
      <c r="H372" s="95">
        <f t="shared" ca="1" si="56"/>
        <v>45683</v>
      </c>
      <c r="I372" s="119">
        <f ca="1">HLOOKUP($H$4,'Met Data'!$A$2:$F$368,G372,FALSE)</f>
        <v>18.933333333333302</v>
      </c>
      <c r="J372" s="119">
        <f ca="1">HLOOKUP($H$4,'Met Data'!$H$2:$M$368,G372,FALSE)*L372</f>
        <v>1.8</v>
      </c>
      <c r="K372" s="96">
        <f ca="1">HLOOKUP($H$4,'Met Data'!$O$2:$T$368,G372,FALSE)</f>
        <v>4.1034832888531598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28</v>
      </c>
      <c r="H373" s="95">
        <f t="shared" ca="1" si="56"/>
        <v>45684</v>
      </c>
      <c r="I373" s="119">
        <f ca="1">HLOOKUP($H$4,'Met Data'!$A$2:$F$368,G373,FALSE)</f>
        <v>18.524999999999999</v>
      </c>
      <c r="J373" s="119">
        <f ca="1">HLOOKUP($H$4,'Met Data'!$H$2:$M$368,G373,FALSE)*L373</f>
        <v>4.2166666666666597</v>
      </c>
      <c r="K373" s="96">
        <f ca="1">HLOOKUP($H$4,'Met Data'!$O$2:$T$368,G373,FALSE)</f>
        <v>3.2920480795367801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29</v>
      </c>
      <c r="H374" s="95">
        <f t="shared" ca="1" si="56"/>
        <v>45685</v>
      </c>
      <c r="I374" s="119">
        <f ca="1">HLOOKUP($H$4,'Met Data'!$A$2:$F$368,G374,FALSE)</f>
        <v>18.283333333333299</v>
      </c>
      <c r="J374" s="119">
        <f ca="1">HLOOKUP($H$4,'Met Data'!$H$2:$M$368,G374,FALSE)*L374</f>
        <v>0.96666666666666601</v>
      </c>
      <c r="K374" s="96">
        <f ca="1">HLOOKUP($H$4,'Met Data'!$O$2:$T$368,G374,FALSE)</f>
        <v>3.7580315328576899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30</v>
      </c>
      <c r="H375" s="95">
        <f t="shared" ca="1" si="56"/>
        <v>45686</v>
      </c>
      <c r="I375" s="119">
        <f ca="1">HLOOKUP($H$4,'Met Data'!$A$2:$F$368,G375,FALSE)</f>
        <v>18.95</v>
      </c>
      <c r="J375" s="119">
        <f ca="1">HLOOKUP($H$4,'Met Data'!$H$2:$M$368,G375,FALSE)*L375</f>
        <v>0.233333333333333</v>
      </c>
      <c r="K375" s="96">
        <f ca="1">HLOOKUP($H$4,'Met Data'!$O$2:$T$368,G375,FALSE)</f>
        <v>4.4825712398856101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31</v>
      </c>
      <c r="H376" s="95">
        <f t="shared" ca="1" si="56"/>
        <v>45687</v>
      </c>
      <c r="I376" s="119">
        <f ca="1">HLOOKUP($H$4,'Met Data'!$A$2:$F$368,G376,FALSE)</f>
        <v>19.070833333333301</v>
      </c>
      <c r="J376" s="119">
        <f ca="1">HLOOKUP($H$4,'Met Data'!$H$2:$M$368,G376,FALSE)*L376</f>
        <v>1.45</v>
      </c>
      <c r="K376" s="96">
        <f ca="1">HLOOKUP($H$4,'Met Data'!$O$2:$T$368,G376,FALSE)</f>
        <v>4.1485395322845697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32</v>
      </c>
      <c r="H377" s="95">
        <f t="shared" ca="1" si="56"/>
        <v>45688</v>
      </c>
      <c r="I377" s="119">
        <f ca="1">HLOOKUP($H$4,'Met Data'!$A$2:$F$368,G377,FALSE)</f>
        <v>18.716666666666601</v>
      </c>
      <c r="J377" s="119">
        <f ca="1">HLOOKUP($H$4,'Met Data'!$H$2:$M$368,G377,FALSE)*L377</f>
        <v>1.6666666666666601E-2</v>
      </c>
      <c r="K377" s="96">
        <f ca="1">HLOOKUP($H$4,'Met Data'!$O$2:$T$368,G377,FALSE)</f>
        <v>3.9002627778438899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33</v>
      </c>
      <c r="H378" s="95">
        <f t="shared" ca="1" si="56"/>
        <v>45689</v>
      </c>
      <c r="I378" s="119">
        <f ca="1">HLOOKUP($H$4,'Met Data'!$A$2:$F$368,G378,FALSE)</f>
        <v>18.720833333333299</v>
      </c>
      <c r="J378" s="119">
        <f ca="1">HLOOKUP($H$4,'Met Data'!$H$2:$M$368,G378,FALSE)*L378</f>
        <v>5.1333333333333302</v>
      </c>
      <c r="K378" s="96">
        <f ca="1">HLOOKUP($H$4,'Met Data'!$O$2:$T$368,G378,FALSE)</f>
        <v>3.3425533464765702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34</v>
      </c>
      <c r="H379" s="95">
        <f t="shared" ca="1" si="56"/>
        <v>45690</v>
      </c>
      <c r="I379" s="119">
        <f ca="1">HLOOKUP($H$4,'Met Data'!$A$2:$F$368,G379,FALSE)</f>
        <v>18.558333333333302</v>
      </c>
      <c r="J379" s="119">
        <f ca="1">HLOOKUP($H$4,'Met Data'!$H$2:$M$368,G379,FALSE)*L379</f>
        <v>5.1666666666666599</v>
      </c>
      <c r="K379" s="96">
        <f ca="1">HLOOKUP($H$4,'Met Data'!$O$2:$T$368,G379,FALSE)</f>
        <v>3.37031285883524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35</v>
      </c>
      <c r="H380" s="95">
        <f t="shared" ca="1" si="56"/>
        <v>45691</v>
      </c>
      <c r="I380" s="119">
        <f ca="1">HLOOKUP($H$4,'Met Data'!$A$2:$F$368,G380,FALSE)</f>
        <v>18.841666666666601</v>
      </c>
      <c r="J380" s="119">
        <f ca="1">HLOOKUP($H$4,'Met Data'!$H$2:$M$368,G380,FALSE)*L380</f>
        <v>0.483333333333333</v>
      </c>
      <c r="K380" s="96">
        <f ca="1">HLOOKUP($H$4,'Met Data'!$O$2:$T$368,G380,FALSE)</f>
        <v>4.5373745966907704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36</v>
      </c>
      <c r="H381" s="95">
        <f t="shared" ca="1" si="56"/>
        <v>45692</v>
      </c>
      <c r="I381" s="119">
        <f ca="1">HLOOKUP($H$4,'Met Data'!$A$2:$F$368,G381,FALSE)</f>
        <v>18.441666666666599</v>
      </c>
      <c r="J381" s="119">
        <f ca="1">HLOOKUP($H$4,'Met Data'!$H$2:$M$368,G381,FALSE)*L381</f>
        <v>4.8</v>
      </c>
      <c r="K381" s="96">
        <f ca="1">HLOOKUP($H$4,'Met Data'!$O$2:$T$368,G381,FALSE)</f>
        <v>3.5125215918157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37</v>
      </c>
      <c r="H382" s="95">
        <f t="shared" ca="1" si="56"/>
        <v>45693</v>
      </c>
      <c r="I382" s="119">
        <f ca="1">HLOOKUP($H$4,'Met Data'!$A$2:$F$368,G382,FALSE)</f>
        <v>17.975000000000001</v>
      </c>
      <c r="J382" s="119">
        <f ca="1">HLOOKUP($H$4,'Met Data'!$H$2:$M$368,G382,FALSE)*L382</f>
        <v>2.0166666666666599</v>
      </c>
      <c r="K382" s="96">
        <f ca="1">HLOOKUP($H$4,'Met Data'!$O$2:$T$368,G382,FALSE)</f>
        <v>3.7922889429532498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38</v>
      </c>
      <c r="H383" s="95">
        <f t="shared" ca="1" si="56"/>
        <v>45694</v>
      </c>
      <c r="I383" s="119">
        <f ca="1">HLOOKUP($H$4,'Met Data'!$A$2:$F$368,G383,FALSE)</f>
        <v>17.383333333333301</v>
      </c>
      <c r="J383" s="119">
        <f ca="1">HLOOKUP($H$4,'Met Data'!$H$2:$M$368,G383,FALSE)*L383</f>
        <v>0.15</v>
      </c>
      <c r="K383" s="96">
        <f ca="1">HLOOKUP($H$4,'Met Data'!$O$2:$T$368,G383,FALSE)</f>
        <v>3.67022287265541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39</v>
      </c>
      <c r="H384" s="95">
        <f t="shared" ca="1" si="56"/>
        <v>45695</v>
      </c>
      <c r="I384" s="119">
        <f ca="1">HLOOKUP($H$4,'Met Data'!$A$2:$F$368,G384,FALSE)</f>
        <v>17.0416666666666</v>
      </c>
      <c r="J384" s="119">
        <f ca="1">HLOOKUP($H$4,'Met Data'!$H$2:$M$368,G384,FALSE)*L384</f>
        <v>3.0166666666666599</v>
      </c>
      <c r="K384" s="96">
        <f ca="1">HLOOKUP($H$4,'Met Data'!$O$2:$T$368,G384,FALSE)</f>
        <v>3.8754357428809398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40</v>
      </c>
      <c r="H385" s="95">
        <f t="shared" ca="1" si="56"/>
        <v>45696</v>
      </c>
      <c r="I385" s="119">
        <f ca="1">HLOOKUP($H$4,'Met Data'!$A$2:$F$368,G385,FALSE)</f>
        <v>17.483333333333299</v>
      </c>
      <c r="J385" s="119">
        <f ca="1">HLOOKUP($H$4,'Met Data'!$H$2:$M$368,G385,FALSE)*L385</f>
        <v>2.69999999999999</v>
      </c>
      <c r="K385" s="96">
        <f ca="1">HLOOKUP($H$4,'Met Data'!$O$2:$T$368,G385,FALSE)</f>
        <v>3.8024866154372199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41</v>
      </c>
      <c r="H386" s="95">
        <f t="shared" ca="1" si="56"/>
        <v>45697</v>
      </c>
      <c r="I386" s="119">
        <f ca="1">HLOOKUP($H$4,'Met Data'!$A$2:$F$368,G386,FALSE)</f>
        <v>17.5625</v>
      </c>
      <c r="J386" s="119">
        <f ca="1">HLOOKUP($H$4,'Met Data'!$H$2:$M$368,G386,FALSE)*L386</f>
        <v>0.51666666666666605</v>
      </c>
      <c r="K386" s="96">
        <f ca="1">HLOOKUP($H$4,'Met Data'!$O$2:$T$368,G386,FALSE)</f>
        <v>3.9226252937625699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42</v>
      </c>
      <c r="H387" s="95">
        <f t="shared" ca="1" si="56"/>
        <v>45698</v>
      </c>
      <c r="I387" s="119">
        <f ca="1">HLOOKUP($H$4,'Met Data'!$A$2:$F$368,G387,FALSE)</f>
        <v>17.7083333333333</v>
      </c>
      <c r="J387" s="119">
        <f ca="1">HLOOKUP($H$4,'Met Data'!$H$2:$M$368,G387,FALSE)*L387</f>
        <v>2.7333333333333298</v>
      </c>
      <c r="K387" s="96">
        <f ca="1">HLOOKUP($H$4,'Met Data'!$O$2:$T$368,G387,FALSE)</f>
        <v>3.6312925833969301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43</v>
      </c>
      <c r="H388" s="95">
        <f t="shared" ca="1" si="56"/>
        <v>45699</v>
      </c>
      <c r="I388" s="119">
        <f ca="1">HLOOKUP($H$4,'Met Data'!$A$2:$F$368,G388,FALSE)</f>
        <v>17.654166666666601</v>
      </c>
      <c r="J388" s="119">
        <f ca="1">HLOOKUP($H$4,'Met Data'!$H$2:$M$368,G388,FALSE)*L388</f>
        <v>5.3166666666666602</v>
      </c>
      <c r="K388" s="96">
        <f ca="1">HLOOKUP($H$4,'Met Data'!$O$2:$T$368,G388,FALSE)</f>
        <v>3.7825096271499201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44</v>
      </c>
      <c r="H389" s="95">
        <f t="shared" ca="1" si="56"/>
        <v>45700</v>
      </c>
      <c r="I389" s="119">
        <f ca="1">HLOOKUP($H$4,'Met Data'!$A$2:$F$368,G389,FALSE)</f>
        <v>18.245833333333302</v>
      </c>
      <c r="J389" s="119">
        <f ca="1">HLOOKUP($H$4,'Met Data'!$H$2:$M$368,G389,FALSE)*L389</f>
        <v>1.8</v>
      </c>
      <c r="K389" s="96">
        <f ca="1">HLOOKUP($H$4,'Met Data'!$O$2:$T$368,G389,FALSE)</f>
        <v>3.5345089397679601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45</v>
      </c>
      <c r="H390" s="95">
        <f t="shared" ca="1" si="56"/>
        <v>45701</v>
      </c>
      <c r="I390" s="119">
        <f ca="1">HLOOKUP($H$4,'Met Data'!$A$2:$F$368,G390,FALSE)</f>
        <v>18.674999999999901</v>
      </c>
      <c r="J390" s="119">
        <f ca="1">HLOOKUP($H$4,'Met Data'!$H$2:$M$368,G390,FALSE)*L390</f>
        <v>0.44999999999999901</v>
      </c>
      <c r="K390" s="96">
        <f ca="1">HLOOKUP($H$4,'Met Data'!$O$2:$T$368,G390,FALSE)</f>
        <v>3.2860966338213999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ref="G391:G454" ca="1" si="64">H391-DATE(YEAR(H391),1,0)+1</f>
        <v>46</v>
      </c>
      <c r="H391" s="95">
        <f t="shared" ca="1" si="56"/>
        <v>45702</v>
      </c>
      <c r="I391" s="119">
        <f ca="1">HLOOKUP($H$4,'Met Data'!$A$2:$F$368,G391,FALSE)</f>
        <v>18.670833333333299</v>
      </c>
      <c r="J391" s="119">
        <f ca="1">HLOOKUP($H$4,'Met Data'!$H$2:$M$368,G391,FALSE)*L391</f>
        <v>1.13333333333333</v>
      </c>
      <c r="K391" s="96">
        <f ca="1">HLOOKUP($H$4,'Met Data'!$O$2:$T$368,G391,FALSE)</f>
        <v>3.8932908527116399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ca="1" si="64"/>
        <v>47</v>
      </c>
      <c r="H392" s="95">
        <f t="shared" ref="H392:H455" ca="1" si="66">H391+1</f>
        <v>45703</v>
      </c>
      <c r="I392" s="119">
        <f ca="1">HLOOKUP($H$4,'Met Data'!$A$2:$F$368,G392,FALSE)</f>
        <v>18.1666666666666</v>
      </c>
      <c r="J392" s="119">
        <f ca="1">HLOOKUP($H$4,'Met Data'!$H$2:$M$368,G392,FALSE)*L392</f>
        <v>1.7333333333333301</v>
      </c>
      <c r="K392" s="96">
        <f ca="1">HLOOKUP($H$4,'Met Data'!$O$2:$T$368,G392,FALSE)</f>
        <v>3.7918051722380999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48</v>
      </c>
      <c r="H393" s="95">
        <f t="shared" ca="1" si="66"/>
        <v>45704</v>
      </c>
      <c r="I393" s="119">
        <f ca="1">HLOOKUP($H$4,'Met Data'!$A$2:$F$368,G393,FALSE)</f>
        <v>17.879166666666599</v>
      </c>
      <c r="J393" s="119">
        <f ca="1">HLOOKUP($H$4,'Met Data'!$H$2:$M$368,G393,FALSE)*L393</f>
        <v>0.73333333333333295</v>
      </c>
      <c r="K393" s="96">
        <f ca="1">HLOOKUP($H$4,'Met Data'!$O$2:$T$368,G393,FALSE)</f>
        <v>3.8813294167315999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49</v>
      </c>
      <c r="H394" s="95">
        <f t="shared" ca="1" si="66"/>
        <v>45705</v>
      </c>
      <c r="I394" s="119">
        <f ca="1">HLOOKUP($H$4,'Met Data'!$A$2:$F$368,G394,FALSE)</f>
        <v>18.2083333333333</v>
      </c>
      <c r="J394" s="119">
        <f ca="1">HLOOKUP($H$4,'Met Data'!$H$2:$M$368,G394,FALSE)*L394</f>
        <v>2.8833333333333302</v>
      </c>
      <c r="K394" s="96">
        <f ca="1">HLOOKUP($H$4,'Met Data'!$O$2:$T$368,G394,FALSE)</f>
        <v>3.5062121478789399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50</v>
      </c>
      <c r="H395" s="95">
        <f t="shared" ca="1" si="66"/>
        <v>45706</v>
      </c>
      <c r="I395" s="119">
        <f ca="1">HLOOKUP($H$4,'Met Data'!$A$2:$F$368,G395,FALSE)</f>
        <v>18.529166666666601</v>
      </c>
      <c r="J395" s="119">
        <f ca="1">HLOOKUP($H$4,'Met Data'!$H$2:$M$368,G395,FALSE)*L395</f>
        <v>2.85</v>
      </c>
      <c r="K395" s="96">
        <f ca="1">HLOOKUP($H$4,'Met Data'!$O$2:$T$368,G395,FALSE)</f>
        <v>3.5342235016405201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ref="AG395:AG458" ca="1" si="67">Q394+S395+T395+U395</f>
        <v>#N/A</v>
      </c>
      <c r="AH395" s="63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>
      <c r="G396" s="3">
        <f t="shared" ca="1" si="64"/>
        <v>51</v>
      </c>
      <c r="H396" s="95">
        <f t="shared" ca="1" si="66"/>
        <v>45707</v>
      </c>
      <c r="I396" s="119">
        <f ca="1">HLOOKUP($H$4,'Met Data'!$A$2:$F$368,G396,FALSE)</f>
        <v>18.925000000000001</v>
      </c>
      <c r="J396" s="119">
        <f ca="1">HLOOKUP($H$4,'Met Data'!$H$2:$M$368,G396,FALSE)*L396</f>
        <v>3.86666666666666</v>
      </c>
      <c r="K396" s="96">
        <f ca="1">HLOOKUP($H$4,'Met Data'!$O$2:$T$368,G396,FALSE)</f>
        <v>3.6338116563958698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ca="1" si="67"/>
        <v>#N/A</v>
      </c>
      <c r="AH396" s="63" t="e">
        <f t="shared" ca="1" si="68"/>
        <v>#N/A</v>
      </c>
      <c r="AI396" s="3" t="e">
        <f t="shared" ca="1" si="69"/>
        <v>#N/A</v>
      </c>
    </row>
    <row r="397" spans="7:35">
      <c r="G397" s="3">
        <f t="shared" ca="1" si="64"/>
        <v>52</v>
      </c>
      <c r="H397" s="95">
        <f t="shared" ca="1" si="66"/>
        <v>45708</v>
      </c>
      <c r="I397" s="119">
        <f ca="1">HLOOKUP($H$4,'Met Data'!$A$2:$F$368,G397,FALSE)</f>
        <v>19.195833333333301</v>
      </c>
      <c r="J397" s="119">
        <f ca="1">HLOOKUP($H$4,'Met Data'!$H$2:$M$368,G397,FALSE)*L397</f>
        <v>1.18333333333333</v>
      </c>
      <c r="K397" s="96">
        <f ca="1">HLOOKUP($H$4,'Met Data'!$O$2:$T$368,G397,FALSE)</f>
        <v>3.7477053916930299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53</v>
      </c>
      <c r="H398" s="95">
        <f t="shared" ca="1" si="66"/>
        <v>45709</v>
      </c>
      <c r="I398" s="119">
        <f ca="1">HLOOKUP($H$4,'Met Data'!$A$2:$F$368,G398,FALSE)</f>
        <v>18.945833333333301</v>
      </c>
      <c r="J398" s="119">
        <f ca="1">HLOOKUP($H$4,'Met Data'!$H$2:$M$368,G398,FALSE)*L398</f>
        <v>1.3333333333333299</v>
      </c>
      <c r="K398" s="96">
        <f ca="1">HLOOKUP($H$4,'Met Data'!$O$2:$T$368,G398,FALSE)</f>
        <v>3.7395681594102799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54</v>
      </c>
      <c r="H399" s="95">
        <f t="shared" ca="1" si="66"/>
        <v>45710</v>
      </c>
      <c r="I399" s="119">
        <f ca="1">HLOOKUP($H$4,'Met Data'!$A$2:$F$368,G399,FALSE)</f>
        <v>18.912499999999898</v>
      </c>
      <c r="J399" s="119">
        <f ca="1">HLOOKUP($H$4,'Met Data'!$H$2:$M$368,G399,FALSE)*L399</f>
        <v>6.18333333333333</v>
      </c>
      <c r="K399" s="96">
        <f ca="1">HLOOKUP($H$4,'Met Data'!$O$2:$T$368,G399,FALSE)</f>
        <v>3.0629444033618198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55</v>
      </c>
      <c r="H400" s="95">
        <f t="shared" ca="1" si="66"/>
        <v>45711</v>
      </c>
      <c r="I400" s="119">
        <f ca="1">HLOOKUP($H$4,'Met Data'!$A$2:$F$368,G400,FALSE)</f>
        <v>17.745833333333302</v>
      </c>
      <c r="J400" s="119">
        <f ca="1">HLOOKUP($H$4,'Met Data'!$H$2:$M$368,G400,FALSE)*L400</f>
        <v>0.7</v>
      </c>
      <c r="K400" s="96">
        <f ca="1">HLOOKUP($H$4,'Met Data'!$O$2:$T$368,G400,FALSE)</f>
        <v>3.7397228058893299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56</v>
      </c>
      <c r="H401" s="95">
        <f t="shared" ca="1" si="66"/>
        <v>45712</v>
      </c>
      <c r="I401" s="119">
        <f ca="1">HLOOKUP($H$4,'Met Data'!$A$2:$F$368,G401,FALSE)</f>
        <v>16.945833333333301</v>
      </c>
      <c r="J401" s="119">
        <f ca="1">HLOOKUP($H$4,'Met Data'!$H$2:$M$368,G401,FALSE)*L401</f>
        <v>1.5999999999999901</v>
      </c>
      <c r="K401" s="96">
        <f ca="1">HLOOKUP($H$4,'Met Data'!$O$2:$T$368,G401,FALSE)</f>
        <v>3.5683594386422701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57</v>
      </c>
      <c r="H402" s="95">
        <f t="shared" ca="1" si="66"/>
        <v>45713</v>
      </c>
      <c r="I402" s="119">
        <f ca="1">HLOOKUP($H$4,'Met Data'!$A$2:$F$368,G402,FALSE)</f>
        <v>17.495833333333302</v>
      </c>
      <c r="J402" s="119">
        <f ca="1">HLOOKUP($H$4,'Met Data'!$H$2:$M$368,G402,FALSE)*L402</f>
        <v>0.86666666666666603</v>
      </c>
      <c r="K402" s="96">
        <f ca="1">HLOOKUP($H$4,'Met Data'!$O$2:$T$368,G402,FALSE)</f>
        <v>3.5556810366886502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58</v>
      </c>
      <c r="H403" s="95">
        <f t="shared" ca="1" si="66"/>
        <v>45714</v>
      </c>
      <c r="I403" s="119">
        <f ca="1">HLOOKUP($H$4,'Met Data'!$A$2:$F$368,G403,FALSE)</f>
        <v>16.954166666666602</v>
      </c>
      <c r="J403" s="119">
        <f ca="1">HLOOKUP($H$4,'Met Data'!$H$2:$M$368,G403,FALSE)*L403</f>
        <v>0.93333333333333302</v>
      </c>
      <c r="K403" s="96">
        <f ca="1">HLOOKUP($H$4,'Met Data'!$O$2:$T$368,G403,FALSE)</f>
        <v>3.6102637976598602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59</v>
      </c>
      <c r="H404" s="95">
        <f t="shared" ca="1" si="66"/>
        <v>45715</v>
      </c>
      <c r="I404" s="119">
        <f ca="1">HLOOKUP($H$4,'Met Data'!$A$2:$F$368,G404,FALSE)</f>
        <v>16.829166666666602</v>
      </c>
      <c r="J404" s="119">
        <f ca="1">HLOOKUP($H$4,'Met Data'!$H$2:$M$368,G404,FALSE)*L404</f>
        <v>0.41666666666666602</v>
      </c>
      <c r="K404" s="96">
        <f ca="1">HLOOKUP($H$4,'Met Data'!$O$2:$T$368,G404,FALSE)</f>
        <v>3.6752740997587301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60</v>
      </c>
      <c r="H405" s="95">
        <f t="shared" ca="1" si="66"/>
        <v>45716</v>
      </c>
      <c r="I405" s="119">
        <f ca="1">HLOOKUP($H$4,'Met Data'!$A$2:$F$368,G405,FALSE)</f>
        <v>17.512499999999999</v>
      </c>
      <c r="J405" s="119">
        <f ca="1">HLOOKUP($H$4,'Met Data'!$H$2:$M$368,G405,FALSE)*L405</f>
        <v>0.38333333333333303</v>
      </c>
      <c r="K405" s="96">
        <f ca="1">HLOOKUP($H$4,'Met Data'!$O$2:$T$368,G405,FALSE)</f>
        <v>3.6973328494211302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61</v>
      </c>
      <c r="H406" s="95">
        <f t="shared" ca="1" si="66"/>
        <v>45717</v>
      </c>
      <c r="I406" s="119">
        <f ca="1">HLOOKUP($H$4,'Met Data'!$A$2:$F$368,G406,FALSE)</f>
        <v>17.1166666666666</v>
      </c>
      <c r="J406" s="119">
        <f ca="1">HLOOKUP($H$4,'Met Data'!$H$2:$M$368,G406,FALSE)*L406</f>
        <v>2.3166666666666602</v>
      </c>
      <c r="K406" s="96">
        <f ca="1">HLOOKUP($H$4,'Met Data'!$O$2:$T$368,G406,FALSE)</f>
        <v>3.5365052642272401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62</v>
      </c>
      <c r="H407" s="95">
        <f t="shared" ca="1" si="66"/>
        <v>45718</v>
      </c>
      <c r="I407" s="119">
        <f ca="1">HLOOKUP($H$4,'Met Data'!$A$2:$F$368,G407,FALSE)</f>
        <v>17.037500000000001</v>
      </c>
      <c r="J407" s="119">
        <f ca="1">HLOOKUP($H$4,'Met Data'!$H$2:$M$368,G407,FALSE)*L407</f>
        <v>2.18333333333333</v>
      </c>
      <c r="K407" s="96">
        <f ca="1">HLOOKUP($H$4,'Met Data'!$O$2:$T$368,G407,FALSE)</f>
        <v>3.0680063753167199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63</v>
      </c>
      <c r="H408" s="95">
        <f t="shared" ca="1" si="66"/>
        <v>45719</v>
      </c>
      <c r="I408" s="119">
        <f ca="1">HLOOKUP($H$4,'Met Data'!$A$2:$F$368,G408,FALSE)</f>
        <v>17.204166666666602</v>
      </c>
      <c r="J408" s="119">
        <f ca="1">HLOOKUP($H$4,'Met Data'!$H$2:$M$368,G408,FALSE)*L408</f>
        <v>0.61666666666666603</v>
      </c>
      <c r="K408" s="96">
        <f ca="1">HLOOKUP($H$4,'Met Data'!$O$2:$T$368,G408,FALSE)</f>
        <v>3.2161744467378801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64</v>
      </c>
      <c r="H409" s="95">
        <f t="shared" ca="1" si="66"/>
        <v>45720</v>
      </c>
      <c r="I409" s="119">
        <f ca="1">HLOOKUP($H$4,'Met Data'!$A$2:$F$368,G409,FALSE)</f>
        <v>16.720833333333299</v>
      </c>
      <c r="J409" s="119">
        <f ca="1">HLOOKUP($H$4,'Met Data'!$H$2:$M$368,G409,FALSE)*L409</f>
        <v>2.93333333333333</v>
      </c>
      <c r="K409" s="96">
        <f ca="1">HLOOKUP($H$4,'Met Data'!$O$2:$T$368,G409,FALSE)</f>
        <v>2.8476580172568502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65</v>
      </c>
      <c r="H410" s="95">
        <f t="shared" ca="1" si="66"/>
        <v>45721</v>
      </c>
      <c r="I410" s="119">
        <f ca="1">HLOOKUP($H$4,'Met Data'!$A$2:$F$368,G410,FALSE)</f>
        <v>17.05</v>
      </c>
      <c r="J410" s="119">
        <f ca="1">HLOOKUP($H$4,'Met Data'!$H$2:$M$368,G410,FALSE)*L410</f>
        <v>3.5</v>
      </c>
      <c r="K410" s="96">
        <f ca="1">HLOOKUP($H$4,'Met Data'!$O$2:$T$368,G410,FALSE)</f>
        <v>3.0856400612975601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66</v>
      </c>
      <c r="H411" s="95">
        <f t="shared" ca="1" si="66"/>
        <v>45722</v>
      </c>
      <c r="I411" s="119">
        <f ca="1">HLOOKUP($H$4,'Met Data'!$A$2:$F$368,G411,FALSE)</f>
        <v>16.5625</v>
      </c>
      <c r="J411" s="119">
        <f ca="1">HLOOKUP($H$4,'Met Data'!$H$2:$M$368,G411,FALSE)*L411</f>
        <v>1.9166666666666601</v>
      </c>
      <c r="K411" s="96">
        <f ca="1">HLOOKUP($H$4,'Met Data'!$O$2:$T$368,G411,FALSE)</f>
        <v>2.4477007585282702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67</v>
      </c>
      <c r="H412" s="95">
        <f t="shared" ca="1" si="66"/>
        <v>45723</v>
      </c>
      <c r="I412" s="119">
        <f ca="1">HLOOKUP($H$4,'Met Data'!$A$2:$F$368,G412,FALSE)</f>
        <v>16.349999999999898</v>
      </c>
      <c r="J412" s="119">
        <f ca="1">HLOOKUP($H$4,'Met Data'!$H$2:$M$368,G412,FALSE)*L412</f>
        <v>5.4</v>
      </c>
      <c r="K412" s="96">
        <f ca="1">HLOOKUP($H$4,'Met Data'!$O$2:$T$368,G412,FALSE)</f>
        <v>3.2051572713162999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68</v>
      </c>
      <c r="H413" s="95">
        <f t="shared" ca="1" si="66"/>
        <v>45724</v>
      </c>
      <c r="I413" s="119">
        <f ca="1">HLOOKUP($H$4,'Met Data'!$A$2:$F$368,G413,FALSE)</f>
        <v>16.404166666666601</v>
      </c>
      <c r="J413" s="119">
        <f ca="1">HLOOKUP($H$4,'Met Data'!$H$2:$M$368,G413,FALSE)*L413</f>
        <v>1.7666666666666599</v>
      </c>
      <c r="K413" s="96">
        <f ca="1">HLOOKUP($H$4,'Met Data'!$O$2:$T$368,G413,FALSE)</f>
        <v>3.3473688975414899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69</v>
      </c>
      <c r="H414" s="95">
        <f t="shared" ca="1" si="66"/>
        <v>45725</v>
      </c>
      <c r="I414" s="119">
        <f ca="1">HLOOKUP($H$4,'Met Data'!$A$2:$F$368,G414,FALSE)</f>
        <v>16.174999999999901</v>
      </c>
      <c r="J414" s="119">
        <f ca="1">HLOOKUP($H$4,'Met Data'!$H$2:$M$368,G414,FALSE)*L414</f>
        <v>0.54999999999999905</v>
      </c>
      <c r="K414" s="96">
        <f ca="1">HLOOKUP($H$4,'Met Data'!$O$2:$T$368,G414,FALSE)</f>
        <v>3.3552920602916099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70</v>
      </c>
      <c r="H415" s="95">
        <f t="shared" ca="1" si="66"/>
        <v>45726</v>
      </c>
      <c r="I415" s="119">
        <f ca="1">HLOOKUP($H$4,'Met Data'!$A$2:$F$368,G415,FALSE)</f>
        <v>16.625</v>
      </c>
      <c r="J415" s="119">
        <f ca="1">HLOOKUP($H$4,'Met Data'!$H$2:$M$368,G415,FALSE)*L415</f>
        <v>2.0666666666666602</v>
      </c>
      <c r="K415" s="96">
        <f ca="1">HLOOKUP($H$4,'Met Data'!$O$2:$T$368,G415,FALSE)</f>
        <v>3.2920876744510998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71</v>
      </c>
      <c r="H416" s="95">
        <f t="shared" ca="1" si="66"/>
        <v>45727</v>
      </c>
      <c r="I416" s="119">
        <f ca="1">HLOOKUP($H$4,'Met Data'!$A$2:$F$368,G416,FALSE)</f>
        <v>16.266666666666602</v>
      </c>
      <c r="J416" s="119">
        <f ca="1">HLOOKUP($H$4,'Met Data'!$H$2:$M$368,G416,FALSE)*L416</f>
        <v>3.44999999999999</v>
      </c>
      <c r="K416" s="96">
        <f ca="1">HLOOKUP($H$4,'Met Data'!$O$2:$T$368,G416,FALSE)</f>
        <v>2.5592177640993499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72</v>
      </c>
      <c r="H417" s="95">
        <f t="shared" ca="1" si="66"/>
        <v>45728</v>
      </c>
      <c r="I417" s="119">
        <f ca="1">HLOOKUP($H$4,'Met Data'!$A$2:$F$368,G417,FALSE)</f>
        <v>16.404166666666601</v>
      </c>
      <c r="J417" s="119">
        <f ca="1">HLOOKUP($H$4,'Met Data'!$H$2:$M$368,G417,FALSE)*L417</f>
        <v>1.5833333333333299</v>
      </c>
      <c r="K417" s="96">
        <f ca="1">HLOOKUP($H$4,'Met Data'!$O$2:$T$368,G417,FALSE)</f>
        <v>2.85115032224514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73</v>
      </c>
      <c r="H418" s="95">
        <f t="shared" ca="1" si="66"/>
        <v>45729</v>
      </c>
      <c r="I418" s="119">
        <f ca="1">HLOOKUP($H$4,'Met Data'!$A$2:$F$368,G418,FALSE)</f>
        <v>15.324999999999999</v>
      </c>
      <c r="J418" s="119">
        <f ca="1">HLOOKUP($H$4,'Met Data'!$H$2:$M$368,G418,FALSE)*L418</f>
        <v>1.38333333333333</v>
      </c>
      <c r="K418" s="96">
        <f ca="1">HLOOKUP($H$4,'Met Data'!$O$2:$T$368,G418,FALSE)</f>
        <v>2.7545575054438101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74</v>
      </c>
      <c r="H419" s="95">
        <f t="shared" ca="1" si="66"/>
        <v>45730</v>
      </c>
      <c r="I419" s="119">
        <f ca="1">HLOOKUP($H$4,'Met Data'!$A$2:$F$368,G419,FALSE)</f>
        <v>15.8333333333333</v>
      </c>
      <c r="J419" s="119">
        <f ca="1">HLOOKUP($H$4,'Met Data'!$H$2:$M$368,G419,FALSE)*L419</f>
        <v>0.483333333333333</v>
      </c>
      <c r="K419" s="96">
        <f ca="1">HLOOKUP($H$4,'Met Data'!$O$2:$T$368,G419,FALSE)</f>
        <v>2.9925841251346701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75</v>
      </c>
      <c r="H420" s="95">
        <f t="shared" ca="1" si="66"/>
        <v>45731</v>
      </c>
      <c r="I420" s="119">
        <f ca="1">HLOOKUP($H$4,'Met Data'!$A$2:$F$368,G420,FALSE)</f>
        <v>16.966666666666601</v>
      </c>
      <c r="J420" s="119">
        <f ca="1">HLOOKUP($H$4,'Met Data'!$H$2:$M$368,G420,FALSE)*L420</f>
        <v>0.31666666666666599</v>
      </c>
      <c r="K420" s="96">
        <f ca="1">HLOOKUP($H$4,'Met Data'!$O$2:$T$368,G420,FALSE)</f>
        <v>2.9125814341448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76</v>
      </c>
      <c r="H421" s="95">
        <f t="shared" ca="1" si="66"/>
        <v>45732</v>
      </c>
      <c r="I421" s="119">
        <f ca="1">HLOOKUP($H$4,'Met Data'!$A$2:$F$368,G421,FALSE)</f>
        <v>17.766666666666602</v>
      </c>
      <c r="J421" s="119">
        <f ca="1">HLOOKUP($H$4,'Met Data'!$H$2:$M$368,G421,FALSE)*L421</f>
        <v>2.25</v>
      </c>
      <c r="K421" s="96">
        <f ca="1">HLOOKUP($H$4,'Met Data'!$O$2:$T$368,G421,FALSE)</f>
        <v>2.3685635659939601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77</v>
      </c>
      <c r="H422" s="95">
        <f t="shared" ca="1" si="66"/>
        <v>45733</v>
      </c>
      <c r="I422" s="119">
        <f ca="1">HLOOKUP($H$4,'Met Data'!$A$2:$F$368,G422,FALSE)</f>
        <v>16.100000000000001</v>
      </c>
      <c r="J422" s="119">
        <f ca="1">HLOOKUP($H$4,'Met Data'!$H$2:$M$368,G422,FALSE)*L422</f>
        <v>1.4</v>
      </c>
      <c r="K422" s="96">
        <f ca="1">HLOOKUP($H$4,'Met Data'!$O$2:$T$368,G422,FALSE)</f>
        <v>2.7759280674014901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78</v>
      </c>
      <c r="H423" s="95">
        <f t="shared" ca="1" si="66"/>
        <v>45734</v>
      </c>
      <c r="I423" s="119">
        <f ca="1">HLOOKUP($H$4,'Met Data'!$A$2:$F$368,G423,FALSE)</f>
        <v>15.379166666666601</v>
      </c>
      <c r="J423" s="119">
        <f ca="1">HLOOKUP($H$4,'Met Data'!$H$2:$M$368,G423,FALSE)*L423</f>
        <v>3.68333333333333</v>
      </c>
      <c r="K423" s="96">
        <f ca="1">HLOOKUP($H$4,'Met Data'!$O$2:$T$368,G423,FALSE)</f>
        <v>2.7162290778951999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79</v>
      </c>
      <c r="H424" s="95">
        <f t="shared" ca="1" si="66"/>
        <v>45735</v>
      </c>
      <c r="I424" s="119">
        <f ca="1">HLOOKUP($H$4,'Met Data'!$A$2:$F$368,G424,FALSE)</f>
        <v>15.858333333333301</v>
      </c>
      <c r="J424" s="119">
        <f ca="1">HLOOKUP($H$4,'Met Data'!$H$2:$M$368,G424,FALSE)*L424</f>
        <v>0.85</v>
      </c>
      <c r="K424" s="96">
        <f ca="1">HLOOKUP($H$4,'Met Data'!$O$2:$T$368,G424,FALSE)</f>
        <v>2.8216063312721902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80</v>
      </c>
      <c r="H425" s="95">
        <f t="shared" ca="1" si="66"/>
        <v>45736</v>
      </c>
      <c r="I425" s="119">
        <f ca="1">HLOOKUP($H$4,'Met Data'!$A$2:$F$368,G425,FALSE)</f>
        <v>16.216666666666601</v>
      </c>
      <c r="J425" s="119">
        <f ca="1">HLOOKUP($H$4,'Met Data'!$H$2:$M$368,G425,FALSE)*L425</f>
        <v>8.3333333333333301E-2</v>
      </c>
      <c r="K425" s="96">
        <f ca="1">HLOOKUP($H$4,'Met Data'!$O$2:$T$368,G425,FALSE)</f>
        <v>2.7500481593686201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81</v>
      </c>
      <c r="H426" s="95">
        <f t="shared" ca="1" si="66"/>
        <v>45737</v>
      </c>
      <c r="I426" s="119">
        <f ca="1">HLOOKUP($H$4,'Met Data'!$A$2:$F$368,G426,FALSE)</f>
        <v>16.483333333333299</v>
      </c>
      <c r="J426" s="119">
        <f ca="1">HLOOKUP($H$4,'Met Data'!$H$2:$M$368,G426,FALSE)*L426</f>
        <v>1.11666666666666</v>
      </c>
      <c r="K426" s="96">
        <f ca="1">HLOOKUP($H$4,'Met Data'!$O$2:$T$368,G426,FALSE)</f>
        <v>2.6292753041097501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82</v>
      </c>
      <c r="H427" s="95">
        <f t="shared" ca="1" si="66"/>
        <v>45738</v>
      </c>
      <c r="I427" s="119">
        <f ca="1">HLOOKUP($H$4,'Met Data'!$A$2:$F$368,G427,FALSE)</f>
        <v>16.6791666666666</v>
      </c>
      <c r="J427" s="119">
        <f ca="1">HLOOKUP($H$4,'Met Data'!$H$2:$M$368,G427,FALSE)*L427</f>
        <v>1.63333333333333</v>
      </c>
      <c r="K427" s="96">
        <f ca="1">HLOOKUP($H$4,'Met Data'!$O$2:$T$368,G427,FALSE)</f>
        <v>2.3413673129625598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83</v>
      </c>
      <c r="H428" s="95">
        <f t="shared" ca="1" si="66"/>
        <v>45739</v>
      </c>
      <c r="I428" s="119">
        <f ca="1">HLOOKUP($H$4,'Met Data'!$A$2:$F$368,G428,FALSE)</f>
        <v>16.8</v>
      </c>
      <c r="J428" s="119">
        <f ca="1">HLOOKUP($H$4,'Met Data'!$H$2:$M$368,G428,FALSE)*L428</f>
        <v>2.2833333333333301</v>
      </c>
      <c r="K428" s="96">
        <f ca="1">HLOOKUP($H$4,'Met Data'!$O$2:$T$368,G428,FALSE)</f>
        <v>2.7038604411954998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84</v>
      </c>
      <c r="H429" s="95">
        <f t="shared" ca="1" si="66"/>
        <v>45740</v>
      </c>
      <c r="I429" s="119">
        <f ca="1">HLOOKUP($H$4,'Met Data'!$A$2:$F$368,G429,FALSE)</f>
        <v>16.237500000000001</v>
      </c>
      <c r="J429" s="119">
        <f ca="1">HLOOKUP($H$4,'Met Data'!$H$2:$M$368,G429,FALSE)*L429</f>
        <v>3.7833333333333301</v>
      </c>
      <c r="K429" s="96">
        <f ca="1">HLOOKUP($H$4,'Met Data'!$O$2:$T$368,G429,FALSE)</f>
        <v>2.1387131538714801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85</v>
      </c>
      <c r="H430" s="95">
        <f t="shared" ca="1" si="66"/>
        <v>45741</v>
      </c>
      <c r="I430" s="119">
        <f ca="1">HLOOKUP($H$4,'Met Data'!$A$2:$F$368,G430,FALSE)</f>
        <v>16.875</v>
      </c>
      <c r="J430" s="119">
        <f ca="1">HLOOKUP($H$4,'Met Data'!$H$2:$M$368,G430,FALSE)*L430</f>
        <v>2.9</v>
      </c>
      <c r="K430" s="96">
        <f ca="1">HLOOKUP($H$4,'Met Data'!$O$2:$T$368,G430,FALSE)</f>
        <v>2.4308063740099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86</v>
      </c>
      <c r="H431" s="95">
        <f t="shared" ca="1" si="66"/>
        <v>45742</v>
      </c>
      <c r="I431" s="119">
        <f ca="1">HLOOKUP($H$4,'Met Data'!$A$2:$F$368,G431,FALSE)</f>
        <v>17.024999999999999</v>
      </c>
      <c r="J431" s="119">
        <f ca="1">HLOOKUP($H$4,'Met Data'!$H$2:$M$368,G431,FALSE)*L431</f>
        <v>3.7333333333333298</v>
      </c>
      <c r="K431" s="96">
        <f ca="1">HLOOKUP($H$4,'Met Data'!$O$2:$T$368,G431,FALSE)</f>
        <v>2.3866525377963699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87</v>
      </c>
      <c r="H432" s="95">
        <f t="shared" ca="1" si="66"/>
        <v>45743</v>
      </c>
      <c r="I432" s="119">
        <f ca="1">HLOOKUP($H$4,'Met Data'!$A$2:$F$368,G432,FALSE)</f>
        <v>17.3</v>
      </c>
      <c r="J432" s="119">
        <f ca="1">HLOOKUP($H$4,'Met Data'!$H$2:$M$368,G432,FALSE)*L432</f>
        <v>1.93333333333333</v>
      </c>
      <c r="K432" s="96">
        <f ca="1">HLOOKUP($H$4,'Met Data'!$O$2:$T$368,G432,FALSE)</f>
        <v>2.6501779961824399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88</v>
      </c>
      <c r="H433" s="95">
        <f t="shared" ca="1" si="66"/>
        <v>45744</v>
      </c>
      <c r="I433" s="119">
        <f ca="1">HLOOKUP($H$4,'Met Data'!$A$2:$F$368,G433,FALSE)</f>
        <v>15.983333333333301</v>
      </c>
      <c r="J433" s="119">
        <f ca="1">HLOOKUP($H$4,'Met Data'!$H$2:$M$368,G433,FALSE)*L433</f>
        <v>1.2166666666666599</v>
      </c>
      <c r="K433" s="96">
        <f ca="1">HLOOKUP($H$4,'Met Data'!$O$2:$T$368,G433,FALSE)</f>
        <v>2.2352735074469998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89</v>
      </c>
      <c r="H434" s="95">
        <f t="shared" ca="1" si="66"/>
        <v>45745</v>
      </c>
      <c r="I434" s="119">
        <f ca="1">HLOOKUP($H$4,'Met Data'!$A$2:$F$368,G434,FALSE)</f>
        <v>16.404166666666601</v>
      </c>
      <c r="J434" s="119">
        <f ca="1">HLOOKUP($H$4,'Met Data'!$H$2:$M$368,G434,FALSE)*L434</f>
        <v>2.3333333333333299</v>
      </c>
      <c r="K434" s="96">
        <f ca="1">HLOOKUP($H$4,'Met Data'!$O$2:$T$368,G434,FALSE)</f>
        <v>2.3461969045698901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90</v>
      </c>
      <c r="H435" s="95">
        <f t="shared" ca="1" si="66"/>
        <v>45746</v>
      </c>
      <c r="I435" s="119">
        <f ca="1">HLOOKUP($H$4,'Met Data'!$A$2:$F$368,G435,FALSE)</f>
        <v>16.629166666666599</v>
      </c>
      <c r="J435" s="119">
        <f ca="1">HLOOKUP($H$4,'Met Data'!$H$2:$M$368,G435,FALSE)*L435</f>
        <v>2.2333333333333298</v>
      </c>
      <c r="K435" s="96">
        <f ca="1">HLOOKUP($H$4,'Met Data'!$O$2:$T$368,G435,FALSE)</f>
        <v>2.5330458314755799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91</v>
      </c>
      <c r="H436" s="95">
        <f t="shared" ca="1" si="66"/>
        <v>45747</v>
      </c>
      <c r="I436" s="119">
        <f ca="1">HLOOKUP($H$4,'Met Data'!$A$2:$F$368,G436,FALSE)</f>
        <v>16.112499999999901</v>
      </c>
      <c r="J436" s="119">
        <f ca="1">HLOOKUP($H$4,'Met Data'!$H$2:$M$368,G436,FALSE)*L436</f>
        <v>2.0833333333333299</v>
      </c>
      <c r="K436" s="96">
        <f ca="1">HLOOKUP($H$4,'Met Data'!$O$2:$T$368,G436,FALSE)</f>
        <v>2.4661161715906501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92</v>
      </c>
      <c r="H437" s="95">
        <f t="shared" ca="1" si="66"/>
        <v>45748</v>
      </c>
      <c r="I437" s="119">
        <f ca="1">HLOOKUP($H$4,'Met Data'!$A$2:$F$368,G437,FALSE)</f>
        <v>15.862500000000001</v>
      </c>
      <c r="J437" s="119">
        <f ca="1">HLOOKUP($H$4,'Met Data'!$H$2:$M$368,G437,FALSE)*L437</f>
        <v>1.3333333333333299</v>
      </c>
      <c r="K437" s="96">
        <f ca="1">HLOOKUP($H$4,'Met Data'!$O$2:$T$368,G437,FALSE)</f>
        <v>2.3173978620084501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93</v>
      </c>
      <c r="H438" s="95">
        <f t="shared" ca="1" si="66"/>
        <v>45749</v>
      </c>
      <c r="I438" s="119">
        <f ca="1">HLOOKUP($H$4,'Met Data'!$A$2:$F$368,G438,FALSE)</f>
        <v>15.299999999999899</v>
      </c>
      <c r="J438" s="119">
        <f ca="1">HLOOKUP($H$4,'Met Data'!$H$2:$M$368,G438,FALSE)*L438</f>
        <v>0.36666666666666597</v>
      </c>
      <c r="K438" s="96">
        <f ca="1">HLOOKUP($H$4,'Met Data'!$O$2:$T$368,G438,FALSE)</f>
        <v>2.1311275850035698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94</v>
      </c>
      <c r="H439" s="95">
        <f t="shared" ca="1" si="66"/>
        <v>45750</v>
      </c>
      <c r="I439" s="119">
        <f ca="1">HLOOKUP($H$4,'Met Data'!$A$2:$F$368,G439,FALSE)</f>
        <v>16.266666666666602</v>
      </c>
      <c r="J439" s="119">
        <f ca="1">HLOOKUP($H$4,'Met Data'!$H$2:$M$368,G439,FALSE)*L439</f>
        <v>4.36666666666666</v>
      </c>
      <c r="K439" s="96">
        <f ca="1">HLOOKUP($H$4,'Met Data'!$O$2:$T$368,G439,FALSE)</f>
        <v>2.1942415542804201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95</v>
      </c>
      <c r="H440" s="95">
        <f t="shared" ca="1" si="66"/>
        <v>45751</v>
      </c>
      <c r="I440" s="119">
        <f ca="1">HLOOKUP($H$4,'Met Data'!$A$2:$F$368,G440,FALSE)</f>
        <v>16.008333333333301</v>
      </c>
      <c r="J440" s="119">
        <f ca="1">HLOOKUP($H$4,'Met Data'!$H$2:$M$368,G440,FALSE)*L440</f>
        <v>5.5833333333333304</v>
      </c>
      <c r="K440" s="96">
        <f ca="1">HLOOKUP($H$4,'Met Data'!$O$2:$T$368,G440,FALSE)</f>
        <v>2.18875214188912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96</v>
      </c>
      <c r="H441" s="95">
        <f t="shared" ca="1" si="66"/>
        <v>45752</v>
      </c>
      <c r="I441" s="119">
        <f ca="1">HLOOKUP($H$4,'Met Data'!$A$2:$F$368,G441,FALSE)</f>
        <v>14.8083333333333</v>
      </c>
      <c r="J441" s="119">
        <f ca="1">HLOOKUP($H$4,'Met Data'!$H$2:$M$368,G441,FALSE)*L441</f>
        <v>3.93333333333333</v>
      </c>
      <c r="K441" s="96">
        <f ca="1">HLOOKUP($H$4,'Met Data'!$O$2:$T$368,G441,FALSE)</f>
        <v>2.25899576438928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97</v>
      </c>
      <c r="H442" s="95">
        <f t="shared" ca="1" si="66"/>
        <v>45753</v>
      </c>
      <c r="I442" s="119">
        <f ca="1">HLOOKUP($H$4,'Met Data'!$A$2:$F$368,G442,FALSE)</f>
        <v>14.283333333333299</v>
      </c>
      <c r="J442" s="119">
        <f ca="1">HLOOKUP($H$4,'Met Data'!$H$2:$M$368,G442,FALSE)*L442</f>
        <v>1.2666666666666599</v>
      </c>
      <c r="K442" s="96">
        <f ca="1">HLOOKUP($H$4,'Met Data'!$O$2:$T$368,G442,FALSE)</f>
        <v>2.2952223200603901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98</v>
      </c>
      <c r="H443" s="95">
        <f t="shared" ca="1" si="66"/>
        <v>45754</v>
      </c>
      <c r="I443" s="119">
        <f ca="1">HLOOKUP($H$4,'Met Data'!$A$2:$F$368,G443,FALSE)</f>
        <v>13.258333333333301</v>
      </c>
      <c r="J443" s="119">
        <f ca="1">HLOOKUP($H$4,'Met Data'!$H$2:$M$368,G443,FALSE)*L443</f>
        <v>1.18333333333333</v>
      </c>
      <c r="K443" s="96">
        <f ca="1">HLOOKUP($H$4,'Met Data'!$O$2:$T$368,G443,FALSE)</f>
        <v>1.94562323949851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99</v>
      </c>
      <c r="H444" s="95">
        <f t="shared" ca="1" si="66"/>
        <v>45755</v>
      </c>
      <c r="I444" s="119">
        <f ca="1">HLOOKUP($H$4,'Met Data'!$A$2:$F$368,G444,FALSE)</f>
        <v>13.8666666666666</v>
      </c>
      <c r="J444" s="119">
        <f ca="1">HLOOKUP($H$4,'Met Data'!$H$2:$M$368,G444,FALSE)*L444</f>
        <v>4.7333333333333298</v>
      </c>
      <c r="K444" s="96">
        <f ca="1">HLOOKUP($H$4,'Met Data'!$O$2:$T$368,G444,FALSE)</f>
        <v>1.65226329552866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100</v>
      </c>
      <c r="H445" s="95">
        <f t="shared" ca="1" si="66"/>
        <v>45756</v>
      </c>
      <c r="I445" s="119">
        <f ca="1">HLOOKUP($H$4,'Met Data'!$A$2:$F$368,G445,FALSE)</f>
        <v>14.404166666666599</v>
      </c>
      <c r="J445" s="119">
        <f ca="1">HLOOKUP($H$4,'Met Data'!$H$2:$M$368,G445,FALSE)*L445</f>
        <v>4.3166666666666602</v>
      </c>
      <c r="K445" s="96">
        <f ca="1">HLOOKUP($H$4,'Met Data'!$O$2:$T$368,G445,FALSE)</f>
        <v>1.8668252234765801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101</v>
      </c>
      <c r="H446" s="95">
        <f t="shared" ca="1" si="66"/>
        <v>45757</v>
      </c>
      <c r="I446" s="119">
        <f ca="1">HLOOKUP($H$4,'Met Data'!$A$2:$F$368,G446,FALSE)</f>
        <v>14.5416666666666</v>
      </c>
      <c r="J446" s="119">
        <f ca="1">HLOOKUP($H$4,'Met Data'!$H$2:$M$368,G446,FALSE)*L446</f>
        <v>4.43333333333333</v>
      </c>
      <c r="K446" s="96">
        <f ca="1">HLOOKUP($H$4,'Met Data'!$O$2:$T$368,G446,FALSE)</f>
        <v>1.97301093095216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102</v>
      </c>
      <c r="H447" s="95">
        <f t="shared" ca="1" si="66"/>
        <v>45758</v>
      </c>
      <c r="I447" s="119">
        <f ca="1">HLOOKUP($H$4,'Met Data'!$A$2:$F$368,G447,FALSE)</f>
        <v>14.279166666666599</v>
      </c>
      <c r="J447" s="119">
        <f ca="1">HLOOKUP($H$4,'Met Data'!$H$2:$M$368,G447,FALSE)*L447</f>
        <v>1.3333333333333299</v>
      </c>
      <c r="K447" s="96">
        <f ca="1">HLOOKUP($H$4,'Met Data'!$O$2:$T$368,G447,FALSE)</f>
        <v>1.63836682585681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103</v>
      </c>
      <c r="H448" s="95">
        <f t="shared" ca="1" si="66"/>
        <v>45759</v>
      </c>
      <c r="I448" s="119">
        <f ca="1">HLOOKUP($H$4,'Met Data'!$A$2:$F$368,G448,FALSE)</f>
        <v>15.1666666666666</v>
      </c>
      <c r="J448" s="119">
        <f ca="1">HLOOKUP($H$4,'Met Data'!$H$2:$M$368,G448,FALSE)*L448</f>
        <v>3.7833333333333301</v>
      </c>
      <c r="K448" s="96">
        <f ca="1">HLOOKUP($H$4,'Met Data'!$O$2:$T$368,G448,FALSE)</f>
        <v>1.8936832301932101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104</v>
      </c>
      <c r="H449" s="95">
        <f t="shared" ca="1" si="66"/>
        <v>45760</v>
      </c>
      <c r="I449" s="119">
        <f ca="1">HLOOKUP($H$4,'Met Data'!$A$2:$F$368,G449,FALSE)</f>
        <v>14.675000000000001</v>
      </c>
      <c r="J449" s="119">
        <f ca="1">HLOOKUP($H$4,'Met Data'!$H$2:$M$368,G449,FALSE)*L449</f>
        <v>4.5166666666666604</v>
      </c>
      <c r="K449" s="96">
        <f ca="1">HLOOKUP($H$4,'Met Data'!$O$2:$T$368,G449,FALSE)</f>
        <v>1.6971366028359001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105</v>
      </c>
      <c r="H450" s="95">
        <f t="shared" ca="1" si="66"/>
        <v>45761</v>
      </c>
      <c r="I450" s="119">
        <f ca="1">HLOOKUP($H$4,'Met Data'!$A$2:$F$368,G450,FALSE)</f>
        <v>13.504166666666601</v>
      </c>
      <c r="J450" s="119">
        <f ca="1">HLOOKUP($H$4,'Met Data'!$H$2:$M$368,G450,FALSE)*L450</f>
        <v>4.5</v>
      </c>
      <c r="K450" s="96">
        <f ca="1">HLOOKUP($H$4,'Met Data'!$O$2:$T$368,G450,FALSE)</f>
        <v>1.6970685904410301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106</v>
      </c>
      <c r="H451" s="95">
        <f t="shared" ca="1" si="66"/>
        <v>45762</v>
      </c>
      <c r="I451" s="119">
        <f ca="1">HLOOKUP($H$4,'Met Data'!$A$2:$F$368,G451,FALSE)</f>
        <v>13.779166666666599</v>
      </c>
      <c r="J451" s="119">
        <f ca="1">HLOOKUP($H$4,'Met Data'!$H$2:$M$368,G451,FALSE)*L451</f>
        <v>0.9</v>
      </c>
      <c r="K451" s="96">
        <f ca="1">HLOOKUP($H$4,'Met Data'!$O$2:$T$368,G451,FALSE)</f>
        <v>2.0649391337631702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107</v>
      </c>
      <c r="H452" s="95">
        <f t="shared" ca="1" si="66"/>
        <v>45763</v>
      </c>
      <c r="I452" s="119">
        <f ca="1">HLOOKUP($H$4,'Met Data'!$A$2:$F$368,G452,FALSE)</f>
        <v>13.920833333333301</v>
      </c>
      <c r="J452" s="119">
        <f ca="1">HLOOKUP($H$4,'Met Data'!$H$2:$M$368,G452,FALSE)*L452</f>
        <v>7.6</v>
      </c>
      <c r="K452" s="96">
        <f ca="1">HLOOKUP($H$4,'Met Data'!$O$2:$T$368,G452,FALSE)</f>
        <v>1.7084212444020199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108</v>
      </c>
      <c r="H453" s="95">
        <f t="shared" ca="1" si="66"/>
        <v>45764</v>
      </c>
      <c r="I453" s="119">
        <f ca="1">HLOOKUP($H$4,'Met Data'!$A$2:$F$368,G453,FALSE)</f>
        <v>13.6416666666666</v>
      </c>
      <c r="J453" s="119">
        <f ca="1">HLOOKUP($H$4,'Met Data'!$H$2:$M$368,G453,FALSE)*L453</f>
        <v>3.44999999999999</v>
      </c>
      <c r="K453" s="96">
        <f ca="1">HLOOKUP($H$4,'Met Data'!$O$2:$T$368,G453,FALSE)</f>
        <v>1.46996077972592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109</v>
      </c>
      <c r="H454" s="95">
        <f t="shared" ca="1" si="66"/>
        <v>45765</v>
      </c>
      <c r="I454" s="119">
        <f ca="1">HLOOKUP($H$4,'Met Data'!$A$2:$F$368,G454,FALSE)</f>
        <v>13.6833333333333</v>
      </c>
      <c r="J454" s="119">
        <f ca="1">HLOOKUP($H$4,'Met Data'!$H$2:$M$368,G454,FALSE)*L454</f>
        <v>2.4166666666666599</v>
      </c>
      <c r="K454" s="96">
        <f ca="1">HLOOKUP($H$4,'Met Data'!$O$2:$T$368,G454,FALSE)</f>
        <v>1.64274717869015</v>
      </c>
      <c r="L454">
        <f t="shared" ref="L454:L517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ref="G455:G495" ca="1" si="74">H455-DATE(YEAR(H455),1,0)+1</f>
        <v>110</v>
      </c>
      <c r="H455" s="95">
        <f t="shared" ca="1" si="66"/>
        <v>45766</v>
      </c>
      <c r="I455" s="119">
        <f ca="1">HLOOKUP($H$4,'Met Data'!$A$2:$F$368,G455,FALSE)</f>
        <v>12.945833333333301</v>
      </c>
      <c r="J455" s="119">
        <f ca="1">HLOOKUP($H$4,'Met Data'!$H$2:$M$368,G455,FALSE)*L455</f>
        <v>1.5999999999999901</v>
      </c>
      <c r="K455" s="96">
        <f ca="1">HLOOKUP($H$4,'Met Data'!$O$2:$T$368,G455,FALSE)</f>
        <v>1.70342846945819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ca="1" si="74"/>
        <v>111</v>
      </c>
      <c r="H456" s="95">
        <f t="shared" ref="H456:H519" ca="1" si="76">H455+1</f>
        <v>45767</v>
      </c>
      <c r="I456" s="119">
        <f ca="1">HLOOKUP($H$4,'Met Data'!$A$2:$F$368,G456,FALSE)</f>
        <v>14.2875</v>
      </c>
      <c r="J456" s="119">
        <f ca="1">HLOOKUP($H$4,'Met Data'!$H$2:$M$368,G456,FALSE)*L456</f>
        <v>1.1499999999999999</v>
      </c>
      <c r="K456" s="96">
        <f ca="1">HLOOKUP($H$4,'Met Data'!$O$2:$T$368,G456,FALSE)</f>
        <v>1.68674688590323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112</v>
      </c>
      <c r="H457" s="95">
        <f t="shared" ca="1" si="76"/>
        <v>45768</v>
      </c>
      <c r="I457" s="119">
        <f ca="1">HLOOKUP($H$4,'Met Data'!$A$2:$F$368,G457,FALSE)</f>
        <v>14.275</v>
      </c>
      <c r="J457" s="119">
        <f ca="1">HLOOKUP($H$4,'Met Data'!$H$2:$M$368,G457,FALSE)*L457</f>
        <v>2.0833333333333299</v>
      </c>
      <c r="K457" s="96">
        <f ca="1">HLOOKUP($H$4,'Met Data'!$O$2:$T$368,G457,FALSE)</f>
        <v>1.5152419322458901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113</v>
      </c>
      <c r="H458" s="95">
        <f t="shared" ca="1" si="76"/>
        <v>45769</v>
      </c>
      <c r="I458" s="119">
        <f ca="1">HLOOKUP($H$4,'Met Data'!$A$2:$F$368,G458,FALSE)</f>
        <v>13.595833333333299</v>
      </c>
      <c r="J458" s="119">
        <f ca="1">HLOOKUP($H$4,'Met Data'!$H$2:$M$368,G458,FALSE)*L458</f>
        <v>0.76666666666666605</v>
      </c>
      <c r="K458" s="96">
        <f ca="1">HLOOKUP($H$4,'Met Data'!$O$2:$T$368,G458,FALSE)</f>
        <v>1.65518894118648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114</v>
      </c>
      <c r="H459" s="95">
        <f t="shared" ca="1" si="76"/>
        <v>45770</v>
      </c>
      <c r="I459" s="119">
        <f ca="1">HLOOKUP($H$4,'Met Data'!$A$2:$F$368,G459,FALSE)</f>
        <v>13.9125</v>
      </c>
      <c r="J459" s="119">
        <f ca="1">HLOOKUP($H$4,'Met Data'!$H$2:$M$368,G459,FALSE)*L459</f>
        <v>0.3</v>
      </c>
      <c r="K459" s="96">
        <f ca="1">HLOOKUP($H$4,'Met Data'!$O$2:$T$368,G459,FALSE)</f>
        <v>1.66585763602601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ref="AG459:AG495" ca="1" si="77">Q458+S459+T459+U459</f>
        <v>#N/A</v>
      </c>
      <c r="AH459" s="63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>
      <c r="G460" s="3">
        <f t="shared" ca="1" si="74"/>
        <v>115</v>
      </c>
      <c r="H460" s="95">
        <f t="shared" ca="1" si="76"/>
        <v>45771</v>
      </c>
      <c r="I460" s="119">
        <f ca="1">HLOOKUP($H$4,'Met Data'!$A$2:$F$368,G460,FALSE)</f>
        <v>14.820833333333301</v>
      </c>
      <c r="J460" s="119">
        <f ca="1">HLOOKUP($H$4,'Met Data'!$H$2:$M$368,G460,FALSE)*L460</f>
        <v>2.5333333333333301</v>
      </c>
      <c r="K460" s="96">
        <f ca="1">HLOOKUP($H$4,'Met Data'!$O$2:$T$368,G460,FALSE)</f>
        <v>1.5754379638326901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ca="1" si="77"/>
        <v>#N/A</v>
      </c>
      <c r="AH460" s="63" t="e">
        <f t="shared" ca="1" si="78"/>
        <v>#N/A</v>
      </c>
      <c r="AI460" s="3" t="e">
        <f t="shared" ca="1" si="79"/>
        <v>#N/A</v>
      </c>
    </row>
    <row r="461" spans="7:35">
      <c r="G461" s="3">
        <f t="shared" ca="1" si="74"/>
        <v>116</v>
      </c>
      <c r="H461" s="95">
        <f t="shared" ca="1" si="76"/>
        <v>45772</v>
      </c>
      <c r="I461" s="119">
        <f ca="1">HLOOKUP($H$4,'Met Data'!$A$2:$F$368,G461,FALSE)</f>
        <v>14.4166666666666</v>
      </c>
      <c r="J461" s="119">
        <f ca="1">HLOOKUP($H$4,'Met Data'!$H$2:$M$368,G461,FALSE)*L461</f>
        <v>7.3833333333333302</v>
      </c>
      <c r="K461" s="96">
        <f ca="1">HLOOKUP($H$4,'Met Data'!$O$2:$T$368,G461,FALSE)</f>
        <v>1.4622003711311999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117</v>
      </c>
      <c r="H462" s="95">
        <f t="shared" ca="1" si="76"/>
        <v>45773</v>
      </c>
      <c r="I462" s="119">
        <f ca="1">HLOOKUP($H$4,'Met Data'!$A$2:$F$368,G462,FALSE)</f>
        <v>13.9375</v>
      </c>
      <c r="J462" s="119">
        <f ca="1">HLOOKUP($H$4,'Met Data'!$H$2:$M$368,G462,FALSE)*L462</f>
        <v>0.7</v>
      </c>
      <c r="K462" s="96">
        <f ca="1">HLOOKUP($H$4,'Met Data'!$O$2:$T$368,G462,FALSE)</f>
        <v>1.4965322621758601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118</v>
      </c>
      <c r="H463" s="95">
        <f t="shared" ca="1" si="76"/>
        <v>45774</v>
      </c>
      <c r="I463" s="119">
        <f ca="1">HLOOKUP($H$4,'Met Data'!$A$2:$F$368,G463,FALSE)</f>
        <v>14.8045454545454</v>
      </c>
      <c r="J463" s="119">
        <f ca="1">HLOOKUP($H$4,'Met Data'!$H$2:$M$368,G463,FALSE)*L463</f>
        <v>4.5818181818181802</v>
      </c>
      <c r="K463" s="96">
        <f ca="1">HLOOKUP($H$4,'Met Data'!$O$2:$T$368,G463,FALSE)</f>
        <v>1.5702581753512701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119</v>
      </c>
      <c r="H464" s="95">
        <f t="shared" ca="1" si="76"/>
        <v>45775</v>
      </c>
      <c r="I464" s="119">
        <f ca="1">HLOOKUP($H$4,'Met Data'!$A$2:$F$368,G464,FALSE)</f>
        <v>14.1090909090909</v>
      </c>
      <c r="J464" s="119">
        <f ca="1">HLOOKUP($H$4,'Met Data'!$H$2:$M$368,G464,FALSE)*L464</f>
        <v>5.5454545454545396</v>
      </c>
      <c r="K464" s="96">
        <f ca="1">HLOOKUP($H$4,'Met Data'!$O$2:$T$368,G464,FALSE)</f>
        <v>1.27231342308323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120</v>
      </c>
      <c r="H465" s="95">
        <f t="shared" ca="1" si="76"/>
        <v>45776</v>
      </c>
      <c r="I465" s="119">
        <f ca="1">HLOOKUP($H$4,'Met Data'!$A$2:$F$368,G465,FALSE)</f>
        <v>13.8375</v>
      </c>
      <c r="J465" s="119">
        <f ca="1">HLOOKUP($H$4,'Met Data'!$H$2:$M$368,G465,FALSE)*L465</f>
        <v>4.68333333333333</v>
      </c>
      <c r="K465" s="96">
        <f ca="1">HLOOKUP($H$4,'Met Data'!$O$2:$T$368,G465,FALSE)</f>
        <v>1.5077932055652401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121</v>
      </c>
      <c r="H466" s="95">
        <f t="shared" ca="1" si="76"/>
        <v>45777</v>
      </c>
      <c r="I466" s="119">
        <f ca="1">HLOOKUP($H$4,'Met Data'!$A$2:$F$368,G466,FALSE)</f>
        <v>13.6458333333333</v>
      </c>
      <c r="J466" s="119">
        <f ca="1">HLOOKUP($H$4,'Met Data'!$H$2:$M$368,G466,FALSE)*L466</f>
        <v>5.3999999999999897</v>
      </c>
      <c r="K466" s="96">
        <f ca="1">HLOOKUP($H$4,'Met Data'!$O$2:$T$368,G466,FALSE)</f>
        <v>1.60300410285803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122</v>
      </c>
      <c r="H467" s="95">
        <f t="shared" ca="1" si="76"/>
        <v>45778</v>
      </c>
      <c r="I467" s="119">
        <f ca="1">HLOOKUP($H$4,'Met Data'!$A$2:$F$368,G467,FALSE)</f>
        <v>11.883333333333301</v>
      </c>
      <c r="J467" s="119">
        <f ca="1">HLOOKUP($H$4,'Met Data'!$H$2:$M$368,G467,FALSE)*L467</f>
        <v>0.25</v>
      </c>
      <c r="K467" s="96">
        <f ca="1">HLOOKUP($H$4,'Met Data'!$O$2:$T$368,G467,FALSE)</f>
        <v>1.67837953393642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123</v>
      </c>
      <c r="H468" s="95">
        <f t="shared" ca="1" si="76"/>
        <v>45779</v>
      </c>
      <c r="I468" s="119">
        <f ca="1">HLOOKUP($H$4,'Met Data'!$A$2:$F$368,G468,FALSE)</f>
        <v>11.8541666666666</v>
      </c>
      <c r="J468" s="119">
        <f ca="1">HLOOKUP($H$4,'Met Data'!$H$2:$M$368,G468,FALSE)*L468</f>
        <v>0.133333333333333</v>
      </c>
      <c r="K468" s="96">
        <f ca="1">HLOOKUP($H$4,'Met Data'!$O$2:$T$368,G468,FALSE)</f>
        <v>1.44561782365903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124</v>
      </c>
      <c r="H469" s="95">
        <f t="shared" ca="1" si="76"/>
        <v>45780</v>
      </c>
      <c r="I469" s="119">
        <f ca="1">HLOOKUP($H$4,'Met Data'!$A$2:$F$368,G469,FALSE)</f>
        <v>13.0875</v>
      </c>
      <c r="J469" s="119">
        <f ca="1">HLOOKUP($H$4,'Met Data'!$H$2:$M$368,G469,FALSE)*L469</f>
        <v>2.1333333333333302</v>
      </c>
      <c r="K469" s="96">
        <f ca="1">HLOOKUP($H$4,'Met Data'!$O$2:$T$368,G469,FALSE)</f>
        <v>1.4319782957140901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125</v>
      </c>
      <c r="H470" s="95">
        <f t="shared" ca="1" si="76"/>
        <v>45781</v>
      </c>
      <c r="I470" s="119">
        <f ca="1">HLOOKUP($H$4,'Met Data'!$A$2:$F$368,G470,FALSE)</f>
        <v>13.137499999999999</v>
      </c>
      <c r="J470" s="119">
        <f ca="1">HLOOKUP($H$4,'Met Data'!$H$2:$M$368,G470,FALSE)*L470</f>
        <v>3</v>
      </c>
      <c r="K470" s="96">
        <f ca="1">HLOOKUP($H$4,'Met Data'!$O$2:$T$368,G470,FALSE)</f>
        <v>1.16413167388704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126</v>
      </c>
      <c r="H471" s="95">
        <f t="shared" ca="1" si="76"/>
        <v>45782</v>
      </c>
      <c r="I471" s="119">
        <f ca="1">HLOOKUP($H$4,'Met Data'!$A$2:$F$368,G471,FALSE)</f>
        <v>13.591666666666599</v>
      </c>
      <c r="J471" s="119">
        <f ca="1">HLOOKUP($H$4,'Met Data'!$H$2:$M$368,G471,FALSE)*L471</f>
        <v>4.8499999999999996</v>
      </c>
      <c r="K471" s="96">
        <f ca="1">HLOOKUP($H$4,'Met Data'!$O$2:$T$368,G471,FALSE)</f>
        <v>1.3049016144750001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127</v>
      </c>
      <c r="H472" s="95">
        <f t="shared" ca="1" si="76"/>
        <v>45783</v>
      </c>
      <c r="I472" s="119">
        <f ca="1">HLOOKUP($H$4,'Met Data'!$A$2:$F$368,G472,FALSE)</f>
        <v>13.2708333333333</v>
      </c>
      <c r="J472" s="119">
        <f ca="1">HLOOKUP($H$4,'Met Data'!$H$2:$M$368,G472,FALSE)*L472</f>
        <v>2.36666666666666</v>
      </c>
      <c r="K472" s="96">
        <f ca="1">HLOOKUP($H$4,'Met Data'!$O$2:$T$368,G472,FALSE)</f>
        <v>1.29751787384439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128</v>
      </c>
      <c r="H473" s="95">
        <f t="shared" ca="1" si="76"/>
        <v>45784</v>
      </c>
      <c r="I473" s="119">
        <f ca="1">HLOOKUP($H$4,'Met Data'!$A$2:$F$368,G473,FALSE)</f>
        <v>12.6791666666666</v>
      </c>
      <c r="J473" s="119">
        <f ca="1">HLOOKUP($H$4,'Met Data'!$H$2:$M$368,G473,FALSE)*L473</f>
        <v>5.4166666666666599</v>
      </c>
      <c r="K473" s="96">
        <f ca="1">HLOOKUP($H$4,'Met Data'!$O$2:$T$368,G473,FALSE)</f>
        <v>1.3071916611718599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129</v>
      </c>
      <c r="H474" s="95">
        <f t="shared" ca="1" si="76"/>
        <v>45785</v>
      </c>
      <c r="I474" s="119">
        <f ca="1">HLOOKUP($H$4,'Met Data'!$A$2:$F$368,G474,FALSE)</f>
        <v>12.799999999999899</v>
      </c>
      <c r="J474" s="119">
        <f ca="1">HLOOKUP($H$4,'Met Data'!$H$2:$M$368,G474,FALSE)*L474</f>
        <v>2.1666666666666599</v>
      </c>
      <c r="K474" s="96">
        <f ca="1">HLOOKUP($H$4,'Met Data'!$O$2:$T$368,G474,FALSE)</f>
        <v>1.27112414081248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130</v>
      </c>
      <c r="H475" s="95">
        <f t="shared" ca="1" si="76"/>
        <v>45786</v>
      </c>
      <c r="I475" s="119">
        <f ca="1">HLOOKUP($H$4,'Met Data'!$A$2:$F$368,G475,FALSE)</f>
        <v>14.1</v>
      </c>
      <c r="J475" s="119">
        <f ca="1">HLOOKUP($H$4,'Met Data'!$H$2:$M$368,G475,FALSE)*L475</f>
        <v>1.2333333333333301</v>
      </c>
      <c r="K475" s="96">
        <f ca="1">HLOOKUP($H$4,'Met Data'!$O$2:$T$368,G475,FALSE)</f>
        <v>1.3593529897032299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131</v>
      </c>
      <c r="H476" s="95">
        <f t="shared" ca="1" si="76"/>
        <v>45787</v>
      </c>
      <c r="I476" s="119">
        <f ca="1">HLOOKUP($H$4,'Met Data'!$A$2:$F$368,G476,FALSE)</f>
        <v>13.7416666666666</v>
      </c>
      <c r="J476" s="119">
        <f ca="1">HLOOKUP($H$4,'Met Data'!$H$2:$M$368,G476,FALSE)*L476</f>
        <v>1.56666666666666</v>
      </c>
      <c r="K476" s="96">
        <f ca="1">HLOOKUP($H$4,'Met Data'!$O$2:$T$368,G476,FALSE)</f>
        <v>1.1980493949464299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132</v>
      </c>
      <c r="H477" s="95">
        <f t="shared" ca="1" si="76"/>
        <v>45788</v>
      </c>
      <c r="I477" s="119">
        <f ca="1">HLOOKUP($H$4,'Met Data'!$A$2:$F$368,G477,FALSE)</f>
        <v>13.1</v>
      </c>
      <c r="J477" s="119">
        <f ca="1">HLOOKUP($H$4,'Met Data'!$H$2:$M$368,G477,FALSE)*L477</f>
        <v>3.7166666666666601</v>
      </c>
      <c r="K477" s="96">
        <f ca="1">HLOOKUP($H$4,'Met Data'!$O$2:$T$368,G477,FALSE)</f>
        <v>1.0818629782871001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133</v>
      </c>
      <c r="H478" s="95">
        <f t="shared" ca="1" si="76"/>
        <v>45789</v>
      </c>
      <c r="I478" s="119">
        <f ca="1">HLOOKUP($H$4,'Met Data'!$A$2:$F$368,G478,FALSE)</f>
        <v>13.566666666666601</v>
      </c>
      <c r="J478" s="119">
        <f ca="1">HLOOKUP($H$4,'Met Data'!$H$2:$M$368,G478,FALSE)*L478</f>
        <v>5.86666666666666</v>
      </c>
      <c r="K478" s="96">
        <f ca="1">HLOOKUP($H$4,'Met Data'!$O$2:$T$368,G478,FALSE)</f>
        <v>0.93360919947406795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134</v>
      </c>
      <c r="H479" s="95">
        <f t="shared" ca="1" si="76"/>
        <v>45790</v>
      </c>
      <c r="I479" s="119">
        <f ca="1">HLOOKUP($H$4,'Met Data'!$A$2:$F$368,G479,FALSE)</f>
        <v>12.887499999999999</v>
      </c>
      <c r="J479" s="119">
        <f ca="1">HLOOKUP($H$4,'Met Data'!$H$2:$M$368,G479,FALSE)*L479</f>
        <v>5.1666666666666599</v>
      </c>
      <c r="K479" s="96">
        <f ca="1">HLOOKUP($H$4,'Met Data'!$O$2:$T$368,G479,FALSE)</f>
        <v>1.3361527471355901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135</v>
      </c>
      <c r="H480" s="95">
        <f t="shared" ca="1" si="76"/>
        <v>45791</v>
      </c>
      <c r="I480" s="119">
        <f ca="1">HLOOKUP($H$4,'Met Data'!$A$2:$F$368,G480,FALSE)</f>
        <v>13</v>
      </c>
      <c r="J480" s="119">
        <f ca="1">HLOOKUP($H$4,'Met Data'!$H$2:$M$368,G480,FALSE)*L480</f>
        <v>4.86666666666666</v>
      </c>
      <c r="K480" s="96">
        <f ca="1">HLOOKUP($H$4,'Met Data'!$O$2:$T$368,G480,FALSE)</f>
        <v>1.1907632624443201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136</v>
      </c>
      <c r="H481" s="95">
        <f t="shared" ca="1" si="76"/>
        <v>45792</v>
      </c>
      <c r="I481" s="119">
        <f ca="1">HLOOKUP($H$4,'Met Data'!$A$2:$F$368,G481,FALSE)</f>
        <v>13.470833333333299</v>
      </c>
      <c r="J481" s="119">
        <f ca="1">HLOOKUP($H$4,'Met Data'!$H$2:$M$368,G481,FALSE)*L481</f>
        <v>8.7833333333333297</v>
      </c>
      <c r="K481" s="96">
        <f ca="1">HLOOKUP($H$4,'Met Data'!$O$2:$T$368,G481,FALSE)</f>
        <v>1.16840876605303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137</v>
      </c>
      <c r="H482" s="95">
        <f t="shared" ca="1" si="76"/>
        <v>45793</v>
      </c>
      <c r="I482" s="119">
        <f ca="1">HLOOKUP($H$4,'Met Data'!$A$2:$F$368,G482,FALSE)</f>
        <v>12.8666666666666</v>
      </c>
      <c r="J482" s="119">
        <f ca="1">HLOOKUP($H$4,'Met Data'!$H$2:$M$368,G482,FALSE)*L482</f>
        <v>4.86666666666666</v>
      </c>
      <c r="K482" s="96">
        <f ca="1">HLOOKUP($H$4,'Met Data'!$O$2:$T$368,G482,FALSE)</f>
        <v>1.23845839693481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138</v>
      </c>
      <c r="H483" s="95">
        <f t="shared" ca="1" si="76"/>
        <v>45794</v>
      </c>
      <c r="I483" s="119">
        <f ca="1">HLOOKUP($H$4,'Met Data'!$A$2:$F$368,G483,FALSE)</f>
        <v>12.237499999999899</v>
      </c>
      <c r="J483" s="119">
        <f ca="1">HLOOKUP($H$4,'Met Data'!$H$2:$M$368,G483,FALSE)*L483</f>
        <v>3.7166666666666601</v>
      </c>
      <c r="K483" s="96">
        <f ca="1">HLOOKUP($H$4,'Met Data'!$O$2:$T$368,G483,FALSE)</f>
        <v>1.3074898165915401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139</v>
      </c>
      <c r="H484" s="95">
        <f t="shared" ca="1" si="76"/>
        <v>45795</v>
      </c>
      <c r="I484" s="119">
        <f ca="1">HLOOKUP($H$4,'Met Data'!$A$2:$F$368,G484,FALSE)</f>
        <v>11.595833333333299</v>
      </c>
      <c r="J484" s="119">
        <f ca="1">HLOOKUP($H$4,'Met Data'!$H$2:$M$368,G484,FALSE)*L484</f>
        <v>2.61666666666666</v>
      </c>
      <c r="K484" s="96">
        <f ca="1">HLOOKUP($H$4,'Met Data'!$O$2:$T$368,G484,FALSE)</f>
        <v>1.3321153360432201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140</v>
      </c>
      <c r="H485" s="95">
        <f t="shared" ca="1" si="76"/>
        <v>45796</v>
      </c>
      <c r="I485" s="119">
        <f ca="1">HLOOKUP($H$4,'Met Data'!$A$2:$F$368,G485,FALSE)</f>
        <v>11.904166666666599</v>
      </c>
      <c r="J485" s="119">
        <f ca="1">HLOOKUP($H$4,'Met Data'!$H$2:$M$368,G485,FALSE)*L485</f>
        <v>2.35</v>
      </c>
      <c r="K485" s="96">
        <f ca="1">HLOOKUP($H$4,'Met Data'!$O$2:$T$368,G485,FALSE)</f>
        <v>1.2961776408629699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141</v>
      </c>
      <c r="H486" s="95">
        <f t="shared" ca="1" si="76"/>
        <v>45797</v>
      </c>
      <c r="I486" s="119">
        <f ca="1">HLOOKUP($H$4,'Met Data'!$A$2:$F$368,G486,FALSE)</f>
        <v>11.762499999999999</v>
      </c>
      <c r="J486" s="119">
        <f ca="1">HLOOKUP($H$4,'Met Data'!$H$2:$M$368,G486,FALSE)*L486</f>
        <v>0.31666666666666599</v>
      </c>
      <c r="K486" s="96">
        <f ca="1">HLOOKUP($H$4,'Met Data'!$O$2:$T$368,G486,FALSE)</f>
        <v>1.26598619456247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142</v>
      </c>
      <c r="H487" s="95">
        <f t="shared" ca="1" si="76"/>
        <v>45798</v>
      </c>
      <c r="I487" s="119">
        <f ca="1">HLOOKUP($H$4,'Met Data'!$A$2:$F$368,G487,FALSE)</f>
        <v>11.612500000000001</v>
      </c>
      <c r="J487" s="119">
        <f ca="1">HLOOKUP($H$4,'Met Data'!$H$2:$M$368,G487,FALSE)*L487</f>
        <v>2</v>
      </c>
      <c r="K487" s="96">
        <f ca="1">HLOOKUP($H$4,'Met Data'!$O$2:$T$368,G487,FALSE)</f>
        <v>1.0607063970516699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143</v>
      </c>
      <c r="H488" s="95">
        <f t="shared" ca="1" si="76"/>
        <v>45799</v>
      </c>
      <c r="I488" s="119">
        <f ca="1">HLOOKUP($H$4,'Met Data'!$A$2:$F$368,G488,FALSE)</f>
        <v>10.174999999999899</v>
      </c>
      <c r="J488" s="119">
        <f ca="1">HLOOKUP($H$4,'Met Data'!$H$2:$M$368,G488,FALSE)*L488</f>
        <v>2.93333333333333</v>
      </c>
      <c r="K488" s="96">
        <f ca="1">HLOOKUP($H$4,'Met Data'!$O$2:$T$368,G488,FALSE)</f>
        <v>1.10734547072848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144</v>
      </c>
      <c r="H489" s="95">
        <f t="shared" ca="1" si="76"/>
        <v>45800</v>
      </c>
      <c r="I489" s="119">
        <f ca="1">HLOOKUP($H$4,'Met Data'!$A$2:$F$368,G489,FALSE)</f>
        <v>10.7416666666666</v>
      </c>
      <c r="J489" s="119">
        <f ca="1">HLOOKUP($H$4,'Met Data'!$H$2:$M$368,G489,FALSE)*L489</f>
        <v>2.8</v>
      </c>
      <c r="K489" s="96">
        <f ca="1">HLOOKUP($H$4,'Met Data'!$O$2:$T$368,G489,FALSE)</f>
        <v>0.94921082080766905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145</v>
      </c>
      <c r="H490" s="95">
        <f t="shared" ca="1" si="76"/>
        <v>45801</v>
      </c>
      <c r="I490" s="119">
        <f ca="1">HLOOKUP($H$4,'Met Data'!$A$2:$F$368,G490,FALSE)</f>
        <v>10.983333333333301</v>
      </c>
      <c r="J490" s="119">
        <f ca="1">HLOOKUP($H$4,'Met Data'!$H$2:$M$368,G490,FALSE)*L490</f>
        <v>5.61666666666666</v>
      </c>
      <c r="K490" s="96">
        <f ca="1">HLOOKUP($H$4,'Met Data'!$O$2:$T$368,G490,FALSE)</f>
        <v>0.95593712910075901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146</v>
      </c>
      <c r="H491" s="95">
        <f t="shared" ca="1" si="76"/>
        <v>45802</v>
      </c>
      <c r="I491" s="119">
        <f ca="1">HLOOKUP($H$4,'Met Data'!$A$2:$F$368,G491,FALSE)</f>
        <v>10.7666666666666</v>
      </c>
      <c r="J491" s="119">
        <f ca="1">HLOOKUP($H$4,'Met Data'!$H$2:$M$368,G491,FALSE)*L491</f>
        <v>3.1666666666666599</v>
      </c>
      <c r="K491" s="96">
        <f ca="1">HLOOKUP($H$4,'Met Data'!$O$2:$T$368,G491,FALSE)</f>
        <v>0.98597820560947502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147</v>
      </c>
      <c r="H492" s="95">
        <f t="shared" ca="1" si="76"/>
        <v>45803</v>
      </c>
      <c r="I492" s="119">
        <f ca="1">HLOOKUP($H$4,'Met Data'!$A$2:$F$368,G492,FALSE)</f>
        <v>11.1833333333333</v>
      </c>
      <c r="J492" s="119">
        <f ca="1">HLOOKUP($H$4,'Met Data'!$H$2:$M$368,G492,FALSE)*L492</f>
        <v>6.1499999999999897</v>
      </c>
      <c r="K492" s="96">
        <f ca="1">HLOOKUP($H$4,'Met Data'!$O$2:$T$368,G492,FALSE)</f>
        <v>1.02530679052105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148</v>
      </c>
      <c r="H493" s="95">
        <f t="shared" ca="1" si="76"/>
        <v>45804</v>
      </c>
      <c r="I493" s="119">
        <f ca="1">HLOOKUP($H$4,'Met Data'!$A$2:$F$368,G493,FALSE)</f>
        <v>10.566666666666601</v>
      </c>
      <c r="J493" s="119">
        <f ca="1">HLOOKUP($H$4,'Met Data'!$H$2:$M$368,G493,FALSE)*L493</f>
        <v>2.7666666666666599</v>
      </c>
      <c r="K493" s="96">
        <f ca="1">HLOOKUP($H$4,'Met Data'!$O$2:$T$368,G493,FALSE)</f>
        <v>1.05508542906727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149</v>
      </c>
      <c r="H494" s="95">
        <f t="shared" ca="1" si="76"/>
        <v>45805</v>
      </c>
      <c r="I494" s="119">
        <f ca="1">HLOOKUP($H$4,'Met Data'!$A$2:$F$368,G494,FALSE)</f>
        <v>10.283333333333299</v>
      </c>
      <c r="J494" s="119">
        <f ca="1">HLOOKUP($H$4,'Met Data'!$H$2:$M$368,G494,FALSE)*L494</f>
        <v>2.7333333333333298</v>
      </c>
      <c r="K494" s="96">
        <f ca="1">HLOOKUP($H$4,'Met Data'!$O$2:$T$368,G494,FALSE)</f>
        <v>0.96273544691676505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 ht="15.75" thickBot="1">
      <c r="G495" s="3">
        <f t="shared" ca="1" si="74"/>
        <v>150</v>
      </c>
      <c r="H495" s="97">
        <f t="shared" ca="1" si="76"/>
        <v>45806</v>
      </c>
      <c r="I495" s="121">
        <f ca="1">HLOOKUP($H$4,'Met Data'!$A$2:$F$368,G495,FALSE)</f>
        <v>10.8</v>
      </c>
      <c r="J495" s="119">
        <f ca="1">HLOOKUP($H$4,'Met Data'!$H$2:$M$368,G495,FALSE)*L495</f>
        <v>3.2333333333333298</v>
      </c>
      <c r="K495" s="98">
        <f ca="1">HLOOKUP($H$4,'Met Data'!$O$2:$T$368,G495,FALSE)</f>
        <v>1.08816831727148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ref="G496:G559" ca="1" si="80">H496-DATE(YEAR(H496),1,0)+1</f>
        <v>151</v>
      </c>
      <c r="H496" s="97">
        <f t="shared" ca="1" si="76"/>
        <v>45807</v>
      </c>
      <c r="I496" s="121">
        <f ca="1">HLOOKUP($H$4,'Met Data'!$A$2:$F$368,G496,FALSE)</f>
        <v>9.6624999999999996</v>
      </c>
      <c r="J496" s="119">
        <f ca="1">HLOOKUP($H$4,'Met Data'!$H$2:$M$368,G496,FALSE)*L496</f>
        <v>1.88333333333333</v>
      </c>
      <c r="K496" s="98">
        <f ca="1">HLOOKUP($H$4,'Met Data'!$O$2:$T$368,G496,FALSE)</f>
        <v>1.0187040175234601</v>
      </c>
      <c r="L496">
        <f t="shared" ca="1" si="70"/>
        <v>1</v>
      </c>
      <c r="N496" t="e">
        <f t="shared" ref="N496:N559" ca="1" si="81">IF(P496&lt;$P$3,TRUE,FALSE)</f>
        <v>#N/A</v>
      </c>
      <c r="O496" t="e">
        <f t="shared" ref="O496:O559" ca="1" si="82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3">IFERROR(P496,$AD$4)</f>
        <v>0</v>
      </c>
      <c r="AE496">
        <f t="shared" ref="AE496:AE559" ca="1" si="84">IFERROR(U496,0)</f>
        <v>0</v>
      </c>
      <c r="AG496" s="63" t="e">
        <f t="shared" ref="AG496:AG559" ca="1" si="85">Q495+S496+T496+U496</f>
        <v>#N/A</v>
      </c>
      <c r="AH496" s="63" t="e">
        <f t="shared" ref="AH496:AH559" ca="1" si="86">Q496+R496+X496</f>
        <v>#N/A</v>
      </c>
      <c r="AI496" s="3" t="e">
        <f t="shared" ref="AI496:AI559" ca="1" si="87">AH496-AG496</f>
        <v>#N/A</v>
      </c>
    </row>
    <row r="497" spans="7:35" ht="15.75" thickBot="1">
      <c r="G497" s="3">
        <f t="shared" ca="1" si="80"/>
        <v>152</v>
      </c>
      <c r="H497" s="97">
        <f t="shared" ca="1" si="76"/>
        <v>45808</v>
      </c>
      <c r="I497" s="121">
        <f ca="1">HLOOKUP($H$4,'Met Data'!$A$2:$F$368,G497,FALSE)</f>
        <v>9.7166666666666597</v>
      </c>
      <c r="J497" s="119">
        <f ca="1">HLOOKUP($H$4,'Met Data'!$H$2:$M$368,G497,FALSE)*L497</f>
        <v>4.7</v>
      </c>
      <c r="K497" s="98">
        <f ca="1">HLOOKUP($H$4,'Met Data'!$O$2:$T$368,G497,FALSE)</f>
        <v>1.10197006718848</v>
      </c>
      <c r="L497">
        <f t="shared" ca="1" si="70"/>
        <v>1</v>
      </c>
      <c r="N497" t="e">
        <f t="shared" ca="1" si="81"/>
        <v>#N/A</v>
      </c>
      <c r="O497" t="e">
        <f t="shared" ca="1" si="82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3"/>
        <v>0</v>
      </c>
      <c r="AE497">
        <f t="shared" ca="1" si="84"/>
        <v>0</v>
      </c>
      <c r="AG497" s="63" t="e">
        <f t="shared" ca="1" si="85"/>
        <v>#N/A</v>
      </c>
      <c r="AH497" s="63" t="e">
        <f t="shared" ca="1" si="86"/>
        <v>#N/A</v>
      </c>
      <c r="AI497" s="3" t="e">
        <f t="shared" ca="1" si="87"/>
        <v>#N/A</v>
      </c>
    </row>
    <row r="498" spans="7:35" ht="15.75" thickBot="1">
      <c r="G498" s="3">
        <f t="shared" ca="1" si="80"/>
        <v>153</v>
      </c>
      <c r="H498" s="97">
        <f t="shared" ca="1" si="76"/>
        <v>45809</v>
      </c>
      <c r="I498" s="121">
        <f ca="1">HLOOKUP($H$4,'Met Data'!$A$2:$F$368,G498,FALSE)</f>
        <v>10.004166666666601</v>
      </c>
      <c r="J498" s="119">
        <f ca="1">HLOOKUP($H$4,'Met Data'!$H$2:$M$368,G498,FALSE)*L498</f>
        <v>2.5</v>
      </c>
      <c r="K498" s="98">
        <f ca="1">HLOOKUP($H$4,'Met Data'!$O$2:$T$368,G498,FALSE)</f>
        <v>1.1690097853574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154</v>
      </c>
      <c r="H499" s="97">
        <f t="shared" ca="1" si="76"/>
        <v>45810</v>
      </c>
      <c r="I499" s="121">
        <f ca="1">HLOOKUP($H$4,'Met Data'!$A$2:$F$368,G499,FALSE)</f>
        <v>9.99583333333333</v>
      </c>
      <c r="J499" s="119">
        <f ca="1">HLOOKUP($H$4,'Met Data'!$H$2:$M$368,G499,FALSE)*L499</f>
        <v>2.7833333333333301</v>
      </c>
      <c r="K499" s="98">
        <f ca="1">HLOOKUP($H$4,'Met Data'!$O$2:$T$368,G499,FALSE)</f>
        <v>1.0280895768516001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155</v>
      </c>
      <c r="H500" s="97">
        <f t="shared" ca="1" si="76"/>
        <v>45811</v>
      </c>
      <c r="I500" s="121">
        <f ca="1">HLOOKUP($H$4,'Met Data'!$A$2:$F$368,G500,FALSE)</f>
        <v>9.8999999999999897</v>
      </c>
      <c r="J500" s="119">
        <f ca="1">HLOOKUP($H$4,'Met Data'!$H$2:$M$368,G500,FALSE)*L500</f>
        <v>1.7833333333333301</v>
      </c>
      <c r="K500" s="98">
        <f ca="1">HLOOKUP($H$4,'Met Data'!$O$2:$T$368,G500,FALSE)</f>
        <v>0.97110296937720297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156</v>
      </c>
      <c r="H501" s="97">
        <f t="shared" ca="1" si="76"/>
        <v>45812</v>
      </c>
      <c r="I501" s="121">
        <f ca="1">HLOOKUP($H$4,'Met Data'!$A$2:$F$368,G501,FALSE)</f>
        <v>10.95</v>
      </c>
      <c r="J501" s="119">
        <f ca="1">HLOOKUP($H$4,'Met Data'!$H$2:$M$368,G501,FALSE)*L501</f>
        <v>2.44999999999999</v>
      </c>
      <c r="K501" s="98">
        <f ca="1">HLOOKUP($H$4,'Met Data'!$O$2:$T$368,G501,FALSE)</f>
        <v>0.960770877493487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157</v>
      </c>
      <c r="H502" s="97">
        <f t="shared" ca="1" si="76"/>
        <v>45813</v>
      </c>
      <c r="I502" s="121">
        <f ca="1">HLOOKUP($H$4,'Met Data'!$A$2:$F$368,G502,FALSE)</f>
        <v>10.6875</v>
      </c>
      <c r="J502" s="119">
        <f ca="1">HLOOKUP($H$4,'Met Data'!$H$2:$M$368,G502,FALSE)*L502</f>
        <v>4.1333333333333302</v>
      </c>
      <c r="K502" s="98">
        <f ca="1">HLOOKUP($H$4,'Met Data'!$O$2:$T$368,G502,FALSE)</f>
        <v>0.84332690198160198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158</v>
      </c>
      <c r="H503" s="97">
        <f t="shared" ca="1" si="76"/>
        <v>45814</v>
      </c>
      <c r="I503" s="121">
        <f ca="1">HLOOKUP($H$4,'Met Data'!$A$2:$F$368,G503,FALSE)</f>
        <v>10.5625</v>
      </c>
      <c r="J503" s="119">
        <f ca="1">HLOOKUP($H$4,'Met Data'!$H$2:$M$368,G503,FALSE)*L503</f>
        <v>5.3</v>
      </c>
      <c r="K503" s="98">
        <f ca="1">HLOOKUP($H$4,'Met Data'!$O$2:$T$368,G503,FALSE)</f>
        <v>0.93242759876210701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159</v>
      </c>
      <c r="H504" s="97">
        <f t="shared" ca="1" si="76"/>
        <v>45815</v>
      </c>
      <c r="I504" s="121">
        <f ca="1">HLOOKUP($H$4,'Met Data'!$A$2:$F$368,G504,FALSE)</f>
        <v>10.4625</v>
      </c>
      <c r="J504" s="119">
        <f ca="1">HLOOKUP($H$4,'Met Data'!$H$2:$M$368,G504,FALSE)*L504</f>
        <v>2.44999999999999</v>
      </c>
      <c r="K504" s="98">
        <f ca="1">HLOOKUP($H$4,'Met Data'!$O$2:$T$368,G504,FALSE)</f>
        <v>0.99912564942381998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160</v>
      </c>
      <c r="H505" s="97">
        <f t="shared" ca="1" si="76"/>
        <v>45816</v>
      </c>
      <c r="I505" s="121">
        <f ca="1">HLOOKUP($H$4,'Met Data'!$A$2:$F$368,G505,FALSE)</f>
        <v>9.5875000000000004</v>
      </c>
      <c r="J505" s="119">
        <f ca="1">HLOOKUP($H$4,'Met Data'!$H$2:$M$368,G505,FALSE)*L505</f>
        <v>1.7333333333333301</v>
      </c>
      <c r="K505" s="98">
        <f ca="1">HLOOKUP($H$4,'Met Data'!$O$2:$T$368,G505,FALSE)</f>
        <v>1.0839051549829499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161</v>
      </c>
      <c r="H506" s="97">
        <f t="shared" ca="1" si="76"/>
        <v>45817</v>
      </c>
      <c r="I506" s="121">
        <f ca="1">HLOOKUP($H$4,'Met Data'!$A$2:$F$368,G506,FALSE)</f>
        <v>9.4875000000000007</v>
      </c>
      <c r="J506" s="119">
        <f ca="1">HLOOKUP($H$4,'Met Data'!$H$2:$M$368,G506,FALSE)*L506</f>
        <v>1.55</v>
      </c>
      <c r="K506" s="98">
        <f ca="1">HLOOKUP($H$4,'Met Data'!$O$2:$T$368,G506,FALSE)</f>
        <v>0.94567596592895498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162</v>
      </c>
      <c r="H507" s="97">
        <f t="shared" ca="1" si="76"/>
        <v>45818</v>
      </c>
      <c r="I507" s="121">
        <f ca="1">HLOOKUP($H$4,'Met Data'!$A$2:$F$368,G507,FALSE)</f>
        <v>10.9</v>
      </c>
      <c r="J507" s="119">
        <f ca="1">HLOOKUP($H$4,'Met Data'!$H$2:$M$368,G507,FALSE)*L507</f>
        <v>4.8363636363636298</v>
      </c>
      <c r="K507" s="98">
        <f ca="1">HLOOKUP($H$4,'Met Data'!$O$2:$T$368,G507,FALSE)</f>
        <v>0.77149259834587403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163</v>
      </c>
      <c r="H508" s="97">
        <f t="shared" ca="1" si="76"/>
        <v>45819</v>
      </c>
      <c r="I508" s="121">
        <f ca="1">HLOOKUP($H$4,'Met Data'!$A$2:$F$368,G508,FALSE)</f>
        <v>10.8954545454545</v>
      </c>
      <c r="J508" s="119">
        <f ca="1">HLOOKUP($H$4,'Met Data'!$H$2:$M$368,G508,FALSE)*L508</f>
        <v>7.1454545454545402</v>
      </c>
      <c r="K508" s="98">
        <f ca="1">HLOOKUP($H$4,'Met Data'!$O$2:$T$368,G508,FALSE)</f>
        <v>0.76887644299908198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164</v>
      </c>
      <c r="H509" s="97">
        <f t="shared" ca="1" si="76"/>
        <v>45820</v>
      </c>
      <c r="I509" s="121">
        <f ca="1">HLOOKUP($H$4,'Met Data'!$A$2:$F$368,G509,FALSE)</f>
        <v>11.8375</v>
      </c>
      <c r="J509" s="119">
        <f ca="1">HLOOKUP($H$4,'Met Data'!$H$2:$M$368,G509,FALSE)*L509</f>
        <v>0.88333333333333297</v>
      </c>
      <c r="K509" s="98">
        <f ca="1">HLOOKUP($H$4,'Met Data'!$O$2:$T$368,G509,FALSE)</f>
        <v>0.886573255907814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165</v>
      </c>
      <c r="H510" s="97">
        <f t="shared" ca="1" si="76"/>
        <v>45821</v>
      </c>
      <c r="I510" s="121">
        <f ca="1">HLOOKUP($H$4,'Met Data'!$A$2:$F$368,G510,FALSE)</f>
        <v>10.4916666666666</v>
      </c>
      <c r="J510" s="119">
        <f ca="1">HLOOKUP($H$4,'Met Data'!$H$2:$M$368,G510,FALSE)*L510</f>
        <v>5.3166666666666602</v>
      </c>
      <c r="K510" s="98">
        <f ca="1">HLOOKUP($H$4,'Met Data'!$O$2:$T$368,G510,FALSE)</f>
        <v>0.75300621765048603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166</v>
      </c>
      <c r="H511" s="97">
        <f t="shared" ca="1" si="76"/>
        <v>45822</v>
      </c>
      <c r="I511" s="121">
        <f ca="1">HLOOKUP($H$4,'Met Data'!$A$2:$F$368,G511,FALSE)</f>
        <v>10.133333333333301</v>
      </c>
      <c r="J511" s="119">
        <f ca="1">HLOOKUP($H$4,'Met Data'!$H$2:$M$368,G511,FALSE)*L511</f>
        <v>1.2</v>
      </c>
      <c r="K511" s="98">
        <f ca="1">HLOOKUP($H$4,'Met Data'!$O$2:$T$368,G511,FALSE)</f>
        <v>1.0949815777606999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167</v>
      </c>
      <c r="H512" s="97">
        <f t="shared" ca="1" si="76"/>
        <v>45823</v>
      </c>
      <c r="I512" s="121">
        <f ca="1">HLOOKUP($H$4,'Met Data'!$A$2:$F$368,G512,FALSE)</f>
        <v>9.0291666666666597</v>
      </c>
      <c r="J512" s="119">
        <f ca="1">HLOOKUP($H$4,'Met Data'!$H$2:$M$368,G512,FALSE)*L512</f>
        <v>2.0499999999999998</v>
      </c>
      <c r="K512" s="98">
        <f ca="1">HLOOKUP($H$4,'Met Data'!$O$2:$T$368,G512,FALSE)</f>
        <v>0.76363291076582096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168</v>
      </c>
      <c r="H513" s="97">
        <f t="shared" ca="1" si="76"/>
        <v>45824</v>
      </c>
      <c r="I513" s="121">
        <f ca="1">HLOOKUP($H$4,'Met Data'!$A$2:$F$368,G513,FALSE)</f>
        <v>10.125</v>
      </c>
      <c r="J513" s="119">
        <f ca="1">HLOOKUP($H$4,'Met Data'!$H$2:$M$368,G513,FALSE)*L513</f>
        <v>2.68333333333333</v>
      </c>
      <c r="K513" s="98">
        <f ca="1">HLOOKUP($H$4,'Met Data'!$O$2:$T$368,G513,FALSE)</f>
        <v>0.84633721178312304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169</v>
      </c>
      <c r="H514" s="97">
        <f t="shared" ca="1" si="76"/>
        <v>45825</v>
      </c>
      <c r="I514" s="121">
        <f ca="1">HLOOKUP($H$4,'Met Data'!$A$2:$F$368,G514,FALSE)</f>
        <v>10.2291666666666</v>
      </c>
      <c r="J514" s="119">
        <f ca="1">HLOOKUP($H$4,'Met Data'!$H$2:$M$368,G514,FALSE)*L514</f>
        <v>2.5333333333333301</v>
      </c>
      <c r="K514" s="98">
        <f ca="1">HLOOKUP($H$4,'Met Data'!$O$2:$T$368,G514,FALSE)</f>
        <v>0.91611783655738799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170</v>
      </c>
      <c r="H515" s="97">
        <f t="shared" ca="1" si="76"/>
        <v>45826</v>
      </c>
      <c r="I515" s="121">
        <f ca="1">HLOOKUP($H$4,'Met Data'!$A$2:$F$368,G515,FALSE)</f>
        <v>10.316666666666601</v>
      </c>
      <c r="J515" s="119">
        <f ca="1">HLOOKUP($H$4,'Met Data'!$H$2:$M$368,G515,FALSE)*L515</f>
        <v>5.5</v>
      </c>
      <c r="K515" s="98">
        <f ca="1">HLOOKUP($H$4,'Met Data'!$O$2:$T$368,G515,FALSE)</f>
        <v>0.749895043982166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171</v>
      </c>
      <c r="H516" s="97">
        <f t="shared" ca="1" si="76"/>
        <v>45827</v>
      </c>
      <c r="I516" s="121">
        <f ca="1">HLOOKUP($H$4,'Met Data'!$A$2:$F$368,G516,FALSE)</f>
        <v>10.6666666666666</v>
      </c>
      <c r="J516" s="119">
        <f ca="1">HLOOKUP($H$4,'Met Data'!$H$2:$M$368,G516,FALSE)*L516</f>
        <v>11.883333333333301</v>
      </c>
      <c r="K516" s="98">
        <f ca="1">HLOOKUP($H$4,'Met Data'!$O$2:$T$368,G516,FALSE)</f>
        <v>0.72031723210574305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172</v>
      </c>
      <c r="H517" s="97">
        <f t="shared" ca="1" si="76"/>
        <v>45828</v>
      </c>
      <c r="I517" s="121">
        <f ca="1">HLOOKUP($H$4,'Met Data'!$A$2:$F$368,G517,FALSE)</f>
        <v>10.6181818181818</v>
      </c>
      <c r="J517" s="119">
        <f ca="1">HLOOKUP($H$4,'Met Data'!$H$2:$M$368,G517,FALSE)*L517</f>
        <v>9.0181818181818105</v>
      </c>
      <c r="K517" s="98">
        <f ca="1">HLOOKUP($H$4,'Met Data'!$O$2:$T$368,G517,FALSE)</f>
        <v>0.829345309973199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173</v>
      </c>
      <c r="H518" s="97">
        <f t="shared" ca="1" si="76"/>
        <v>45829</v>
      </c>
      <c r="I518" s="121">
        <f ca="1">HLOOKUP($H$4,'Met Data'!$A$2:$F$368,G518,FALSE)</f>
        <v>10.0318181818181</v>
      </c>
      <c r="J518" s="119">
        <f ca="1">HLOOKUP($H$4,'Met Data'!$H$2:$M$368,G518,FALSE)*L518</f>
        <v>1.9090909090909001</v>
      </c>
      <c r="K518" s="98">
        <f ca="1">HLOOKUP($H$4,'Met Data'!$O$2:$T$368,G518,FALSE)</f>
        <v>0.90574236110997597</v>
      </c>
      <c r="L518">
        <f t="shared" ref="L518:L581" ca="1" si="88">IF(H518&lt;$B$31,$J$3,$J$4)</f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174</v>
      </c>
      <c r="H519" s="97">
        <f t="shared" ca="1" si="76"/>
        <v>45830</v>
      </c>
      <c r="I519" s="121">
        <f ca="1">HLOOKUP($H$4,'Met Data'!$A$2:$F$368,G519,FALSE)</f>
        <v>8.9727272727272709</v>
      </c>
      <c r="J519" s="119">
        <f ca="1">HLOOKUP($H$4,'Met Data'!$H$2:$M$368,G519,FALSE)*L519</f>
        <v>1.9636363636363601</v>
      </c>
      <c r="K519" s="98">
        <f ca="1">HLOOKUP($H$4,'Met Data'!$O$2:$T$368,G519,FALSE)</f>
        <v>0.89904843691310898</v>
      </c>
      <c r="L519">
        <f t="shared" ca="1" si="88"/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175</v>
      </c>
      <c r="H520" s="97">
        <f t="shared" ref="H520:H583" ca="1" si="89">H519+1</f>
        <v>45831</v>
      </c>
      <c r="I520" s="121">
        <f ca="1">HLOOKUP($H$4,'Met Data'!$A$2:$F$368,G520,FALSE)</f>
        <v>9.0227272727272698</v>
      </c>
      <c r="J520" s="119">
        <f ca="1">HLOOKUP($H$4,'Met Data'!$H$2:$M$368,G520,FALSE)*L520</f>
        <v>3.0181818181818101</v>
      </c>
      <c r="K520" s="98">
        <f ca="1">HLOOKUP($H$4,'Met Data'!$O$2:$T$368,G520,FALSE)</f>
        <v>0.82913615112138495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176</v>
      </c>
      <c r="H521" s="97">
        <f t="shared" ca="1" si="89"/>
        <v>45832</v>
      </c>
      <c r="I521" s="121">
        <f ca="1">HLOOKUP($H$4,'Met Data'!$A$2:$F$368,G521,FALSE)</f>
        <v>10.3590909090909</v>
      </c>
      <c r="J521" s="119">
        <f ca="1">HLOOKUP($H$4,'Met Data'!$H$2:$M$368,G521,FALSE)*L521</f>
        <v>3.7454545454545398</v>
      </c>
      <c r="K521" s="98">
        <f ca="1">HLOOKUP($H$4,'Met Data'!$O$2:$T$368,G521,FALSE)</f>
        <v>0.88746237543267503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177</v>
      </c>
      <c r="H522" s="97">
        <f t="shared" ca="1" si="89"/>
        <v>45833</v>
      </c>
      <c r="I522" s="121">
        <f ca="1">HLOOKUP($H$4,'Met Data'!$A$2:$F$368,G522,FALSE)</f>
        <v>9.5090909090909097</v>
      </c>
      <c r="J522" s="119">
        <f ca="1">HLOOKUP($H$4,'Met Data'!$H$2:$M$368,G522,FALSE)*L522</f>
        <v>3.1090909090909</v>
      </c>
      <c r="K522" s="98">
        <f ca="1">HLOOKUP($H$4,'Met Data'!$O$2:$T$368,G522,FALSE)</f>
        <v>0.97866599470650895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178</v>
      </c>
      <c r="H523" s="97">
        <f t="shared" ca="1" si="89"/>
        <v>45834</v>
      </c>
      <c r="I523" s="121">
        <f ca="1">HLOOKUP($H$4,'Met Data'!$A$2:$F$368,G523,FALSE)</f>
        <v>9.1272727272727199</v>
      </c>
      <c r="J523" s="119">
        <f ca="1">HLOOKUP($H$4,'Met Data'!$H$2:$M$368,G523,FALSE)*L523</f>
        <v>1.25454545454545</v>
      </c>
      <c r="K523" s="98">
        <f ca="1">HLOOKUP($H$4,'Met Data'!$O$2:$T$368,G523,FALSE)</f>
        <v>1.0040569739087299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179</v>
      </c>
      <c r="H524" s="97">
        <f t="shared" ca="1" si="89"/>
        <v>45835</v>
      </c>
      <c r="I524" s="121">
        <f ca="1">HLOOKUP($H$4,'Met Data'!$A$2:$F$368,G524,FALSE)</f>
        <v>8.7727272727272698</v>
      </c>
      <c r="J524" s="119">
        <f ca="1">HLOOKUP($H$4,'Met Data'!$H$2:$M$368,G524,FALSE)*L524</f>
        <v>2.9818181818181801</v>
      </c>
      <c r="K524" s="98">
        <f ca="1">HLOOKUP($H$4,'Met Data'!$O$2:$T$368,G524,FALSE)</f>
        <v>0.89055521132494797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180</v>
      </c>
      <c r="H525" s="97">
        <f t="shared" ca="1" si="89"/>
        <v>45836</v>
      </c>
      <c r="I525" s="121">
        <f ca="1">HLOOKUP($H$4,'Met Data'!$A$2:$F$368,G525,FALSE)</f>
        <v>8.8363636363636306</v>
      </c>
      <c r="J525" s="119">
        <f ca="1">HLOOKUP($H$4,'Met Data'!$H$2:$M$368,G525,FALSE)*L525</f>
        <v>0.90909090909090895</v>
      </c>
      <c r="K525" s="98">
        <f ca="1">HLOOKUP($H$4,'Met Data'!$O$2:$T$368,G525,FALSE)</f>
        <v>0.949335994975394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181</v>
      </c>
      <c r="H526" s="97">
        <f t="shared" ca="1" si="89"/>
        <v>45837</v>
      </c>
      <c r="I526" s="121">
        <f ca="1">HLOOKUP($H$4,'Met Data'!$A$2:$F$368,G526,FALSE)</f>
        <v>8.7136363636363594</v>
      </c>
      <c r="J526" s="119">
        <f ca="1">HLOOKUP($H$4,'Met Data'!$H$2:$M$368,G526,FALSE)*L526</f>
        <v>1.7833333333333301</v>
      </c>
      <c r="K526" s="98">
        <f ca="1">HLOOKUP($H$4,'Met Data'!$O$2:$T$368,G526,FALSE)</f>
        <v>0.92539172734817898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182</v>
      </c>
      <c r="H527" s="97">
        <f t="shared" ca="1" si="89"/>
        <v>45838</v>
      </c>
      <c r="I527" s="121">
        <f ca="1">HLOOKUP($H$4,'Met Data'!$A$2:$F$368,G527,FALSE)</f>
        <v>8.5291666666666597</v>
      </c>
      <c r="J527" s="119">
        <f ca="1">HLOOKUP($H$4,'Met Data'!$H$2:$M$368,G527,FALSE)*L527</f>
        <v>2.5833333333333299</v>
      </c>
      <c r="K527" s="98">
        <f ca="1">HLOOKUP($H$4,'Met Data'!$O$2:$T$368,G527,FALSE)</f>
        <v>0.82623977006466498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183</v>
      </c>
      <c r="H528" s="97">
        <f t="shared" ca="1" si="89"/>
        <v>45839</v>
      </c>
      <c r="I528" s="121">
        <f ca="1">HLOOKUP($H$4,'Met Data'!$A$2:$F$368,G528,FALSE)</f>
        <v>8.8208333333333293</v>
      </c>
      <c r="J528" s="119">
        <f ca="1">HLOOKUP($H$4,'Met Data'!$H$2:$M$368,G528,FALSE)*L528</f>
        <v>2.1333333333333302</v>
      </c>
      <c r="K528" s="98">
        <f ca="1">HLOOKUP($H$4,'Met Data'!$O$2:$T$368,G528,FALSE)</f>
        <v>0.80690048817841498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184</v>
      </c>
      <c r="H529" s="97">
        <f t="shared" ca="1" si="89"/>
        <v>45840</v>
      </c>
      <c r="I529" s="121">
        <f ca="1">HLOOKUP($H$4,'Met Data'!$A$2:$F$368,G529,FALSE)</f>
        <v>8.2249999999999996</v>
      </c>
      <c r="J529" s="119">
        <f ca="1">HLOOKUP($H$4,'Met Data'!$H$2:$M$368,G529,FALSE)*L529</f>
        <v>0.83333333333333304</v>
      </c>
      <c r="K529" s="98">
        <f ca="1">HLOOKUP($H$4,'Met Data'!$O$2:$T$368,G529,FALSE)</f>
        <v>1.0149186441071101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185</v>
      </c>
      <c r="H530" s="97">
        <f t="shared" ca="1" si="89"/>
        <v>45841</v>
      </c>
      <c r="I530" s="121">
        <f ca="1">HLOOKUP($H$4,'Met Data'!$A$2:$F$368,G530,FALSE)</f>
        <v>8.8333333333333304</v>
      </c>
      <c r="J530" s="119">
        <f ca="1">HLOOKUP($H$4,'Met Data'!$H$2:$M$368,G530,FALSE)*L530</f>
        <v>3.5666666666666602</v>
      </c>
      <c r="K530" s="98">
        <f ca="1">HLOOKUP($H$4,'Met Data'!$O$2:$T$368,G530,FALSE)</f>
        <v>0.89125379504041602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186</v>
      </c>
      <c r="H531" s="97">
        <f t="shared" ca="1" si="89"/>
        <v>45842</v>
      </c>
      <c r="I531" s="121">
        <f ca="1">HLOOKUP($H$4,'Met Data'!$A$2:$F$368,G531,FALSE)</f>
        <v>8.6</v>
      </c>
      <c r="J531" s="119">
        <f ca="1">HLOOKUP($H$4,'Met Data'!$H$2:$M$368,G531,FALSE)*L531</f>
        <v>0.73333333333333295</v>
      </c>
      <c r="K531" s="98">
        <f ca="1">HLOOKUP($H$4,'Met Data'!$O$2:$T$368,G531,FALSE)</f>
        <v>0.87224086772784204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187</v>
      </c>
      <c r="H532" s="97">
        <f t="shared" ca="1" si="89"/>
        <v>45843</v>
      </c>
      <c r="I532" s="121">
        <f ca="1">HLOOKUP($H$4,'Met Data'!$A$2:$F$368,G532,FALSE)</f>
        <v>9.4</v>
      </c>
      <c r="J532" s="119">
        <f ca="1">HLOOKUP($H$4,'Met Data'!$H$2:$M$368,G532,FALSE)*L532</f>
        <v>9.9999999999999895E-2</v>
      </c>
      <c r="K532" s="98">
        <f ca="1">HLOOKUP($H$4,'Met Data'!$O$2:$T$368,G532,FALSE)</f>
        <v>0.96939333533810901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188</v>
      </c>
      <c r="H533" s="97">
        <f t="shared" ca="1" si="89"/>
        <v>45844</v>
      </c>
      <c r="I533" s="121">
        <f ca="1">HLOOKUP($H$4,'Met Data'!$A$2:$F$368,G533,FALSE)</f>
        <v>9.12083333333333</v>
      </c>
      <c r="J533" s="119">
        <f ca="1">HLOOKUP($H$4,'Met Data'!$H$2:$M$368,G533,FALSE)*L533</f>
        <v>2.18333333333333</v>
      </c>
      <c r="K533" s="98">
        <f ca="1">HLOOKUP($H$4,'Met Data'!$O$2:$T$368,G533,FALSE)</f>
        <v>0.851628840058262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189</v>
      </c>
      <c r="H534" s="97">
        <f t="shared" ca="1" si="89"/>
        <v>45845</v>
      </c>
      <c r="I534" s="121">
        <f ca="1">HLOOKUP($H$4,'Met Data'!$A$2:$F$368,G534,FALSE)</f>
        <v>9.6583333333333297</v>
      </c>
      <c r="J534" s="119">
        <f ca="1">HLOOKUP($H$4,'Met Data'!$H$2:$M$368,G534,FALSE)*L534</f>
        <v>4.5666666666666602</v>
      </c>
      <c r="K534" s="98">
        <f ca="1">HLOOKUP($H$4,'Met Data'!$O$2:$T$368,G534,FALSE)</f>
        <v>0.80851868655974801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190</v>
      </c>
      <c r="H535" s="97">
        <f t="shared" ca="1" si="89"/>
        <v>45846</v>
      </c>
      <c r="I535" s="121">
        <f ca="1">HLOOKUP($H$4,'Met Data'!$A$2:$F$368,G535,FALSE)</f>
        <v>8.5291666666666597</v>
      </c>
      <c r="J535" s="119">
        <f ca="1">HLOOKUP($H$4,'Met Data'!$H$2:$M$368,G535,FALSE)*L535</f>
        <v>3.7833333333333301</v>
      </c>
      <c r="K535" s="98">
        <f ca="1">HLOOKUP($H$4,'Met Data'!$O$2:$T$368,G535,FALSE)</f>
        <v>1.09493770994468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191</v>
      </c>
      <c r="H536" s="97">
        <f t="shared" ca="1" si="89"/>
        <v>45847</v>
      </c>
      <c r="I536" s="121">
        <f ca="1">HLOOKUP($H$4,'Met Data'!$A$2:$F$368,G536,FALSE)</f>
        <v>8.1583333333333297</v>
      </c>
      <c r="J536" s="119">
        <f ca="1">HLOOKUP($H$4,'Met Data'!$H$2:$M$368,G536,FALSE)*L536</f>
        <v>4.18333333333333</v>
      </c>
      <c r="K536" s="98">
        <f ca="1">HLOOKUP($H$4,'Met Data'!$O$2:$T$368,G536,FALSE)</f>
        <v>0.89025740200721304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192</v>
      </c>
      <c r="H537" s="97">
        <f t="shared" ca="1" si="89"/>
        <v>45848</v>
      </c>
      <c r="I537" s="121">
        <f ca="1">HLOOKUP($H$4,'Met Data'!$A$2:$F$368,G537,FALSE)</f>
        <v>8.24166666666666</v>
      </c>
      <c r="J537" s="119">
        <f ca="1">HLOOKUP($H$4,'Met Data'!$H$2:$M$368,G537,FALSE)*L537</f>
        <v>2.2666666666666599</v>
      </c>
      <c r="K537" s="98">
        <f ca="1">HLOOKUP($H$4,'Met Data'!$O$2:$T$368,G537,FALSE)</f>
        <v>1.06467045295546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193</v>
      </c>
      <c r="H538" s="97">
        <f t="shared" ca="1" si="89"/>
        <v>45849</v>
      </c>
      <c r="I538" s="121">
        <f ca="1">HLOOKUP($H$4,'Met Data'!$A$2:$F$368,G538,FALSE)</f>
        <v>8.0333333333333297</v>
      </c>
      <c r="J538" s="119">
        <f ca="1">HLOOKUP($H$4,'Met Data'!$H$2:$M$368,G538,FALSE)*L538</f>
        <v>4.6500000000000004</v>
      </c>
      <c r="K538" s="98">
        <f ca="1">HLOOKUP($H$4,'Met Data'!$O$2:$T$368,G538,FALSE)</f>
        <v>1.03430816091664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194</v>
      </c>
      <c r="H539" s="97">
        <f t="shared" ca="1" si="89"/>
        <v>45850</v>
      </c>
      <c r="I539" s="121">
        <f ca="1">HLOOKUP($H$4,'Met Data'!$A$2:$F$368,G539,FALSE)</f>
        <v>8.37083333333333</v>
      </c>
      <c r="J539" s="119">
        <f ca="1">HLOOKUP($H$4,'Met Data'!$H$2:$M$368,G539,FALSE)*L539</f>
        <v>1.61666666666666</v>
      </c>
      <c r="K539" s="98">
        <f ca="1">HLOOKUP($H$4,'Met Data'!$O$2:$T$368,G539,FALSE)</f>
        <v>1.0039262064680501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195</v>
      </c>
      <c r="H540" s="97">
        <f t="shared" ca="1" si="89"/>
        <v>45851</v>
      </c>
      <c r="I540" s="121">
        <f ca="1">HLOOKUP($H$4,'Met Data'!$A$2:$F$368,G540,FALSE)</f>
        <v>8.0916666666666597</v>
      </c>
      <c r="J540" s="119">
        <f ca="1">HLOOKUP($H$4,'Met Data'!$H$2:$M$368,G540,FALSE)*L540</f>
        <v>5.0666666666666602</v>
      </c>
      <c r="K540" s="98">
        <f ca="1">HLOOKUP($H$4,'Met Data'!$O$2:$T$368,G540,FALSE)</f>
        <v>0.87492032925951801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196</v>
      </c>
      <c r="H541" s="97">
        <f t="shared" ca="1" si="89"/>
        <v>45852</v>
      </c>
      <c r="I541" s="121">
        <f ca="1">HLOOKUP($H$4,'Met Data'!$A$2:$F$368,G541,FALSE)</f>
        <v>7.9156250000000004</v>
      </c>
      <c r="J541" s="119">
        <f ca="1">HLOOKUP($H$4,'Met Data'!$H$2:$M$368,G541,FALSE)*L541</f>
        <v>4.1666666666666599</v>
      </c>
      <c r="K541" s="98">
        <f ca="1">HLOOKUP($H$4,'Met Data'!$O$2:$T$368,G541,FALSE)</f>
        <v>0.80250527716076203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197</v>
      </c>
      <c r="H542" s="97">
        <f t="shared" ca="1" si="89"/>
        <v>45853</v>
      </c>
      <c r="I542" s="121">
        <f ca="1">HLOOKUP($H$4,'Met Data'!$A$2:$F$368,G542,FALSE)</f>
        <v>8.8590909090909093</v>
      </c>
      <c r="J542" s="119">
        <f ca="1">HLOOKUP($H$4,'Met Data'!$H$2:$M$368,G542,FALSE)*L542</f>
        <v>2.0666666666666602</v>
      </c>
      <c r="K542" s="98">
        <f ca="1">HLOOKUP($H$4,'Met Data'!$O$2:$T$368,G542,FALSE)</f>
        <v>0.97822362204517799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198</v>
      </c>
      <c r="H543" s="97">
        <f t="shared" ca="1" si="89"/>
        <v>45854</v>
      </c>
      <c r="I543" s="121">
        <f ca="1">HLOOKUP($H$4,'Met Data'!$A$2:$F$368,G543,FALSE)</f>
        <v>8.8590909090909093</v>
      </c>
      <c r="J543" s="119">
        <f ca="1">HLOOKUP($H$4,'Met Data'!$H$2:$M$368,G543,FALSE)*L543</f>
        <v>6.0666666666666602</v>
      </c>
      <c r="K543" s="98">
        <f ca="1">HLOOKUP($H$4,'Met Data'!$O$2:$T$368,G543,FALSE)</f>
        <v>0.78802331007485205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199</v>
      </c>
      <c r="H544" s="97">
        <f t="shared" ca="1" si="89"/>
        <v>45855</v>
      </c>
      <c r="I544" s="121">
        <f ca="1">HLOOKUP($H$4,'Met Data'!$A$2:$F$368,G544,FALSE)</f>
        <v>9.5909090909090899</v>
      </c>
      <c r="J544" s="119">
        <f ca="1">HLOOKUP($H$4,'Met Data'!$H$2:$M$368,G544,FALSE)*L544</f>
        <v>4.5999999999999996</v>
      </c>
      <c r="K544" s="98">
        <f ca="1">HLOOKUP($H$4,'Met Data'!$O$2:$T$368,G544,FALSE)</f>
        <v>0.944748845250029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200</v>
      </c>
      <c r="H545" s="97">
        <f t="shared" ca="1" si="89"/>
        <v>45856</v>
      </c>
      <c r="I545" s="121">
        <f ca="1">HLOOKUP($H$4,'Met Data'!$A$2:$F$368,G545,FALSE)</f>
        <v>8.8450000000000006</v>
      </c>
      <c r="J545" s="119">
        <f ca="1">HLOOKUP($H$4,'Met Data'!$H$2:$M$368,G545,FALSE)*L545</f>
        <v>1.1000000000000001</v>
      </c>
      <c r="K545" s="98">
        <f ca="1">HLOOKUP($H$4,'Met Data'!$O$2:$T$368,G545,FALSE)</f>
        <v>1.0240187106181899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201</v>
      </c>
      <c r="H546" s="97">
        <f t="shared" ca="1" si="89"/>
        <v>45857</v>
      </c>
      <c r="I546" s="121">
        <f ca="1">HLOOKUP($H$4,'Met Data'!$A$2:$F$368,G546,FALSE)</f>
        <v>8.99166666666666</v>
      </c>
      <c r="J546" s="119">
        <f ca="1">HLOOKUP($H$4,'Met Data'!$H$2:$M$368,G546,FALSE)*L546</f>
        <v>1.3499999999999901</v>
      </c>
      <c r="K546" s="98">
        <f ca="1">HLOOKUP($H$4,'Met Data'!$O$2:$T$368,G546,FALSE)</f>
        <v>1.16174529470798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202</v>
      </c>
      <c r="H547" s="97">
        <f t="shared" ca="1" si="89"/>
        <v>45858</v>
      </c>
      <c r="I547" s="121">
        <f ca="1">HLOOKUP($H$4,'Met Data'!$A$2:$F$368,G547,FALSE)</f>
        <v>9.5</v>
      </c>
      <c r="J547" s="119">
        <f ca="1">HLOOKUP($H$4,'Met Data'!$H$2:$M$368,G547,FALSE)*L547</f>
        <v>2.75</v>
      </c>
      <c r="K547" s="98">
        <f ca="1">HLOOKUP($H$4,'Met Data'!$O$2:$T$368,G547,FALSE)</f>
        <v>0.94669865516537999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203</v>
      </c>
      <c r="H548" s="97">
        <f t="shared" ca="1" si="89"/>
        <v>45859</v>
      </c>
      <c r="I548" s="121">
        <f ca="1">HLOOKUP($H$4,'Met Data'!$A$2:$F$368,G548,FALSE)</f>
        <v>9.8333333333333304</v>
      </c>
      <c r="J548" s="119">
        <f ca="1">HLOOKUP($H$4,'Met Data'!$H$2:$M$368,G548,FALSE)*L548</f>
        <v>3.6333333333333302</v>
      </c>
      <c r="K548" s="98">
        <f ca="1">HLOOKUP($H$4,'Met Data'!$O$2:$T$368,G548,FALSE)</f>
        <v>1.0815395194790001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204</v>
      </c>
      <c r="H549" s="97">
        <f t="shared" ca="1" si="89"/>
        <v>45860</v>
      </c>
      <c r="I549" s="121">
        <f ca="1">HLOOKUP($H$4,'Met Data'!$A$2:$F$368,G549,FALSE)</f>
        <v>10.029166666666599</v>
      </c>
      <c r="J549" s="119">
        <f ca="1">HLOOKUP($H$4,'Met Data'!$H$2:$M$368,G549,FALSE)*L549</f>
        <v>4.68333333333333</v>
      </c>
      <c r="K549" s="98">
        <f ca="1">HLOOKUP($H$4,'Met Data'!$O$2:$T$368,G549,FALSE)</f>
        <v>1.0771273773513399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205</v>
      </c>
      <c r="H550" s="97">
        <f t="shared" ca="1" si="89"/>
        <v>45861</v>
      </c>
      <c r="I550" s="121">
        <f ca="1">HLOOKUP($H$4,'Met Data'!$A$2:$F$368,G550,FALSE)</f>
        <v>9.4250000000000007</v>
      </c>
      <c r="J550" s="119">
        <f ca="1">HLOOKUP($H$4,'Met Data'!$H$2:$M$368,G550,FALSE)*L550</f>
        <v>5.2666666666666604</v>
      </c>
      <c r="K550" s="98">
        <f ca="1">HLOOKUP($H$4,'Met Data'!$O$2:$T$368,G550,FALSE)</f>
        <v>0.87955885998233896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206</v>
      </c>
      <c r="H551" s="97">
        <f t="shared" ca="1" si="89"/>
        <v>45862</v>
      </c>
      <c r="I551" s="121">
        <f ca="1">HLOOKUP($H$4,'Met Data'!$A$2:$F$368,G551,FALSE)</f>
        <v>9.4</v>
      </c>
      <c r="J551" s="119">
        <f ca="1">HLOOKUP($H$4,'Met Data'!$H$2:$M$368,G551,FALSE)*L551</f>
        <v>2.0499999999999998</v>
      </c>
      <c r="K551" s="98">
        <f ca="1">HLOOKUP($H$4,'Met Data'!$O$2:$T$368,G551,FALSE)</f>
        <v>0.953998897248024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207</v>
      </c>
      <c r="H552" s="97">
        <f t="shared" ca="1" si="89"/>
        <v>45863</v>
      </c>
      <c r="I552" s="121">
        <f ca="1">HLOOKUP($H$4,'Met Data'!$A$2:$F$368,G552,FALSE)</f>
        <v>8.92916666666666</v>
      </c>
      <c r="J552" s="119">
        <f ca="1">HLOOKUP($H$4,'Met Data'!$H$2:$M$368,G552,FALSE)*L552</f>
        <v>1.1499999999999999</v>
      </c>
      <c r="K552" s="98">
        <f ca="1">HLOOKUP($H$4,'Met Data'!$O$2:$T$368,G552,FALSE)</f>
        <v>1.2467505566806001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208</v>
      </c>
      <c r="H553" s="97">
        <f t="shared" ca="1" si="89"/>
        <v>45864</v>
      </c>
      <c r="I553" s="121">
        <f ca="1">HLOOKUP($H$4,'Met Data'!$A$2:$F$368,G553,FALSE)</f>
        <v>8.7624999999999993</v>
      </c>
      <c r="J553" s="119">
        <f ca="1">HLOOKUP($H$4,'Met Data'!$H$2:$M$368,G553,FALSE)*L553</f>
        <v>0.45</v>
      </c>
      <c r="K553" s="98">
        <f ca="1">HLOOKUP($H$4,'Met Data'!$O$2:$T$368,G553,FALSE)</f>
        <v>1.3150067848265401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209</v>
      </c>
      <c r="H554" s="97">
        <f t="shared" ca="1" si="89"/>
        <v>45865</v>
      </c>
      <c r="I554" s="121">
        <f ca="1">HLOOKUP($H$4,'Met Data'!$A$2:$F$368,G554,FALSE)</f>
        <v>9.3333333333333304</v>
      </c>
      <c r="J554" s="119">
        <f ca="1">HLOOKUP($H$4,'Met Data'!$H$2:$M$368,G554,FALSE)*L554</f>
        <v>2.0166666666666599</v>
      </c>
      <c r="K554" s="98">
        <f ca="1">HLOOKUP($H$4,'Met Data'!$O$2:$T$368,G554,FALSE)</f>
        <v>1.11956275252086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210</v>
      </c>
      <c r="H555" s="97">
        <f t="shared" ca="1" si="89"/>
        <v>45866</v>
      </c>
      <c r="I555" s="121">
        <f ca="1">HLOOKUP($H$4,'Met Data'!$A$2:$F$368,G555,FALSE)</f>
        <v>8.9875000000000007</v>
      </c>
      <c r="J555" s="119">
        <f ca="1">HLOOKUP($H$4,'Met Data'!$H$2:$M$368,G555,FALSE)*L555</f>
        <v>1.2666666666666599</v>
      </c>
      <c r="K555" s="98">
        <f ca="1">HLOOKUP($H$4,'Met Data'!$O$2:$T$368,G555,FALSE)</f>
        <v>1.28515382274214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211</v>
      </c>
      <c r="H556" s="97">
        <f t="shared" ca="1" si="89"/>
        <v>45867</v>
      </c>
      <c r="I556" s="121">
        <f ca="1">HLOOKUP($H$4,'Met Data'!$A$2:$F$368,G556,FALSE)</f>
        <v>9.0374999999999996</v>
      </c>
      <c r="J556" s="119">
        <f ca="1">HLOOKUP($H$4,'Met Data'!$H$2:$M$368,G556,FALSE)*L556</f>
        <v>2.7999999999999901</v>
      </c>
      <c r="K556" s="98">
        <f ca="1">HLOOKUP($H$4,'Met Data'!$O$2:$T$368,G556,FALSE)</f>
        <v>1.1959337492079301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212</v>
      </c>
      <c r="H557" s="97">
        <f t="shared" ca="1" si="89"/>
        <v>45868</v>
      </c>
      <c r="I557" s="121">
        <f ca="1">HLOOKUP($H$4,'Met Data'!$A$2:$F$368,G557,FALSE)</f>
        <v>8.17916666666666</v>
      </c>
      <c r="J557" s="119">
        <f ca="1">HLOOKUP($H$4,'Met Data'!$H$2:$M$368,G557,FALSE)*L557</f>
        <v>1.55</v>
      </c>
      <c r="K557" s="98">
        <f ca="1">HLOOKUP($H$4,'Met Data'!$O$2:$T$368,G557,FALSE)</f>
        <v>1.3658842309244701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213</v>
      </c>
      <c r="H558" s="97">
        <f t="shared" ca="1" si="89"/>
        <v>45869</v>
      </c>
      <c r="I558" s="121">
        <f ca="1">HLOOKUP($H$4,'Met Data'!$A$2:$F$368,G558,FALSE)</f>
        <v>8.75</v>
      </c>
      <c r="J558" s="119">
        <f ca="1">HLOOKUP($H$4,'Met Data'!$H$2:$M$368,G558,FALSE)*L558</f>
        <v>2.44999999999999</v>
      </c>
      <c r="K558" s="98">
        <f ca="1">HLOOKUP($H$4,'Met Data'!$O$2:$T$368,G558,FALSE)</f>
        <v>0.89818915942500899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214</v>
      </c>
      <c r="H559" s="97">
        <f t="shared" ca="1" si="89"/>
        <v>45870</v>
      </c>
      <c r="I559" s="121">
        <f ca="1">HLOOKUP($H$4,'Met Data'!$A$2:$F$368,G559,FALSE)</f>
        <v>10.3375</v>
      </c>
      <c r="J559" s="119">
        <f ca="1">HLOOKUP($H$4,'Met Data'!$H$2:$M$368,G559,FALSE)*L559</f>
        <v>5.2666666666666604</v>
      </c>
      <c r="K559" s="98">
        <f ca="1">HLOOKUP($H$4,'Met Data'!$O$2:$T$368,G559,FALSE)</f>
        <v>0.94454335980482496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ref="G560:G623" ca="1" si="90">H560-DATE(YEAR(H560),1,0)+1</f>
        <v>215</v>
      </c>
      <c r="H560" s="97">
        <f t="shared" ca="1" si="89"/>
        <v>45871</v>
      </c>
      <c r="I560" s="121">
        <f ca="1">HLOOKUP($H$4,'Met Data'!$A$2:$F$368,G560,FALSE)</f>
        <v>10.595454545454499</v>
      </c>
      <c r="J560" s="119">
        <f ca="1">HLOOKUP($H$4,'Met Data'!$H$2:$M$368,G560,FALSE)*L560</f>
        <v>4.4166666666666599</v>
      </c>
      <c r="K560" s="98">
        <f ca="1">HLOOKUP($H$4,'Met Data'!$O$2:$T$368,G560,FALSE)</f>
        <v>1.0832642567801201</v>
      </c>
      <c r="L560">
        <f t="shared" ca="1" si="88"/>
        <v>1</v>
      </c>
      <c r="N560" t="e">
        <f t="shared" ref="N560:N623" ca="1" si="91">IF(P560&lt;$P$3,TRUE,FALSE)</f>
        <v>#N/A</v>
      </c>
      <c r="O560" t="e">
        <f t="shared" ref="O560:O623" ca="1" si="92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3">IFERROR(P560,$AD$4)</f>
        <v>0</v>
      </c>
      <c r="AE560">
        <f t="shared" ref="AE560:AE623" ca="1" si="94">IFERROR(U560,0)</f>
        <v>0</v>
      </c>
      <c r="AG560" s="63" t="e">
        <f t="shared" ref="AG560:AG623" ca="1" si="95">Q559+S560+T560+U560</f>
        <v>#N/A</v>
      </c>
      <c r="AH560" s="63" t="e">
        <f t="shared" ref="AH560:AH623" ca="1" si="96">Q560+R560+X560</f>
        <v>#N/A</v>
      </c>
      <c r="AI560" s="3" t="e">
        <f t="shared" ref="AI560:AI623" ca="1" si="97">AH560-AG560</f>
        <v>#N/A</v>
      </c>
    </row>
    <row r="561" spans="7:35" ht="15.75" thickBot="1">
      <c r="G561" s="3">
        <f t="shared" ca="1" si="90"/>
        <v>216</v>
      </c>
      <c r="H561" s="97">
        <f t="shared" ca="1" si="89"/>
        <v>45872</v>
      </c>
      <c r="I561" s="121">
        <f ca="1">HLOOKUP($H$4,'Met Data'!$A$2:$F$368,G561,FALSE)</f>
        <v>10.1041666666666</v>
      </c>
      <c r="J561" s="119">
        <f ca="1">HLOOKUP($H$4,'Met Data'!$H$2:$M$368,G561,FALSE)*L561</f>
        <v>2.0833333333333299</v>
      </c>
      <c r="K561" s="98">
        <f ca="1">HLOOKUP($H$4,'Met Data'!$O$2:$T$368,G561,FALSE)</f>
        <v>1.39183263100002</v>
      </c>
      <c r="L561">
        <f t="shared" ca="1" si="88"/>
        <v>1</v>
      </c>
      <c r="N561" t="e">
        <f t="shared" ca="1" si="91"/>
        <v>#N/A</v>
      </c>
      <c r="O561" t="e">
        <f t="shared" ca="1" si="92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3"/>
        <v>0</v>
      </c>
      <c r="AE561">
        <f t="shared" ca="1" si="94"/>
        <v>0</v>
      </c>
      <c r="AG561" s="63" t="e">
        <f t="shared" ca="1" si="95"/>
        <v>#N/A</v>
      </c>
      <c r="AH561" s="63" t="e">
        <f t="shared" ca="1" si="96"/>
        <v>#N/A</v>
      </c>
      <c r="AI561" s="3" t="e">
        <f t="shared" ca="1" si="97"/>
        <v>#N/A</v>
      </c>
    </row>
    <row r="562" spans="7:35" ht="15.75" thickBot="1">
      <c r="G562" s="3">
        <f t="shared" ca="1" si="90"/>
        <v>217</v>
      </c>
      <c r="H562" s="97">
        <f t="shared" ca="1" si="89"/>
        <v>45873</v>
      </c>
      <c r="I562" s="121">
        <f ca="1">HLOOKUP($H$4,'Met Data'!$A$2:$F$368,G562,FALSE)</f>
        <v>10.1833333333333</v>
      </c>
      <c r="J562" s="119">
        <f ca="1">HLOOKUP($H$4,'Met Data'!$H$2:$M$368,G562,FALSE)*L562</f>
        <v>5.9833333333333298</v>
      </c>
      <c r="K562" s="98">
        <f ca="1">HLOOKUP($H$4,'Met Data'!$O$2:$T$368,G562,FALSE)</f>
        <v>1.0301492818772899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218</v>
      </c>
      <c r="H563" s="97">
        <f t="shared" ca="1" si="89"/>
        <v>45874</v>
      </c>
      <c r="I563" s="121">
        <f ca="1">HLOOKUP($H$4,'Met Data'!$A$2:$F$368,G563,FALSE)</f>
        <v>9.7708333333333304</v>
      </c>
      <c r="J563" s="119">
        <f ca="1">HLOOKUP($H$4,'Met Data'!$H$2:$M$368,G563,FALSE)*L563</f>
        <v>2.9833333333333298</v>
      </c>
      <c r="K563" s="98">
        <f ca="1">HLOOKUP($H$4,'Met Data'!$O$2:$T$368,G563,FALSE)</f>
        <v>1.3432284560273799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219</v>
      </c>
      <c r="H564" s="97">
        <f t="shared" ca="1" si="89"/>
        <v>45875</v>
      </c>
      <c r="I564" s="121">
        <f ca="1">HLOOKUP($H$4,'Met Data'!$A$2:$F$368,G564,FALSE)</f>
        <v>9.8791666666666593</v>
      </c>
      <c r="J564" s="119">
        <f ca="1">HLOOKUP($H$4,'Met Data'!$H$2:$M$368,G564,FALSE)*L564</f>
        <v>4.4833333333333298</v>
      </c>
      <c r="K564" s="98">
        <f ca="1">HLOOKUP($H$4,'Met Data'!$O$2:$T$368,G564,FALSE)</f>
        <v>1.0259838566514501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220</v>
      </c>
      <c r="H565" s="97">
        <f t="shared" ca="1" si="89"/>
        <v>45876</v>
      </c>
      <c r="I565" s="121">
        <f ca="1">HLOOKUP($H$4,'Met Data'!$A$2:$F$368,G565,FALSE)</f>
        <v>9.9874999999999901</v>
      </c>
      <c r="J565" s="119">
        <f ca="1">HLOOKUP($H$4,'Met Data'!$H$2:$M$368,G565,FALSE)*L565</f>
        <v>2.2000000000000002</v>
      </c>
      <c r="K565" s="98">
        <f ca="1">HLOOKUP($H$4,'Met Data'!$O$2:$T$368,G565,FALSE)</f>
        <v>1.1029484647982599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221</v>
      </c>
      <c r="H566" s="97">
        <f t="shared" ca="1" si="89"/>
        <v>45877</v>
      </c>
      <c r="I566" s="121">
        <f ca="1">HLOOKUP($H$4,'Met Data'!$A$2:$F$368,G566,FALSE)</f>
        <v>9.4625000000000004</v>
      </c>
      <c r="J566" s="119">
        <f ca="1">HLOOKUP($H$4,'Met Data'!$H$2:$M$368,G566,FALSE)*L566</f>
        <v>3.61666666666666</v>
      </c>
      <c r="K566" s="98">
        <f ca="1">HLOOKUP($H$4,'Met Data'!$O$2:$T$368,G566,FALSE)</f>
        <v>1.10790183862933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222</v>
      </c>
      <c r="H567" s="97">
        <f t="shared" ca="1" si="89"/>
        <v>45878</v>
      </c>
      <c r="I567" s="121">
        <f ca="1">HLOOKUP($H$4,'Met Data'!$A$2:$F$368,G567,FALSE)</f>
        <v>8.42916666666666</v>
      </c>
      <c r="J567" s="119">
        <f ca="1">HLOOKUP($H$4,'Met Data'!$H$2:$M$368,G567,FALSE)*L567</f>
        <v>3.4</v>
      </c>
      <c r="K567" s="98">
        <f ca="1">HLOOKUP($H$4,'Met Data'!$O$2:$T$368,G567,FALSE)</f>
        <v>1.32402542664303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223</v>
      </c>
      <c r="H568" s="97">
        <f t="shared" ca="1" si="89"/>
        <v>45879</v>
      </c>
      <c r="I568" s="121">
        <f ca="1">HLOOKUP($H$4,'Met Data'!$A$2:$F$368,G568,FALSE)</f>
        <v>7.8416666666666597</v>
      </c>
      <c r="J568" s="119">
        <f ca="1">HLOOKUP($H$4,'Met Data'!$H$2:$M$368,G568,FALSE)*L568</f>
        <v>1.38333333333333</v>
      </c>
      <c r="K568" s="98">
        <f ca="1">HLOOKUP($H$4,'Met Data'!$O$2:$T$368,G568,FALSE)</f>
        <v>1.2882274194230801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224</v>
      </c>
      <c r="H569" s="97">
        <f t="shared" ca="1" si="89"/>
        <v>45880</v>
      </c>
      <c r="I569" s="121">
        <f ca="1">HLOOKUP($H$4,'Met Data'!$A$2:$F$368,G569,FALSE)</f>
        <v>8.7916666666666607</v>
      </c>
      <c r="J569" s="119">
        <f ca="1">HLOOKUP($H$4,'Met Data'!$H$2:$M$368,G569,FALSE)*L569</f>
        <v>4.7</v>
      </c>
      <c r="K569" s="98">
        <f ca="1">HLOOKUP($H$4,'Met Data'!$O$2:$T$368,G569,FALSE)</f>
        <v>1.2700812995642401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225</v>
      </c>
      <c r="H570" s="97">
        <f t="shared" ca="1" si="89"/>
        <v>45881</v>
      </c>
      <c r="I570" s="121">
        <f ca="1">HLOOKUP($H$4,'Met Data'!$A$2:$F$368,G570,FALSE)</f>
        <v>9.2041666666666604</v>
      </c>
      <c r="J570" s="119">
        <f ca="1">HLOOKUP($H$4,'Met Data'!$H$2:$M$368,G570,FALSE)*L570</f>
        <v>4.9666666666666597</v>
      </c>
      <c r="K570" s="98">
        <f ca="1">HLOOKUP($H$4,'Met Data'!$O$2:$T$368,G570,FALSE)</f>
        <v>1.216678160996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226</v>
      </c>
      <c r="H571" s="97">
        <f t="shared" ca="1" si="89"/>
        <v>45882</v>
      </c>
      <c r="I571" s="121">
        <f ca="1">HLOOKUP($H$4,'Met Data'!$A$2:$F$368,G571,FALSE)</f>
        <v>9.49583333333333</v>
      </c>
      <c r="J571" s="119">
        <f ca="1">HLOOKUP($H$4,'Met Data'!$H$2:$M$368,G571,FALSE)*L571</f>
        <v>3.11666666666666</v>
      </c>
      <c r="K571" s="98">
        <f ca="1">HLOOKUP($H$4,'Met Data'!$O$2:$T$368,G571,FALSE)</f>
        <v>1.2041756804414001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227</v>
      </c>
      <c r="H572" s="97">
        <f t="shared" ca="1" si="89"/>
        <v>45883</v>
      </c>
      <c r="I572" s="121">
        <f ca="1">HLOOKUP($H$4,'Met Data'!$A$2:$F$368,G572,FALSE)</f>
        <v>9.7791666666666597</v>
      </c>
      <c r="J572" s="119">
        <f ca="1">HLOOKUP($H$4,'Met Data'!$H$2:$M$368,G572,FALSE)*L572</f>
        <v>6.7</v>
      </c>
      <c r="K572" s="98">
        <f ca="1">HLOOKUP($H$4,'Met Data'!$O$2:$T$368,G572,FALSE)</f>
        <v>1.1357294741412001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228</v>
      </c>
      <c r="H573" s="97">
        <f t="shared" ca="1" si="89"/>
        <v>45884</v>
      </c>
      <c r="I573" s="121">
        <f ca="1">HLOOKUP($H$4,'Met Data'!$A$2:$F$368,G573,FALSE)</f>
        <v>9.4375</v>
      </c>
      <c r="J573" s="119">
        <f ca="1">HLOOKUP($H$4,'Met Data'!$H$2:$M$368,G573,FALSE)*L573</f>
        <v>3.2833333333333301</v>
      </c>
      <c r="K573" s="98">
        <f ca="1">HLOOKUP($H$4,'Met Data'!$O$2:$T$368,G573,FALSE)</f>
        <v>1.2410385498851699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229</v>
      </c>
      <c r="H574" s="97">
        <f t="shared" ca="1" si="89"/>
        <v>45885</v>
      </c>
      <c r="I574" s="121">
        <f ca="1">HLOOKUP($H$4,'Met Data'!$A$2:$F$368,G574,FALSE)</f>
        <v>9.6999999999999993</v>
      </c>
      <c r="J574" s="119">
        <f ca="1">HLOOKUP($H$4,'Met Data'!$H$2:$M$368,G574,FALSE)*L574</f>
        <v>1.5999999999999901</v>
      </c>
      <c r="K574" s="98">
        <f ca="1">HLOOKUP($H$4,'Met Data'!$O$2:$T$368,G574,FALSE)</f>
        <v>1.30158376837533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230</v>
      </c>
      <c r="H575" s="97">
        <f t="shared" ca="1" si="89"/>
        <v>45886</v>
      </c>
      <c r="I575" s="121">
        <f ca="1">HLOOKUP($H$4,'Met Data'!$A$2:$F$368,G575,FALSE)</f>
        <v>9.61666666666666</v>
      </c>
      <c r="J575" s="119">
        <f ca="1">HLOOKUP($H$4,'Met Data'!$H$2:$M$368,G575,FALSE)*L575</f>
        <v>6.5999999999999899</v>
      </c>
      <c r="K575" s="98">
        <f ca="1">HLOOKUP($H$4,'Met Data'!$O$2:$T$368,G575,FALSE)</f>
        <v>1.3713845776081399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231</v>
      </c>
      <c r="H576" s="97">
        <f t="shared" ca="1" si="89"/>
        <v>45887</v>
      </c>
      <c r="I576" s="121">
        <f ca="1">HLOOKUP($H$4,'Met Data'!$A$2:$F$368,G576,FALSE)</f>
        <v>8.8333333333333304</v>
      </c>
      <c r="J576" s="119">
        <f ca="1">HLOOKUP($H$4,'Met Data'!$H$2:$M$368,G576,FALSE)*L576</f>
        <v>3.3</v>
      </c>
      <c r="K576" s="98">
        <f ca="1">HLOOKUP($H$4,'Met Data'!$O$2:$T$368,G576,FALSE)</f>
        <v>1.38797998518043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232</v>
      </c>
      <c r="H577" s="97">
        <f t="shared" ca="1" si="89"/>
        <v>45888</v>
      </c>
      <c r="I577" s="121">
        <f ca="1">HLOOKUP($H$4,'Met Data'!$A$2:$F$368,G577,FALSE)</f>
        <v>9.4833333333333307</v>
      </c>
      <c r="J577" s="119">
        <f ca="1">HLOOKUP($H$4,'Met Data'!$H$2:$M$368,G577,FALSE)*L577</f>
        <v>2.1333333333333302</v>
      </c>
      <c r="K577" s="98">
        <f ca="1">HLOOKUP($H$4,'Met Data'!$O$2:$T$368,G577,FALSE)</f>
        <v>1.56092628574794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233</v>
      </c>
      <c r="H578" s="97">
        <f t="shared" ca="1" si="89"/>
        <v>45889</v>
      </c>
      <c r="I578" s="121">
        <f ca="1">HLOOKUP($H$4,'Met Data'!$A$2:$F$368,G578,FALSE)</f>
        <v>9.2583333333333293</v>
      </c>
      <c r="J578" s="119">
        <f ca="1">HLOOKUP($H$4,'Met Data'!$H$2:$M$368,G578,FALSE)*L578</f>
        <v>3.65</v>
      </c>
      <c r="K578" s="98">
        <f ca="1">HLOOKUP($H$4,'Met Data'!$O$2:$T$368,G578,FALSE)</f>
        <v>1.4422774750484899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234</v>
      </c>
      <c r="H579" s="97">
        <f t="shared" ca="1" si="89"/>
        <v>45890</v>
      </c>
      <c r="I579" s="121">
        <f ca="1">HLOOKUP($H$4,'Met Data'!$A$2:$F$368,G579,FALSE)</f>
        <v>9.7708333333333304</v>
      </c>
      <c r="J579" s="119">
        <f ca="1">HLOOKUP($H$4,'Met Data'!$H$2:$M$368,G579,FALSE)*L579</f>
        <v>2.36666666666666</v>
      </c>
      <c r="K579" s="98">
        <f ca="1">HLOOKUP($H$4,'Met Data'!$O$2:$T$368,G579,FALSE)</f>
        <v>1.70464821639982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235</v>
      </c>
      <c r="H580" s="97">
        <f t="shared" ca="1" si="89"/>
        <v>45891</v>
      </c>
      <c r="I580" s="121">
        <f ca="1">HLOOKUP($H$4,'Met Data'!$A$2:$F$368,G580,FALSE)</f>
        <v>9.5208333333333304</v>
      </c>
      <c r="J580" s="119">
        <f ca="1">HLOOKUP($H$4,'Met Data'!$H$2:$M$368,G580,FALSE)*L580</f>
        <v>4.4666666666666597</v>
      </c>
      <c r="K580" s="98">
        <f ca="1">HLOOKUP($H$4,'Met Data'!$O$2:$T$368,G580,FALSE)</f>
        <v>1.6762831823304301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236</v>
      </c>
      <c r="H581" s="97">
        <f t="shared" ca="1" si="89"/>
        <v>45892</v>
      </c>
      <c r="I581" s="121">
        <f ca="1">HLOOKUP($H$4,'Met Data'!$A$2:$F$368,G581,FALSE)</f>
        <v>9.5791666666666604</v>
      </c>
      <c r="J581" s="119">
        <f ca="1">HLOOKUP($H$4,'Met Data'!$H$2:$M$368,G581,FALSE)*L581</f>
        <v>1.4833333333333301</v>
      </c>
      <c r="K581" s="98">
        <f ca="1">HLOOKUP($H$4,'Met Data'!$O$2:$T$368,G581,FALSE)</f>
        <v>1.44273965203753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237</v>
      </c>
      <c r="H582" s="97">
        <f t="shared" ca="1" si="89"/>
        <v>45893</v>
      </c>
      <c r="I582" s="121">
        <f ca="1">HLOOKUP($H$4,'Met Data'!$A$2:$F$368,G582,FALSE)</f>
        <v>9.8874999999999993</v>
      </c>
      <c r="J582" s="119">
        <f ca="1">HLOOKUP($H$4,'Met Data'!$H$2:$M$368,G582,FALSE)*L582</f>
        <v>0.56666666666666599</v>
      </c>
      <c r="K582" s="98">
        <f ca="1">HLOOKUP($H$4,'Met Data'!$O$2:$T$368,G582,FALSE)</f>
        <v>1.7386735184612501</v>
      </c>
      <c r="L582">
        <f t="shared" ref="L582:L645" ca="1" si="98">IF(H582&lt;$B$31,$J$3,$J$4)</f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238</v>
      </c>
      <c r="H583" s="97">
        <f t="shared" ca="1" si="89"/>
        <v>45894</v>
      </c>
      <c r="I583" s="121">
        <f ca="1">HLOOKUP($H$4,'Met Data'!$A$2:$F$368,G583,FALSE)</f>
        <v>9.7208333333333297</v>
      </c>
      <c r="J583" s="119">
        <f ca="1">HLOOKUP($H$4,'Met Data'!$H$2:$M$368,G583,FALSE)*L583</f>
        <v>2.4666666666666601</v>
      </c>
      <c r="K583" s="98">
        <f ca="1">HLOOKUP($H$4,'Met Data'!$O$2:$T$368,G583,FALSE)</f>
        <v>1.45538034550647</v>
      </c>
      <c r="L583">
        <f t="shared" ca="1" si="98"/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239</v>
      </c>
      <c r="H584" s="97">
        <f t="shared" ref="H584:H647" ca="1" si="99">H583+1</f>
        <v>45895</v>
      </c>
      <c r="I584" s="121">
        <f ca="1">HLOOKUP($H$4,'Met Data'!$A$2:$F$368,G584,FALSE)</f>
        <v>10.716666666666599</v>
      </c>
      <c r="J584" s="119">
        <f ca="1">HLOOKUP($H$4,'Met Data'!$H$2:$M$368,G584,FALSE)*L584</f>
        <v>3.0666666666666602</v>
      </c>
      <c r="K584" s="98">
        <f ca="1">HLOOKUP($H$4,'Met Data'!$O$2:$T$368,G584,FALSE)</f>
        <v>1.4899612238642299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240</v>
      </c>
      <c r="H585" s="97">
        <f t="shared" ca="1" si="99"/>
        <v>45896</v>
      </c>
      <c r="I585" s="121">
        <f ca="1">HLOOKUP($H$4,'Met Data'!$A$2:$F$368,G585,FALSE)</f>
        <v>10.754166666666601</v>
      </c>
      <c r="J585" s="119">
        <f ca="1">HLOOKUP($H$4,'Met Data'!$H$2:$M$368,G585,FALSE)*L585</f>
        <v>1.0333333333333301</v>
      </c>
      <c r="K585" s="98">
        <f ca="1">HLOOKUP($H$4,'Met Data'!$O$2:$T$368,G585,FALSE)</f>
        <v>1.6543487023337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241</v>
      </c>
      <c r="H586" s="97">
        <f t="shared" ca="1" si="99"/>
        <v>45897</v>
      </c>
      <c r="I586" s="121">
        <f ca="1">HLOOKUP($H$4,'Met Data'!$A$2:$F$368,G586,FALSE)</f>
        <v>11.0833333333333</v>
      </c>
      <c r="J586" s="119">
        <f ca="1">HLOOKUP($H$4,'Met Data'!$H$2:$M$368,G586,FALSE)*L586</f>
        <v>1.9</v>
      </c>
      <c r="K586" s="98">
        <f ca="1">HLOOKUP($H$4,'Met Data'!$O$2:$T$368,G586,FALSE)</f>
        <v>1.6425180639822501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242</v>
      </c>
      <c r="H587" s="97">
        <f t="shared" ca="1" si="99"/>
        <v>45898</v>
      </c>
      <c r="I587" s="121">
        <f ca="1">HLOOKUP($H$4,'Met Data'!$A$2:$F$368,G587,FALSE)</f>
        <v>10.5791666666666</v>
      </c>
      <c r="J587" s="119">
        <f ca="1">HLOOKUP($H$4,'Met Data'!$H$2:$M$368,G587,FALSE)*L587</f>
        <v>3.0166666666666599</v>
      </c>
      <c r="K587" s="98">
        <f ca="1">HLOOKUP($H$4,'Met Data'!$O$2:$T$368,G587,FALSE)</f>
        <v>1.5065040723285099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243</v>
      </c>
      <c r="H588" s="97">
        <f t="shared" ca="1" si="99"/>
        <v>45899</v>
      </c>
      <c r="I588" s="121">
        <f ca="1">HLOOKUP($H$4,'Met Data'!$A$2:$F$368,G588,FALSE)</f>
        <v>11.1208333333333</v>
      </c>
      <c r="J588" s="119">
        <f ca="1">HLOOKUP($H$4,'Met Data'!$H$2:$M$368,G588,FALSE)*L588</f>
        <v>1.56666666666666</v>
      </c>
      <c r="K588" s="98">
        <f ca="1">HLOOKUP($H$4,'Met Data'!$O$2:$T$368,G588,FALSE)</f>
        <v>1.7782422370636499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244</v>
      </c>
      <c r="H589" s="97">
        <f t="shared" ca="1" si="99"/>
        <v>45900</v>
      </c>
      <c r="I589" s="121">
        <f ca="1">HLOOKUP($H$4,'Met Data'!$A$2:$F$368,G589,FALSE)</f>
        <v>10.6666666666666</v>
      </c>
      <c r="J589" s="119">
        <f ca="1">HLOOKUP($H$4,'Met Data'!$H$2:$M$368,G589,FALSE)*L589</f>
        <v>1.7333333333333301</v>
      </c>
      <c r="K589" s="98">
        <f ca="1">HLOOKUP($H$4,'Met Data'!$O$2:$T$368,G589,FALSE)</f>
        <v>1.8075127039194601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245</v>
      </c>
      <c r="H590" s="97">
        <f t="shared" ca="1" si="99"/>
        <v>45901</v>
      </c>
      <c r="I590" s="121">
        <f ca="1">HLOOKUP($H$4,'Met Data'!$A$2:$F$368,G590,FALSE)</f>
        <v>10.1208333333333</v>
      </c>
      <c r="J590" s="119">
        <f ca="1">HLOOKUP($H$4,'Met Data'!$H$2:$M$368,G590,FALSE)*L590</f>
        <v>0.8</v>
      </c>
      <c r="K590" s="98">
        <f ca="1">HLOOKUP($H$4,'Met Data'!$O$2:$T$368,G590,FALSE)</f>
        <v>1.80445161149383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246</v>
      </c>
      <c r="H591" s="97">
        <f t="shared" ca="1" si="99"/>
        <v>45902</v>
      </c>
      <c r="I591" s="121">
        <f ca="1">HLOOKUP($H$4,'Met Data'!$A$2:$F$368,G591,FALSE)</f>
        <v>9.6624999999999996</v>
      </c>
      <c r="J591" s="119">
        <f ca="1">HLOOKUP($H$4,'Met Data'!$H$2:$M$368,G591,FALSE)*L591</f>
        <v>3.0833333333333299</v>
      </c>
      <c r="K591" s="98">
        <f ca="1">HLOOKUP($H$4,'Met Data'!$O$2:$T$368,G591,FALSE)</f>
        <v>1.4517482623371101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247</v>
      </c>
      <c r="H592" s="97">
        <f t="shared" ca="1" si="99"/>
        <v>45903</v>
      </c>
      <c r="I592" s="121">
        <f ca="1">HLOOKUP($H$4,'Met Data'!$A$2:$F$368,G592,FALSE)</f>
        <v>9.7541666666666593</v>
      </c>
      <c r="J592" s="119">
        <f ca="1">HLOOKUP($H$4,'Met Data'!$H$2:$M$368,G592,FALSE)*L592</f>
        <v>1.0833333333333299</v>
      </c>
      <c r="K592" s="98">
        <f ca="1">HLOOKUP($H$4,'Met Data'!$O$2:$T$368,G592,FALSE)</f>
        <v>1.75831978881469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248</v>
      </c>
      <c r="H593" s="97">
        <f t="shared" ca="1" si="99"/>
        <v>45904</v>
      </c>
      <c r="I593" s="121">
        <f ca="1">HLOOKUP($H$4,'Met Data'!$A$2:$F$368,G593,FALSE)</f>
        <v>10.0583333333333</v>
      </c>
      <c r="J593" s="119">
        <f ca="1">HLOOKUP($H$4,'Met Data'!$H$2:$M$368,G593,FALSE)*L593</f>
        <v>2.44999999999999</v>
      </c>
      <c r="K593" s="98">
        <f ca="1">HLOOKUP($H$4,'Met Data'!$O$2:$T$368,G593,FALSE)</f>
        <v>1.8005069619965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249</v>
      </c>
      <c r="H594" s="97">
        <f t="shared" ca="1" si="99"/>
        <v>45905</v>
      </c>
      <c r="I594" s="121">
        <f ca="1">HLOOKUP($H$4,'Met Data'!$A$2:$F$368,G594,FALSE)</f>
        <v>9.7750000000000004</v>
      </c>
      <c r="J594" s="119">
        <f ca="1">HLOOKUP($H$4,'Met Data'!$H$2:$M$368,G594,FALSE)*L594</f>
        <v>3.2</v>
      </c>
      <c r="K594" s="98">
        <f ca="1">HLOOKUP($H$4,'Met Data'!$O$2:$T$368,G594,FALSE)</f>
        <v>1.49919962363172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250</v>
      </c>
      <c r="H595" s="97">
        <f t="shared" ca="1" si="99"/>
        <v>45906</v>
      </c>
      <c r="I595" s="121">
        <f ca="1">HLOOKUP($H$4,'Met Data'!$A$2:$F$368,G595,FALSE)</f>
        <v>10.3333333333333</v>
      </c>
      <c r="J595" s="119">
        <f ca="1">HLOOKUP($H$4,'Met Data'!$H$2:$M$368,G595,FALSE)*L595</f>
        <v>5.93333333333333</v>
      </c>
      <c r="K595" s="98">
        <f ca="1">HLOOKUP($H$4,'Met Data'!$O$2:$T$368,G595,FALSE)</f>
        <v>1.4735664157819599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251</v>
      </c>
      <c r="H596" s="97">
        <f t="shared" ca="1" si="99"/>
        <v>45907</v>
      </c>
      <c r="I596" s="121">
        <f ca="1">HLOOKUP($H$4,'Met Data'!$A$2:$F$368,G596,FALSE)</f>
        <v>10.7708333333333</v>
      </c>
      <c r="J596" s="119">
        <f ca="1">HLOOKUP($H$4,'Met Data'!$H$2:$M$368,G596,FALSE)*L596</f>
        <v>1.2</v>
      </c>
      <c r="K596" s="98">
        <f ca="1">HLOOKUP($H$4,'Met Data'!$O$2:$T$368,G596,FALSE)</f>
        <v>1.8170202832795099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252</v>
      </c>
      <c r="H597" s="97">
        <f t="shared" ca="1" si="99"/>
        <v>45908</v>
      </c>
      <c r="I597" s="121">
        <f ca="1">HLOOKUP($H$4,'Met Data'!$A$2:$F$368,G597,FALSE)</f>
        <v>10.5791666666666</v>
      </c>
      <c r="J597" s="119">
        <f ca="1">HLOOKUP($H$4,'Met Data'!$H$2:$M$368,G597,FALSE)*L597</f>
        <v>0.88333333333333297</v>
      </c>
      <c r="K597" s="98">
        <f ca="1">HLOOKUP($H$4,'Met Data'!$O$2:$T$368,G597,FALSE)</f>
        <v>1.8773510693625799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253</v>
      </c>
      <c r="H598" s="97">
        <f t="shared" ca="1" si="99"/>
        <v>45909</v>
      </c>
      <c r="I598" s="121">
        <f ca="1">HLOOKUP($H$4,'Met Data'!$A$2:$F$368,G598,FALSE)</f>
        <v>9.6125000000000007</v>
      </c>
      <c r="J598" s="119">
        <f ca="1">HLOOKUP($H$4,'Met Data'!$H$2:$M$368,G598,FALSE)*L598</f>
        <v>4.36666666666666</v>
      </c>
      <c r="K598" s="98">
        <f ca="1">HLOOKUP($H$4,'Met Data'!$O$2:$T$368,G598,FALSE)</f>
        <v>1.8525160666589899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254</v>
      </c>
      <c r="H599" s="97">
        <f t="shared" ca="1" si="99"/>
        <v>45910</v>
      </c>
      <c r="I599" s="121">
        <f ca="1">HLOOKUP($H$4,'Met Data'!$A$2:$F$368,G599,FALSE)</f>
        <v>10.0875</v>
      </c>
      <c r="J599" s="119">
        <f ca="1">HLOOKUP($H$4,'Met Data'!$H$2:$M$368,G599,FALSE)*L599</f>
        <v>3.44999999999999</v>
      </c>
      <c r="K599" s="98">
        <f ca="1">HLOOKUP($H$4,'Met Data'!$O$2:$T$368,G599,FALSE)</f>
        <v>1.67590206119575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255</v>
      </c>
      <c r="H600" s="97">
        <f t="shared" ca="1" si="99"/>
        <v>45911</v>
      </c>
      <c r="I600" s="121">
        <f ca="1">HLOOKUP($H$4,'Met Data'!$A$2:$F$368,G600,FALSE)</f>
        <v>10.6416666666666</v>
      </c>
      <c r="J600" s="119">
        <f ca="1">HLOOKUP($H$4,'Met Data'!$H$2:$M$368,G600,FALSE)*L600</f>
        <v>6.4666666666666597</v>
      </c>
      <c r="K600" s="98">
        <f ca="1">HLOOKUP($H$4,'Met Data'!$O$2:$T$368,G600,FALSE)</f>
        <v>1.7070370554204599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256</v>
      </c>
      <c r="H601" s="97">
        <f t="shared" ca="1" si="99"/>
        <v>45912</v>
      </c>
      <c r="I601" s="121">
        <f ca="1">HLOOKUP($H$4,'Met Data'!$A$2:$F$368,G601,FALSE)</f>
        <v>10.4541666666666</v>
      </c>
      <c r="J601" s="119">
        <f ca="1">HLOOKUP($H$4,'Met Data'!$H$2:$M$368,G601,FALSE)*L601</f>
        <v>2.0166666666666599</v>
      </c>
      <c r="K601" s="98">
        <f ca="1">HLOOKUP($H$4,'Met Data'!$O$2:$T$368,G601,FALSE)</f>
        <v>1.9219866027073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257</v>
      </c>
      <c r="H602" s="97">
        <f t="shared" ca="1" si="99"/>
        <v>45913</v>
      </c>
      <c r="I602" s="121">
        <f ca="1">HLOOKUP($H$4,'Met Data'!$A$2:$F$368,G602,FALSE)</f>
        <v>11.216666666666599</v>
      </c>
      <c r="J602" s="119">
        <f ca="1">HLOOKUP($H$4,'Met Data'!$H$2:$M$368,G602,FALSE)*L602</f>
        <v>1.4833333333333301</v>
      </c>
      <c r="K602" s="98">
        <f ca="1">HLOOKUP($H$4,'Met Data'!$O$2:$T$368,G602,FALSE)</f>
        <v>1.86072433418519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258</v>
      </c>
      <c r="H603" s="97">
        <f t="shared" ca="1" si="99"/>
        <v>45914</v>
      </c>
      <c r="I603" s="121">
        <f ca="1">HLOOKUP($H$4,'Met Data'!$A$2:$F$368,G603,FALSE)</f>
        <v>11.1</v>
      </c>
      <c r="J603" s="119">
        <f ca="1">HLOOKUP($H$4,'Met Data'!$H$2:$M$368,G603,FALSE)*L603</f>
        <v>2.4166666666666599</v>
      </c>
      <c r="K603" s="98">
        <f ca="1">HLOOKUP($H$4,'Met Data'!$O$2:$T$368,G603,FALSE)</f>
        <v>1.6515892534407901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259</v>
      </c>
      <c r="H604" s="97">
        <f t="shared" ca="1" si="99"/>
        <v>45915</v>
      </c>
      <c r="I604" s="121">
        <f ca="1">HLOOKUP($H$4,'Met Data'!$A$2:$F$368,G604,FALSE)</f>
        <v>11.3708333333333</v>
      </c>
      <c r="J604" s="119">
        <f ca="1">HLOOKUP($H$4,'Met Data'!$H$2:$M$368,G604,FALSE)*L604</f>
        <v>1.3</v>
      </c>
      <c r="K604" s="98">
        <f ca="1">HLOOKUP($H$4,'Met Data'!$O$2:$T$368,G604,FALSE)</f>
        <v>1.8040111781852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260</v>
      </c>
      <c r="H605" s="97">
        <f t="shared" ca="1" si="99"/>
        <v>45916</v>
      </c>
      <c r="I605" s="121">
        <f ca="1">HLOOKUP($H$4,'Met Data'!$A$2:$F$368,G605,FALSE)</f>
        <v>11.2916666666666</v>
      </c>
      <c r="J605" s="119">
        <f ca="1">HLOOKUP($H$4,'Met Data'!$H$2:$M$368,G605,FALSE)*L605</f>
        <v>2.6</v>
      </c>
      <c r="K605" s="98">
        <f ca="1">HLOOKUP($H$4,'Met Data'!$O$2:$T$368,G605,FALSE)</f>
        <v>1.8880733064353601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261</v>
      </c>
      <c r="H606" s="97">
        <f t="shared" ca="1" si="99"/>
        <v>45917</v>
      </c>
      <c r="I606" s="121">
        <f ca="1">HLOOKUP($H$4,'Met Data'!$A$2:$F$368,G606,FALSE)</f>
        <v>12.2125</v>
      </c>
      <c r="J606" s="119">
        <f ca="1">HLOOKUP($H$4,'Met Data'!$H$2:$M$368,G606,FALSE)*L606</f>
        <v>4.5999999999999996</v>
      </c>
      <c r="K606" s="98">
        <f ca="1">HLOOKUP($H$4,'Met Data'!$O$2:$T$368,G606,FALSE)</f>
        <v>2.0382752192881299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262</v>
      </c>
      <c r="H607" s="97">
        <f t="shared" ca="1" si="99"/>
        <v>45918</v>
      </c>
      <c r="I607" s="121">
        <f ca="1">HLOOKUP($H$4,'Met Data'!$A$2:$F$368,G607,FALSE)</f>
        <v>11.35</v>
      </c>
      <c r="J607" s="119">
        <f ca="1">HLOOKUP($H$4,'Met Data'!$H$2:$M$368,G607,FALSE)*L607</f>
        <v>3.93333333333333</v>
      </c>
      <c r="K607" s="98">
        <f ca="1">HLOOKUP($H$4,'Met Data'!$O$2:$T$368,G607,FALSE)</f>
        <v>2.00744960029109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263</v>
      </c>
      <c r="H608" s="97">
        <f t="shared" ca="1" si="99"/>
        <v>45919</v>
      </c>
      <c r="I608" s="121">
        <f ca="1">HLOOKUP($H$4,'Met Data'!$A$2:$F$368,G608,FALSE)</f>
        <v>10.504166666666601</v>
      </c>
      <c r="J608" s="119">
        <f ca="1">HLOOKUP($H$4,'Met Data'!$H$2:$M$368,G608,FALSE)*L608</f>
        <v>8.7333333333333307</v>
      </c>
      <c r="K608" s="98">
        <f ca="1">HLOOKUP($H$4,'Met Data'!$O$2:$T$368,G608,FALSE)</f>
        <v>1.9387559167362001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264</v>
      </c>
      <c r="H609" s="97">
        <f t="shared" ca="1" si="99"/>
        <v>45920</v>
      </c>
      <c r="I609" s="121">
        <f ca="1">HLOOKUP($H$4,'Met Data'!$A$2:$F$368,G609,FALSE)</f>
        <v>10.387499999999999</v>
      </c>
      <c r="J609" s="119">
        <f ca="1">HLOOKUP($H$4,'Met Data'!$H$2:$M$368,G609,FALSE)*L609</f>
        <v>3.85</v>
      </c>
      <c r="K609" s="98">
        <f ca="1">HLOOKUP($H$4,'Met Data'!$O$2:$T$368,G609,FALSE)</f>
        <v>2.0861830094945102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265</v>
      </c>
      <c r="H610" s="97">
        <f t="shared" ca="1" si="99"/>
        <v>45921</v>
      </c>
      <c r="I610" s="121">
        <f ca="1">HLOOKUP($H$4,'Met Data'!$A$2:$F$368,G610,FALSE)</f>
        <v>9.85</v>
      </c>
      <c r="J610" s="119">
        <f ca="1">HLOOKUP($H$4,'Met Data'!$H$2:$M$368,G610,FALSE)*L610</f>
        <v>1.7999999999999901</v>
      </c>
      <c r="K610" s="98">
        <f ca="1">HLOOKUP($H$4,'Met Data'!$O$2:$T$368,G610,FALSE)</f>
        <v>2.1398164486974101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266</v>
      </c>
      <c r="H611" s="97">
        <f t="shared" ca="1" si="99"/>
        <v>45922</v>
      </c>
      <c r="I611" s="121">
        <f ca="1">HLOOKUP($H$4,'Met Data'!$A$2:$F$368,G611,FALSE)</f>
        <v>10.158333333333299</v>
      </c>
      <c r="J611" s="119">
        <f ca="1">HLOOKUP($H$4,'Met Data'!$H$2:$M$368,G611,FALSE)*L611</f>
        <v>3.93333333333333</v>
      </c>
      <c r="K611" s="98">
        <f ca="1">HLOOKUP($H$4,'Met Data'!$O$2:$T$368,G611,FALSE)</f>
        <v>2.31412085445224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267</v>
      </c>
      <c r="H612" s="97">
        <f t="shared" ca="1" si="99"/>
        <v>45923</v>
      </c>
      <c r="I612" s="121">
        <f ca="1">HLOOKUP($H$4,'Met Data'!$A$2:$F$368,G612,FALSE)</f>
        <v>10.9625</v>
      </c>
      <c r="J612" s="119">
        <f ca="1">HLOOKUP($H$4,'Met Data'!$H$2:$M$368,G612,FALSE)*L612</f>
        <v>1.86666666666666</v>
      </c>
      <c r="K612" s="98">
        <f ca="1">HLOOKUP($H$4,'Met Data'!$O$2:$T$368,G612,FALSE)</f>
        <v>2.2059606634486699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268</v>
      </c>
      <c r="H613" s="97">
        <f t="shared" ca="1" si="99"/>
        <v>45924</v>
      </c>
      <c r="I613" s="121">
        <f ca="1">HLOOKUP($H$4,'Met Data'!$A$2:$F$368,G613,FALSE)</f>
        <v>11.6458333333333</v>
      </c>
      <c r="J613" s="119">
        <f ca="1">HLOOKUP($H$4,'Met Data'!$H$2:$M$368,G613,FALSE)*L613</f>
        <v>5.5166666666666604</v>
      </c>
      <c r="K613" s="98">
        <f ca="1">HLOOKUP($H$4,'Met Data'!$O$2:$T$368,G613,FALSE)</f>
        <v>1.6755097599300399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269</v>
      </c>
      <c r="H614" s="97">
        <f t="shared" ca="1" si="99"/>
        <v>45925</v>
      </c>
      <c r="I614" s="121">
        <f ca="1">HLOOKUP($H$4,'Met Data'!$A$2:$F$368,G614,FALSE)</f>
        <v>12.112500000000001</v>
      </c>
      <c r="J614" s="119">
        <f ca="1">HLOOKUP($H$4,'Met Data'!$H$2:$M$368,G614,FALSE)*L614</f>
        <v>1.56666666666666</v>
      </c>
      <c r="K614" s="98">
        <f ca="1">HLOOKUP($H$4,'Met Data'!$O$2:$T$368,G614,FALSE)</f>
        <v>2.1669648664524801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270</v>
      </c>
      <c r="H615" s="97">
        <f t="shared" ca="1" si="99"/>
        <v>45926</v>
      </c>
      <c r="I615" s="121">
        <f ca="1">HLOOKUP($H$4,'Met Data'!$A$2:$F$368,G615,FALSE)</f>
        <v>11.6875</v>
      </c>
      <c r="J615" s="119">
        <f ca="1">HLOOKUP($H$4,'Met Data'!$H$2:$M$368,G615,FALSE)*L615</f>
        <v>1.0833333333333299</v>
      </c>
      <c r="K615" s="98">
        <f ca="1">HLOOKUP($H$4,'Met Data'!$O$2:$T$368,G615,FALSE)</f>
        <v>2.2423317945335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271</v>
      </c>
      <c r="H616" s="97">
        <f t="shared" ca="1" si="99"/>
        <v>45927</v>
      </c>
      <c r="I616" s="121">
        <f ca="1">HLOOKUP($H$4,'Met Data'!$A$2:$F$368,G616,FALSE)</f>
        <v>12.0541666666666</v>
      </c>
      <c r="J616" s="119">
        <f ca="1">HLOOKUP($H$4,'Met Data'!$H$2:$M$368,G616,FALSE)*L616</f>
        <v>1.05</v>
      </c>
      <c r="K616" s="98">
        <f ca="1">HLOOKUP($H$4,'Met Data'!$O$2:$T$368,G616,FALSE)</f>
        <v>2.4484809787012698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272</v>
      </c>
      <c r="H617" s="97">
        <f t="shared" ca="1" si="99"/>
        <v>45928</v>
      </c>
      <c r="I617" s="121">
        <f ca="1">HLOOKUP($H$4,'Met Data'!$A$2:$F$368,G617,FALSE)</f>
        <v>12.3291666666666</v>
      </c>
      <c r="J617" s="119">
        <f ca="1">HLOOKUP($H$4,'Met Data'!$H$2:$M$368,G617,FALSE)*L617</f>
        <v>5.1499999999999897</v>
      </c>
      <c r="K617" s="98">
        <f ca="1">HLOOKUP($H$4,'Met Data'!$O$2:$T$368,G617,FALSE)</f>
        <v>2.13295390564413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273</v>
      </c>
      <c r="H618" s="97">
        <f t="shared" ca="1" si="99"/>
        <v>45929</v>
      </c>
      <c r="I618" s="121">
        <f ca="1">HLOOKUP($H$4,'Met Data'!$A$2:$F$368,G618,FALSE)</f>
        <v>12.65</v>
      </c>
      <c r="J618" s="119">
        <f ca="1">HLOOKUP($H$4,'Met Data'!$H$2:$M$368,G618,FALSE)*L618</f>
        <v>2.15</v>
      </c>
      <c r="K618" s="98">
        <f ca="1">HLOOKUP($H$4,'Met Data'!$O$2:$T$368,G618,FALSE)</f>
        <v>2.3067555107961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274</v>
      </c>
      <c r="H619" s="97">
        <f t="shared" ca="1" si="99"/>
        <v>45930</v>
      </c>
      <c r="I619" s="121">
        <f ca="1">HLOOKUP($H$4,'Met Data'!$A$2:$F$368,G619,FALSE)</f>
        <v>12.5208333333333</v>
      </c>
      <c r="J619" s="119">
        <f ca="1">HLOOKUP($H$4,'Met Data'!$H$2:$M$368,G619,FALSE)*L619</f>
        <v>5.61666666666666</v>
      </c>
      <c r="K619" s="98">
        <f ca="1">HLOOKUP($H$4,'Met Data'!$O$2:$T$368,G619,FALSE)</f>
        <v>2.4465918649770302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275</v>
      </c>
      <c r="H620" s="97">
        <f t="shared" ca="1" si="99"/>
        <v>45931</v>
      </c>
      <c r="I620" s="121">
        <f ca="1">HLOOKUP($H$4,'Met Data'!$A$2:$F$368,G620,FALSE)</f>
        <v>11.65</v>
      </c>
      <c r="J620" s="119">
        <f ca="1">HLOOKUP($H$4,'Met Data'!$H$2:$M$368,G620,FALSE)*L620</f>
        <v>2.35</v>
      </c>
      <c r="K620" s="98">
        <f ca="1">HLOOKUP($H$4,'Met Data'!$O$2:$T$368,G620,FALSE)</f>
        <v>2.46735033441291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276</v>
      </c>
      <c r="H621" s="97">
        <f t="shared" ca="1" si="99"/>
        <v>45932</v>
      </c>
      <c r="I621" s="121">
        <f ca="1">HLOOKUP($H$4,'Met Data'!$A$2:$F$368,G621,FALSE)</f>
        <v>12.0166666666666</v>
      </c>
      <c r="J621" s="119">
        <f ca="1">HLOOKUP($H$4,'Met Data'!$H$2:$M$368,G621,FALSE)*L621</f>
        <v>2.2833333333333301</v>
      </c>
      <c r="K621" s="98">
        <f ca="1">HLOOKUP($H$4,'Met Data'!$O$2:$T$368,G621,FALSE)</f>
        <v>2.1199025888480301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277</v>
      </c>
      <c r="H622" s="97">
        <f t="shared" ca="1" si="99"/>
        <v>45933</v>
      </c>
      <c r="I622" s="121">
        <f ca="1">HLOOKUP($H$4,'Met Data'!$A$2:$F$368,G622,FALSE)</f>
        <v>12.941666666666601</v>
      </c>
      <c r="J622" s="119">
        <f ca="1">HLOOKUP($H$4,'Met Data'!$H$2:$M$368,G622,FALSE)*L622</f>
        <v>4.2666666666666604</v>
      </c>
      <c r="K622" s="98">
        <f ca="1">HLOOKUP($H$4,'Met Data'!$O$2:$T$368,G622,FALSE)</f>
        <v>2.6275875550097898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278</v>
      </c>
      <c r="H623" s="97">
        <f t="shared" ca="1" si="99"/>
        <v>45934</v>
      </c>
      <c r="I623" s="121">
        <f ca="1">HLOOKUP($H$4,'Met Data'!$A$2:$F$368,G623,FALSE)</f>
        <v>11.95</v>
      </c>
      <c r="J623" s="119">
        <f ca="1">HLOOKUP($H$4,'Met Data'!$H$2:$M$368,G623,FALSE)*L623</f>
        <v>1.13333333333333</v>
      </c>
      <c r="K623" s="98">
        <f ca="1">HLOOKUP($H$4,'Met Data'!$O$2:$T$368,G623,FALSE)</f>
        <v>2.2251605523882798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ref="G624:G687" ca="1" si="100">H624-DATE(YEAR(H624),1,0)+1</f>
        <v>279</v>
      </c>
      <c r="H624" s="97">
        <f t="shared" ca="1" si="99"/>
        <v>45935</v>
      </c>
      <c r="I624" s="121">
        <f ca="1">HLOOKUP($H$4,'Met Data'!$A$2:$F$368,G624,FALSE)</f>
        <v>11.8958333333333</v>
      </c>
      <c r="J624" s="119">
        <f ca="1">HLOOKUP($H$4,'Met Data'!$H$2:$M$368,G624,FALSE)*L624</f>
        <v>2.0666666666666602</v>
      </c>
      <c r="K624" s="98">
        <f ca="1">HLOOKUP($H$4,'Met Data'!$O$2:$T$368,G624,FALSE)</f>
        <v>2.2142725820580198</v>
      </c>
      <c r="L624">
        <f t="shared" ca="1" si="98"/>
        <v>1</v>
      </c>
      <c r="N624" t="e">
        <f t="shared" ref="N624:N687" ca="1" si="101">IF(P624&lt;$P$3,TRUE,FALSE)</f>
        <v>#N/A</v>
      </c>
      <c r="O624" t="e">
        <f t="shared" ref="O624:O687" ca="1" si="102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3">IFERROR(P624,$AD$4)</f>
        <v>0</v>
      </c>
      <c r="AE624">
        <f t="shared" ref="AE624:AE687" ca="1" si="104">IFERROR(U624,0)</f>
        <v>0</v>
      </c>
      <c r="AG624" s="63" t="e">
        <f t="shared" ref="AG624:AG687" ca="1" si="105">Q623+S624+T624+U624</f>
        <v>#N/A</v>
      </c>
      <c r="AH624" s="63" t="e">
        <f t="shared" ref="AH624:AH687" ca="1" si="106">Q624+R624+X624</f>
        <v>#N/A</v>
      </c>
      <c r="AI624" s="3" t="e">
        <f t="shared" ref="AI624:AI687" ca="1" si="107">AH624-AG624</f>
        <v>#N/A</v>
      </c>
    </row>
    <row r="625" spans="7:35" ht="15.75" thickBot="1">
      <c r="G625" s="3">
        <f t="shared" ca="1" si="100"/>
        <v>280</v>
      </c>
      <c r="H625" s="97">
        <f t="shared" ca="1" si="99"/>
        <v>45936</v>
      </c>
      <c r="I625" s="121">
        <f ca="1">HLOOKUP($H$4,'Met Data'!$A$2:$F$368,G625,FALSE)</f>
        <v>11.8333333333333</v>
      </c>
      <c r="J625" s="119">
        <f ca="1">HLOOKUP($H$4,'Met Data'!$H$2:$M$368,G625,FALSE)*L625</f>
        <v>1.43333333333333</v>
      </c>
      <c r="K625" s="98">
        <f ca="1">HLOOKUP($H$4,'Met Data'!$O$2:$T$368,G625,FALSE)</f>
        <v>2.5217662070296001</v>
      </c>
      <c r="L625">
        <f t="shared" ca="1" si="98"/>
        <v>1</v>
      </c>
      <c r="N625" t="e">
        <f t="shared" ca="1" si="101"/>
        <v>#N/A</v>
      </c>
      <c r="O625" t="e">
        <f t="shared" ca="1" si="102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3"/>
        <v>0</v>
      </c>
      <c r="AE625">
        <f t="shared" ca="1" si="104"/>
        <v>0</v>
      </c>
      <c r="AG625" s="63" t="e">
        <f t="shared" ca="1" si="105"/>
        <v>#N/A</v>
      </c>
      <c r="AH625" s="63" t="e">
        <f t="shared" ca="1" si="106"/>
        <v>#N/A</v>
      </c>
      <c r="AI625" s="3" t="e">
        <f t="shared" ca="1" si="107"/>
        <v>#N/A</v>
      </c>
    </row>
    <row r="626" spans="7:35" ht="15.75" thickBot="1">
      <c r="G626" s="3">
        <f t="shared" ca="1" si="100"/>
        <v>281</v>
      </c>
      <c r="H626" s="97">
        <f t="shared" ca="1" si="99"/>
        <v>45937</v>
      </c>
      <c r="I626" s="121">
        <f ca="1">HLOOKUP($H$4,'Met Data'!$A$2:$F$368,G626,FALSE)</f>
        <v>12.133333333333301</v>
      </c>
      <c r="J626" s="119">
        <f ca="1">HLOOKUP($H$4,'Met Data'!$H$2:$M$368,G626,FALSE)*L626</f>
        <v>1.5</v>
      </c>
      <c r="K626" s="98">
        <f ca="1">HLOOKUP($H$4,'Met Data'!$O$2:$T$368,G626,FALSE)</f>
        <v>2.4929362431341402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282</v>
      </c>
      <c r="H627" s="97">
        <f t="shared" ca="1" si="99"/>
        <v>45938</v>
      </c>
      <c r="I627" s="121">
        <f ca="1">HLOOKUP($H$4,'Met Data'!$A$2:$F$368,G627,FALSE)</f>
        <v>11.8708333333333</v>
      </c>
      <c r="J627" s="119">
        <f ca="1">HLOOKUP($H$4,'Met Data'!$H$2:$M$368,G627,FALSE)*L627</f>
        <v>4.18333333333333</v>
      </c>
      <c r="K627" s="98">
        <f ca="1">HLOOKUP($H$4,'Met Data'!$O$2:$T$368,G627,FALSE)</f>
        <v>2.0932595279969002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283</v>
      </c>
      <c r="H628" s="97">
        <f t="shared" ca="1" si="99"/>
        <v>45939</v>
      </c>
      <c r="I628" s="121">
        <f ca="1">HLOOKUP($H$4,'Met Data'!$A$2:$F$368,G628,FALSE)</f>
        <v>11.529166666666599</v>
      </c>
      <c r="J628" s="119">
        <f ca="1">HLOOKUP($H$4,'Met Data'!$H$2:$M$368,G628,FALSE)*L628</f>
        <v>2.2166666666666601</v>
      </c>
      <c r="K628" s="98">
        <f ca="1">HLOOKUP($H$4,'Met Data'!$O$2:$T$368,G628,FALSE)</f>
        <v>2.3166472445358202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284</v>
      </c>
      <c r="H629" s="97">
        <f t="shared" ca="1" si="99"/>
        <v>45940</v>
      </c>
      <c r="I629" s="121">
        <f ca="1">HLOOKUP($H$4,'Met Data'!$A$2:$F$368,G629,FALSE)</f>
        <v>11.316666666666601</v>
      </c>
      <c r="J629" s="119">
        <f ca="1">HLOOKUP($H$4,'Met Data'!$H$2:$M$368,G629,FALSE)*L629</f>
        <v>2.9833333333333298</v>
      </c>
      <c r="K629" s="98">
        <f ca="1">HLOOKUP($H$4,'Met Data'!$O$2:$T$368,G629,FALSE)</f>
        <v>2.57259273420483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285</v>
      </c>
      <c r="H630" s="97">
        <f t="shared" ca="1" si="99"/>
        <v>45941</v>
      </c>
      <c r="I630" s="121">
        <f ca="1">HLOOKUP($H$4,'Met Data'!$A$2:$F$368,G630,FALSE)</f>
        <v>12.466666666666599</v>
      </c>
      <c r="J630" s="119">
        <f ca="1">HLOOKUP($H$4,'Met Data'!$H$2:$M$368,G630,FALSE)*L630</f>
        <v>3.5333333333333301</v>
      </c>
      <c r="K630" s="98">
        <f ca="1">HLOOKUP($H$4,'Met Data'!$O$2:$T$368,G630,FALSE)</f>
        <v>2.44735536591925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286</v>
      </c>
      <c r="H631" s="97">
        <f t="shared" ca="1" si="99"/>
        <v>45942</v>
      </c>
      <c r="I631" s="121">
        <f ca="1">HLOOKUP($H$4,'Met Data'!$A$2:$F$368,G631,FALSE)</f>
        <v>12.566666666666601</v>
      </c>
      <c r="J631" s="119">
        <f ca="1">HLOOKUP($H$4,'Met Data'!$H$2:$M$368,G631,FALSE)*L631</f>
        <v>1.88333333333333</v>
      </c>
      <c r="K631" s="98">
        <f ca="1">HLOOKUP($H$4,'Met Data'!$O$2:$T$368,G631,FALSE)</f>
        <v>2.6706436990123898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287</v>
      </c>
      <c r="H632" s="97">
        <f t="shared" ca="1" si="99"/>
        <v>45943</v>
      </c>
      <c r="I632" s="121">
        <f ca="1">HLOOKUP($H$4,'Met Data'!$A$2:$F$368,G632,FALSE)</f>
        <v>12.133333333333301</v>
      </c>
      <c r="J632" s="119">
        <f ca="1">HLOOKUP($H$4,'Met Data'!$H$2:$M$368,G632,FALSE)*L632</f>
        <v>2.6666666666666599</v>
      </c>
      <c r="K632" s="98">
        <f ca="1">HLOOKUP($H$4,'Met Data'!$O$2:$T$368,G632,FALSE)</f>
        <v>1.9257972512671799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288</v>
      </c>
      <c r="H633" s="97">
        <f t="shared" ca="1" si="99"/>
        <v>45944</v>
      </c>
      <c r="I633" s="121">
        <f ca="1">HLOOKUP($H$4,'Met Data'!$A$2:$F$368,G633,FALSE)</f>
        <v>12.762499999999999</v>
      </c>
      <c r="J633" s="119">
        <f ca="1">HLOOKUP($H$4,'Met Data'!$H$2:$M$368,G633,FALSE)*L633</f>
        <v>3.6333333333333302</v>
      </c>
      <c r="K633" s="98">
        <f ca="1">HLOOKUP($H$4,'Met Data'!$O$2:$T$368,G633,FALSE)</f>
        <v>2.2182002807721002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289</v>
      </c>
      <c r="H634" s="97">
        <f t="shared" ca="1" si="99"/>
        <v>45945</v>
      </c>
      <c r="I634" s="121">
        <f ca="1">HLOOKUP($H$4,'Met Data'!$A$2:$F$368,G634,FALSE)</f>
        <v>12.675000000000001</v>
      </c>
      <c r="J634" s="119">
        <f ca="1">HLOOKUP($H$4,'Met Data'!$H$2:$M$368,G634,FALSE)*L634</f>
        <v>4.2166666666666597</v>
      </c>
      <c r="K634" s="98">
        <f ca="1">HLOOKUP($H$4,'Met Data'!$O$2:$T$368,G634,FALSE)</f>
        <v>2.3809243707544998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290</v>
      </c>
      <c r="H635" s="97">
        <f t="shared" ca="1" si="99"/>
        <v>45946</v>
      </c>
      <c r="I635" s="121">
        <f ca="1">HLOOKUP($H$4,'Met Data'!$A$2:$F$368,G635,FALSE)</f>
        <v>12.3041666666666</v>
      </c>
      <c r="J635" s="119">
        <f ca="1">HLOOKUP($H$4,'Met Data'!$H$2:$M$368,G635,FALSE)*L635</f>
        <v>1.4666666666666599</v>
      </c>
      <c r="K635" s="98">
        <f ca="1">HLOOKUP($H$4,'Met Data'!$O$2:$T$368,G635,FALSE)</f>
        <v>2.7800377367024298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291</v>
      </c>
      <c r="H636" s="97">
        <f t="shared" ca="1" si="99"/>
        <v>45947</v>
      </c>
      <c r="I636" s="121">
        <f ca="1">HLOOKUP($H$4,'Met Data'!$A$2:$F$368,G636,FALSE)</f>
        <v>12.987499999999899</v>
      </c>
      <c r="J636" s="119">
        <f ca="1">HLOOKUP($H$4,'Met Data'!$H$2:$M$368,G636,FALSE)*L636</f>
        <v>2.75</v>
      </c>
      <c r="K636" s="98">
        <f ca="1">HLOOKUP($H$4,'Met Data'!$O$2:$T$368,G636,FALSE)</f>
        <v>2.65151934906442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292</v>
      </c>
      <c r="H637" s="97">
        <f t="shared" ca="1" si="99"/>
        <v>45948</v>
      </c>
      <c r="I637" s="121">
        <f ca="1">HLOOKUP($H$4,'Met Data'!$A$2:$F$368,G637,FALSE)</f>
        <v>12.7416666666666</v>
      </c>
      <c r="J637" s="119">
        <f ca="1">HLOOKUP($H$4,'Met Data'!$H$2:$M$368,G637,FALSE)*L637</f>
        <v>3.0666666666666602</v>
      </c>
      <c r="K637" s="98">
        <f ca="1">HLOOKUP($H$4,'Met Data'!$O$2:$T$368,G637,FALSE)</f>
        <v>2.2346438003254501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293</v>
      </c>
      <c r="H638" s="97">
        <f t="shared" ca="1" si="99"/>
        <v>45949</v>
      </c>
      <c r="I638" s="121">
        <f ca="1">HLOOKUP($H$4,'Met Data'!$A$2:$F$368,G638,FALSE)</f>
        <v>12.154166666666599</v>
      </c>
      <c r="J638" s="119">
        <f ca="1">HLOOKUP($H$4,'Met Data'!$H$2:$M$368,G638,FALSE)*L638</f>
        <v>1.1000000000000001</v>
      </c>
      <c r="K638" s="98">
        <f ca="1">HLOOKUP($H$4,'Met Data'!$O$2:$T$368,G638,FALSE)</f>
        <v>2.9905003990183601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294</v>
      </c>
      <c r="H639" s="97">
        <f t="shared" ca="1" si="99"/>
        <v>45950</v>
      </c>
      <c r="I639" s="121">
        <f ca="1">HLOOKUP($H$4,'Met Data'!$A$2:$F$368,G639,FALSE)</f>
        <v>12.6666666666666</v>
      </c>
      <c r="J639" s="119">
        <f ca="1">HLOOKUP($H$4,'Met Data'!$H$2:$M$368,G639,FALSE)*L639</f>
        <v>1.13333333333333</v>
      </c>
      <c r="K639" s="98">
        <f ca="1">HLOOKUP($H$4,'Met Data'!$O$2:$T$368,G639,FALSE)</f>
        <v>2.7134262355768599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295</v>
      </c>
      <c r="H640" s="97">
        <f t="shared" ca="1" si="99"/>
        <v>45951</v>
      </c>
      <c r="I640" s="121">
        <f ca="1">HLOOKUP($H$4,'Met Data'!$A$2:$F$368,G640,FALSE)</f>
        <v>12.4916666666666</v>
      </c>
      <c r="J640" s="119">
        <f ca="1">HLOOKUP($H$4,'Met Data'!$H$2:$M$368,G640,FALSE)*L640</f>
        <v>0.51666666666666605</v>
      </c>
      <c r="K640" s="98">
        <f ca="1">HLOOKUP($H$4,'Met Data'!$O$2:$T$368,G640,FALSE)</f>
        <v>2.2874725559703002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296</v>
      </c>
      <c r="H641" s="97">
        <f t="shared" ca="1" si="99"/>
        <v>45952</v>
      </c>
      <c r="I641" s="121">
        <f ca="1">HLOOKUP($H$4,'Met Data'!$A$2:$F$368,G641,FALSE)</f>
        <v>12.925000000000001</v>
      </c>
      <c r="J641" s="119">
        <f ca="1">HLOOKUP($H$4,'Met Data'!$H$2:$M$368,G641,FALSE)*L641</f>
        <v>3.7166666666666601</v>
      </c>
      <c r="K641" s="98">
        <f ca="1">HLOOKUP($H$4,'Met Data'!$O$2:$T$368,G641,FALSE)</f>
        <v>2.31884542682567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297</v>
      </c>
      <c r="H642" s="97">
        <f t="shared" ca="1" si="99"/>
        <v>45953</v>
      </c>
      <c r="I642" s="121">
        <f ca="1">HLOOKUP($H$4,'Met Data'!$A$2:$F$368,G642,FALSE)</f>
        <v>12.2291666666666</v>
      </c>
      <c r="J642" s="119">
        <f ca="1">HLOOKUP($H$4,'Met Data'!$H$2:$M$368,G642,FALSE)*L642</f>
        <v>2.8333333333333299</v>
      </c>
      <c r="K642" s="98">
        <f ca="1">HLOOKUP($H$4,'Met Data'!$O$2:$T$368,G642,FALSE)</f>
        <v>2.7150999093147798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298</v>
      </c>
      <c r="H643" s="97">
        <f t="shared" ca="1" si="99"/>
        <v>45954</v>
      </c>
      <c r="I643" s="121">
        <f ca="1">HLOOKUP($H$4,'Met Data'!$A$2:$F$368,G643,FALSE)</f>
        <v>12.2708333333333</v>
      </c>
      <c r="J643" s="119">
        <f ca="1">HLOOKUP($H$4,'Met Data'!$H$2:$M$368,G643,FALSE)*L643</f>
        <v>0.85</v>
      </c>
      <c r="K643" s="98">
        <f ca="1">HLOOKUP($H$4,'Met Data'!$O$2:$T$368,G643,FALSE)</f>
        <v>2.95103134032406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299</v>
      </c>
      <c r="H644" s="97">
        <f t="shared" ca="1" si="99"/>
        <v>45955</v>
      </c>
      <c r="I644" s="121">
        <f ca="1">HLOOKUP($H$4,'Met Data'!$A$2:$F$368,G644,FALSE)</f>
        <v>12.858333333333301</v>
      </c>
      <c r="J644" s="119">
        <f ca="1">HLOOKUP($H$4,'Met Data'!$H$2:$M$368,G644,FALSE)*L644</f>
        <v>1.0333333333333301</v>
      </c>
      <c r="K644" s="98">
        <f ca="1">HLOOKUP($H$4,'Met Data'!$O$2:$T$368,G644,FALSE)</f>
        <v>2.6842724832832401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300</v>
      </c>
      <c r="H645" s="97">
        <f t="shared" ca="1" si="99"/>
        <v>45956</v>
      </c>
      <c r="I645" s="121">
        <f ca="1">HLOOKUP($H$4,'Met Data'!$A$2:$F$368,G645,FALSE)</f>
        <v>13.7708333333333</v>
      </c>
      <c r="J645" s="119">
        <f ca="1">HLOOKUP($H$4,'Met Data'!$H$2:$M$368,G645,FALSE)*L645</f>
        <v>3.5166666666666599</v>
      </c>
      <c r="K645" s="98">
        <f ca="1">HLOOKUP($H$4,'Met Data'!$O$2:$T$368,G645,FALSE)</f>
        <v>2.91343955355575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301</v>
      </c>
      <c r="H646" s="97">
        <f t="shared" ca="1" si="99"/>
        <v>45957</v>
      </c>
      <c r="I646" s="121">
        <f ca="1">HLOOKUP($H$4,'Met Data'!$A$2:$F$368,G646,FALSE)</f>
        <v>13.899999999999901</v>
      </c>
      <c r="J646" s="119">
        <f ca="1">HLOOKUP($H$4,'Met Data'!$H$2:$M$368,G646,FALSE)*L646</f>
        <v>4.75</v>
      </c>
      <c r="K646" s="98">
        <f ca="1">HLOOKUP($H$4,'Met Data'!$O$2:$T$368,G646,FALSE)</f>
        <v>2.4549016141153701</v>
      </c>
      <c r="L646">
        <f t="shared" ref="L646:L709" ca="1" si="108">IF(H646&lt;$B$31,$J$3,$J$4)</f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302</v>
      </c>
      <c r="H647" s="97">
        <f t="shared" ca="1" si="99"/>
        <v>45958</v>
      </c>
      <c r="I647" s="121">
        <f ca="1">HLOOKUP($H$4,'Met Data'!$A$2:$F$368,G647,FALSE)</f>
        <v>13.425000000000001</v>
      </c>
      <c r="J647" s="119">
        <f ca="1">HLOOKUP($H$4,'Met Data'!$H$2:$M$368,G647,FALSE)*L647</f>
        <v>5.6333333333333302</v>
      </c>
      <c r="K647" s="98">
        <f ca="1">HLOOKUP($H$4,'Met Data'!$O$2:$T$368,G647,FALSE)</f>
        <v>2.5803220554406501</v>
      </c>
      <c r="L647">
        <f t="shared" ca="1" si="108"/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303</v>
      </c>
      <c r="H648" s="97">
        <f t="shared" ref="H648:H711" ca="1" si="109">H647+1</f>
        <v>45959</v>
      </c>
      <c r="I648" s="121">
        <f ca="1">HLOOKUP($H$4,'Met Data'!$A$2:$F$368,G648,FALSE)</f>
        <v>13.9625</v>
      </c>
      <c r="J648" s="119">
        <f ca="1">HLOOKUP($H$4,'Met Data'!$H$2:$M$368,G648,FALSE)*L648</f>
        <v>3.7833333333333301</v>
      </c>
      <c r="K648" s="98">
        <f ca="1">HLOOKUP($H$4,'Met Data'!$O$2:$T$368,G648,FALSE)</f>
        <v>2.91115304555708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304</v>
      </c>
      <c r="H649" s="97">
        <f t="shared" ca="1" si="109"/>
        <v>45960</v>
      </c>
      <c r="I649" s="121">
        <f ca="1">HLOOKUP($H$4,'Met Data'!$A$2:$F$368,G649,FALSE)</f>
        <v>13.045833333333301</v>
      </c>
      <c r="J649" s="119">
        <f ca="1">HLOOKUP($H$4,'Met Data'!$H$2:$M$368,G649,FALSE)*L649</f>
        <v>0.39999999999999902</v>
      </c>
      <c r="K649" s="98">
        <f ca="1">HLOOKUP($H$4,'Met Data'!$O$2:$T$368,G649,FALSE)</f>
        <v>3.19138361024571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305</v>
      </c>
      <c r="H650" s="97">
        <f t="shared" ca="1" si="109"/>
        <v>45961</v>
      </c>
      <c r="I650" s="121">
        <f ca="1">HLOOKUP($H$4,'Met Data'!$A$2:$F$368,G650,FALSE)</f>
        <v>12.6166666666666</v>
      </c>
      <c r="J650" s="119">
        <f ca="1">HLOOKUP($H$4,'Met Data'!$H$2:$M$368,G650,FALSE)*L650</f>
        <v>3.4666666666666601</v>
      </c>
      <c r="K650" s="98">
        <f ca="1">HLOOKUP($H$4,'Met Data'!$O$2:$T$368,G650,FALSE)</f>
        <v>3.1814806222099299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306</v>
      </c>
      <c r="H651" s="97">
        <f t="shared" ca="1" si="109"/>
        <v>45962</v>
      </c>
      <c r="I651" s="121">
        <f ca="1">HLOOKUP($H$4,'Met Data'!$A$2:$F$368,G651,FALSE)</f>
        <v>12.4791666666666</v>
      </c>
      <c r="J651" s="119">
        <f ca="1">HLOOKUP($H$4,'Met Data'!$H$2:$M$368,G651,FALSE)*L651</f>
        <v>2.68333333333333</v>
      </c>
      <c r="K651" s="98">
        <f ca="1">HLOOKUP($H$4,'Met Data'!$O$2:$T$368,G651,FALSE)</f>
        <v>3.1007141373476301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307</v>
      </c>
      <c r="H652" s="97">
        <f t="shared" ca="1" si="109"/>
        <v>45963</v>
      </c>
      <c r="I652" s="121">
        <f ca="1">HLOOKUP($H$4,'Met Data'!$A$2:$F$368,G652,FALSE)</f>
        <v>13.3125</v>
      </c>
      <c r="J652" s="119">
        <f ca="1">HLOOKUP($H$4,'Met Data'!$H$2:$M$368,G652,FALSE)*L652</f>
        <v>1.68333333333333</v>
      </c>
      <c r="K652" s="98">
        <f ca="1">HLOOKUP($H$4,'Met Data'!$O$2:$T$368,G652,FALSE)</f>
        <v>3.50405600149278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308</v>
      </c>
      <c r="H653" s="97">
        <f t="shared" ca="1" si="109"/>
        <v>45964</v>
      </c>
      <c r="I653" s="121">
        <f ca="1">HLOOKUP($H$4,'Met Data'!$A$2:$F$368,G653,FALSE)</f>
        <v>14.35</v>
      </c>
      <c r="J653" s="119">
        <f ca="1">HLOOKUP($H$4,'Met Data'!$H$2:$M$368,G653,FALSE)*L653</f>
        <v>5.1333333333333302</v>
      </c>
      <c r="K653" s="98">
        <f ca="1">HLOOKUP($H$4,'Met Data'!$O$2:$T$368,G653,FALSE)</f>
        <v>2.61745839191309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309</v>
      </c>
      <c r="H654" s="97">
        <f t="shared" ca="1" si="109"/>
        <v>45965</v>
      </c>
      <c r="I654" s="121">
        <f ca="1">HLOOKUP($H$4,'Met Data'!$A$2:$F$368,G654,FALSE)</f>
        <v>13.875</v>
      </c>
      <c r="J654" s="119">
        <f ca="1">HLOOKUP($H$4,'Met Data'!$H$2:$M$368,G654,FALSE)*L654</f>
        <v>1.86666666666666</v>
      </c>
      <c r="K654" s="98">
        <f ca="1">HLOOKUP($H$4,'Met Data'!$O$2:$T$368,G654,FALSE)</f>
        <v>2.7392607073945601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310</v>
      </c>
      <c r="H655" s="97">
        <f t="shared" ca="1" si="109"/>
        <v>45966</v>
      </c>
      <c r="I655" s="121">
        <f ca="1">HLOOKUP($H$4,'Met Data'!$A$2:$F$368,G655,FALSE)</f>
        <v>13.316666666666601</v>
      </c>
      <c r="J655" s="119">
        <f ca="1">HLOOKUP($H$4,'Met Data'!$H$2:$M$368,G655,FALSE)*L655</f>
        <v>1.13333333333333</v>
      </c>
      <c r="K655" s="98">
        <f ca="1">HLOOKUP($H$4,'Met Data'!$O$2:$T$368,G655,FALSE)</f>
        <v>3.4135545366379101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311</v>
      </c>
      <c r="H656" s="97">
        <f t="shared" ca="1" si="109"/>
        <v>45967</v>
      </c>
      <c r="I656" s="121">
        <f ca="1">HLOOKUP($H$4,'Met Data'!$A$2:$F$368,G656,FALSE)</f>
        <v>13.1454545454545</v>
      </c>
      <c r="J656" s="119">
        <f ca="1">HLOOKUP($H$4,'Met Data'!$H$2:$M$368,G656,FALSE)*L656</f>
        <v>0.472727272727272</v>
      </c>
      <c r="K656" s="98">
        <f ca="1">HLOOKUP($H$4,'Met Data'!$O$2:$T$368,G656,FALSE)</f>
        <v>3.2963131788019302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312</v>
      </c>
      <c r="H657" s="97">
        <f t="shared" ca="1" si="109"/>
        <v>45968</v>
      </c>
      <c r="I657" s="121">
        <f ca="1">HLOOKUP($H$4,'Met Data'!$A$2:$F$368,G657,FALSE)</f>
        <v>13.4166666666666</v>
      </c>
      <c r="J657" s="119">
        <f ca="1">HLOOKUP($H$4,'Met Data'!$H$2:$M$368,G657,FALSE)*L657</f>
        <v>2.35</v>
      </c>
      <c r="K657" s="98">
        <f ca="1">HLOOKUP($H$4,'Met Data'!$O$2:$T$368,G657,FALSE)</f>
        <v>3.43315852526095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313</v>
      </c>
      <c r="H658" s="97">
        <f t="shared" ca="1" si="109"/>
        <v>45969</v>
      </c>
      <c r="I658" s="121">
        <f ca="1">HLOOKUP($H$4,'Met Data'!$A$2:$F$368,G658,FALSE)</f>
        <v>13.8708333333333</v>
      </c>
      <c r="J658" s="119">
        <f ca="1">HLOOKUP($H$4,'Met Data'!$H$2:$M$368,G658,FALSE)*L658</f>
        <v>2.86666666666666</v>
      </c>
      <c r="K658" s="98">
        <f ca="1">HLOOKUP($H$4,'Met Data'!$O$2:$T$368,G658,FALSE)</f>
        <v>3.09770464623969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314</v>
      </c>
      <c r="H659" s="97">
        <f t="shared" ca="1" si="109"/>
        <v>45970</v>
      </c>
      <c r="I659" s="121">
        <f ca="1">HLOOKUP($H$4,'Met Data'!$A$2:$F$368,G659,FALSE)</f>
        <v>14.158333333333299</v>
      </c>
      <c r="J659" s="119">
        <f ca="1">HLOOKUP($H$4,'Met Data'!$H$2:$M$368,G659,FALSE)*L659</f>
        <v>3.2166666666666601</v>
      </c>
      <c r="K659" s="98">
        <f ca="1">HLOOKUP($H$4,'Met Data'!$O$2:$T$368,G659,FALSE)</f>
        <v>3.3024968395707299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315</v>
      </c>
      <c r="H660" s="97">
        <f t="shared" ca="1" si="109"/>
        <v>45971</v>
      </c>
      <c r="I660" s="121">
        <f ca="1">HLOOKUP($H$4,'Met Data'!$A$2:$F$368,G660,FALSE)</f>
        <v>13.6666666666666</v>
      </c>
      <c r="J660" s="119">
        <f ca="1">HLOOKUP($H$4,'Met Data'!$H$2:$M$368,G660,FALSE)*L660</f>
        <v>2.0499999999999998</v>
      </c>
      <c r="K660" s="98">
        <f ca="1">HLOOKUP($H$4,'Met Data'!$O$2:$T$368,G660,FALSE)</f>
        <v>2.6586912182490101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316</v>
      </c>
      <c r="H661" s="97">
        <f t="shared" ca="1" si="109"/>
        <v>45972</v>
      </c>
      <c r="I661" s="121">
        <f ca="1">HLOOKUP($H$4,'Met Data'!$A$2:$F$368,G661,FALSE)</f>
        <v>13.8958333333333</v>
      </c>
      <c r="J661" s="119">
        <f ca="1">HLOOKUP($H$4,'Met Data'!$H$2:$M$368,G661,FALSE)*L661</f>
        <v>3.94999999999999</v>
      </c>
      <c r="K661" s="98">
        <f ca="1">HLOOKUP($H$4,'Met Data'!$O$2:$T$368,G661,FALSE)</f>
        <v>2.87577977788037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317</v>
      </c>
      <c r="H662" s="97">
        <f t="shared" ca="1" si="109"/>
        <v>45973</v>
      </c>
      <c r="I662" s="121">
        <f ca="1">HLOOKUP($H$4,'Met Data'!$A$2:$F$368,G662,FALSE)</f>
        <v>13.0625</v>
      </c>
      <c r="J662" s="119">
        <f ca="1">HLOOKUP($H$4,'Met Data'!$H$2:$M$368,G662,FALSE)*L662</f>
        <v>3.0666666666666602</v>
      </c>
      <c r="K662" s="98">
        <f ca="1">HLOOKUP($H$4,'Met Data'!$O$2:$T$368,G662,FALSE)</f>
        <v>2.8947392121826798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318</v>
      </c>
      <c r="H663" s="97">
        <f t="shared" ca="1" si="109"/>
        <v>45974</v>
      </c>
      <c r="I663" s="121">
        <f ca="1">HLOOKUP($H$4,'Met Data'!$A$2:$F$368,G663,FALSE)</f>
        <v>12.55</v>
      </c>
      <c r="J663" s="119">
        <f ca="1">HLOOKUP($H$4,'Met Data'!$H$2:$M$368,G663,FALSE)*L663</f>
        <v>1.2</v>
      </c>
      <c r="K663" s="98">
        <f ca="1">HLOOKUP($H$4,'Met Data'!$O$2:$T$368,G663,FALSE)</f>
        <v>3.2727192045008802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319</v>
      </c>
      <c r="H664" s="97">
        <f t="shared" ca="1" si="109"/>
        <v>45975</v>
      </c>
      <c r="I664" s="121">
        <f ca="1">HLOOKUP($H$4,'Met Data'!$A$2:$F$368,G664,FALSE)</f>
        <v>12.591666666666599</v>
      </c>
      <c r="J664" s="119">
        <f ca="1">HLOOKUP($H$4,'Met Data'!$H$2:$M$368,G664,FALSE)*L664</f>
        <v>1.25</v>
      </c>
      <c r="K664" s="98">
        <f ca="1">HLOOKUP($H$4,'Met Data'!$O$2:$T$368,G664,FALSE)</f>
        <v>3.2542764283054399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320</v>
      </c>
      <c r="H665" s="97">
        <f t="shared" ca="1" si="109"/>
        <v>45976</v>
      </c>
      <c r="I665" s="121">
        <f ca="1">HLOOKUP($H$4,'Met Data'!$A$2:$F$368,G665,FALSE)</f>
        <v>13.462499999999901</v>
      </c>
      <c r="J665" s="119">
        <f ca="1">HLOOKUP($H$4,'Met Data'!$H$2:$M$368,G665,FALSE)*L665</f>
        <v>2.0666666666666602</v>
      </c>
      <c r="K665" s="98">
        <f ca="1">HLOOKUP($H$4,'Met Data'!$O$2:$T$368,G665,FALSE)</f>
        <v>3.39036465144653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321</v>
      </c>
      <c r="H666" s="97">
        <f t="shared" ca="1" si="109"/>
        <v>45977</v>
      </c>
      <c r="I666" s="121">
        <f ca="1">HLOOKUP($H$4,'Met Data'!$A$2:$F$368,G666,FALSE)</f>
        <v>14.7458333333333</v>
      </c>
      <c r="J666" s="119">
        <f ca="1">HLOOKUP($H$4,'Met Data'!$H$2:$M$368,G666,FALSE)*L666</f>
        <v>5.2166666666666597</v>
      </c>
      <c r="K666" s="98">
        <f ca="1">HLOOKUP($H$4,'Met Data'!$O$2:$T$368,G666,FALSE)</f>
        <v>3.3940384004400501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322</v>
      </c>
      <c r="H667" s="97">
        <f t="shared" ca="1" si="109"/>
        <v>45978</v>
      </c>
      <c r="I667" s="121">
        <f ca="1">HLOOKUP($H$4,'Met Data'!$A$2:$F$368,G667,FALSE)</f>
        <v>14.945833333333301</v>
      </c>
      <c r="J667" s="119">
        <f ca="1">HLOOKUP($H$4,'Met Data'!$H$2:$M$368,G667,FALSE)*L667</f>
        <v>5.3333333333333304</v>
      </c>
      <c r="K667" s="98">
        <f ca="1">HLOOKUP($H$4,'Met Data'!$O$2:$T$368,G667,FALSE)</f>
        <v>2.86263659321907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323</v>
      </c>
      <c r="H668" s="97">
        <f t="shared" ca="1" si="109"/>
        <v>45979</v>
      </c>
      <c r="I668" s="121">
        <f ca="1">HLOOKUP($H$4,'Met Data'!$A$2:$F$368,G668,FALSE)</f>
        <v>14.45</v>
      </c>
      <c r="J668" s="119">
        <f ca="1">HLOOKUP($H$4,'Met Data'!$H$2:$M$368,G668,FALSE)*L668</f>
        <v>6.0833333333333304</v>
      </c>
      <c r="K668" s="98">
        <f ca="1">HLOOKUP($H$4,'Met Data'!$O$2:$T$368,G668,FALSE)</f>
        <v>3.2654882571522399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324</v>
      </c>
      <c r="H669" s="97">
        <f t="shared" ca="1" si="109"/>
        <v>45980</v>
      </c>
      <c r="I669" s="121">
        <f ca="1">HLOOKUP($H$4,'Met Data'!$A$2:$F$368,G669,FALSE)</f>
        <v>13.941666666666601</v>
      </c>
      <c r="J669" s="119">
        <f ca="1">HLOOKUP($H$4,'Met Data'!$H$2:$M$368,G669,FALSE)*L669</f>
        <v>0.98333333333333295</v>
      </c>
      <c r="K669" s="98">
        <f ca="1">HLOOKUP($H$4,'Met Data'!$O$2:$T$368,G669,FALSE)</f>
        <v>3.5976260978488002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325</v>
      </c>
      <c r="H670" s="97">
        <f t="shared" ca="1" si="109"/>
        <v>45981</v>
      </c>
      <c r="I670" s="121">
        <f ca="1">HLOOKUP($H$4,'Met Data'!$A$2:$F$368,G670,FALSE)</f>
        <v>14.1208333333333</v>
      </c>
      <c r="J670" s="119">
        <f ca="1">HLOOKUP($H$4,'Met Data'!$H$2:$M$368,G670,FALSE)*L670</f>
        <v>2.36666666666666</v>
      </c>
      <c r="K670" s="98">
        <f ca="1">HLOOKUP($H$4,'Met Data'!$O$2:$T$368,G670,FALSE)</f>
        <v>3.2574752266568199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326</v>
      </c>
      <c r="H671" s="97">
        <f t="shared" ca="1" si="109"/>
        <v>45982</v>
      </c>
      <c r="I671" s="121">
        <f ca="1">HLOOKUP($H$4,'Met Data'!$A$2:$F$368,G671,FALSE)</f>
        <v>14.2</v>
      </c>
      <c r="J671" s="119">
        <f ca="1">HLOOKUP($H$4,'Met Data'!$H$2:$M$368,G671,FALSE)*L671</f>
        <v>1.4166666666666601</v>
      </c>
      <c r="K671" s="98">
        <f ca="1">HLOOKUP($H$4,'Met Data'!$O$2:$T$368,G671,FALSE)</f>
        <v>3.2248407363783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327</v>
      </c>
      <c r="H672" s="97">
        <f t="shared" ca="1" si="109"/>
        <v>45983</v>
      </c>
      <c r="I672" s="121">
        <f ca="1">HLOOKUP($H$4,'Met Data'!$A$2:$F$368,G672,FALSE)</f>
        <v>14.2916666666666</v>
      </c>
      <c r="J672" s="119">
        <f ca="1">HLOOKUP($H$4,'Met Data'!$H$2:$M$368,G672,FALSE)*L672</f>
        <v>1.2333333333333301</v>
      </c>
      <c r="K672" s="98">
        <f ca="1">HLOOKUP($H$4,'Met Data'!$O$2:$T$368,G672,FALSE)</f>
        <v>3.2303061956604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328</v>
      </c>
      <c r="H673" s="97">
        <f t="shared" ca="1" si="109"/>
        <v>45984</v>
      </c>
      <c r="I673" s="121">
        <f ca="1">HLOOKUP($H$4,'Met Data'!$A$2:$F$368,G673,FALSE)</f>
        <v>14.8666666666666</v>
      </c>
      <c r="J673" s="119">
        <f ca="1">HLOOKUP($H$4,'Met Data'!$H$2:$M$368,G673,FALSE)*L673</f>
        <v>0.21666666666666601</v>
      </c>
      <c r="K673" s="98">
        <f ca="1">HLOOKUP($H$4,'Met Data'!$O$2:$T$368,G673,FALSE)</f>
        <v>3.8851743269165699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329</v>
      </c>
      <c r="H674" s="97">
        <f t="shared" ca="1" si="109"/>
        <v>45985</v>
      </c>
      <c r="I674" s="121">
        <f ca="1">HLOOKUP($H$4,'Met Data'!$A$2:$F$368,G674,FALSE)</f>
        <v>14.875</v>
      </c>
      <c r="J674" s="119">
        <f ca="1">HLOOKUP($H$4,'Met Data'!$H$2:$M$368,G674,FALSE)*L674</f>
        <v>1.8333333333333299</v>
      </c>
      <c r="K674" s="98">
        <f ca="1">HLOOKUP($H$4,'Met Data'!$O$2:$T$368,G674,FALSE)</f>
        <v>3.3424019609463702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330</v>
      </c>
      <c r="H675" s="97">
        <f t="shared" ca="1" si="109"/>
        <v>45986</v>
      </c>
      <c r="I675" s="121">
        <f ca="1">HLOOKUP($H$4,'Met Data'!$A$2:$F$368,G675,FALSE)</f>
        <v>15.8125</v>
      </c>
      <c r="J675" s="119">
        <f ca="1">HLOOKUP($H$4,'Met Data'!$H$2:$M$368,G675,FALSE)*L675</f>
        <v>2.0166666666666599</v>
      </c>
      <c r="K675" s="98">
        <f ca="1">HLOOKUP($H$4,'Met Data'!$O$2:$T$368,G675,FALSE)</f>
        <v>3.2688322627941302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331</v>
      </c>
      <c r="H676" s="97">
        <f t="shared" ca="1" si="109"/>
        <v>45987</v>
      </c>
      <c r="I676" s="121">
        <f ca="1">HLOOKUP($H$4,'Met Data'!$A$2:$F$368,G676,FALSE)</f>
        <v>15.945833333333301</v>
      </c>
      <c r="J676" s="119">
        <f ca="1">HLOOKUP($H$4,'Met Data'!$H$2:$M$368,G676,FALSE)*L676</f>
        <v>5.8833333333333302</v>
      </c>
      <c r="K676" s="98">
        <f ca="1">HLOOKUP($H$4,'Met Data'!$O$2:$T$368,G676,FALSE)</f>
        <v>3.26798762006384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332</v>
      </c>
      <c r="H677" s="97">
        <f t="shared" ca="1" si="109"/>
        <v>45988</v>
      </c>
      <c r="I677" s="121">
        <f ca="1">HLOOKUP($H$4,'Met Data'!$A$2:$F$368,G677,FALSE)</f>
        <v>16.279166666666601</v>
      </c>
      <c r="J677" s="119">
        <f ca="1">HLOOKUP($H$4,'Met Data'!$H$2:$M$368,G677,FALSE)*L677</f>
        <v>1.4833333333333301</v>
      </c>
      <c r="K677" s="98">
        <f ca="1">HLOOKUP($H$4,'Met Data'!$O$2:$T$368,G677,FALSE)</f>
        <v>3.19082213890132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333</v>
      </c>
      <c r="H678" s="97">
        <f t="shared" ca="1" si="109"/>
        <v>45989</v>
      </c>
      <c r="I678" s="121">
        <f ca="1">HLOOKUP($H$4,'Met Data'!$A$2:$F$368,G678,FALSE)</f>
        <v>16.070833333333301</v>
      </c>
      <c r="J678" s="119">
        <f ca="1">HLOOKUP($H$4,'Met Data'!$H$2:$M$368,G678,FALSE)*L678</f>
        <v>7.43333333333333</v>
      </c>
      <c r="K678" s="98">
        <f ca="1">HLOOKUP($H$4,'Met Data'!$O$2:$T$368,G678,FALSE)</f>
        <v>3.00999975823754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334</v>
      </c>
      <c r="H679" s="97">
        <f t="shared" ca="1" si="109"/>
        <v>45990</v>
      </c>
      <c r="I679" s="121">
        <f ca="1">HLOOKUP($H$4,'Met Data'!$A$2:$F$368,G679,FALSE)</f>
        <v>15.033333333333299</v>
      </c>
      <c r="J679" s="119">
        <f ca="1">HLOOKUP($H$4,'Met Data'!$H$2:$M$368,G679,FALSE)*L679</f>
        <v>0.66666666666666596</v>
      </c>
      <c r="K679" s="98">
        <f ca="1">HLOOKUP($H$4,'Met Data'!$O$2:$T$368,G679,FALSE)</f>
        <v>4.1701433642644803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335</v>
      </c>
      <c r="H680" s="97">
        <f t="shared" ca="1" si="109"/>
        <v>45991</v>
      </c>
      <c r="I680" s="121">
        <f ca="1">HLOOKUP($H$4,'Met Data'!$A$2:$F$368,G680,FALSE)</f>
        <v>16.1166666666666</v>
      </c>
      <c r="J680" s="119">
        <f ca="1">HLOOKUP($H$4,'Met Data'!$H$2:$M$368,G680,FALSE)*L680</f>
        <v>5.2333333333333298</v>
      </c>
      <c r="K680" s="98">
        <f ca="1">HLOOKUP($H$4,'Met Data'!$O$2:$T$368,G680,FALSE)</f>
        <v>3.7664149911337801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336</v>
      </c>
      <c r="H681" s="97">
        <f t="shared" ca="1" si="109"/>
        <v>45992</v>
      </c>
      <c r="I681" s="121">
        <f ca="1">HLOOKUP($H$4,'Met Data'!$A$2:$F$368,G681,FALSE)</f>
        <v>15.887499999999999</v>
      </c>
      <c r="J681" s="119">
        <f ca="1">HLOOKUP($H$4,'Met Data'!$H$2:$M$368,G681,FALSE)*L681</f>
        <v>6.75</v>
      </c>
      <c r="K681" s="98">
        <f ca="1">HLOOKUP($H$4,'Met Data'!$O$2:$T$368,G681,FALSE)</f>
        <v>3.2490041935251899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337</v>
      </c>
      <c r="H682" s="97">
        <f t="shared" ca="1" si="109"/>
        <v>45993</v>
      </c>
      <c r="I682" s="121">
        <f ca="1">HLOOKUP($H$4,'Met Data'!$A$2:$F$368,G682,FALSE)</f>
        <v>16.1458333333333</v>
      </c>
      <c r="J682" s="119">
        <f ca="1">HLOOKUP($H$4,'Met Data'!$H$2:$M$368,G682,FALSE)*L682</f>
        <v>1.0833333333333299</v>
      </c>
      <c r="K682" s="98">
        <f ca="1">HLOOKUP($H$4,'Met Data'!$O$2:$T$368,G682,FALSE)</f>
        <v>3.8649058322152201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338</v>
      </c>
      <c r="H683" s="97">
        <f t="shared" ca="1" si="109"/>
        <v>45994</v>
      </c>
      <c r="I683" s="121">
        <f ca="1">HLOOKUP($H$4,'Met Data'!$A$2:$F$368,G683,FALSE)</f>
        <v>16.0625</v>
      </c>
      <c r="J683" s="119">
        <f ca="1">HLOOKUP($H$4,'Met Data'!$H$2:$M$368,G683,FALSE)*L683</f>
        <v>2.2666666666666599</v>
      </c>
      <c r="K683" s="98">
        <f ca="1">HLOOKUP($H$4,'Met Data'!$O$2:$T$368,G683,FALSE)</f>
        <v>3.3633315244434101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339</v>
      </c>
      <c r="H684" s="97">
        <f t="shared" ca="1" si="109"/>
        <v>45995</v>
      </c>
      <c r="I684" s="121">
        <f ca="1">HLOOKUP($H$4,'Met Data'!$A$2:$F$368,G684,FALSE)</f>
        <v>16.591666666666601</v>
      </c>
      <c r="J684" s="119">
        <f ca="1">HLOOKUP($H$4,'Met Data'!$H$2:$M$368,G684,FALSE)*L684</f>
        <v>3.0333333333333301</v>
      </c>
      <c r="K684" s="98">
        <f ca="1">HLOOKUP($H$4,'Met Data'!$O$2:$T$368,G684,FALSE)</f>
        <v>3.8332290024095501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340</v>
      </c>
      <c r="H685" s="97">
        <f t="shared" ca="1" si="109"/>
        <v>45996</v>
      </c>
      <c r="I685" s="121">
        <f ca="1">HLOOKUP($H$4,'Met Data'!$A$2:$F$368,G685,FALSE)</f>
        <v>16.441666666666599</v>
      </c>
      <c r="J685" s="119">
        <f ca="1">HLOOKUP($H$4,'Met Data'!$H$2:$M$368,G685,FALSE)*L685</f>
        <v>1.0833333333333299</v>
      </c>
      <c r="K685" s="98">
        <f ca="1">HLOOKUP($H$4,'Met Data'!$O$2:$T$368,G685,FALSE)</f>
        <v>3.3753600087216298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341</v>
      </c>
      <c r="H686" s="97">
        <f t="shared" ca="1" si="109"/>
        <v>45997</v>
      </c>
      <c r="I686" s="121">
        <f ca="1">HLOOKUP($H$4,'Met Data'!$A$2:$F$368,G686,FALSE)</f>
        <v>16.454166666666602</v>
      </c>
      <c r="J686" s="119">
        <f ca="1">HLOOKUP($H$4,'Met Data'!$H$2:$M$368,G686,FALSE)*L686</f>
        <v>2.61666666666666</v>
      </c>
      <c r="K686" s="98">
        <f ca="1">HLOOKUP($H$4,'Met Data'!$O$2:$T$368,G686,FALSE)</f>
        <v>2.8811659068389401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342</v>
      </c>
      <c r="H687" s="97">
        <f t="shared" ca="1" si="109"/>
        <v>45998</v>
      </c>
      <c r="I687" s="121">
        <f ca="1">HLOOKUP($H$4,'Met Data'!$A$2:$F$368,G687,FALSE)</f>
        <v>15.879166666666601</v>
      </c>
      <c r="J687" s="119">
        <f ca="1">HLOOKUP($H$4,'Met Data'!$H$2:$M$368,G687,FALSE)*L687</f>
        <v>3.1</v>
      </c>
      <c r="K687" s="98">
        <f ca="1">HLOOKUP($H$4,'Met Data'!$O$2:$T$368,G687,FALSE)</f>
        <v>3.4185168625157498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ref="G688:G751" ca="1" si="110">H688-DATE(YEAR(H688),1,0)+1</f>
        <v>343</v>
      </c>
      <c r="H688" s="97">
        <f t="shared" ca="1" si="109"/>
        <v>45999</v>
      </c>
      <c r="I688" s="121">
        <f ca="1">HLOOKUP($H$4,'Met Data'!$A$2:$F$368,G688,FALSE)</f>
        <v>15.259090909090901</v>
      </c>
      <c r="J688" s="119">
        <f ca="1">HLOOKUP($H$4,'Met Data'!$H$2:$M$368,G688,FALSE)*L688</f>
        <v>6.1090909090908996</v>
      </c>
      <c r="K688" s="98">
        <f ca="1">HLOOKUP($H$4,'Met Data'!$O$2:$T$368,G688,FALSE)</f>
        <v>2.9122766026990501</v>
      </c>
      <c r="L688">
        <f t="shared" ca="1" si="108"/>
        <v>1</v>
      </c>
      <c r="N688" t="e">
        <f t="shared" ref="N688:N751" ca="1" si="111">IF(P688&lt;$P$3,TRUE,FALSE)</f>
        <v>#N/A</v>
      </c>
      <c r="O688" t="e">
        <f t="shared" ref="O688:O751" ca="1" si="112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3">IFERROR(P688,$AD$4)</f>
        <v>0</v>
      </c>
      <c r="AE688">
        <f t="shared" ref="AE688:AE751" ca="1" si="114">IFERROR(U688,0)</f>
        <v>0</v>
      </c>
      <c r="AG688" s="63" t="e">
        <f t="shared" ref="AG688:AG751" ca="1" si="115">Q687+S688+T688+U688</f>
        <v>#N/A</v>
      </c>
      <c r="AH688" s="63" t="e">
        <f t="shared" ref="AH688:AH751" ca="1" si="116">Q688+R688+X688</f>
        <v>#N/A</v>
      </c>
      <c r="AI688" s="3" t="e">
        <f t="shared" ref="AI688:AI751" ca="1" si="117">AH688-AG688</f>
        <v>#N/A</v>
      </c>
    </row>
    <row r="689" spans="7:35" ht="15.75" thickBot="1">
      <c r="G689" s="3">
        <f t="shared" ca="1" si="110"/>
        <v>344</v>
      </c>
      <c r="H689" s="97">
        <f t="shared" ca="1" si="109"/>
        <v>46000</v>
      </c>
      <c r="I689" s="121">
        <f ca="1">HLOOKUP($H$4,'Met Data'!$A$2:$F$368,G689,FALSE)</f>
        <v>15.9125</v>
      </c>
      <c r="J689" s="119">
        <f ca="1">HLOOKUP($H$4,'Met Data'!$H$2:$M$368,G689,FALSE)*L689</f>
        <v>1.7833333333333301</v>
      </c>
      <c r="K689" s="98">
        <f ca="1">HLOOKUP($H$4,'Met Data'!$O$2:$T$368,G689,FALSE)</f>
        <v>3.7124167377990198</v>
      </c>
      <c r="L689">
        <f t="shared" ca="1" si="108"/>
        <v>1</v>
      </c>
      <c r="N689" t="e">
        <f t="shared" ca="1" si="111"/>
        <v>#N/A</v>
      </c>
      <c r="O689" t="e">
        <f t="shared" ca="1" si="112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3"/>
        <v>0</v>
      </c>
      <c r="AE689">
        <f t="shared" ca="1" si="114"/>
        <v>0</v>
      </c>
      <c r="AG689" s="63" t="e">
        <f t="shared" ca="1" si="115"/>
        <v>#N/A</v>
      </c>
      <c r="AH689" s="63" t="e">
        <f t="shared" ca="1" si="116"/>
        <v>#N/A</v>
      </c>
      <c r="AI689" s="3" t="e">
        <f t="shared" ca="1" si="117"/>
        <v>#N/A</v>
      </c>
    </row>
    <row r="690" spans="7:35" ht="15.75" thickBot="1">
      <c r="G690" s="3">
        <f t="shared" ca="1" si="110"/>
        <v>345</v>
      </c>
      <c r="H690" s="97">
        <f t="shared" ca="1" si="109"/>
        <v>46001</v>
      </c>
      <c r="I690" s="121">
        <f ca="1">HLOOKUP($H$4,'Met Data'!$A$2:$F$368,G690,FALSE)</f>
        <v>16.720833333333299</v>
      </c>
      <c r="J690" s="119">
        <f ca="1">HLOOKUP($H$4,'Met Data'!$H$2:$M$368,G690,FALSE)*L690</f>
        <v>6.61666666666666</v>
      </c>
      <c r="K690" s="98">
        <f ca="1">HLOOKUP($H$4,'Met Data'!$O$2:$T$368,G690,FALSE)</f>
        <v>3.19412245919293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346</v>
      </c>
      <c r="H691" s="97">
        <f t="shared" ca="1" si="109"/>
        <v>46002</v>
      </c>
      <c r="I691" s="121">
        <f ca="1">HLOOKUP($H$4,'Met Data'!$A$2:$F$368,G691,FALSE)</f>
        <v>17.529166666666601</v>
      </c>
      <c r="J691" s="119">
        <f ca="1">HLOOKUP($H$4,'Met Data'!$H$2:$M$368,G691,FALSE)*L691</f>
        <v>2.0333333333333301</v>
      </c>
      <c r="K691" s="98">
        <f ca="1">HLOOKUP($H$4,'Met Data'!$O$2:$T$368,G691,FALSE)</f>
        <v>3.0664285414958901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347</v>
      </c>
      <c r="H692" s="97">
        <f t="shared" ca="1" si="109"/>
        <v>46003</v>
      </c>
      <c r="I692" s="121">
        <f ca="1">HLOOKUP($H$4,'Met Data'!$A$2:$F$368,G692,FALSE)</f>
        <v>17.004166666666599</v>
      </c>
      <c r="J692" s="119">
        <f ca="1">HLOOKUP($H$4,'Met Data'!$H$2:$M$368,G692,FALSE)*L692</f>
        <v>2.4666666666666601</v>
      </c>
      <c r="K692" s="98">
        <f ca="1">HLOOKUP($H$4,'Met Data'!$O$2:$T$368,G692,FALSE)</f>
        <v>3.6044975025694099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348</v>
      </c>
      <c r="H693" s="97">
        <f t="shared" ca="1" si="109"/>
        <v>46004</v>
      </c>
      <c r="I693" s="121">
        <f ca="1">HLOOKUP($H$4,'Met Data'!$A$2:$F$368,G693,FALSE)</f>
        <v>16.883333333333301</v>
      </c>
      <c r="J693" s="119">
        <f ca="1">HLOOKUP($H$4,'Met Data'!$H$2:$M$368,G693,FALSE)*L693</f>
        <v>1.7333333333333301</v>
      </c>
      <c r="K693" s="98">
        <f ca="1">HLOOKUP($H$4,'Met Data'!$O$2:$T$368,G693,FALSE)</f>
        <v>4.1436131117359496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349</v>
      </c>
      <c r="H694" s="97">
        <f t="shared" ca="1" si="109"/>
        <v>46005</v>
      </c>
      <c r="I694" s="121">
        <f ca="1">HLOOKUP($H$4,'Met Data'!$A$2:$F$368,G694,FALSE)</f>
        <v>16.191666666666599</v>
      </c>
      <c r="J694" s="119">
        <f ca="1">HLOOKUP($H$4,'Met Data'!$H$2:$M$368,G694,FALSE)*L694</f>
        <v>1.5333333333333301</v>
      </c>
      <c r="K694" s="98">
        <f ca="1">HLOOKUP($H$4,'Met Data'!$O$2:$T$368,G694,FALSE)</f>
        <v>3.8138486605430502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350</v>
      </c>
      <c r="H695" s="97">
        <f t="shared" ca="1" si="109"/>
        <v>46006</v>
      </c>
      <c r="I695" s="121">
        <f ca="1">HLOOKUP($H$4,'Met Data'!$A$2:$F$368,G695,FALSE)</f>
        <v>15.754166666666601</v>
      </c>
      <c r="J695" s="119">
        <f ca="1">HLOOKUP($H$4,'Met Data'!$H$2:$M$368,G695,FALSE)*L695</f>
        <v>4.9166666666666599</v>
      </c>
      <c r="K695" s="98">
        <f ca="1">HLOOKUP($H$4,'Met Data'!$O$2:$T$368,G695,FALSE)</f>
        <v>4.2245531095694204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351</v>
      </c>
      <c r="H696" s="97">
        <f t="shared" ca="1" si="109"/>
        <v>46007</v>
      </c>
      <c r="I696" s="121">
        <f ca="1">HLOOKUP($H$4,'Met Data'!$A$2:$F$368,G696,FALSE)</f>
        <v>16.766666666666602</v>
      </c>
      <c r="J696" s="119">
        <f ca="1">HLOOKUP($H$4,'Met Data'!$H$2:$M$368,G696,FALSE)*L696</f>
        <v>1.5999999999999901</v>
      </c>
      <c r="K696" s="98">
        <f ca="1">HLOOKUP($H$4,'Met Data'!$O$2:$T$368,G696,FALSE)</f>
        <v>4.0567025040665996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352</v>
      </c>
      <c r="H697" s="97">
        <f t="shared" ca="1" si="109"/>
        <v>46008</v>
      </c>
      <c r="I697" s="121">
        <f ca="1">HLOOKUP($H$4,'Met Data'!$A$2:$F$368,G697,FALSE)</f>
        <v>16.766666666666602</v>
      </c>
      <c r="J697" s="119">
        <f ca="1">HLOOKUP($H$4,'Met Data'!$H$2:$M$368,G697,FALSE)*L697</f>
        <v>4.3166666666666602</v>
      </c>
      <c r="K697" s="98">
        <f ca="1">HLOOKUP($H$4,'Met Data'!$O$2:$T$368,G697,FALSE)</f>
        <v>3.8858032497445998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353</v>
      </c>
      <c r="H698" s="97">
        <f t="shared" ca="1" si="109"/>
        <v>46009</v>
      </c>
      <c r="I698" s="121">
        <f ca="1">HLOOKUP($H$4,'Met Data'!$A$2:$F$368,G698,FALSE)</f>
        <v>17.191666666666599</v>
      </c>
      <c r="J698" s="119">
        <f ca="1">HLOOKUP($H$4,'Met Data'!$H$2:$M$368,G698,FALSE)*L698</f>
        <v>1.25</v>
      </c>
      <c r="K698" s="98">
        <f ca="1">HLOOKUP($H$4,'Met Data'!$O$2:$T$368,G698,FALSE)</f>
        <v>3.5439221574521702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354</v>
      </c>
      <c r="H699" s="97">
        <f t="shared" ca="1" si="109"/>
        <v>46010</v>
      </c>
      <c r="I699" s="121">
        <f ca="1">HLOOKUP($H$4,'Met Data'!$A$2:$F$368,G699,FALSE)</f>
        <v>16.725000000000001</v>
      </c>
      <c r="J699" s="119">
        <f ca="1">HLOOKUP($H$4,'Met Data'!$H$2:$M$368,G699,FALSE)*L699</f>
        <v>6.43333333333333</v>
      </c>
      <c r="K699" s="98">
        <f ca="1">HLOOKUP($H$4,'Met Data'!$O$2:$T$368,G699,FALSE)</f>
        <v>2.7226403112081199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355</v>
      </c>
      <c r="H700" s="97">
        <f t="shared" ca="1" si="109"/>
        <v>46011</v>
      </c>
      <c r="I700" s="121">
        <f ca="1">HLOOKUP($H$4,'Met Data'!$A$2:$F$368,G700,FALSE)</f>
        <v>15.9625</v>
      </c>
      <c r="J700" s="119">
        <f ca="1">HLOOKUP($H$4,'Met Data'!$H$2:$M$368,G700,FALSE)*L700</f>
        <v>4.3333333333333304</v>
      </c>
      <c r="K700" s="98">
        <f ca="1">HLOOKUP($H$4,'Met Data'!$O$2:$T$368,G700,FALSE)</f>
        <v>3.7253118866284498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356</v>
      </c>
      <c r="H701" s="97">
        <f t="shared" ca="1" si="109"/>
        <v>46012</v>
      </c>
      <c r="I701" s="121">
        <f ca="1">HLOOKUP($H$4,'Met Data'!$A$2:$F$368,G701,FALSE)</f>
        <v>16.074999999999999</v>
      </c>
      <c r="J701" s="119">
        <f ca="1">HLOOKUP($H$4,'Met Data'!$H$2:$M$368,G701,FALSE)*L701</f>
        <v>0.89999999999999902</v>
      </c>
      <c r="K701" s="98">
        <f ca="1">HLOOKUP($H$4,'Met Data'!$O$2:$T$368,G701,FALSE)</f>
        <v>3.69045556475041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357</v>
      </c>
      <c r="H702" s="97">
        <f t="shared" ca="1" si="109"/>
        <v>46013</v>
      </c>
      <c r="I702" s="121">
        <f ca="1">HLOOKUP($H$4,'Met Data'!$A$2:$F$368,G702,FALSE)</f>
        <v>16.1458333333333</v>
      </c>
      <c r="J702" s="119">
        <f ca="1">HLOOKUP($H$4,'Met Data'!$H$2:$M$368,G702,FALSE)*L702</f>
        <v>0.78333333333333299</v>
      </c>
      <c r="K702" s="98">
        <f ca="1">HLOOKUP($H$4,'Met Data'!$O$2:$T$368,G702,FALSE)</f>
        <v>3.66376320931905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358</v>
      </c>
      <c r="H703" s="97">
        <f t="shared" ca="1" si="109"/>
        <v>46014</v>
      </c>
      <c r="I703" s="121">
        <f ca="1">HLOOKUP($H$4,'Met Data'!$A$2:$F$368,G703,FALSE)</f>
        <v>16.820833333333301</v>
      </c>
      <c r="J703" s="119">
        <f ca="1">HLOOKUP($H$4,'Met Data'!$H$2:$M$368,G703,FALSE)*L703</f>
        <v>1.1666666666666601</v>
      </c>
      <c r="K703" s="98">
        <f ca="1">HLOOKUP($H$4,'Met Data'!$O$2:$T$368,G703,FALSE)</f>
        <v>4.2904592235930501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359</v>
      </c>
      <c r="H704" s="97">
        <f t="shared" ca="1" si="109"/>
        <v>46015</v>
      </c>
      <c r="I704" s="121">
        <f ca="1">HLOOKUP($H$4,'Met Data'!$A$2:$F$368,G704,FALSE)</f>
        <v>16.883333333333301</v>
      </c>
      <c r="J704" s="119">
        <f ca="1">HLOOKUP($H$4,'Met Data'!$H$2:$M$368,G704,FALSE)*L704</f>
        <v>4.1499999999999897</v>
      </c>
      <c r="K704" s="98">
        <f ca="1">HLOOKUP($H$4,'Met Data'!$O$2:$T$368,G704,FALSE)</f>
        <v>3.61274265774352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360</v>
      </c>
      <c r="H705" s="97">
        <f t="shared" ca="1" si="109"/>
        <v>46016</v>
      </c>
      <c r="I705" s="121">
        <f ca="1">HLOOKUP($H$4,'Met Data'!$A$2:$F$368,G705,FALSE)</f>
        <v>17.399999999999999</v>
      </c>
      <c r="J705" s="119">
        <f ca="1">HLOOKUP($H$4,'Met Data'!$H$2:$M$368,G705,FALSE)*L705</f>
        <v>5.0166666666666604</v>
      </c>
      <c r="K705" s="98">
        <f ca="1">HLOOKUP($H$4,'Met Data'!$O$2:$T$368,G705,FALSE)</f>
        <v>4.09028075025509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361</v>
      </c>
      <c r="H706" s="97">
        <f t="shared" ca="1" si="109"/>
        <v>46017</v>
      </c>
      <c r="I706" s="121">
        <f ca="1">HLOOKUP($H$4,'Met Data'!$A$2:$F$368,G706,FALSE)</f>
        <v>17.920833333333299</v>
      </c>
      <c r="J706" s="119">
        <f ca="1">HLOOKUP($H$4,'Met Data'!$H$2:$M$368,G706,FALSE)*L706</f>
        <v>0.56666666666666599</v>
      </c>
      <c r="K706" s="98">
        <f ca="1">HLOOKUP($H$4,'Met Data'!$O$2:$T$368,G706,FALSE)</f>
        <v>4.1244552423616296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362</v>
      </c>
      <c r="H707" s="97">
        <f t="shared" ca="1" si="109"/>
        <v>46018</v>
      </c>
      <c r="I707" s="121">
        <f ca="1">HLOOKUP($H$4,'Met Data'!$A$2:$F$368,G707,FALSE)</f>
        <v>17.537500000000001</v>
      </c>
      <c r="J707" s="119">
        <f ca="1">HLOOKUP($H$4,'Met Data'!$H$2:$M$368,G707,FALSE)*L707</f>
        <v>1.2833333333333301</v>
      </c>
      <c r="K707" s="98">
        <f ca="1">HLOOKUP($H$4,'Met Data'!$O$2:$T$368,G707,FALSE)</f>
        <v>4.3692883234689903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363</v>
      </c>
      <c r="H708" s="97">
        <f t="shared" ca="1" si="109"/>
        <v>46019</v>
      </c>
      <c r="I708" s="121">
        <f ca="1">HLOOKUP($H$4,'Met Data'!$A$2:$F$368,G708,FALSE)</f>
        <v>17.012499999999999</v>
      </c>
      <c r="J708" s="119">
        <f ca="1">HLOOKUP($H$4,'Met Data'!$H$2:$M$368,G708,FALSE)*L708</f>
        <v>1.5833333333333299</v>
      </c>
      <c r="K708" s="98">
        <f ca="1">HLOOKUP($H$4,'Met Data'!$O$2:$T$368,G708,FALSE)</f>
        <v>3.8686759650684999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364</v>
      </c>
      <c r="H709" s="97">
        <f t="shared" ca="1" si="109"/>
        <v>46020</v>
      </c>
      <c r="I709" s="121">
        <f ca="1">HLOOKUP($H$4,'Met Data'!$A$2:$F$368,G709,FALSE)</f>
        <v>17.1041666666666</v>
      </c>
      <c r="J709" s="119">
        <f ca="1">HLOOKUP($H$4,'Met Data'!$H$2:$M$368,G709,FALSE)*L709</f>
        <v>4.2833333333333297</v>
      </c>
      <c r="K709" s="98">
        <f ca="1">HLOOKUP($H$4,'Met Data'!$O$2:$T$368,G709,FALSE)</f>
        <v>3.65125453231978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365</v>
      </c>
      <c r="H710" s="97">
        <f t="shared" ca="1" si="109"/>
        <v>46021</v>
      </c>
      <c r="I710" s="121">
        <f ca="1">HLOOKUP($H$4,'Met Data'!$A$2:$F$368,G710,FALSE)</f>
        <v>17.0541666666666</v>
      </c>
      <c r="J710" s="119">
        <f ca="1">HLOOKUP($H$4,'Met Data'!$H$2:$M$368,G710,FALSE)*L710</f>
        <v>3.68333333333333</v>
      </c>
      <c r="K710" s="98">
        <f ca="1">HLOOKUP($H$4,'Met Data'!$O$2:$T$368,G710,FALSE)</f>
        <v>3.3111049356888498</v>
      </c>
      <c r="L710">
        <f t="shared" ref="L710:L773" ca="1" si="118">IF(H710&lt;$B$31,$J$3,$J$4)</f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366</v>
      </c>
      <c r="H711" s="97">
        <f t="shared" ca="1" si="109"/>
        <v>46022</v>
      </c>
      <c r="I711" s="121">
        <f ca="1">HLOOKUP($H$4,'Met Data'!$A$2:$F$368,G711,FALSE)</f>
        <v>16.6875</v>
      </c>
      <c r="J711" s="119">
        <f ca="1">HLOOKUP($H$4,'Met Data'!$H$2:$M$368,G711,FALSE)*L711</f>
        <v>4.68333333333333</v>
      </c>
      <c r="K711" s="98">
        <f ca="1">HLOOKUP($H$4,'Met Data'!$O$2:$T$368,G711,FALSE)</f>
        <v>3.7095349810249001</v>
      </c>
      <c r="L711">
        <f t="shared" ca="1" si="118"/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2</v>
      </c>
      <c r="H712" s="97">
        <f t="shared" ref="H712:H775" ca="1" si="119">H711+1</f>
        <v>46023</v>
      </c>
      <c r="I712" s="121">
        <f ca="1">HLOOKUP($H$4,'Met Data'!$A$2:$F$368,G712,FALSE)</f>
        <v>17.908333333333299</v>
      </c>
      <c r="J712" s="119">
        <f ca="1">HLOOKUP($H$4,'Met Data'!$H$2:$M$368,G712,FALSE)*L712</f>
        <v>2.5499999999999998</v>
      </c>
      <c r="K712" s="98">
        <f ca="1">HLOOKUP($H$4,'Met Data'!$O$2:$T$368,G712,FALSE)</f>
        <v>3.6545263506553698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3</v>
      </c>
      <c r="H713" s="97">
        <f t="shared" ca="1" si="119"/>
        <v>46024</v>
      </c>
      <c r="I713" s="121">
        <f ca="1">HLOOKUP($H$4,'Met Data'!$A$2:$F$368,G713,FALSE)</f>
        <v>18.454166666666602</v>
      </c>
      <c r="J713" s="119">
        <f ca="1">HLOOKUP($H$4,'Met Data'!$H$2:$M$368,G713,FALSE)*L713</f>
        <v>2.3166666666666602</v>
      </c>
      <c r="K713" s="98">
        <f ca="1">HLOOKUP($H$4,'Met Data'!$O$2:$T$368,G713,FALSE)</f>
        <v>3.0374578661788201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4</v>
      </c>
      <c r="H714" s="97">
        <f t="shared" ca="1" si="119"/>
        <v>46025</v>
      </c>
      <c r="I714" s="121">
        <f ca="1">HLOOKUP($H$4,'Met Data'!$A$2:$F$368,G714,FALSE)</f>
        <v>18.4916666666666</v>
      </c>
      <c r="J714" s="119">
        <f ca="1">HLOOKUP($H$4,'Met Data'!$H$2:$M$368,G714,FALSE)*L714</f>
        <v>6.6333333333333302</v>
      </c>
      <c r="K714" s="98">
        <f ca="1">HLOOKUP($H$4,'Met Data'!$O$2:$T$368,G714,FALSE)</f>
        <v>3.5424660833564698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5</v>
      </c>
      <c r="H715" s="97">
        <f t="shared" ca="1" si="119"/>
        <v>46026</v>
      </c>
      <c r="I715" s="121">
        <f ca="1">HLOOKUP($H$4,'Met Data'!$A$2:$F$368,G715,FALSE)</f>
        <v>17</v>
      </c>
      <c r="J715" s="119">
        <f ca="1">HLOOKUP($H$4,'Met Data'!$H$2:$M$368,G715,FALSE)*L715</f>
        <v>1.93333333333333</v>
      </c>
      <c r="K715" s="98">
        <f ca="1">HLOOKUP($H$4,'Met Data'!$O$2:$T$368,G715,FALSE)</f>
        <v>4.6893309655458602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6</v>
      </c>
      <c r="H716" s="97">
        <f t="shared" ca="1" si="119"/>
        <v>46027</v>
      </c>
      <c r="I716" s="121">
        <f ca="1">HLOOKUP($H$4,'Met Data'!$A$2:$F$368,G716,FALSE)</f>
        <v>16.4166666666666</v>
      </c>
      <c r="J716" s="119">
        <f ca="1">HLOOKUP($H$4,'Met Data'!$H$2:$M$368,G716,FALSE)*L716</f>
        <v>2.9833333333333298</v>
      </c>
      <c r="K716" s="98">
        <f ca="1">HLOOKUP($H$4,'Met Data'!$O$2:$T$368,G716,FALSE)</f>
        <v>4.0957861961112103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7</v>
      </c>
      <c r="H717" s="97">
        <f t="shared" ca="1" si="119"/>
        <v>46028</v>
      </c>
      <c r="I717" s="121">
        <f ca="1">HLOOKUP($H$4,'Met Data'!$A$2:$F$368,G717,FALSE)</f>
        <v>17.629166666666599</v>
      </c>
      <c r="J717" s="119">
        <f ca="1">HLOOKUP($H$4,'Met Data'!$H$2:$M$368,G717,FALSE)*L717</f>
        <v>0.43333333333333302</v>
      </c>
      <c r="K717" s="98">
        <f ca="1">HLOOKUP($H$4,'Met Data'!$O$2:$T$368,G717,FALSE)</f>
        <v>4.0765351917680999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8</v>
      </c>
      <c r="H718" s="97">
        <f t="shared" ca="1" si="119"/>
        <v>46029</v>
      </c>
      <c r="I718" s="121">
        <f ca="1">HLOOKUP($H$4,'Met Data'!$A$2:$F$368,G718,FALSE)</f>
        <v>17.004166666666599</v>
      </c>
      <c r="J718" s="119">
        <f ca="1">HLOOKUP($H$4,'Met Data'!$H$2:$M$368,G718,FALSE)*L718</f>
        <v>2.7833333333333301</v>
      </c>
      <c r="K718" s="98">
        <f ca="1">HLOOKUP($H$4,'Met Data'!$O$2:$T$368,G718,FALSE)</f>
        <v>3.5869881049730998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9</v>
      </c>
      <c r="H719" s="97">
        <f t="shared" ca="1" si="119"/>
        <v>46030</v>
      </c>
      <c r="I719" s="121">
        <f ca="1">HLOOKUP($H$4,'Met Data'!$A$2:$F$368,G719,FALSE)</f>
        <v>17.433333333333302</v>
      </c>
      <c r="J719" s="119">
        <f ca="1">HLOOKUP($H$4,'Met Data'!$H$2:$M$368,G719,FALSE)*L719</f>
        <v>2.3833333333333302</v>
      </c>
      <c r="K719" s="98">
        <f ca="1">HLOOKUP($H$4,'Met Data'!$O$2:$T$368,G719,FALSE)</f>
        <v>4.2605807421289903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10</v>
      </c>
      <c r="H720" s="97">
        <f t="shared" ca="1" si="119"/>
        <v>46031</v>
      </c>
      <c r="I720" s="121">
        <f ca="1">HLOOKUP($H$4,'Met Data'!$A$2:$F$368,G720,FALSE)</f>
        <v>17.0208333333333</v>
      </c>
      <c r="J720" s="119">
        <f ca="1">HLOOKUP($H$4,'Met Data'!$H$2:$M$368,G720,FALSE)*L720</f>
        <v>0.3</v>
      </c>
      <c r="K720" s="98">
        <f ca="1">HLOOKUP($H$4,'Met Data'!$O$2:$T$368,G720,FALSE)</f>
        <v>4.14669035003873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11</v>
      </c>
      <c r="H721" s="97">
        <f t="shared" ca="1" si="119"/>
        <v>46032</v>
      </c>
      <c r="I721" s="121">
        <f ca="1">HLOOKUP($H$4,'Met Data'!$A$2:$F$368,G721,FALSE)</f>
        <v>17.6041666666666</v>
      </c>
      <c r="J721" s="119">
        <f ca="1">HLOOKUP($H$4,'Met Data'!$H$2:$M$368,G721,FALSE)*L721</f>
        <v>0.88333333333333297</v>
      </c>
      <c r="K721" s="98">
        <f ca="1">HLOOKUP($H$4,'Met Data'!$O$2:$T$368,G721,FALSE)</f>
        <v>3.4815515936566799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12</v>
      </c>
      <c r="H722" s="97">
        <f t="shared" ca="1" si="119"/>
        <v>46033</v>
      </c>
      <c r="I722" s="121">
        <f ca="1">HLOOKUP($H$4,'Met Data'!$A$2:$F$368,G722,FALSE)</f>
        <v>17.654166666666601</v>
      </c>
      <c r="J722" s="119">
        <f ca="1">HLOOKUP($H$4,'Met Data'!$H$2:$M$368,G722,FALSE)*L722</f>
        <v>0.33333333333333298</v>
      </c>
      <c r="K722" s="98">
        <f ca="1">HLOOKUP($H$4,'Met Data'!$O$2:$T$368,G722,FALSE)</f>
        <v>4.1035718910061201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13</v>
      </c>
      <c r="H723" s="97">
        <f t="shared" ca="1" si="119"/>
        <v>46034</v>
      </c>
      <c r="I723" s="121">
        <f ca="1">HLOOKUP($H$4,'Met Data'!$A$2:$F$368,G723,FALSE)</f>
        <v>18.175000000000001</v>
      </c>
      <c r="J723" s="119">
        <f ca="1">HLOOKUP($H$4,'Met Data'!$H$2:$M$368,G723,FALSE)*L723</f>
        <v>0.96666666666666601</v>
      </c>
      <c r="K723" s="98">
        <f ca="1">HLOOKUP($H$4,'Met Data'!$O$2:$T$368,G723,FALSE)</f>
        <v>3.7942004669494902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14</v>
      </c>
      <c r="H724" s="97">
        <f t="shared" ca="1" si="119"/>
        <v>46035</v>
      </c>
      <c r="I724" s="121">
        <f ca="1">HLOOKUP($H$4,'Met Data'!$A$2:$F$368,G724,FALSE)</f>
        <v>17.883333333333301</v>
      </c>
      <c r="J724" s="119">
        <f ca="1">HLOOKUP($H$4,'Met Data'!$H$2:$M$368,G724,FALSE)*L724</f>
        <v>3.0333333333333301</v>
      </c>
      <c r="K724" s="98">
        <f ca="1">HLOOKUP($H$4,'Met Data'!$O$2:$T$368,G724,FALSE)</f>
        <v>3.9941259720520699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15</v>
      </c>
      <c r="H725" s="97">
        <f t="shared" ca="1" si="119"/>
        <v>46036</v>
      </c>
      <c r="I725" s="121">
        <f ca="1">HLOOKUP($H$4,'Met Data'!$A$2:$F$368,G725,FALSE)</f>
        <v>17.279166666666601</v>
      </c>
      <c r="J725" s="119">
        <f ca="1">HLOOKUP($H$4,'Met Data'!$H$2:$M$368,G725,FALSE)*L725</f>
        <v>2.8833333333333302</v>
      </c>
      <c r="K725" s="98">
        <f ca="1">HLOOKUP($H$4,'Met Data'!$O$2:$T$368,G725,FALSE)</f>
        <v>4.3919546564694203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16</v>
      </c>
      <c r="H726" s="97">
        <f t="shared" ca="1" si="119"/>
        <v>46037</v>
      </c>
      <c r="I726" s="121">
        <f ca="1">HLOOKUP($H$4,'Met Data'!$A$2:$F$368,G726,FALSE)</f>
        <v>17.5208333333333</v>
      </c>
      <c r="J726" s="119">
        <f ca="1">HLOOKUP($H$4,'Met Data'!$H$2:$M$368,G726,FALSE)*L726</f>
        <v>2.5833333333333299</v>
      </c>
      <c r="K726" s="98">
        <f ca="1">HLOOKUP($H$4,'Met Data'!$O$2:$T$368,G726,FALSE)</f>
        <v>4.2128718222508397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17</v>
      </c>
      <c r="H727" s="97">
        <f t="shared" ca="1" si="119"/>
        <v>46038</v>
      </c>
      <c r="I727" s="121">
        <f ca="1">HLOOKUP($H$4,'Met Data'!$A$2:$F$368,G727,FALSE)</f>
        <v>17.970833333333299</v>
      </c>
      <c r="J727" s="119">
        <f ca="1">HLOOKUP($H$4,'Met Data'!$H$2:$M$368,G727,FALSE)*L727</f>
        <v>0.266666666666666</v>
      </c>
      <c r="K727" s="98">
        <f ca="1">HLOOKUP($H$4,'Met Data'!$O$2:$T$368,G727,FALSE)</f>
        <v>4.0252286180437302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18</v>
      </c>
      <c r="H728" s="97">
        <f t="shared" ca="1" si="119"/>
        <v>46039</v>
      </c>
      <c r="I728" s="121">
        <f ca="1">HLOOKUP($H$4,'Met Data'!$A$2:$F$368,G728,FALSE)</f>
        <v>18.2708333333333</v>
      </c>
      <c r="J728" s="119">
        <f ca="1">HLOOKUP($H$4,'Met Data'!$H$2:$M$368,G728,FALSE)*L728</f>
        <v>1.81666666666666</v>
      </c>
      <c r="K728" s="98">
        <f ca="1">HLOOKUP($H$4,'Met Data'!$O$2:$T$368,G728,FALSE)</f>
        <v>4.3125410240098896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19</v>
      </c>
      <c r="H729" s="97">
        <f t="shared" ca="1" si="119"/>
        <v>46040</v>
      </c>
      <c r="I729" s="121">
        <f ca="1">HLOOKUP($H$4,'Met Data'!$A$2:$F$368,G729,FALSE)</f>
        <v>17.954166666666602</v>
      </c>
      <c r="J729" s="119">
        <f ca="1">HLOOKUP($H$4,'Met Data'!$H$2:$M$368,G729,FALSE)*L729</f>
        <v>4.1499999999999897</v>
      </c>
      <c r="K729" s="98">
        <f ca="1">HLOOKUP($H$4,'Met Data'!$O$2:$T$368,G729,FALSE)</f>
        <v>3.9046074195490301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20</v>
      </c>
      <c r="H730" s="97">
        <f t="shared" ca="1" si="119"/>
        <v>46041</v>
      </c>
      <c r="I730" s="121">
        <f ca="1">HLOOKUP($H$4,'Met Data'!$A$2:$F$368,G730,FALSE)</f>
        <v>18.454166666666602</v>
      </c>
      <c r="J730" s="119">
        <f ca="1">HLOOKUP($H$4,'Met Data'!$H$2:$M$368,G730,FALSE)*L730</f>
        <v>2.5166666666666599</v>
      </c>
      <c r="K730" s="98">
        <f ca="1">HLOOKUP($H$4,'Met Data'!$O$2:$T$368,G730,FALSE)</f>
        <v>4.0894627552594898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21</v>
      </c>
      <c r="H731" s="97">
        <f t="shared" ca="1" si="119"/>
        <v>46042</v>
      </c>
      <c r="I731" s="121">
        <f ca="1">HLOOKUP($H$4,'Met Data'!$A$2:$F$368,G731,FALSE)</f>
        <v>18.125</v>
      </c>
      <c r="J731" s="119">
        <f ca="1">HLOOKUP($H$4,'Met Data'!$H$2:$M$368,G731,FALSE)*L731</f>
        <v>3.3333333333333299</v>
      </c>
      <c r="K731" s="98">
        <f ca="1">HLOOKUP($H$4,'Met Data'!$O$2:$T$368,G731,FALSE)</f>
        <v>4.4627747616983804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22</v>
      </c>
      <c r="H732" s="97">
        <f t="shared" ca="1" si="119"/>
        <v>46043</v>
      </c>
      <c r="I732" s="121">
        <f ca="1">HLOOKUP($H$4,'Met Data'!$A$2:$F$368,G732,FALSE)</f>
        <v>17.6791666666666</v>
      </c>
      <c r="J732" s="119">
        <f ca="1">HLOOKUP($H$4,'Met Data'!$H$2:$M$368,G732,FALSE)*L732</f>
        <v>2.4</v>
      </c>
      <c r="K732" s="98">
        <f ca="1">HLOOKUP($H$4,'Met Data'!$O$2:$T$368,G732,FALSE)</f>
        <v>3.8954755691343999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23</v>
      </c>
      <c r="H733" s="97">
        <f t="shared" ca="1" si="119"/>
        <v>46044</v>
      </c>
      <c r="I733" s="121">
        <f ca="1">HLOOKUP($H$4,'Met Data'!$A$2:$F$368,G733,FALSE)</f>
        <v>17.350000000000001</v>
      </c>
      <c r="J733" s="119">
        <f ca="1">HLOOKUP($H$4,'Met Data'!$H$2:$M$368,G733,FALSE)*L733</f>
        <v>2.6333333333333302</v>
      </c>
      <c r="K733" s="98">
        <f ca="1">HLOOKUP($H$4,'Met Data'!$O$2:$T$368,G733,FALSE)</f>
        <v>3.2997711779398098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24</v>
      </c>
      <c r="H734" s="97">
        <f t="shared" ca="1" si="119"/>
        <v>46045</v>
      </c>
      <c r="I734" s="121">
        <f ca="1">HLOOKUP($H$4,'Met Data'!$A$2:$F$368,G734,FALSE)</f>
        <v>17.504166666666599</v>
      </c>
      <c r="J734" s="119">
        <f ca="1">HLOOKUP($H$4,'Met Data'!$H$2:$M$368,G734,FALSE)*L734</f>
        <v>5.5166666666666604</v>
      </c>
      <c r="K734" s="98">
        <f ca="1">HLOOKUP($H$4,'Met Data'!$O$2:$T$368,G734,FALSE)</f>
        <v>3.46570930270954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25</v>
      </c>
      <c r="H735" s="97">
        <f t="shared" ca="1" si="119"/>
        <v>46046</v>
      </c>
      <c r="I735" s="121">
        <f ca="1">HLOOKUP($H$4,'Met Data'!$A$2:$F$368,G735,FALSE)</f>
        <v>17.713636363636301</v>
      </c>
      <c r="J735" s="119">
        <f ca="1">HLOOKUP($H$4,'Met Data'!$H$2:$M$368,G735,FALSE)*L735</f>
        <v>1.3818181818181801</v>
      </c>
      <c r="K735" s="98">
        <f ca="1">HLOOKUP($H$4,'Met Data'!$O$2:$T$368,G735,FALSE)</f>
        <v>4.0186876239346203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26</v>
      </c>
      <c r="H736" s="97">
        <f t="shared" ca="1" si="119"/>
        <v>46047</v>
      </c>
      <c r="I736" s="121">
        <f ca="1">HLOOKUP($H$4,'Met Data'!$A$2:$F$368,G736,FALSE)</f>
        <v>17.8541666666666</v>
      </c>
      <c r="J736" s="119">
        <f ca="1">HLOOKUP($H$4,'Met Data'!$H$2:$M$368,G736,FALSE)*L736</f>
        <v>0.46666666666666601</v>
      </c>
      <c r="K736" s="98">
        <f ca="1">HLOOKUP($H$4,'Met Data'!$O$2:$T$368,G736,FALSE)</f>
        <v>4.1496250953293998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27</v>
      </c>
      <c r="H737" s="97">
        <f t="shared" ca="1" si="119"/>
        <v>46048</v>
      </c>
      <c r="I737" s="121">
        <f ca="1">HLOOKUP($H$4,'Met Data'!$A$2:$F$368,G737,FALSE)</f>
        <v>18.933333333333302</v>
      </c>
      <c r="J737" s="119">
        <f ca="1">HLOOKUP($H$4,'Met Data'!$H$2:$M$368,G737,FALSE)*L737</f>
        <v>1.8</v>
      </c>
      <c r="K737" s="98">
        <f ca="1">HLOOKUP($H$4,'Met Data'!$O$2:$T$368,G737,FALSE)</f>
        <v>4.1034832888531598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28</v>
      </c>
      <c r="H738" s="97">
        <f t="shared" ca="1" si="119"/>
        <v>46049</v>
      </c>
      <c r="I738" s="121">
        <f ca="1">HLOOKUP($H$4,'Met Data'!$A$2:$F$368,G738,FALSE)</f>
        <v>18.524999999999999</v>
      </c>
      <c r="J738" s="119">
        <f ca="1">HLOOKUP($H$4,'Met Data'!$H$2:$M$368,G738,FALSE)*L738</f>
        <v>4.2166666666666597</v>
      </c>
      <c r="K738" s="98">
        <f ca="1">HLOOKUP($H$4,'Met Data'!$O$2:$T$368,G738,FALSE)</f>
        <v>3.2920480795367801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29</v>
      </c>
      <c r="H739" s="97">
        <f t="shared" ca="1" si="119"/>
        <v>46050</v>
      </c>
      <c r="I739" s="121">
        <f ca="1">HLOOKUP($H$4,'Met Data'!$A$2:$F$368,G739,FALSE)</f>
        <v>18.283333333333299</v>
      </c>
      <c r="J739" s="119">
        <f ca="1">HLOOKUP($H$4,'Met Data'!$H$2:$M$368,G739,FALSE)*L739</f>
        <v>0.96666666666666601</v>
      </c>
      <c r="K739" s="98">
        <f ca="1">HLOOKUP($H$4,'Met Data'!$O$2:$T$368,G739,FALSE)</f>
        <v>3.7580315328576899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30</v>
      </c>
      <c r="H740" s="97">
        <f t="shared" ca="1" si="119"/>
        <v>46051</v>
      </c>
      <c r="I740" s="121">
        <f ca="1">HLOOKUP($H$4,'Met Data'!$A$2:$F$368,G740,FALSE)</f>
        <v>18.95</v>
      </c>
      <c r="J740" s="119">
        <f ca="1">HLOOKUP($H$4,'Met Data'!$H$2:$M$368,G740,FALSE)*L740</f>
        <v>0.233333333333333</v>
      </c>
      <c r="K740" s="98">
        <f ca="1">HLOOKUP($H$4,'Met Data'!$O$2:$T$368,G740,FALSE)</f>
        <v>4.4825712398856101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31</v>
      </c>
      <c r="H741" s="97">
        <f t="shared" ca="1" si="119"/>
        <v>46052</v>
      </c>
      <c r="I741" s="121">
        <f ca="1">HLOOKUP($H$4,'Met Data'!$A$2:$F$368,G741,FALSE)</f>
        <v>19.070833333333301</v>
      </c>
      <c r="J741" s="119">
        <f ca="1">HLOOKUP($H$4,'Met Data'!$H$2:$M$368,G741,FALSE)*L741</f>
        <v>1.45</v>
      </c>
      <c r="K741" s="98">
        <f ca="1">HLOOKUP($H$4,'Met Data'!$O$2:$T$368,G741,FALSE)</f>
        <v>4.1485395322845697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32</v>
      </c>
      <c r="H742" s="97">
        <f t="shared" ca="1" si="119"/>
        <v>46053</v>
      </c>
      <c r="I742" s="121">
        <f ca="1">HLOOKUP($H$4,'Met Data'!$A$2:$F$368,G742,FALSE)</f>
        <v>18.716666666666601</v>
      </c>
      <c r="J742" s="119">
        <f ca="1">HLOOKUP($H$4,'Met Data'!$H$2:$M$368,G742,FALSE)*L742</f>
        <v>1.6666666666666601E-2</v>
      </c>
      <c r="K742" s="98">
        <f ca="1">HLOOKUP($H$4,'Met Data'!$O$2:$T$368,G742,FALSE)</f>
        <v>3.9002627778438899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33</v>
      </c>
      <c r="H743" s="97">
        <f t="shared" ca="1" si="119"/>
        <v>46054</v>
      </c>
      <c r="I743" s="121">
        <f ca="1">HLOOKUP($H$4,'Met Data'!$A$2:$F$368,G743,FALSE)</f>
        <v>18.720833333333299</v>
      </c>
      <c r="J743" s="119">
        <f ca="1">HLOOKUP($H$4,'Met Data'!$H$2:$M$368,G743,FALSE)*L743</f>
        <v>5.1333333333333302</v>
      </c>
      <c r="K743" s="98">
        <f ca="1">HLOOKUP($H$4,'Met Data'!$O$2:$T$368,G743,FALSE)</f>
        <v>3.3425533464765702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34</v>
      </c>
      <c r="H744" s="97">
        <f t="shared" ca="1" si="119"/>
        <v>46055</v>
      </c>
      <c r="I744" s="121">
        <f ca="1">HLOOKUP($H$4,'Met Data'!$A$2:$F$368,G744,FALSE)</f>
        <v>18.558333333333302</v>
      </c>
      <c r="J744" s="119">
        <f ca="1">HLOOKUP($H$4,'Met Data'!$H$2:$M$368,G744,FALSE)*L744</f>
        <v>5.1666666666666599</v>
      </c>
      <c r="K744" s="98">
        <f ca="1">HLOOKUP($H$4,'Met Data'!$O$2:$T$368,G744,FALSE)</f>
        <v>3.37031285883524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35</v>
      </c>
      <c r="H745" s="97">
        <f t="shared" ca="1" si="119"/>
        <v>46056</v>
      </c>
      <c r="I745" s="121">
        <f ca="1">HLOOKUP($H$4,'Met Data'!$A$2:$F$368,G745,FALSE)</f>
        <v>18.841666666666601</v>
      </c>
      <c r="J745" s="119">
        <f ca="1">HLOOKUP($H$4,'Met Data'!$H$2:$M$368,G745,FALSE)*L745</f>
        <v>0.483333333333333</v>
      </c>
      <c r="K745" s="98">
        <f ca="1">HLOOKUP($H$4,'Met Data'!$O$2:$T$368,G745,FALSE)</f>
        <v>4.5373745966907704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36</v>
      </c>
      <c r="H746" s="97">
        <f t="shared" ca="1" si="119"/>
        <v>46057</v>
      </c>
      <c r="I746" s="121">
        <f ca="1">HLOOKUP($H$4,'Met Data'!$A$2:$F$368,G746,FALSE)</f>
        <v>18.441666666666599</v>
      </c>
      <c r="J746" s="119">
        <f ca="1">HLOOKUP($H$4,'Met Data'!$H$2:$M$368,G746,FALSE)*L746</f>
        <v>4.8</v>
      </c>
      <c r="K746" s="98">
        <f ca="1">HLOOKUP($H$4,'Met Data'!$O$2:$T$368,G746,FALSE)</f>
        <v>3.5125215918157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37</v>
      </c>
      <c r="H747" s="97">
        <f t="shared" ca="1" si="119"/>
        <v>46058</v>
      </c>
      <c r="I747" s="121">
        <f ca="1">HLOOKUP($H$4,'Met Data'!$A$2:$F$368,G747,FALSE)</f>
        <v>17.975000000000001</v>
      </c>
      <c r="J747" s="119">
        <f ca="1">HLOOKUP($H$4,'Met Data'!$H$2:$M$368,G747,FALSE)*L747</f>
        <v>2.0166666666666599</v>
      </c>
      <c r="K747" s="98">
        <f ca="1">HLOOKUP($H$4,'Met Data'!$O$2:$T$368,G747,FALSE)</f>
        <v>3.7922889429532498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38</v>
      </c>
      <c r="H748" s="97">
        <f t="shared" ca="1" si="119"/>
        <v>46059</v>
      </c>
      <c r="I748" s="121">
        <f ca="1">HLOOKUP($H$4,'Met Data'!$A$2:$F$368,G748,FALSE)</f>
        <v>17.383333333333301</v>
      </c>
      <c r="J748" s="119">
        <f ca="1">HLOOKUP($H$4,'Met Data'!$H$2:$M$368,G748,FALSE)*L748</f>
        <v>0.15</v>
      </c>
      <c r="K748" s="98">
        <f ca="1">HLOOKUP($H$4,'Met Data'!$O$2:$T$368,G748,FALSE)</f>
        <v>3.67022287265541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39</v>
      </c>
      <c r="H749" s="97">
        <f t="shared" ca="1" si="119"/>
        <v>46060</v>
      </c>
      <c r="I749" s="121">
        <f ca="1">HLOOKUP($H$4,'Met Data'!$A$2:$F$368,G749,FALSE)</f>
        <v>17.0416666666666</v>
      </c>
      <c r="J749" s="119">
        <f ca="1">HLOOKUP($H$4,'Met Data'!$H$2:$M$368,G749,FALSE)*L749</f>
        <v>3.0166666666666599</v>
      </c>
      <c r="K749" s="98">
        <f ca="1">HLOOKUP($H$4,'Met Data'!$O$2:$T$368,G749,FALSE)</f>
        <v>3.8754357428809398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40</v>
      </c>
      <c r="H750" s="97">
        <f t="shared" ca="1" si="119"/>
        <v>46061</v>
      </c>
      <c r="I750" s="121">
        <f ca="1">HLOOKUP($H$4,'Met Data'!$A$2:$F$368,G750,FALSE)</f>
        <v>17.483333333333299</v>
      </c>
      <c r="J750" s="119">
        <f ca="1">HLOOKUP($H$4,'Met Data'!$H$2:$M$368,G750,FALSE)*L750</f>
        <v>2.69999999999999</v>
      </c>
      <c r="K750" s="98">
        <f ca="1">HLOOKUP($H$4,'Met Data'!$O$2:$T$368,G750,FALSE)</f>
        <v>3.8024866154372199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41</v>
      </c>
      <c r="H751" s="97">
        <f t="shared" ca="1" si="119"/>
        <v>46062</v>
      </c>
      <c r="I751" s="121">
        <f ca="1">HLOOKUP($H$4,'Met Data'!$A$2:$F$368,G751,FALSE)</f>
        <v>17.5625</v>
      </c>
      <c r="J751" s="119">
        <f ca="1">HLOOKUP($H$4,'Met Data'!$H$2:$M$368,G751,FALSE)*L751</f>
        <v>0.51666666666666605</v>
      </c>
      <c r="K751" s="98">
        <f ca="1">HLOOKUP($H$4,'Met Data'!$O$2:$T$368,G751,FALSE)</f>
        <v>3.9226252937625699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ref="G752:G815" ca="1" si="120">H752-DATE(YEAR(H752),1,0)+1</f>
        <v>42</v>
      </c>
      <c r="H752" s="97">
        <f t="shared" ca="1" si="119"/>
        <v>46063</v>
      </c>
      <c r="I752" s="121">
        <f ca="1">HLOOKUP($H$4,'Met Data'!$A$2:$F$368,G752,FALSE)</f>
        <v>17.7083333333333</v>
      </c>
      <c r="J752" s="119">
        <f ca="1">HLOOKUP($H$4,'Met Data'!$H$2:$M$368,G752,FALSE)*L752</f>
        <v>2.7333333333333298</v>
      </c>
      <c r="K752" s="98">
        <f ca="1">HLOOKUP($H$4,'Met Data'!$O$2:$T$368,G752,FALSE)</f>
        <v>3.6312925833969301</v>
      </c>
      <c r="L752">
        <f t="shared" ca="1" si="118"/>
        <v>1</v>
      </c>
      <c r="N752" t="e">
        <f t="shared" ref="N752:N815" ca="1" si="121">IF(P752&lt;$P$3,TRUE,FALSE)</f>
        <v>#N/A</v>
      </c>
      <c r="O752" t="e">
        <f t="shared" ref="O752:O815" ca="1" si="122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3">IFERROR(P752,$AD$4)</f>
        <v>0</v>
      </c>
      <c r="AE752">
        <f t="shared" ref="AE752:AE815" ca="1" si="124">IFERROR(U752,0)</f>
        <v>0</v>
      </c>
      <c r="AG752" s="63" t="e">
        <f t="shared" ref="AG752:AG815" ca="1" si="125">Q751+S752+T752+U752</f>
        <v>#N/A</v>
      </c>
      <c r="AH752" s="63" t="e">
        <f t="shared" ref="AH752:AH815" ca="1" si="126">Q752+R752+X752</f>
        <v>#N/A</v>
      </c>
      <c r="AI752" s="3" t="e">
        <f t="shared" ref="AI752:AI815" ca="1" si="127">AH752-AG752</f>
        <v>#N/A</v>
      </c>
    </row>
    <row r="753" spans="7:35" ht="15.75" thickBot="1">
      <c r="G753" s="3">
        <f t="shared" ca="1" si="120"/>
        <v>43</v>
      </c>
      <c r="H753" s="97">
        <f t="shared" ca="1" si="119"/>
        <v>46064</v>
      </c>
      <c r="I753" s="121">
        <f ca="1">HLOOKUP($H$4,'Met Data'!$A$2:$F$368,G753,FALSE)</f>
        <v>17.654166666666601</v>
      </c>
      <c r="J753" s="119">
        <f ca="1">HLOOKUP($H$4,'Met Data'!$H$2:$M$368,G753,FALSE)*L753</f>
        <v>5.3166666666666602</v>
      </c>
      <c r="K753" s="98">
        <f ca="1">HLOOKUP($H$4,'Met Data'!$O$2:$T$368,G753,FALSE)</f>
        <v>3.7825096271499201</v>
      </c>
      <c r="L753">
        <f t="shared" ca="1" si="118"/>
        <v>1</v>
      </c>
      <c r="N753" t="e">
        <f t="shared" ca="1" si="121"/>
        <v>#N/A</v>
      </c>
      <c r="O753" t="e">
        <f t="shared" ca="1" si="122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3"/>
        <v>0</v>
      </c>
      <c r="AE753">
        <f t="shared" ca="1" si="124"/>
        <v>0</v>
      </c>
      <c r="AG753" s="63" t="e">
        <f t="shared" ca="1" si="125"/>
        <v>#N/A</v>
      </c>
      <c r="AH753" s="63" t="e">
        <f t="shared" ca="1" si="126"/>
        <v>#N/A</v>
      </c>
      <c r="AI753" s="3" t="e">
        <f t="shared" ca="1" si="127"/>
        <v>#N/A</v>
      </c>
    </row>
    <row r="754" spans="7:35" ht="15.75" thickBot="1">
      <c r="G754" s="3">
        <f t="shared" ca="1" si="120"/>
        <v>44</v>
      </c>
      <c r="H754" s="97">
        <f t="shared" ca="1" si="119"/>
        <v>46065</v>
      </c>
      <c r="I754" s="121">
        <f ca="1">HLOOKUP($H$4,'Met Data'!$A$2:$F$368,G754,FALSE)</f>
        <v>18.245833333333302</v>
      </c>
      <c r="J754" s="119">
        <f ca="1">HLOOKUP($H$4,'Met Data'!$H$2:$M$368,G754,FALSE)*L754</f>
        <v>1.8</v>
      </c>
      <c r="K754" s="98">
        <f ca="1">HLOOKUP($H$4,'Met Data'!$O$2:$T$368,G754,FALSE)</f>
        <v>3.5345089397679601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45</v>
      </c>
      <c r="H755" s="97">
        <f t="shared" ca="1" si="119"/>
        <v>46066</v>
      </c>
      <c r="I755" s="121">
        <f ca="1">HLOOKUP($H$4,'Met Data'!$A$2:$F$368,G755,FALSE)</f>
        <v>18.674999999999901</v>
      </c>
      <c r="J755" s="119">
        <f ca="1">HLOOKUP($H$4,'Met Data'!$H$2:$M$368,G755,FALSE)*L755</f>
        <v>0.44999999999999901</v>
      </c>
      <c r="K755" s="98">
        <f ca="1">HLOOKUP($H$4,'Met Data'!$O$2:$T$368,G755,FALSE)</f>
        <v>3.2860966338213999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46</v>
      </c>
      <c r="H756" s="97">
        <f t="shared" ca="1" si="119"/>
        <v>46067</v>
      </c>
      <c r="I756" s="121">
        <f ca="1">HLOOKUP($H$4,'Met Data'!$A$2:$F$368,G756,FALSE)</f>
        <v>18.670833333333299</v>
      </c>
      <c r="J756" s="119">
        <f ca="1">HLOOKUP($H$4,'Met Data'!$H$2:$M$368,G756,FALSE)*L756</f>
        <v>1.13333333333333</v>
      </c>
      <c r="K756" s="98">
        <f ca="1">HLOOKUP($H$4,'Met Data'!$O$2:$T$368,G756,FALSE)</f>
        <v>3.8932908527116399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47</v>
      </c>
      <c r="H757" s="97">
        <f t="shared" ca="1" si="119"/>
        <v>46068</v>
      </c>
      <c r="I757" s="121">
        <f ca="1">HLOOKUP($H$4,'Met Data'!$A$2:$F$368,G757,FALSE)</f>
        <v>18.1666666666666</v>
      </c>
      <c r="J757" s="119">
        <f ca="1">HLOOKUP($H$4,'Met Data'!$H$2:$M$368,G757,FALSE)*L757</f>
        <v>1.7333333333333301</v>
      </c>
      <c r="K757" s="98">
        <f ca="1">HLOOKUP($H$4,'Met Data'!$O$2:$T$368,G757,FALSE)</f>
        <v>3.7918051722380999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48</v>
      </c>
      <c r="H758" s="97">
        <f t="shared" ca="1" si="119"/>
        <v>46069</v>
      </c>
      <c r="I758" s="121">
        <f ca="1">HLOOKUP($H$4,'Met Data'!$A$2:$F$368,G758,FALSE)</f>
        <v>17.879166666666599</v>
      </c>
      <c r="J758" s="119">
        <f ca="1">HLOOKUP($H$4,'Met Data'!$H$2:$M$368,G758,FALSE)*L758</f>
        <v>0.73333333333333295</v>
      </c>
      <c r="K758" s="98">
        <f ca="1">HLOOKUP($H$4,'Met Data'!$O$2:$T$368,G758,FALSE)</f>
        <v>3.8813294167315999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49</v>
      </c>
      <c r="H759" s="97">
        <f t="shared" ca="1" si="119"/>
        <v>46070</v>
      </c>
      <c r="I759" s="121">
        <f ca="1">HLOOKUP($H$4,'Met Data'!$A$2:$F$368,G759,FALSE)</f>
        <v>18.2083333333333</v>
      </c>
      <c r="J759" s="119">
        <f ca="1">HLOOKUP($H$4,'Met Data'!$H$2:$M$368,G759,FALSE)*L759</f>
        <v>2.8833333333333302</v>
      </c>
      <c r="K759" s="98">
        <f ca="1">HLOOKUP($H$4,'Met Data'!$O$2:$T$368,G759,FALSE)</f>
        <v>3.5062121478789399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50</v>
      </c>
      <c r="H760" s="97">
        <f t="shared" ca="1" si="119"/>
        <v>46071</v>
      </c>
      <c r="I760" s="121">
        <f ca="1">HLOOKUP($H$4,'Met Data'!$A$2:$F$368,G760,FALSE)</f>
        <v>18.529166666666601</v>
      </c>
      <c r="J760" s="119">
        <f ca="1">HLOOKUP($H$4,'Met Data'!$H$2:$M$368,G760,FALSE)*L760</f>
        <v>2.85</v>
      </c>
      <c r="K760" s="98">
        <f ca="1">HLOOKUP($H$4,'Met Data'!$O$2:$T$368,G760,FALSE)</f>
        <v>3.5342235016405201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51</v>
      </c>
      <c r="H761" s="97">
        <f t="shared" ca="1" si="119"/>
        <v>46072</v>
      </c>
      <c r="I761" s="121">
        <f ca="1">HLOOKUP($H$4,'Met Data'!$A$2:$F$368,G761,FALSE)</f>
        <v>18.925000000000001</v>
      </c>
      <c r="J761" s="119">
        <f ca="1">HLOOKUP($H$4,'Met Data'!$H$2:$M$368,G761,FALSE)*L761</f>
        <v>3.86666666666666</v>
      </c>
      <c r="K761" s="98">
        <f ca="1">HLOOKUP($H$4,'Met Data'!$O$2:$T$368,G761,FALSE)</f>
        <v>3.6338116563958698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52</v>
      </c>
      <c r="H762" s="97">
        <f t="shared" ca="1" si="119"/>
        <v>46073</v>
      </c>
      <c r="I762" s="121">
        <f ca="1">HLOOKUP($H$4,'Met Data'!$A$2:$F$368,G762,FALSE)</f>
        <v>19.195833333333301</v>
      </c>
      <c r="J762" s="119">
        <f ca="1">HLOOKUP($H$4,'Met Data'!$H$2:$M$368,G762,FALSE)*L762</f>
        <v>1.18333333333333</v>
      </c>
      <c r="K762" s="98">
        <f ca="1">HLOOKUP($H$4,'Met Data'!$O$2:$T$368,G762,FALSE)</f>
        <v>3.7477053916930299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53</v>
      </c>
      <c r="H763" s="97">
        <f t="shared" ca="1" si="119"/>
        <v>46074</v>
      </c>
      <c r="I763" s="121">
        <f ca="1">HLOOKUP($H$4,'Met Data'!$A$2:$F$368,G763,FALSE)</f>
        <v>18.945833333333301</v>
      </c>
      <c r="J763" s="119">
        <f ca="1">HLOOKUP($H$4,'Met Data'!$H$2:$M$368,G763,FALSE)*L763</f>
        <v>1.3333333333333299</v>
      </c>
      <c r="K763" s="98">
        <f ca="1">HLOOKUP($H$4,'Met Data'!$O$2:$T$368,G763,FALSE)</f>
        <v>3.7395681594102799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54</v>
      </c>
      <c r="H764" s="97">
        <f t="shared" ca="1" si="119"/>
        <v>46075</v>
      </c>
      <c r="I764" s="121">
        <f ca="1">HLOOKUP($H$4,'Met Data'!$A$2:$F$368,G764,FALSE)</f>
        <v>18.912499999999898</v>
      </c>
      <c r="J764" s="119">
        <f ca="1">HLOOKUP($H$4,'Met Data'!$H$2:$M$368,G764,FALSE)*L764</f>
        <v>6.18333333333333</v>
      </c>
      <c r="K764" s="98">
        <f ca="1">HLOOKUP($H$4,'Met Data'!$O$2:$T$368,G764,FALSE)</f>
        <v>3.0629444033618198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55</v>
      </c>
      <c r="H765" s="97">
        <f t="shared" ca="1" si="119"/>
        <v>46076</v>
      </c>
      <c r="I765" s="121">
        <f ca="1">HLOOKUP($H$4,'Met Data'!$A$2:$F$368,G765,FALSE)</f>
        <v>17.745833333333302</v>
      </c>
      <c r="J765" s="119">
        <f ca="1">HLOOKUP($H$4,'Met Data'!$H$2:$M$368,G765,FALSE)*L765</f>
        <v>0.7</v>
      </c>
      <c r="K765" s="98">
        <f ca="1">HLOOKUP($H$4,'Met Data'!$O$2:$T$368,G765,FALSE)</f>
        <v>3.7397228058893299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56</v>
      </c>
      <c r="H766" s="97">
        <f t="shared" ca="1" si="119"/>
        <v>46077</v>
      </c>
      <c r="I766" s="121">
        <f ca="1">HLOOKUP($H$4,'Met Data'!$A$2:$F$368,G766,FALSE)</f>
        <v>16.945833333333301</v>
      </c>
      <c r="J766" s="119">
        <f ca="1">HLOOKUP($H$4,'Met Data'!$H$2:$M$368,G766,FALSE)*L766</f>
        <v>1.5999999999999901</v>
      </c>
      <c r="K766" s="98">
        <f ca="1">HLOOKUP($H$4,'Met Data'!$O$2:$T$368,G766,FALSE)</f>
        <v>3.5683594386422701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57</v>
      </c>
      <c r="H767" s="97">
        <f t="shared" ca="1" si="119"/>
        <v>46078</v>
      </c>
      <c r="I767" s="121">
        <f ca="1">HLOOKUP($H$4,'Met Data'!$A$2:$F$368,G767,FALSE)</f>
        <v>17.495833333333302</v>
      </c>
      <c r="J767" s="119">
        <f ca="1">HLOOKUP($H$4,'Met Data'!$H$2:$M$368,G767,FALSE)*L767</f>
        <v>0.86666666666666603</v>
      </c>
      <c r="K767" s="98">
        <f ca="1">HLOOKUP($H$4,'Met Data'!$O$2:$T$368,G767,FALSE)</f>
        <v>3.5556810366886502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58</v>
      </c>
      <c r="H768" s="97">
        <f t="shared" ca="1" si="119"/>
        <v>46079</v>
      </c>
      <c r="I768" s="121">
        <f ca="1">HLOOKUP($H$4,'Met Data'!$A$2:$F$368,G768,FALSE)</f>
        <v>16.954166666666602</v>
      </c>
      <c r="J768" s="119">
        <f ca="1">HLOOKUP($H$4,'Met Data'!$H$2:$M$368,G768,FALSE)*L768</f>
        <v>0.93333333333333302</v>
      </c>
      <c r="K768" s="98">
        <f ca="1">HLOOKUP($H$4,'Met Data'!$O$2:$T$368,G768,FALSE)</f>
        <v>3.6102637976598602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59</v>
      </c>
      <c r="H769" s="97">
        <f t="shared" ca="1" si="119"/>
        <v>46080</v>
      </c>
      <c r="I769" s="121">
        <f ca="1">HLOOKUP($H$4,'Met Data'!$A$2:$F$368,G769,FALSE)</f>
        <v>16.829166666666602</v>
      </c>
      <c r="J769" s="119">
        <f ca="1">HLOOKUP($H$4,'Met Data'!$H$2:$M$368,G769,FALSE)*L769</f>
        <v>0.41666666666666602</v>
      </c>
      <c r="K769" s="98">
        <f ca="1">HLOOKUP($H$4,'Met Data'!$O$2:$T$368,G769,FALSE)</f>
        <v>3.6752740997587301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60</v>
      </c>
      <c r="H770" s="97">
        <f t="shared" ca="1" si="119"/>
        <v>46081</v>
      </c>
      <c r="I770" s="121">
        <f ca="1">HLOOKUP($H$4,'Met Data'!$A$2:$F$368,G770,FALSE)</f>
        <v>17.512499999999999</v>
      </c>
      <c r="J770" s="119">
        <f ca="1">HLOOKUP($H$4,'Met Data'!$H$2:$M$368,G770,FALSE)*L770</f>
        <v>0.38333333333333303</v>
      </c>
      <c r="K770" s="98">
        <f ca="1">HLOOKUP($H$4,'Met Data'!$O$2:$T$368,G770,FALSE)</f>
        <v>3.6973328494211302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61</v>
      </c>
      <c r="H771" s="97">
        <f t="shared" ca="1" si="119"/>
        <v>46082</v>
      </c>
      <c r="I771" s="121">
        <f ca="1">HLOOKUP($H$4,'Met Data'!$A$2:$F$368,G771,FALSE)</f>
        <v>17.1166666666666</v>
      </c>
      <c r="J771" s="119">
        <f ca="1">HLOOKUP($H$4,'Met Data'!$H$2:$M$368,G771,FALSE)*L771</f>
        <v>2.3166666666666602</v>
      </c>
      <c r="K771" s="98">
        <f ca="1">HLOOKUP($H$4,'Met Data'!$O$2:$T$368,G771,FALSE)</f>
        <v>3.5365052642272401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62</v>
      </c>
      <c r="H772" s="97">
        <f t="shared" ca="1" si="119"/>
        <v>46083</v>
      </c>
      <c r="I772" s="121">
        <f ca="1">HLOOKUP($H$4,'Met Data'!$A$2:$F$368,G772,FALSE)</f>
        <v>17.037500000000001</v>
      </c>
      <c r="J772" s="119">
        <f ca="1">HLOOKUP($H$4,'Met Data'!$H$2:$M$368,G772,FALSE)*L772</f>
        <v>2.18333333333333</v>
      </c>
      <c r="K772" s="98">
        <f ca="1">HLOOKUP($H$4,'Met Data'!$O$2:$T$368,G772,FALSE)</f>
        <v>3.0680063753167199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63</v>
      </c>
      <c r="H773" s="97">
        <f t="shared" ca="1" si="119"/>
        <v>46084</v>
      </c>
      <c r="I773" s="121">
        <f ca="1">HLOOKUP($H$4,'Met Data'!$A$2:$F$368,G773,FALSE)</f>
        <v>17.204166666666602</v>
      </c>
      <c r="J773" s="119">
        <f ca="1">HLOOKUP($H$4,'Met Data'!$H$2:$M$368,G773,FALSE)*L773</f>
        <v>0.61666666666666603</v>
      </c>
      <c r="K773" s="98">
        <f ca="1">HLOOKUP($H$4,'Met Data'!$O$2:$T$368,G773,FALSE)</f>
        <v>3.2161744467378801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64</v>
      </c>
      <c r="H774" s="97">
        <f t="shared" ca="1" si="119"/>
        <v>46085</v>
      </c>
      <c r="I774" s="121">
        <f ca="1">HLOOKUP($H$4,'Met Data'!$A$2:$F$368,G774,FALSE)</f>
        <v>16.720833333333299</v>
      </c>
      <c r="J774" s="119">
        <f ca="1">HLOOKUP($H$4,'Met Data'!$H$2:$M$368,G774,FALSE)*L774</f>
        <v>2.93333333333333</v>
      </c>
      <c r="K774" s="98">
        <f ca="1">HLOOKUP($H$4,'Met Data'!$O$2:$T$368,G774,FALSE)</f>
        <v>2.8476580172568502</v>
      </c>
      <c r="L774">
        <f t="shared" ref="L774:L837" ca="1" si="128">IF(H774&lt;$B$31,$J$3,$J$4)</f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65</v>
      </c>
      <c r="H775" s="97">
        <f t="shared" ca="1" si="119"/>
        <v>46086</v>
      </c>
      <c r="I775" s="121">
        <f ca="1">HLOOKUP($H$4,'Met Data'!$A$2:$F$368,G775,FALSE)</f>
        <v>17.05</v>
      </c>
      <c r="J775" s="119">
        <f ca="1">HLOOKUP($H$4,'Met Data'!$H$2:$M$368,G775,FALSE)*L775</f>
        <v>3.5</v>
      </c>
      <c r="K775" s="98">
        <f ca="1">HLOOKUP($H$4,'Met Data'!$O$2:$T$368,G775,FALSE)</f>
        <v>3.0856400612975601</v>
      </c>
      <c r="L775">
        <f t="shared" ca="1" si="128"/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66</v>
      </c>
      <c r="H776" s="97">
        <f t="shared" ref="H776:H839" ca="1" si="129">H775+1</f>
        <v>46087</v>
      </c>
      <c r="I776" s="121">
        <f ca="1">HLOOKUP($H$4,'Met Data'!$A$2:$F$368,G776,FALSE)</f>
        <v>16.5625</v>
      </c>
      <c r="J776" s="119">
        <f ca="1">HLOOKUP($H$4,'Met Data'!$H$2:$M$368,G776,FALSE)*L776</f>
        <v>1.9166666666666601</v>
      </c>
      <c r="K776" s="98">
        <f ca="1">HLOOKUP($H$4,'Met Data'!$O$2:$T$368,G776,FALSE)</f>
        <v>2.4477007585282702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67</v>
      </c>
      <c r="H777" s="97">
        <f t="shared" ca="1" si="129"/>
        <v>46088</v>
      </c>
      <c r="I777" s="121">
        <f ca="1">HLOOKUP($H$4,'Met Data'!$A$2:$F$368,G777,FALSE)</f>
        <v>16.349999999999898</v>
      </c>
      <c r="J777" s="119">
        <f ca="1">HLOOKUP($H$4,'Met Data'!$H$2:$M$368,G777,FALSE)*L777</f>
        <v>5.4</v>
      </c>
      <c r="K777" s="98">
        <f ca="1">HLOOKUP($H$4,'Met Data'!$O$2:$T$368,G777,FALSE)</f>
        <v>3.2051572713162999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68</v>
      </c>
      <c r="H778" s="97">
        <f t="shared" ca="1" si="129"/>
        <v>46089</v>
      </c>
      <c r="I778" s="121">
        <f ca="1">HLOOKUP($H$4,'Met Data'!$A$2:$F$368,G778,FALSE)</f>
        <v>16.404166666666601</v>
      </c>
      <c r="J778" s="119">
        <f ca="1">HLOOKUP($H$4,'Met Data'!$H$2:$M$368,G778,FALSE)*L778</f>
        <v>1.7666666666666599</v>
      </c>
      <c r="K778" s="98">
        <f ca="1">HLOOKUP($H$4,'Met Data'!$O$2:$T$368,G778,FALSE)</f>
        <v>3.3473688975414899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69</v>
      </c>
      <c r="H779" s="97">
        <f t="shared" ca="1" si="129"/>
        <v>46090</v>
      </c>
      <c r="I779" s="121">
        <f ca="1">HLOOKUP($H$4,'Met Data'!$A$2:$F$368,G779,FALSE)</f>
        <v>16.174999999999901</v>
      </c>
      <c r="J779" s="119">
        <f ca="1">HLOOKUP($H$4,'Met Data'!$H$2:$M$368,G779,FALSE)*L779</f>
        <v>0.54999999999999905</v>
      </c>
      <c r="K779" s="98">
        <f ca="1">HLOOKUP($H$4,'Met Data'!$O$2:$T$368,G779,FALSE)</f>
        <v>3.3552920602916099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70</v>
      </c>
      <c r="H780" s="97">
        <f t="shared" ca="1" si="129"/>
        <v>46091</v>
      </c>
      <c r="I780" s="121">
        <f ca="1">HLOOKUP($H$4,'Met Data'!$A$2:$F$368,G780,FALSE)</f>
        <v>16.625</v>
      </c>
      <c r="J780" s="119">
        <f ca="1">HLOOKUP($H$4,'Met Data'!$H$2:$M$368,G780,FALSE)*L780</f>
        <v>2.0666666666666602</v>
      </c>
      <c r="K780" s="98">
        <f ca="1">HLOOKUP($H$4,'Met Data'!$O$2:$T$368,G780,FALSE)</f>
        <v>3.2920876744510998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71</v>
      </c>
      <c r="H781" s="97">
        <f t="shared" ca="1" si="129"/>
        <v>46092</v>
      </c>
      <c r="I781" s="121">
        <f ca="1">HLOOKUP($H$4,'Met Data'!$A$2:$F$368,G781,FALSE)</f>
        <v>16.266666666666602</v>
      </c>
      <c r="J781" s="119">
        <f ca="1">HLOOKUP($H$4,'Met Data'!$H$2:$M$368,G781,FALSE)*L781</f>
        <v>3.44999999999999</v>
      </c>
      <c r="K781" s="98">
        <f ca="1">HLOOKUP($H$4,'Met Data'!$O$2:$T$368,G781,FALSE)</f>
        <v>2.5592177640993499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72</v>
      </c>
      <c r="H782" s="97">
        <f t="shared" ca="1" si="129"/>
        <v>46093</v>
      </c>
      <c r="I782" s="121">
        <f ca="1">HLOOKUP($H$4,'Met Data'!$A$2:$F$368,G782,FALSE)</f>
        <v>16.404166666666601</v>
      </c>
      <c r="J782" s="119">
        <f ca="1">HLOOKUP($H$4,'Met Data'!$H$2:$M$368,G782,FALSE)*L782</f>
        <v>1.5833333333333299</v>
      </c>
      <c r="K782" s="98">
        <f ca="1">HLOOKUP($H$4,'Met Data'!$O$2:$T$368,G782,FALSE)</f>
        <v>2.85115032224514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73</v>
      </c>
      <c r="H783" s="97">
        <f t="shared" ca="1" si="129"/>
        <v>46094</v>
      </c>
      <c r="I783" s="121">
        <f ca="1">HLOOKUP($H$4,'Met Data'!$A$2:$F$368,G783,FALSE)</f>
        <v>15.324999999999999</v>
      </c>
      <c r="J783" s="119">
        <f ca="1">HLOOKUP($H$4,'Met Data'!$H$2:$M$368,G783,FALSE)*L783</f>
        <v>1.38333333333333</v>
      </c>
      <c r="K783" s="98">
        <f ca="1">HLOOKUP($H$4,'Met Data'!$O$2:$T$368,G783,FALSE)</f>
        <v>2.7545575054438101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74</v>
      </c>
      <c r="H784" s="97">
        <f t="shared" ca="1" si="129"/>
        <v>46095</v>
      </c>
      <c r="I784" s="121">
        <f ca="1">HLOOKUP($H$4,'Met Data'!$A$2:$F$368,G784,FALSE)</f>
        <v>15.8333333333333</v>
      </c>
      <c r="J784" s="119">
        <f ca="1">HLOOKUP($H$4,'Met Data'!$H$2:$M$368,G784,FALSE)*L784</f>
        <v>0.483333333333333</v>
      </c>
      <c r="K784" s="98">
        <f ca="1">HLOOKUP($H$4,'Met Data'!$O$2:$T$368,G784,FALSE)</f>
        <v>2.9925841251346701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75</v>
      </c>
      <c r="H785" s="97">
        <f t="shared" ca="1" si="129"/>
        <v>46096</v>
      </c>
      <c r="I785" s="121">
        <f ca="1">HLOOKUP($H$4,'Met Data'!$A$2:$F$368,G785,FALSE)</f>
        <v>16.966666666666601</v>
      </c>
      <c r="J785" s="119">
        <f ca="1">HLOOKUP($H$4,'Met Data'!$H$2:$M$368,G785,FALSE)*L785</f>
        <v>0.31666666666666599</v>
      </c>
      <c r="K785" s="98">
        <f ca="1">HLOOKUP($H$4,'Met Data'!$O$2:$T$368,G785,FALSE)</f>
        <v>2.9125814341448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76</v>
      </c>
      <c r="H786" s="97">
        <f t="shared" ca="1" si="129"/>
        <v>46097</v>
      </c>
      <c r="I786" s="121">
        <f ca="1">HLOOKUP($H$4,'Met Data'!$A$2:$F$368,G786,FALSE)</f>
        <v>17.766666666666602</v>
      </c>
      <c r="J786" s="119">
        <f ca="1">HLOOKUP($H$4,'Met Data'!$H$2:$M$368,G786,FALSE)*L786</f>
        <v>2.25</v>
      </c>
      <c r="K786" s="98">
        <f ca="1">HLOOKUP($H$4,'Met Data'!$O$2:$T$368,G786,FALSE)</f>
        <v>2.3685635659939601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77</v>
      </c>
      <c r="H787" s="97">
        <f t="shared" ca="1" si="129"/>
        <v>46098</v>
      </c>
      <c r="I787" s="121">
        <f ca="1">HLOOKUP($H$4,'Met Data'!$A$2:$F$368,G787,FALSE)</f>
        <v>16.100000000000001</v>
      </c>
      <c r="J787" s="119">
        <f ca="1">HLOOKUP($H$4,'Met Data'!$H$2:$M$368,G787,FALSE)*L787</f>
        <v>1.4</v>
      </c>
      <c r="K787" s="98">
        <f ca="1">HLOOKUP($H$4,'Met Data'!$O$2:$T$368,G787,FALSE)</f>
        <v>2.7759280674014901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78</v>
      </c>
      <c r="H788" s="97">
        <f t="shared" ca="1" si="129"/>
        <v>46099</v>
      </c>
      <c r="I788" s="121">
        <f ca="1">HLOOKUP($H$4,'Met Data'!$A$2:$F$368,G788,FALSE)</f>
        <v>15.379166666666601</v>
      </c>
      <c r="J788" s="119">
        <f ca="1">HLOOKUP($H$4,'Met Data'!$H$2:$M$368,G788,FALSE)*L788</f>
        <v>3.68333333333333</v>
      </c>
      <c r="K788" s="98">
        <f ca="1">HLOOKUP($H$4,'Met Data'!$O$2:$T$368,G788,FALSE)</f>
        <v>2.7162290778951999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79</v>
      </c>
      <c r="H789" s="97">
        <f t="shared" ca="1" si="129"/>
        <v>46100</v>
      </c>
      <c r="I789" s="121">
        <f ca="1">HLOOKUP($H$4,'Met Data'!$A$2:$F$368,G789,FALSE)</f>
        <v>15.858333333333301</v>
      </c>
      <c r="J789" s="119">
        <f ca="1">HLOOKUP($H$4,'Met Data'!$H$2:$M$368,G789,FALSE)*L789</f>
        <v>0.85</v>
      </c>
      <c r="K789" s="98">
        <f ca="1">HLOOKUP($H$4,'Met Data'!$O$2:$T$368,G789,FALSE)</f>
        <v>2.8216063312721902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80</v>
      </c>
      <c r="H790" s="97">
        <f t="shared" ca="1" si="129"/>
        <v>46101</v>
      </c>
      <c r="I790" s="121">
        <f ca="1">HLOOKUP($H$4,'Met Data'!$A$2:$F$368,G790,FALSE)</f>
        <v>16.216666666666601</v>
      </c>
      <c r="J790" s="119">
        <f ca="1">HLOOKUP($H$4,'Met Data'!$H$2:$M$368,G790,FALSE)*L790</f>
        <v>8.3333333333333301E-2</v>
      </c>
      <c r="K790" s="98">
        <f ca="1">HLOOKUP($H$4,'Met Data'!$O$2:$T$368,G790,FALSE)</f>
        <v>2.7500481593686201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81</v>
      </c>
      <c r="H791" s="97">
        <f t="shared" ca="1" si="129"/>
        <v>46102</v>
      </c>
      <c r="I791" s="121">
        <f ca="1">HLOOKUP($H$4,'Met Data'!$A$2:$F$368,G791,FALSE)</f>
        <v>16.483333333333299</v>
      </c>
      <c r="J791" s="119">
        <f ca="1">HLOOKUP($H$4,'Met Data'!$H$2:$M$368,G791,FALSE)*L791</f>
        <v>1.11666666666666</v>
      </c>
      <c r="K791" s="98">
        <f ca="1">HLOOKUP($H$4,'Met Data'!$O$2:$T$368,G791,FALSE)</f>
        <v>2.6292753041097501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82</v>
      </c>
      <c r="H792" s="97">
        <f t="shared" ca="1" si="129"/>
        <v>46103</v>
      </c>
      <c r="I792" s="121">
        <f ca="1">HLOOKUP($H$4,'Met Data'!$A$2:$F$368,G792,FALSE)</f>
        <v>16.6791666666666</v>
      </c>
      <c r="J792" s="119">
        <f ca="1">HLOOKUP($H$4,'Met Data'!$H$2:$M$368,G792,FALSE)*L792</f>
        <v>1.63333333333333</v>
      </c>
      <c r="K792" s="98">
        <f ca="1">HLOOKUP($H$4,'Met Data'!$O$2:$T$368,G792,FALSE)</f>
        <v>2.3413673129625598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83</v>
      </c>
      <c r="H793" s="97">
        <f t="shared" ca="1" si="129"/>
        <v>46104</v>
      </c>
      <c r="I793" s="121">
        <f ca="1">HLOOKUP($H$4,'Met Data'!$A$2:$F$368,G793,FALSE)</f>
        <v>16.8</v>
      </c>
      <c r="J793" s="119">
        <f ca="1">HLOOKUP($H$4,'Met Data'!$H$2:$M$368,G793,FALSE)*L793</f>
        <v>2.2833333333333301</v>
      </c>
      <c r="K793" s="98">
        <f ca="1">HLOOKUP($H$4,'Met Data'!$O$2:$T$368,G793,FALSE)</f>
        <v>2.7038604411954998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84</v>
      </c>
      <c r="H794" s="97">
        <f t="shared" ca="1" si="129"/>
        <v>46105</v>
      </c>
      <c r="I794" s="121">
        <f ca="1">HLOOKUP($H$4,'Met Data'!$A$2:$F$368,G794,FALSE)</f>
        <v>16.237500000000001</v>
      </c>
      <c r="J794" s="119">
        <f ca="1">HLOOKUP($H$4,'Met Data'!$H$2:$M$368,G794,FALSE)*L794</f>
        <v>3.7833333333333301</v>
      </c>
      <c r="K794" s="98">
        <f ca="1">HLOOKUP($H$4,'Met Data'!$O$2:$T$368,G794,FALSE)</f>
        <v>2.1387131538714801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85</v>
      </c>
      <c r="H795" s="97">
        <f t="shared" ca="1" si="129"/>
        <v>46106</v>
      </c>
      <c r="I795" s="121">
        <f ca="1">HLOOKUP($H$4,'Met Data'!$A$2:$F$368,G795,FALSE)</f>
        <v>16.875</v>
      </c>
      <c r="J795" s="119">
        <f ca="1">HLOOKUP($H$4,'Met Data'!$H$2:$M$368,G795,FALSE)*L795</f>
        <v>2.9</v>
      </c>
      <c r="K795" s="98">
        <f ca="1">HLOOKUP($H$4,'Met Data'!$O$2:$T$368,G795,FALSE)</f>
        <v>2.4308063740099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86</v>
      </c>
      <c r="H796" s="97">
        <f t="shared" ca="1" si="129"/>
        <v>46107</v>
      </c>
      <c r="I796" s="121">
        <f ca="1">HLOOKUP($H$4,'Met Data'!$A$2:$F$368,G796,FALSE)</f>
        <v>17.024999999999999</v>
      </c>
      <c r="J796" s="119">
        <f ca="1">HLOOKUP($H$4,'Met Data'!$H$2:$M$368,G796,FALSE)*L796</f>
        <v>3.7333333333333298</v>
      </c>
      <c r="K796" s="98">
        <f ca="1">HLOOKUP($H$4,'Met Data'!$O$2:$T$368,G796,FALSE)</f>
        <v>2.3866525377963699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87</v>
      </c>
      <c r="H797" s="97">
        <f t="shared" ca="1" si="129"/>
        <v>46108</v>
      </c>
      <c r="I797" s="121">
        <f ca="1">HLOOKUP($H$4,'Met Data'!$A$2:$F$368,G797,FALSE)</f>
        <v>17.3</v>
      </c>
      <c r="J797" s="119">
        <f ca="1">HLOOKUP($H$4,'Met Data'!$H$2:$M$368,G797,FALSE)*L797</f>
        <v>1.93333333333333</v>
      </c>
      <c r="K797" s="98">
        <f ca="1">HLOOKUP($H$4,'Met Data'!$O$2:$T$368,G797,FALSE)</f>
        <v>2.6501779961824399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88</v>
      </c>
      <c r="H798" s="97">
        <f t="shared" ca="1" si="129"/>
        <v>46109</v>
      </c>
      <c r="I798" s="121">
        <f ca="1">HLOOKUP($H$4,'Met Data'!$A$2:$F$368,G798,FALSE)</f>
        <v>15.983333333333301</v>
      </c>
      <c r="J798" s="119">
        <f ca="1">HLOOKUP($H$4,'Met Data'!$H$2:$M$368,G798,FALSE)*L798</f>
        <v>1.2166666666666599</v>
      </c>
      <c r="K798" s="98">
        <f ca="1">HLOOKUP($H$4,'Met Data'!$O$2:$T$368,G798,FALSE)</f>
        <v>2.2352735074469998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89</v>
      </c>
      <c r="H799" s="97">
        <f t="shared" ca="1" si="129"/>
        <v>46110</v>
      </c>
      <c r="I799" s="121">
        <f ca="1">HLOOKUP($H$4,'Met Data'!$A$2:$F$368,G799,FALSE)</f>
        <v>16.404166666666601</v>
      </c>
      <c r="J799" s="119">
        <f ca="1">HLOOKUP($H$4,'Met Data'!$H$2:$M$368,G799,FALSE)*L799</f>
        <v>2.3333333333333299</v>
      </c>
      <c r="K799" s="98">
        <f ca="1">HLOOKUP($H$4,'Met Data'!$O$2:$T$368,G799,FALSE)</f>
        <v>2.3461969045698901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90</v>
      </c>
      <c r="H800" s="97">
        <f t="shared" ca="1" si="129"/>
        <v>46111</v>
      </c>
      <c r="I800" s="121">
        <f ca="1">HLOOKUP($H$4,'Met Data'!$A$2:$F$368,G800,FALSE)</f>
        <v>16.629166666666599</v>
      </c>
      <c r="J800" s="119">
        <f ca="1">HLOOKUP($H$4,'Met Data'!$H$2:$M$368,G800,FALSE)*L800</f>
        <v>2.2333333333333298</v>
      </c>
      <c r="K800" s="98">
        <f ca="1">HLOOKUP($H$4,'Met Data'!$O$2:$T$368,G800,FALSE)</f>
        <v>2.5330458314755799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91</v>
      </c>
      <c r="H801" s="97">
        <f t="shared" ca="1" si="129"/>
        <v>46112</v>
      </c>
      <c r="I801" s="121">
        <f ca="1">HLOOKUP($H$4,'Met Data'!$A$2:$F$368,G801,FALSE)</f>
        <v>16.112499999999901</v>
      </c>
      <c r="J801" s="119">
        <f ca="1">HLOOKUP($H$4,'Met Data'!$H$2:$M$368,G801,FALSE)*L801</f>
        <v>2.0833333333333299</v>
      </c>
      <c r="K801" s="98">
        <f ca="1">HLOOKUP($H$4,'Met Data'!$O$2:$T$368,G801,FALSE)</f>
        <v>2.4661161715906501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92</v>
      </c>
      <c r="H802" s="97">
        <f t="shared" ca="1" si="129"/>
        <v>46113</v>
      </c>
      <c r="I802" s="121">
        <f ca="1">HLOOKUP($H$4,'Met Data'!$A$2:$F$368,G802,FALSE)</f>
        <v>15.862500000000001</v>
      </c>
      <c r="J802" s="119">
        <f ca="1">HLOOKUP($H$4,'Met Data'!$H$2:$M$368,G802,FALSE)*L802</f>
        <v>1.3333333333333299</v>
      </c>
      <c r="K802" s="98">
        <f ca="1">HLOOKUP($H$4,'Met Data'!$O$2:$T$368,G802,FALSE)</f>
        <v>2.3173978620084501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93</v>
      </c>
      <c r="H803" s="97">
        <f t="shared" ca="1" si="129"/>
        <v>46114</v>
      </c>
      <c r="I803" s="121">
        <f ca="1">HLOOKUP($H$4,'Met Data'!$A$2:$F$368,G803,FALSE)</f>
        <v>15.299999999999899</v>
      </c>
      <c r="J803" s="119">
        <f ca="1">HLOOKUP($H$4,'Met Data'!$H$2:$M$368,G803,FALSE)*L803</f>
        <v>0.36666666666666597</v>
      </c>
      <c r="K803" s="98">
        <f ca="1">HLOOKUP($H$4,'Met Data'!$O$2:$T$368,G803,FALSE)</f>
        <v>2.1311275850035698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94</v>
      </c>
      <c r="H804" s="97">
        <f t="shared" ca="1" si="129"/>
        <v>46115</v>
      </c>
      <c r="I804" s="121">
        <f ca="1">HLOOKUP($H$4,'Met Data'!$A$2:$F$368,G804,FALSE)</f>
        <v>16.266666666666602</v>
      </c>
      <c r="J804" s="119">
        <f ca="1">HLOOKUP($H$4,'Met Data'!$H$2:$M$368,G804,FALSE)*L804</f>
        <v>4.36666666666666</v>
      </c>
      <c r="K804" s="98">
        <f ca="1">HLOOKUP($H$4,'Met Data'!$O$2:$T$368,G804,FALSE)</f>
        <v>2.1942415542804201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95</v>
      </c>
      <c r="H805" s="97">
        <f t="shared" ca="1" si="129"/>
        <v>46116</v>
      </c>
      <c r="I805" s="121">
        <f ca="1">HLOOKUP($H$4,'Met Data'!$A$2:$F$368,G805,FALSE)</f>
        <v>16.008333333333301</v>
      </c>
      <c r="J805" s="119">
        <f ca="1">HLOOKUP($H$4,'Met Data'!$H$2:$M$368,G805,FALSE)*L805</f>
        <v>5.5833333333333304</v>
      </c>
      <c r="K805" s="98">
        <f ca="1">HLOOKUP($H$4,'Met Data'!$O$2:$T$368,G805,FALSE)</f>
        <v>2.18875214188912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96</v>
      </c>
      <c r="H806" s="97">
        <f t="shared" ca="1" si="129"/>
        <v>46117</v>
      </c>
      <c r="I806" s="121">
        <f ca="1">HLOOKUP($H$4,'Met Data'!$A$2:$F$368,G806,FALSE)</f>
        <v>14.8083333333333</v>
      </c>
      <c r="J806" s="119">
        <f ca="1">HLOOKUP($H$4,'Met Data'!$H$2:$M$368,G806,FALSE)*L806</f>
        <v>3.93333333333333</v>
      </c>
      <c r="K806" s="98">
        <f ca="1">HLOOKUP($H$4,'Met Data'!$O$2:$T$368,G806,FALSE)</f>
        <v>2.25899576438928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97</v>
      </c>
      <c r="H807" s="97">
        <f t="shared" ca="1" si="129"/>
        <v>46118</v>
      </c>
      <c r="I807" s="121">
        <f ca="1">HLOOKUP($H$4,'Met Data'!$A$2:$F$368,G807,FALSE)</f>
        <v>14.283333333333299</v>
      </c>
      <c r="J807" s="119">
        <f ca="1">HLOOKUP($H$4,'Met Data'!$H$2:$M$368,G807,FALSE)*L807</f>
        <v>1.2666666666666599</v>
      </c>
      <c r="K807" s="98">
        <f ca="1">HLOOKUP($H$4,'Met Data'!$O$2:$T$368,G807,FALSE)</f>
        <v>2.2952223200603901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98</v>
      </c>
      <c r="H808" s="97">
        <f t="shared" ca="1" si="129"/>
        <v>46119</v>
      </c>
      <c r="I808" s="121">
        <f ca="1">HLOOKUP($H$4,'Met Data'!$A$2:$F$368,G808,FALSE)</f>
        <v>13.258333333333301</v>
      </c>
      <c r="J808" s="119">
        <f ca="1">HLOOKUP($H$4,'Met Data'!$H$2:$M$368,G808,FALSE)*L808</f>
        <v>1.18333333333333</v>
      </c>
      <c r="K808" s="98">
        <f ca="1">HLOOKUP($H$4,'Met Data'!$O$2:$T$368,G808,FALSE)</f>
        <v>1.94562323949851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99</v>
      </c>
      <c r="H809" s="97">
        <f t="shared" ca="1" si="129"/>
        <v>46120</v>
      </c>
      <c r="I809" s="121">
        <f ca="1">HLOOKUP($H$4,'Met Data'!$A$2:$F$368,G809,FALSE)</f>
        <v>13.8666666666666</v>
      </c>
      <c r="J809" s="119">
        <f ca="1">HLOOKUP($H$4,'Met Data'!$H$2:$M$368,G809,FALSE)*L809</f>
        <v>4.7333333333333298</v>
      </c>
      <c r="K809" s="98">
        <f ca="1">HLOOKUP($H$4,'Met Data'!$O$2:$T$368,G809,FALSE)</f>
        <v>1.65226329552866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100</v>
      </c>
      <c r="H810" s="97">
        <f t="shared" ca="1" si="129"/>
        <v>46121</v>
      </c>
      <c r="I810" s="121">
        <f ca="1">HLOOKUP($H$4,'Met Data'!$A$2:$F$368,G810,FALSE)</f>
        <v>14.404166666666599</v>
      </c>
      <c r="J810" s="119">
        <f ca="1">HLOOKUP($H$4,'Met Data'!$H$2:$M$368,G810,FALSE)*L810</f>
        <v>4.3166666666666602</v>
      </c>
      <c r="K810" s="98">
        <f ca="1">HLOOKUP($H$4,'Met Data'!$O$2:$T$368,G810,FALSE)</f>
        <v>1.8668252234765801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101</v>
      </c>
      <c r="H811" s="97">
        <f t="shared" ca="1" si="129"/>
        <v>46122</v>
      </c>
      <c r="I811" s="121">
        <f ca="1">HLOOKUP($H$4,'Met Data'!$A$2:$F$368,G811,FALSE)</f>
        <v>14.5416666666666</v>
      </c>
      <c r="J811" s="119">
        <f ca="1">HLOOKUP($H$4,'Met Data'!$H$2:$M$368,G811,FALSE)*L811</f>
        <v>4.43333333333333</v>
      </c>
      <c r="K811" s="98">
        <f ca="1">HLOOKUP($H$4,'Met Data'!$O$2:$T$368,G811,FALSE)</f>
        <v>1.97301093095216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102</v>
      </c>
      <c r="H812" s="97">
        <f t="shared" ca="1" si="129"/>
        <v>46123</v>
      </c>
      <c r="I812" s="121">
        <f ca="1">HLOOKUP($H$4,'Met Data'!$A$2:$F$368,G812,FALSE)</f>
        <v>14.279166666666599</v>
      </c>
      <c r="J812" s="119">
        <f ca="1">HLOOKUP($H$4,'Met Data'!$H$2:$M$368,G812,FALSE)*L812</f>
        <v>1.3333333333333299</v>
      </c>
      <c r="K812" s="98">
        <f ca="1">HLOOKUP($H$4,'Met Data'!$O$2:$T$368,G812,FALSE)</f>
        <v>1.63836682585681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103</v>
      </c>
      <c r="H813" s="97">
        <f t="shared" ca="1" si="129"/>
        <v>46124</v>
      </c>
      <c r="I813" s="121">
        <f ca="1">HLOOKUP($H$4,'Met Data'!$A$2:$F$368,G813,FALSE)</f>
        <v>15.1666666666666</v>
      </c>
      <c r="J813" s="119">
        <f ca="1">HLOOKUP($H$4,'Met Data'!$H$2:$M$368,G813,FALSE)*L813</f>
        <v>3.7833333333333301</v>
      </c>
      <c r="K813" s="98">
        <f ca="1">HLOOKUP($H$4,'Met Data'!$O$2:$T$368,G813,FALSE)</f>
        <v>1.8936832301932101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104</v>
      </c>
      <c r="H814" s="97">
        <f t="shared" ca="1" si="129"/>
        <v>46125</v>
      </c>
      <c r="I814" s="121">
        <f ca="1">HLOOKUP($H$4,'Met Data'!$A$2:$F$368,G814,FALSE)</f>
        <v>14.675000000000001</v>
      </c>
      <c r="J814" s="119">
        <f ca="1">HLOOKUP($H$4,'Met Data'!$H$2:$M$368,G814,FALSE)*L814</f>
        <v>4.5166666666666604</v>
      </c>
      <c r="K814" s="98">
        <f ca="1">HLOOKUP($H$4,'Met Data'!$O$2:$T$368,G814,FALSE)</f>
        <v>1.6971366028359001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105</v>
      </c>
      <c r="H815" s="97">
        <f t="shared" ca="1" si="129"/>
        <v>46126</v>
      </c>
      <c r="I815" s="121">
        <f ca="1">HLOOKUP($H$4,'Met Data'!$A$2:$F$368,G815,FALSE)</f>
        <v>13.504166666666601</v>
      </c>
      <c r="J815" s="119">
        <f ca="1">HLOOKUP($H$4,'Met Data'!$H$2:$M$368,G815,FALSE)*L815</f>
        <v>4.5</v>
      </c>
      <c r="K815" s="98">
        <f ca="1">HLOOKUP($H$4,'Met Data'!$O$2:$T$368,G815,FALSE)</f>
        <v>1.6970685904410301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ref="G816:G879" ca="1" si="130">H816-DATE(YEAR(H816),1,0)+1</f>
        <v>106</v>
      </c>
      <c r="H816" s="97">
        <f t="shared" ca="1" si="129"/>
        <v>46127</v>
      </c>
      <c r="I816" s="121">
        <f ca="1">HLOOKUP($H$4,'Met Data'!$A$2:$F$368,G816,FALSE)</f>
        <v>13.779166666666599</v>
      </c>
      <c r="J816" s="119">
        <f ca="1">HLOOKUP($H$4,'Met Data'!$H$2:$M$368,G816,FALSE)*L816</f>
        <v>0.9</v>
      </c>
      <c r="K816" s="98">
        <f ca="1">HLOOKUP($H$4,'Met Data'!$O$2:$T$368,G816,FALSE)</f>
        <v>2.0649391337631702</v>
      </c>
      <c r="L816">
        <f t="shared" ca="1" si="128"/>
        <v>1</v>
      </c>
      <c r="N816" t="e">
        <f t="shared" ref="N816:N879" ca="1" si="131">IF(P816&lt;$P$3,TRUE,FALSE)</f>
        <v>#N/A</v>
      </c>
      <c r="O816" t="e">
        <f t="shared" ref="O816:O879" ca="1" si="132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3">IFERROR(P816,$AD$4)</f>
        <v>0</v>
      </c>
      <c r="AE816">
        <f t="shared" ref="AE816:AE879" ca="1" si="134">IFERROR(U816,0)</f>
        <v>0</v>
      </c>
      <c r="AG816" s="63" t="e">
        <f t="shared" ref="AG816:AG879" ca="1" si="135">Q815+S816+T816+U816</f>
        <v>#N/A</v>
      </c>
      <c r="AH816" s="63" t="e">
        <f t="shared" ref="AH816:AH879" ca="1" si="136">Q816+R816+X816</f>
        <v>#N/A</v>
      </c>
      <c r="AI816" s="3" t="e">
        <f t="shared" ref="AI816:AI879" ca="1" si="137">AH816-AG816</f>
        <v>#N/A</v>
      </c>
    </row>
    <row r="817" spans="7:35" ht="15.75" thickBot="1">
      <c r="G817" s="3">
        <f t="shared" ca="1" si="130"/>
        <v>107</v>
      </c>
      <c r="H817" s="97">
        <f t="shared" ca="1" si="129"/>
        <v>46128</v>
      </c>
      <c r="I817" s="121">
        <f ca="1">HLOOKUP($H$4,'Met Data'!$A$2:$F$368,G817,FALSE)</f>
        <v>13.920833333333301</v>
      </c>
      <c r="J817" s="119">
        <f ca="1">HLOOKUP($H$4,'Met Data'!$H$2:$M$368,G817,FALSE)*L817</f>
        <v>7.6</v>
      </c>
      <c r="K817" s="98">
        <f ca="1">HLOOKUP($H$4,'Met Data'!$O$2:$T$368,G817,FALSE)</f>
        <v>1.7084212444020199</v>
      </c>
      <c r="L817">
        <f t="shared" ca="1" si="128"/>
        <v>1</v>
      </c>
      <c r="N817" t="e">
        <f t="shared" ca="1" si="131"/>
        <v>#N/A</v>
      </c>
      <c r="O817" t="e">
        <f t="shared" ca="1" si="132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3"/>
        <v>0</v>
      </c>
      <c r="AE817">
        <f t="shared" ca="1" si="134"/>
        <v>0</v>
      </c>
      <c r="AG817" s="63" t="e">
        <f t="shared" ca="1" si="135"/>
        <v>#N/A</v>
      </c>
      <c r="AH817" s="63" t="e">
        <f t="shared" ca="1" si="136"/>
        <v>#N/A</v>
      </c>
      <c r="AI817" s="3" t="e">
        <f t="shared" ca="1" si="137"/>
        <v>#N/A</v>
      </c>
    </row>
    <row r="818" spans="7:35" ht="15.75" thickBot="1">
      <c r="G818" s="3">
        <f t="shared" ca="1" si="130"/>
        <v>108</v>
      </c>
      <c r="H818" s="97">
        <f t="shared" ca="1" si="129"/>
        <v>46129</v>
      </c>
      <c r="I818" s="121">
        <f ca="1">HLOOKUP($H$4,'Met Data'!$A$2:$F$368,G818,FALSE)</f>
        <v>13.6416666666666</v>
      </c>
      <c r="J818" s="119">
        <f ca="1">HLOOKUP($H$4,'Met Data'!$H$2:$M$368,G818,FALSE)*L818</f>
        <v>3.44999999999999</v>
      </c>
      <c r="K818" s="98">
        <f ca="1">HLOOKUP($H$4,'Met Data'!$O$2:$T$368,G818,FALSE)</f>
        <v>1.46996077972592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109</v>
      </c>
      <c r="H819" s="97">
        <f t="shared" ca="1" si="129"/>
        <v>46130</v>
      </c>
      <c r="I819" s="121">
        <f ca="1">HLOOKUP($H$4,'Met Data'!$A$2:$F$368,G819,FALSE)</f>
        <v>13.6833333333333</v>
      </c>
      <c r="J819" s="119">
        <f ca="1">HLOOKUP($H$4,'Met Data'!$H$2:$M$368,G819,FALSE)*L819</f>
        <v>2.4166666666666599</v>
      </c>
      <c r="K819" s="98">
        <f ca="1">HLOOKUP($H$4,'Met Data'!$O$2:$T$368,G819,FALSE)</f>
        <v>1.64274717869015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110</v>
      </c>
      <c r="H820" s="97">
        <f t="shared" ca="1" si="129"/>
        <v>46131</v>
      </c>
      <c r="I820" s="121">
        <f ca="1">HLOOKUP($H$4,'Met Data'!$A$2:$F$368,G820,FALSE)</f>
        <v>12.945833333333301</v>
      </c>
      <c r="J820" s="119">
        <f ca="1">HLOOKUP($H$4,'Met Data'!$H$2:$M$368,G820,FALSE)*L820</f>
        <v>1.5999999999999901</v>
      </c>
      <c r="K820" s="98">
        <f ca="1">HLOOKUP($H$4,'Met Data'!$O$2:$T$368,G820,FALSE)</f>
        <v>1.70342846945819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111</v>
      </c>
      <c r="H821" s="97">
        <f t="shared" ca="1" si="129"/>
        <v>46132</v>
      </c>
      <c r="I821" s="121">
        <f ca="1">HLOOKUP($H$4,'Met Data'!$A$2:$F$368,G821,FALSE)</f>
        <v>14.2875</v>
      </c>
      <c r="J821" s="119">
        <f ca="1">HLOOKUP($H$4,'Met Data'!$H$2:$M$368,G821,FALSE)*L821</f>
        <v>1.1499999999999999</v>
      </c>
      <c r="K821" s="98">
        <f ca="1">HLOOKUP($H$4,'Met Data'!$O$2:$T$368,G821,FALSE)</f>
        <v>1.68674688590323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112</v>
      </c>
      <c r="H822" s="97">
        <f t="shared" ca="1" si="129"/>
        <v>46133</v>
      </c>
      <c r="I822" s="121">
        <f ca="1">HLOOKUP($H$4,'Met Data'!$A$2:$F$368,G822,FALSE)</f>
        <v>14.275</v>
      </c>
      <c r="J822" s="119">
        <f ca="1">HLOOKUP($H$4,'Met Data'!$H$2:$M$368,G822,FALSE)*L822</f>
        <v>2.0833333333333299</v>
      </c>
      <c r="K822" s="98">
        <f ca="1">HLOOKUP($H$4,'Met Data'!$O$2:$T$368,G822,FALSE)</f>
        <v>1.5152419322458901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113</v>
      </c>
      <c r="H823" s="97">
        <f t="shared" ca="1" si="129"/>
        <v>46134</v>
      </c>
      <c r="I823" s="121">
        <f ca="1">HLOOKUP($H$4,'Met Data'!$A$2:$F$368,G823,FALSE)</f>
        <v>13.595833333333299</v>
      </c>
      <c r="J823" s="119">
        <f ca="1">HLOOKUP($H$4,'Met Data'!$H$2:$M$368,G823,FALSE)*L823</f>
        <v>0.76666666666666605</v>
      </c>
      <c r="K823" s="98">
        <f ca="1">HLOOKUP($H$4,'Met Data'!$O$2:$T$368,G823,FALSE)</f>
        <v>1.65518894118648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114</v>
      </c>
      <c r="H824" s="97">
        <f t="shared" ca="1" si="129"/>
        <v>46135</v>
      </c>
      <c r="I824" s="121">
        <f ca="1">HLOOKUP($H$4,'Met Data'!$A$2:$F$368,G824,FALSE)</f>
        <v>13.9125</v>
      </c>
      <c r="J824" s="119">
        <f ca="1">HLOOKUP($H$4,'Met Data'!$H$2:$M$368,G824,FALSE)*L824</f>
        <v>0.3</v>
      </c>
      <c r="K824" s="98">
        <f ca="1">HLOOKUP($H$4,'Met Data'!$O$2:$T$368,G824,FALSE)</f>
        <v>1.66585763602601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115</v>
      </c>
      <c r="H825" s="97">
        <f t="shared" ca="1" si="129"/>
        <v>46136</v>
      </c>
      <c r="I825" s="121">
        <f ca="1">HLOOKUP($H$4,'Met Data'!$A$2:$F$368,G825,FALSE)</f>
        <v>14.820833333333301</v>
      </c>
      <c r="J825" s="119">
        <f ca="1">HLOOKUP($H$4,'Met Data'!$H$2:$M$368,G825,FALSE)*L825</f>
        <v>2.5333333333333301</v>
      </c>
      <c r="K825" s="98">
        <f ca="1">HLOOKUP($H$4,'Met Data'!$O$2:$T$368,G825,FALSE)</f>
        <v>1.5754379638326901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116</v>
      </c>
      <c r="H826" s="97">
        <f t="shared" ca="1" si="129"/>
        <v>46137</v>
      </c>
      <c r="I826" s="121">
        <f ca="1">HLOOKUP($H$4,'Met Data'!$A$2:$F$368,G826,FALSE)</f>
        <v>14.4166666666666</v>
      </c>
      <c r="J826" s="119">
        <f ca="1">HLOOKUP($H$4,'Met Data'!$H$2:$M$368,G826,FALSE)*L826</f>
        <v>7.3833333333333302</v>
      </c>
      <c r="K826" s="98">
        <f ca="1">HLOOKUP($H$4,'Met Data'!$O$2:$T$368,G826,FALSE)</f>
        <v>1.4622003711311999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117</v>
      </c>
      <c r="H827" s="97">
        <f t="shared" ca="1" si="129"/>
        <v>46138</v>
      </c>
      <c r="I827" s="121">
        <f ca="1">HLOOKUP($H$4,'Met Data'!$A$2:$F$368,G827,FALSE)</f>
        <v>13.9375</v>
      </c>
      <c r="J827" s="119">
        <f ca="1">HLOOKUP($H$4,'Met Data'!$H$2:$M$368,G827,FALSE)*L827</f>
        <v>0.7</v>
      </c>
      <c r="K827" s="98">
        <f ca="1">HLOOKUP($H$4,'Met Data'!$O$2:$T$368,G827,FALSE)</f>
        <v>1.4965322621758601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118</v>
      </c>
      <c r="H828" s="97">
        <f t="shared" ca="1" si="129"/>
        <v>46139</v>
      </c>
      <c r="I828" s="121">
        <f ca="1">HLOOKUP($H$4,'Met Data'!$A$2:$F$368,G828,FALSE)</f>
        <v>14.8045454545454</v>
      </c>
      <c r="J828" s="119">
        <f ca="1">HLOOKUP($H$4,'Met Data'!$H$2:$M$368,G828,FALSE)*L828</f>
        <v>4.5818181818181802</v>
      </c>
      <c r="K828" s="98">
        <f ca="1">HLOOKUP($H$4,'Met Data'!$O$2:$T$368,G828,FALSE)</f>
        <v>1.5702581753512701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119</v>
      </c>
      <c r="H829" s="97">
        <f t="shared" ca="1" si="129"/>
        <v>46140</v>
      </c>
      <c r="I829" s="121">
        <f ca="1">HLOOKUP($H$4,'Met Data'!$A$2:$F$368,G829,FALSE)</f>
        <v>14.1090909090909</v>
      </c>
      <c r="J829" s="119">
        <f ca="1">HLOOKUP($H$4,'Met Data'!$H$2:$M$368,G829,FALSE)*L829</f>
        <v>5.5454545454545396</v>
      </c>
      <c r="K829" s="98">
        <f ca="1">HLOOKUP($H$4,'Met Data'!$O$2:$T$368,G829,FALSE)</f>
        <v>1.27231342308323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120</v>
      </c>
      <c r="H830" s="97">
        <f t="shared" ca="1" si="129"/>
        <v>46141</v>
      </c>
      <c r="I830" s="121">
        <f ca="1">HLOOKUP($H$4,'Met Data'!$A$2:$F$368,G830,FALSE)</f>
        <v>13.8375</v>
      </c>
      <c r="J830" s="119">
        <f ca="1">HLOOKUP($H$4,'Met Data'!$H$2:$M$368,G830,FALSE)*L830</f>
        <v>4.68333333333333</v>
      </c>
      <c r="K830" s="98">
        <f ca="1">HLOOKUP($H$4,'Met Data'!$O$2:$T$368,G830,FALSE)</f>
        <v>1.5077932055652401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121</v>
      </c>
      <c r="H831" s="97">
        <f t="shared" ca="1" si="129"/>
        <v>46142</v>
      </c>
      <c r="I831" s="121">
        <f ca="1">HLOOKUP($H$4,'Met Data'!$A$2:$F$368,G831,FALSE)</f>
        <v>13.6458333333333</v>
      </c>
      <c r="J831" s="119">
        <f ca="1">HLOOKUP($H$4,'Met Data'!$H$2:$M$368,G831,FALSE)*L831</f>
        <v>5.3999999999999897</v>
      </c>
      <c r="K831" s="98">
        <f ca="1">HLOOKUP($H$4,'Met Data'!$O$2:$T$368,G831,FALSE)</f>
        <v>1.60300410285803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122</v>
      </c>
      <c r="H832" s="97">
        <f t="shared" ca="1" si="129"/>
        <v>46143</v>
      </c>
      <c r="I832" s="121">
        <f ca="1">HLOOKUP($H$4,'Met Data'!$A$2:$F$368,G832,FALSE)</f>
        <v>11.883333333333301</v>
      </c>
      <c r="J832" s="119">
        <f ca="1">HLOOKUP($H$4,'Met Data'!$H$2:$M$368,G832,FALSE)*L832</f>
        <v>0.25</v>
      </c>
      <c r="K832" s="98">
        <f ca="1">HLOOKUP($H$4,'Met Data'!$O$2:$T$368,G832,FALSE)</f>
        <v>1.67837953393642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123</v>
      </c>
      <c r="H833" s="97">
        <f t="shared" ca="1" si="129"/>
        <v>46144</v>
      </c>
      <c r="I833" s="121">
        <f ca="1">HLOOKUP($H$4,'Met Data'!$A$2:$F$368,G833,FALSE)</f>
        <v>11.8541666666666</v>
      </c>
      <c r="J833" s="119">
        <f ca="1">HLOOKUP($H$4,'Met Data'!$H$2:$M$368,G833,FALSE)*L833</f>
        <v>0.133333333333333</v>
      </c>
      <c r="K833" s="98">
        <f ca="1">HLOOKUP($H$4,'Met Data'!$O$2:$T$368,G833,FALSE)</f>
        <v>1.44561782365903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124</v>
      </c>
      <c r="H834" s="97">
        <f t="shared" ca="1" si="129"/>
        <v>46145</v>
      </c>
      <c r="I834" s="121">
        <f ca="1">HLOOKUP($H$4,'Met Data'!$A$2:$F$368,G834,FALSE)</f>
        <v>13.0875</v>
      </c>
      <c r="J834" s="119">
        <f ca="1">HLOOKUP($H$4,'Met Data'!$H$2:$M$368,G834,FALSE)*L834</f>
        <v>2.1333333333333302</v>
      </c>
      <c r="K834" s="98">
        <f ca="1">HLOOKUP($H$4,'Met Data'!$O$2:$T$368,G834,FALSE)</f>
        <v>1.4319782957140901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125</v>
      </c>
      <c r="H835" s="97">
        <f t="shared" ca="1" si="129"/>
        <v>46146</v>
      </c>
      <c r="I835" s="121">
        <f ca="1">HLOOKUP($H$4,'Met Data'!$A$2:$F$368,G835,FALSE)</f>
        <v>13.137499999999999</v>
      </c>
      <c r="J835" s="119">
        <f ca="1">HLOOKUP($H$4,'Met Data'!$H$2:$M$368,G835,FALSE)*L835</f>
        <v>3</v>
      </c>
      <c r="K835" s="98">
        <f ca="1">HLOOKUP($H$4,'Met Data'!$O$2:$T$368,G835,FALSE)</f>
        <v>1.16413167388704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126</v>
      </c>
      <c r="H836" s="97">
        <f t="shared" ca="1" si="129"/>
        <v>46147</v>
      </c>
      <c r="I836" s="121">
        <f ca="1">HLOOKUP($H$4,'Met Data'!$A$2:$F$368,G836,FALSE)</f>
        <v>13.591666666666599</v>
      </c>
      <c r="J836" s="119">
        <f ca="1">HLOOKUP($H$4,'Met Data'!$H$2:$M$368,G836,FALSE)*L836</f>
        <v>4.8499999999999996</v>
      </c>
      <c r="K836" s="98">
        <f ca="1">HLOOKUP($H$4,'Met Data'!$O$2:$T$368,G836,FALSE)</f>
        <v>1.3049016144750001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127</v>
      </c>
      <c r="H837" s="97">
        <f t="shared" ca="1" si="129"/>
        <v>46148</v>
      </c>
      <c r="I837" s="121">
        <f ca="1">HLOOKUP($H$4,'Met Data'!$A$2:$F$368,G837,FALSE)</f>
        <v>13.2708333333333</v>
      </c>
      <c r="J837" s="119">
        <f ca="1">HLOOKUP($H$4,'Met Data'!$H$2:$M$368,G837,FALSE)*L837</f>
        <v>2.36666666666666</v>
      </c>
      <c r="K837" s="98">
        <f ca="1">HLOOKUP($H$4,'Met Data'!$O$2:$T$368,G837,FALSE)</f>
        <v>1.29751787384439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128</v>
      </c>
      <c r="H838" s="97">
        <f t="shared" ca="1" si="129"/>
        <v>46149</v>
      </c>
      <c r="I838" s="121">
        <f ca="1">HLOOKUP($H$4,'Met Data'!$A$2:$F$368,G838,FALSE)</f>
        <v>12.6791666666666</v>
      </c>
      <c r="J838" s="119">
        <f ca="1">HLOOKUP($H$4,'Met Data'!$H$2:$M$368,G838,FALSE)*L838</f>
        <v>5.4166666666666599</v>
      </c>
      <c r="K838" s="98">
        <f ca="1">HLOOKUP($H$4,'Met Data'!$O$2:$T$368,G838,FALSE)</f>
        <v>1.3071916611718599</v>
      </c>
      <c r="L838">
        <f t="shared" ref="L838:L901" ca="1" si="138">IF(H838&lt;$B$31,$J$3,$J$4)</f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129</v>
      </c>
      <c r="H839" s="97">
        <f t="shared" ca="1" si="129"/>
        <v>46150</v>
      </c>
      <c r="I839" s="121">
        <f ca="1">HLOOKUP($H$4,'Met Data'!$A$2:$F$368,G839,FALSE)</f>
        <v>12.799999999999899</v>
      </c>
      <c r="J839" s="119">
        <f ca="1">HLOOKUP($H$4,'Met Data'!$H$2:$M$368,G839,FALSE)*L839</f>
        <v>2.1666666666666599</v>
      </c>
      <c r="K839" s="98">
        <f ca="1">HLOOKUP($H$4,'Met Data'!$O$2:$T$368,G839,FALSE)</f>
        <v>1.27112414081248</v>
      </c>
      <c r="L839">
        <f t="shared" ca="1" si="138"/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130</v>
      </c>
      <c r="H840" s="97">
        <f t="shared" ref="H840:H903" ca="1" si="139">H839+1</f>
        <v>46151</v>
      </c>
      <c r="I840" s="121">
        <f ca="1">HLOOKUP($H$4,'Met Data'!$A$2:$F$368,G840,FALSE)</f>
        <v>14.1</v>
      </c>
      <c r="J840" s="119">
        <f ca="1">HLOOKUP($H$4,'Met Data'!$H$2:$M$368,G840,FALSE)*L840</f>
        <v>1.2333333333333301</v>
      </c>
      <c r="K840" s="98">
        <f ca="1">HLOOKUP($H$4,'Met Data'!$O$2:$T$368,G840,FALSE)</f>
        <v>1.3593529897032299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131</v>
      </c>
      <c r="H841" s="97">
        <f t="shared" ca="1" si="139"/>
        <v>46152</v>
      </c>
      <c r="I841" s="121">
        <f ca="1">HLOOKUP($H$4,'Met Data'!$A$2:$F$368,G841,FALSE)</f>
        <v>13.7416666666666</v>
      </c>
      <c r="J841" s="119">
        <f ca="1">HLOOKUP($H$4,'Met Data'!$H$2:$M$368,G841,FALSE)*L841</f>
        <v>1.56666666666666</v>
      </c>
      <c r="K841" s="98">
        <f ca="1">HLOOKUP($H$4,'Met Data'!$O$2:$T$368,G841,FALSE)</f>
        <v>1.1980493949464299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132</v>
      </c>
      <c r="H842" s="97">
        <f t="shared" ca="1" si="139"/>
        <v>46153</v>
      </c>
      <c r="I842" s="121">
        <f ca="1">HLOOKUP($H$4,'Met Data'!$A$2:$F$368,G842,FALSE)</f>
        <v>13.1</v>
      </c>
      <c r="J842" s="119">
        <f ca="1">HLOOKUP($H$4,'Met Data'!$H$2:$M$368,G842,FALSE)*L842</f>
        <v>3.7166666666666601</v>
      </c>
      <c r="K842" s="98">
        <f ca="1">HLOOKUP($H$4,'Met Data'!$O$2:$T$368,G842,FALSE)</f>
        <v>1.0818629782871001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133</v>
      </c>
      <c r="H843" s="97">
        <f t="shared" ca="1" si="139"/>
        <v>46154</v>
      </c>
      <c r="I843" s="121">
        <f ca="1">HLOOKUP($H$4,'Met Data'!$A$2:$F$368,G843,FALSE)</f>
        <v>13.566666666666601</v>
      </c>
      <c r="J843" s="119">
        <f ca="1">HLOOKUP($H$4,'Met Data'!$H$2:$M$368,G843,FALSE)*L843</f>
        <v>5.86666666666666</v>
      </c>
      <c r="K843" s="98">
        <f ca="1">HLOOKUP($H$4,'Met Data'!$O$2:$T$368,G843,FALSE)</f>
        <v>0.93360919947406795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134</v>
      </c>
      <c r="H844" s="97">
        <f t="shared" ca="1" si="139"/>
        <v>46155</v>
      </c>
      <c r="I844" s="121">
        <f ca="1">HLOOKUP($H$4,'Met Data'!$A$2:$F$368,G844,FALSE)</f>
        <v>12.887499999999999</v>
      </c>
      <c r="J844" s="119">
        <f ca="1">HLOOKUP($H$4,'Met Data'!$H$2:$M$368,G844,FALSE)*L844</f>
        <v>5.1666666666666599</v>
      </c>
      <c r="K844" s="98">
        <f ca="1">HLOOKUP($H$4,'Met Data'!$O$2:$T$368,G844,FALSE)</f>
        <v>1.3361527471355901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135</v>
      </c>
      <c r="H845" s="97">
        <f t="shared" ca="1" si="139"/>
        <v>46156</v>
      </c>
      <c r="I845" s="121">
        <f ca="1">HLOOKUP($H$4,'Met Data'!$A$2:$F$368,G845,FALSE)</f>
        <v>13</v>
      </c>
      <c r="J845" s="119">
        <f ca="1">HLOOKUP($H$4,'Met Data'!$H$2:$M$368,G845,FALSE)*L845</f>
        <v>4.86666666666666</v>
      </c>
      <c r="K845" s="98">
        <f ca="1">HLOOKUP($H$4,'Met Data'!$O$2:$T$368,G845,FALSE)</f>
        <v>1.1907632624443201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136</v>
      </c>
      <c r="H846" s="97">
        <f t="shared" ca="1" si="139"/>
        <v>46157</v>
      </c>
      <c r="I846" s="121">
        <f ca="1">HLOOKUP($H$4,'Met Data'!$A$2:$F$368,G846,FALSE)</f>
        <v>13.470833333333299</v>
      </c>
      <c r="J846" s="119">
        <f ca="1">HLOOKUP($H$4,'Met Data'!$H$2:$M$368,G846,FALSE)*L846</f>
        <v>8.7833333333333297</v>
      </c>
      <c r="K846" s="98">
        <f ca="1">HLOOKUP($H$4,'Met Data'!$O$2:$T$368,G846,FALSE)</f>
        <v>1.16840876605303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137</v>
      </c>
      <c r="H847" s="97">
        <f t="shared" ca="1" si="139"/>
        <v>46158</v>
      </c>
      <c r="I847" s="121">
        <f ca="1">HLOOKUP($H$4,'Met Data'!$A$2:$F$368,G847,FALSE)</f>
        <v>12.8666666666666</v>
      </c>
      <c r="J847" s="119">
        <f ca="1">HLOOKUP($H$4,'Met Data'!$H$2:$M$368,G847,FALSE)*L847</f>
        <v>4.86666666666666</v>
      </c>
      <c r="K847" s="98">
        <f ca="1">HLOOKUP($H$4,'Met Data'!$O$2:$T$368,G847,FALSE)</f>
        <v>1.23845839693481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138</v>
      </c>
      <c r="H848" s="97">
        <f t="shared" ca="1" si="139"/>
        <v>46159</v>
      </c>
      <c r="I848" s="121">
        <f ca="1">HLOOKUP($H$4,'Met Data'!$A$2:$F$368,G848,FALSE)</f>
        <v>12.237499999999899</v>
      </c>
      <c r="J848" s="119">
        <f ca="1">HLOOKUP($H$4,'Met Data'!$H$2:$M$368,G848,FALSE)*L848</f>
        <v>3.7166666666666601</v>
      </c>
      <c r="K848" s="98">
        <f ca="1">HLOOKUP($H$4,'Met Data'!$O$2:$T$368,G848,FALSE)</f>
        <v>1.3074898165915401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139</v>
      </c>
      <c r="H849" s="97">
        <f t="shared" ca="1" si="139"/>
        <v>46160</v>
      </c>
      <c r="I849" s="121">
        <f ca="1">HLOOKUP($H$4,'Met Data'!$A$2:$F$368,G849,FALSE)</f>
        <v>11.595833333333299</v>
      </c>
      <c r="J849" s="119">
        <f ca="1">HLOOKUP($H$4,'Met Data'!$H$2:$M$368,G849,FALSE)*L849</f>
        <v>2.61666666666666</v>
      </c>
      <c r="K849" s="98">
        <f ca="1">HLOOKUP($H$4,'Met Data'!$O$2:$T$368,G849,FALSE)</f>
        <v>1.3321153360432201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140</v>
      </c>
      <c r="H850" s="97">
        <f t="shared" ca="1" si="139"/>
        <v>46161</v>
      </c>
      <c r="I850" s="121">
        <f ca="1">HLOOKUP($H$4,'Met Data'!$A$2:$F$368,G850,FALSE)</f>
        <v>11.904166666666599</v>
      </c>
      <c r="J850" s="119">
        <f ca="1">HLOOKUP($H$4,'Met Data'!$H$2:$M$368,G850,FALSE)*L850</f>
        <v>2.35</v>
      </c>
      <c r="K850" s="98">
        <f ca="1">HLOOKUP($H$4,'Met Data'!$O$2:$T$368,G850,FALSE)</f>
        <v>1.2961776408629699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141</v>
      </c>
      <c r="H851" s="97">
        <f t="shared" ca="1" si="139"/>
        <v>46162</v>
      </c>
      <c r="I851" s="121">
        <f ca="1">HLOOKUP($H$4,'Met Data'!$A$2:$F$368,G851,FALSE)</f>
        <v>11.762499999999999</v>
      </c>
      <c r="J851" s="119">
        <f ca="1">HLOOKUP($H$4,'Met Data'!$H$2:$M$368,G851,FALSE)*L851</f>
        <v>0.31666666666666599</v>
      </c>
      <c r="K851" s="98">
        <f ca="1">HLOOKUP($H$4,'Met Data'!$O$2:$T$368,G851,FALSE)</f>
        <v>1.26598619456247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142</v>
      </c>
      <c r="H852" s="97">
        <f t="shared" ca="1" si="139"/>
        <v>46163</v>
      </c>
      <c r="I852" s="121">
        <f ca="1">HLOOKUP($H$4,'Met Data'!$A$2:$F$368,G852,FALSE)</f>
        <v>11.612500000000001</v>
      </c>
      <c r="J852" s="119">
        <f ca="1">HLOOKUP($H$4,'Met Data'!$H$2:$M$368,G852,FALSE)*L852</f>
        <v>2</v>
      </c>
      <c r="K852" s="98">
        <f ca="1">HLOOKUP($H$4,'Met Data'!$O$2:$T$368,G852,FALSE)</f>
        <v>1.0607063970516699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143</v>
      </c>
      <c r="H853" s="97">
        <f t="shared" ca="1" si="139"/>
        <v>46164</v>
      </c>
      <c r="I853" s="121">
        <f ca="1">HLOOKUP($H$4,'Met Data'!$A$2:$F$368,G853,FALSE)</f>
        <v>10.174999999999899</v>
      </c>
      <c r="J853" s="119">
        <f ca="1">HLOOKUP($H$4,'Met Data'!$H$2:$M$368,G853,FALSE)*L853</f>
        <v>2.93333333333333</v>
      </c>
      <c r="K853" s="98">
        <f ca="1">HLOOKUP($H$4,'Met Data'!$O$2:$T$368,G853,FALSE)</f>
        <v>1.10734547072848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144</v>
      </c>
      <c r="H854" s="97">
        <f t="shared" ca="1" si="139"/>
        <v>46165</v>
      </c>
      <c r="I854" s="121">
        <f ca="1">HLOOKUP($H$4,'Met Data'!$A$2:$F$368,G854,FALSE)</f>
        <v>10.7416666666666</v>
      </c>
      <c r="J854" s="119">
        <f ca="1">HLOOKUP($H$4,'Met Data'!$H$2:$M$368,G854,FALSE)*L854</f>
        <v>2.8</v>
      </c>
      <c r="K854" s="98">
        <f ca="1">HLOOKUP($H$4,'Met Data'!$O$2:$T$368,G854,FALSE)</f>
        <v>0.94921082080766905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145</v>
      </c>
      <c r="H855" s="97">
        <f t="shared" ca="1" si="139"/>
        <v>46166</v>
      </c>
      <c r="I855" s="121">
        <f ca="1">HLOOKUP($H$4,'Met Data'!$A$2:$F$368,G855,FALSE)</f>
        <v>10.983333333333301</v>
      </c>
      <c r="J855" s="119">
        <f ca="1">HLOOKUP($H$4,'Met Data'!$H$2:$M$368,G855,FALSE)*L855</f>
        <v>5.61666666666666</v>
      </c>
      <c r="K855" s="98">
        <f ca="1">HLOOKUP($H$4,'Met Data'!$O$2:$T$368,G855,FALSE)</f>
        <v>0.95593712910075901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146</v>
      </c>
      <c r="H856" s="97">
        <f t="shared" ca="1" si="139"/>
        <v>46167</v>
      </c>
      <c r="I856" s="121">
        <f ca="1">HLOOKUP($H$4,'Met Data'!$A$2:$F$368,G856,FALSE)</f>
        <v>10.7666666666666</v>
      </c>
      <c r="J856" s="119">
        <f ca="1">HLOOKUP($H$4,'Met Data'!$H$2:$M$368,G856,FALSE)*L856</f>
        <v>3.1666666666666599</v>
      </c>
      <c r="K856" s="98">
        <f ca="1">HLOOKUP($H$4,'Met Data'!$O$2:$T$368,G856,FALSE)</f>
        <v>0.98597820560947502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147</v>
      </c>
      <c r="H857" s="97">
        <f t="shared" ca="1" si="139"/>
        <v>46168</v>
      </c>
      <c r="I857" s="121">
        <f ca="1">HLOOKUP($H$4,'Met Data'!$A$2:$F$368,G857,FALSE)</f>
        <v>11.1833333333333</v>
      </c>
      <c r="J857" s="119">
        <f ca="1">HLOOKUP($H$4,'Met Data'!$H$2:$M$368,G857,FALSE)*L857</f>
        <v>6.1499999999999897</v>
      </c>
      <c r="K857" s="98">
        <f ca="1">HLOOKUP($H$4,'Met Data'!$O$2:$T$368,G857,FALSE)</f>
        <v>1.02530679052105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148</v>
      </c>
      <c r="H858" s="97">
        <f t="shared" ca="1" si="139"/>
        <v>46169</v>
      </c>
      <c r="I858" s="121">
        <f ca="1">HLOOKUP($H$4,'Met Data'!$A$2:$F$368,G858,FALSE)</f>
        <v>10.566666666666601</v>
      </c>
      <c r="J858" s="119">
        <f ca="1">HLOOKUP($H$4,'Met Data'!$H$2:$M$368,G858,FALSE)*L858</f>
        <v>2.7666666666666599</v>
      </c>
      <c r="K858" s="98">
        <f ca="1">HLOOKUP($H$4,'Met Data'!$O$2:$T$368,G858,FALSE)</f>
        <v>1.05508542906727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149</v>
      </c>
      <c r="H859" s="97">
        <f t="shared" ca="1" si="139"/>
        <v>46170</v>
      </c>
      <c r="I859" s="121">
        <f ca="1">HLOOKUP($H$4,'Met Data'!$A$2:$F$368,G859,FALSE)</f>
        <v>10.283333333333299</v>
      </c>
      <c r="J859" s="119">
        <f ca="1">HLOOKUP($H$4,'Met Data'!$H$2:$M$368,G859,FALSE)*L859</f>
        <v>2.7333333333333298</v>
      </c>
      <c r="K859" s="98">
        <f ca="1">HLOOKUP($H$4,'Met Data'!$O$2:$T$368,G859,FALSE)</f>
        <v>0.96273544691676505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150</v>
      </c>
      <c r="H860" s="97">
        <f t="shared" ca="1" si="139"/>
        <v>46171</v>
      </c>
      <c r="I860" s="121">
        <f ca="1">HLOOKUP($H$4,'Met Data'!$A$2:$F$368,G860,FALSE)</f>
        <v>10.8</v>
      </c>
      <c r="J860" s="119">
        <f ca="1">HLOOKUP($H$4,'Met Data'!$H$2:$M$368,G860,FALSE)*L860</f>
        <v>3.2333333333333298</v>
      </c>
      <c r="K860" s="98">
        <f ca="1">HLOOKUP($H$4,'Met Data'!$O$2:$T$368,G860,FALSE)</f>
        <v>1.08816831727148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151</v>
      </c>
      <c r="H861" s="97">
        <f t="shared" ca="1" si="139"/>
        <v>46172</v>
      </c>
      <c r="I861" s="121">
        <f ca="1">HLOOKUP($H$4,'Met Data'!$A$2:$F$368,G861,FALSE)</f>
        <v>9.6624999999999996</v>
      </c>
      <c r="J861" s="119">
        <f ca="1">HLOOKUP($H$4,'Met Data'!$H$2:$M$368,G861,FALSE)*L861</f>
        <v>1.88333333333333</v>
      </c>
      <c r="K861" s="98">
        <f ca="1">HLOOKUP($H$4,'Met Data'!$O$2:$T$368,G861,FALSE)</f>
        <v>1.0187040175234601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152</v>
      </c>
      <c r="H862" s="97">
        <f t="shared" ca="1" si="139"/>
        <v>46173</v>
      </c>
      <c r="I862" s="121">
        <f ca="1">HLOOKUP($H$4,'Met Data'!$A$2:$F$368,G862,FALSE)</f>
        <v>9.7166666666666597</v>
      </c>
      <c r="J862" s="119">
        <f ca="1">HLOOKUP($H$4,'Met Data'!$H$2:$M$368,G862,FALSE)*L862</f>
        <v>4.7</v>
      </c>
      <c r="K862" s="98">
        <f ca="1">HLOOKUP($H$4,'Met Data'!$O$2:$T$368,G862,FALSE)</f>
        <v>1.10197006718848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153</v>
      </c>
      <c r="H863" s="97">
        <f t="shared" ca="1" si="139"/>
        <v>46174</v>
      </c>
      <c r="I863" s="121">
        <f ca="1">HLOOKUP($H$4,'Met Data'!$A$2:$F$368,G863,FALSE)</f>
        <v>10.004166666666601</v>
      </c>
      <c r="J863" s="119">
        <f ca="1">HLOOKUP($H$4,'Met Data'!$H$2:$M$368,G863,FALSE)*L863</f>
        <v>2.5</v>
      </c>
      <c r="K863" s="98">
        <f ca="1">HLOOKUP($H$4,'Met Data'!$O$2:$T$368,G863,FALSE)</f>
        <v>1.1690097853574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154</v>
      </c>
      <c r="H864" s="97">
        <f t="shared" ca="1" si="139"/>
        <v>46175</v>
      </c>
      <c r="I864" s="121">
        <f ca="1">HLOOKUP($H$4,'Met Data'!$A$2:$F$368,G864,FALSE)</f>
        <v>9.99583333333333</v>
      </c>
      <c r="J864" s="119">
        <f ca="1">HLOOKUP($H$4,'Met Data'!$H$2:$M$368,G864,FALSE)*L864</f>
        <v>2.7833333333333301</v>
      </c>
      <c r="K864" s="98">
        <f ca="1">HLOOKUP($H$4,'Met Data'!$O$2:$T$368,G864,FALSE)</f>
        <v>1.0280895768516001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155</v>
      </c>
      <c r="H865" s="97">
        <f t="shared" ca="1" si="139"/>
        <v>46176</v>
      </c>
      <c r="I865" s="121">
        <f ca="1">HLOOKUP($H$4,'Met Data'!$A$2:$F$368,G865,FALSE)</f>
        <v>9.8999999999999897</v>
      </c>
      <c r="J865" s="119">
        <f ca="1">HLOOKUP($H$4,'Met Data'!$H$2:$M$368,G865,FALSE)*L865</f>
        <v>1.7833333333333301</v>
      </c>
      <c r="K865" s="98">
        <f ca="1">HLOOKUP($H$4,'Met Data'!$O$2:$T$368,G865,FALSE)</f>
        <v>0.97110296937720297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156</v>
      </c>
      <c r="H866" s="97">
        <f t="shared" ca="1" si="139"/>
        <v>46177</v>
      </c>
      <c r="I866" s="121">
        <f ca="1">HLOOKUP($H$4,'Met Data'!$A$2:$F$368,G866,FALSE)</f>
        <v>10.95</v>
      </c>
      <c r="J866" s="119">
        <f ca="1">HLOOKUP($H$4,'Met Data'!$H$2:$M$368,G866,FALSE)*L866</f>
        <v>2.44999999999999</v>
      </c>
      <c r="K866" s="98">
        <f ca="1">HLOOKUP($H$4,'Met Data'!$O$2:$T$368,G866,FALSE)</f>
        <v>0.960770877493487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157</v>
      </c>
      <c r="H867" s="97">
        <f t="shared" ca="1" si="139"/>
        <v>46178</v>
      </c>
      <c r="I867" s="121">
        <f ca="1">HLOOKUP($H$4,'Met Data'!$A$2:$F$368,G867,FALSE)</f>
        <v>10.6875</v>
      </c>
      <c r="J867" s="119">
        <f ca="1">HLOOKUP($H$4,'Met Data'!$H$2:$M$368,G867,FALSE)*L867</f>
        <v>4.1333333333333302</v>
      </c>
      <c r="K867" s="98">
        <f ca="1">HLOOKUP($H$4,'Met Data'!$O$2:$T$368,G867,FALSE)</f>
        <v>0.84332690198160198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158</v>
      </c>
      <c r="H868" s="97">
        <f t="shared" ca="1" si="139"/>
        <v>46179</v>
      </c>
      <c r="I868" s="121">
        <f ca="1">HLOOKUP($H$4,'Met Data'!$A$2:$F$368,G868,FALSE)</f>
        <v>10.5625</v>
      </c>
      <c r="J868" s="119">
        <f ca="1">HLOOKUP($H$4,'Met Data'!$H$2:$M$368,G868,FALSE)*L868</f>
        <v>5.3</v>
      </c>
      <c r="K868" s="98">
        <f ca="1">HLOOKUP($H$4,'Met Data'!$O$2:$T$368,G868,FALSE)</f>
        <v>0.93242759876210701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159</v>
      </c>
      <c r="H869" s="97">
        <f t="shared" ca="1" si="139"/>
        <v>46180</v>
      </c>
      <c r="I869" s="121">
        <f ca="1">HLOOKUP($H$4,'Met Data'!$A$2:$F$368,G869,FALSE)</f>
        <v>10.4625</v>
      </c>
      <c r="J869" s="119">
        <f ca="1">HLOOKUP($H$4,'Met Data'!$H$2:$M$368,G869,FALSE)*L869</f>
        <v>2.44999999999999</v>
      </c>
      <c r="K869" s="98">
        <f ca="1">HLOOKUP($H$4,'Met Data'!$O$2:$T$368,G869,FALSE)</f>
        <v>0.99912564942381998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160</v>
      </c>
      <c r="H870" s="97">
        <f t="shared" ca="1" si="139"/>
        <v>46181</v>
      </c>
      <c r="I870" s="121">
        <f ca="1">HLOOKUP($H$4,'Met Data'!$A$2:$F$368,G870,FALSE)</f>
        <v>9.5875000000000004</v>
      </c>
      <c r="J870" s="119">
        <f ca="1">HLOOKUP($H$4,'Met Data'!$H$2:$M$368,G870,FALSE)*L870</f>
        <v>1.7333333333333301</v>
      </c>
      <c r="K870" s="98">
        <f ca="1">HLOOKUP($H$4,'Met Data'!$O$2:$T$368,G870,FALSE)</f>
        <v>1.0839051549829499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161</v>
      </c>
      <c r="H871" s="97">
        <f t="shared" ca="1" si="139"/>
        <v>46182</v>
      </c>
      <c r="I871" s="121">
        <f ca="1">HLOOKUP($H$4,'Met Data'!$A$2:$F$368,G871,FALSE)</f>
        <v>9.4875000000000007</v>
      </c>
      <c r="J871" s="119">
        <f ca="1">HLOOKUP($H$4,'Met Data'!$H$2:$M$368,G871,FALSE)*L871</f>
        <v>1.55</v>
      </c>
      <c r="K871" s="98">
        <f ca="1">HLOOKUP($H$4,'Met Data'!$O$2:$T$368,G871,FALSE)</f>
        <v>0.94567596592895498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162</v>
      </c>
      <c r="H872" s="97">
        <f t="shared" ca="1" si="139"/>
        <v>46183</v>
      </c>
      <c r="I872" s="121">
        <f ca="1">HLOOKUP($H$4,'Met Data'!$A$2:$F$368,G872,FALSE)</f>
        <v>10.9</v>
      </c>
      <c r="J872" s="119">
        <f ca="1">HLOOKUP($H$4,'Met Data'!$H$2:$M$368,G872,FALSE)*L872</f>
        <v>4.8363636363636298</v>
      </c>
      <c r="K872" s="98">
        <f ca="1">HLOOKUP($H$4,'Met Data'!$O$2:$T$368,G872,FALSE)</f>
        <v>0.77149259834587403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163</v>
      </c>
      <c r="H873" s="97">
        <f t="shared" ca="1" si="139"/>
        <v>46184</v>
      </c>
      <c r="I873" s="121">
        <f ca="1">HLOOKUP($H$4,'Met Data'!$A$2:$F$368,G873,FALSE)</f>
        <v>10.8954545454545</v>
      </c>
      <c r="J873" s="119">
        <f ca="1">HLOOKUP($H$4,'Met Data'!$H$2:$M$368,G873,FALSE)*L873</f>
        <v>7.1454545454545402</v>
      </c>
      <c r="K873" s="98">
        <f ca="1">HLOOKUP($H$4,'Met Data'!$O$2:$T$368,G873,FALSE)</f>
        <v>0.76887644299908198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164</v>
      </c>
      <c r="H874" s="97">
        <f t="shared" ca="1" si="139"/>
        <v>46185</v>
      </c>
      <c r="I874" s="121">
        <f ca="1">HLOOKUP($H$4,'Met Data'!$A$2:$F$368,G874,FALSE)</f>
        <v>11.8375</v>
      </c>
      <c r="J874" s="119">
        <f ca="1">HLOOKUP($H$4,'Met Data'!$H$2:$M$368,G874,FALSE)*L874</f>
        <v>0.88333333333333297</v>
      </c>
      <c r="K874" s="98">
        <f ca="1">HLOOKUP($H$4,'Met Data'!$O$2:$T$368,G874,FALSE)</f>
        <v>0.886573255907814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165</v>
      </c>
      <c r="H875" s="97">
        <f t="shared" ca="1" si="139"/>
        <v>46186</v>
      </c>
      <c r="I875" s="121">
        <f ca="1">HLOOKUP($H$4,'Met Data'!$A$2:$F$368,G875,FALSE)</f>
        <v>10.4916666666666</v>
      </c>
      <c r="J875" s="119">
        <f ca="1">HLOOKUP($H$4,'Met Data'!$H$2:$M$368,G875,FALSE)*L875</f>
        <v>5.3166666666666602</v>
      </c>
      <c r="K875" s="98">
        <f ca="1">HLOOKUP($H$4,'Met Data'!$O$2:$T$368,G875,FALSE)</f>
        <v>0.75300621765048603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166</v>
      </c>
      <c r="H876" s="97">
        <f t="shared" ca="1" si="139"/>
        <v>46187</v>
      </c>
      <c r="I876" s="121">
        <f ca="1">HLOOKUP($H$4,'Met Data'!$A$2:$F$368,G876,FALSE)</f>
        <v>10.133333333333301</v>
      </c>
      <c r="J876" s="119">
        <f ca="1">HLOOKUP($H$4,'Met Data'!$H$2:$M$368,G876,FALSE)*L876</f>
        <v>1.2</v>
      </c>
      <c r="K876" s="98">
        <f ca="1">HLOOKUP($H$4,'Met Data'!$O$2:$T$368,G876,FALSE)</f>
        <v>1.0949815777606999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167</v>
      </c>
      <c r="H877" s="97">
        <f t="shared" ca="1" si="139"/>
        <v>46188</v>
      </c>
      <c r="I877" s="121">
        <f ca="1">HLOOKUP($H$4,'Met Data'!$A$2:$F$368,G877,FALSE)</f>
        <v>9.0291666666666597</v>
      </c>
      <c r="J877" s="119">
        <f ca="1">HLOOKUP($H$4,'Met Data'!$H$2:$M$368,G877,FALSE)*L877</f>
        <v>2.0499999999999998</v>
      </c>
      <c r="K877" s="98">
        <f ca="1">HLOOKUP($H$4,'Met Data'!$O$2:$T$368,G877,FALSE)</f>
        <v>0.76363291076582096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168</v>
      </c>
      <c r="H878" s="97">
        <f t="shared" ca="1" si="139"/>
        <v>46189</v>
      </c>
      <c r="I878" s="121">
        <f ca="1">HLOOKUP($H$4,'Met Data'!$A$2:$F$368,G878,FALSE)</f>
        <v>10.125</v>
      </c>
      <c r="J878" s="119">
        <f ca="1">HLOOKUP($H$4,'Met Data'!$H$2:$M$368,G878,FALSE)*L878</f>
        <v>2.68333333333333</v>
      </c>
      <c r="K878" s="98">
        <f ca="1">HLOOKUP($H$4,'Met Data'!$O$2:$T$368,G878,FALSE)</f>
        <v>0.84633721178312304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169</v>
      </c>
      <c r="H879" s="97">
        <f t="shared" ca="1" si="139"/>
        <v>46190</v>
      </c>
      <c r="I879" s="121">
        <f ca="1">HLOOKUP($H$4,'Met Data'!$A$2:$F$368,G879,FALSE)</f>
        <v>10.2291666666666</v>
      </c>
      <c r="J879" s="119">
        <f ca="1">HLOOKUP($H$4,'Met Data'!$H$2:$M$368,G879,FALSE)*L879</f>
        <v>2.5333333333333301</v>
      </c>
      <c r="K879" s="98">
        <f ca="1">HLOOKUP($H$4,'Met Data'!$O$2:$T$368,G879,FALSE)</f>
        <v>0.91611783655738799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ref="G880:G943" ca="1" si="140">H880-DATE(YEAR(H880),1,0)+1</f>
        <v>170</v>
      </c>
      <c r="H880" s="97">
        <f t="shared" ca="1" si="139"/>
        <v>46191</v>
      </c>
      <c r="I880" s="121">
        <f ca="1">HLOOKUP($H$4,'Met Data'!$A$2:$F$368,G880,FALSE)</f>
        <v>10.316666666666601</v>
      </c>
      <c r="J880" s="119">
        <f ca="1">HLOOKUP($H$4,'Met Data'!$H$2:$M$368,G880,FALSE)*L880</f>
        <v>5.5</v>
      </c>
      <c r="K880" s="98">
        <f ca="1">HLOOKUP($H$4,'Met Data'!$O$2:$T$368,G880,FALSE)</f>
        <v>0.749895043982166</v>
      </c>
      <c r="L880">
        <f t="shared" ca="1" si="138"/>
        <v>1</v>
      </c>
      <c r="N880" t="e">
        <f t="shared" ref="N880:N943" ca="1" si="141">IF(P880&lt;$P$3,TRUE,FALSE)</f>
        <v>#N/A</v>
      </c>
      <c r="O880" t="e">
        <f t="shared" ref="O880:O943" ca="1" si="142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3">IFERROR(P880,$AD$4)</f>
        <v>0</v>
      </c>
      <c r="AE880">
        <f t="shared" ref="AE880:AE943" ca="1" si="144">IFERROR(U880,0)</f>
        <v>0</v>
      </c>
      <c r="AG880" s="63" t="e">
        <f t="shared" ref="AG880:AG943" ca="1" si="145">Q879+S880+T880+U880</f>
        <v>#N/A</v>
      </c>
      <c r="AH880" s="63" t="e">
        <f t="shared" ref="AH880:AH943" ca="1" si="146">Q880+R880+X880</f>
        <v>#N/A</v>
      </c>
      <c r="AI880" s="3" t="e">
        <f t="shared" ref="AI880:AI943" ca="1" si="147">AH880-AG880</f>
        <v>#N/A</v>
      </c>
    </row>
    <row r="881" spans="7:35" ht="15.75" thickBot="1">
      <c r="G881" s="3">
        <f t="shared" ca="1" si="140"/>
        <v>171</v>
      </c>
      <c r="H881" s="97">
        <f t="shared" ca="1" si="139"/>
        <v>46192</v>
      </c>
      <c r="I881" s="121">
        <f ca="1">HLOOKUP($H$4,'Met Data'!$A$2:$F$368,G881,FALSE)</f>
        <v>10.6666666666666</v>
      </c>
      <c r="J881" s="119">
        <f ca="1">HLOOKUP($H$4,'Met Data'!$H$2:$M$368,G881,FALSE)*L881</f>
        <v>11.883333333333301</v>
      </c>
      <c r="K881" s="98">
        <f ca="1">HLOOKUP($H$4,'Met Data'!$O$2:$T$368,G881,FALSE)</f>
        <v>0.72031723210574305</v>
      </c>
      <c r="L881">
        <f t="shared" ca="1" si="138"/>
        <v>1</v>
      </c>
      <c r="N881" t="e">
        <f t="shared" ca="1" si="141"/>
        <v>#N/A</v>
      </c>
      <c r="O881" t="e">
        <f t="shared" ca="1" si="142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3"/>
        <v>0</v>
      </c>
      <c r="AE881">
        <f t="shared" ca="1" si="144"/>
        <v>0</v>
      </c>
      <c r="AG881" s="63" t="e">
        <f t="shared" ca="1" si="145"/>
        <v>#N/A</v>
      </c>
      <c r="AH881" s="63" t="e">
        <f t="shared" ca="1" si="146"/>
        <v>#N/A</v>
      </c>
      <c r="AI881" s="3" t="e">
        <f t="shared" ca="1" si="147"/>
        <v>#N/A</v>
      </c>
    </row>
    <row r="882" spans="7:35" ht="15.75" thickBot="1">
      <c r="G882" s="3">
        <f t="shared" ca="1" si="140"/>
        <v>172</v>
      </c>
      <c r="H882" s="97">
        <f t="shared" ca="1" si="139"/>
        <v>46193</v>
      </c>
      <c r="I882" s="121">
        <f ca="1">HLOOKUP($H$4,'Met Data'!$A$2:$F$368,G882,FALSE)</f>
        <v>10.6181818181818</v>
      </c>
      <c r="J882" s="119">
        <f ca="1">HLOOKUP($H$4,'Met Data'!$H$2:$M$368,G882,FALSE)*L882</f>
        <v>9.0181818181818105</v>
      </c>
      <c r="K882" s="98">
        <f ca="1">HLOOKUP($H$4,'Met Data'!$O$2:$T$368,G882,FALSE)</f>
        <v>0.829345309973199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173</v>
      </c>
      <c r="H883" s="97">
        <f t="shared" ca="1" si="139"/>
        <v>46194</v>
      </c>
      <c r="I883" s="121">
        <f ca="1">HLOOKUP($H$4,'Met Data'!$A$2:$F$368,G883,FALSE)</f>
        <v>10.0318181818181</v>
      </c>
      <c r="J883" s="119">
        <f ca="1">HLOOKUP($H$4,'Met Data'!$H$2:$M$368,G883,FALSE)*L883</f>
        <v>1.9090909090909001</v>
      </c>
      <c r="K883" s="98">
        <f ca="1">HLOOKUP($H$4,'Met Data'!$O$2:$T$368,G883,FALSE)</f>
        <v>0.90574236110997597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174</v>
      </c>
      <c r="H884" s="97">
        <f t="shared" ca="1" si="139"/>
        <v>46195</v>
      </c>
      <c r="I884" s="121">
        <f ca="1">HLOOKUP($H$4,'Met Data'!$A$2:$F$368,G884,FALSE)</f>
        <v>8.9727272727272709</v>
      </c>
      <c r="J884" s="119">
        <f ca="1">HLOOKUP($H$4,'Met Data'!$H$2:$M$368,G884,FALSE)*L884</f>
        <v>1.9636363636363601</v>
      </c>
      <c r="K884" s="98">
        <f ca="1">HLOOKUP($H$4,'Met Data'!$O$2:$T$368,G884,FALSE)</f>
        <v>0.89904843691310898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175</v>
      </c>
      <c r="H885" s="97">
        <f t="shared" ca="1" si="139"/>
        <v>46196</v>
      </c>
      <c r="I885" s="121">
        <f ca="1">HLOOKUP($H$4,'Met Data'!$A$2:$F$368,G885,FALSE)</f>
        <v>9.0227272727272698</v>
      </c>
      <c r="J885" s="119">
        <f ca="1">HLOOKUP($H$4,'Met Data'!$H$2:$M$368,G885,FALSE)*L885</f>
        <v>3.0181818181818101</v>
      </c>
      <c r="K885" s="98">
        <f ca="1">HLOOKUP($H$4,'Met Data'!$O$2:$T$368,G885,FALSE)</f>
        <v>0.82913615112138495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176</v>
      </c>
      <c r="H886" s="97">
        <f t="shared" ca="1" si="139"/>
        <v>46197</v>
      </c>
      <c r="I886" s="121">
        <f ca="1">HLOOKUP($H$4,'Met Data'!$A$2:$F$368,G886,FALSE)</f>
        <v>10.3590909090909</v>
      </c>
      <c r="J886" s="119">
        <f ca="1">HLOOKUP($H$4,'Met Data'!$H$2:$M$368,G886,FALSE)*L886</f>
        <v>3.7454545454545398</v>
      </c>
      <c r="K886" s="98">
        <f ca="1">HLOOKUP($H$4,'Met Data'!$O$2:$T$368,G886,FALSE)</f>
        <v>0.88746237543267503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177</v>
      </c>
      <c r="H887" s="97">
        <f t="shared" ca="1" si="139"/>
        <v>46198</v>
      </c>
      <c r="I887" s="121">
        <f ca="1">HLOOKUP($H$4,'Met Data'!$A$2:$F$368,G887,FALSE)</f>
        <v>9.5090909090909097</v>
      </c>
      <c r="J887" s="119">
        <f ca="1">HLOOKUP($H$4,'Met Data'!$H$2:$M$368,G887,FALSE)*L887</f>
        <v>3.1090909090909</v>
      </c>
      <c r="K887" s="98">
        <f ca="1">HLOOKUP($H$4,'Met Data'!$O$2:$T$368,G887,FALSE)</f>
        <v>0.97866599470650895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178</v>
      </c>
      <c r="H888" s="97">
        <f t="shared" ca="1" si="139"/>
        <v>46199</v>
      </c>
      <c r="I888" s="121">
        <f ca="1">HLOOKUP($H$4,'Met Data'!$A$2:$F$368,G888,FALSE)</f>
        <v>9.1272727272727199</v>
      </c>
      <c r="J888" s="119">
        <f ca="1">HLOOKUP($H$4,'Met Data'!$H$2:$M$368,G888,FALSE)*L888</f>
        <v>1.25454545454545</v>
      </c>
      <c r="K888" s="98">
        <f ca="1">HLOOKUP($H$4,'Met Data'!$O$2:$T$368,G888,FALSE)</f>
        <v>1.0040569739087299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179</v>
      </c>
      <c r="H889" s="97">
        <f t="shared" ca="1" si="139"/>
        <v>46200</v>
      </c>
      <c r="I889" s="121">
        <f ca="1">HLOOKUP($H$4,'Met Data'!$A$2:$F$368,G889,FALSE)</f>
        <v>8.7727272727272698</v>
      </c>
      <c r="J889" s="119">
        <f ca="1">HLOOKUP($H$4,'Met Data'!$H$2:$M$368,G889,FALSE)*L889</f>
        <v>2.9818181818181801</v>
      </c>
      <c r="K889" s="98">
        <f ca="1">HLOOKUP($H$4,'Met Data'!$O$2:$T$368,G889,FALSE)</f>
        <v>0.89055521132494797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180</v>
      </c>
      <c r="H890" s="97">
        <f t="shared" ca="1" si="139"/>
        <v>46201</v>
      </c>
      <c r="I890" s="121">
        <f ca="1">HLOOKUP($H$4,'Met Data'!$A$2:$F$368,G890,FALSE)</f>
        <v>8.8363636363636306</v>
      </c>
      <c r="J890" s="119">
        <f ca="1">HLOOKUP($H$4,'Met Data'!$H$2:$M$368,G890,FALSE)*L890</f>
        <v>0.90909090909090895</v>
      </c>
      <c r="K890" s="98">
        <f ca="1">HLOOKUP($H$4,'Met Data'!$O$2:$T$368,G890,FALSE)</f>
        <v>0.949335994975394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181</v>
      </c>
      <c r="H891" s="97">
        <f t="shared" ca="1" si="139"/>
        <v>46202</v>
      </c>
      <c r="I891" s="121">
        <f ca="1">HLOOKUP($H$4,'Met Data'!$A$2:$F$368,G891,FALSE)</f>
        <v>8.7136363636363594</v>
      </c>
      <c r="J891" s="119">
        <f ca="1">HLOOKUP($H$4,'Met Data'!$H$2:$M$368,G891,FALSE)*L891</f>
        <v>1.7833333333333301</v>
      </c>
      <c r="K891" s="98">
        <f ca="1">HLOOKUP($H$4,'Met Data'!$O$2:$T$368,G891,FALSE)</f>
        <v>0.92539172734817898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182</v>
      </c>
      <c r="H892" s="97">
        <f t="shared" ca="1" si="139"/>
        <v>46203</v>
      </c>
      <c r="I892" s="121">
        <f ca="1">HLOOKUP($H$4,'Met Data'!$A$2:$F$368,G892,FALSE)</f>
        <v>8.5291666666666597</v>
      </c>
      <c r="J892" s="119">
        <f ca="1">HLOOKUP($H$4,'Met Data'!$H$2:$M$368,G892,FALSE)*L892</f>
        <v>2.5833333333333299</v>
      </c>
      <c r="K892" s="98">
        <f ca="1">HLOOKUP($H$4,'Met Data'!$O$2:$T$368,G892,FALSE)</f>
        <v>0.82623977006466498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183</v>
      </c>
      <c r="H893" s="97">
        <f t="shared" ca="1" si="139"/>
        <v>46204</v>
      </c>
      <c r="I893" s="121">
        <f ca="1">HLOOKUP($H$4,'Met Data'!$A$2:$F$368,G893,FALSE)</f>
        <v>8.8208333333333293</v>
      </c>
      <c r="J893" s="119">
        <f ca="1">HLOOKUP($H$4,'Met Data'!$H$2:$M$368,G893,FALSE)*L893</f>
        <v>2.1333333333333302</v>
      </c>
      <c r="K893" s="98">
        <f ca="1">HLOOKUP($H$4,'Met Data'!$O$2:$T$368,G893,FALSE)</f>
        <v>0.80690048817841498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184</v>
      </c>
      <c r="H894" s="97">
        <f t="shared" ca="1" si="139"/>
        <v>46205</v>
      </c>
      <c r="I894" s="121">
        <f ca="1">HLOOKUP($H$4,'Met Data'!$A$2:$F$368,G894,FALSE)</f>
        <v>8.2249999999999996</v>
      </c>
      <c r="J894" s="119">
        <f ca="1">HLOOKUP($H$4,'Met Data'!$H$2:$M$368,G894,FALSE)*L894</f>
        <v>0.83333333333333304</v>
      </c>
      <c r="K894" s="98">
        <f ca="1">HLOOKUP($H$4,'Met Data'!$O$2:$T$368,G894,FALSE)</f>
        <v>1.0149186441071101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185</v>
      </c>
      <c r="H895" s="97">
        <f t="shared" ca="1" si="139"/>
        <v>46206</v>
      </c>
      <c r="I895" s="121">
        <f ca="1">HLOOKUP($H$4,'Met Data'!$A$2:$F$368,G895,FALSE)</f>
        <v>8.8333333333333304</v>
      </c>
      <c r="J895" s="119">
        <f ca="1">HLOOKUP($H$4,'Met Data'!$H$2:$M$368,G895,FALSE)*L895</f>
        <v>3.5666666666666602</v>
      </c>
      <c r="K895" s="98">
        <f ca="1">HLOOKUP($H$4,'Met Data'!$O$2:$T$368,G895,FALSE)</f>
        <v>0.89125379504041602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186</v>
      </c>
      <c r="H896" s="97">
        <f t="shared" ca="1" si="139"/>
        <v>46207</v>
      </c>
      <c r="I896" s="121">
        <f ca="1">HLOOKUP($H$4,'Met Data'!$A$2:$F$368,G896,FALSE)</f>
        <v>8.6</v>
      </c>
      <c r="J896" s="119">
        <f ca="1">HLOOKUP($H$4,'Met Data'!$H$2:$M$368,G896,FALSE)*L896</f>
        <v>0.73333333333333295</v>
      </c>
      <c r="K896" s="98">
        <f ca="1">HLOOKUP($H$4,'Met Data'!$O$2:$T$368,G896,FALSE)</f>
        <v>0.87224086772784204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187</v>
      </c>
      <c r="H897" s="97">
        <f t="shared" ca="1" si="139"/>
        <v>46208</v>
      </c>
      <c r="I897" s="121">
        <f ca="1">HLOOKUP($H$4,'Met Data'!$A$2:$F$368,G897,FALSE)</f>
        <v>9.4</v>
      </c>
      <c r="J897" s="119">
        <f ca="1">HLOOKUP($H$4,'Met Data'!$H$2:$M$368,G897,FALSE)*L897</f>
        <v>9.9999999999999895E-2</v>
      </c>
      <c r="K897" s="98">
        <f ca="1">HLOOKUP($H$4,'Met Data'!$O$2:$T$368,G897,FALSE)</f>
        <v>0.96939333533810901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188</v>
      </c>
      <c r="H898" s="97">
        <f t="shared" ca="1" si="139"/>
        <v>46209</v>
      </c>
      <c r="I898" s="121">
        <f ca="1">HLOOKUP($H$4,'Met Data'!$A$2:$F$368,G898,FALSE)</f>
        <v>9.12083333333333</v>
      </c>
      <c r="J898" s="119">
        <f ca="1">HLOOKUP($H$4,'Met Data'!$H$2:$M$368,G898,FALSE)*L898</f>
        <v>2.18333333333333</v>
      </c>
      <c r="K898" s="98">
        <f ca="1">HLOOKUP($H$4,'Met Data'!$O$2:$T$368,G898,FALSE)</f>
        <v>0.851628840058262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189</v>
      </c>
      <c r="H899" s="97">
        <f t="shared" ca="1" si="139"/>
        <v>46210</v>
      </c>
      <c r="I899" s="121">
        <f ca="1">HLOOKUP($H$4,'Met Data'!$A$2:$F$368,G899,FALSE)</f>
        <v>9.6583333333333297</v>
      </c>
      <c r="J899" s="119">
        <f ca="1">HLOOKUP($H$4,'Met Data'!$H$2:$M$368,G899,FALSE)*L899</f>
        <v>4.5666666666666602</v>
      </c>
      <c r="K899" s="98">
        <f ca="1">HLOOKUP($H$4,'Met Data'!$O$2:$T$368,G899,FALSE)</f>
        <v>0.80851868655974801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190</v>
      </c>
      <c r="H900" s="97">
        <f t="shared" ca="1" si="139"/>
        <v>46211</v>
      </c>
      <c r="I900" s="121">
        <f ca="1">HLOOKUP($H$4,'Met Data'!$A$2:$F$368,G900,FALSE)</f>
        <v>8.5291666666666597</v>
      </c>
      <c r="J900" s="119">
        <f ca="1">HLOOKUP($H$4,'Met Data'!$H$2:$M$368,G900,FALSE)*L900</f>
        <v>3.7833333333333301</v>
      </c>
      <c r="K900" s="98">
        <f ca="1">HLOOKUP($H$4,'Met Data'!$O$2:$T$368,G900,FALSE)</f>
        <v>1.09493770994468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191</v>
      </c>
      <c r="H901" s="97">
        <f t="shared" ca="1" si="139"/>
        <v>46212</v>
      </c>
      <c r="I901" s="121">
        <f ca="1">HLOOKUP($H$4,'Met Data'!$A$2:$F$368,G901,FALSE)</f>
        <v>8.1583333333333297</v>
      </c>
      <c r="J901" s="119">
        <f ca="1">HLOOKUP($H$4,'Met Data'!$H$2:$M$368,G901,FALSE)*L901</f>
        <v>4.18333333333333</v>
      </c>
      <c r="K901" s="98">
        <f ca="1">HLOOKUP($H$4,'Met Data'!$O$2:$T$368,G901,FALSE)</f>
        <v>0.89025740200721304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192</v>
      </c>
      <c r="H902" s="97">
        <f t="shared" ca="1" si="139"/>
        <v>46213</v>
      </c>
      <c r="I902" s="121">
        <f ca="1">HLOOKUP($H$4,'Met Data'!$A$2:$F$368,G902,FALSE)</f>
        <v>8.24166666666666</v>
      </c>
      <c r="J902" s="119">
        <f ca="1">HLOOKUP($H$4,'Met Data'!$H$2:$M$368,G902,FALSE)*L902</f>
        <v>2.2666666666666599</v>
      </c>
      <c r="K902" s="98">
        <f ca="1">HLOOKUP($H$4,'Met Data'!$O$2:$T$368,G902,FALSE)</f>
        <v>1.06467045295546</v>
      </c>
      <c r="L902">
        <f t="shared" ref="L902:L965" ca="1" si="148">IF(H902&lt;$B$31,$J$3,$J$4)</f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193</v>
      </c>
      <c r="H903" s="97">
        <f t="shared" ca="1" si="139"/>
        <v>46214</v>
      </c>
      <c r="I903" s="121">
        <f ca="1">HLOOKUP($H$4,'Met Data'!$A$2:$F$368,G903,FALSE)</f>
        <v>8.0333333333333297</v>
      </c>
      <c r="J903" s="119">
        <f ca="1">HLOOKUP($H$4,'Met Data'!$H$2:$M$368,G903,FALSE)*L903</f>
        <v>4.6500000000000004</v>
      </c>
      <c r="K903" s="98">
        <f ca="1">HLOOKUP($H$4,'Met Data'!$O$2:$T$368,G903,FALSE)</f>
        <v>1.03430816091664</v>
      </c>
      <c r="L903">
        <f t="shared" ca="1" si="148"/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194</v>
      </c>
      <c r="H904" s="97">
        <f t="shared" ref="H904:H967" ca="1" si="149">H903+1</f>
        <v>46215</v>
      </c>
      <c r="I904" s="121">
        <f ca="1">HLOOKUP($H$4,'Met Data'!$A$2:$F$368,G904,FALSE)</f>
        <v>8.37083333333333</v>
      </c>
      <c r="J904" s="119">
        <f ca="1">HLOOKUP($H$4,'Met Data'!$H$2:$M$368,G904,FALSE)*L904</f>
        <v>1.61666666666666</v>
      </c>
      <c r="K904" s="98">
        <f ca="1">HLOOKUP($H$4,'Met Data'!$O$2:$T$368,G904,FALSE)</f>
        <v>1.0039262064680501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195</v>
      </c>
      <c r="H905" s="97">
        <f t="shared" ca="1" si="149"/>
        <v>46216</v>
      </c>
      <c r="I905" s="121">
        <f ca="1">HLOOKUP($H$4,'Met Data'!$A$2:$F$368,G905,FALSE)</f>
        <v>8.0916666666666597</v>
      </c>
      <c r="J905" s="119">
        <f ca="1">HLOOKUP($H$4,'Met Data'!$H$2:$M$368,G905,FALSE)*L905</f>
        <v>5.0666666666666602</v>
      </c>
      <c r="K905" s="98">
        <f ca="1">HLOOKUP($H$4,'Met Data'!$O$2:$T$368,G905,FALSE)</f>
        <v>0.87492032925951801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196</v>
      </c>
      <c r="H906" s="97">
        <f t="shared" ca="1" si="149"/>
        <v>46217</v>
      </c>
      <c r="I906" s="121">
        <f ca="1">HLOOKUP($H$4,'Met Data'!$A$2:$F$368,G906,FALSE)</f>
        <v>7.9156250000000004</v>
      </c>
      <c r="J906" s="119">
        <f ca="1">HLOOKUP($H$4,'Met Data'!$H$2:$M$368,G906,FALSE)*L906</f>
        <v>4.1666666666666599</v>
      </c>
      <c r="K906" s="98">
        <f ca="1">HLOOKUP($H$4,'Met Data'!$O$2:$T$368,G906,FALSE)</f>
        <v>0.80250527716076203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197</v>
      </c>
      <c r="H907" s="97">
        <f t="shared" ca="1" si="149"/>
        <v>46218</v>
      </c>
      <c r="I907" s="121">
        <f ca="1">HLOOKUP($H$4,'Met Data'!$A$2:$F$368,G907,FALSE)</f>
        <v>8.8590909090909093</v>
      </c>
      <c r="J907" s="119">
        <f ca="1">HLOOKUP($H$4,'Met Data'!$H$2:$M$368,G907,FALSE)*L907</f>
        <v>2.0666666666666602</v>
      </c>
      <c r="K907" s="98">
        <f ca="1">HLOOKUP($H$4,'Met Data'!$O$2:$T$368,G907,FALSE)</f>
        <v>0.97822362204517799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198</v>
      </c>
      <c r="H908" s="97">
        <f t="shared" ca="1" si="149"/>
        <v>46219</v>
      </c>
      <c r="I908" s="121">
        <f ca="1">HLOOKUP($H$4,'Met Data'!$A$2:$F$368,G908,FALSE)</f>
        <v>8.8590909090909093</v>
      </c>
      <c r="J908" s="119">
        <f ca="1">HLOOKUP($H$4,'Met Data'!$H$2:$M$368,G908,FALSE)*L908</f>
        <v>6.0666666666666602</v>
      </c>
      <c r="K908" s="98">
        <f ca="1">HLOOKUP($H$4,'Met Data'!$O$2:$T$368,G908,FALSE)</f>
        <v>0.78802331007485205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199</v>
      </c>
      <c r="H909" s="97">
        <f t="shared" ca="1" si="149"/>
        <v>46220</v>
      </c>
      <c r="I909" s="121">
        <f ca="1">HLOOKUP($H$4,'Met Data'!$A$2:$F$368,G909,FALSE)</f>
        <v>9.5909090909090899</v>
      </c>
      <c r="J909" s="119">
        <f ca="1">HLOOKUP($H$4,'Met Data'!$H$2:$M$368,G909,FALSE)*L909</f>
        <v>4.5999999999999996</v>
      </c>
      <c r="K909" s="98">
        <f ca="1">HLOOKUP($H$4,'Met Data'!$O$2:$T$368,G909,FALSE)</f>
        <v>0.944748845250029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200</v>
      </c>
      <c r="H910" s="97">
        <f t="shared" ca="1" si="149"/>
        <v>46221</v>
      </c>
      <c r="I910" s="121">
        <f ca="1">HLOOKUP($H$4,'Met Data'!$A$2:$F$368,G910,FALSE)</f>
        <v>8.8450000000000006</v>
      </c>
      <c r="J910" s="119">
        <f ca="1">HLOOKUP($H$4,'Met Data'!$H$2:$M$368,G910,FALSE)*L910</f>
        <v>1.1000000000000001</v>
      </c>
      <c r="K910" s="98">
        <f ca="1">HLOOKUP($H$4,'Met Data'!$O$2:$T$368,G910,FALSE)</f>
        <v>1.0240187106181899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201</v>
      </c>
      <c r="H911" s="97">
        <f t="shared" ca="1" si="149"/>
        <v>46222</v>
      </c>
      <c r="I911" s="121">
        <f ca="1">HLOOKUP($H$4,'Met Data'!$A$2:$F$368,G911,FALSE)</f>
        <v>8.99166666666666</v>
      </c>
      <c r="J911" s="119">
        <f ca="1">HLOOKUP($H$4,'Met Data'!$H$2:$M$368,G911,FALSE)*L911</f>
        <v>1.3499999999999901</v>
      </c>
      <c r="K911" s="98">
        <f ca="1">HLOOKUP($H$4,'Met Data'!$O$2:$T$368,G911,FALSE)</f>
        <v>1.16174529470798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202</v>
      </c>
      <c r="H912" s="97">
        <f t="shared" ca="1" si="149"/>
        <v>46223</v>
      </c>
      <c r="I912" s="121">
        <f ca="1">HLOOKUP($H$4,'Met Data'!$A$2:$F$368,G912,FALSE)</f>
        <v>9.5</v>
      </c>
      <c r="J912" s="119">
        <f ca="1">HLOOKUP($H$4,'Met Data'!$H$2:$M$368,G912,FALSE)*L912</f>
        <v>2.75</v>
      </c>
      <c r="K912" s="98">
        <f ca="1">HLOOKUP($H$4,'Met Data'!$O$2:$T$368,G912,FALSE)</f>
        <v>0.94669865516537999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203</v>
      </c>
      <c r="H913" s="97">
        <f t="shared" ca="1" si="149"/>
        <v>46224</v>
      </c>
      <c r="I913" s="121">
        <f ca="1">HLOOKUP($H$4,'Met Data'!$A$2:$F$368,G913,FALSE)</f>
        <v>9.8333333333333304</v>
      </c>
      <c r="J913" s="119">
        <f ca="1">HLOOKUP($H$4,'Met Data'!$H$2:$M$368,G913,FALSE)*L913</f>
        <v>3.6333333333333302</v>
      </c>
      <c r="K913" s="98">
        <f ca="1">HLOOKUP($H$4,'Met Data'!$O$2:$T$368,G913,FALSE)</f>
        <v>1.0815395194790001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204</v>
      </c>
      <c r="H914" s="97">
        <f t="shared" ca="1" si="149"/>
        <v>46225</v>
      </c>
      <c r="I914" s="121">
        <f ca="1">HLOOKUP($H$4,'Met Data'!$A$2:$F$368,G914,FALSE)</f>
        <v>10.029166666666599</v>
      </c>
      <c r="J914" s="119">
        <f ca="1">HLOOKUP($H$4,'Met Data'!$H$2:$M$368,G914,FALSE)*L914</f>
        <v>4.68333333333333</v>
      </c>
      <c r="K914" s="98">
        <f ca="1">HLOOKUP($H$4,'Met Data'!$O$2:$T$368,G914,FALSE)</f>
        <v>1.0771273773513399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205</v>
      </c>
      <c r="H915" s="97">
        <f t="shared" ca="1" si="149"/>
        <v>46226</v>
      </c>
      <c r="I915" s="121">
        <f ca="1">HLOOKUP($H$4,'Met Data'!$A$2:$F$368,G915,FALSE)</f>
        <v>9.4250000000000007</v>
      </c>
      <c r="J915" s="119">
        <f ca="1">HLOOKUP($H$4,'Met Data'!$H$2:$M$368,G915,FALSE)*L915</f>
        <v>5.2666666666666604</v>
      </c>
      <c r="K915" s="98">
        <f ca="1">HLOOKUP($H$4,'Met Data'!$O$2:$T$368,G915,FALSE)</f>
        <v>0.87955885998233896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206</v>
      </c>
      <c r="H916" s="97">
        <f t="shared" ca="1" si="149"/>
        <v>46227</v>
      </c>
      <c r="I916" s="121">
        <f ca="1">HLOOKUP($H$4,'Met Data'!$A$2:$F$368,G916,FALSE)</f>
        <v>9.4</v>
      </c>
      <c r="J916" s="119">
        <f ca="1">HLOOKUP($H$4,'Met Data'!$H$2:$M$368,G916,FALSE)*L916</f>
        <v>2.0499999999999998</v>
      </c>
      <c r="K916" s="98">
        <f ca="1">HLOOKUP($H$4,'Met Data'!$O$2:$T$368,G916,FALSE)</f>
        <v>0.953998897248024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207</v>
      </c>
      <c r="H917" s="97">
        <f t="shared" ca="1" si="149"/>
        <v>46228</v>
      </c>
      <c r="I917" s="121">
        <f ca="1">HLOOKUP($H$4,'Met Data'!$A$2:$F$368,G917,FALSE)</f>
        <v>8.92916666666666</v>
      </c>
      <c r="J917" s="119">
        <f ca="1">HLOOKUP($H$4,'Met Data'!$H$2:$M$368,G917,FALSE)*L917</f>
        <v>1.1499999999999999</v>
      </c>
      <c r="K917" s="98">
        <f ca="1">HLOOKUP($H$4,'Met Data'!$O$2:$T$368,G917,FALSE)</f>
        <v>1.2467505566806001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208</v>
      </c>
      <c r="H918" s="97">
        <f t="shared" ca="1" si="149"/>
        <v>46229</v>
      </c>
      <c r="I918" s="121">
        <f ca="1">HLOOKUP($H$4,'Met Data'!$A$2:$F$368,G918,FALSE)</f>
        <v>8.7624999999999993</v>
      </c>
      <c r="J918" s="119">
        <f ca="1">HLOOKUP($H$4,'Met Data'!$H$2:$M$368,G918,FALSE)*L918</f>
        <v>0.45</v>
      </c>
      <c r="K918" s="98">
        <f ca="1">HLOOKUP($H$4,'Met Data'!$O$2:$T$368,G918,FALSE)</f>
        <v>1.3150067848265401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209</v>
      </c>
      <c r="H919" s="97">
        <f t="shared" ca="1" si="149"/>
        <v>46230</v>
      </c>
      <c r="I919" s="121">
        <f ca="1">HLOOKUP($H$4,'Met Data'!$A$2:$F$368,G919,FALSE)</f>
        <v>9.3333333333333304</v>
      </c>
      <c r="J919" s="119">
        <f ca="1">HLOOKUP($H$4,'Met Data'!$H$2:$M$368,G919,FALSE)*L919</f>
        <v>2.0166666666666599</v>
      </c>
      <c r="K919" s="98">
        <f ca="1">HLOOKUP($H$4,'Met Data'!$O$2:$T$368,G919,FALSE)</f>
        <v>1.11956275252086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210</v>
      </c>
      <c r="H920" s="97">
        <f t="shared" ca="1" si="149"/>
        <v>46231</v>
      </c>
      <c r="I920" s="121">
        <f ca="1">HLOOKUP($H$4,'Met Data'!$A$2:$F$368,G920,FALSE)</f>
        <v>8.9875000000000007</v>
      </c>
      <c r="J920" s="119">
        <f ca="1">HLOOKUP($H$4,'Met Data'!$H$2:$M$368,G920,FALSE)*L920</f>
        <v>1.2666666666666599</v>
      </c>
      <c r="K920" s="98">
        <f ca="1">HLOOKUP($H$4,'Met Data'!$O$2:$T$368,G920,FALSE)</f>
        <v>1.28515382274214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211</v>
      </c>
      <c r="H921" s="97">
        <f t="shared" ca="1" si="149"/>
        <v>46232</v>
      </c>
      <c r="I921" s="121">
        <f ca="1">HLOOKUP($H$4,'Met Data'!$A$2:$F$368,G921,FALSE)</f>
        <v>9.0374999999999996</v>
      </c>
      <c r="J921" s="119">
        <f ca="1">HLOOKUP($H$4,'Met Data'!$H$2:$M$368,G921,FALSE)*L921</f>
        <v>2.7999999999999901</v>
      </c>
      <c r="K921" s="98">
        <f ca="1">HLOOKUP($H$4,'Met Data'!$O$2:$T$368,G921,FALSE)</f>
        <v>1.1959337492079301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212</v>
      </c>
      <c r="H922" s="97">
        <f t="shared" ca="1" si="149"/>
        <v>46233</v>
      </c>
      <c r="I922" s="121">
        <f ca="1">HLOOKUP($H$4,'Met Data'!$A$2:$F$368,G922,FALSE)</f>
        <v>8.17916666666666</v>
      </c>
      <c r="J922" s="119">
        <f ca="1">HLOOKUP($H$4,'Met Data'!$H$2:$M$368,G922,FALSE)*L922</f>
        <v>1.55</v>
      </c>
      <c r="K922" s="98">
        <f ca="1">HLOOKUP($H$4,'Met Data'!$O$2:$T$368,G922,FALSE)</f>
        <v>1.3658842309244701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213</v>
      </c>
      <c r="H923" s="97">
        <f t="shared" ca="1" si="149"/>
        <v>46234</v>
      </c>
      <c r="I923" s="121">
        <f ca="1">HLOOKUP($H$4,'Met Data'!$A$2:$F$368,G923,FALSE)</f>
        <v>8.75</v>
      </c>
      <c r="J923" s="119">
        <f ca="1">HLOOKUP($H$4,'Met Data'!$H$2:$M$368,G923,FALSE)*L923</f>
        <v>2.44999999999999</v>
      </c>
      <c r="K923" s="98">
        <f ca="1">HLOOKUP($H$4,'Met Data'!$O$2:$T$368,G923,FALSE)</f>
        <v>0.89818915942500899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214</v>
      </c>
      <c r="H924" s="97">
        <f t="shared" ca="1" si="149"/>
        <v>46235</v>
      </c>
      <c r="I924" s="121">
        <f ca="1">HLOOKUP($H$4,'Met Data'!$A$2:$F$368,G924,FALSE)</f>
        <v>10.3375</v>
      </c>
      <c r="J924" s="119">
        <f ca="1">HLOOKUP($H$4,'Met Data'!$H$2:$M$368,G924,FALSE)*L924</f>
        <v>5.2666666666666604</v>
      </c>
      <c r="K924" s="98">
        <f ca="1">HLOOKUP($H$4,'Met Data'!$O$2:$T$368,G924,FALSE)</f>
        <v>0.94454335980482496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215</v>
      </c>
      <c r="H925" s="97">
        <f t="shared" ca="1" si="149"/>
        <v>46236</v>
      </c>
      <c r="I925" s="121">
        <f ca="1">HLOOKUP($H$4,'Met Data'!$A$2:$F$368,G925,FALSE)</f>
        <v>10.595454545454499</v>
      </c>
      <c r="J925" s="119">
        <f ca="1">HLOOKUP($H$4,'Met Data'!$H$2:$M$368,G925,FALSE)*L925</f>
        <v>4.4166666666666599</v>
      </c>
      <c r="K925" s="98">
        <f ca="1">HLOOKUP($H$4,'Met Data'!$O$2:$T$368,G925,FALSE)</f>
        <v>1.0832642567801201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216</v>
      </c>
      <c r="H926" s="97">
        <f t="shared" ca="1" si="149"/>
        <v>46237</v>
      </c>
      <c r="I926" s="121">
        <f ca="1">HLOOKUP($H$4,'Met Data'!$A$2:$F$368,G926,FALSE)</f>
        <v>10.1041666666666</v>
      </c>
      <c r="J926" s="119">
        <f ca="1">HLOOKUP($H$4,'Met Data'!$H$2:$M$368,G926,FALSE)*L926</f>
        <v>2.0833333333333299</v>
      </c>
      <c r="K926" s="98">
        <f ca="1">HLOOKUP($H$4,'Met Data'!$O$2:$T$368,G926,FALSE)</f>
        <v>1.39183263100002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217</v>
      </c>
      <c r="H927" s="97">
        <f t="shared" ca="1" si="149"/>
        <v>46238</v>
      </c>
      <c r="I927" s="121">
        <f ca="1">HLOOKUP($H$4,'Met Data'!$A$2:$F$368,G927,FALSE)</f>
        <v>10.1833333333333</v>
      </c>
      <c r="J927" s="119">
        <f ca="1">HLOOKUP($H$4,'Met Data'!$H$2:$M$368,G927,FALSE)*L927</f>
        <v>5.9833333333333298</v>
      </c>
      <c r="K927" s="98">
        <f ca="1">HLOOKUP($H$4,'Met Data'!$O$2:$T$368,G927,FALSE)</f>
        <v>1.0301492818772899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218</v>
      </c>
      <c r="H928" s="97">
        <f t="shared" ca="1" si="149"/>
        <v>46239</v>
      </c>
      <c r="I928" s="121">
        <f ca="1">HLOOKUP($H$4,'Met Data'!$A$2:$F$368,G928,FALSE)</f>
        <v>9.7708333333333304</v>
      </c>
      <c r="J928" s="119">
        <f ca="1">HLOOKUP($H$4,'Met Data'!$H$2:$M$368,G928,FALSE)*L928</f>
        <v>2.9833333333333298</v>
      </c>
      <c r="K928" s="98">
        <f ca="1">HLOOKUP($H$4,'Met Data'!$O$2:$T$368,G928,FALSE)</f>
        <v>1.3432284560273799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219</v>
      </c>
      <c r="H929" s="97">
        <f t="shared" ca="1" si="149"/>
        <v>46240</v>
      </c>
      <c r="I929" s="121">
        <f ca="1">HLOOKUP($H$4,'Met Data'!$A$2:$F$368,G929,FALSE)</f>
        <v>9.8791666666666593</v>
      </c>
      <c r="J929" s="119">
        <f ca="1">HLOOKUP($H$4,'Met Data'!$H$2:$M$368,G929,FALSE)*L929</f>
        <v>4.4833333333333298</v>
      </c>
      <c r="K929" s="98">
        <f ca="1">HLOOKUP($H$4,'Met Data'!$O$2:$T$368,G929,FALSE)</f>
        <v>1.0259838566514501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220</v>
      </c>
      <c r="H930" s="97">
        <f t="shared" ca="1" si="149"/>
        <v>46241</v>
      </c>
      <c r="I930" s="121">
        <f ca="1">HLOOKUP($H$4,'Met Data'!$A$2:$F$368,G930,FALSE)</f>
        <v>9.9874999999999901</v>
      </c>
      <c r="J930" s="119">
        <f ca="1">HLOOKUP($H$4,'Met Data'!$H$2:$M$368,G930,FALSE)*L930</f>
        <v>2.2000000000000002</v>
      </c>
      <c r="K930" s="98">
        <f ca="1">HLOOKUP($H$4,'Met Data'!$O$2:$T$368,G930,FALSE)</f>
        <v>1.1029484647982599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221</v>
      </c>
      <c r="H931" s="97">
        <f t="shared" ca="1" si="149"/>
        <v>46242</v>
      </c>
      <c r="I931" s="121">
        <f ca="1">HLOOKUP($H$4,'Met Data'!$A$2:$F$368,G931,FALSE)</f>
        <v>9.4625000000000004</v>
      </c>
      <c r="J931" s="119">
        <f ca="1">HLOOKUP($H$4,'Met Data'!$H$2:$M$368,G931,FALSE)*L931</f>
        <v>3.61666666666666</v>
      </c>
      <c r="K931" s="98">
        <f ca="1">HLOOKUP($H$4,'Met Data'!$O$2:$T$368,G931,FALSE)</f>
        <v>1.10790183862933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222</v>
      </c>
      <c r="H932" s="97">
        <f t="shared" ca="1" si="149"/>
        <v>46243</v>
      </c>
      <c r="I932" s="121">
        <f ca="1">HLOOKUP($H$4,'Met Data'!$A$2:$F$368,G932,FALSE)</f>
        <v>8.42916666666666</v>
      </c>
      <c r="J932" s="119">
        <f ca="1">HLOOKUP($H$4,'Met Data'!$H$2:$M$368,G932,FALSE)*L932</f>
        <v>3.4</v>
      </c>
      <c r="K932" s="98">
        <f ca="1">HLOOKUP($H$4,'Met Data'!$O$2:$T$368,G932,FALSE)</f>
        <v>1.32402542664303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223</v>
      </c>
      <c r="H933" s="97">
        <f t="shared" ca="1" si="149"/>
        <v>46244</v>
      </c>
      <c r="I933" s="121">
        <f ca="1">HLOOKUP($H$4,'Met Data'!$A$2:$F$368,G933,FALSE)</f>
        <v>7.8416666666666597</v>
      </c>
      <c r="J933" s="119">
        <f ca="1">HLOOKUP($H$4,'Met Data'!$H$2:$M$368,G933,FALSE)*L933</f>
        <v>1.38333333333333</v>
      </c>
      <c r="K933" s="98">
        <f ca="1">HLOOKUP($H$4,'Met Data'!$O$2:$T$368,G933,FALSE)</f>
        <v>1.2882274194230801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224</v>
      </c>
      <c r="H934" s="97">
        <f t="shared" ca="1" si="149"/>
        <v>46245</v>
      </c>
      <c r="I934" s="121">
        <f ca="1">HLOOKUP($H$4,'Met Data'!$A$2:$F$368,G934,FALSE)</f>
        <v>8.7916666666666607</v>
      </c>
      <c r="J934" s="119">
        <f ca="1">HLOOKUP($H$4,'Met Data'!$H$2:$M$368,G934,FALSE)*L934</f>
        <v>4.7</v>
      </c>
      <c r="K934" s="98">
        <f ca="1">HLOOKUP($H$4,'Met Data'!$O$2:$T$368,G934,FALSE)</f>
        <v>1.2700812995642401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225</v>
      </c>
      <c r="H935" s="97">
        <f t="shared" ca="1" si="149"/>
        <v>46246</v>
      </c>
      <c r="I935" s="121">
        <f ca="1">HLOOKUP($H$4,'Met Data'!$A$2:$F$368,G935,FALSE)</f>
        <v>9.2041666666666604</v>
      </c>
      <c r="J935" s="119">
        <f ca="1">HLOOKUP($H$4,'Met Data'!$H$2:$M$368,G935,FALSE)*L935</f>
        <v>4.9666666666666597</v>
      </c>
      <c r="K935" s="98">
        <f ca="1">HLOOKUP($H$4,'Met Data'!$O$2:$T$368,G935,FALSE)</f>
        <v>1.216678160996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226</v>
      </c>
      <c r="H936" s="97">
        <f t="shared" ca="1" si="149"/>
        <v>46247</v>
      </c>
      <c r="I936" s="121">
        <f ca="1">HLOOKUP($H$4,'Met Data'!$A$2:$F$368,G936,FALSE)</f>
        <v>9.49583333333333</v>
      </c>
      <c r="J936" s="119">
        <f ca="1">HLOOKUP($H$4,'Met Data'!$H$2:$M$368,G936,FALSE)*L936</f>
        <v>3.11666666666666</v>
      </c>
      <c r="K936" s="98">
        <f ca="1">HLOOKUP($H$4,'Met Data'!$O$2:$T$368,G936,FALSE)</f>
        <v>1.2041756804414001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227</v>
      </c>
      <c r="H937" s="97">
        <f t="shared" ca="1" si="149"/>
        <v>46248</v>
      </c>
      <c r="I937" s="121">
        <f ca="1">HLOOKUP($H$4,'Met Data'!$A$2:$F$368,G937,FALSE)</f>
        <v>9.7791666666666597</v>
      </c>
      <c r="J937" s="119">
        <f ca="1">HLOOKUP($H$4,'Met Data'!$H$2:$M$368,G937,FALSE)*L937</f>
        <v>6.7</v>
      </c>
      <c r="K937" s="98">
        <f ca="1">HLOOKUP($H$4,'Met Data'!$O$2:$T$368,G937,FALSE)</f>
        <v>1.1357294741412001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228</v>
      </c>
      <c r="H938" s="97">
        <f t="shared" ca="1" si="149"/>
        <v>46249</v>
      </c>
      <c r="I938" s="121">
        <f ca="1">HLOOKUP($H$4,'Met Data'!$A$2:$F$368,G938,FALSE)</f>
        <v>9.4375</v>
      </c>
      <c r="J938" s="119">
        <f ca="1">HLOOKUP($H$4,'Met Data'!$H$2:$M$368,G938,FALSE)*L938</f>
        <v>3.2833333333333301</v>
      </c>
      <c r="K938" s="98">
        <f ca="1">HLOOKUP($H$4,'Met Data'!$O$2:$T$368,G938,FALSE)</f>
        <v>1.2410385498851699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229</v>
      </c>
      <c r="H939" s="97">
        <f t="shared" ca="1" si="149"/>
        <v>46250</v>
      </c>
      <c r="I939" s="121">
        <f ca="1">HLOOKUP($H$4,'Met Data'!$A$2:$F$368,G939,FALSE)</f>
        <v>9.6999999999999993</v>
      </c>
      <c r="J939" s="119">
        <f ca="1">HLOOKUP($H$4,'Met Data'!$H$2:$M$368,G939,FALSE)*L939</f>
        <v>1.5999999999999901</v>
      </c>
      <c r="K939" s="98">
        <f ca="1">HLOOKUP($H$4,'Met Data'!$O$2:$T$368,G939,FALSE)</f>
        <v>1.30158376837533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230</v>
      </c>
      <c r="H940" s="97">
        <f t="shared" ca="1" si="149"/>
        <v>46251</v>
      </c>
      <c r="I940" s="121">
        <f ca="1">HLOOKUP($H$4,'Met Data'!$A$2:$F$368,G940,FALSE)</f>
        <v>9.61666666666666</v>
      </c>
      <c r="J940" s="119">
        <f ca="1">HLOOKUP($H$4,'Met Data'!$H$2:$M$368,G940,FALSE)*L940</f>
        <v>6.5999999999999899</v>
      </c>
      <c r="K940" s="98">
        <f ca="1">HLOOKUP($H$4,'Met Data'!$O$2:$T$368,G940,FALSE)</f>
        <v>1.3713845776081399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231</v>
      </c>
      <c r="H941" s="97">
        <f t="shared" ca="1" si="149"/>
        <v>46252</v>
      </c>
      <c r="I941" s="121">
        <f ca="1">HLOOKUP($H$4,'Met Data'!$A$2:$F$368,G941,FALSE)</f>
        <v>8.8333333333333304</v>
      </c>
      <c r="J941" s="119">
        <f ca="1">HLOOKUP($H$4,'Met Data'!$H$2:$M$368,G941,FALSE)*L941</f>
        <v>3.3</v>
      </c>
      <c r="K941" s="98">
        <f ca="1">HLOOKUP($H$4,'Met Data'!$O$2:$T$368,G941,FALSE)</f>
        <v>1.38797998518043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232</v>
      </c>
      <c r="H942" s="97">
        <f t="shared" ca="1" si="149"/>
        <v>46253</v>
      </c>
      <c r="I942" s="121">
        <f ca="1">HLOOKUP($H$4,'Met Data'!$A$2:$F$368,G942,FALSE)</f>
        <v>9.4833333333333307</v>
      </c>
      <c r="J942" s="119">
        <f ca="1">HLOOKUP($H$4,'Met Data'!$H$2:$M$368,G942,FALSE)*L942</f>
        <v>2.1333333333333302</v>
      </c>
      <c r="K942" s="98">
        <f ca="1">HLOOKUP($H$4,'Met Data'!$O$2:$T$368,G942,FALSE)</f>
        <v>1.56092628574794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233</v>
      </c>
      <c r="H943" s="97">
        <f t="shared" ca="1" si="149"/>
        <v>46254</v>
      </c>
      <c r="I943" s="121">
        <f ca="1">HLOOKUP($H$4,'Met Data'!$A$2:$F$368,G943,FALSE)</f>
        <v>9.2583333333333293</v>
      </c>
      <c r="J943" s="119">
        <f ca="1">HLOOKUP($H$4,'Met Data'!$H$2:$M$368,G943,FALSE)*L943</f>
        <v>3.65</v>
      </c>
      <c r="K943" s="98">
        <f ca="1">HLOOKUP($H$4,'Met Data'!$O$2:$T$368,G943,FALSE)</f>
        <v>1.4422774750484899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ref="G944:G999" ca="1" si="150">H944-DATE(YEAR(H944),1,0)+1</f>
        <v>234</v>
      </c>
      <c r="H944" s="97">
        <f t="shared" ca="1" si="149"/>
        <v>46255</v>
      </c>
      <c r="I944" s="121">
        <f ca="1">HLOOKUP($H$4,'Met Data'!$A$2:$F$368,G944,FALSE)</f>
        <v>9.7708333333333304</v>
      </c>
      <c r="J944" s="119">
        <f ca="1">HLOOKUP($H$4,'Met Data'!$H$2:$M$368,G944,FALSE)*L944</f>
        <v>2.36666666666666</v>
      </c>
      <c r="K944" s="98">
        <f ca="1">HLOOKUP($H$4,'Met Data'!$O$2:$T$368,G944,FALSE)</f>
        <v>1.70464821639982</v>
      </c>
      <c r="L944">
        <f t="shared" ca="1" si="148"/>
        <v>1</v>
      </c>
      <c r="N944" t="e">
        <f t="shared" ref="N944:N999" ca="1" si="151">IF(P944&lt;$P$3,TRUE,FALSE)</f>
        <v>#N/A</v>
      </c>
      <c r="O944" t="e">
        <f t="shared" ref="O944:O999" ca="1" si="152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3">IFERROR(P944,$AD$4)</f>
        <v>0</v>
      </c>
      <c r="AE944">
        <f t="shared" ref="AE944:AE999" ca="1" si="154">IFERROR(U944,0)</f>
        <v>0</v>
      </c>
      <c r="AG944" s="63" t="e">
        <f t="shared" ref="AG944:AG999" ca="1" si="155">Q943+S944+T944+U944</f>
        <v>#N/A</v>
      </c>
      <c r="AH944" s="63" t="e">
        <f t="shared" ref="AH944:AH999" ca="1" si="156">Q944+R944+X944</f>
        <v>#N/A</v>
      </c>
      <c r="AI944" s="3" t="e">
        <f t="shared" ref="AI944:AI999" ca="1" si="157">AH944-AG944</f>
        <v>#N/A</v>
      </c>
    </row>
    <row r="945" spans="7:35" ht="15.75" thickBot="1">
      <c r="G945" s="3">
        <f t="shared" ca="1" si="150"/>
        <v>235</v>
      </c>
      <c r="H945" s="97">
        <f t="shared" ca="1" si="149"/>
        <v>46256</v>
      </c>
      <c r="I945" s="121">
        <f ca="1">HLOOKUP($H$4,'Met Data'!$A$2:$F$368,G945,FALSE)</f>
        <v>9.5208333333333304</v>
      </c>
      <c r="J945" s="119">
        <f ca="1">HLOOKUP($H$4,'Met Data'!$H$2:$M$368,G945,FALSE)*L945</f>
        <v>4.4666666666666597</v>
      </c>
      <c r="K945" s="98">
        <f ca="1">HLOOKUP($H$4,'Met Data'!$O$2:$T$368,G945,FALSE)</f>
        <v>1.6762831823304301</v>
      </c>
      <c r="L945">
        <f t="shared" ca="1" si="148"/>
        <v>1</v>
      </c>
      <c r="N945" t="e">
        <f t="shared" ca="1" si="151"/>
        <v>#N/A</v>
      </c>
      <c r="O945" t="e">
        <f t="shared" ca="1" si="152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3"/>
        <v>0</v>
      </c>
      <c r="AE945">
        <f t="shared" ca="1" si="154"/>
        <v>0</v>
      </c>
      <c r="AG945" s="63" t="e">
        <f t="shared" ca="1" si="155"/>
        <v>#N/A</v>
      </c>
      <c r="AH945" s="63" t="e">
        <f t="shared" ca="1" si="156"/>
        <v>#N/A</v>
      </c>
      <c r="AI945" s="3" t="e">
        <f t="shared" ca="1" si="157"/>
        <v>#N/A</v>
      </c>
    </row>
    <row r="946" spans="7:35" ht="15.75" thickBot="1">
      <c r="G946" s="3">
        <f t="shared" ca="1" si="150"/>
        <v>236</v>
      </c>
      <c r="H946" s="97">
        <f t="shared" ca="1" si="149"/>
        <v>46257</v>
      </c>
      <c r="I946" s="121">
        <f ca="1">HLOOKUP($H$4,'Met Data'!$A$2:$F$368,G946,FALSE)</f>
        <v>9.5791666666666604</v>
      </c>
      <c r="J946" s="119">
        <f ca="1">HLOOKUP($H$4,'Met Data'!$H$2:$M$368,G946,FALSE)*L946</f>
        <v>1.4833333333333301</v>
      </c>
      <c r="K946" s="98">
        <f ca="1">HLOOKUP($H$4,'Met Data'!$O$2:$T$368,G946,FALSE)</f>
        <v>1.44273965203753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237</v>
      </c>
      <c r="H947" s="97">
        <f t="shared" ca="1" si="149"/>
        <v>46258</v>
      </c>
      <c r="I947" s="121">
        <f ca="1">HLOOKUP($H$4,'Met Data'!$A$2:$F$368,G947,FALSE)</f>
        <v>9.8874999999999993</v>
      </c>
      <c r="J947" s="119">
        <f ca="1">HLOOKUP($H$4,'Met Data'!$H$2:$M$368,G947,FALSE)*L947</f>
        <v>0.56666666666666599</v>
      </c>
      <c r="K947" s="98">
        <f ca="1">HLOOKUP($H$4,'Met Data'!$O$2:$T$368,G947,FALSE)</f>
        <v>1.7386735184612501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238</v>
      </c>
      <c r="H948" s="97">
        <f t="shared" ca="1" si="149"/>
        <v>46259</v>
      </c>
      <c r="I948" s="121">
        <f ca="1">HLOOKUP($H$4,'Met Data'!$A$2:$F$368,G948,FALSE)</f>
        <v>9.7208333333333297</v>
      </c>
      <c r="J948" s="119">
        <f ca="1">HLOOKUP($H$4,'Met Data'!$H$2:$M$368,G948,FALSE)*L948</f>
        <v>2.4666666666666601</v>
      </c>
      <c r="K948" s="98">
        <f ca="1">HLOOKUP($H$4,'Met Data'!$O$2:$T$368,G948,FALSE)</f>
        <v>1.45538034550647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239</v>
      </c>
      <c r="H949" s="97">
        <f t="shared" ca="1" si="149"/>
        <v>46260</v>
      </c>
      <c r="I949" s="121">
        <f ca="1">HLOOKUP($H$4,'Met Data'!$A$2:$F$368,G949,FALSE)</f>
        <v>10.716666666666599</v>
      </c>
      <c r="J949" s="119">
        <f ca="1">HLOOKUP($H$4,'Met Data'!$H$2:$M$368,G949,FALSE)*L949</f>
        <v>3.0666666666666602</v>
      </c>
      <c r="K949" s="98">
        <f ca="1">HLOOKUP($H$4,'Met Data'!$O$2:$T$368,G949,FALSE)</f>
        <v>1.4899612238642299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240</v>
      </c>
      <c r="H950" s="97">
        <f t="shared" ca="1" si="149"/>
        <v>46261</v>
      </c>
      <c r="I950" s="121">
        <f ca="1">HLOOKUP($H$4,'Met Data'!$A$2:$F$368,G950,FALSE)</f>
        <v>10.754166666666601</v>
      </c>
      <c r="J950" s="119">
        <f ca="1">HLOOKUP($H$4,'Met Data'!$H$2:$M$368,G950,FALSE)*L950</f>
        <v>1.0333333333333301</v>
      </c>
      <c r="K950" s="98">
        <f ca="1">HLOOKUP($H$4,'Met Data'!$O$2:$T$368,G950,FALSE)</f>
        <v>1.6543487023337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241</v>
      </c>
      <c r="H951" s="97">
        <f t="shared" ca="1" si="149"/>
        <v>46262</v>
      </c>
      <c r="I951" s="121">
        <f ca="1">HLOOKUP($H$4,'Met Data'!$A$2:$F$368,G951,FALSE)</f>
        <v>11.0833333333333</v>
      </c>
      <c r="J951" s="119">
        <f ca="1">HLOOKUP($H$4,'Met Data'!$H$2:$M$368,G951,FALSE)*L951</f>
        <v>1.9</v>
      </c>
      <c r="K951" s="98">
        <f ca="1">HLOOKUP($H$4,'Met Data'!$O$2:$T$368,G951,FALSE)</f>
        <v>1.6425180639822501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242</v>
      </c>
      <c r="H952" s="97">
        <f t="shared" ca="1" si="149"/>
        <v>46263</v>
      </c>
      <c r="I952" s="121">
        <f ca="1">HLOOKUP($H$4,'Met Data'!$A$2:$F$368,G952,FALSE)</f>
        <v>10.5791666666666</v>
      </c>
      <c r="J952" s="119">
        <f ca="1">HLOOKUP($H$4,'Met Data'!$H$2:$M$368,G952,FALSE)*L952</f>
        <v>3.0166666666666599</v>
      </c>
      <c r="K952" s="98">
        <f ca="1">HLOOKUP($H$4,'Met Data'!$O$2:$T$368,G952,FALSE)</f>
        <v>1.5065040723285099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243</v>
      </c>
      <c r="H953" s="97">
        <f t="shared" ca="1" si="149"/>
        <v>46264</v>
      </c>
      <c r="I953" s="121">
        <f ca="1">HLOOKUP($H$4,'Met Data'!$A$2:$F$368,G953,FALSE)</f>
        <v>11.1208333333333</v>
      </c>
      <c r="J953" s="119">
        <f ca="1">HLOOKUP($H$4,'Met Data'!$H$2:$M$368,G953,FALSE)*L953</f>
        <v>1.56666666666666</v>
      </c>
      <c r="K953" s="98">
        <f ca="1">HLOOKUP($H$4,'Met Data'!$O$2:$T$368,G953,FALSE)</f>
        <v>1.7782422370636499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244</v>
      </c>
      <c r="H954" s="97">
        <f t="shared" ca="1" si="149"/>
        <v>46265</v>
      </c>
      <c r="I954" s="121">
        <f ca="1">HLOOKUP($H$4,'Met Data'!$A$2:$F$368,G954,FALSE)</f>
        <v>10.6666666666666</v>
      </c>
      <c r="J954" s="119">
        <f ca="1">HLOOKUP($H$4,'Met Data'!$H$2:$M$368,G954,FALSE)*L954</f>
        <v>1.7333333333333301</v>
      </c>
      <c r="K954" s="98">
        <f ca="1">HLOOKUP($H$4,'Met Data'!$O$2:$T$368,G954,FALSE)</f>
        <v>1.8075127039194601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245</v>
      </c>
      <c r="H955" s="97">
        <f t="shared" ca="1" si="149"/>
        <v>46266</v>
      </c>
      <c r="I955" s="121">
        <f ca="1">HLOOKUP($H$4,'Met Data'!$A$2:$F$368,G955,FALSE)</f>
        <v>10.1208333333333</v>
      </c>
      <c r="J955" s="119">
        <f ca="1">HLOOKUP($H$4,'Met Data'!$H$2:$M$368,G955,FALSE)*L955</f>
        <v>0.8</v>
      </c>
      <c r="K955" s="98">
        <f ca="1">HLOOKUP($H$4,'Met Data'!$O$2:$T$368,G955,FALSE)</f>
        <v>1.80445161149383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246</v>
      </c>
      <c r="H956" s="97">
        <f t="shared" ca="1" si="149"/>
        <v>46267</v>
      </c>
      <c r="I956" s="121">
        <f ca="1">HLOOKUP($H$4,'Met Data'!$A$2:$F$368,G956,FALSE)</f>
        <v>9.6624999999999996</v>
      </c>
      <c r="J956" s="119">
        <f ca="1">HLOOKUP($H$4,'Met Data'!$H$2:$M$368,G956,FALSE)*L956</f>
        <v>3.0833333333333299</v>
      </c>
      <c r="K956" s="98">
        <f ca="1">HLOOKUP($H$4,'Met Data'!$O$2:$T$368,G956,FALSE)</f>
        <v>1.4517482623371101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247</v>
      </c>
      <c r="H957" s="97">
        <f t="shared" ca="1" si="149"/>
        <v>46268</v>
      </c>
      <c r="I957" s="121">
        <f ca="1">HLOOKUP($H$4,'Met Data'!$A$2:$F$368,G957,FALSE)</f>
        <v>9.7541666666666593</v>
      </c>
      <c r="J957" s="119">
        <f ca="1">HLOOKUP($H$4,'Met Data'!$H$2:$M$368,G957,FALSE)*L957</f>
        <v>1.0833333333333299</v>
      </c>
      <c r="K957" s="98">
        <f ca="1">HLOOKUP($H$4,'Met Data'!$O$2:$T$368,G957,FALSE)</f>
        <v>1.75831978881469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248</v>
      </c>
      <c r="H958" s="97">
        <f t="shared" ca="1" si="149"/>
        <v>46269</v>
      </c>
      <c r="I958" s="121">
        <f ca="1">HLOOKUP($H$4,'Met Data'!$A$2:$F$368,G958,FALSE)</f>
        <v>10.0583333333333</v>
      </c>
      <c r="J958" s="119">
        <f ca="1">HLOOKUP($H$4,'Met Data'!$H$2:$M$368,G958,FALSE)*L958</f>
        <v>2.44999999999999</v>
      </c>
      <c r="K958" s="98">
        <f ca="1">HLOOKUP($H$4,'Met Data'!$O$2:$T$368,G958,FALSE)</f>
        <v>1.8005069619965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249</v>
      </c>
      <c r="H959" s="97">
        <f t="shared" ca="1" si="149"/>
        <v>46270</v>
      </c>
      <c r="I959" s="121">
        <f ca="1">HLOOKUP($H$4,'Met Data'!$A$2:$F$368,G959,FALSE)</f>
        <v>9.7750000000000004</v>
      </c>
      <c r="J959" s="119">
        <f ca="1">HLOOKUP($H$4,'Met Data'!$H$2:$M$368,G959,FALSE)*L959</f>
        <v>3.2</v>
      </c>
      <c r="K959" s="98">
        <f ca="1">HLOOKUP($H$4,'Met Data'!$O$2:$T$368,G959,FALSE)</f>
        <v>1.49919962363172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250</v>
      </c>
      <c r="H960" s="97">
        <f t="shared" ca="1" si="149"/>
        <v>46271</v>
      </c>
      <c r="I960" s="121">
        <f ca="1">HLOOKUP($H$4,'Met Data'!$A$2:$F$368,G960,FALSE)</f>
        <v>10.3333333333333</v>
      </c>
      <c r="J960" s="119">
        <f ca="1">HLOOKUP($H$4,'Met Data'!$H$2:$M$368,G960,FALSE)*L960</f>
        <v>5.93333333333333</v>
      </c>
      <c r="K960" s="98">
        <f ca="1">HLOOKUP($H$4,'Met Data'!$O$2:$T$368,G960,FALSE)</f>
        <v>1.4735664157819599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251</v>
      </c>
      <c r="H961" s="97">
        <f t="shared" ca="1" si="149"/>
        <v>46272</v>
      </c>
      <c r="I961" s="121">
        <f ca="1">HLOOKUP($H$4,'Met Data'!$A$2:$F$368,G961,FALSE)</f>
        <v>10.7708333333333</v>
      </c>
      <c r="J961" s="119">
        <f ca="1">HLOOKUP($H$4,'Met Data'!$H$2:$M$368,G961,FALSE)*L961</f>
        <v>1.2</v>
      </c>
      <c r="K961" s="98">
        <f ca="1">HLOOKUP($H$4,'Met Data'!$O$2:$T$368,G961,FALSE)</f>
        <v>1.8170202832795099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252</v>
      </c>
      <c r="H962" s="97">
        <f t="shared" ca="1" si="149"/>
        <v>46273</v>
      </c>
      <c r="I962" s="121">
        <f ca="1">HLOOKUP($H$4,'Met Data'!$A$2:$F$368,G962,FALSE)</f>
        <v>10.5791666666666</v>
      </c>
      <c r="J962" s="119">
        <f ca="1">HLOOKUP($H$4,'Met Data'!$H$2:$M$368,G962,FALSE)*L962</f>
        <v>0.88333333333333297</v>
      </c>
      <c r="K962" s="98">
        <f ca="1">HLOOKUP($H$4,'Met Data'!$O$2:$T$368,G962,FALSE)</f>
        <v>1.8773510693625799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253</v>
      </c>
      <c r="H963" s="97">
        <f t="shared" ca="1" si="149"/>
        <v>46274</v>
      </c>
      <c r="I963" s="121">
        <f ca="1">HLOOKUP($H$4,'Met Data'!$A$2:$F$368,G963,FALSE)</f>
        <v>9.6125000000000007</v>
      </c>
      <c r="J963" s="119">
        <f ca="1">HLOOKUP($H$4,'Met Data'!$H$2:$M$368,G963,FALSE)*L963</f>
        <v>4.36666666666666</v>
      </c>
      <c r="K963" s="98">
        <f ca="1">HLOOKUP($H$4,'Met Data'!$O$2:$T$368,G963,FALSE)</f>
        <v>1.8525160666589899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254</v>
      </c>
      <c r="H964" s="97">
        <f t="shared" ca="1" si="149"/>
        <v>46275</v>
      </c>
      <c r="I964" s="121">
        <f ca="1">HLOOKUP($H$4,'Met Data'!$A$2:$F$368,G964,FALSE)</f>
        <v>10.0875</v>
      </c>
      <c r="J964" s="119">
        <f ca="1">HLOOKUP($H$4,'Met Data'!$H$2:$M$368,G964,FALSE)*L964</f>
        <v>3.44999999999999</v>
      </c>
      <c r="K964" s="98">
        <f ca="1">HLOOKUP($H$4,'Met Data'!$O$2:$T$368,G964,FALSE)</f>
        <v>1.67590206119575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255</v>
      </c>
      <c r="H965" s="97">
        <f t="shared" ca="1" si="149"/>
        <v>46276</v>
      </c>
      <c r="I965" s="121">
        <f ca="1">HLOOKUP($H$4,'Met Data'!$A$2:$F$368,G965,FALSE)</f>
        <v>10.6416666666666</v>
      </c>
      <c r="J965" s="119">
        <f ca="1">HLOOKUP($H$4,'Met Data'!$H$2:$M$368,G965,FALSE)*L965</f>
        <v>6.4666666666666597</v>
      </c>
      <c r="K965" s="98">
        <f ca="1">HLOOKUP($H$4,'Met Data'!$O$2:$T$368,G965,FALSE)</f>
        <v>1.7070370554204599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256</v>
      </c>
      <c r="H966" s="97">
        <f t="shared" ca="1" si="149"/>
        <v>46277</v>
      </c>
      <c r="I966" s="121">
        <f ca="1">HLOOKUP($H$4,'Met Data'!$A$2:$F$368,G966,FALSE)</f>
        <v>10.4541666666666</v>
      </c>
      <c r="J966" s="119">
        <f ca="1">HLOOKUP($H$4,'Met Data'!$H$2:$M$368,G966,FALSE)*L966</f>
        <v>2.0166666666666599</v>
      </c>
      <c r="K966" s="98">
        <f ca="1">HLOOKUP($H$4,'Met Data'!$O$2:$T$368,G966,FALSE)</f>
        <v>1.9219866027073</v>
      </c>
      <c r="L966">
        <f t="shared" ref="L966:L999" ca="1" si="158">IF(H966&lt;$B$31,$J$3,$J$4)</f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257</v>
      </c>
      <c r="H967" s="97">
        <f t="shared" ca="1" si="149"/>
        <v>46278</v>
      </c>
      <c r="I967" s="121">
        <f ca="1">HLOOKUP($H$4,'Met Data'!$A$2:$F$368,G967,FALSE)</f>
        <v>11.216666666666599</v>
      </c>
      <c r="J967" s="119">
        <f ca="1">HLOOKUP($H$4,'Met Data'!$H$2:$M$368,G967,FALSE)*L967</f>
        <v>1.4833333333333301</v>
      </c>
      <c r="K967" s="98">
        <f ca="1">HLOOKUP($H$4,'Met Data'!$O$2:$T$368,G967,FALSE)</f>
        <v>1.86072433418519</v>
      </c>
      <c r="L967">
        <f t="shared" ca="1" si="158"/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258</v>
      </c>
      <c r="H968" s="97">
        <f t="shared" ref="H968:H999" ca="1" si="159">H967+1</f>
        <v>46279</v>
      </c>
      <c r="I968" s="121">
        <f ca="1">HLOOKUP($H$4,'Met Data'!$A$2:$F$368,G968,FALSE)</f>
        <v>11.1</v>
      </c>
      <c r="J968" s="119">
        <f ca="1">HLOOKUP($H$4,'Met Data'!$H$2:$M$368,G968,FALSE)*L968</f>
        <v>2.4166666666666599</v>
      </c>
      <c r="K968" s="98">
        <f ca="1">HLOOKUP($H$4,'Met Data'!$O$2:$T$368,G968,FALSE)</f>
        <v>1.6515892534407901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259</v>
      </c>
      <c r="H969" s="97">
        <f t="shared" ca="1" si="159"/>
        <v>46280</v>
      </c>
      <c r="I969" s="121">
        <f ca="1">HLOOKUP($H$4,'Met Data'!$A$2:$F$368,G969,FALSE)</f>
        <v>11.3708333333333</v>
      </c>
      <c r="J969" s="119">
        <f ca="1">HLOOKUP($H$4,'Met Data'!$H$2:$M$368,G969,FALSE)*L969</f>
        <v>1.3</v>
      </c>
      <c r="K969" s="98">
        <f ca="1">HLOOKUP($H$4,'Met Data'!$O$2:$T$368,G969,FALSE)</f>
        <v>1.8040111781852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260</v>
      </c>
      <c r="H970" s="97">
        <f t="shared" ca="1" si="159"/>
        <v>46281</v>
      </c>
      <c r="I970" s="121">
        <f ca="1">HLOOKUP($H$4,'Met Data'!$A$2:$F$368,G970,FALSE)</f>
        <v>11.2916666666666</v>
      </c>
      <c r="J970" s="119">
        <f ca="1">HLOOKUP($H$4,'Met Data'!$H$2:$M$368,G970,FALSE)*L970</f>
        <v>2.6</v>
      </c>
      <c r="K970" s="98">
        <f ca="1">HLOOKUP($H$4,'Met Data'!$O$2:$T$368,G970,FALSE)</f>
        <v>1.8880733064353601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261</v>
      </c>
      <c r="H971" s="97">
        <f t="shared" ca="1" si="159"/>
        <v>46282</v>
      </c>
      <c r="I971" s="121">
        <f ca="1">HLOOKUP($H$4,'Met Data'!$A$2:$F$368,G971,FALSE)</f>
        <v>12.2125</v>
      </c>
      <c r="J971" s="119">
        <f ca="1">HLOOKUP($H$4,'Met Data'!$H$2:$M$368,G971,FALSE)*L971</f>
        <v>4.5999999999999996</v>
      </c>
      <c r="K971" s="98">
        <f ca="1">HLOOKUP($H$4,'Met Data'!$O$2:$T$368,G971,FALSE)</f>
        <v>2.0382752192881299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262</v>
      </c>
      <c r="H972" s="97">
        <f t="shared" ca="1" si="159"/>
        <v>46283</v>
      </c>
      <c r="I972" s="121">
        <f ca="1">HLOOKUP($H$4,'Met Data'!$A$2:$F$368,G972,FALSE)</f>
        <v>11.35</v>
      </c>
      <c r="J972" s="119">
        <f ca="1">HLOOKUP($H$4,'Met Data'!$H$2:$M$368,G972,FALSE)*L972</f>
        <v>3.93333333333333</v>
      </c>
      <c r="K972" s="98">
        <f ca="1">HLOOKUP($H$4,'Met Data'!$O$2:$T$368,G972,FALSE)</f>
        <v>2.00744960029109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263</v>
      </c>
      <c r="H973" s="97">
        <f t="shared" ca="1" si="159"/>
        <v>46284</v>
      </c>
      <c r="I973" s="121">
        <f ca="1">HLOOKUP($H$4,'Met Data'!$A$2:$F$368,G973,FALSE)</f>
        <v>10.504166666666601</v>
      </c>
      <c r="J973" s="119">
        <f ca="1">HLOOKUP($H$4,'Met Data'!$H$2:$M$368,G973,FALSE)*L973</f>
        <v>8.7333333333333307</v>
      </c>
      <c r="K973" s="98">
        <f ca="1">HLOOKUP($H$4,'Met Data'!$O$2:$T$368,G973,FALSE)</f>
        <v>1.9387559167362001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264</v>
      </c>
      <c r="H974" s="97">
        <f t="shared" ca="1" si="159"/>
        <v>46285</v>
      </c>
      <c r="I974" s="121">
        <f ca="1">HLOOKUP($H$4,'Met Data'!$A$2:$F$368,G974,FALSE)</f>
        <v>10.387499999999999</v>
      </c>
      <c r="J974" s="119">
        <f ca="1">HLOOKUP($H$4,'Met Data'!$H$2:$M$368,G974,FALSE)*L974</f>
        <v>3.85</v>
      </c>
      <c r="K974" s="98">
        <f ca="1">HLOOKUP($H$4,'Met Data'!$O$2:$T$368,G974,FALSE)</f>
        <v>2.0861830094945102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265</v>
      </c>
      <c r="H975" s="97">
        <f t="shared" ca="1" si="159"/>
        <v>46286</v>
      </c>
      <c r="I975" s="121">
        <f ca="1">HLOOKUP($H$4,'Met Data'!$A$2:$F$368,G975,FALSE)</f>
        <v>9.85</v>
      </c>
      <c r="J975" s="119">
        <f ca="1">HLOOKUP($H$4,'Met Data'!$H$2:$M$368,G975,FALSE)*L975</f>
        <v>1.7999999999999901</v>
      </c>
      <c r="K975" s="98">
        <f ca="1">HLOOKUP($H$4,'Met Data'!$O$2:$T$368,G975,FALSE)</f>
        <v>2.1398164486974101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266</v>
      </c>
      <c r="H976" s="97">
        <f t="shared" ca="1" si="159"/>
        <v>46287</v>
      </c>
      <c r="I976" s="121">
        <f ca="1">HLOOKUP($H$4,'Met Data'!$A$2:$F$368,G976,FALSE)</f>
        <v>10.158333333333299</v>
      </c>
      <c r="J976" s="119">
        <f ca="1">HLOOKUP($H$4,'Met Data'!$H$2:$M$368,G976,FALSE)*L976</f>
        <v>3.93333333333333</v>
      </c>
      <c r="K976" s="98">
        <f ca="1">HLOOKUP($H$4,'Met Data'!$O$2:$T$368,G976,FALSE)</f>
        <v>2.31412085445224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267</v>
      </c>
      <c r="H977" s="97">
        <f t="shared" ca="1" si="159"/>
        <v>46288</v>
      </c>
      <c r="I977" s="121">
        <f ca="1">HLOOKUP($H$4,'Met Data'!$A$2:$F$368,G977,FALSE)</f>
        <v>10.9625</v>
      </c>
      <c r="J977" s="119">
        <f ca="1">HLOOKUP($H$4,'Met Data'!$H$2:$M$368,G977,FALSE)*L977</f>
        <v>1.86666666666666</v>
      </c>
      <c r="K977" s="98">
        <f ca="1">HLOOKUP($H$4,'Met Data'!$O$2:$T$368,G977,FALSE)</f>
        <v>2.2059606634486699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268</v>
      </c>
      <c r="H978" s="97">
        <f t="shared" ca="1" si="159"/>
        <v>46289</v>
      </c>
      <c r="I978" s="121">
        <f ca="1">HLOOKUP($H$4,'Met Data'!$A$2:$F$368,G978,FALSE)</f>
        <v>11.6458333333333</v>
      </c>
      <c r="J978" s="119">
        <f ca="1">HLOOKUP($H$4,'Met Data'!$H$2:$M$368,G978,FALSE)*L978</f>
        <v>5.5166666666666604</v>
      </c>
      <c r="K978" s="98">
        <f ca="1">HLOOKUP($H$4,'Met Data'!$O$2:$T$368,G978,FALSE)</f>
        <v>1.6755097599300399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269</v>
      </c>
      <c r="H979" s="97">
        <f t="shared" ca="1" si="159"/>
        <v>46290</v>
      </c>
      <c r="I979" s="121">
        <f ca="1">HLOOKUP($H$4,'Met Data'!$A$2:$F$368,G979,FALSE)</f>
        <v>12.112500000000001</v>
      </c>
      <c r="J979" s="119">
        <f ca="1">HLOOKUP($H$4,'Met Data'!$H$2:$M$368,G979,FALSE)*L979</f>
        <v>1.56666666666666</v>
      </c>
      <c r="K979" s="98">
        <f ca="1">HLOOKUP($H$4,'Met Data'!$O$2:$T$368,G979,FALSE)</f>
        <v>2.1669648664524801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270</v>
      </c>
      <c r="H980" s="97">
        <f t="shared" ca="1" si="159"/>
        <v>46291</v>
      </c>
      <c r="I980" s="121">
        <f ca="1">HLOOKUP($H$4,'Met Data'!$A$2:$F$368,G980,FALSE)</f>
        <v>11.6875</v>
      </c>
      <c r="J980" s="119">
        <f ca="1">HLOOKUP($H$4,'Met Data'!$H$2:$M$368,G980,FALSE)*L980</f>
        <v>1.0833333333333299</v>
      </c>
      <c r="K980" s="98">
        <f ca="1">HLOOKUP($H$4,'Met Data'!$O$2:$T$368,G980,FALSE)</f>
        <v>2.2423317945335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271</v>
      </c>
      <c r="H981" s="97">
        <f t="shared" ca="1" si="159"/>
        <v>46292</v>
      </c>
      <c r="I981" s="121">
        <f ca="1">HLOOKUP($H$4,'Met Data'!$A$2:$F$368,G981,FALSE)</f>
        <v>12.0541666666666</v>
      </c>
      <c r="J981" s="119">
        <f ca="1">HLOOKUP($H$4,'Met Data'!$H$2:$M$368,G981,FALSE)*L981</f>
        <v>1.05</v>
      </c>
      <c r="K981" s="98">
        <f ca="1">HLOOKUP($H$4,'Met Data'!$O$2:$T$368,G981,FALSE)</f>
        <v>2.4484809787012698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272</v>
      </c>
      <c r="H982" s="97">
        <f t="shared" ca="1" si="159"/>
        <v>46293</v>
      </c>
      <c r="I982" s="121">
        <f ca="1">HLOOKUP($H$4,'Met Data'!$A$2:$F$368,G982,FALSE)</f>
        <v>12.3291666666666</v>
      </c>
      <c r="J982" s="119">
        <f ca="1">HLOOKUP($H$4,'Met Data'!$H$2:$M$368,G982,FALSE)*L982</f>
        <v>5.1499999999999897</v>
      </c>
      <c r="K982" s="98">
        <f ca="1">HLOOKUP($H$4,'Met Data'!$O$2:$T$368,G982,FALSE)</f>
        <v>2.13295390564413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273</v>
      </c>
      <c r="H983" s="97">
        <f t="shared" ca="1" si="159"/>
        <v>46294</v>
      </c>
      <c r="I983" s="121">
        <f ca="1">HLOOKUP($H$4,'Met Data'!$A$2:$F$368,G983,FALSE)</f>
        <v>12.65</v>
      </c>
      <c r="J983" s="119">
        <f ca="1">HLOOKUP($H$4,'Met Data'!$H$2:$M$368,G983,FALSE)*L983</f>
        <v>2.15</v>
      </c>
      <c r="K983" s="98">
        <f ca="1">HLOOKUP($H$4,'Met Data'!$O$2:$T$368,G983,FALSE)</f>
        <v>2.3067555107961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274</v>
      </c>
      <c r="H984" s="97">
        <f t="shared" ca="1" si="159"/>
        <v>46295</v>
      </c>
      <c r="I984" s="121">
        <f ca="1">HLOOKUP($H$4,'Met Data'!$A$2:$F$368,G984,FALSE)</f>
        <v>12.5208333333333</v>
      </c>
      <c r="J984" s="119">
        <f ca="1">HLOOKUP($H$4,'Met Data'!$H$2:$M$368,G984,FALSE)*L984</f>
        <v>5.61666666666666</v>
      </c>
      <c r="K984" s="98">
        <f ca="1">HLOOKUP($H$4,'Met Data'!$O$2:$T$368,G984,FALSE)</f>
        <v>2.4465918649770302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275</v>
      </c>
      <c r="H985" s="97">
        <f t="shared" ca="1" si="159"/>
        <v>46296</v>
      </c>
      <c r="I985" s="121">
        <f ca="1">HLOOKUP($H$4,'Met Data'!$A$2:$F$368,G985,FALSE)</f>
        <v>11.65</v>
      </c>
      <c r="J985" s="119">
        <f ca="1">HLOOKUP($H$4,'Met Data'!$H$2:$M$368,G985,FALSE)*L985</f>
        <v>2.35</v>
      </c>
      <c r="K985" s="98">
        <f ca="1">HLOOKUP($H$4,'Met Data'!$O$2:$T$368,G985,FALSE)</f>
        <v>2.46735033441291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276</v>
      </c>
      <c r="H986" s="97">
        <f t="shared" ca="1" si="159"/>
        <v>46297</v>
      </c>
      <c r="I986" s="121">
        <f ca="1">HLOOKUP($H$4,'Met Data'!$A$2:$F$368,G986,FALSE)</f>
        <v>12.0166666666666</v>
      </c>
      <c r="J986" s="119">
        <f ca="1">HLOOKUP($H$4,'Met Data'!$H$2:$M$368,G986,FALSE)*L986</f>
        <v>2.2833333333333301</v>
      </c>
      <c r="K986" s="98">
        <f ca="1">HLOOKUP($H$4,'Met Data'!$O$2:$T$368,G986,FALSE)</f>
        <v>2.1199025888480301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277</v>
      </c>
      <c r="H987" s="97">
        <f t="shared" ca="1" si="159"/>
        <v>46298</v>
      </c>
      <c r="I987" s="121">
        <f ca="1">HLOOKUP($H$4,'Met Data'!$A$2:$F$368,G987,FALSE)</f>
        <v>12.941666666666601</v>
      </c>
      <c r="J987" s="119">
        <f ca="1">HLOOKUP($H$4,'Met Data'!$H$2:$M$368,G987,FALSE)*L987</f>
        <v>4.2666666666666604</v>
      </c>
      <c r="K987" s="98">
        <f ca="1">HLOOKUP($H$4,'Met Data'!$O$2:$T$368,G987,FALSE)</f>
        <v>2.6275875550097898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278</v>
      </c>
      <c r="H988" s="97">
        <f t="shared" ca="1" si="159"/>
        <v>46299</v>
      </c>
      <c r="I988" s="121">
        <f ca="1">HLOOKUP($H$4,'Met Data'!$A$2:$F$368,G988,FALSE)</f>
        <v>11.95</v>
      </c>
      <c r="J988" s="119">
        <f ca="1">HLOOKUP($H$4,'Met Data'!$H$2:$M$368,G988,FALSE)*L988</f>
        <v>1.13333333333333</v>
      </c>
      <c r="K988" s="98">
        <f ca="1">HLOOKUP($H$4,'Met Data'!$O$2:$T$368,G988,FALSE)</f>
        <v>2.2251605523882798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279</v>
      </c>
      <c r="H989" s="97">
        <f t="shared" ca="1" si="159"/>
        <v>46300</v>
      </c>
      <c r="I989" s="121">
        <f ca="1">HLOOKUP($H$4,'Met Data'!$A$2:$F$368,G989,FALSE)</f>
        <v>11.8958333333333</v>
      </c>
      <c r="J989" s="119">
        <f ca="1">HLOOKUP($H$4,'Met Data'!$H$2:$M$368,G989,FALSE)*L989</f>
        <v>2.0666666666666602</v>
      </c>
      <c r="K989" s="98">
        <f ca="1">HLOOKUP($H$4,'Met Data'!$O$2:$T$368,G989,FALSE)</f>
        <v>2.2142725820580198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280</v>
      </c>
      <c r="H990" s="97">
        <f t="shared" ca="1" si="159"/>
        <v>46301</v>
      </c>
      <c r="I990" s="121">
        <f ca="1">HLOOKUP($H$4,'Met Data'!$A$2:$F$368,G990,FALSE)</f>
        <v>11.8333333333333</v>
      </c>
      <c r="J990" s="119">
        <f ca="1">HLOOKUP($H$4,'Met Data'!$H$2:$M$368,G990,FALSE)*L990</f>
        <v>1.43333333333333</v>
      </c>
      <c r="K990" s="98">
        <f ca="1">HLOOKUP($H$4,'Met Data'!$O$2:$T$368,G990,FALSE)</f>
        <v>2.5217662070296001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281</v>
      </c>
      <c r="H991" s="97">
        <f t="shared" ca="1" si="159"/>
        <v>46302</v>
      </c>
      <c r="I991" s="121">
        <f ca="1">HLOOKUP($H$4,'Met Data'!$A$2:$F$368,G991,FALSE)</f>
        <v>12.133333333333301</v>
      </c>
      <c r="J991" s="119">
        <f ca="1">HLOOKUP($H$4,'Met Data'!$H$2:$M$368,G991,FALSE)*L991</f>
        <v>1.5</v>
      </c>
      <c r="K991" s="98">
        <f ca="1">HLOOKUP($H$4,'Met Data'!$O$2:$T$368,G991,FALSE)</f>
        <v>2.4929362431341402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282</v>
      </c>
      <c r="H992" s="97">
        <f t="shared" ca="1" si="159"/>
        <v>46303</v>
      </c>
      <c r="I992" s="121">
        <f ca="1">HLOOKUP($H$4,'Met Data'!$A$2:$F$368,G992,FALSE)</f>
        <v>11.8708333333333</v>
      </c>
      <c r="J992" s="119">
        <f ca="1">HLOOKUP($H$4,'Met Data'!$H$2:$M$368,G992,FALSE)*L992</f>
        <v>4.18333333333333</v>
      </c>
      <c r="K992" s="98">
        <f ca="1">HLOOKUP($H$4,'Met Data'!$O$2:$T$368,G992,FALSE)</f>
        <v>2.0932595279969002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283</v>
      </c>
      <c r="H993" s="97">
        <f t="shared" ca="1" si="159"/>
        <v>46304</v>
      </c>
      <c r="I993" s="121">
        <f ca="1">HLOOKUP($H$4,'Met Data'!$A$2:$F$368,G993,FALSE)</f>
        <v>11.529166666666599</v>
      </c>
      <c r="J993" s="119">
        <f ca="1">HLOOKUP($H$4,'Met Data'!$H$2:$M$368,G993,FALSE)*L993</f>
        <v>2.2166666666666601</v>
      </c>
      <c r="K993" s="98">
        <f ca="1">HLOOKUP($H$4,'Met Data'!$O$2:$T$368,G993,FALSE)</f>
        <v>2.3166472445358202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284</v>
      </c>
      <c r="H994" s="97">
        <f t="shared" ca="1" si="159"/>
        <v>46305</v>
      </c>
      <c r="I994" s="121">
        <f ca="1">HLOOKUP($H$4,'Met Data'!$A$2:$F$368,G994,FALSE)</f>
        <v>11.316666666666601</v>
      </c>
      <c r="J994" s="119">
        <f ca="1">HLOOKUP($H$4,'Met Data'!$H$2:$M$368,G994,FALSE)*L994</f>
        <v>2.9833333333333298</v>
      </c>
      <c r="K994" s="98">
        <f ca="1">HLOOKUP($H$4,'Met Data'!$O$2:$T$368,G994,FALSE)</f>
        <v>2.57259273420483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285</v>
      </c>
      <c r="H995" s="97">
        <f t="shared" ca="1" si="159"/>
        <v>46306</v>
      </c>
      <c r="I995" s="121">
        <f ca="1">HLOOKUP($H$4,'Met Data'!$A$2:$F$368,G995,FALSE)</f>
        <v>12.466666666666599</v>
      </c>
      <c r="J995" s="119">
        <f ca="1">HLOOKUP($H$4,'Met Data'!$H$2:$M$368,G995,FALSE)*L995</f>
        <v>3.5333333333333301</v>
      </c>
      <c r="K995" s="98">
        <f ca="1">HLOOKUP($H$4,'Met Data'!$O$2:$T$368,G995,FALSE)</f>
        <v>2.44735536591925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286</v>
      </c>
      <c r="H996" s="97">
        <f t="shared" ca="1" si="159"/>
        <v>46307</v>
      </c>
      <c r="I996" s="121">
        <f ca="1">HLOOKUP($H$4,'Met Data'!$A$2:$F$368,G996,FALSE)</f>
        <v>12.566666666666601</v>
      </c>
      <c r="J996" s="119">
        <f ca="1">HLOOKUP($H$4,'Met Data'!$H$2:$M$368,G996,FALSE)*L996</f>
        <v>1.88333333333333</v>
      </c>
      <c r="K996" s="98">
        <f ca="1">HLOOKUP($H$4,'Met Data'!$O$2:$T$368,G996,FALSE)</f>
        <v>2.6706436990123898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287</v>
      </c>
      <c r="H997" s="97">
        <f t="shared" ca="1" si="159"/>
        <v>46308</v>
      </c>
      <c r="I997" s="121">
        <f ca="1">HLOOKUP($H$4,'Met Data'!$A$2:$F$368,G997,FALSE)</f>
        <v>12.133333333333301</v>
      </c>
      <c r="J997" s="119">
        <f ca="1">HLOOKUP($H$4,'Met Data'!$H$2:$M$368,G997,FALSE)*L997</f>
        <v>2.6666666666666599</v>
      </c>
      <c r="K997" s="98">
        <f ca="1">HLOOKUP($H$4,'Met Data'!$O$2:$T$368,G997,FALSE)</f>
        <v>1.9257972512671799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288</v>
      </c>
      <c r="H998" s="97">
        <f t="shared" ca="1" si="159"/>
        <v>46309</v>
      </c>
      <c r="I998" s="121">
        <f ca="1">HLOOKUP($H$4,'Met Data'!$A$2:$F$368,G998,FALSE)</f>
        <v>12.762499999999999</v>
      </c>
      <c r="J998" s="119">
        <f ca="1">HLOOKUP($H$4,'Met Data'!$H$2:$M$368,G998,FALSE)*L998</f>
        <v>3.6333333333333302</v>
      </c>
      <c r="K998" s="98">
        <f ca="1">HLOOKUP($H$4,'Met Data'!$O$2:$T$368,G998,FALSE)</f>
        <v>2.2182002807721002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289</v>
      </c>
      <c r="H999" s="97">
        <f t="shared" ca="1" si="159"/>
        <v>46310</v>
      </c>
      <c r="I999" s="121">
        <f ca="1">HLOOKUP($H$4,'Met Data'!$A$2:$F$368,G999,FALSE)</f>
        <v>12.675000000000001</v>
      </c>
      <c r="J999" s="119">
        <f ca="1">HLOOKUP($H$4,'Met Data'!$H$2:$M$368,G999,FALSE)*L999</f>
        <v>4.2166666666666597</v>
      </c>
      <c r="K999" s="98">
        <f ca="1">HLOOKUP($H$4,'Met Data'!$O$2:$T$368,G999,FALSE)</f>
        <v>2.3809243707544998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8" sqref="AP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221</v>
      </c>
      <c r="AJ6" t="s">
        <v>223</v>
      </c>
      <c r="AM6" s="126" t="s">
        <v>244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4" t="s">
        <v>245</v>
      </c>
      <c r="AN7">
        <v>15</v>
      </c>
      <c r="AP7" t="s">
        <v>258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4" t="s">
        <v>246</v>
      </c>
      <c r="AN8">
        <v>17</v>
      </c>
      <c r="AP8" t="s">
        <v>233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4" t="s">
        <v>247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4" t="s">
        <v>248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4" t="s">
        <v>249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4" t="s">
        <v>250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4" t="s">
        <v>251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252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253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7" t="s">
        <v>198</v>
      </c>
      <c r="B1" s="147"/>
      <c r="C1" s="147"/>
      <c r="D1" s="147"/>
      <c r="E1" s="147"/>
      <c r="F1" s="147"/>
      <c r="H1" s="147" t="s">
        <v>199</v>
      </c>
      <c r="I1" s="147"/>
      <c r="J1" s="147"/>
      <c r="K1" s="147"/>
      <c r="L1" s="147"/>
      <c r="M1" s="147"/>
      <c r="O1" s="147" t="s">
        <v>200</v>
      </c>
      <c r="P1" s="147"/>
      <c r="Q1" s="147"/>
      <c r="R1" s="147"/>
      <c r="S1" s="147"/>
      <c r="T1" s="147"/>
      <c r="V1" s="147"/>
      <c r="W1" s="147"/>
      <c r="X1" s="147"/>
      <c r="Y1" s="147"/>
      <c r="Z1" s="147"/>
      <c r="AA1" s="147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2024-03-27T05:11:15Z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