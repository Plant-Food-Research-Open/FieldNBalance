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86B1ACCD-9A78-4879-B7E7-1279EB5145A5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AE42" i="3" s="1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AE78" i="3" s="1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AE64" i="3" s="1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AE17" i="3" s="1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AE49" i="3" s="1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AE32" i="3" s="1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AE48" i="3" s="1"/>
  <c r="X49" i="3"/>
  <c r="AA50" i="3"/>
  <c r="Q52" i="3"/>
  <c r="T53" i="3"/>
  <c r="U54" i="3"/>
  <c r="AE54" i="3" s="1"/>
  <c r="R55" i="3"/>
  <c r="Q56" i="3"/>
  <c r="AA56" i="3"/>
  <c r="X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AE20" i="3" s="1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AE36" i="3" s="1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AE9" i="3" s="1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AE57" i="3" s="1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AE90" i="3" s="1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AE95" i="3" s="1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AE84" i="3" s="1"/>
  <c r="Q86" i="3"/>
  <c r="X87" i="3"/>
  <c r="T89" i="3"/>
  <c r="P91" i="3"/>
  <c r="W92" i="3"/>
  <c r="S94" i="3"/>
  <c r="AB95" i="3"/>
  <c r="V97" i="3"/>
  <c r="R99" i="3"/>
  <c r="AA100" i="3"/>
  <c r="U102" i="3"/>
  <c r="AE102" i="3" s="1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AE122" i="3" s="1"/>
  <c r="X123" i="3"/>
  <c r="AA124" i="3"/>
  <c r="Q126" i="3"/>
  <c r="Q127" i="3"/>
  <c r="Q128" i="3"/>
  <c r="R129" i="3"/>
  <c r="Q130" i="3"/>
  <c r="Q131" i="3"/>
  <c r="AB131" i="3"/>
  <c r="AA132" i="3"/>
  <c r="X133" i="3"/>
  <c r="U134" i="3"/>
  <c r="AE134" i="3" s="1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AE200" i="3" s="1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AE208" i="3" s="1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AE111" i="3" s="1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AE135" i="3" s="1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AE13" i="3" s="1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E98" i="3" s="1"/>
  <c r="AB99" i="3"/>
  <c r="X101" i="3"/>
  <c r="T103" i="3"/>
  <c r="W104" i="3"/>
  <c r="Z105" i="3"/>
  <c r="P107" i="3"/>
  <c r="S108" i="3"/>
  <c r="V109" i="3"/>
  <c r="Y110" i="3"/>
  <c r="AB111" i="3"/>
  <c r="R113" i="3"/>
  <c r="U114" i="3"/>
  <c r="AE114" i="3" s="1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AE132" i="3" s="1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AE146" i="3" s="1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AE156" i="3" s="1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AE79" i="3" s="1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AE103" i="3" s="1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AE201" i="3" s="1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P6" i="3"/>
  <c r="R17" i="1" s="1"/>
  <c r="Y25" i="3"/>
  <c r="U45" i="3"/>
  <c r="AE45" i="3" s="1"/>
  <c r="X60" i="3"/>
  <c r="V70" i="3"/>
  <c r="Y79" i="3"/>
  <c r="AB83" i="3"/>
  <c r="T87" i="3"/>
  <c r="W90" i="3"/>
  <c r="Z93" i="3"/>
  <c r="R97" i="3"/>
  <c r="U100" i="3"/>
  <c r="AE100" i="3" s="1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E138" i="3" s="1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AE126" i="3" s="1"/>
  <c r="T128" i="3"/>
  <c r="U130" i="3"/>
  <c r="AE130" i="3" s="1"/>
  <c r="S132" i="3"/>
  <c r="Z133" i="3"/>
  <c r="V135" i="3"/>
  <c r="R137" i="3"/>
  <c r="Y138" i="3"/>
  <c r="U140" i="3"/>
  <c r="AE140" i="3" s="1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AE162" i="3" s="1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AE178" i="3" s="1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AE210" i="3" s="1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W11" i="3"/>
  <c r="S31" i="3"/>
  <c r="AB50" i="3"/>
  <c r="U63" i="3"/>
  <c r="S73" i="3"/>
  <c r="S81" i="3"/>
  <c r="AB84" i="3"/>
  <c r="R88" i="3"/>
  <c r="U91" i="3"/>
  <c r="AE91" i="3" s="1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AE183" i="3" s="1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AE199" i="3" s="1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E110" i="3" s="1"/>
  <c r="AA112" i="3"/>
  <c r="T115" i="3"/>
  <c r="Z117" i="3"/>
  <c r="S120" i="3"/>
  <c r="Y122" i="3"/>
  <c r="R125" i="3"/>
  <c r="U127" i="3"/>
  <c r="AE127" i="3" s="1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AE154" i="3" s="1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AE202" i="3" s="1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AE332" i="3" s="1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U21" i="3"/>
  <c r="AE21" i="3" s="1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E115" i="3" s="1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AE265" i="3" s="1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E174" i="3" s="1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AE222" i="3" s="1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AE254" i="3" s="1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AE211" i="3" s="1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AE290" i="3" s="1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AE322" i="3" s="1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AE354" i="3" s="1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AE215" i="3" s="1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AE231" i="3" s="1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AE263" i="3" s="1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AE279" i="3" s="1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AE343" i="3" s="1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E190" i="3" s="1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AE230" i="3" s="1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AE219" i="3" s="1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E198" i="3" s="1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AE234" i="3" s="1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AE362" i="3" s="1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AE87" i="3" s="1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AE303" i="3" s="1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E318" i="3" s="1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E350" i="3" s="1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AE422" i="3" s="1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AE379" i="3" s="1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AE378" i="3" s="1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AE471" i="3" s="1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AE414" i="3" s="1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AE371" i="3" s="1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AE387" i="3" s="1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E342" i="3" s="1"/>
  <c r="AA344" i="3"/>
  <c r="T347" i="3"/>
  <c r="Z349" i="3"/>
  <c r="S352" i="3"/>
  <c r="Y354" i="3"/>
  <c r="R357" i="3"/>
  <c r="X359" i="3"/>
  <c r="Q362" i="3"/>
  <c r="W364" i="3"/>
  <c r="P367" i="3"/>
  <c r="R369" i="3"/>
  <c r="U370" i="3"/>
  <c r="AE370" i="3" s="1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AE439" i="3" s="1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AE470" i="3" s="1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AE524" i="3" s="1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AE528" i="3" s="1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AE639" i="3" s="1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AE500" i="3" s="1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S497" i="3"/>
  <c r="U499" i="3"/>
  <c r="AE499" i="3" s="1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AE896" i="3" s="1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AE831" i="3" s="1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AE766" i="3" s="1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AE822" i="3" s="1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AE827" i="3" s="1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26" i="3"/>
  <c r="AE50" i="3"/>
  <c r="AE39" i="3"/>
  <c r="AE47" i="3"/>
  <c r="AE12" i="3"/>
  <c r="AE30" i="3"/>
  <c r="AE11" i="3"/>
  <c r="AE66" i="3"/>
  <c r="AE82" i="3"/>
  <c r="AE71" i="3"/>
  <c r="AE62" i="3"/>
  <c r="AE33" i="3"/>
  <c r="AE97" i="3"/>
  <c r="AE76" i="3"/>
  <c r="AE88" i="3"/>
  <c r="AE61" i="3"/>
  <c r="AE120" i="3"/>
  <c r="AE184" i="3"/>
  <c r="AE112" i="3"/>
  <c r="AE139" i="3"/>
  <c r="AE99" i="3"/>
  <c r="AE172" i="3"/>
  <c r="AE161" i="3"/>
  <c r="AE169" i="3"/>
  <c r="AE148" i="3"/>
  <c r="AE236" i="3"/>
  <c r="AE328" i="3"/>
  <c r="AE325" i="3"/>
  <c r="AE336" i="3"/>
  <c r="AE429" i="3"/>
  <c r="AE447" i="3"/>
  <c r="AE413" i="3"/>
  <c r="AE44" i="3"/>
  <c r="AE51" i="3"/>
  <c r="AE63" i="3"/>
  <c r="AE67" i="3"/>
  <c r="AE353" i="3"/>
  <c r="AE312" i="3"/>
  <c r="AE69" i="3"/>
  <c r="AE289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<sst xmlns="http://schemas.openxmlformats.org/spreadsheetml/2006/main" count="484" uniqueCount="277">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</sst>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36.755489653068054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-6.7689562586952974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21.798790094310242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1.2546548566506848</c:v>
                </c:pt>
                <c:pt idx="1">
                  <c:v>22.004412528121705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0.3539919059835861</c:v>
                </c:pt>
                <c:pt idx="1">
                  <c:v>6.2083878204343392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1.6701905966251189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116.01886383068424</c:v>
                </c:pt>
                <c:pt idx="1">
                  <c:v>1.6086467626342709</c:v>
                </c:pt>
                <c:pt idx="2">
                  <c:v>1.6701905966251078</c:v>
                </c:pt>
                <c:pt idx="3">
                  <c:v>1.7332903633193393</c:v>
                </c:pt>
                <c:pt idx="4">
                  <c:v>1.8002673635691322</c:v>
                </c:pt>
                <c:pt idx="5">
                  <c:v>1.8724444685416071</c:v>
                </c:pt>
                <c:pt idx="6">
                  <c:v>1.9443149652473957</c:v>
                </c:pt>
                <c:pt idx="7">
                  <c:v>2.0214505984622644</c:v>
                </c:pt>
                <c:pt idx="8">
                  <c:v>2.1038280083658947</c:v>
                </c:pt>
                <c:pt idx="9">
                  <c:v>2.1862609422104855</c:v>
                </c:pt>
                <c:pt idx="10">
                  <c:v>2.2751109101634488</c:v>
                </c:pt>
                <c:pt idx="11">
                  <c:v>2.3683902237025314</c:v>
                </c:pt>
                <c:pt idx="12">
                  <c:v>2.465096164894196</c:v>
                </c:pt>
                <c:pt idx="13">
                  <c:v>2.5632226378071459</c:v>
                </c:pt>
                <c:pt idx="14">
                  <c:v>2.6645695239846763</c:v>
                </c:pt>
                <c:pt idx="15">
                  <c:v>2.7738156334414161</c:v>
                </c:pt>
                <c:pt idx="16">
                  <c:v>2.8912426477623066</c:v>
                </c:pt>
                <c:pt idx="17">
                  <c:v>3.0087346923413034</c:v>
                </c:pt>
                <c:pt idx="18">
                  <c:v>3.1261504597325533</c:v>
                </c:pt>
                <c:pt idx="19">
                  <c:v>3.2476626244884366</c:v>
                </c:pt>
                <c:pt idx="20">
                  <c:v>3.3793467330896316</c:v>
                </c:pt>
                <c:pt idx="21">
                  <c:v>3.5171843925025197</c:v>
                </c:pt>
                <c:pt idx="22">
                  <c:v>3.6637143309873066</c:v>
                </c:pt>
                <c:pt idx="23">
                  <c:v>3.8196482784049732</c:v>
                </c:pt>
                <c:pt idx="24">
                  <c:v>3.9794525220882782</c:v>
                </c:pt>
                <c:pt idx="25">
                  <c:v>4.1560647784590499</c:v>
                </c:pt>
                <c:pt idx="26">
                  <c:v>4.340832729463294</c:v>
                </c:pt>
                <c:pt idx="27">
                  <c:v>4.5269215093920412</c:v>
                </c:pt>
                <c:pt idx="28">
                  <c:v>4.7189949552103077</c:v>
                </c:pt>
                <c:pt idx="29">
                  <c:v>4.9209395571941004</c:v>
                </c:pt>
                <c:pt idx="30">
                  <c:v>5.1366892222341454</c:v>
                </c:pt>
                <c:pt idx="31">
                  <c:v>5.3665635164363223</c:v>
                </c:pt>
                <c:pt idx="32">
                  <c:v>5.6150671639228351</c:v>
                </c:pt>
                <c:pt idx="33">
                  <c:v>5.8808507534429291</c:v>
                </c:pt>
                <c:pt idx="34">
                  <c:v>6.1593756526928027</c:v>
                </c:pt>
                <c:pt idx="35">
                  <c:v>6.4456406649931282</c:v>
                </c:pt>
                <c:pt idx="36">
                  <c:v>6.744829557132773</c:v>
                </c:pt>
                <c:pt idx="37">
                  <c:v>7.0424726098095913</c:v>
                </c:pt>
                <c:pt idx="38">
                  <c:v>7.3505258602773296</c:v>
                </c:pt>
                <c:pt idx="39">
                  <c:v>7.6842798875521403</c:v>
                </c:pt>
                <c:pt idx="40">
                  <c:v>8.0291421691045137</c:v>
                </c:pt>
                <c:pt idx="41">
                  <c:v>8.4047754875304097</c:v>
                </c:pt>
                <c:pt idx="42">
                  <c:v>8.8115757527600262</c:v>
                </c:pt>
                <c:pt idx="43">
                  <c:v>9.2276943483063647</c:v>
                </c:pt>
                <c:pt idx="44">
                  <c:v>9.658183213397475</c:v>
                </c:pt>
                <c:pt idx="45">
                  <c:v>10.099873038021652</c:v>
                </c:pt>
                <c:pt idx="46">
                  <c:v>10.562805081161891</c:v>
                </c:pt>
                <c:pt idx="47">
                  <c:v>11.045830286332979</c:v>
                </c:pt>
                <c:pt idx="48">
                  <c:v>11.534955980335999</c:v>
                </c:pt>
                <c:pt idx="49">
                  <c:v>12.049979597810831</c:v>
                </c:pt>
                <c:pt idx="50">
                  <c:v>12.596704646346192</c:v>
                </c:pt>
                <c:pt idx="51">
                  <c:v>13.163829276877234</c:v>
                </c:pt>
                <c:pt idx="52">
                  <c:v>13.75976219483257</c:v>
                </c:pt>
                <c:pt idx="53">
                  <c:v>14.358083915434344</c:v>
                </c:pt>
                <c:pt idx="54">
                  <c:v>14.984131629697975</c:v>
                </c:pt>
                <c:pt idx="55">
                  <c:v>15.644901827866875</c:v>
                </c:pt>
                <c:pt idx="56">
                  <c:v>16.312391139180662</c:v>
                </c:pt>
                <c:pt idx="57">
                  <c:v>17.005550932240503</c:v>
                </c:pt>
                <c:pt idx="58">
                  <c:v>17.767903946433044</c:v>
                </c:pt>
                <c:pt idx="59">
                  <c:v>18.575227934848222</c:v>
                </c:pt>
                <c:pt idx="60">
                  <c:v>19.394323785845401</c:v>
                </c:pt>
                <c:pt idx="61">
                  <c:v>20.21604562698786</c:v>
                </c:pt>
                <c:pt idx="62">
                  <c:v>21.050291955149323</c:v>
                </c:pt>
                <c:pt idx="63">
                  <c:v>21.933249692959276</c:v>
                </c:pt>
                <c:pt idx="64">
                  <c:v>22.827105729284657</c:v>
                </c:pt>
                <c:pt idx="65">
                  <c:v>23.76139157874233</c:v>
                </c:pt>
                <c:pt idx="66">
                  <c:v>24.688576008792488</c:v>
                </c:pt>
                <c:pt idx="67">
                  <c:v>25.643475547334937</c:v>
                </c:pt>
                <c:pt idx="68">
                  <c:v>26.653214219724433</c:v>
                </c:pt>
                <c:pt idx="69">
                  <c:v>27.701287598840441</c:v>
                </c:pt>
                <c:pt idx="70">
                  <c:v>28.788163068354983</c:v>
                </c:pt>
                <c:pt idx="71">
                  <c:v>29.882990945181152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49.943857094793344</c:v>
                </c:pt>
                <c:pt idx="2">
                  <c:v>49.825630117243271</c:v>
                </c:pt>
                <c:pt idx="3">
                  <c:v>49.719257787071442</c:v>
                </c:pt>
                <c:pt idx="4">
                  <c:v>49.627422276878924</c:v>
                </c:pt>
                <c:pt idx="5">
                  <c:v>49.571471390198845</c:v>
                </c:pt>
                <c:pt idx="6">
                  <c:v>49.534807044467932</c:v>
                </c:pt>
                <c:pt idx="7">
                  <c:v>49.518211400134078</c:v>
                </c:pt>
                <c:pt idx="8">
                  <c:v>49.513809874125442</c:v>
                </c:pt>
                <c:pt idx="9">
                  <c:v>49.51979710292553</c:v>
                </c:pt>
                <c:pt idx="10">
                  <c:v>49.52984168006445</c:v>
                </c:pt>
                <c:pt idx="11">
                  <c:v>49.53536629088741</c:v>
                </c:pt>
                <c:pt idx="12">
                  <c:v>49.552696027562725</c:v>
                </c:pt>
                <c:pt idx="13">
                  <c:v>49.573473882917845</c:v>
                </c:pt>
                <c:pt idx="14">
                  <c:v>49.598890696965277</c:v>
                </c:pt>
                <c:pt idx="15">
                  <c:v>49.621055640203735</c:v>
                </c:pt>
                <c:pt idx="16">
                  <c:v>49.658825075159342</c:v>
                </c:pt>
                <c:pt idx="17">
                  <c:v>49.690867294592771</c:v>
                </c:pt>
                <c:pt idx="18">
                  <c:v>49.717885268020645</c:v>
                </c:pt>
                <c:pt idx="19">
                  <c:v>49.73671306178872</c:v>
                </c:pt>
                <c:pt idx="20">
                  <c:v>49.754594934422457</c:v>
                </c:pt>
                <c:pt idx="21">
                  <c:v>49.775085411854633</c:v>
                </c:pt>
                <c:pt idx="22">
                  <c:v>49.806297305922648</c:v>
                </c:pt>
                <c:pt idx="23">
                  <c:v>49.837827781051892</c:v>
                </c:pt>
                <c:pt idx="24">
                  <c:v>49.865352630840121</c:v>
                </c:pt>
                <c:pt idx="25">
                  <c:v>49.889717044000548</c:v>
                </c:pt>
                <c:pt idx="26">
                  <c:v>49.905686774859916</c:v>
                </c:pt>
                <c:pt idx="27">
                  <c:v>49.9225876858075</c:v>
                </c:pt>
                <c:pt idx="28">
                  <c:v>49.949655773442551</c:v>
                </c:pt>
                <c:pt idx="29">
                  <c:v>49.97005163334174</c:v>
                </c:pt>
                <c:pt idx="30">
                  <c:v>49.984540568051607</c:v>
                </c:pt>
                <c:pt idx="31">
                  <c:v>49.983225824461684</c:v>
                </c:pt>
                <c:pt idx="32">
                  <c:v>49.995014744764994</c:v>
                </c:pt>
                <c:pt idx="33">
                  <c:v>49.988199338036083</c:v>
                </c:pt>
                <c:pt idx="34">
                  <c:v>50.000222680719133</c:v>
                </c:pt>
                <c:pt idx="35">
                  <c:v>50.018812801768576</c:v>
                </c:pt>
                <c:pt idx="36">
                  <c:v>50.031082681393173</c:v>
                </c:pt>
                <c:pt idx="37">
                  <c:v>50.039065546014314</c:v>
                </c:pt>
                <c:pt idx="38">
                  <c:v>50.028350192031951</c:v>
                </c:pt>
                <c:pt idx="39">
                  <c:v>49.987248353115298</c:v>
                </c:pt>
                <c:pt idx="40">
                  <c:v>49.931444276839912</c:v>
                </c:pt>
                <c:pt idx="41">
                  <c:v>49.839857538655878</c:v>
                </c:pt>
                <c:pt idx="42">
                  <c:v>49.71901375433039</c:v>
                </c:pt>
                <c:pt idx="43">
                  <c:v>49.57229661277006</c:v>
                </c:pt>
                <c:pt idx="44">
                  <c:v>49.416777801312683</c:v>
                </c:pt>
                <c:pt idx="45">
                  <c:v>49.24083217321332</c:v>
                </c:pt>
                <c:pt idx="46">
                  <c:v>49.061295391137349</c:v>
                </c:pt>
                <c:pt idx="47">
                  <c:v>48.872948748917793</c:v>
                </c:pt>
                <c:pt idx="48">
                  <c:v>48.680272876127923</c:v>
                </c:pt>
                <c:pt idx="49">
                  <c:v>48.47129628361936</c:v>
                </c:pt>
                <c:pt idx="50">
                  <c:v>48.219104614757384</c:v>
                </c:pt>
                <c:pt idx="51">
                  <c:v>47.948435874381033</c:v>
                </c:pt>
                <c:pt idx="52">
                  <c:v>47.639079440153772</c:v>
                </c:pt>
                <c:pt idx="53">
                  <c:v>47.310939464697633</c:v>
                </c:pt>
                <c:pt idx="54">
                  <c:v>46.957037800807804</c:v>
                </c:pt>
                <c:pt idx="55">
                  <c:v>46.582879978320747</c:v>
                </c:pt>
                <c:pt idx="56">
                  <c:v>46.181738017555105</c:v>
                </c:pt>
                <c:pt idx="57">
                  <c:v>45.749370119709106</c:v>
                </c:pt>
                <c:pt idx="58">
                  <c:v>45.250689489270812</c:v>
                </c:pt>
                <c:pt idx="59">
                  <c:v>44.716110018789472</c:v>
                </c:pt>
                <c:pt idx="60">
                  <c:v>44.176830590579897</c:v>
                </c:pt>
                <c:pt idx="61">
                  <c:v>43.669583757054895</c:v>
                </c:pt>
                <c:pt idx="62">
                  <c:v>43.142117407763045</c:v>
                </c:pt>
                <c:pt idx="63">
                  <c:v>42.560310889243013</c:v>
                </c:pt>
                <c:pt idx="64">
                  <c:v>41.950323270276421</c:v>
                </c:pt>
                <c:pt idx="65">
                  <c:v>41.294182126344467</c:v>
                </c:pt>
                <c:pt idx="66">
                  <c:v>40.629372252077019</c:v>
                </c:pt>
                <c:pt idx="67">
                  <c:v>39.932996833498059</c:v>
                </c:pt>
                <c:pt idx="68">
                  <c:v>39.183349236139705</c:v>
                </c:pt>
                <c:pt idx="69">
                  <c:v>38.401136379736656</c:v>
                </c:pt>
                <c:pt idx="70">
                  <c:v>37.588078383167726</c:v>
                </c:pt>
                <c:pt idx="71">
                  <c:v>36.755489653068054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0.33170446051617875</c:v>
                </c:pt>
                <c:pt idx="1">
                  <c:v>0.64085772552777209</c:v>
                </c:pt>
                <c:pt idx="2">
                  <c:v>0.93458930962353159</c:v>
                </c:pt>
                <c:pt idx="3">
                  <c:v>1.2236565531110193</c:v>
                </c:pt>
                <c:pt idx="4">
                  <c:v>1.5207841886924296</c:v>
                </c:pt>
                <c:pt idx="5">
                  <c:v>1.8516056121451347</c:v>
                </c:pt>
                <c:pt idx="6">
                  <c:v>2.1787883914774913</c:v>
                </c:pt>
                <c:pt idx="7">
                  <c:v>2.523776808559004</c:v>
                </c:pt>
                <c:pt idx="8">
                  <c:v>2.8775919501377061</c:v>
                </c:pt>
                <c:pt idx="9">
                  <c:v>3.2222072358896474</c:v>
                </c:pt>
                <c:pt idx="10">
                  <c:v>3.5709754984701156</c:v>
                </c:pt>
                <c:pt idx="11">
                  <c:v>3.9089195507475574</c:v>
                </c:pt>
                <c:pt idx="12">
                  <c:v>4.2497609813368378</c:v>
                </c:pt>
                <c:pt idx="13">
                  <c:v>4.5807984117909317</c:v>
                </c:pt>
                <c:pt idx="14">
                  <c:v>4.908457901218557</c:v>
                </c:pt>
                <c:pt idx="15">
                  <c:v>5.2353945851694217</c:v>
                </c:pt>
                <c:pt idx="16">
                  <c:v>5.58019089686612</c:v>
                </c:pt>
                <c:pt idx="17">
                  <c:v>5.9046184413176226</c:v>
                </c:pt>
                <c:pt idx="18">
                  <c:v>6.2107281013024895</c:v>
                </c:pt>
                <c:pt idx="19">
                  <c:v>6.5041745043865626</c:v>
                </c:pt>
                <c:pt idx="20">
                  <c:v>6.8029976680607787</c:v>
                </c:pt>
                <c:pt idx="21">
                  <c:v>7.1032256750623954</c:v>
                </c:pt>
                <c:pt idx="22">
                  <c:v>7.4171312489903229</c:v>
                </c:pt>
                <c:pt idx="23">
                  <c:v>7.7351192131735393</c:v>
                </c:pt>
                <c:pt idx="24">
                  <c:v>8.044144865258712</c:v>
                </c:pt>
                <c:pt idx="25">
                  <c:v>8.3646942289062043</c:v>
                </c:pt>
                <c:pt idx="26">
                  <c:v>8.6779664159049243</c:v>
                </c:pt>
                <c:pt idx="27">
                  <c:v>8.9839471538502007</c:v>
                </c:pt>
                <c:pt idx="28">
                  <c:v>9.2991544934668564</c:v>
                </c:pt>
                <c:pt idx="29">
                  <c:v>9.6122156251190169</c:v>
                </c:pt>
                <c:pt idx="30">
                  <c:v>9.9289470825318986</c:v>
                </c:pt>
                <c:pt idx="31">
                  <c:v>10.239578881981259</c:v>
                </c:pt>
                <c:pt idx="32">
                  <c:v>10.578373181605819</c:v>
                </c:pt>
                <c:pt idx="33">
                  <c:v>10.911527207290387</c:v>
                </c:pt>
                <c:pt idx="34">
                  <c:v>11.270829545570027</c:v>
                </c:pt>
                <c:pt idx="35">
                  <c:v>11.63832071942249</c:v>
                </c:pt>
                <c:pt idx="36">
                  <c:v>12.007540823074422</c:v>
                </c:pt>
                <c:pt idx="37">
                  <c:v>12.364381926228466</c:v>
                </c:pt>
                <c:pt idx="38">
                  <c:v>12.708581749615609</c:v>
                </c:pt>
                <c:pt idx="39">
                  <c:v>13.045477404667468</c:v>
                </c:pt>
                <c:pt idx="40">
                  <c:v>13.374579096699417</c:v>
                </c:pt>
                <c:pt idx="41">
                  <c:v>13.696231292770333</c:v>
                </c:pt>
                <c:pt idx="42">
                  <c:v>14.01705111492938</c:v>
                </c:pt>
                <c:pt idx="43">
                  <c:v>14.317031320176685</c:v>
                </c:pt>
                <c:pt idx="44">
                  <c:v>14.618953908313227</c:v>
                </c:pt>
                <c:pt idx="45">
                  <c:v>14.908141669809705</c:v>
                </c:pt>
                <c:pt idx="46">
                  <c:v>15.212109665671695</c:v>
                </c:pt>
                <c:pt idx="47">
                  <c:v>15.524548560576275</c:v>
                </c:pt>
                <c:pt idx="48">
                  <c:v>15.835756828202374</c:v>
                </c:pt>
                <c:pt idx="49">
                  <c:v>16.154241246893601</c:v>
                </c:pt>
                <c:pt idx="50">
                  <c:v>16.459014151158875</c:v>
                </c:pt>
                <c:pt idx="51">
                  <c:v>16.763393730972378</c:v>
                </c:pt>
                <c:pt idx="52">
                  <c:v>17.055773482858694</c:v>
                </c:pt>
                <c:pt idx="53">
                  <c:v>17.329600288785837</c:v>
                </c:pt>
                <c:pt idx="54">
                  <c:v>17.603542913912307</c:v>
                </c:pt>
                <c:pt idx="55">
                  <c:v>17.890163699850135</c:v>
                </c:pt>
                <c:pt idx="56">
                  <c:v>18.154851164581949</c:v>
                </c:pt>
                <c:pt idx="57">
                  <c:v>18.412418816501532</c:v>
                </c:pt>
                <c:pt idx="58">
                  <c:v>18.671130256327928</c:v>
                </c:pt>
                <c:pt idx="59">
                  <c:v>18.937212831065001</c:v>
                </c:pt>
                <c:pt idx="60">
                  <c:v>19.209037016838824</c:v>
                </c:pt>
                <c:pt idx="61">
                  <c:v>19.514437046521916</c:v>
                </c:pt>
                <c:pt idx="62">
                  <c:v>19.811101797984573</c:v>
                </c:pt>
                <c:pt idx="63">
                  <c:v>20.100775378131303</c:v>
                </c:pt>
                <c:pt idx="64">
                  <c:v>20.37230626959483</c:v>
                </c:pt>
                <c:pt idx="65">
                  <c:v>20.636959477491857</c:v>
                </c:pt>
                <c:pt idx="66">
                  <c:v>20.885650650297833</c:v>
                </c:pt>
                <c:pt idx="67">
                  <c:v>21.130206475784856</c:v>
                </c:pt>
                <c:pt idx="68">
                  <c:v>21.375939366580507</c:v>
                </c:pt>
                <c:pt idx="69">
                  <c:v>21.626549185006905</c:v>
                </c:pt>
                <c:pt idx="70">
                  <c:v>21.884028166021515</c:v>
                </c:pt>
                <c:pt idx="71">
                  <c:v>22.13049455482642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-0.36529617021824862</c:v>
                </c:pt>
                <c:pt idx="2">
                  <c:v>-0.71571089787324182</c:v>
                </c:pt>
                <c:pt idx="3">
                  <c:v>-1.0480507048383294</c:v>
                </c:pt>
                <c:pt idx="4">
                  <c:v>-1.370036850362466</c:v>
                </c:pt>
                <c:pt idx="5">
                  <c:v>-1.6846320555227752</c:v>
                </c:pt>
                <c:pt idx="6">
                  <c:v>-1.9766086838802484</c:v>
                </c:pt>
                <c:pt idx="7">
                  <c:v>-2.2610571120807488</c:v>
                </c:pt>
                <c:pt idx="8">
                  <c:v>-2.5368963697644555</c:v>
                </c:pt>
                <c:pt idx="9">
                  <c:v>-2.7930914928717141</c:v>
                </c:pt>
                <c:pt idx="10">
                  <c:v>-3.0429652103603066</c:v>
                </c:pt>
                <c:pt idx="11">
                  <c:v>-3.2821053382757013</c:v>
                </c:pt>
                <c:pt idx="12">
                  <c:v>-3.5089110909980001</c:v>
                </c:pt>
                <c:pt idx="13">
                  <c:v>-3.7210441931840204</c:v>
                </c:pt>
                <c:pt idx="14">
                  <c:v>-3.9219399823866805</c:v>
                </c:pt>
                <c:pt idx="15">
                  <c:v>-4.1174656136423406</c:v>
                </c:pt>
                <c:pt idx="16">
                  <c:v>-4.3070654760625464</c:v>
                </c:pt>
                <c:pt idx="17">
                  <c:v>-4.4819587565016246</c:v>
                </c:pt>
                <c:pt idx="18">
                  <c:v>-4.6436346756673714</c:v>
                </c:pt>
                <c:pt idx="19">
                  <c:v>-4.7967411202274848</c:v>
                </c:pt>
                <c:pt idx="20">
                  <c:v>-4.945998302666772</c:v>
                </c:pt>
                <c:pt idx="21">
                  <c:v>-5.0878981728233255</c:v>
                </c:pt>
                <c:pt idx="22">
                  <c:v>-5.2240619141984483</c:v>
                </c:pt>
                <c:pt idx="23">
                  <c:v>-5.3545854558347568</c:v>
                </c:pt>
                <c:pt idx="24">
                  <c:v>-5.4762820144483957</c:v>
                </c:pt>
                <c:pt idx="25">
                  <c:v>-5.5958547085646888</c:v>
                </c:pt>
                <c:pt idx="26">
                  <c:v>-5.708389213699796</c:v>
                </c:pt>
                <c:pt idx="27">
                  <c:v>-5.8113802607687433</c:v>
                </c:pt>
                <c:pt idx="28">
                  <c:v>-5.9074460669320796</c:v>
                </c:pt>
                <c:pt idx="29">
                  <c:v>-5.998166736701263</c:v>
                </c:pt>
                <c:pt idx="30">
                  <c:v>-6.084659594364231</c:v>
                </c:pt>
                <c:pt idx="31">
                  <c:v>-6.1667318432013349</c:v>
                </c:pt>
                <c:pt idx="32">
                  <c:v>-6.2452335750360701</c:v>
                </c:pt>
                <c:pt idx="33">
                  <c:v>-6.319419417929458</c:v>
                </c:pt>
                <c:pt idx="34">
                  <c:v>-6.3881735142761764</c:v>
                </c:pt>
                <c:pt idx="35">
                  <c:v>-6.4508095547788713</c:v>
                </c:pt>
                <c:pt idx="36">
                  <c:v>-6.5085708866665613</c:v>
                </c:pt>
                <c:pt idx="37">
                  <c:v>-6.5597860725226482</c:v>
                </c:pt>
                <c:pt idx="38">
                  <c:v>-6.6066479994244158</c:v>
                </c:pt>
                <c:pt idx="39">
                  <c:v>-6.6508914661181082</c:v>
                </c:pt>
                <c:pt idx="40">
                  <c:v>-6.6909349528730697</c:v>
                </c:pt>
                <c:pt idx="41">
                  <c:v>-6.7285405687021171</c:v>
                </c:pt>
                <c:pt idx="42">
                  <c:v>-6.7634039099570389</c:v>
                </c:pt>
                <c:pt idx="43">
                  <c:v>-6.7939826612183341</c:v>
                </c:pt>
                <c:pt idx="44">
                  <c:v>-6.8209351957211393</c:v>
                </c:pt>
                <c:pt idx="45">
                  <c:v>-6.8443787606928037</c:v>
                </c:pt>
                <c:pt idx="46">
                  <c:v>-6.8649514954905282</c:v>
                </c:pt>
                <c:pt idx="47">
                  <c:v>-6.8827118274435772</c:v>
                </c:pt>
                <c:pt idx="48">
                  <c:v>-6.8974702738565261</c:v>
                </c:pt>
                <c:pt idx="49">
                  <c:v>-6.9099076675814839</c:v>
                </c:pt>
                <c:pt idx="50">
                  <c:v>-6.9201471921733777</c:v>
                </c:pt>
                <c:pt idx="51">
                  <c:v>-6.9280708818321912</c:v>
                </c:pt>
                <c:pt idx="52">
                  <c:v>-6.9338741499904284</c:v>
                </c:pt>
                <c:pt idx="53">
                  <c:v>-6.9375192107719394</c:v>
                </c:pt>
                <c:pt idx="54">
                  <c:v>-6.9393157855246059</c:v>
                </c:pt>
                <c:pt idx="55">
                  <c:v>-6.9393241957805962</c:v>
                </c:pt>
                <c:pt idx="56">
                  <c:v>-6.9376643099642639</c:v>
                </c:pt>
                <c:pt idx="57">
                  <c:v>-6.9344400666700068</c:v>
                </c:pt>
                <c:pt idx="58">
                  <c:v>-6.9294791227421584</c:v>
                </c:pt>
                <c:pt idx="59">
                  <c:v>-6.9228171795453903</c:v>
                </c:pt>
                <c:pt idx="60">
                  <c:v>-6.9148249425316113</c:v>
                </c:pt>
                <c:pt idx="61">
                  <c:v>-6.9057499645972502</c:v>
                </c:pt>
                <c:pt idx="62">
                  <c:v>-6.8956347371902948</c:v>
                </c:pt>
                <c:pt idx="63">
                  <c:v>-6.8841570980470994</c:v>
                </c:pt>
                <c:pt idx="64">
                  <c:v>-6.8718195721518391</c:v>
                </c:pt>
                <c:pt idx="65">
                  <c:v>-6.8583280745231496</c:v>
                </c:pt>
                <c:pt idx="66">
                  <c:v>-6.8446446915464154</c:v>
                </c:pt>
                <c:pt idx="67">
                  <c:v>-6.8306763970699542</c:v>
                </c:pt>
                <c:pt idx="68">
                  <c:v>-6.8163182128344619</c:v>
                </c:pt>
                <c:pt idx="69">
                  <c:v>-6.8010675085478969</c:v>
                </c:pt>
                <c:pt idx="70">
                  <c:v>-6.7847290166168914</c:v>
                </c:pt>
                <c:pt idx="71">
                  <c:v>-6.7689562586952974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3.4157513190582245</c:v>
                </c:pt>
                <c:pt idx="15">
                  <c:v>3.6051929149876547</c:v>
                </c:pt>
                <c:pt idx="16">
                  <c:v>3.8002011352426024</c:v>
                </c:pt>
                <c:pt idx="17">
                  <c:v>4.0079361684278938</c:v>
                </c:pt>
                <c:pt idx="18">
                  <c:v>4.2305120840678851</c:v>
                </c:pt>
                <c:pt idx="19">
                  <c:v>4.4690990318687511</c:v>
                </c:pt>
                <c:pt idx="20">
                  <c:v>4.7198148554170203</c:v>
                </c:pt>
                <c:pt idx="21">
                  <c:v>4.9860598619195047</c:v>
                </c:pt>
                <c:pt idx="22">
                  <c:v>5.262532414829499</c:v>
                </c:pt>
                <c:pt idx="23">
                  <c:v>5.5492796170688452</c:v>
                </c:pt>
                <c:pt idx="24">
                  <c:v>5.8378759101945876</c:v>
                </c:pt>
                <c:pt idx="25">
                  <c:v>6.1515209220804161</c:v>
                </c:pt>
                <c:pt idx="26">
                  <c:v>6.4786468341126389</c:v>
                </c:pt>
                <c:pt idx="27">
                  <c:v>6.825034395579455</c:v>
                </c:pt>
                <c:pt idx="28">
                  <c:v>7.1886475842181783</c:v>
                </c:pt>
                <c:pt idx="29">
                  <c:v>7.5745249759943265</c:v>
                </c:pt>
                <c:pt idx="30">
                  <c:v>7.9910372365186468</c:v>
                </c:pt>
                <c:pt idx="31">
                  <c:v>8.435163814611041</c:v>
                </c:pt>
                <c:pt idx="32">
                  <c:v>8.9002382917793703</c:v>
                </c:pt>
                <c:pt idx="33">
                  <c:v>9.3827576138366062</c:v>
                </c:pt>
                <c:pt idx="34">
                  <c:v>9.8907747101403203</c:v>
                </c:pt>
                <c:pt idx="35">
                  <c:v>10.415781952914802</c:v>
                </c:pt>
                <c:pt idx="36">
                  <c:v>10.963069095815463</c:v>
                </c:pt>
                <c:pt idx="37">
                  <c:v>11.53821010370895</c:v>
                </c:pt>
                <c:pt idx="38">
                  <c:v>12.147022669002242</c:v>
                </c:pt>
                <c:pt idx="39">
                  <c:v>12.785677481966445</c:v>
                </c:pt>
                <c:pt idx="40">
                  <c:v>13.459399484146871</c:v>
                </c:pt>
                <c:pt idx="41">
                  <c:v>14.162364741494017</c:v>
                </c:pt>
                <c:pt idx="42">
                  <c:v>14.887806832644074</c:v>
                </c:pt>
                <c:pt idx="43">
                  <c:v>15.646265995866125</c:v>
                </c:pt>
                <c:pt idx="44">
                  <c:v>16.415198634900928</c:v>
                </c:pt>
                <c:pt idx="45">
                  <c:v>17.188654088907484</c:v>
                </c:pt>
                <c:pt idx="46">
                  <c:v>18.001347770466403</c:v>
                </c:pt>
                <c:pt idx="47">
                  <c:v>18.854891507966922</c:v>
                </c:pt>
                <c:pt idx="48">
                  <c:v>19.726322896718358</c:v>
                </c:pt>
                <c:pt idx="49">
                  <c:v>20.637073832334963</c:v>
                </c:pt>
                <c:pt idx="50">
                  <c:v>21.612363006518638</c:v>
                </c:pt>
                <c:pt idx="51">
                  <c:v>22.631601314336837</c:v>
                </c:pt>
                <c:pt idx="52">
                  <c:v>23.634609784062846</c:v>
                </c:pt>
                <c:pt idx="53">
                  <c:v>24.668413836550005</c:v>
                </c:pt>
                <c:pt idx="54">
                  <c:v>25.774654153335764</c:v>
                </c:pt>
                <c:pt idx="55">
                  <c:v>26.872030623270465</c:v>
                </c:pt>
                <c:pt idx="56">
                  <c:v>28.039358328844997</c:v>
                </c:pt>
                <c:pt idx="57">
                  <c:v>29.270189741647187</c:v>
                </c:pt>
                <c:pt idx="58">
                  <c:v>30.516925736468313</c:v>
                </c:pt>
                <c:pt idx="59">
                  <c:v>31.788733361106527</c:v>
                </c:pt>
                <c:pt idx="60">
                  <c:v>33.120205172841629</c:v>
                </c:pt>
                <c:pt idx="61">
                  <c:v>34.455015196353699</c:v>
                </c:pt>
                <c:pt idx="62">
                  <c:v>35.830915930699859</c:v>
                </c:pt>
                <c:pt idx="63">
                  <c:v>37.229617921453965</c:v>
                </c:pt>
                <c:pt idx="64">
                  <c:v>38.684667160379618</c:v>
                </c:pt>
                <c:pt idx="65">
                  <c:v>40.177504624980507</c:v>
                </c:pt>
                <c:pt idx="66">
                  <c:v>41.701363098930592</c:v>
                </c:pt>
                <c:pt idx="67">
                  <c:v>43.208690930696164</c:v>
                </c:pt>
                <c:pt idx="68">
                  <c:v>44.759719410219759</c:v>
                </c:pt>
                <c:pt idx="69">
                  <c:v>46.383702978526976</c:v>
                </c:pt>
                <c:pt idx="70">
                  <c:v>48.031151816071983</c:v>
                </c:pt>
                <c:pt idx="71">
                  <c:v>49.669056471817022</c:v>
                </c:pt>
                <c:pt idx="72">
                  <c:v>51.329877264066553</c:v>
                </c:pt>
                <c:pt idx="73">
                  <c:v>53.02530492326116</c:v>
                </c:pt>
                <c:pt idx="74">
                  <c:v>54.764470345207954</c:v>
                </c:pt>
                <c:pt idx="75">
                  <c:v>56.556536318206703</c:v>
                </c:pt>
                <c:pt idx="76">
                  <c:v>58.369908107569358</c:v>
                </c:pt>
                <c:pt idx="77">
                  <c:v>60.243154448383763</c:v>
                </c:pt>
                <c:pt idx="78">
                  <c:v>62.114403401422017</c:v>
                </c:pt>
                <c:pt idx="79">
                  <c:v>63.97904125076434</c:v>
                </c:pt>
                <c:pt idx="80">
                  <c:v>65.821755874128769</c:v>
                </c:pt>
                <c:pt idx="81">
                  <c:v>67.671735033309531</c:v>
                </c:pt>
                <c:pt idx="82">
                  <c:v>69.567326207002452</c:v>
                </c:pt>
                <c:pt idx="83">
                  <c:v>71.415908490555694</c:v>
                </c:pt>
                <c:pt idx="84">
                  <c:v>73.279357343819115</c:v>
                </c:pt>
                <c:pt idx="85">
                  <c:v>75.159167012546618</c:v>
                </c:pt>
                <c:pt idx="86">
                  <c:v>77.045512276691525</c:v>
                </c:pt>
                <c:pt idx="87">
                  <c:v>78.900306819461093</c:v>
                </c:pt>
                <c:pt idx="88">
                  <c:v>80.71509702125482</c:v>
                </c:pt>
                <c:pt idx="89">
                  <c:v>82.521625471911562</c:v>
                </c:pt>
                <c:pt idx="90">
                  <c:v>84.287752206564249</c:v>
                </c:pt>
                <c:pt idx="91">
                  <c:v>86.068024858110277</c:v>
                </c:pt>
                <c:pt idx="92">
                  <c:v>87.894915919451364</c:v>
                </c:pt>
                <c:pt idx="93">
                  <c:v>89.671722934325743</c:v>
                </c:pt>
                <c:pt idx="94">
                  <c:v>91.417478932629678</c:v>
                </c:pt>
                <c:pt idx="95">
                  <c:v>93.247414290487939</c:v>
                </c:pt>
                <c:pt idx="96">
                  <c:v>95.031846385948256</c:v>
                </c:pt>
                <c:pt idx="97">
                  <c:v>96.814523013583596</c:v>
                </c:pt>
                <c:pt idx="98">
                  <c:v>98.553117960106732</c:v>
                </c:pt>
                <c:pt idx="99">
                  <c:v>100.3219426630048</c:v>
                </c:pt>
                <c:pt idx="100">
                  <c:v>102.05775058885952</c:v>
                </c:pt>
                <c:pt idx="101">
                  <c:v>103.6614027380069</c:v>
                </c:pt>
                <c:pt idx="102">
                  <c:v>105.28153312358032</c:v>
                </c:pt>
                <c:pt idx="103">
                  <c:v>106.86058458139576</c:v>
                </c:pt>
                <c:pt idx="104">
                  <c:v>108.4750373151127</c:v>
                </c:pt>
                <c:pt idx="105">
                  <c:v>110.11390301113495</c:v>
                </c:pt>
                <c:pt idx="106">
                  <c:v>111.8030132873746</c:v>
                </c:pt>
                <c:pt idx="107">
                  <c:v>113.51540942329827</c:v>
                </c:pt>
                <c:pt idx="108">
                  <c:v>115.06578861795244</c:v>
                </c:pt>
                <c:pt idx="109">
                  <c:v>116.53746925627127</c:v>
                </c:pt>
                <c:pt idx="110">
                  <c:v>118.00393683147527</c:v>
                </c:pt>
                <c:pt idx="111">
                  <c:v>119.43853400847179</c:v>
                </c:pt>
                <c:pt idx="112">
                  <c:v>120.83989321573667</c:v>
                </c:pt>
                <c:pt idx="113">
                  <c:v>122.18325513524221</c:v>
                </c:pt>
                <c:pt idx="114">
                  <c:v>123.52300752932605</c:v>
                </c:pt>
                <c:pt idx="115">
                  <c:v>124.86953520001634</c:v>
                </c:pt>
                <c:pt idx="116">
                  <c:v>126.1519366351267</c:v>
                </c:pt>
                <c:pt idx="117">
                  <c:v>127.37969815841041</c:v>
                </c:pt>
                <c:pt idx="118">
                  <c:v>128.53250187843815</c:v>
                </c:pt>
                <c:pt idx="119">
                  <c:v>129.68811279926956</c:v>
                </c:pt>
                <c:pt idx="120">
                  <c:v>130.86665003426589</c:v>
                </c:pt>
                <c:pt idx="121">
                  <c:v>132.07090168546239</c:v>
                </c:pt>
                <c:pt idx="122">
                  <c:v>133.24573699803392</c:v>
                </c:pt>
                <c:pt idx="123">
                  <c:v>134.35888898743315</c:v>
                </c:pt>
                <c:pt idx="124">
                  <c:v>135.44391075837007</c:v>
                </c:pt>
                <c:pt idx="125">
                  <c:v>136.51290905650316</c:v>
                </c:pt>
                <c:pt idx="126">
                  <c:v>137.51454456929864</c:v>
                </c:pt>
                <c:pt idx="127">
                  <c:v>138.48301228370332</c:v>
                </c:pt>
                <c:pt idx="128">
                  <c:v>139.49413254962332</c:v>
                </c:pt>
                <c:pt idx="129">
                  <c:v>140.48195600798238</c:v>
                </c:pt>
                <c:pt idx="130">
                  <c:v>141.4851689663775</c:v>
                </c:pt>
                <c:pt idx="131">
                  <c:v>142.41023008055438</c:v>
                </c:pt>
                <c:pt idx="132">
                  <c:v>143.29202670881944</c:v>
                </c:pt>
                <c:pt idx="133">
                  <c:v>144.15038846226983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45302</c:v>
                </c:pt>
                <c:pt idx="1">
                  <c:v>45303</c:v>
                </c:pt>
                <c:pt idx="2">
                  <c:v>45304</c:v>
                </c:pt>
                <c:pt idx="3">
                  <c:v>45305</c:v>
                </c:pt>
                <c:pt idx="4">
                  <c:v>45306</c:v>
                </c:pt>
                <c:pt idx="5">
                  <c:v>45307</c:v>
                </c:pt>
                <c:pt idx="6">
                  <c:v>45308</c:v>
                </c:pt>
                <c:pt idx="7">
                  <c:v>45309</c:v>
                </c:pt>
                <c:pt idx="8">
                  <c:v>45310</c:v>
                </c:pt>
                <c:pt idx="9">
                  <c:v>45311</c:v>
                </c:pt>
                <c:pt idx="10">
                  <c:v>45312</c:v>
                </c:pt>
                <c:pt idx="11">
                  <c:v>45313</c:v>
                </c:pt>
                <c:pt idx="12">
                  <c:v>45314</c:v>
                </c:pt>
                <c:pt idx="13">
                  <c:v>45315</c:v>
                </c:pt>
                <c:pt idx="14">
                  <c:v>45316</c:v>
                </c:pt>
                <c:pt idx="15">
                  <c:v>45317</c:v>
                </c:pt>
                <c:pt idx="16">
                  <c:v>45318</c:v>
                </c:pt>
                <c:pt idx="17">
                  <c:v>45319</c:v>
                </c:pt>
                <c:pt idx="18">
                  <c:v>45320</c:v>
                </c:pt>
                <c:pt idx="19">
                  <c:v>45321</c:v>
                </c:pt>
                <c:pt idx="20">
                  <c:v>45322</c:v>
                </c:pt>
                <c:pt idx="21">
                  <c:v>45323</c:v>
                </c:pt>
                <c:pt idx="22">
                  <c:v>45324</c:v>
                </c:pt>
                <c:pt idx="23">
                  <c:v>45325</c:v>
                </c:pt>
                <c:pt idx="24">
                  <c:v>45326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45332</c:v>
                </c:pt>
                <c:pt idx="31">
                  <c:v>45333</c:v>
                </c:pt>
                <c:pt idx="32">
                  <c:v>45334</c:v>
                </c:pt>
                <c:pt idx="33">
                  <c:v>45335</c:v>
                </c:pt>
                <c:pt idx="34">
                  <c:v>45336</c:v>
                </c:pt>
                <c:pt idx="35">
                  <c:v>45337</c:v>
                </c:pt>
                <c:pt idx="36">
                  <c:v>45338</c:v>
                </c:pt>
                <c:pt idx="37">
                  <c:v>45339</c:v>
                </c:pt>
                <c:pt idx="38">
                  <c:v>45340</c:v>
                </c:pt>
                <c:pt idx="39">
                  <c:v>45341</c:v>
                </c:pt>
                <c:pt idx="40">
                  <c:v>45342</c:v>
                </c:pt>
                <c:pt idx="41">
                  <c:v>45343</c:v>
                </c:pt>
                <c:pt idx="42">
                  <c:v>45344</c:v>
                </c:pt>
                <c:pt idx="43">
                  <c:v>45345</c:v>
                </c:pt>
                <c:pt idx="44">
                  <c:v>45346</c:v>
                </c:pt>
                <c:pt idx="45">
                  <c:v>45347</c:v>
                </c:pt>
                <c:pt idx="46">
                  <c:v>45348</c:v>
                </c:pt>
                <c:pt idx="47">
                  <c:v>45349</c:v>
                </c:pt>
                <c:pt idx="48">
                  <c:v>45350</c:v>
                </c:pt>
                <c:pt idx="49">
                  <c:v>45351</c:v>
                </c:pt>
                <c:pt idx="50">
                  <c:v>45352</c:v>
                </c:pt>
                <c:pt idx="51">
                  <c:v>45353</c:v>
                </c:pt>
                <c:pt idx="52">
                  <c:v>45354</c:v>
                </c:pt>
                <c:pt idx="53">
                  <c:v>45355</c:v>
                </c:pt>
                <c:pt idx="54">
                  <c:v>45356</c:v>
                </c:pt>
                <c:pt idx="55">
                  <c:v>45357</c:v>
                </c:pt>
                <c:pt idx="56">
                  <c:v>45358</c:v>
                </c:pt>
                <c:pt idx="57">
                  <c:v>45359</c:v>
                </c:pt>
                <c:pt idx="58">
                  <c:v>45360</c:v>
                </c:pt>
                <c:pt idx="59">
                  <c:v>45361</c:v>
                </c:pt>
                <c:pt idx="60">
                  <c:v>45362</c:v>
                </c:pt>
                <c:pt idx="61">
                  <c:v>45363</c:v>
                </c:pt>
                <c:pt idx="62">
                  <c:v>45364</c:v>
                </c:pt>
                <c:pt idx="63">
                  <c:v>45365</c:v>
                </c:pt>
                <c:pt idx="64">
                  <c:v>45366</c:v>
                </c:pt>
                <c:pt idx="65">
                  <c:v>45367</c:v>
                </c:pt>
                <c:pt idx="66">
                  <c:v>45368</c:v>
                </c:pt>
                <c:pt idx="67">
                  <c:v>45369</c:v>
                </c:pt>
                <c:pt idx="68">
                  <c:v>45370</c:v>
                </c:pt>
                <c:pt idx="69">
                  <c:v>45371</c:v>
                </c:pt>
                <c:pt idx="70">
                  <c:v>45372</c:v>
                </c:pt>
                <c:pt idx="71">
                  <c:v>45373</c:v>
                </c:pt>
                <c:pt idx="72">
                  <c:v>45374</c:v>
                </c:pt>
                <c:pt idx="73">
                  <c:v>45375</c:v>
                </c:pt>
                <c:pt idx="74">
                  <c:v>45376</c:v>
                </c:pt>
                <c:pt idx="75">
                  <c:v>45377</c:v>
                </c:pt>
                <c:pt idx="76">
                  <c:v>45378</c:v>
                </c:pt>
                <c:pt idx="77">
                  <c:v>45379</c:v>
                </c:pt>
                <c:pt idx="78">
                  <c:v>45380</c:v>
                </c:pt>
                <c:pt idx="79">
                  <c:v>45381</c:v>
                </c:pt>
                <c:pt idx="80">
                  <c:v>45382</c:v>
                </c:pt>
                <c:pt idx="81">
                  <c:v>45383</c:v>
                </c:pt>
                <c:pt idx="82">
                  <c:v>45384</c:v>
                </c:pt>
                <c:pt idx="83">
                  <c:v>45385</c:v>
                </c:pt>
                <c:pt idx="84">
                  <c:v>45386</c:v>
                </c:pt>
                <c:pt idx="85">
                  <c:v>45387</c:v>
                </c:pt>
                <c:pt idx="86">
                  <c:v>45388</c:v>
                </c:pt>
                <c:pt idx="87">
                  <c:v>45389</c:v>
                </c:pt>
                <c:pt idx="88">
                  <c:v>45390</c:v>
                </c:pt>
                <c:pt idx="89">
                  <c:v>45391</c:v>
                </c:pt>
                <c:pt idx="90">
                  <c:v>45392</c:v>
                </c:pt>
                <c:pt idx="91">
                  <c:v>45393</c:v>
                </c:pt>
                <c:pt idx="92">
                  <c:v>45394</c:v>
                </c:pt>
                <c:pt idx="93">
                  <c:v>45395</c:v>
                </c:pt>
                <c:pt idx="94">
                  <c:v>45396</c:v>
                </c:pt>
                <c:pt idx="95">
                  <c:v>45397</c:v>
                </c:pt>
                <c:pt idx="96">
                  <c:v>45398</c:v>
                </c:pt>
                <c:pt idx="97">
                  <c:v>45399</c:v>
                </c:pt>
                <c:pt idx="98">
                  <c:v>45400</c:v>
                </c:pt>
                <c:pt idx="99">
                  <c:v>45401</c:v>
                </c:pt>
                <c:pt idx="100">
                  <c:v>45402</c:v>
                </c:pt>
                <c:pt idx="101">
                  <c:v>45403</c:v>
                </c:pt>
                <c:pt idx="102">
                  <c:v>45404</c:v>
                </c:pt>
                <c:pt idx="103">
                  <c:v>45405</c:v>
                </c:pt>
                <c:pt idx="104">
                  <c:v>45406</c:v>
                </c:pt>
                <c:pt idx="105">
                  <c:v>45407</c:v>
                </c:pt>
                <c:pt idx="106">
                  <c:v>45408</c:v>
                </c:pt>
                <c:pt idx="107">
                  <c:v>45409</c:v>
                </c:pt>
                <c:pt idx="108">
                  <c:v>45410</c:v>
                </c:pt>
                <c:pt idx="109">
                  <c:v>45411</c:v>
                </c:pt>
                <c:pt idx="110">
                  <c:v>45412</c:v>
                </c:pt>
                <c:pt idx="111">
                  <c:v>45413</c:v>
                </c:pt>
                <c:pt idx="112">
                  <c:v>45414</c:v>
                </c:pt>
                <c:pt idx="113">
                  <c:v>45415</c:v>
                </c:pt>
                <c:pt idx="114">
                  <c:v>45416</c:v>
                </c:pt>
                <c:pt idx="115">
                  <c:v>45417</c:v>
                </c:pt>
                <c:pt idx="116">
                  <c:v>45418</c:v>
                </c:pt>
                <c:pt idx="117">
                  <c:v>45419</c:v>
                </c:pt>
                <c:pt idx="118">
                  <c:v>45420</c:v>
                </c:pt>
                <c:pt idx="119">
                  <c:v>45421</c:v>
                </c:pt>
                <c:pt idx="120">
                  <c:v>45422</c:v>
                </c:pt>
                <c:pt idx="121">
                  <c:v>45423</c:v>
                </c:pt>
                <c:pt idx="122">
                  <c:v>45424</c:v>
                </c:pt>
                <c:pt idx="123">
                  <c:v>45425</c:v>
                </c:pt>
                <c:pt idx="124">
                  <c:v>45426</c:v>
                </c:pt>
                <c:pt idx="125">
                  <c:v>45427</c:v>
                </c:pt>
                <c:pt idx="126">
                  <c:v>45428</c:v>
                </c:pt>
                <c:pt idx="127">
                  <c:v>45429</c:v>
                </c:pt>
                <c:pt idx="128">
                  <c:v>45430</c:v>
                </c:pt>
                <c:pt idx="129">
                  <c:v>45431</c:v>
                </c:pt>
                <c:pt idx="130">
                  <c:v>45432</c:v>
                </c:pt>
                <c:pt idx="131">
                  <c:v>45433</c:v>
                </c:pt>
                <c:pt idx="132">
                  <c:v>45434</c:v>
                </c:pt>
                <c:pt idx="133">
                  <c:v>45435</c:v>
                </c:pt>
                <c:pt idx="134">
                  <c:v>45436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37.234089135081049</c:v>
                </c:pt>
                <c:pt idx="1">
                  <c:v>37.685680793236259</c:v>
                </c:pt>
                <c:pt idx="2">
                  <c:v>38.153140728069701</c:v>
                </c:pt>
                <c:pt idx="3">
                  <c:v>38.611978962048504</c:v>
                </c:pt>
                <c:pt idx="4">
                  <c:v>39.042130338594376</c:v>
                </c:pt>
                <c:pt idx="5">
                  <c:v>39.469920396914283</c:v>
                </c:pt>
                <c:pt idx="6">
                  <c:v>39.887408722239982</c:v>
                </c:pt>
                <c:pt idx="7">
                  <c:v>40.292744214360269</c:v>
                </c:pt>
                <c:pt idx="8">
                  <c:v>40.693835842613069</c:v>
                </c:pt>
                <c:pt idx="9">
                  <c:v>41.070195869280269</c:v>
                </c:pt>
                <c:pt idx="10">
                  <c:v>41.496666863874964</c:v>
                </c:pt>
                <c:pt idx="11">
                  <c:v>41.925787299077413</c:v>
                </c:pt>
                <c:pt idx="12">
                  <c:v>42.34364137069926</c:v>
                </c:pt>
                <c:pt idx="13">
                  <c:v>42.760855731086366</c:v>
                </c:pt>
                <c:pt idx="14">
                  <c:v>43.183797647327673</c:v>
                </c:pt>
                <c:pt idx="15">
                  <c:v>43.400420684952024</c:v>
                </c:pt>
                <c:pt idx="16">
                  <c:v>43.593912253932992</c:v>
                </c:pt>
                <c:pt idx="17">
                  <c:v>43.764898846819491</c:v>
                </c:pt>
                <c:pt idx="18">
                  <c:v>43.916769254462331</c:v>
                </c:pt>
                <c:pt idx="19">
                  <c:v>44.058570897115914</c:v>
                </c:pt>
                <c:pt idx="20">
                  <c:v>44.184939011272149</c:v>
                </c:pt>
                <c:pt idx="21">
                  <c:v>44.282007284964251</c:v>
                </c:pt>
                <c:pt idx="22">
                  <c:v>44.371021224249326</c:v>
                </c:pt>
                <c:pt idx="23">
                  <c:v>44.429551455978512</c:v>
                </c:pt>
                <c:pt idx="24">
                  <c:v>44.488700442407314</c:v>
                </c:pt>
                <c:pt idx="25">
                  <c:v>44.530977652961752</c:v>
                </c:pt>
                <c:pt idx="26">
                  <c:v>44.536071609560956</c:v>
                </c:pt>
                <c:pt idx="27">
                  <c:v>44.510544049578399</c:v>
                </c:pt>
                <c:pt idx="28">
                  <c:v>44.46465808204146</c:v>
                </c:pt>
                <c:pt idx="29">
                  <c:v>44.388957403785177</c:v>
                </c:pt>
                <c:pt idx="30">
                  <c:v>44.285129572976111</c:v>
                </c:pt>
                <c:pt idx="31">
                  <c:v>44.159498031100519</c:v>
                </c:pt>
                <c:pt idx="32">
                  <c:v>44.014400972755546</c:v>
                </c:pt>
                <c:pt idx="33">
                  <c:v>43.832476039939344</c:v>
                </c:pt>
                <c:pt idx="34">
                  <c:v>43.621434253605187</c:v>
                </c:pt>
                <c:pt idx="35">
                  <c:v>43.390761287648971</c:v>
                </c:pt>
                <c:pt idx="36">
                  <c:v>43.131452495781573</c:v>
                </c:pt>
                <c:pt idx="37">
                  <c:v>42.860753946413915</c:v>
                </c:pt>
                <c:pt idx="38">
                  <c:v>42.549892716602628</c:v>
                </c:pt>
                <c:pt idx="39">
                  <c:v>42.20181164727942</c:v>
                </c:pt>
                <c:pt idx="40">
                  <c:v>41.830491879479467</c:v>
                </c:pt>
                <c:pt idx="41">
                  <c:v>41.43057328519324</c:v>
                </c:pt>
                <c:pt idx="42">
                  <c:v>40.994710554694038</c:v>
                </c:pt>
                <c:pt idx="43">
                  <c:v>40.527740870571996</c:v>
                </c:pt>
                <c:pt idx="44">
                  <c:v>40.031564228414737</c:v>
                </c:pt>
                <c:pt idx="45">
                  <c:v>39.508857728163989</c:v>
                </c:pt>
                <c:pt idx="46">
                  <c:v>38.943958235015998</c:v>
                </c:pt>
                <c:pt idx="47">
                  <c:v>38.333538267616319</c:v>
                </c:pt>
                <c:pt idx="48">
                  <c:v>37.706742811615172</c:v>
                </c:pt>
                <c:pt idx="49">
                  <c:v>37.051882324727821</c:v>
                </c:pt>
                <c:pt idx="50">
                  <c:v>36.338243821152588</c:v>
                </c:pt>
                <c:pt idx="51">
                  <c:v>35.587847417965769</c:v>
                </c:pt>
                <c:pt idx="52">
                  <c:v>34.857151992323139</c:v>
                </c:pt>
                <c:pt idx="53">
                  <c:v>34.091307572391159</c:v>
                </c:pt>
                <c:pt idx="54">
                  <c:v>33.257397090924044</c:v>
                </c:pt>
                <c:pt idx="55">
                  <c:v>32.421652178793529</c:v>
                </c:pt>
                <c:pt idx="56">
                  <c:v>31.511486521895588</c:v>
                </c:pt>
                <c:pt idx="57">
                  <c:v>30.547089786181189</c:v>
                </c:pt>
                <c:pt idx="58">
                  <c:v>29.555552201376749</c:v>
                </c:pt>
                <c:pt idx="59">
                  <c:v>28.56447556819926</c:v>
                </c:pt>
                <c:pt idx="60">
                  <c:v>27.5180367042481</c:v>
                </c:pt>
                <c:pt idx="61">
                  <c:v>26.452342579039232</c:v>
                </c:pt>
                <c:pt idx="62">
                  <c:v>25.339213866917575</c:v>
                </c:pt>
                <c:pt idx="63">
                  <c:v>24.203189735096423</c:v>
                </c:pt>
                <c:pt idx="64">
                  <c:v>23.014998562789131</c:v>
                </c:pt>
                <c:pt idx="65">
                  <c:v>21.787443731472734</c:v>
                </c:pt>
                <c:pt idx="66">
                  <c:v>20.520384756844145</c:v>
                </c:pt>
                <c:pt idx="67">
                  <c:v>19.254318352373677</c:v>
                </c:pt>
                <c:pt idx="68">
                  <c:v>17.951865795857131</c:v>
                </c:pt>
                <c:pt idx="69">
                  <c:v>16.570506605501151</c:v>
                </c:pt>
                <c:pt idx="70">
                  <c:v>15.166115598525</c:v>
                </c:pt>
                <c:pt idx="71">
                  <c:v>13.768052956596126</c:v>
                </c:pt>
                <c:pt idx="72">
                  <c:v>12.341501868020247</c:v>
                </c:pt>
                <c:pt idx="73">
                  <c:v>10.876550206550309</c:v>
                </c:pt>
                <c:pt idx="74">
                  <c:v>9.375301377501593</c:v>
                </c:pt>
                <c:pt idx="75">
                  <c:v>7.8149147677033923</c:v>
                </c:pt>
                <c:pt idx="76">
                  <c:v>6.232522397802164</c:v>
                </c:pt>
                <c:pt idx="77">
                  <c:v>4.5964434486844361</c:v>
                </c:pt>
                <c:pt idx="78">
                  <c:v>2.9516555018008379</c:v>
                </c:pt>
                <c:pt idx="79">
                  <c:v>1.3135737375976015</c:v>
                </c:pt>
                <c:pt idx="80">
                  <c:v>-0.31083903635154586</c:v>
                </c:pt>
                <c:pt idx="81">
                  <c:v>-1.9385550007655834</c:v>
                </c:pt>
                <c:pt idx="82">
                  <c:v>-3.6069021525219349</c:v>
                </c:pt>
                <c:pt idx="83">
                  <c:v>-5.240622562135945</c:v>
                </c:pt>
                <c:pt idx="84">
                  <c:v>-6.8927996747050955</c:v>
                </c:pt>
                <c:pt idx="85">
                  <c:v>-8.5568769132942872</c:v>
                </c:pt>
                <c:pt idx="86">
                  <c:v>-10.22849694500982</c:v>
                </c:pt>
                <c:pt idx="87">
                  <c:v>-11.869341111966921</c:v>
                </c:pt>
                <c:pt idx="88">
                  <c:v>-13.463247970045137</c:v>
                </c:pt>
                <c:pt idx="89">
                  <c:v>-15.049014362389467</c:v>
                </c:pt>
                <c:pt idx="90">
                  <c:v>-16.598054077847671</c:v>
                </c:pt>
                <c:pt idx="91">
                  <c:v>-18.152320895316741</c:v>
                </c:pt>
                <c:pt idx="92">
                  <c:v>-19.749030848069619</c:v>
                </c:pt>
                <c:pt idx="93">
                  <c:v>-21.295828373188272</c:v>
                </c:pt>
                <c:pt idx="94">
                  <c:v>-22.812379838575783</c:v>
                </c:pt>
                <c:pt idx="95">
                  <c:v>-24.395527340669155</c:v>
                </c:pt>
                <c:pt idx="96">
                  <c:v>-25.934736123461647</c:v>
                </c:pt>
                <c:pt idx="97">
                  <c:v>-27.468007853377109</c:v>
                </c:pt>
                <c:pt idx="98">
                  <c:v>-28.961137925972139</c:v>
                </c:pt>
                <c:pt idx="99">
                  <c:v>-30.483721152207423</c:v>
                </c:pt>
                <c:pt idx="100">
                  <c:v>-31.966313229030554</c:v>
                </c:pt>
                <c:pt idx="101">
                  <c:v>-33.324153858155491</c:v>
                </c:pt>
                <c:pt idx="102">
                  <c:v>-34.695230518301734</c:v>
                </c:pt>
                <c:pt idx="103">
                  <c:v>-36.016497287957328</c:v>
                </c:pt>
                <c:pt idx="104">
                  <c:v>-37.337582221272527</c:v>
                </c:pt>
                <c:pt idx="105">
                  <c:v>-38.67003695517333</c:v>
                </c:pt>
                <c:pt idx="106">
                  <c:v>-40.037273352877641</c:v>
                </c:pt>
                <c:pt idx="107">
                  <c:v>-41.407935430622352</c:v>
                </c:pt>
                <c:pt idx="108">
                  <c:v>-42.632262020054242</c:v>
                </c:pt>
                <c:pt idx="109">
                  <c:v>-43.768319968966807</c:v>
                </c:pt>
                <c:pt idx="110">
                  <c:v>-44.887569790941946</c:v>
                </c:pt>
                <c:pt idx="111">
                  <c:v>-45.965460369165818</c:v>
                </c:pt>
                <c:pt idx="112">
                  <c:v>-47.01349866323816</c:v>
                </c:pt>
                <c:pt idx="113">
                  <c:v>-48.011812161794737</c:v>
                </c:pt>
                <c:pt idx="114">
                  <c:v>-49.004059975851114</c:v>
                </c:pt>
                <c:pt idx="115">
                  <c:v>-49.998297209803553</c:v>
                </c:pt>
                <c:pt idx="116">
                  <c:v>-50.937957710545305</c:v>
                </c:pt>
                <c:pt idx="117">
                  <c:v>-51.830728299788376</c:v>
                </c:pt>
                <c:pt idx="118">
                  <c:v>-52.660543588488956</c:v>
                </c:pt>
                <c:pt idx="119">
                  <c:v>-53.489509158214204</c:v>
                </c:pt>
                <c:pt idx="120">
                  <c:v>-54.333247082087645</c:v>
                </c:pt>
                <c:pt idx="121">
                  <c:v>-55.193376498894146</c:v>
                </c:pt>
                <c:pt idx="122">
                  <c:v>-56.026480806858693</c:v>
                </c:pt>
                <c:pt idx="123">
                  <c:v>-56.807551991492886</c:v>
                </c:pt>
                <c:pt idx="124">
                  <c:v>-57.562911758207299</c:v>
                </c:pt>
                <c:pt idx="125">
                  <c:v>-58.301982812439924</c:v>
                </c:pt>
                <c:pt idx="126">
                  <c:v>-58.985162891721494</c:v>
                </c:pt>
                <c:pt idx="127">
                  <c:v>-59.63915848059716</c:v>
                </c:pt>
                <c:pt idx="128">
                  <c:v>-60.32214005223581</c:v>
                </c:pt>
                <c:pt idx="129">
                  <c:v>-60.983264337172336</c:v>
                </c:pt>
                <c:pt idx="130">
                  <c:v>-61.651665825589099</c:v>
                </c:pt>
                <c:pt idx="131">
                  <c:v>-62.256954243056761</c:v>
                </c:pt>
                <c:pt idx="132">
                  <c:v>-62.825756419095811</c:v>
                </c:pt>
                <c:pt idx="133">
                  <c:v>-63.373187075869573</c:v>
                </c:pt>
                <c:pt idx="134">
                  <c:v>-63.927719832625691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0.23795507241400646</c:v>
                </c:pt>
                <c:pt idx="1">
                  <c:v>0.47374108092428879</c:v>
                </c:pt>
                <c:pt idx="2">
                  <c:v>0.72348939042619897</c:v>
                </c:pt>
                <c:pt idx="3">
                  <c:v>0.97860668152350372</c:v>
                </c:pt>
                <c:pt idx="4">
                  <c:v>1.2287149678311688</c:v>
                </c:pt>
                <c:pt idx="5">
                  <c:v>1.484850283197886</c:v>
                </c:pt>
                <c:pt idx="6">
                  <c:v>1.7425487550176628</c:v>
                </c:pt>
                <c:pt idx="7">
                  <c:v>2.0015348806700266</c:v>
                </c:pt>
                <c:pt idx="8">
                  <c:v>2.2664586668496125</c:v>
                </c:pt>
                <c:pt idx="9">
                  <c:v>2.5239657612163442</c:v>
                </c:pt>
                <c:pt idx="10">
                  <c:v>2.8304774662690817</c:v>
                </c:pt>
                <c:pt idx="11">
                  <c:v>3.1500932768974308</c:v>
                </c:pt>
                <c:pt idx="12">
                  <c:v>3.4684204613495031</c:v>
                </c:pt>
                <c:pt idx="13">
                  <c:v>3.7948712210300553</c:v>
                </c:pt>
                <c:pt idx="14">
                  <c:v>4.1338332779041469</c:v>
                </c:pt>
                <c:pt idx="15">
                  <c:v>4.4626902166428035</c:v>
                </c:pt>
                <c:pt idx="16">
                  <c:v>4.7821577480196309</c:v>
                </c:pt>
                <c:pt idx="17">
                  <c:v>5.0967903857692187</c:v>
                </c:pt>
                <c:pt idx="18">
                  <c:v>5.4113047095268501</c:v>
                </c:pt>
                <c:pt idx="19">
                  <c:v>5.7355363956983316</c:v>
                </c:pt>
                <c:pt idx="20">
                  <c:v>6.0609011094626251</c:v>
                </c:pt>
                <c:pt idx="21">
                  <c:v>6.3758901198114861</c:v>
                </c:pt>
                <c:pt idx="22">
                  <c:v>6.6970426555060563</c:v>
                </c:pt>
                <c:pt idx="23">
                  <c:v>7.0014494904935312</c:v>
                </c:pt>
                <c:pt idx="24">
                  <c:v>7.3123256210334135</c:v>
                </c:pt>
                <c:pt idx="25">
                  <c:v>7.6322655322780495</c:v>
                </c:pt>
                <c:pt idx="26">
                  <c:v>7.9306625271802167</c:v>
                </c:pt>
                <c:pt idx="27">
                  <c:v>8.2191380141033186</c:v>
                </c:pt>
                <c:pt idx="28">
                  <c:v>8.506021993712185</c:v>
                </c:pt>
                <c:pt idx="29">
                  <c:v>8.7869062653738048</c:v>
                </c:pt>
                <c:pt idx="30">
                  <c:v>9.0713741757642623</c:v>
                </c:pt>
                <c:pt idx="31">
                  <c:v>9.3620202638587031</c:v>
                </c:pt>
                <c:pt idx="32">
                  <c:v>9.6547699772379598</c:v>
                </c:pt>
                <c:pt idx="33">
                  <c:v>9.9311242582996435</c:v>
                </c:pt>
                <c:pt idx="34">
                  <c:v>10.204953549757271</c:v>
                </c:pt>
                <c:pt idx="35">
                  <c:v>10.47677469219175</c:v>
                </c:pt>
                <c:pt idx="36">
                  <c:v>10.743401994526822</c:v>
                </c:pt>
                <c:pt idx="37">
                  <c:v>11.02510234529125</c:v>
                </c:pt>
                <c:pt idx="38">
                  <c:v>11.301621849859862</c:v>
                </c:pt>
                <c:pt idx="39">
                  <c:v>11.572000510355299</c:v>
                </c:pt>
                <c:pt idx="40">
                  <c:v>11.853381062962367</c:v>
                </c:pt>
                <c:pt idx="41">
                  <c:v>12.135674249383776</c:v>
                </c:pt>
                <c:pt idx="42">
                  <c:v>12.406074499067223</c:v>
                </c:pt>
                <c:pt idx="43">
                  <c:v>12.678490178244017</c:v>
                </c:pt>
                <c:pt idx="44">
                  <c:v>12.934019040871021</c:v>
                </c:pt>
                <c:pt idx="45">
                  <c:v>13.169647619489766</c:v>
                </c:pt>
                <c:pt idx="46">
                  <c:v>13.402937181827681</c:v>
                </c:pt>
                <c:pt idx="47">
                  <c:v>13.63235294645277</c:v>
                </c:pt>
                <c:pt idx="48">
                  <c:v>13.862994202464431</c:v>
                </c:pt>
                <c:pt idx="49">
                  <c:v>14.103935289812256</c:v>
                </c:pt>
                <c:pt idx="50">
                  <c:v>14.350583327049849</c:v>
                </c:pt>
                <c:pt idx="51">
                  <c:v>14.60395057410906</c:v>
                </c:pt>
                <c:pt idx="52">
                  <c:v>14.860115500220706</c:v>
                </c:pt>
                <c:pt idx="53">
                  <c:v>15.112465845774686</c:v>
                </c:pt>
                <c:pt idx="54">
                  <c:v>15.369293153383463</c:v>
                </c:pt>
                <c:pt idx="55">
                  <c:v>15.616152874009067</c:v>
                </c:pt>
                <c:pt idx="56">
                  <c:v>15.859376358066587</c:v>
                </c:pt>
                <c:pt idx="57">
                  <c:v>16.111400171706357</c:v>
                </c:pt>
                <c:pt idx="58">
                  <c:v>16.353138211976756</c:v>
                </c:pt>
                <c:pt idx="59">
                  <c:v>16.619061552929836</c:v>
                </c:pt>
                <c:pt idx="60">
                  <c:v>16.88931988984929</c:v>
                </c:pt>
                <c:pt idx="61">
                  <c:v>17.14424374550013</c:v>
                </c:pt>
                <c:pt idx="62">
                  <c:v>17.393383454450095</c:v>
                </c:pt>
                <c:pt idx="63">
                  <c:v>17.642515619035777</c:v>
                </c:pt>
                <c:pt idx="64">
                  <c:v>17.895789110924362</c:v>
                </c:pt>
                <c:pt idx="65">
                  <c:v>18.1477547984171</c:v>
                </c:pt>
                <c:pt idx="66">
                  <c:v>18.391999767598545</c:v>
                </c:pt>
                <c:pt idx="67">
                  <c:v>18.621766786514115</c:v>
                </c:pt>
                <c:pt idx="68">
                  <c:v>18.858470207264578</c:v>
                </c:pt>
                <c:pt idx="69">
                  <c:v>19.089986476912873</c:v>
                </c:pt>
                <c:pt idx="70">
                  <c:v>19.32196848312088</c:v>
                </c:pt>
                <c:pt idx="71">
                  <c:v>19.550901053311982</c:v>
                </c:pt>
                <c:pt idx="72">
                  <c:v>19.774752862334246</c:v>
                </c:pt>
                <c:pt idx="73">
                  <c:v>19.995221328605698</c:v>
                </c:pt>
                <c:pt idx="74">
                  <c:v>20.222758970963518</c:v>
                </c:pt>
                <c:pt idx="75">
                  <c:v>20.444721942104291</c:v>
                </c:pt>
                <c:pt idx="76">
                  <c:v>20.666108482926706</c:v>
                </c:pt>
                <c:pt idx="77">
                  <c:v>20.89347833215264</c:v>
                </c:pt>
                <c:pt idx="78">
                  <c:v>21.1108956818059</c:v>
                </c:pt>
                <c:pt idx="79">
                  <c:v>21.328374708838794</c:v>
                </c:pt>
                <c:pt idx="80">
                  <c:v>21.538106126458398</c:v>
                </c:pt>
                <c:pt idx="81">
                  <c:v>21.751570825817996</c:v>
                </c:pt>
                <c:pt idx="82">
                  <c:v>21.969878098727584</c:v>
                </c:pt>
                <c:pt idx="83">
                  <c:v>22.176505424113973</c:v>
                </c:pt>
                <c:pt idx="84">
                  <c:v>22.37987262531583</c:v>
                </c:pt>
                <c:pt idx="85">
                  <c:v>22.587499787559519</c:v>
                </c:pt>
                <c:pt idx="86">
                  <c:v>22.794257814155138</c:v>
                </c:pt>
                <c:pt idx="87">
                  <c:v>23.000248198966734</c:v>
                </c:pt>
                <c:pt idx="88">
                  <c:v>23.212711465762862</c:v>
                </c:pt>
                <c:pt idx="89">
                  <c:v>23.42512831364624</c:v>
                </c:pt>
                <c:pt idx="90">
                  <c:v>23.634068324466355</c:v>
                </c:pt>
                <c:pt idx="91">
                  <c:v>23.851970599402932</c:v>
                </c:pt>
                <c:pt idx="92">
                  <c:v>24.074020777894898</c:v>
                </c:pt>
                <c:pt idx="93">
                  <c:v>24.296180078471689</c:v>
                </c:pt>
                <c:pt idx="94">
                  <c:v>24.517741098563977</c:v>
                </c:pt>
                <c:pt idx="95">
                  <c:v>24.756729635201019</c:v>
                </c:pt>
                <c:pt idx="96">
                  <c:v>24.994397419240414</c:v>
                </c:pt>
                <c:pt idx="97">
                  <c:v>25.236347845277763</c:v>
                </c:pt>
                <c:pt idx="98">
                  <c:v>25.474579040213779</c:v>
                </c:pt>
                <c:pt idx="99">
                  <c:v>25.713582229982801</c:v>
                </c:pt>
                <c:pt idx="100">
                  <c:v>25.959736274154775</c:v>
                </c:pt>
                <c:pt idx="101">
                  <c:v>26.198929544330475</c:v>
                </c:pt>
                <c:pt idx="102">
                  <c:v>26.441386702126643</c:v>
                </c:pt>
                <c:pt idx="103">
                  <c:v>26.692748978817121</c:v>
                </c:pt>
                <c:pt idx="104">
                  <c:v>26.979658895859973</c:v>
                </c:pt>
                <c:pt idx="105">
                  <c:v>27.279602850885418</c:v>
                </c:pt>
                <c:pt idx="106">
                  <c:v>27.59492535205197</c:v>
                </c:pt>
                <c:pt idx="107">
                  <c:v>27.930093749048556</c:v>
                </c:pt>
                <c:pt idx="108">
                  <c:v>28.250070852300336</c:v>
                </c:pt>
                <c:pt idx="109">
                  <c:v>28.579866262097099</c:v>
                </c:pt>
                <c:pt idx="110">
                  <c:v>28.921310773337613</c:v>
                </c:pt>
                <c:pt idx="111">
                  <c:v>29.272363623327987</c:v>
                </c:pt>
                <c:pt idx="112">
                  <c:v>29.620150633304128</c:v>
                </c:pt>
                <c:pt idx="113">
                  <c:v>29.959843369539847</c:v>
                </c:pt>
                <c:pt idx="114">
                  <c:v>30.302033167686663</c:v>
                </c:pt>
                <c:pt idx="115">
                  <c:v>30.649021722911733</c:v>
                </c:pt>
                <c:pt idx="116">
                  <c:v>30.986647321390102</c:v>
                </c:pt>
                <c:pt idx="117">
                  <c:v>31.316682320463837</c:v>
                </c:pt>
                <c:pt idx="118">
                  <c:v>31.634918607871306</c:v>
                </c:pt>
                <c:pt idx="119">
                  <c:v>31.956830698974052</c:v>
                </c:pt>
                <c:pt idx="120">
                  <c:v>32.286865698047784</c:v>
                </c:pt>
                <c:pt idx="121">
                  <c:v>32.626182016869635</c:v>
                </c:pt>
                <c:pt idx="122">
                  <c:v>32.963198347095812</c:v>
                </c:pt>
                <c:pt idx="123">
                  <c:v>33.2907327742993</c:v>
                </c:pt>
                <c:pt idx="124">
                  <c:v>33.615934089106702</c:v>
                </c:pt>
                <c:pt idx="125">
                  <c:v>33.941456286960332</c:v>
                </c:pt>
                <c:pt idx="126">
                  <c:v>34.255683689714495</c:v>
                </c:pt>
                <c:pt idx="127">
                  <c:v>34.566022574450457</c:v>
                </c:pt>
                <c:pt idx="128">
                  <c:v>34.889942302288262</c:v>
                </c:pt>
                <c:pt idx="129">
                  <c:v>35.212492353823855</c:v>
                </c:pt>
                <c:pt idx="130">
                  <c:v>35.543128857660236</c:v>
                </c:pt>
                <c:pt idx="131">
                  <c:v>35.85892904811729</c:v>
                </c:pt>
                <c:pt idx="132">
                  <c:v>36.168067231234595</c:v>
                </c:pt>
                <c:pt idx="133">
                  <c:v>36.475210639038558</c:v>
                </c:pt>
                <c:pt idx="134">
                  <c:v>36.790057590829932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0.24064440959898903</c:v>
                </c:pt>
                <c:pt idx="2">
                  <c:v>0.45645005924391757</c:v>
                </c:pt>
                <c:pt idx="3">
                  <c:v>0.67416168457544767</c:v>
                </c:pt>
                <c:pt idx="4">
                  <c:v>0.87788262745694112</c:v>
                </c:pt>
                <c:pt idx="5">
                  <c:v>1.0579257176951486</c:v>
                </c:pt>
                <c:pt idx="6">
                  <c:v>1.229580460648334</c:v>
                </c:pt>
                <c:pt idx="7">
                  <c:v>1.3893703141542506</c:v>
                </c:pt>
                <c:pt idx="8">
                  <c:v>1.5357196806221767</c:v>
                </c:pt>
                <c:pt idx="9">
                  <c:v>1.6718875226953882</c:v>
                </c:pt>
                <c:pt idx="10">
                  <c:v>1.790740454995861</c:v>
                </c:pt>
                <c:pt idx="11">
                  <c:v>1.9106997445378191</c:v>
                </c:pt>
                <c:pt idx="12">
                  <c:v>2.0202043691119176</c:v>
                </c:pt>
                <c:pt idx="13">
                  <c:v>2.1197312562816908</c:v>
                </c:pt>
                <c:pt idx="14">
                  <c:v>2.210494856988241</c:v>
                </c:pt>
                <c:pt idx="15">
                  <c:v>2.2944747163554577</c:v>
                </c:pt>
                <c:pt idx="16">
                  <c:v>2.3716824111705881</c:v>
                </c:pt>
                <c:pt idx="17">
                  <c:v>2.440714669029675</c:v>
                </c:pt>
                <c:pt idx="18">
                  <c:v>2.5048036573518768</c:v>
                </c:pt>
                <c:pt idx="19">
                  <c:v>2.5647356568770716</c:v>
                </c:pt>
                <c:pt idx="20">
                  <c:v>2.6208925611600398</c:v>
                </c:pt>
                <c:pt idx="21">
                  <c:v>2.6726117851002531</c:v>
                </c:pt>
                <c:pt idx="22">
                  <c:v>2.7209360549459802</c:v>
                </c:pt>
                <c:pt idx="23">
                  <c:v>2.7652700114464741</c:v>
                </c:pt>
                <c:pt idx="24">
                  <c:v>2.8061406104275308</c:v>
                </c:pt>
                <c:pt idx="25">
                  <c:v>2.8430097594421948</c:v>
                </c:pt>
                <c:pt idx="26">
                  <c:v>2.8789920706378211</c:v>
                </c:pt>
                <c:pt idx="27">
                  <c:v>2.9128149443670814</c:v>
                </c:pt>
                <c:pt idx="28">
                  <c:v>2.9451994589282355</c:v>
                </c:pt>
                <c:pt idx="29">
                  <c:v>2.9760427004211536</c:v>
                </c:pt>
                <c:pt idx="30">
                  <c:v>3.0053351422794012</c:v>
                </c:pt>
                <c:pt idx="31">
                  <c:v>3.0335516616041982</c:v>
                </c:pt>
                <c:pt idx="32">
                  <c:v>3.0614006097265616</c:v>
                </c:pt>
                <c:pt idx="33">
                  <c:v>3.0886283151706579</c:v>
                </c:pt>
                <c:pt idx="34">
                  <c:v>3.1128684233500072</c:v>
                </c:pt>
                <c:pt idx="35">
                  <c:v>3.1360144418619349</c:v>
                </c:pt>
                <c:pt idx="36">
                  <c:v>3.1585275762457208</c:v>
                </c:pt>
                <c:pt idx="37">
                  <c:v>3.1798786249439099</c:v>
                </c:pt>
                <c:pt idx="38">
                  <c:v>3.2026207327053089</c:v>
                </c:pt>
                <c:pt idx="39">
                  <c:v>3.2240525636187023</c:v>
                </c:pt>
                <c:pt idx="40">
                  <c:v>3.2442476467642596</c:v>
                </c:pt>
                <c:pt idx="41">
                  <c:v>3.2652693285376655</c:v>
                </c:pt>
                <c:pt idx="42">
                  <c:v>3.2860228051771685</c:v>
                </c:pt>
                <c:pt idx="43">
                  <c:v>3.3052019161445783</c:v>
                </c:pt>
                <c:pt idx="44">
                  <c:v>3.3242757160677936</c:v>
                </c:pt>
                <c:pt idx="45">
                  <c:v>3.3415028503183342</c:v>
                </c:pt>
                <c:pt idx="46">
                  <c:v>3.3566232254553996</c:v>
                </c:pt>
                <c:pt idx="47">
                  <c:v>3.3711278515284144</c:v>
                </c:pt>
                <c:pt idx="48">
                  <c:v>3.3848358570041639</c:v>
                </c:pt>
                <c:pt idx="49">
                  <c:v>3.3988305337427911</c:v>
                </c:pt>
                <c:pt idx="50">
                  <c:v>3.4137798951242138</c:v>
                </c:pt>
                <c:pt idx="51">
                  <c:v>3.4287825284950708</c:v>
                </c:pt>
                <c:pt idx="52">
                  <c:v>3.4442571860672393</c:v>
                </c:pt>
                <c:pt idx="53">
                  <c:v>3.4604053040389768</c:v>
                </c:pt>
                <c:pt idx="54">
                  <c:v>3.4760145910401814</c:v>
                </c:pt>
                <c:pt idx="55">
                  <c:v>3.4915171187500409</c:v>
                </c:pt>
                <c:pt idx="56">
                  <c:v>3.5062889559286257</c:v>
                </c:pt>
                <c:pt idx="57">
                  <c:v>3.5202275205476958</c:v>
                </c:pt>
                <c:pt idx="58">
                  <c:v>3.5346383839957158</c:v>
                </c:pt>
                <c:pt idx="59">
                  <c:v>3.5480987537420035</c:v>
                </c:pt>
                <c:pt idx="60">
                  <c:v>3.5629064042496479</c:v>
                </c:pt>
                <c:pt idx="61">
                  <c:v>3.5776810151141349</c:v>
                </c:pt>
                <c:pt idx="62">
                  <c:v>3.5918730577664943</c:v>
                </c:pt>
                <c:pt idx="63">
                  <c:v>3.6055053710410325</c:v>
                </c:pt>
                <c:pt idx="64">
                  <c:v>3.619051065388303</c:v>
                </c:pt>
                <c:pt idx="65">
                  <c:v>3.6326356401180799</c:v>
                </c:pt>
                <c:pt idx="66">
                  <c:v>3.6459525859098347</c:v>
                </c:pt>
                <c:pt idx="67">
                  <c:v>3.6585071160498863</c:v>
                </c:pt>
                <c:pt idx="68">
                  <c:v>3.6700015244294204</c:v>
                </c:pt>
                <c:pt idx="69">
                  <c:v>3.6818740266860073</c:v>
                </c:pt>
                <c:pt idx="70">
                  <c:v>3.6929821349889504</c:v>
                </c:pt>
                <c:pt idx="71">
                  <c:v>3.7040579593497971</c:v>
                </c:pt>
                <c:pt idx="72">
                  <c:v>3.7149674029748594</c:v>
                </c:pt>
                <c:pt idx="73">
                  <c:v>3.7253852976262474</c:v>
                </c:pt>
                <c:pt idx="74">
                  <c:v>3.7353928290794642</c:v>
                </c:pt>
                <c:pt idx="75">
                  <c:v>3.7457717796197239</c:v>
                </c:pt>
                <c:pt idx="76">
                  <c:v>3.7554881716794997</c:v>
                </c:pt>
                <c:pt idx="77">
                  <c:v>3.7650810503185128</c:v>
                </c:pt>
                <c:pt idx="78">
                  <c:v>3.7748785927892543</c:v>
                </c:pt>
                <c:pt idx="79">
                  <c:v>3.7839222492906486</c:v>
                </c:pt>
                <c:pt idx="80">
                  <c:v>3.7929993073968395</c:v>
                </c:pt>
                <c:pt idx="81">
                  <c:v>3.8015697391925163</c:v>
                </c:pt>
                <c:pt idx="82">
                  <c:v>3.8103682345996419</c:v>
                </c:pt>
                <c:pt idx="83">
                  <c:v>3.8193049836266222</c:v>
                </c:pt>
                <c:pt idx="84">
                  <c:v>3.827539532179463</c:v>
                </c:pt>
                <c:pt idx="85">
                  <c:v>3.8354440716718763</c:v>
                </c:pt>
                <c:pt idx="86">
                  <c:v>3.8435493395664992</c:v>
                </c:pt>
                <c:pt idx="87">
                  <c:v>3.8515165454002545</c:v>
                </c:pt>
                <c:pt idx="88">
                  <c:v>3.8594765364011239</c:v>
                </c:pt>
                <c:pt idx="89">
                  <c:v>3.8678966133205082</c:v>
                </c:pt>
                <c:pt idx="90">
                  <c:v>3.8762418237495386</c:v>
                </c:pt>
                <c:pt idx="91">
                  <c:v>3.8843888321239071</c:v>
                </c:pt>
                <c:pt idx="92">
                  <c:v>3.8924923912642857</c:v>
                </c:pt>
                <c:pt idx="93">
                  <c:v>3.9006233213605279</c:v>
                </c:pt>
                <c:pt idx="94">
                  <c:v>3.9084735105394621</c:v>
                </c:pt>
                <c:pt idx="95">
                  <c:v>3.9161170233635976</c:v>
                </c:pt>
                <c:pt idx="96">
                  <c:v>3.9239163424914447</c:v>
                </c:pt>
                <c:pt idx="97">
                  <c:v>3.9314718711198733</c:v>
                </c:pt>
                <c:pt idx="98">
                  <c:v>3.9389263428024002</c:v>
                </c:pt>
                <c:pt idx="99">
                  <c:v>3.9461600217944897</c:v>
                </c:pt>
                <c:pt idx="100">
                  <c:v>3.9533983086882571</c:v>
                </c:pt>
                <c:pt idx="101">
                  <c:v>3.9604601135478692</c:v>
                </c:pt>
                <c:pt idx="102">
                  <c:v>3.9670783633946098</c:v>
                </c:pt>
                <c:pt idx="103">
                  <c:v>3.9736749310256196</c:v>
                </c:pt>
                <c:pt idx="104">
                  <c:v>3.9800973424949886</c:v>
                </c:pt>
                <c:pt idx="105">
                  <c:v>3.9865552258538903</c:v>
                </c:pt>
                <c:pt idx="106">
                  <c:v>3.9930222329498886</c:v>
                </c:pt>
                <c:pt idx="107">
                  <c:v>3.9995736103186754</c:v>
                </c:pt>
                <c:pt idx="108">
                  <c:v>4.0061392715010449</c:v>
                </c:pt>
                <c:pt idx="109">
                  <c:v>4.0122147734715474</c:v>
                </c:pt>
                <c:pt idx="110">
                  <c:v>4.0180420530810466</c:v>
                </c:pt>
                <c:pt idx="111">
                  <c:v>4.0238152950694026</c:v>
                </c:pt>
                <c:pt idx="112">
                  <c:v>4.0294690438516749</c:v>
                </c:pt>
                <c:pt idx="113">
                  <c:v>4.0350029470680608</c:v>
                </c:pt>
                <c:pt idx="114">
                  <c:v>4.0403586317813041</c:v>
                </c:pt>
                <c:pt idx="115">
                  <c:v>4.0456734136619534</c:v>
                </c:pt>
                <c:pt idx="116">
                  <c:v>4.0509752951747302</c:v>
                </c:pt>
                <c:pt idx="117">
                  <c:v>4.056090631064972</c:v>
                </c:pt>
                <c:pt idx="118">
                  <c:v>4.0610465660318695</c:v>
                </c:pt>
                <c:pt idx="119">
                  <c:v>4.0657987099515704</c:v>
                </c:pt>
                <c:pt idx="120">
                  <c:v>4.0705319699549811</c:v>
                </c:pt>
                <c:pt idx="121">
                  <c:v>4.0752962820041372</c:v>
                </c:pt>
                <c:pt idx="122">
                  <c:v>4.0801021975722858</c:v>
                </c:pt>
                <c:pt idx="123">
                  <c:v>4.0848168719530902</c:v>
                </c:pt>
                <c:pt idx="124">
                  <c:v>4.0893632495146335</c:v>
                </c:pt>
                <c:pt idx="125">
                  <c:v>4.0938239389297406</c:v>
                </c:pt>
                <c:pt idx="126">
                  <c:v>4.0982289849765792</c:v>
                </c:pt>
                <c:pt idx="127">
                  <c:v>4.1024570157363183</c:v>
                </c:pt>
                <c:pt idx="128">
                  <c:v>4.1065902565293708</c:v>
                </c:pt>
                <c:pt idx="129">
                  <c:v>4.1108092229729127</c:v>
                </c:pt>
                <c:pt idx="130">
                  <c:v>4.1149583448598541</c:v>
                </c:pt>
                <c:pt idx="131">
                  <c:v>4.1191333110018338</c:v>
                </c:pt>
                <c:pt idx="132">
                  <c:v>4.1231058172540029</c:v>
                </c:pt>
                <c:pt idx="133">
                  <c:v>4.1269620863626999</c:v>
                </c:pt>
                <c:pt idx="134">
                  <c:v>4.1307497752353708</c:v>
                </c:pt>
                <c:pt idx="135">
                  <c:v>4.1345613927733291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105.2429858406322</c:v>
                </c:pt>
                <c:pt idx="2">
                  <c:v>100.01350007839015</c:v>
                </c:pt>
                <c:pt idx="3">
                  <c:v>99.361692758605074</c:v>
                </c:pt>
                <c:pt idx="4">
                  <c:v>100.26312309277225</c:v>
                </c:pt>
                <c:pt idx="5">
                  <c:v>107.57576652009695</c:v>
                </c:pt>
                <c:pt idx="6">
                  <c:v>109.66863848694146</c:v>
                </c:pt>
                <c:pt idx="7">
                  <c:v>112.21366408864802</c:v>
                </c:pt>
                <c:pt idx="8">
                  <c:v>112.5283431961219</c:v>
                </c:pt>
                <c:pt idx="9">
                  <c:v>112.89140539103816</c:v>
                </c:pt>
                <c:pt idx="10">
                  <c:v>111.20946446544157</c:v>
                </c:pt>
                <c:pt idx="11">
                  <c:v>107.46541521198537</c:v>
                </c:pt>
                <c:pt idx="12">
                  <c:v>108.49610775141311</c:v>
                </c:pt>
                <c:pt idx="13">
                  <c:v>107.55798603053506</c:v>
                </c:pt>
                <c:pt idx="14">
                  <c:v>107.00026419211167</c:v>
                </c:pt>
                <c:pt idx="15">
                  <c:v>103.98590404884557</c:v>
                </c:pt>
                <c:pt idx="16">
                  <c:v>106.42807562716521</c:v>
                </c:pt>
                <c:pt idx="17">
                  <c:v>103.71966252474544</c:v>
                </c:pt>
                <c:pt idx="18">
                  <c:v>101.18022229306963</c:v>
                </c:pt>
                <c:pt idx="19">
                  <c:v>97.447039382821075</c:v>
                </c:pt>
                <c:pt idx="20">
                  <c:v>95.923421441409261</c:v>
                </c:pt>
                <c:pt idx="21">
                  <c:v>95.793256012023051</c:v>
                </c:pt>
                <c:pt idx="22">
                  <c:v>98.183531187350297</c:v>
                </c:pt>
                <c:pt idx="23">
                  <c:v>97.604777337151148</c:v>
                </c:pt>
                <c:pt idx="24">
                  <c:v>96.127983888231611</c:v>
                </c:pt>
                <c:pt idx="25">
                  <c:v>94.779413727568624</c:v>
                </c:pt>
                <c:pt idx="26">
                  <c:v>92.362973260367482</c:v>
                </c:pt>
                <c:pt idx="27">
                  <c:v>92.851760213874314</c:v>
                </c:pt>
                <c:pt idx="28">
                  <c:v>96.191207680441892</c:v>
                </c:pt>
                <c:pt idx="29">
                  <c:v>94.712456898820918</c:v>
                </c:pt>
                <c:pt idx="30">
                  <c:v>93.692632924745894</c:v>
                </c:pt>
                <c:pt idx="31">
                  <c:v>90.079914557805978</c:v>
                </c:pt>
                <c:pt idx="32">
                  <c:v>95.036636043281135</c:v>
                </c:pt>
                <c:pt idx="33">
                  <c:v>91.433088037205721</c:v>
                </c:pt>
                <c:pt idx="34">
                  <c:v>98.03876496675656</c:v>
                </c:pt>
                <c:pt idx="35">
                  <c:v>101.40099888869445</c:v>
                </c:pt>
                <c:pt idx="36">
                  <c:v>101.63090670645917</c:v>
                </c:pt>
                <c:pt idx="37">
                  <c:v>102.30075877432068</c:v>
                </c:pt>
                <c:pt idx="38">
                  <c:v>99.343107401235699</c:v>
                </c:pt>
                <c:pt idx="39">
                  <c:v>94.000048992468066</c:v>
                </c:pt>
                <c:pt idx="40">
                  <c:v>92.446068623552165</c:v>
                </c:pt>
                <c:pt idx="41">
                  <c:v>86.569479443552936</c:v>
                </c:pt>
                <c:pt idx="42">
                  <c:v>83.067811491505793</c:v>
                </c:pt>
                <c:pt idx="43">
                  <c:v>78.615893793778369</c:v>
                </c:pt>
                <c:pt idx="44">
                  <c:v>79.741640540037025</c:v>
                </c:pt>
                <c:pt idx="45">
                  <c:v>77.022726599063617</c:v>
                </c:pt>
                <c:pt idx="46">
                  <c:v>80.825340813652517</c:v>
                </c:pt>
                <c:pt idx="47">
                  <c:v>82.968648835406654</c:v>
                </c:pt>
                <c:pt idx="48">
                  <c:v>84.718780940569118</c:v>
                </c:pt>
                <c:pt idx="49">
                  <c:v>85.564441731431032</c:v>
                </c:pt>
                <c:pt idx="50">
                  <c:v>79.648420199921219</c:v>
                </c:pt>
                <c:pt idx="51">
                  <c:v>79.532084207302489</c:v>
                </c:pt>
                <c:pt idx="52">
                  <c:v>74.769563556696056</c:v>
                </c:pt>
                <c:pt idx="53">
                  <c:v>71.524054479180322</c:v>
                </c:pt>
                <c:pt idx="54">
                  <c:v>70.614650235630734</c:v>
                </c:pt>
                <c:pt idx="55">
                  <c:v>72.968626628208085</c:v>
                </c:pt>
                <c:pt idx="56">
                  <c:v>67.758436608030436</c:v>
                </c:pt>
                <c:pt idx="57">
                  <c:v>64.803429892389929</c:v>
                </c:pt>
                <c:pt idx="58">
                  <c:v>59.699419394434543</c:v>
                </c:pt>
                <c:pt idx="59">
                  <c:v>60.039967588482327</c:v>
                </c:pt>
                <c:pt idx="60">
                  <c:v>63.537483548442957</c:v>
                </c:pt>
                <c:pt idx="61">
                  <c:v>76.397789169842454</c:v>
                </c:pt>
                <c:pt idx="62">
                  <c:v>74.941692631792222</c:v>
                </c:pt>
                <c:pt idx="63">
                  <c:v>70.248892511478715</c:v>
                </c:pt>
                <c:pt idx="64">
                  <c:v>65.683992863333231</c:v>
                </c:pt>
                <c:pt idx="65">
                  <c:v>61.709326763247809</c:v>
                </c:pt>
                <c:pt idx="66">
                  <c:v>58.865455462309541</c:v>
                </c:pt>
                <c:pt idx="67">
                  <c:v>56.737961382031003</c:v>
                </c:pt>
                <c:pt idx="68">
                  <c:v>54.131776741071498</c:v>
                </c:pt>
                <c:pt idx="69">
                  <c:v>54.486832139424251</c:v>
                </c:pt>
                <c:pt idx="70">
                  <c:v>55.498942979523491</c:v>
                </c:pt>
                <c:pt idx="71">
                  <c:v>52.519238735927516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45230</c:v>
                </c:pt>
                <c:pt idx="1">
                  <c:v>45231</c:v>
                </c:pt>
                <c:pt idx="2">
                  <c:v>45232</c:v>
                </c:pt>
                <c:pt idx="3">
                  <c:v>45233</c:v>
                </c:pt>
                <c:pt idx="4">
                  <c:v>45234</c:v>
                </c:pt>
                <c:pt idx="5">
                  <c:v>45235</c:v>
                </c:pt>
                <c:pt idx="6">
                  <c:v>45236</c:v>
                </c:pt>
                <c:pt idx="7">
                  <c:v>45237</c:v>
                </c:pt>
                <c:pt idx="8">
                  <c:v>45238</c:v>
                </c:pt>
                <c:pt idx="9">
                  <c:v>45239</c:v>
                </c:pt>
                <c:pt idx="10">
                  <c:v>45240</c:v>
                </c:pt>
                <c:pt idx="11">
                  <c:v>45241</c:v>
                </c:pt>
                <c:pt idx="12">
                  <c:v>45242</c:v>
                </c:pt>
                <c:pt idx="13">
                  <c:v>45243</c:v>
                </c:pt>
                <c:pt idx="14">
                  <c:v>45244</c:v>
                </c:pt>
                <c:pt idx="15">
                  <c:v>45245</c:v>
                </c:pt>
                <c:pt idx="16">
                  <c:v>45246</c:v>
                </c:pt>
                <c:pt idx="17">
                  <c:v>45247</c:v>
                </c:pt>
                <c:pt idx="18">
                  <c:v>45248</c:v>
                </c:pt>
                <c:pt idx="19">
                  <c:v>45249</c:v>
                </c:pt>
                <c:pt idx="20">
                  <c:v>45250</c:v>
                </c:pt>
                <c:pt idx="21">
                  <c:v>45251</c:v>
                </c:pt>
                <c:pt idx="22">
                  <c:v>45252</c:v>
                </c:pt>
                <c:pt idx="23">
                  <c:v>45253</c:v>
                </c:pt>
                <c:pt idx="24">
                  <c:v>45254</c:v>
                </c:pt>
                <c:pt idx="25">
                  <c:v>45255</c:v>
                </c:pt>
                <c:pt idx="26">
                  <c:v>45256</c:v>
                </c:pt>
                <c:pt idx="27">
                  <c:v>45257</c:v>
                </c:pt>
                <c:pt idx="28">
                  <c:v>45258</c:v>
                </c:pt>
                <c:pt idx="29">
                  <c:v>45259</c:v>
                </c:pt>
                <c:pt idx="30">
                  <c:v>45260</c:v>
                </c:pt>
                <c:pt idx="31">
                  <c:v>45261</c:v>
                </c:pt>
                <c:pt idx="32">
                  <c:v>45262</c:v>
                </c:pt>
                <c:pt idx="33">
                  <c:v>45263</c:v>
                </c:pt>
                <c:pt idx="34">
                  <c:v>45264</c:v>
                </c:pt>
                <c:pt idx="35">
                  <c:v>45265</c:v>
                </c:pt>
                <c:pt idx="36">
                  <c:v>45266</c:v>
                </c:pt>
                <c:pt idx="37">
                  <c:v>45267</c:v>
                </c:pt>
                <c:pt idx="38">
                  <c:v>45268</c:v>
                </c:pt>
                <c:pt idx="39">
                  <c:v>45269</c:v>
                </c:pt>
                <c:pt idx="40">
                  <c:v>45270</c:v>
                </c:pt>
                <c:pt idx="41">
                  <c:v>45271</c:v>
                </c:pt>
                <c:pt idx="42">
                  <c:v>45272</c:v>
                </c:pt>
                <c:pt idx="43">
                  <c:v>45273</c:v>
                </c:pt>
                <c:pt idx="44">
                  <c:v>45274</c:v>
                </c:pt>
                <c:pt idx="45">
                  <c:v>45275</c:v>
                </c:pt>
                <c:pt idx="46">
                  <c:v>45276</c:v>
                </c:pt>
                <c:pt idx="47">
                  <c:v>45277</c:v>
                </c:pt>
                <c:pt idx="48">
                  <c:v>45278</c:v>
                </c:pt>
                <c:pt idx="49">
                  <c:v>45279</c:v>
                </c:pt>
                <c:pt idx="50">
                  <c:v>45280</c:v>
                </c:pt>
                <c:pt idx="51">
                  <c:v>45281</c:v>
                </c:pt>
                <c:pt idx="52">
                  <c:v>45282</c:v>
                </c:pt>
                <c:pt idx="53">
                  <c:v>45283</c:v>
                </c:pt>
                <c:pt idx="54">
                  <c:v>45284</c:v>
                </c:pt>
                <c:pt idx="55">
                  <c:v>45285</c:v>
                </c:pt>
                <c:pt idx="56">
                  <c:v>45286</c:v>
                </c:pt>
                <c:pt idx="57">
                  <c:v>45287</c:v>
                </c:pt>
                <c:pt idx="58">
                  <c:v>45288</c:v>
                </c:pt>
                <c:pt idx="59">
                  <c:v>45289</c:v>
                </c:pt>
                <c:pt idx="60">
                  <c:v>45290</c:v>
                </c:pt>
                <c:pt idx="61">
                  <c:v>45291</c:v>
                </c:pt>
                <c:pt idx="62">
                  <c:v>45292</c:v>
                </c:pt>
                <c:pt idx="63">
                  <c:v>45293</c:v>
                </c:pt>
                <c:pt idx="64">
                  <c:v>45294</c:v>
                </c:pt>
                <c:pt idx="65">
                  <c:v>45295</c:v>
                </c:pt>
                <c:pt idx="66">
                  <c:v>45296</c:v>
                </c:pt>
                <c:pt idx="67">
                  <c:v>45297</c:v>
                </c:pt>
                <c:pt idx="68">
                  <c:v>45298</c:v>
                </c:pt>
                <c:pt idx="69">
                  <c:v>45299</c:v>
                </c:pt>
                <c:pt idx="70">
                  <c:v>45300</c:v>
                </c:pt>
                <c:pt idx="71">
                  <c:v>45301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7.154626778223607E-3</c:v>
                </c:pt>
                <c:pt idx="2">
                  <c:v>8.0559000429555935E-3</c:v>
                </c:pt>
                <c:pt idx="3">
                  <c:v>9.0572245391185371E-3</c:v>
                </c:pt>
                <c:pt idx="4">
                  <c:v>1.0209287429726367E-2</c:v>
                </c:pt>
                <c:pt idx="5">
                  <c:v>1.1558013405001755E-2</c:v>
                </c:pt>
                <c:pt idx="6">
                  <c:v>1.3016173018811049E-2</c:v>
                </c:pt>
                <c:pt idx="7">
                  <c:v>1.47143384307573E-2</c:v>
                </c:pt>
                <c:pt idx="8">
                  <c:v>1.6686419277041262E-2</c:v>
                </c:pt>
                <c:pt idx="9">
                  <c:v>1.8830322891543114E-2</c:v>
                </c:pt>
                <c:pt idx="10">
                  <c:v>2.1339630574903259E-2</c:v>
                </c:pt>
                <c:pt idx="11">
                  <c:v>2.4204083524567953E-2</c:v>
                </c:pt>
                <c:pt idx="12">
                  <c:v>2.7431750913829468E-2</c:v>
                </c:pt>
                <c:pt idx="13">
                  <c:v>3.0984633900880586E-2</c:v>
                </c:pt>
                <c:pt idx="14">
                  <c:v>3.4957352834207485E-2</c:v>
                </c:pt>
                <c:pt idx="15">
                  <c:v>3.9595114220933612E-2</c:v>
                </c:pt>
                <c:pt idx="16">
                  <c:v>4.5002700770002048E-2</c:v>
                </c:pt>
                <c:pt idx="17">
                  <c:v>5.0862111575444423E-2</c:v>
                </c:pt>
                <c:pt idx="18">
                  <c:v>5.7175276244683743E-2</c:v>
                </c:pt>
                <c:pt idx="19">
                  <c:v>6.4197722597438098E-2</c:v>
                </c:pt>
                <c:pt idx="20">
                  <c:v>7.2375573694048373E-2</c:v>
                </c:pt>
                <c:pt idx="21">
                  <c:v>8.1571171089633882E-2</c:v>
                </c:pt>
                <c:pt idx="22">
                  <c:v>9.2058484896159379E-2</c:v>
                </c:pt>
                <c:pt idx="23">
                  <c:v>0.10401683511095068</c:v>
                </c:pt>
                <c:pt idx="24">
                  <c:v>0.11710928144968348</c:v>
                </c:pt>
                <c:pt idx="25">
                  <c:v>0.13253394788159889</c:v>
                </c:pt>
                <c:pt idx="26">
                  <c:v>0.14969517046231681</c:v>
                </c:pt>
                <c:pt idx="27">
                  <c:v>0.16797088320567555</c:v>
                </c:pt>
                <c:pt idx="28">
                  <c:v>0.18779199787348508</c:v>
                </c:pt>
                <c:pt idx="29">
                  <c:v>0.20956936669915502</c:v>
                </c:pt>
                <c:pt idx="30">
                  <c:v>0.2337502880623113</c:v>
                </c:pt>
                <c:pt idx="31">
                  <c:v>0.26036321945265267</c:v>
                </c:pt>
                <c:pt idx="32">
                  <c:v>0.28986981459153727</c:v>
                </c:pt>
                <c:pt idx="33">
                  <c:v>0.32196532456109772</c:v>
                </c:pt>
                <c:pt idx="34">
                  <c:v>0.35583621861281051</c:v>
                </c:pt>
                <c:pt idx="35">
                  <c:v>0.39052247986347965</c:v>
                </c:pt>
                <c:pt idx="36">
                  <c:v>0.42625228239074081</c:v>
                </c:pt>
                <c:pt idx="37">
                  <c:v>0.46092104011713142</c:v>
                </c:pt>
                <c:pt idx="38">
                  <c:v>0.49557438788143987</c:v>
                </c:pt>
                <c:pt idx="39">
                  <c:v>0.53142607735776826</c:v>
                </c:pt>
                <c:pt idx="40">
                  <c:v>0.56639181279629691</c:v>
                </c:pt>
                <c:pt idx="41">
                  <c:v>0.60190125576926456</c:v>
                </c:pt>
                <c:pt idx="42">
                  <c:v>0.63723921697828889</c:v>
                </c:pt>
                <c:pt idx="43">
                  <c:v>0.6700537683467882</c:v>
                </c:pt>
                <c:pt idx="44">
                  <c:v>0.70058262044173403</c:v>
                </c:pt>
                <c:pt idx="45">
                  <c:v>0.72850948521441439</c:v>
                </c:pt>
                <c:pt idx="46">
                  <c:v>0.75438416872049996</c:v>
                </c:pt>
                <c:pt idx="47">
                  <c:v>0.77803940750565859</c:v>
                </c:pt>
                <c:pt idx="48">
                  <c:v>0.79890471013625752</c:v>
                </c:pt>
                <c:pt idx="49">
                  <c:v>0.81793352498600447</c:v>
                </c:pt>
                <c:pt idx="50">
                  <c:v>0.835280569920125</c:v>
                </c:pt>
                <c:pt idx="51">
                  <c:v>0.85062589591074822</c:v>
                </c:pt>
                <c:pt idx="52">
                  <c:v>0.86429938900550241</c:v>
                </c:pt>
                <c:pt idx="53">
                  <c:v>0.87591159514297823</c:v>
                </c:pt>
                <c:pt idx="54">
                  <c:v>0.88617345221340982</c:v>
                </c:pt>
                <c:pt idx="55">
                  <c:v>0.89527160963145624</c:v>
                </c:pt>
                <c:pt idx="56">
                  <c:v>0.90297558684597956</c:v>
                </c:pt>
                <c:pt idx="57">
                  <c:v>0.9096798716006026</c:v>
                </c:pt>
                <c:pt idx="58">
                  <c:v>0.91581166733305452</c:v>
                </c:pt>
                <c:pt idx="59">
                  <c:v>0.92116066682919706</c:v>
                </c:pt>
                <c:pt idx="60">
                  <c:v>0.92562349643788711</c:v>
                </c:pt>
                <c:pt idx="61">
                  <c:v>0.92931872765381984</c:v>
                </c:pt>
                <c:pt idx="62">
                  <c:v>0.93242614041160687</c:v>
                </c:pt>
                <c:pt idx="63">
                  <c:v>0.93514623888437343</c:v>
                </c:pt>
                <c:pt idx="64">
                  <c:v>0.93742063665432007</c:v>
                </c:pt>
                <c:pt idx="65">
                  <c:v>0.93938410604116296</c:v>
                </c:pt>
                <c:pt idx="66">
                  <c:v>0.94099605076830994</c:v>
                </c:pt>
                <c:pt idx="67">
                  <c:v>0.94237362911854639</c:v>
                </c:pt>
                <c:pt idx="68">
                  <c:v>0.94357870916954589</c:v>
                </c:pt>
                <c:pt idx="69">
                  <c:v>0.94460942381191038</c:v>
                </c:pt>
                <c:pt idx="70">
                  <c:v>0.94548832755669721</c:v>
                </c:pt>
                <c:pt idx="71">
                  <c:v>0.94621673976952447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E12" sqref="E12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2" t="s">
        <v>153</v>
      </c>
      <c r="E1" s="133"/>
      <c r="F1" s="133"/>
      <c r="G1" s="133"/>
      <c r="H1" s="134"/>
      <c r="Z1"/>
      <c r="AA1"/>
      <c r="AB1"/>
      <c r="AC1"/>
    </row>
    <row r="2" spans="2:34" s="55" customFormat="1" ht="47.25" customHeight="1">
      <c r="C2" s="106"/>
      <c r="D2" s="135" t="s">
        <v>154</v>
      </c>
      <c r="E2" s="136"/>
      <c r="F2" s="136"/>
      <c r="G2" s="136"/>
      <c r="H2" s="137"/>
      <c r="Z2"/>
      <c r="AA2"/>
      <c r="AB2"/>
      <c r="AC2"/>
    </row>
    <row r="3" spans="2:34" s="54" customFormat="1" ht="15.75" thickBot="1">
      <c r="B3" s="55"/>
      <c r="C3" s="138" t="s">
        <v>185</v>
      </c>
      <c r="D3" s="138"/>
      <c r="E3" s="138"/>
      <c r="F3" s="138"/>
      <c r="G3" s="139"/>
      <c r="H3" s="139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66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6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Ice berg</v>
      </c>
      <c r="E7" s="92" t="s">
        <v>89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Lettuce Vegetable Ice berg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147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45301</v>
      </c>
      <c r="E10" s="67">
        <v>45301</v>
      </c>
      <c r="F10" s="57" t="s">
        <v>148</v>
      </c>
      <c r="G10" s="85" t="str">
        <f>IF(H10="",VLOOKUP(CurrentCropNameFull,CropCoefficients,15,FALSE),H10)</f>
        <v>Vegetative</v>
      </c>
      <c r="H10" s="72"/>
      <c r="Z10"/>
      <c r="AA10"/>
      <c r="AB10"/>
      <c r="AC10"/>
    </row>
    <row r="11" spans="2:34" s="55" customFormat="1">
      <c r="C11" s="57" t="s">
        <v>138</v>
      </c>
      <c r="D11" s="85">
        <f>IF(CurrentUnits="kg/head",IF(E11="",VLOOKUP(CurrentCropNameFull,CropCoefficients,20,FALSE),E11),"1")</f>
        <v>60000</v>
      </c>
      <c r="E11" s="72">
        <v>60000</v>
      </c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0.4</v>
      </c>
      <c r="E12" s="69">
        <v>0.4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136</v>
      </c>
      <c r="G13" s="99">
        <f>IF(H13="",VLOOKUP(CurrentCropNameFull,CropCoefficients,26,FALSE),H13)</f>
        <v>96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24</v>
      </c>
      <c r="C14" s="64" t="str">
        <f>"Yield "&amp;CurrentYield_tperHa&amp;" (t/ha)"</f>
        <v>Yield 24 (t/ha)</v>
      </c>
      <c r="D14" s="90" t="str">
        <f ca="1">"requires "&amp;ROUND(SUM('Model Interface'!V4:W4),0)&amp;" kg N/ha from all sources"</f>
        <v>requires 28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>PriorHarvestDate</f>
        <v>45230</v>
      </c>
      <c r="Z14"/>
      <c r="AA14"/>
      <c r="AB14"/>
      <c r="AC14"/>
    </row>
    <row r="15" spans="2:34" s="55" customFormat="1" ht="16.5" thickBot="1">
      <c r="B15" s="55">
        <f ca="1">SUMIF(B29:B43,1,G29:G43)</f>
        <v>0</v>
      </c>
      <c r="C15" s="111" t="s">
        <v>225</v>
      </c>
      <c r="D15" s="112" t="str">
        <f ca="1">SUMIF(B29:B43,1,G29:G43)&amp;" Kg/ha"</f>
        <v>0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1" t="s">
        <v>228</v>
      </c>
      <c r="S15" s="131"/>
      <c r="T15" s="131"/>
      <c r="U15" s="131"/>
      <c r="V15" s="131"/>
      <c r="W15" s="124"/>
      <c r="X15" s="124"/>
      <c r="Y15" s="124"/>
      <c r="Z15" s="129" t="s">
        <v>227</v>
      </c>
      <c r="AA15" s="129"/>
      <c r="AB15" s="129"/>
      <c r="AC15" s="129"/>
      <c r="AD15" s="130" t="s">
        <v>229</v>
      </c>
      <c r="AE15" s="130"/>
      <c r="AF15" s="130"/>
      <c r="AG15" s="130"/>
      <c r="AH15" s="130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38" t="s">
        <v>186</v>
      </c>
      <c r="D17" s="138"/>
      <c r="E17" s="138"/>
      <c r="F17" s="138"/>
      <c r="G17" s="138"/>
      <c r="H17" s="138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45230</v>
      </c>
      <c r="S18" s="55">
        <f ca="1">IF(R18&gt;1,R18,"")</f>
        <v>45230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0.33170446051617875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45302</v>
      </c>
      <c r="AE18" s="55">
        <f ca="1">IF(AD18&gt;1,AD18,"")</f>
        <v>45302</v>
      </c>
      <c r="AF18" s="55">
        <f t="shared" ref="AF18:AF20" ca="1" si="6">VLOOKUP(AE18,ModelOutputs,2,FALSE)</f>
        <v>37.234089135081049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0.23795507241400646</v>
      </c>
      <c r="AK18" s="55">
        <f t="shared" ref="AK18" ca="1" si="10">VLOOKUP(AE18,ModelOutputs,4,FALSE)</f>
        <v>0.24064440959898903</v>
      </c>
    </row>
    <row r="19" spans="1:37" s="55" customFormat="1">
      <c r="C19" s="57" t="s">
        <v>222</v>
      </c>
      <c r="D19" s="85">
        <f>IF(E19="",60,E19)</f>
        <v>30</v>
      </c>
      <c r="E19" s="16">
        <v>30</v>
      </c>
      <c r="F19" s="100" t="str">
        <f ca="1">ROUND('Model Interface'!T3,0)&amp;" kg N/ha available from SOM mineralisation"</f>
        <v>22 kg N/ha available from SOM mineralisation</v>
      </c>
      <c r="R19" s="83">
        <f ca="1"/>
        <v>45231</v>
      </c>
      <c r="S19" s="55">
        <f t="shared" ref="S19:S82" ca="1" si="11">IF(R19&gt;1,R19,"")</f>
        <v>45231</v>
      </c>
      <c r="T19" s="55">
        <f t="shared" ca="1" si="0"/>
        <v>49.943857094793344</v>
      </c>
      <c r="U19" s="55">
        <f t="shared" ca="1" si="1"/>
        <v>1.6086467626342709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0.64085772552777209</v>
      </c>
      <c r="Y19" s="55">
        <f t="shared" ref="Y19:Y82" ca="1" si="14">VLOOKUP(S19,ModelOutputs,4,FALSE)+Y18</f>
        <v>-0.36529617021824862</v>
      </c>
      <c r="Z19">
        <f t="shared" ca="1" si="3"/>
        <v>105.2429858406322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7.154626778223607E-3</v>
      </c>
      <c r="AD19" s="83">
        <f ca="1"/>
        <v>45303</v>
      </c>
      <c r="AE19" s="55">
        <f t="shared" ref="AE19:AE20" ca="1" si="16">IF(AD19&gt;1,AD19,"")</f>
        <v>45303</v>
      </c>
      <c r="AF19" s="55">
        <f t="shared" ca="1" si="6"/>
        <v>37.685680793236259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0.47374108092428879</v>
      </c>
      <c r="AK19" s="55">
        <f t="shared" ref="AK19:AK82" ca="1" si="19">VLOOKUP(AE19,ModelOutputs,4,FALSE)+AK18</f>
        <v>0.45645005924391757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45232</v>
      </c>
      <c r="S20" s="55">
        <f t="shared" ca="1" si="11"/>
        <v>45232</v>
      </c>
      <c r="T20" s="55">
        <f t="shared" ca="1" si="0"/>
        <v>49.825630117243271</v>
      </c>
      <c r="U20" s="55">
        <f t="shared" ca="1" si="1"/>
        <v>1.6701905966251078</v>
      </c>
      <c r="V20" s="55">
        <f t="shared" ca="1" si="2"/>
        <v>0</v>
      </c>
      <c r="W20" s="55">
        <f t="shared" ca="1" si="12"/>
        <v>0</v>
      </c>
      <c r="X20" s="55">
        <f t="shared" ca="1" si="13"/>
        <v>0.93458930962353159</v>
      </c>
      <c r="Y20" s="55">
        <f t="shared" ca="1" si="14"/>
        <v>-0.71571089787324182</v>
      </c>
      <c r="Z20">
        <f t="shared" ca="1" si="3"/>
        <v>100.01350007839015</v>
      </c>
      <c r="AA20">
        <f t="shared" ca="1" si="15"/>
        <v>0</v>
      </c>
      <c r="AB20">
        <f t="shared" ca="1" si="4"/>
        <v>0</v>
      </c>
      <c r="AC20">
        <f t="shared" ca="1" si="5"/>
        <v>8.0559000429555935E-3</v>
      </c>
      <c r="AD20" s="83">
        <f ca="1"/>
        <v>45304</v>
      </c>
      <c r="AE20" s="55">
        <f t="shared" ca="1" si="16"/>
        <v>45304</v>
      </c>
      <c r="AF20" s="55">
        <f t="shared" ca="1" si="6"/>
        <v>38.153140728069701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0.72348939042619897</v>
      </c>
      <c r="AK20" s="55">
        <f t="shared" ca="1" si="19"/>
        <v>0.67416168457544767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45233</v>
      </c>
      <c r="S21" s="55">
        <f t="shared" ca="1" si="11"/>
        <v>45233</v>
      </c>
      <c r="T21" s="55">
        <f t="shared" ca="1" si="0"/>
        <v>49.719257787071442</v>
      </c>
      <c r="U21" s="55">
        <f t="shared" ca="1" si="1"/>
        <v>1.7332903633193393</v>
      </c>
      <c r="V21" s="55">
        <f t="shared" ca="1" si="2"/>
        <v>0</v>
      </c>
      <c r="W21" s="55">
        <f t="shared" ca="1" si="12"/>
        <v>0</v>
      </c>
      <c r="X21" s="55">
        <f t="shared" ca="1" si="13"/>
        <v>1.2236565531110193</v>
      </c>
      <c r="Y21" s="55">
        <f t="shared" ca="1" si="14"/>
        <v>-1.0480507048383294</v>
      </c>
      <c r="Z21">
        <f t="shared" ca="1" si="3"/>
        <v>99.361692758605074</v>
      </c>
      <c r="AA21">
        <f t="shared" ca="1" si="15"/>
        <v>0</v>
      </c>
      <c r="AB21">
        <f t="shared" ca="1" si="4"/>
        <v>0</v>
      </c>
      <c r="AC21">
        <f t="shared" ca="1" si="5"/>
        <v>9.0572245391185371E-3</v>
      </c>
      <c r="AD21" s="83">
        <f ca="1"/>
        <v>45305</v>
      </c>
      <c r="AE21" s="55">
        <f t="shared" ref="AE21:AE84" ca="1" si="20">IF(AD21&gt;1,AD21,"")</f>
        <v>45305</v>
      </c>
      <c r="AF21" s="55">
        <f t="shared" ref="AF21:AF84" ca="1" si="21">VLOOKUP(AE21,ModelOutputs,2,FALSE)</f>
        <v>38.611978962048504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0.97860668152350372</v>
      </c>
      <c r="AK21" s="55">
        <f t="shared" ca="1" si="19"/>
        <v>0.87788262745694112</v>
      </c>
    </row>
    <row r="22" spans="1:37" s="55" customFormat="1" ht="15" customHeight="1">
      <c r="C22" s="57" t="s">
        <v>212</v>
      </c>
      <c r="D22" s="85" t="str">
        <f>IF(E22="","loam",E22)</f>
        <v>Clay loam</v>
      </c>
      <c r="E22" s="16" t="s">
        <v>252</v>
      </c>
      <c r="F22" s="100"/>
      <c r="R22" s="83">
        <f ca="1"/>
        <v>45234</v>
      </c>
      <c r="S22" s="55">
        <f t="shared" ca="1" si="11"/>
        <v>45234</v>
      </c>
      <c r="T22" s="55">
        <f t="shared" ca="1" si="0"/>
        <v>49.627422276878924</v>
      </c>
      <c r="U22" s="55">
        <f t="shared" ca="1" si="1"/>
        <v>1.8002673635691322</v>
      </c>
      <c r="V22" s="55">
        <f t="shared" ca="1" si="2"/>
        <v>0</v>
      </c>
      <c r="W22" s="55">
        <f t="shared" ca="1" si="12"/>
        <v>0</v>
      </c>
      <c r="X22" s="55">
        <f t="shared" ca="1" si="13"/>
        <v>1.5207841886924296</v>
      </c>
      <c r="Y22" s="55">
        <f t="shared" ca="1" si="14"/>
        <v>-1.370036850362466</v>
      </c>
      <c r="Z22">
        <f t="shared" ca="1" si="3"/>
        <v>100.26312309277225</v>
      </c>
      <c r="AA22">
        <f t="shared" ca="1" si="15"/>
        <v>0</v>
      </c>
      <c r="AB22">
        <f t="shared" ca="1" si="4"/>
        <v>0</v>
      </c>
      <c r="AC22">
        <f t="shared" ca="1" si="5"/>
        <v>1.0209287429726367E-2</v>
      </c>
      <c r="AD22" s="83">
        <f ca="1"/>
        <v>45306</v>
      </c>
      <c r="AE22" s="55">
        <f t="shared" ca="1" si="20"/>
        <v>45306</v>
      </c>
      <c r="AF22" s="55">
        <f t="shared" ca="1" si="21"/>
        <v>39.042130338594376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1.2287149678311688</v>
      </c>
      <c r="AK22" s="55">
        <f t="shared" ca="1" si="19"/>
        <v>1.0579257176951486</v>
      </c>
    </row>
    <row r="23" spans="1:37" s="55" customFormat="1">
      <c r="C23" s="57"/>
      <c r="D23" s="85"/>
      <c r="E23" s="122"/>
      <c r="F23" s="100"/>
      <c r="R23" s="83">
        <f ca="1"/>
        <v>45235</v>
      </c>
      <c r="S23" s="55">
        <f t="shared" ca="1" si="11"/>
        <v>45235</v>
      </c>
      <c r="T23" s="55">
        <f t="shared" ca="1" si="0"/>
        <v>49.571471390198845</v>
      </c>
      <c r="U23" s="55">
        <f t="shared" ca="1" si="1"/>
        <v>1.8724444685416071</v>
      </c>
      <c r="V23" s="55">
        <f t="shared" ca="1" si="2"/>
        <v>0</v>
      </c>
      <c r="W23" s="55">
        <f t="shared" ca="1" si="12"/>
        <v>0</v>
      </c>
      <c r="X23" s="55">
        <f t="shared" ca="1" si="13"/>
        <v>1.8516056121451347</v>
      </c>
      <c r="Y23" s="55">
        <f t="shared" ca="1" si="14"/>
        <v>-1.6846320555227752</v>
      </c>
      <c r="Z23">
        <f t="shared" ca="1" si="3"/>
        <v>107.57576652009695</v>
      </c>
      <c r="AA23">
        <f t="shared" ca="1" si="15"/>
        <v>0</v>
      </c>
      <c r="AB23">
        <f t="shared" ca="1" si="4"/>
        <v>0</v>
      </c>
      <c r="AC23">
        <f t="shared" ca="1" si="5"/>
        <v>1.1558013405001755E-2</v>
      </c>
      <c r="AD23" s="83">
        <f ca="1"/>
        <v>45307</v>
      </c>
      <c r="AE23" s="55">
        <f t="shared" ca="1" si="20"/>
        <v>45307</v>
      </c>
      <c r="AF23" s="55">
        <f t="shared" ca="1" si="21"/>
        <v>39.469920396914283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1.484850283197886</v>
      </c>
      <c r="AK23" s="55">
        <f t="shared" ca="1" si="19"/>
        <v>1.229580460648334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45236</v>
      </c>
      <c r="S24" s="55">
        <f t="shared" ca="1" si="11"/>
        <v>45236</v>
      </c>
      <c r="T24" s="55">
        <f t="shared" ca="1" si="0"/>
        <v>49.534807044467932</v>
      </c>
      <c r="U24" s="55">
        <f t="shared" ca="1" si="1"/>
        <v>1.9443149652473957</v>
      </c>
      <c r="V24" s="55">
        <f t="shared" ca="1" si="2"/>
        <v>0</v>
      </c>
      <c r="W24" s="55">
        <f t="shared" ca="1" si="12"/>
        <v>0</v>
      </c>
      <c r="X24" s="55">
        <f t="shared" ca="1" si="13"/>
        <v>2.1787883914774913</v>
      </c>
      <c r="Y24" s="55">
        <f t="shared" ca="1" si="14"/>
        <v>-1.9766086838802484</v>
      </c>
      <c r="Z24">
        <f t="shared" ca="1" si="3"/>
        <v>109.66863848694146</v>
      </c>
      <c r="AA24">
        <f t="shared" ca="1" si="15"/>
        <v>0</v>
      </c>
      <c r="AB24">
        <f t="shared" ca="1" si="4"/>
        <v>0</v>
      </c>
      <c r="AC24">
        <f t="shared" ca="1" si="5"/>
        <v>1.3016173018811049E-2</v>
      </c>
      <c r="AD24" s="83">
        <f ca="1"/>
        <v>45308</v>
      </c>
      <c r="AE24" s="55">
        <f t="shared" ca="1" si="20"/>
        <v>45308</v>
      </c>
      <c r="AF24" s="55">
        <f t="shared" ca="1" si="21"/>
        <v>39.887408722239982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1.7425487550176628</v>
      </c>
      <c r="AK24" s="55">
        <f t="shared" ca="1" si="19"/>
        <v>1.3893703141542506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45237</v>
      </c>
      <c r="S25" s="55">
        <f t="shared" ca="1" si="11"/>
        <v>45237</v>
      </c>
      <c r="T25" s="55">
        <f t="shared" ca="1" si="0"/>
        <v>49.518211400134078</v>
      </c>
      <c r="U25" s="55">
        <f t="shared" ca="1" si="1"/>
        <v>2.0214505984622644</v>
      </c>
      <c r="V25" s="55">
        <f t="shared" ca="1" si="2"/>
        <v>0</v>
      </c>
      <c r="W25" s="55">
        <f t="shared" ca="1" si="12"/>
        <v>0</v>
      </c>
      <c r="X25" s="55">
        <f t="shared" ca="1" si="13"/>
        <v>2.523776808559004</v>
      </c>
      <c r="Y25" s="55">
        <f t="shared" ca="1" si="14"/>
        <v>-2.2610571120807488</v>
      </c>
      <c r="Z25">
        <f t="shared" ca="1" si="3"/>
        <v>112.21366408864802</v>
      </c>
      <c r="AA25">
        <f t="shared" ca="1" si="15"/>
        <v>0</v>
      </c>
      <c r="AB25">
        <f t="shared" ca="1" si="4"/>
        <v>0</v>
      </c>
      <c r="AC25">
        <f t="shared" ca="1" si="5"/>
        <v>1.47143384307573E-2</v>
      </c>
      <c r="AD25" s="83">
        <f ca="1"/>
        <v>45309</v>
      </c>
      <c r="AE25" s="55">
        <f t="shared" ca="1" si="20"/>
        <v>45309</v>
      </c>
      <c r="AF25" s="55">
        <f t="shared" ca="1" si="21"/>
        <v>40.292744214360269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2.0015348806700266</v>
      </c>
      <c r="AK25" s="55">
        <f t="shared" ca="1" si="19"/>
        <v>1.5357196806221767</v>
      </c>
    </row>
    <row r="26" spans="1:37" s="55" customFormat="1" ht="15.75" thickBot="1">
      <c r="C26" s="56"/>
      <c r="D26" s="56"/>
      <c r="E26" s="56"/>
      <c r="F26" s="56"/>
      <c r="R26" s="83">
        <f ca="1"/>
        <v>45238</v>
      </c>
      <c r="S26" s="55">
        <f t="shared" ca="1" si="11"/>
        <v>45238</v>
      </c>
      <c r="T26" s="55">
        <f t="shared" ca="1" si="0"/>
        <v>49.513809874125442</v>
      </c>
      <c r="U26" s="55">
        <f t="shared" ca="1" si="1"/>
        <v>2.1038280083658947</v>
      </c>
      <c r="V26" s="55">
        <f t="shared" ca="1" si="2"/>
        <v>0</v>
      </c>
      <c r="W26" s="55">
        <f t="shared" ca="1" si="12"/>
        <v>0</v>
      </c>
      <c r="X26" s="55">
        <f t="shared" ca="1" si="13"/>
        <v>2.8775919501377061</v>
      </c>
      <c r="Y26" s="55">
        <f t="shared" ca="1" si="14"/>
        <v>-2.5368963697644555</v>
      </c>
      <c r="Z26">
        <f t="shared" ca="1" si="3"/>
        <v>112.5283431961219</v>
      </c>
      <c r="AA26">
        <f t="shared" ca="1" si="15"/>
        <v>0</v>
      </c>
      <c r="AB26">
        <f t="shared" ca="1" si="4"/>
        <v>0</v>
      </c>
      <c r="AC26">
        <f t="shared" ca="1" si="5"/>
        <v>1.6686419277041262E-2</v>
      </c>
      <c r="AD26" s="83">
        <f ca="1"/>
        <v>45310</v>
      </c>
      <c r="AE26" s="55">
        <f t="shared" ca="1" si="20"/>
        <v>45310</v>
      </c>
      <c r="AF26" s="55">
        <f t="shared" ca="1" si="21"/>
        <v>40.693835842613069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2.2664586668496125</v>
      </c>
      <c r="AK26" s="55">
        <f t="shared" ca="1" si="19"/>
        <v>1.6718875226953882</v>
      </c>
    </row>
    <row r="27" spans="1:37" s="55" customFormat="1" ht="15.75" thickBot="1">
      <c r="C27" s="141" t="s">
        <v>139</v>
      </c>
      <c r="D27" s="142"/>
      <c r="E27" s="60"/>
      <c r="F27" s="143" t="s">
        <v>146</v>
      </c>
      <c r="G27" s="144"/>
      <c r="R27" s="83">
        <f ca="1"/>
        <v>45239</v>
      </c>
      <c r="S27" s="55">
        <f t="shared" ca="1" si="11"/>
        <v>45239</v>
      </c>
      <c r="T27" s="55">
        <f t="shared" ca="1" si="0"/>
        <v>49.51979710292553</v>
      </c>
      <c r="U27" s="55">
        <f t="shared" ca="1" si="1"/>
        <v>2.1862609422104855</v>
      </c>
      <c r="V27" s="55">
        <f t="shared" ca="1" si="2"/>
        <v>0</v>
      </c>
      <c r="W27" s="55">
        <f t="shared" ca="1" si="12"/>
        <v>0</v>
      </c>
      <c r="X27" s="55">
        <f t="shared" ca="1" si="13"/>
        <v>3.2222072358896474</v>
      </c>
      <c r="Y27" s="55">
        <f t="shared" ca="1" si="14"/>
        <v>-2.7930914928717141</v>
      </c>
      <c r="Z27">
        <f t="shared" ca="1" si="3"/>
        <v>112.89140539103816</v>
      </c>
      <c r="AA27">
        <f t="shared" ca="1" si="15"/>
        <v>0</v>
      </c>
      <c r="AB27">
        <f t="shared" ca="1" si="4"/>
        <v>0</v>
      </c>
      <c r="AC27">
        <f t="shared" ca="1" si="5"/>
        <v>1.8830322891543114E-2</v>
      </c>
      <c r="AD27" s="83">
        <f ca="1"/>
        <v>45311</v>
      </c>
      <c r="AE27" s="55">
        <f t="shared" ca="1" si="20"/>
        <v>45311</v>
      </c>
      <c r="AF27" s="55">
        <f t="shared" ca="1" si="21"/>
        <v>41.070195869280269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2.5239657612163442</v>
      </c>
      <c r="AK27" s="55">
        <f t="shared" ca="1" si="19"/>
        <v>1.790740454995861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45240</v>
      </c>
      <c r="S28" s="55">
        <f t="shared" ca="1" si="11"/>
        <v>45240</v>
      </c>
      <c r="T28" s="55">
        <f t="shared" ca="1" si="0"/>
        <v>49.52984168006445</v>
      </c>
      <c r="U28" s="55">
        <f t="shared" ca="1" si="1"/>
        <v>2.2751109101634488</v>
      </c>
      <c r="V28" s="55">
        <f t="shared" ca="1" si="2"/>
        <v>0</v>
      </c>
      <c r="W28" s="55">
        <f t="shared" ca="1" si="12"/>
        <v>0</v>
      </c>
      <c r="X28" s="55">
        <f t="shared" ca="1" si="13"/>
        <v>3.5709754984701156</v>
      </c>
      <c r="Y28" s="55">
        <f t="shared" ca="1" si="14"/>
        <v>-3.0429652103603066</v>
      </c>
      <c r="Z28">
        <f t="shared" ca="1" si="3"/>
        <v>111.20946446544157</v>
      </c>
      <c r="AA28">
        <f t="shared" ca="1" si="15"/>
        <v>0</v>
      </c>
      <c r="AB28">
        <f t="shared" ca="1" si="4"/>
        <v>0</v>
      </c>
      <c r="AC28">
        <f t="shared" ca="1" si="5"/>
        <v>2.1339630574903259E-2</v>
      </c>
      <c r="AD28" s="83">
        <f ca="1"/>
        <v>45312</v>
      </c>
      <c r="AE28" s="55">
        <f t="shared" ca="1" si="20"/>
        <v>45312</v>
      </c>
      <c r="AF28" s="55">
        <f t="shared" ca="1" si="21"/>
        <v>41.496666863874964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2.8304774662690817</v>
      </c>
      <c r="AK28" s="55">
        <f t="shared" ca="1" si="19"/>
        <v>1.9106997445378191</v>
      </c>
    </row>
    <row r="29" spans="1:37" s="55" customFormat="1">
      <c r="A29" s="83" t="str">
        <f t="array" aca="1" ref="A29:A43" ca="1">_xlfn._xlws.FILTER('Model Interface'!AD7:AD496,'Model Interface'!AE7:AE496&gt;0,"")</f>
        <v/>
      </c>
      <c r="B29" s="55">
        <f t="shared" ref="B29:B43" ca="1" si="24">IF(AND(NOT(F29=""),F29&gt;=StartSchedullingDate),1,0)</f>
        <v>0</v>
      </c>
      <c r="C29" s="78"/>
      <c r="D29" s="80"/>
      <c r="F29" s="74" t="str">
        <f ca="1">A29</f>
        <v/>
      </c>
      <c r="G29" s="76" t="str">
        <f ca="1">IFERROR(VLOOKUP(F29,'Model Interface'!$P$7:$U$496,6,FALSE),"")</f>
        <v/>
      </c>
      <c r="H29" s="55" t="str">
        <f ca="1">IF(B29=1,"Suggested","Applied or Planned")</f>
        <v>Applied or Planned</v>
      </c>
      <c r="R29" s="83">
        <f ca="1"/>
        <v>45241</v>
      </c>
      <c r="S29" s="55">
        <f t="shared" ca="1" si="11"/>
        <v>45241</v>
      </c>
      <c r="T29" s="55">
        <f t="shared" ca="1" si="0"/>
        <v>49.53536629088741</v>
      </c>
      <c r="U29" s="55">
        <f t="shared" ca="1" si="1"/>
        <v>2.3683902237025314</v>
      </c>
      <c r="V29" s="55">
        <f t="shared" ca="1" si="2"/>
        <v>0</v>
      </c>
      <c r="W29" s="55">
        <f t="shared" ca="1" si="12"/>
        <v>0</v>
      </c>
      <c r="X29" s="55">
        <f t="shared" ca="1" si="13"/>
        <v>3.9089195507475574</v>
      </c>
      <c r="Y29" s="55">
        <f t="shared" ca="1" si="14"/>
        <v>-3.2821053382757013</v>
      </c>
      <c r="Z29">
        <f t="shared" ca="1" si="3"/>
        <v>107.46541521198537</v>
      </c>
      <c r="AA29">
        <f t="shared" ca="1" si="15"/>
        <v>0</v>
      </c>
      <c r="AB29">
        <f t="shared" ca="1" si="4"/>
        <v>0</v>
      </c>
      <c r="AC29">
        <f t="shared" ca="1" si="5"/>
        <v>2.4204083524567953E-2</v>
      </c>
      <c r="AD29" s="83">
        <f ca="1"/>
        <v>45313</v>
      </c>
      <c r="AE29" s="55">
        <f t="shared" ca="1" si="20"/>
        <v>45313</v>
      </c>
      <c r="AF29" s="55">
        <f t="shared" ca="1" si="21"/>
        <v>41.925787299077413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3.1500932768974308</v>
      </c>
      <c r="AK29" s="55">
        <f t="shared" ca="1" si="19"/>
        <v>2.0202043691119176</v>
      </c>
    </row>
    <row r="30" spans="1:37" s="55" customFormat="1">
      <c r="A30" s="83" t="str">
        <f ca="1"/>
        <v/>
      </c>
      <c r="B30" s="55">
        <f t="shared" ca="1" si="24"/>
        <v>0</v>
      </c>
      <c r="C30" s="78"/>
      <c r="D30" s="81"/>
      <c r="F30" s="74" t="str">
        <f t="shared" ref="F30:F43" ca="1" si="25">IFERROR(IF(A30=A29,"",A30),"")</f>
        <v/>
      </c>
      <c r="G30" s="76" t="str">
        <f ca="1">IFERROR(VLOOKUP(F30,'Model Interface'!$P$7:$U$496,6,FALSE),"")</f>
        <v/>
      </c>
      <c r="H30" s="55" t="str">
        <f t="shared" ref="H30:H43" ca="1" si="26">IF(F30="","",IF(F30&lt;=StartSchedullingDate,"Applied or Planned","Suggested"))</f>
        <v/>
      </c>
      <c r="R30" s="83">
        <f ca="1"/>
        <v>45242</v>
      </c>
      <c r="S30" s="55">
        <f t="shared" ca="1" si="11"/>
        <v>45242</v>
      </c>
      <c r="T30" s="55">
        <f t="shared" ca="1" si="0"/>
        <v>49.552696027562725</v>
      </c>
      <c r="U30" s="55">
        <f t="shared" ca="1" si="1"/>
        <v>2.465096164894196</v>
      </c>
      <c r="V30" s="55">
        <f t="shared" ca="1" si="2"/>
        <v>0</v>
      </c>
      <c r="W30" s="55">
        <f t="shared" ca="1" si="12"/>
        <v>0</v>
      </c>
      <c r="X30" s="55">
        <f t="shared" ca="1" si="13"/>
        <v>4.2497609813368378</v>
      </c>
      <c r="Y30" s="55">
        <f t="shared" ca="1" si="14"/>
        <v>-3.5089110909980001</v>
      </c>
      <c r="Z30">
        <f t="shared" ca="1" si="3"/>
        <v>108.49610775141311</v>
      </c>
      <c r="AA30">
        <f t="shared" ca="1" si="15"/>
        <v>0</v>
      </c>
      <c r="AB30">
        <f t="shared" ca="1" si="4"/>
        <v>0</v>
      </c>
      <c r="AC30">
        <f t="shared" ca="1" si="5"/>
        <v>2.7431750913829468E-2</v>
      </c>
      <c r="AD30" s="83">
        <f ca="1"/>
        <v>45314</v>
      </c>
      <c r="AE30" s="55">
        <f t="shared" ca="1" si="20"/>
        <v>45314</v>
      </c>
      <c r="AF30" s="55">
        <f t="shared" ca="1" si="21"/>
        <v>42.34364137069926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3.4684204613495031</v>
      </c>
      <c r="AK30" s="55">
        <f t="shared" ca="1" si="19"/>
        <v>2.1197312562816908</v>
      </c>
    </row>
    <row r="31" spans="1:37" s="55" customFormat="1">
      <c r="A31" s="83" t="str">
        <f ca="1"/>
        <v/>
      </c>
      <c r="B31" s="55">
        <f t="shared" ca="1" si="24"/>
        <v>0</v>
      </c>
      <c r="C31" s="78"/>
      <c r="D31" s="81"/>
      <c r="F31" s="74" t="str">
        <f t="shared" ca="1" si="25"/>
        <v/>
      </c>
      <c r="G31" s="76" t="str">
        <f ca="1">IFERROR(VLOOKUP(F31,'Model Interface'!$P$7:$U$496,6,FALSE),"")</f>
        <v/>
      </c>
      <c r="H31" s="55" t="str">
        <f t="shared" ca="1" si="26"/>
        <v/>
      </c>
      <c r="R31" s="83">
        <f ca="1"/>
        <v>45243</v>
      </c>
      <c r="S31" s="55">
        <f t="shared" ca="1" si="11"/>
        <v>45243</v>
      </c>
      <c r="T31" s="55">
        <f t="shared" ca="1" si="0"/>
        <v>49.573473882917845</v>
      </c>
      <c r="U31" s="55">
        <f t="shared" ca="1" si="1"/>
        <v>2.5632226378071459</v>
      </c>
      <c r="V31" s="55">
        <f t="shared" ca="1" si="2"/>
        <v>0</v>
      </c>
      <c r="W31" s="55">
        <f t="shared" ca="1" si="12"/>
        <v>0</v>
      </c>
      <c r="X31" s="55">
        <f t="shared" ca="1" si="13"/>
        <v>4.5807984117909317</v>
      </c>
      <c r="Y31" s="55">
        <f t="shared" ca="1" si="14"/>
        <v>-3.7210441931840204</v>
      </c>
      <c r="Z31">
        <f t="shared" ca="1" si="3"/>
        <v>107.55798603053506</v>
      </c>
      <c r="AA31">
        <f t="shared" ca="1" si="15"/>
        <v>0</v>
      </c>
      <c r="AB31">
        <f t="shared" ca="1" si="4"/>
        <v>0</v>
      </c>
      <c r="AC31">
        <f t="shared" ca="1" si="5"/>
        <v>3.0984633900880586E-2</v>
      </c>
      <c r="AD31" s="83">
        <f ca="1"/>
        <v>45315</v>
      </c>
      <c r="AE31" s="55">
        <f t="shared" ca="1" si="20"/>
        <v>45315</v>
      </c>
      <c r="AF31" s="55">
        <f t="shared" ca="1" si="21"/>
        <v>42.760855731086366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3.7948712210300553</v>
      </c>
      <c r="AK31" s="55">
        <f t="shared" ca="1" si="19"/>
        <v>2.210494856988241</v>
      </c>
    </row>
    <row r="32" spans="1:37" s="55" customFormat="1">
      <c r="A32" s="83" t="str">
        <f ca="1"/>
        <v/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45244</v>
      </c>
      <c r="S32" s="55">
        <f t="shared" ca="1" si="11"/>
        <v>45244</v>
      </c>
      <c r="T32" s="55">
        <f t="shared" ca="1" si="0"/>
        <v>49.598890696965277</v>
      </c>
      <c r="U32" s="55">
        <f t="shared" ca="1" si="1"/>
        <v>2.6645695239846763</v>
      </c>
      <c r="V32" s="55">
        <f t="shared" ca="1" si="2"/>
        <v>0</v>
      </c>
      <c r="W32" s="55">
        <f t="shared" ca="1" si="12"/>
        <v>0</v>
      </c>
      <c r="X32" s="55">
        <f t="shared" ca="1" si="13"/>
        <v>4.908457901218557</v>
      </c>
      <c r="Y32" s="55">
        <f t="shared" ca="1" si="14"/>
        <v>-3.9219399823866805</v>
      </c>
      <c r="Z32">
        <f t="shared" ca="1" si="3"/>
        <v>107.00026419211167</v>
      </c>
      <c r="AA32">
        <f t="shared" ca="1" si="15"/>
        <v>0</v>
      </c>
      <c r="AB32">
        <f t="shared" ca="1" si="4"/>
        <v>0</v>
      </c>
      <c r="AC32">
        <f t="shared" ca="1" si="5"/>
        <v>3.4957352834207485E-2</v>
      </c>
      <c r="AD32" s="83">
        <f ca="1"/>
        <v>45316</v>
      </c>
      <c r="AE32" s="55">
        <f t="shared" ca="1" si="20"/>
        <v>45316</v>
      </c>
      <c r="AF32" s="55">
        <f t="shared" ca="1" si="21"/>
        <v>43.183797647327673</v>
      </c>
      <c r="AG32" s="55">
        <f t="shared" ca="1" si="22"/>
        <v>3.4157513190582245</v>
      </c>
      <c r="AH32" s="55">
        <f t="shared" ca="1" si="23"/>
        <v>0</v>
      </c>
      <c r="AI32" s="55">
        <f t="shared" ca="1" si="17"/>
        <v>0</v>
      </c>
      <c r="AJ32" s="55">
        <f t="shared" ca="1" si="18"/>
        <v>4.1338332779041469</v>
      </c>
      <c r="AK32" s="55">
        <f t="shared" ca="1" si="19"/>
        <v>2.2944747163554577</v>
      </c>
    </row>
    <row r="33" spans="1:37" s="55" customFormat="1">
      <c r="A33" s="83" t="str">
        <f ca="1"/>
        <v/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45245</v>
      </c>
      <c r="S33" s="55">
        <f t="shared" ca="1" si="11"/>
        <v>45245</v>
      </c>
      <c r="T33" s="55">
        <f t="shared" ca="1" si="0"/>
        <v>49.621055640203735</v>
      </c>
      <c r="U33" s="55">
        <f t="shared" ca="1" si="1"/>
        <v>2.7738156334414161</v>
      </c>
      <c r="V33" s="55">
        <f t="shared" ca="1" si="2"/>
        <v>0</v>
      </c>
      <c r="W33" s="55">
        <f t="shared" ca="1" si="12"/>
        <v>0</v>
      </c>
      <c r="X33" s="55">
        <f t="shared" ca="1" si="13"/>
        <v>5.2353945851694217</v>
      </c>
      <c r="Y33" s="55">
        <f t="shared" ca="1" si="14"/>
        <v>-4.1174656136423406</v>
      </c>
      <c r="Z33">
        <f t="shared" ca="1" si="3"/>
        <v>103.98590404884557</v>
      </c>
      <c r="AA33">
        <f t="shared" ca="1" si="15"/>
        <v>0</v>
      </c>
      <c r="AB33">
        <f t="shared" ca="1" si="4"/>
        <v>0</v>
      </c>
      <c r="AC33">
        <f t="shared" ca="1" si="5"/>
        <v>3.9595114220933612E-2</v>
      </c>
      <c r="AD33" s="83">
        <f ca="1"/>
        <v>45317</v>
      </c>
      <c r="AE33" s="55">
        <f t="shared" ca="1" si="20"/>
        <v>45317</v>
      </c>
      <c r="AF33" s="55">
        <f t="shared" ca="1" si="21"/>
        <v>43.400420684952024</v>
      </c>
      <c r="AG33" s="55">
        <f t="shared" ca="1" si="22"/>
        <v>3.6051929149876547</v>
      </c>
      <c r="AH33" s="55">
        <f t="shared" ca="1" si="23"/>
        <v>0</v>
      </c>
      <c r="AI33" s="55">
        <f t="shared" ca="1" si="17"/>
        <v>0</v>
      </c>
      <c r="AJ33" s="55">
        <f t="shared" ca="1" si="18"/>
        <v>4.4626902166428035</v>
      </c>
      <c r="AK33" s="55">
        <f t="shared" ca="1" si="19"/>
        <v>2.3716824111705881</v>
      </c>
    </row>
    <row r="34" spans="1:37" s="55" customFormat="1" ht="15.75" thickBot="1">
      <c r="A34" s="83" t="str">
        <f ca="1"/>
        <v/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45246</v>
      </c>
      <c r="S34" s="55">
        <f t="shared" ca="1" si="11"/>
        <v>45246</v>
      </c>
      <c r="T34" s="55">
        <f t="shared" ca="1" si="0"/>
        <v>49.658825075159342</v>
      </c>
      <c r="U34" s="55">
        <f t="shared" ca="1" si="1"/>
        <v>2.8912426477623066</v>
      </c>
      <c r="V34" s="55">
        <f t="shared" ca="1" si="2"/>
        <v>0</v>
      </c>
      <c r="W34" s="55">
        <f t="shared" ca="1" si="12"/>
        <v>0</v>
      </c>
      <c r="X34" s="55">
        <f t="shared" ca="1" si="13"/>
        <v>5.58019089686612</v>
      </c>
      <c r="Y34" s="55">
        <f t="shared" ca="1" si="14"/>
        <v>-4.3070654760625464</v>
      </c>
      <c r="Z34">
        <f t="shared" ca="1" si="3"/>
        <v>106.42807562716521</v>
      </c>
      <c r="AA34">
        <f t="shared" ca="1" si="15"/>
        <v>0</v>
      </c>
      <c r="AB34">
        <f t="shared" ca="1" si="4"/>
        <v>0</v>
      </c>
      <c r="AC34">
        <f t="shared" ca="1" si="5"/>
        <v>4.5002700770002048E-2</v>
      </c>
      <c r="AD34" s="83">
        <f ca="1"/>
        <v>45318</v>
      </c>
      <c r="AE34" s="55">
        <f t="shared" ca="1" si="20"/>
        <v>45318</v>
      </c>
      <c r="AF34" s="55">
        <f t="shared" ca="1" si="21"/>
        <v>43.593912253932992</v>
      </c>
      <c r="AG34" s="55">
        <f t="shared" ca="1" si="22"/>
        <v>3.8002011352426024</v>
      </c>
      <c r="AH34" s="55">
        <f t="shared" ca="1" si="23"/>
        <v>0</v>
      </c>
      <c r="AI34" s="55">
        <f t="shared" ca="1" si="17"/>
        <v>0</v>
      </c>
      <c r="AJ34" s="55">
        <f t="shared" ca="1" si="18"/>
        <v>4.7821577480196309</v>
      </c>
      <c r="AK34" s="55">
        <f t="shared" ca="1" si="19"/>
        <v>2.440714669029675</v>
      </c>
    </row>
    <row r="35" spans="1:37" s="55" customFormat="1" ht="15.75" thickBot="1">
      <c r="A35" s="83" t="str">
        <f ca="1"/>
        <v/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45247</v>
      </c>
      <c r="S35" s="55">
        <f t="shared" ca="1" si="11"/>
        <v>45247</v>
      </c>
      <c r="T35" s="55">
        <f t="shared" ca="1" si="0"/>
        <v>49.690867294592771</v>
      </c>
      <c r="U35" s="55">
        <f t="shared" ca="1" si="1"/>
        <v>3.0087346923413034</v>
      </c>
      <c r="V35" s="55">
        <f t="shared" ca="1" si="2"/>
        <v>0</v>
      </c>
      <c r="W35" s="55">
        <f t="shared" ca="1" si="12"/>
        <v>0</v>
      </c>
      <c r="X35" s="55">
        <f t="shared" ca="1" si="13"/>
        <v>5.9046184413176226</v>
      </c>
      <c r="Y35" s="55">
        <f t="shared" ca="1" si="14"/>
        <v>-4.4819587565016246</v>
      </c>
      <c r="Z35">
        <f t="shared" ca="1" si="3"/>
        <v>103.71966252474544</v>
      </c>
      <c r="AA35">
        <f t="shared" ca="1" si="15"/>
        <v>0</v>
      </c>
      <c r="AB35">
        <f t="shared" ca="1" si="4"/>
        <v>0</v>
      </c>
      <c r="AC35">
        <f t="shared" ca="1" si="5"/>
        <v>5.0862111575444423E-2</v>
      </c>
      <c r="AD35" s="83">
        <f ca="1"/>
        <v>45319</v>
      </c>
      <c r="AE35" s="55">
        <f t="shared" ca="1" si="20"/>
        <v>45319</v>
      </c>
      <c r="AF35" s="55">
        <f t="shared" ca="1" si="21"/>
        <v>43.764898846819491</v>
      </c>
      <c r="AG35" s="55">
        <f t="shared" ca="1" si="22"/>
        <v>4.0079361684278938</v>
      </c>
      <c r="AH35" s="55">
        <f t="shared" ca="1" si="23"/>
        <v>0</v>
      </c>
      <c r="AI35" s="55">
        <f t="shared" ca="1" si="17"/>
        <v>0</v>
      </c>
      <c r="AJ35" s="55">
        <f t="shared" ca="1" si="18"/>
        <v>5.0967903857692187</v>
      </c>
      <c r="AK35" s="55">
        <f t="shared" ca="1" si="19"/>
        <v>2.5048036573518768</v>
      </c>
    </row>
    <row r="36" spans="1:37" s="55" customFormat="1" ht="15.75" thickBot="1">
      <c r="A36" s="83" t="str">
        <f ca="1"/>
        <v/>
      </c>
      <c r="B36" s="55">
        <f t="shared" ca="1" si="24"/>
        <v>0</v>
      </c>
      <c r="C36" s="141" t="s">
        <v>140</v>
      </c>
      <c r="D36" s="142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45248</v>
      </c>
      <c r="S36" s="55">
        <f t="shared" ca="1" si="11"/>
        <v>45248</v>
      </c>
      <c r="T36" s="55">
        <f t="shared" ca="1" si="0"/>
        <v>49.717885268020645</v>
      </c>
      <c r="U36" s="55">
        <f t="shared" ca="1" si="1"/>
        <v>3.1261504597325533</v>
      </c>
      <c r="V36" s="55">
        <f t="shared" ca="1" si="2"/>
        <v>0</v>
      </c>
      <c r="W36" s="55">
        <f t="shared" ca="1" si="12"/>
        <v>0</v>
      </c>
      <c r="X36" s="55">
        <f t="shared" ca="1" si="13"/>
        <v>6.2107281013024895</v>
      </c>
      <c r="Y36" s="55">
        <f t="shared" ca="1" si="14"/>
        <v>-4.6436346756673714</v>
      </c>
      <c r="Z36">
        <f t="shared" ca="1" si="3"/>
        <v>101.18022229306963</v>
      </c>
      <c r="AA36">
        <f t="shared" ca="1" si="15"/>
        <v>0</v>
      </c>
      <c r="AB36">
        <f t="shared" ca="1" si="4"/>
        <v>0</v>
      </c>
      <c r="AC36">
        <f t="shared" ca="1" si="5"/>
        <v>5.7175276244683743E-2</v>
      </c>
      <c r="AD36" s="83">
        <f ca="1"/>
        <v>45320</v>
      </c>
      <c r="AE36" s="55">
        <f t="shared" ca="1" si="20"/>
        <v>45320</v>
      </c>
      <c r="AF36" s="55">
        <f t="shared" ca="1" si="21"/>
        <v>43.916769254462331</v>
      </c>
      <c r="AG36" s="55">
        <f t="shared" ca="1" si="22"/>
        <v>4.2305120840678851</v>
      </c>
      <c r="AH36" s="55">
        <f t="shared" ca="1" si="23"/>
        <v>0</v>
      </c>
      <c r="AI36" s="55">
        <f t="shared" ca="1" si="17"/>
        <v>0</v>
      </c>
      <c r="AJ36" s="55">
        <f t="shared" ca="1" si="18"/>
        <v>5.4113047095268501</v>
      </c>
      <c r="AK36" s="55">
        <f t="shared" ca="1" si="19"/>
        <v>2.5647356568770716</v>
      </c>
    </row>
    <row r="37" spans="1:37" s="55" customFormat="1" ht="15.75" thickBot="1">
      <c r="A37" s="83" t="str">
        <f ca="1"/>
        <v/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45249</v>
      </c>
      <c r="S37" s="55">
        <f t="shared" ca="1" si="11"/>
        <v>45249</v>
      </c>
      <c r="T37" s="55">
        <f t="shared" ca="1" si="0"/>
        <v>49.73671306178872</v>
      </c>
      <c r="U37" s="55">
        <f t="shared" ca="1" si="1"/>
        <v>3.2476626244884366</v>
      </c>
      <c r="V37" s="55">
        <f t="shared" ca="1" si="2"/>
        <v>0</v>
      </c>
      <c r="W37" s="55">
        <f t="shared" ca="1" si="12"/>
        <v>0</v>
      </c>
      <c r="X37" s="55">
        <f t="shared" ca="1" si="13"/>
        <v>6.5041745043865626</v>
      </c>
      <c r="Y37" s="55">
        <f t="shared" ca="1" si="14"/>
        <v>-4.7967411202274848</v>
      </c>
      <c r="Z37">
        <f t="shared" ca="1" si="3"/>
        <v>97.447039382821075</v>
      </c>
      <c r="AA37">
        <f t="shared" ca="1" si="15"/>
        <v>0</v>
      </c>
      <c r="AB37">
        <f t="shared" ca="1" si="4"/>
        <v>0</v>
      </c>
      <c r="AC37">
        <f t="shared" ca="1" si="5"/>
        <v>6.4197722597438098E-2</v>
      </c>
      <c r="AD37" s="83">
        <f ca="1"/>
        <v>45321</v>
      </c>
      <c r="AE37" s="55">
        <f t="shared" ca="1" si="20"/>
        <v>45321</v>
      </c>
      <c r="AF37" s="55">
        <f t="shared" ca="1" si="21"/>
        <v>44.058570897115914</v>
      </c>
      <c r="AG37" s="55">
        <f t="shared" ca="1" si="22"/>
        <v>4.4690990318687511</v>
      </c>
      <c r="AH37" s="55">
        <f t="shared" ca="1" si="23"/>
        <v>0</v>
      </c>
      <c r="AI37" s="55">
        <f t="shared" ca="1" si="17"/>
        <v>0</v>
      </c>
      <c r="AJ37" s="55">
        <f t="shared" ca="1" si="18"/>
        <v>5.7355363956983316</v>
      </c>
      <c r="AK37" s="55">
        <f t="shared" ca="1" si="19"/>
        <v>2.6208925611600398</v>
      </c>
    </row>
    <row r="38" spans="1:37" s="55" customFormat="1">
      <c r="A38" s="83" t="str">
        <f ca="1"/>
        <v/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45250</v>
      </c>
      <c r="S38" s="55">
        <f t="shared" ca="1" si="11"/>
        <v>45250</v>
      </c>
      <c r="T38" s="55">
        <f t="shared" ca="1" si="0"/>
        <v>49.754594934422457</v>
      </c>
      <c r="U38" s="55">
        <f t="shared" ca="1" si="1"/>
        <v>3.3793467330896316</v>
      </c>
      <c r="V38" s="55">
        <f t="shared" ca="1" si="2"/>
        <v>0</v>
      </c>
      <c r="W38" s="55">
        <f t="shared" ca="1" si="12"/>
        <v>0</v>
      </c>
      <c r="X38" s="55">
        <f t="shared" ca="1" si="13"/>
        <v>6.8029976680607787</v>
      </c>
      <c r="Y38" s="55">
        <f t="shared" ca="1" si="14"/>
        <v>-4.945998302666772</v>
      </c>
      <c r="Z38">
        <f t="shared" ca="1" si="3"/>
        <v>95.923421441409261</v>
      </c>
      <c r="AA38">
        <f t="shared" ca="1" si="15"/>
        <v>0</v>
      </c>
      <c r="AB38">
        <f t="shared" ca="1" si="4"/>
        <v>0</v>
      </c>
      <c r="AC38">
        <f t="shared" ca="1" si="5"/>
        <v>7.2375573694048373E-2</v>
      </c>
      <c r="AD38" s="83">
        <f ca="1"/>
        <v>45322</v>
      </c>
      <c r="AE38" s="55">
        <f t="shared" ca="1" si="20"/>
        <v>45322</v>
      </c>
      <c r="AF38" s="55">
        <f t="shared" ca="1" si="21"/>
        <v>44.184939011272149</v>
      </c>
      <c r="AG38" s="55">
        <f t="shared" ca="1" si="22"/>
        <v>4.7198148554170203</v>
      </c>
      <c r="AH38" s="55">
        <f t="shared" ca="1" si="23"/>
        <v>0</v>
      </c>
      <c r="AI38" s="55">
        <f t="shared" ca="1" si="17"/>
        <v>0</v>
      </c>
      <c r="AJ38" s="55">
        <f t="shared" ca="1" si="18"/>
        <v>6.0609011094626251</v>
      </c>
      <c r="AK38" s="55">
        <f t="shared" ca="1" si="19"/>
        <v>2.6726117851002531</v>
      </c>
    </row>
    <row r="39" spans="1:37" s="55" customFormat="1">
      <c r="A39" s="83" t="str">
        <f ca="1"/>
        <v/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45251</v>
      </c>
      <c r="S39" s="55">
        <f t="shared" ca="1" si="11"/>
        <v>45251</v>
      </c>
      <c r="T39" s="55">
        <f t="shared" ca="1" si="0"/>
        <v>49.775085411854633</v>
      </c>
      <c r="U39" s="55">
        <f t="shared" ca="1" si="1"/>
        <v>3.5171843925025197</v>
      </c>
      <c r="V39" s="55">
        <f t="shared" ca="1" si="2"/>
        <v>0</v>
      </c>
      <c r="W39" s="55">
        <f t="shared" ca="1" si="12"/>
        <v>0</v>
      </c>
      <c r="X39" s="55">
        <f t="shared" ca="1" si="13"/>
        <v>7.1032256750623954</v>
      </c>
      <c r="Y39" s="55">
        <f t="shared" ca="1" si="14"/>
        <v>-5.0878981728233255</v>
      </c>
      <c r="Z39">
        <f t="shared" ca="1" si="3"/>
        <v>95.793256012023051</v>
      </c>
      <c r="AA39">
        <f t="shared" ca="1" si="15"/>
        <v>0</v>
      </c>
      <c r="AB39">
        <f t="shared" ca="1" si="4"/>
        <v>0</v>
      </c>
      <c r="AC39">
        <f t="shared" ca="1" si="5"/>
        <v>8.1571171089633882E-2</v>
      </c>
      <c r="AD39" s="83">
        <f ca="1"/>
        <v>45323</v>
      </c>
      <c r="AE39" s="55">
        <f t="shared" ca="1" si="20"/>
        <v>45323</v>
      </c>
      <c r="AF39" s="55">
        <f t="shared" ca="1" si="21"/>
        <v>44.282007284964251</v>
      </c>
      <c r="AG39" s="55">
        <f t="shared" ca="1" si="22"/>
        <v>4.9860598619195047</v>
      </c>
      <c r="AH39" s="55">
        <f t="shared" ca="1" si="23"/>
        <v>0</v>
      </c>
      <c r="AI39" s="55">
        <f t="shared" ca="1" si="17"/>
        <v>0</v>
      </c>
      <c r="AJ39" s="55">
        <f t="shared" ca="1" si="18"/>
        <v>6.3758901198114861</v>
      </c>
      <c r="AK39" s="55">
        <f t="shared" ca="1" si="19"/>
        <v>2.7209360549459802</v>
      </c>
    </row>
    <row r="40" spans="1:37" s="55" customFormat="1" ht="6.75" customHeight="1">
      <c r="A40" s="83" t="str">
        <f ca="1"/>
        <v/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45252</v>
      </c>
      <c r="S40" s="55">
        <f t="shared" ca="1" si="11"/>
        <v>45252</v>
      </c>
      <c r="T40" s="55">
        <f t="shared" ca="1" si="0"/>
        <v>49.806297305922648</v>
      </c>
      <c r="U40" s="55">
        <f t="shared" ca="1" si="1"/>
        <v>3.6637143309873066</v>
      </c>
      <c r="V40" s="55">
        <f t="shared" ca="1" si="2"/>
        <v>0</v>
      </c>
      <c r="W40" s="55">
        <f t="shared" ca="1" si="12"/>
        <v>0</v>
      </c>
      <c r="X40" s="55">
        <f t="shared" ca="1" si="13"/>
        <v>7.4171312489903229</v>
      </c>
      <c r="Y40" s="55">
        <f t="shared" ca="1" si="14"/>
        <v>-5.2240619141984483</v>
      </c>
      <c r="Z40">
        <f t="shared" ca="1" si="3"/>
        <v>98.183531187350297</v>
      </c>
      <c r="AA40">
        <f t="shared" ca="1" si="15"/>
        <v>0</v>
      </c>
      <c r="AB40">
        <f t="shared" ca="1" si="4"/>
        <v>0</v>
      </c>
      <c r="AC40">
        <f t="shared" ca="1" si="5"/>
        <v>9.2058484896159379E-2</v>
      </c>
      <c r="AD40" s="83">
        <f ca="1"/>
        <v>45324</v>
      </c>
      <c r="AE40" s="55">
        <f t="shared" ca="1" si="20"/>
        <v>45324</v>
      </c>
      <c r="AF40" s="55">
        <f t="shared" ca="1" si="21"/>
        <v>44.371021224249326</v>
      </c>
      <c r="AG40" s="55">
        <f t="shared" ca="1" si="22"/>
        <v>5.262532414829499</v>
      </c>
      <c r="AH40" s="55">
        <f t="shared" ca="1" si="23"/>
        <v>0</v>
      </c>
      <c r="AI40" s="55">
        <f t="shared" ca="1" si="17"/>
        <v>0</v>
      </c>
      <c r="AJ40" s="55">
        <f t="shared" ca="1" si="18"/>
        <v>6.6970426555060563</v>
      </c>
      <c r="AK40" s="55">
        <f t="shared" ca="1" si="19"/>
        <v>2.7652700114464741</v>
      </c>
    </row>
    <row r="41" spans="1:37" s="55" customFormat="1">
      <c r="A41" s="83" t="str">
        <f ca="1"/>
        <v/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45253</v>
      </c>
      <c r="S41" s="55">
        <f t="shared" ca="1" si="11"/>
        <v>45253</v>
      </c>
      <c r="T41" s="55">
        <f t="shared" ca="1" si="0"/>
        <v>49.837827781051892</v>
      </c>
      <c r="U41" s="55">
        <f t="shared" ca="1" si="1"/>
        <v>3.8196482784049732</v>
      </c>
      <c r="V41" s="55">
        <f t="shared" ca="1" si="2"/>
        <v>0</v>
      </c>
      <c r="W41" s="55">
        <f t="shared" ca="1" si="12"/>
        <v>0</v>
      </c>
      <c r="X41" s="55">
        <f t="shared" ca="1" si="13"/>
        <v>7.7351192131735393</v>
      </c>
      <c r="Y41" s="55">
        <f t="shared" ca="1" si="14"/>
        <v>-5.3545854558347568</v>
      </c>
      <c r="Z41">
        <f t="shared" ca="1" si="3"/>
        <v>97.604777337151148</v>
      </c>
      <c r="AA41">
        <f t="shared" ca="1" si="15"/>
        <v>0</v>
      </c>
      <c r="AB41">
        <f t="shared" ca="1" si="4"/>
        <v>0</v>
      </c>
      <c r="AC41">
        <f t="shared" ca="1" si="5"/>
        <v>0.10401683511095068</v>
      </c>
      <c r="AD41" s="83">
        <f ca="1"/>
        <v>45325</v>
      </c>
      <c r="AE41" s="55">
        <f t="shared" ca="1" si="20"/>
        <v>45325</v>
      </c>
      <c r="AF41" s="55">
        <f t="shared" ca="1" si="21"/>
        <v>44.429551455978512</v>
      </c>
      <c r="AG41" s="55">
        <f t="shared" ca="1" si="22"/>
        <v>5.5492796170688452</v>
      </c>
      <c r="AH41" s="55">
        <f t="shared" ca="1" si="23"/>
        <v>0</v>
      </c>
      <c r="AI41" s="55">
        <f t="shared" ca="1" si="17"/>
        <v>0</v>
      </c>
      <c r="AJ41" s="55">
        <f t="shared" ca="1" si="18"/>
        <v>7.0014494904935312</v>
      </c>
      <c r="AK41" s="55">
        <f t="shared" ca="1" si="19"/>
        <v>2.8061406104275308</v>
      </c>
    </row>
    <row r="42" spans="1:37" s="55" customFormat="1">
      <c r="A42" s="83" t="str">
        <f ca="1"/>
        <v/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45254</v>
      </c>
      <c r="S42" s="55">
        <f t="shared" ca="1" si="11"/>
        <v>45254</v>
      </c>
      <c r="T42" s="55">
        <f t="shared" ca="1" si="0"/>
        <v>49.865352630840121</v>
      </c>
      <c r="U42" s="55">
        <f t="shared" ca="1" si="1"/>
        <v>3.9794525220882782</v>
      </c>
      <c r="V42" s="55">
        <f t="shared" ca="1" si="2"/>
        <v>0</v>
      </c>
      <c r="W42" s="55">
        <f t="shared" ca="1" si="12"/>
        <v>0</v>
      </c>
      <c r="X42" s="55">
        <f t="shared" ca="1" si="13"/>
        <v>8.044144865258712</v>
      </c>
      <c r="Y42" s="55">
        <f t="shared" ca="1" si="14"/>
        <v>-5.4762820144483957</v>
      </c>
      <c r="Z42">
        <f t="shared" ca="1" si="3"/>
        <v>96.127983888231611</v>
      </c>
      <c r="AA42">
        <f t="shared" ca="1" si="15"/>
        <v>0</v>
      </c>
      <c r="AB42">
        <f t="shared" ca="1" si="4"/>
        <v>0</v>
      </c>
      <c r="AC42">
        <f t="shared" ca="1" si="5"/>
        <v>0.11710928144968348</v>
      </c>
      <c r="AD42" s="83">
        <f ca="1"/>
        <v>45326</v>
      </c>
      <c r="AE42" s="55">
        <f t="shared" ca="1" si="20"/>
        <v>45326</v>
      </c>
      <c r="AF42" s="55">
        <f t="shared" ca="1" si="21"/>
        <v>44.488700442407314</v>
      </c>
      <c r="AG42" s="55">
        <f t="shared" ca="1" si="22"/>
        <v>5.8378759101945876</v>
      </c>
      <c r="AH42" s="55">
        <f t="shared" ca="1" si="23"/>
        <v>0</v>
      </c>
      <c r="AI42" s="55">
        <f t="shared" ca="1" si="17"/>
        <v>0</v>
      </c>
      <c r="AJ42" s="55">
        <f t="shared" ca="1" si="18"/>
        <v>7.3123256210334135</v>
      </c>
      <c r="AK42" s="55">
        <f t="shared" ca="1" si="19"/>
        <v>2.8430097594421948</v>
      </c>
    </row>
    <row r="43" spans="1:37" s="55" customFormat="1" ht="15.75" thickBot="1">
      <c r="A43" s="83" t="str">
        <f ca="1"/>
        <v/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45255</v>
      </c>
      <c r="S43" s="55">
        <f t="shared" ca="1" si="11"/>
        <v>45255</v>
      </c>
      <c r="T43" s="55">
        <f t="shared" ca="1" si="0"/>
        <v>49.889717044000548</v>
      </c>
      <c r="U43" s="55">
        <f t="shared" ca="1" si="1"/>
        <v>4.1560647784590499</v>
      </c>
      <c r="V43" s="55">
        <f t="shared" ca="1" si="2"/>
        <v>0</v>
      </c>
      <c r="W43" s="55">
        <f t="shared" ca="1" si="12"/>
        <v>0</v>
      </c>
      <c r="X43" s="55">
        <f t="shared" ca="1" si="13"/>
        <v>8.3646942289062043</v>
      </c>
      <c r="Y43" s="55">
        <f t="shared" ca="1" si="14"/>
        <v>-5.5958547085646888</v>
      </c>
      <c r="Z43">
        <f t="shared" ca="1" si="3"/>
        <v>94.779413727568624</v>
      </c>
      <c r="AA43">
        <f t="shared" ca="1" si="15"/>
        <v>0</v>
      </c>
      <c r="AB43">
        <f t="shared" ca="1" si="4"/>
        <v>0</v>
      </c>
      <c r="AC43">
        <f t="shared" ca="1" si="5"/>
        <v>0.13253394788159889</v>
      </c>
      <c r="AD43" s="83">
        <f ca="1"/>
        <v>45327</v>
      </c>
      <c r="AE43" s="55">
        <f t="shared" ca="1" si="20"/>
        <v>45327</v>
      </c>
      <c r="AF43" s="55">
        <f t="shared" ca="1" si="21"/>
        <v>44.530977652961752</v>
      </c>
      <c r="AG43" s="55">
        <f t="shared" ca="1" si="22"/>
        <v>6.1515209220804161</v>
      </c>
      <c r="AH43" s="55">
        <f t="shared" ca="1" si="23"/>
        <v>0</v>
      </c>
      <c r="AI43" s="55">
        <f t="shared" ca="1" si="17"/>
        <v>0</v>
      </c>
      <c r="AJ43" s="55">
        <f t="shared" ca="1" si="18"/>
        <v>7.6322655322780495</v>
      </c>
      <c r="AK43" s="55">
        <f t="shared" ca="1" si="19"/>
        <v>2.8789920706378211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100" t="s">
        <v>151</v>
      </c>
      <c r="D44" s="102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45256</v>
      </c>
      <c r="S44" s="55">
        <f t="shared" ca="1" si="11"/>
        <v>45256</v>
      </c>
      <c r="T44" s="55">
        <f t="shared" ca="1" si="0"/>
        <v>49.905686774859916</v>
      </c>
      <c r="U44" s="55">
        <f t="shared" ca="1" si="1"/>
        <v>4.340832729463294</v>
      </c>
      <c r="V44" s="55">
        <f t="shared" ca="1" si="2"/>
        <v>0</v>
      </c>
      <c r="W44" s="55">
        <f t="shared" ca="1" si="12"/>
        <v>0</v>
      </c>
      <c r="X44" s="55">
        <f t="shared" ca="1" si="13"/>
        <v>8.6779664159049243</v>
      </c>
      <c r="Y44" s="55">
        <f t="shared" ca="1" si="14"/>
        <v>-5.708389213699796</v>
      </c>
      <c r="Z44">
        <f t="shared" ca="1" si="3"/>
        <v>92.362973260367482</v>
      </c>
      <c r="AA44">
        <f t="shared" ca="1" si="15"/>
        <v>0</v>
      </c>
      <c r="AB44">
        <f t="shared" ca="1" si="4"/>
        <v>0</v>
      </c>
      <c r="AC44">
        <f t="shared" ca="1" si="5"/>
        <v>0.14969517046231681</v>
      </c>
      <c r="AD44" s="83">
        <f ca="1"/>
        <v>45328</v>
      </c>
      <c r="AE44" s="55">
        <f t="shared" ca="1" si="20"/>
        <v>45328</v>
      </c>
      <c r="AF44" s="55">
        <f t="shared" ca="1" si="21"/>
        <v>44.536071609560956</v>
      </c>
      <c r="AG44" s="55">
        <f t="shared" ca="1" si="22"/>
        <v>6.4786468341126389</v>
      </c>
      <c r="AH44" s="55">
        <f t="shared" ca="1" si="23"/>
        <v>0</v>
      </c>
      <c r="AI44" s="55">
        <f t="shared" ca="1" si="17"/>
        <v>0</v>
      </c>
      <c r="AJ44" s="55">
        <f t="shared" ca="1" si="18"/>
        <v>7.9306625271802167</v>
      </c>
      <c r="AK44" s="55">
        <f t="shared" ca="1" si="19"/>
        <v>2.9128149443670814</v>
      </c>
    </row>
    <row r="45" spans="1:37" s="55" customFormat="1">
      <c r="R45" s="83">
        <f ca="1"/>
        <v>45257</v>
      </c>
      <c r="S45" s="55">
        <f t="shared" ca="1" si="11"/>
        <v>45257</v>
      </c>
      <c r="T45" s="55">
        <f t="shared" ca="1" si="0"/>
        <v>49.9225876858075</v>
      </c>
      <c r="U45" s="55">
        <f t="shared" ca="1" si="1"/>
        <v>4.5269215093920412</v>
      </c>
      <c r="V45" s="55">
        <f t="shared" ca="1" si="2"/>
        <v>0</v>
      </c>
      <c r="W45" s="55">
        <f t="shared" ca="1" si="12"/>
        <v>0</v>
      </c>
      <c r="X45" s="55">
        <f t="shared" ca="1" si="13"/>
        <v>8.9839471538502007</v>
      </c>
      <c r="Y45" s="55">
        <f t="shared" ca="1" si="14"/>
        <v>-5.8113802607687433</v>
      </c>
      <c r="Z45">
        <f t="shared" ca="1" si="3"/>
        <v>92.851760213874314</v>
      </c>
      <c r="AA45">
        <f t="shared" ca="1" si="15"/>
        <v>0</v>
      </c>
      <c r="AB45">
        <f t="shared" ca="1" si="4"/>
        <v>0</v>
      </c>
      <c r="AC45">
        <f t="shared" ca="1" si="5"/>
        <v>0.16797088320567555</v>
      </c>
      <c r="AD45" s="83">
        <f ca="1"/>
        <v>45329</v>
      </c>
      <c r="AE45" s="55">
        <f t="shared" ca="1" si="20"/>
        <v>45329</v>
      </c>
      <c r="AF45" s="55">
        <f t="shared" ca="1" si="21"/>
        <v>44.510544049578399</v>
      </c>
      <c r="AG45" s="55">
        <f t="shared" ca="1" si="22"/>
        <v>6.825034395579455</v>
      </c>
      <c r="AH45" s="55">
        <f t="shared" ca="1" si="23"/>
        <v>0</v>
      </c>
      <c r="AI45" s="55">
        <f t="shared" ca="1" si="17"/>
        <v>0</v>
      </c>
      <c r="AJ45" s="55">
        <f t="shared" ca="1" si="18"/>
        <v>8.2191380141033186</v>
      </c>
      <c r="AK45" s="55">
        <f t="shared" ca="1" si="19"/>
        <v>2.9451994589282355</v>
      </c>
    </row>
    <row r="46" spans="1:37" s="55" customFormat="1" ht="15.75" thickBot="1">
      <c r="C46" s="138" t="s">
        <v>155</v>
      </c>
      <c r="D46" s="138"/>
      <c r="E46" s="138"/>
      <c r="F46" s="138"/>
      <c r="G46" s="138"/>
      <c r="H46" s="138"/>
      <c r="R46" s="83">
        <f ca="1"/>
        <v>45258</v>
      </c>
      <c r="S46" s="55">
        <f t="shared" ca="1" si="11"/>
        <v>45258</v>
      </c>
      <c r="T46" s="55">
        <f t="shared" ca="1" si="0"/>
        <v>49.949655773442551</v>
      </c>
      <c r="U46" s="55">
        <f t="shared" ca="1" si="1"/>
        <v>4.7189949552103077</v>
      </c>
      <c r="V46" s="55">
        <f t="shared" ca="1" si="2"/>
        <v>0</v>
      </c>
      <c r="W46" s="55">
        <f t="shared" ca="1" si="12"/>
        <v>0</v>
      </c>
      <c r="X46" s="55">
        <f t="shared" ca="1" si="13"/>
        <v>9.2991544934668564</v>
      </c>
      <c r="Y46" s="55">
        <f t="shared" ca="1" si="14"/>
        <v>-5.9074460669320796</v>
      </c>
      <c r="Z46">
        <f t="shared" ca="1" si="3"/>
        <v>96.191207680441892</v>
      </c>
      <c r="AA46">
        <f t="shared" ca="1" si="15"/>
        <v>0</v>
      </c>
      <c r="AB46">
        <f t="shared" ca="1" si="4"/>
        <v>0</v>
      </c>
      <c r="AC46">
        <f t="shared" ca="1" si="5"/>
        <v>0.18779199787348508</v>
      </c>
      <c r="AD46" s="83">
        <f ca="1"/>
        <v>45330</v>
      </c>
      <c r="AE46" s="55">
        <f t="shared" ca="1" si="20"/>
        <v>45330</v>
      </c>
      <c r="AF46" s="55">
        <f t="shared" ca="1" si="21"/>
        <v>44.46465808204146</v>
      </c>
      <c r="AG46" s="55">
        <f t="shared" ca="1" si="22"/>
        <v>7.1886475842181783</v>
      </c>
      <c r="AH46" s="55">
        <f t="shared" ca="1" si="23"/>
        <v>0</v>
      </c>
      <c r="AI46" s="55">
        <f t="shared" ca="1" si="17"/>
        <v>0</v>
      </c>
      <c r="AJ46" s="55">
        <f t="shared" ca="1" si="18"/>
        <v>8.506021993712185</v>
      </c>
      <c r="AK46" s="55">
        <f t="shared" ca="1" si="19"/>
        <v>2.9760427004211536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45259</v>
      </c>
      <c r="S47" s="55">
        <f t="shared" ca="1" si="11"/>
        <v>45259</v>
      </c>
      <c r="T47" s="55">
        <f t="shared" ca="1" si="0"/>
        <v>49.97005163334174</v>
      </c>
      <c r="U47" s="55">
        <f t="shared" ca="1" si="1"/>
        <v>4.9209395571941004</v>
      </c>
      <c r="V47" s="55">
        <f t="shared" ca="1" si="2"/>
        <v>0</v>
      </c>
      <c r="W47" s="55">
        <f t="shared" ca="1" si="12"/>
        <v>0</v>
      </c>
      <c r="X47" s="55">
        <f t="shared" ca="1" si="13"/>
        <v>9.6122156251190169</v>
      </c>
      <c r="Y47" s="55">
        <f t="shared" ca="1" si="14"/>
        <v>-5.998166736701263</v>
      </c>
      <c r="Z47">
        <f t="shared" ca="1" si="3"/>
        <v>94.712456898820918</v>
      </c>
      <c r="AA47">
        <f t="shared" ca="1" si="15"/>
        <v>0</v>
      </c>
      <c r="AB47">
        <f t="shared" ca="1" si="4"/>
        <v>0</v>
      </c>
      <c r="AC47">
        <f t="shared" ca="1" si="5"/>
        <v>0.20956936669915502</v>
      </c>
      <c r="AD47" s="83">
        <f ca="1"/>
        <v>45331</v>
      </c>
      <c r="AE47" s="55">
        <f t="shared" ca="1" si="20"/>
        <v>45331</v>
      </c>
      <c r="AF47" s="55">
        <f t="shared" ca="1" si="21"/>
        <v>44.388957403785177</v>
      </c>
      <c r="AG47" s="55">
        <f t="shared" ca="1" si="22"/>
        <v>7.5745249759943265</v>
      </c>
      <c r="AH47" s="55">
        <f t="shared" ca="1" si="23"/>
        <v>0</v>
      </c>
      <c r="AI47" s="55">
        <f t="shared" ca="1" si="17"/>
        <v>0</v>
      </c>
      <c r="AJ47" s="55">
        <f t="shared" ca="1" si="18"/>
        <v>8.7869062653738048</v>
      </c>
      <c r="AK47" s="55">
        <f t="shared" ca="1" si="19"/>
        <v>3.0053351422794012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45260</v>
      </c>
      <c r="S48" s="55">
        <f t="shared" ca="1" si="11"/>
        <v>45260</v>
      </c>
      <c r="T48" s="55">
        <f t="shared" ca="1" si="0"/>
        <v>49.984540568051607</v>
      </c>
      <c r="U48" s="55">
        <f t="shared" ca="1" si="1"/>
        <v>5.1366892222341454</v>
      </c>
      <c r="V48" s="55">
        <f t="shared" ca="1" si="2"/>
        <v>0</v>
      </c>
      <c r="W48" s="55">
        <f t="shared" ca="1" si="12"/>
        <v>0</v>
      </c>
      <c r="X48" s="55">
        <f t="shared" ca="1" si="13"/>
        <v>9.9289470825318986</v>
      </c>
      <c r="Y48" s="55">
        <f t="shared" ca="1" si="14"/>
        <v>-6.084659594364231</v>
      </c>
      <c r="Z48">
        <f t="shared" ca="1" si="3"/>
        <v>93.692632924745894</v>
      </c>
      <c r="AA48">
        <f t="shared" ca="1" si="15"/>
        <v>0</v>
      </c>
      <c r="AB48">
        <f t="shared" ca="1" si="4"/>
        <v>0</v>
      </c>
      <c r="AC48">
        <f t="shared" ca="1" si="5"/>
        <v>0.2337502880623113</v>
      </c>
      <c r="AD48" s="83">
        <f ca="1"/>
        <v>45332</v>
      </c>
      <c r="AE48" s="55">
        <f t="shared" ca="1" si="20"/>
        <v>45332</v>
      </c>
      <c r="AF48" s="55">
        <f t="shared" ca="1" si="21"/>
        <v>44.285129572976111</v>
      </c>
      <c r="AG48" s="55">
        <f t="shared" ca="1" si="22"/>
        <v>7.9910372365186468</v>
      </c>
      <c r="AH48" s="55">
        <f t="shared" ca="1" si="23"/>
        <v>0</v>
      </c>
      <c r="AI48" s="55">
        <f t="shared" ca="1" si="17"/>
        <v>0</v>
      </c>
      <c r="AJ48" s="55">
        <f t="shared" ca="1" si="18"/>
        <v>9.0713741757642623</v>
      </c>
      <c r="AK48" s="55">
        <f t="shared" ca="1" si="19"/>
        <v>3.0335516616041982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45261</v>
      </c>
      <c r="S49" s="55">
        <f t="shared" ca="1" si="11"/>
        <v>45261</v>
      </c>
      <c r="T49" s="55">
        <f t="shared" ca="1" si="0"/>
        <v>49.983225824461684</v>
      </c>
      <c r="U49" s="55">
        <f t="shared" ca="1" si="1"/>
        <v>5.3665635164363223</v>
      </c>
      <c r="V49" s="55">
        <f t="shared" ca="1" si="2"/>
        <v>0</v>
      </c>
      <c r="W49" s="55">
        <f t="shared" ca="1" si="12"/>
        <v>0</v>
      </c>
      <c r="X49" s="55">
        <f t="shared" ca="1" si="13"/>
        <v>10.239578881981259</v>
      </c>
      <c r="Y49" s="55">
        <f t="shared" ca="1" si="14"/>
        <v>-6.1667318432013349</v>
      </c>
      <c r="Z49">
        <f t="shared" ca="1" si="3"/>
        <v>90.079914557805978</v>
      </c>
      <c r="AA49">
        <f t="shared" ca="1" si="15"/>
        <v>0</v>
      </c>
      <c r="AB49">
        <f t="shared" ca="1" si="4"/>
        <v>0</v>
      </c>
      <c r="AC49">
        <f t="shared" ca="1" si="5"/>
        <v>0.26036321945265267</v>
      </c>
      <c r="AD49" s="83">
        <f ca="1"/>
        <v>45333</v>
      </c>
      <c r="AE49" s="55">
        <f t="shared" ca="1" si="20"/>
        <v>45333</v>
      </c>
      <c r="AF49" s="55">
        <f t="shared" ca="1" si="21"/>
        <v>44.159498031100519</v>
      </c>
      <c r="AG49" s="55">
        <f t="shared" ca="1" si="22"/>
        <v>8.435163814611041</v>
      </c>
      <c r="AH49" s="55">
        <f t="shared" ca="1" si="23"/>
        <v>0</v>
      </c>
      <c r="AI49" s="55">
        <f t="shared" ca="1" si="17"/>
        <v>0</v>
      </c>
      <c r="AJ49" s="55">
        <f t="shared" ca="1" si="18"/>
        <v>9.3620202638587031</v>
      </c>
      <c r="AK49" s="55">
        <f t="shared" ca="1" si="19"/>
        <v>3.0614006097265616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45262</v>
      </c>
      <c r="S50" s="55">
        <f t="shared" ca="1" si="11"/>
        <v>45262</v>
      </c>
      <c r="T50" s="55">
        <f t="shared" ca="1" si="0"/>
        <v>49.995014744764994</v>
      </c>
      <c r="U50" s="55">
        <f t="shared" ca="1" si="1"/>
        <v>5.6150671639228351</v>
      </c>
      <c r="V50" s="55">
        <f t="shared" ca="1" si="2"/>
        <v>0</v>
      </c>
      <c r="W50" s="55">
        <f t="shared" ca="1" si="12"/>
        <v>0</v>
      </c>
      <c r="X50" s="55">
        <f t="shared" ca="1" si="13"/>
        <v>10.578373181605819</v>
      </c>
      <c r="Y50" s="55">
        <f t="shared" ca="1" si="14"/>
        <v>-6.2452335750360701</v>
      </c>
      <c r="Z50">
        <f t="shared" ca="1" si="3"/>
        <v>95.036636043281135</v>
      </c>
      <c r="AA50">
        <f t="shared" ca="1" si="15"/>
        <v>0</v>
      </c>
      <c r="AB50">
        <f t="shared" ca="1" si="4"/>
        <v>0</v>
      </c>
      <c r="AC50">
        <f t="shared" ca="1" si="5"/>
        <v>0.28986981459153727</v>
      </c>
      <c r="AD50" s="83">
        <f ca="1"/>
        <v>45334</v>
      </c>
      <c r="AE50" s="55">
        <f t="shared" ca="1" si="20"/>
        <v>45334</v>
      </c>
      <c r="AF50" s="55">
        <f t="shared" ca="1" si="21"/>
        <v>44.014400972755546</v>
      </c>
      <c r="AG50" s="55">
        <f t="shared" ca="1" si="22"/>
        <v>8.9002382917793703</v>
      </c>
      <c r="AH50" s="55">
        <f t="shared" ca="1" si="23"/>
        <v>0</v>
      </c>
      <c r="AI50" s="55">
        <f t="shared" ca="1" si="17"/>
        <v>0</v>
      </c>
      <c r="AJ50" s="55">
        <f t="shared" ca="1" si="18"/>
        <v>9.6547699772379598</v>
      </c>
      <c r="AK50" s="55">
        <f t="shared" ca="1" si="19"/>
        <v>3.0886283151706579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45263</v>
      </c>
      <c r="S51" s="55">
        <f t="shared" ca="1" si="11"/>
        <v>45263</v>
      </c>
      <c r="T51" s="55">
        <f t="shared" ca="1" si="0"/>
        <v>49.988199338036083</v>
      </c>
      <c r="U51" s="55">
        <f t="shared" ca="1" si="1"/>
        <v>5.8808507534429291</v>
      </c>
      <c r="V51" s="55">
        <f t="shared" ca="1" si="2"/>
        <v>0</v>
      </c>
      <c r="W51" s="55">
        <f t="shared" ca="1" si="12"/>
        <v>0</v>
      </c>
      <c r="X51" s="55">
        <f t="shared" ca="1" si="13"/>
        <v>10.911527207290387</v>
      </c>
      <c r="Y51" s="55">
        <f t="shared" ca="1" si="14"/>
        <v>-6.319419417929458</v>
      </c>
      <c r="Z51">
        <f t="shared" ca="1" si="3"/>
        <v>91.433088037205721</v>
      </c>
      <c r="AA51">
        <f t="shared" ca="1" si="15"/>
        <v>0</v>
      </c>
      <c r="AB51">
        <f t="shared" ca="1" si="4"/>
        <v>0</v>
      </c>
      <c r="AC51">
        <f t="shared" ca="1" si="5"/>
        <v>0.32196532456109772</v>
      </c>
      <c r="AD51" s="83">
        <f ca="1"/>
        <v>45335</v>
      </c>
      <c r="AE51" s="55">
        <f t="shared" ca="1" si="20"/>
        <v>45335</v>
      </c>
      <c r="AF51" s="55">
        <f t="shared" ca="1" si="21"/>
        <v>43.832476039939344</v>
      </c>
      <c r="AG51" s="55">
        <f t="shared" ca="1" si="22"/>
        <v>9.3827576138366062</v>
      </c>
      <c r="AH51" s="55">
        <f t="shared" ca="1" si="23"/>
        <v>0</v>
      </c>
      <c r="AI51" s="55">
        <f t="shared" ca="1" si="17"/>
        <v>0</v>
      </c>
      <c r="AJ51" s="55">
        <f t="shared" ca="1" si="18"/>
        <v>9.9311242582996435</v>
      </c>
      <c r="AK51" s="55">
        <f t="shared" ca="1" si="19"/>
        <v>3.1128684233500072</v>
      </c>
    </row>
    <row r="52" spans="2:37" s="55" customFormat="1">
      <c r="C52" s="61" t="s">
        <v>5</v>
      </c>
      <c r="D52" s="68">
        <f>IF(E52="",CurrentEstablishDate-15,E52)</f>
        <v>45230</v>
      </c>
      <c r="E52" s="67">
        <v>45230</v>
      </c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45264</v>
      </c>
      <c r="S52" s="55">
        <f t="shared" ca="1" si="11"/>
        <v>45264</v>
      </c>
      <c r="T52" s="55">
        <f t="shared" ca="1" si="0"/>
        <v>50.000222680719133</v>
      </c>
      <c r="U52" s="55">
        <f t="shared" ca="1" si="1"/>
        <v>6.1593756526928027</v>
      </c>
      <c r="V52" s="55">
        <f t="shared" ca="1" si="2"/>
        <v>0</v>
      </c>
      <c r="W52" s="55">
        <f t="shared" ca="1" si="12"/>
        <v>0</v>
      </c>
      <c r="X52" s="55">
        <f t="shared" ca="1" si="13"/>
        <v>11.270829545570027</v>
      </c>
      <c r="Y52" s="55">
        <f t="shared" ca="1" si="14"/>
        <v>-6.3881735142761764</v>
      </c>
      <c r="Z52">
        <f t="shared" ca="1" si="3"/>
        <v>98.03876496675656</v>
      </c>
      <c r="AA52">
        <f t="shared" ca="1" si="15"/>
        <v>0</v>
      </c>
      <c r="AB52">
        <f t="shared" ca="1" si="4"/>
        <v>0</v>
      </c>
      <c r="AC52">
        <f t="shared" ca="1" si="5"/>
        <v>0.35583621861281051</v>
      </c>
      <c r="AD52" s="83">
        <f ca="1"/>
        <v>45336</v>
      </c>
      <c r="AE52" s="55">
        <f t="shared" ca="1" si="20"/>
        <v>45336</v>
      </c>
      <c r="AF52" s="55">
        <f t="shared" ca="1" si="21"/>
        <v>43.621434253605187</v>
      </c>
      <c r="AG52" s="55">
        <f t="shared" ca="1" si="22"/>
        <v>9.8907747101403203</v>
      </c>
      <c r="AH52" s="55">
        <f t="shared" ca="1" si="23"/>
        <v>0</v>
      </c>
      <c r="AI52" s="55">
        <f t="shared" ca="1" si="17"/>
        <v>0</v>
      </c>
      <c r="AJ52" s="55">
        <f t="shared" ca="1" si="18"/>
        <v>10.204953549757271</v>
      </c>
      <c r="AK52" s="55">
        <f t="shared" ca="1" si="19"/>
        <v>3.1360144418619349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45265</v>
      </c>
      <c r="S53" s="55">
        <f t="shared" ca="1" si="11"/>
        <v>45265</v>
      </c>
      <c r="T53" s="55">
        <f t="shared" ca="1" si="0"/>
        <v>50.018812801768576</v>
      </c>
      <c r="U53" s="55">
        <f t="shared" ca="1" si="1"/>
        <v>6.4456406649931282</v>
      </c>
      <c r="V53" s="55">
        <f t="shared" ca="1" si="2"/>
        <v>0</v>
      </c>
      <c r="W53" s="55">
        <f t="shared" ca="1" si="12"/>
        <v>0</v>
      </c>
      <c r="X53" s="55">
        <f t="shared" ca="1" si="13"/>
        <v>11.63832071942249</v>
      </c>
      <c r="Y53" s="55">
        <f t="shared" ca="1" si="14"/>
        <v>-6.4508095547788713</v>
      </c>
      <c r="Z53">
        <f t="shared" ca="1" si="3"/>
        <v>101.40099888869445</v>
      </c>
      <c r="AA53">
        <f t="shared" ca="1" si="15"/>
        <v>0</v>
      </c>
      <c r="AB53">
        <f t="shared" ca="1" si="4"/>
        <v>0</v>
      </c>
      <c r="AC53">
        <f t="shared" ca="1" si="5"/>
        <v>0.39052247986347965</v>
      </c>
      <c r="AD53" s="83">
        <f ca="1"/>
        <v>45337</v>
      </c>
      <c r="AE53" s="55">
        <f t="shared" ca="1" si="20"/>
        <v>45337</v>
      </c>
      <c r="AF53" s="55">
        <f t="shared" ca="1" si="21"/>
        <v>43.390761287648971</v>
      </c>
      <c r="AG53" s="55">
        <f t="shared" ca="1" si="22"/>
        <v>10.415781952914802</v>
      </c>
      <c r="AH53" s="55">
        <f t="shared" ca="1" si="23"/>
        <v>0</v>
      </c>
      <c r="AI53" s="55">
        <f t="shared" ca="1" si="17"/>
        <v>0</v>
      </c>
      <c r="AJ53" s="55">
        <f t="shared" ca="1" si="18"/>
        <v>10.47677469219175</v>
      </c>
      <c r="AK53" s="55">
        <f t="shared" ca="1" si="19"/>
        <v>3.1585275762457208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45266</v>
      </c>
      <c r="S54" s="55">
        <f t="shared" ca="1" si="11"/>
        <v>45266</v>
      </c>
      <c r="T54" s="55">
        <f t="shared" ca="1" si="0"/>
        <v>50.031082681393173</v>
      </c>
      <c r="U54" s="55">
        <f t="shared" ca="1" si="1"/>
        <v>6.744829557132773</v>
      </c>
      <c r="V54" s="55">
        <f t="shared" ca="1" si="2"/>
        <v>0</v>
      </c>
      <c r="W54" s="55">
        <f t="shared" ca="1" si="12"/>
        <v>0</v>
      </c>
      <c r="X54" s="55">
        <f t="shared" ca="1" si="13"/>
        <v>12.007540823074422</v>
      </c>
      <c r="Y54" s="55">
        <f t="shared" ca="1" si="14"/>
        <v>-6.5085708866665613</v>
      </c>
      <c r="Z54">
        <f t="shared" ca="1" si="3"/>
        <v>101.63090670645917</v>
      </c>
      <c r="AA54">
        <f t="shared" ca="1" si="15"/>
        <v>0</v>
      </c>
      <c r="AB54">
        <f t="shared" ca="1" si="4"/>
        <v>0</v>
      </c>
      <c r="AC54">
        <f t="shared" ca="1" si="5"/>
        <v>0.42625228239074081</v>
      </c>
      <c r="AD54" s="83">
        <f ca="1"/>
        <v>45338</v>
      </c>
      <c r="AE54" s="55">
        <f t="shared" ca="1" si="20"/>
        <v>45338</v>
      </c>
      <c r="AF54" s="55">
        <f t="shared" ca="1" si="21"/>
        <v>43.131452495781573</v>
      </c>
      <c r="AG54" s="55">
        <f t="shared" ca="1" si="22"/>
        <v>10.963069095815463</v>
      </c>
      <c r="AH54" s="55">
        <f t="shared" ca="1" si="23"/>
        <v>0</v>
      </c>
      <c r="AI54" s="55">
        <f t="shared" ca="1" si="17"/>
        <v>0</v>
      </c>
      <c r="AJ54" s="55">
        <f t="shared" ca="1" si="18"/>
        <v>10.743401994526822</v>
      </c>
      <c r="AK54" s="55">
        <f t="shared" ca="1" si="19"/>
        <v>3.1798786249439099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45267</v>
      </c>
      <c r="S55" s="55">
        <f t="shared" ca="1" si="11"/>
        <v>45267</v>
      </c>
      <c r="T55" s="55">
        <f t="shared" ca="1" si="0"/>
        <v>50.039065546014314</v>
      </c>
      <c r="U55" s="55">
        <f t="shared" ca="1" si="1"/>
        <v>7.0424726098095913</v>
      </c>
      <c r="V55" s="55">
        <f t="shared" ca="1" si="2"/>
        <v>0</v>
      </c>
      <c r="W55" s="55">
        <f t="shared" ca="1" si="12"/>
        <v>0</v>
      </c>
      <c r="X55" s="55">
        <f t="shared" ca="1" si="13"/>
        <v>12.364381926228466</v>
      </c>
      <c r="Y55" s="55">
        <f t="shared" ca="1" si="14"/>
        <v>-6.5597860725226482</v>
      </c>
      <c r="Z55">
        <f t="shared" ca="1" si="3"/>
        <v>102.30075877432068</v>
      </c>
      <c r="AA55">
        <f t="shared" ca="1" si="15"/>
        <v>0</v>
      </c>
      <c r="AB55">
        <f t="shared" ca="1" si="4"/>
        <v>0</v>
      </c>
      <c r="AC55">
        <f t="shared" ca="1" si="5"/>
        <v>0.46092104011713142</v>
      </c>
      <c r="AD55" s="83">
        <f ca="1"/>
        <v>45339</v>
      </c>
      <c r="AE55" s="55">
        <f t="shared" ca="1" si="20"/>
        <v>45339</v>
      </c>
      <c r="AF55" s="55">
        <f t="shared" ca="1" si="21"/>
        <v>42.860753946413915</v>
      </c>
      <c r="AG55" s="55">
        <f t="shared" ca="1" si="22"/>
        <v>11.53821010370895</v>
      </c>
      <c r="AH55" s="55">
        <f t="shared" ca="1" si="23"/>
        <v>0</v>
      </c>
      <c r="AI55" s="55">
        <f t="shared" ca="1" si="17"/>
        <v>0</v>
      </c>
      <c r="AJ55" s="55">
        <f t="shared" ca="1" si="18"/>
        <v>11.02510234529125</v>
      </c>
      <c r="AK55" s="55">
        <f t="shared" ca="1" si="19"/>
        <v>3.2026207327053089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-7 kg N/ha to the current crop</v>
      </c>
      <c r="R56" s="83">
        <f ca="1"/>
        <v>45268</v>
      </c>
      <c r="S56" s="55">
        <f t="shared" ca="1" si="11"/>
        <v>45268</v>
      </c>
      <c r="T56" s="55">
        <f t="shared" ca="1" si="0"/>
        <v>50.028350192031951</v>
      </c>
      <c r="U56" s="55">
        <f t="shared" ca="1" si="1"/>
        <v>7.3505258602773296</v>
      </c>
      <c r="V56" s="55">
        <f t="shared" ca="1" si="2"/>
        <v>0</v>
      </c>
      <c r="W56" s="55">
        <f t="shared" ca="1" si="12"/>
        <v>0</v>
      </c>
      <c r="X56" s="55">
        <f t="shared" ca="1" si="13"/>
        <v>12.708581749615609</v>
      </c>
      <c r="Y56" s="55">
        <f t="shared" ca="1" si="14"/>
        <v>-6.6066479994244158</v>
      </c>
      <c r="Z56">
        <f t="shared" ca="1" si="3"/>
        <v>99.343107401235699</v>
      </c>
      <c r="AA56">
        <f t="shared" ca="1" si="15"/>
        <v>0</v>
      </c>
      <c r="AB56">
        <f t="shared" ca="1" si="4"/>
        <v>0</v>
      </c>
      <c r="AC56">
        <f t="shared" ca="1" si="5"/>
        <v>0.49557438788143987</v>
      </c>
      <c r="AD56" s="83">
        <f ca="1"/>
        <v>45340</v>
      </c>
      <c r="AE56" s="55">
        <f t="shared" ca="1" si="20"/>
        <v>45340</v>
      </c>
      <c r="AF56" s="55">
        <f t="shared" ca="1" si="21"/>
        <v>42.549892716602628</v>
      </c>
      <c r="AG56" s="55">
        <f t="shared" ca="1" si="22"/>
        <v>12.147022669002242</v>
      </c>
      <c r="AH56" s="55">
        <f t="shared" ca="1" si="23"/>
        <v>0</v>
      </c>
      <c r="AI56" s="55">
        <f t="shared" ca="1" si="17"/>
        <v>0</v>
      </c>
      <c r="AJ56" s="55">
        <f t="shared" ca="1" si="18"/>
        <v>11.301621849859862</v>
      </c>
      <c r="AK56" s="55">
        <f t="shared" ca="1" si="19"/>
        <v>3.2240525636187023</v>
      </c>
    </row>
    <row r="57" spans="2:37" s="55" customFormat="1" ht="15.75" thickBot="1">
      <c r="C57" s="138" t="s">
        <v>156</v>
      </c>
      <c r="D57" s="138"/>
      <c r="E57" s="138"/>
      <c r="F57" s="138"/>
      <c r="G57" s="138"/>
      <c r="H57" s="138"/>
      <c r="R57" s="83">
        <f ca="1"/>
        <v>45269</v>
      </c>
      <c r="S57" s="55">
        <f t="shared" ca="1" si="11"/>
        <v>45269</v>
      </c>
      <c r="T57" s="55">
        <f t="shared" ca="1" si="0"/>
        <v>49.987248353115298</v>
      </c>
      <c r="U57" s="55">
        <f t="shared" ca="1" si="1"/>
        <v>7.6842798875521403</v>
      </c>
      <c r="V57" s="55">
        <f t="shared" ca="1" si="2"/>
        <v>0</v>
      </c>
      <c r="W57" s="55">
        <f t="shared" ca="1" si="12"/>
        <v>0</v>
      </c>
      <c r="X57" s="55">
        <f t="shared" ca="1" si="13"/>
        <v>13.045477404667468</v>
      </c>
      <c r="Y57" s="55">
        <f t="shared" ca="1" si="14"/>
        <v>-6.6508914661181082</v>
      </c>
      <c r="Z57">
        <f t="shared" ca="1" si="3"/>
        <v>94.000048992468066</v>
      </c>
      <c r="AA57">
        <f t="shared" ca="1" si="15"/>
        <v>0</v>
      </c>
      <c r="AB57">
        <f t="shared" ca="1" si="4"/>
        <v>0</v>
      </c>
      <c r="AC57">
        <f t="shared" ca="1" si="5"/>
        <v>0.53142607735776826</v>
      </c>
      <c r="AD57" s="83">
        <f ca="1"/>
        <v>45341</v>
      </c>
      <c r="AE57" s="55">
        <f t="shared" ca="1" si="20"/>
        <v>45341</v>
      </c>
      <c r="AF57" s="55">
        <f t="shared" ca="1" si="21"/>
        <v>42.20181164727942</v>
      </c>
      <c r="AG57" s="55">
        <f t="shared" ca="1" si="22"/>
        <v>12.785677481966445</v>
      </c>
      <c r="AH57" s="55">
        <f t="shared" ca="1" si="23"/>
        <v>0</v>
      </c>
      <c r="AI57" s="55">
        <f t="shared" ca="1" si="17"/>
        <v>0</v>
      </c>
      <c r="AJ57" s="55">
        <f t="shared" ca="1" si="18"/>
        <v>11.572000510355299</v>
      </c>
      <c r="AK57" s="55">
        <f t="shared" ca="1" si="19"/>
        <v>3.2442476467642596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45270</v>
      </c>
      <c r="S58" s="55">
        <f t="shared" ca="1" si="11"/>
        <v>45270</v>
      </c>
      <c r="T58" s="55">
        <f t="shared" ca="1" si="0"/>
        <v>49.931444276839912</v>
      </c>
      <c r="U58" s="55">
        <f t="shared" ca="1" si="1"/>
        <v>8.0291421691045137</v>
      </c>
      <c r="V58" s="55">
        <f t="shared" ca="1" si="2"/>
        <v>0</v>
      </c>
      <c r="W58" s="55">
        <f t="shared" ca="1" si="12"/>
        <v>0</v>
      </c>
      <c r="X58" s="55">
        <f t="shared" ca="1" si="13"/>
        <v>13.374579096699417</v>
      </c>
      <c r="Y58" s="55">
        <f t="shared" ca="1" si="14"/>
        <v>-6.6909349528730697</v>
      </c>
      <c r="Z58">
        <f t="shared" ca="1" si="3"/>
        <v>92.446068623552165</v>
      </c>
      <c r="AA58">
        <f t="shared" ca="1" si="15"/>
        <v>0</v>
      </c>
      <c r="AB58">
        <f t="shared" ca="1" si="4"/>
        <v>0</v>
      </c>
      <c r="AC58">
        <f t="shared" ca="1" si="5"/>
        <v>0.56639181279629691</v>
      </c>
      <c r="AD58" s="83">
        <f ca="1"/>
        <v>45342</v>
      </c>
      <c r="AE58" s="55">
        <f t="shared" ca="1" si="20"/>
        <v>45342</v>
      </c>
      <c r="AF58" s="55">
        <f t="shared" ca="1" si="21"/>
        <v>41.830491879479467</v>
      </c>
      <c r="AG58" s="55">
        <f t="shared" ca="1" si="22"/>
        <v>13.459399484146871</v>
      </c>
      <c r="AH58" s="55">
        <f t="shared" ca="1" si="23"/>
        <v>0</v>
      </c>
      <c r="AI58" s="55">
        <f t="shared" ca="1" si="17"/>
        <v>0</v>
      </c>
      <c r="AJ58" s="55">
        <f t="shared" ca="1" si="18"/>
        <v>11.853381062962367</v>
      </c>
      <c r="AK58" s="55">
        <f t="shared" ca="1" si="19"/>
        <v>3.2652693285376655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45271</v>
      </c>
      <c r="S59" s="55">
        <f t="shared" ca="1" si="11"/>
        <v>45271</v>
      </c>
      <c r="T59" s="55">
        <f t="shared" ca="1" si="0"/>
        <v>49.839857538655878</v>
      </c>
      <c r="U59" s="55">
        <f t="shared" ca="1" si="1"/>
        <v>8.4047754875304097</v>
      </c>
      <c r="V59" s="55">
        <f t="shared" ca="1" si="2"/>
        <v>0</v>
      </c>
      <c r="W59" s="55">
        <f t="shared" ca="1" si="12"/>
        <v>0</v>
      </c>
      <c r="X59" s="55">
        <f t="shared" ca="1" si="13"/>
        <v>13.696231292770333</v>
      </c>
      <c r="Y59" s="55">
        <f t="shared" ca="1" si="14"/>
        <v>-6.7285405687021171</v>
      </c>
      <c r="Z59">
        <f t="shared" ca="1" si="3"/>
        <v>86.569479443552936</v>
      </c>
      <c r="AA59">
        <f t="shared" ca="1" si="15"/>
        <v>0</v>
      </c>
      <c r="AB59">
        <f t="shared" ca="1" si="4"/>
        <v>0</v>
      </c>
      <c r="AC59">
        <f t="shared" ca="1" si="5"/>
        <v>0.60190125576926456</v>
      </c>
      <c r="AD59" s="83">
        <f ca="1"/>
        <v>45343</v>
      </c>
      <c r="AE59" s="55">
        <f t="shared" ca="1" si="20"/>
        <v>45343</v>
      </c>
      <c r="AF59" s="55">
        <f t="shared" ca="1" si="21"/>
        <v>41.43057328519324</v>
      </c>
      <c r="AG59" s="55">
        <f t="shared" ca="1" si="22"/>
        <v>14.162364741494017</v>
      </c>
      <c r="AH59" s="55">
        <f t="shared" ca="1" si="23"/>
        <v>0</v>
      </c>
      <c r="AI59" s="55">
        <f t="shared" ca="1" si="17"/>
        <v>0</v>
      </c>
      <c r="AJ59" s="55">
        <f t="shared" ca="1" si="18"/>
        <v>12.135674249383776</v>
      </c>
      <c r="AK59" s="55">
        <f t="shared" ca="1" si="19"/>
        <v>3.2860228051771685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45272</v>
      </c>
      <c r="S60" s="55">
        <f t="shared" ca="1" si="11"/>
        <v>45272</v>
      </c>
      <c r="T60" s="55">
        <f t="shared" ca="1" si="0"/>
        <v>49.71901375433039</v>
      </c>
      <c r="U60" s="55">
        <f t="shared" ca="1" si="1"/>
        <v>8.8115757527600262</v>
      </c>
      <c r="V60" s="55">
        <f t="shared" ca="1" si="2"/>
        <v>0</v>
      </c>
      <c r="W60" s="55">
        <f t="shared" ca="1" si="12"/>
        <v>0</v>
      </c>
      <c r="X60" s="55">
        <f t="shared" ca="1" si="13"/>
        <v>14.01705111492938</v>
      </c>
      <c r="Y60" s="55">
        <f t="shared" ca="1" si="14"/>
        <v>-6.7634039099570389</v>
      </c>
      <c r="Z60">
        <f t="shared" ca="1" si="3"/>
        <v>83.067811491505793</v>
      </c>
      <c r="AA60">
        <f t="shared" ca="1" si="15"/>
        <v>0</v>
      </c>
      <c r="AB60">
        <f t="shared" ca="1" si="4"/>
        <v>0</v>
      </c>
      <c r="AC60">
        <f t="shared" ca="1" si="5"/>
        <v>0.63723921697828889</v>
      </c>
      <c r="AD60" s="83">
        <f ca="1"/>
        <v>45344</v>
      </c>
      <c r="AE60" s="55">
        <f t="shared" ca="1" si="20"/>
        <v>45344</v>
      </c>
      <c r="AF60" s="55">
        <f t="shared" ca="1" si="21"/>
        <v>40.994710554694038</v>
      </c>
      <c r="AG60" s="55">
        <f t="shared" ca="1" si="22"/>
        <v>14.887806832644074</v>
      </c>
      <c r="AH60" s="55">
        <f t="shared" ca="1" si="23"/>
        <v>0</v>
      </c>
      <c r="AI60" s="55">
        <f t="shared" ca="1" si="17"/>
        <v>0</v>
      </c>
      <c r="AJ60" s="55">
        <f t="shared" ca="1" si="18"/>
        <v>12.406074499067223</v>
      </c>
      <c r="AK60" s="55">
        <f t="shared" ca="1" si="19"/>
        <v>3.3052019161445783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45273</v>
      </c>
      <c r="S61" s="55">
        <f t="shared" ca="1" si="11"/>
        <v>45273</v>
      </c>
      <c r="T61" s="55">
        <f t="shared" ca="1" si="0"/>
        <v>49.57229661277006</v>
      </c>
      <c r="U61" s="55">
        <f t="shared" ca="1" si="1"/>
        <v>9.2276943483063647</v>
      </c>
      <c r="V61" s="55">
        <f t="shared" ca="1" si="2"/>
        <v>0</v>
      </c>
      <c r="W61" s="55">
        <f t="shared" ca="1" si="12"/>
        <v>0</v>
      </c>
      <c r="X61" s="55">
        <f t="shared" ca="1" si="13"/>
        <v>14.317031320176685</v>
      </c>
      <c r="Y61" s="55">
        <f t="shared" ca="1" si="14"/>
        <v>-6.7939826612183341</v>
      </c>
      <c r="Z61">
        <f t="shared" ca="1" si="3"/>
        <v>78.615893793778369</v>
      </c>
      <c r="AA61">
        <f t="shared" ca="1" si="15"/>
        <v>0</v>
      </c>
      <c r="AB61">
        <f t="shared" ca="1" si="4"/>
        <v>0</v>
      </c>
      <c r="AC61">
        <f t="shared" ca="1" si="5"/>
        <v>0.6700537683467882</v>
      </c>
      <c r="AD61" s="83">
        <f ca="1"/>
        <v>45345</v>
      </c>
      <c r="AE61" s="55">
        <f t="shared" ca="1" si="20"/>
        <v>45345</v>
      </c>
      <c r="AF61" s="55">
        <f t="shared" ca="1" si="21"/>
        <v>40.527740870571996</v>
      </c>
      <c r="AG61" s="55">
        <f t="shared" ca="1" si="22"/>
        <v>15.646265995866125</v>
      </c>
      <c r="AH61" s="55">
        <f t="shared" ca="1" si="23"/>
        <v>0</v>
      </c>
      <c r="AI61" s="55">
        <f t="shared" ca="1" si="17"/>
        <v>0</v>
      </c>
      <c r="AJ61" s="55">
        <f t="shared" ca="1" si="18"/>
        <v>12.678490178244017</v>
      </c>
      <c r="AK61" s="55">
        <f t="shared" ca="1" si="19"/>
        <v>3.3242757160677936</v>
      </c>
    </row>
    <row r="62" spans="2:37" s="55" customFormat="1">
      <c r="C62" s="61" t="s">
        <v>4</v>
      </c>
      <c r="D62" s="68">
        <f>IF(E62="",CurrentHarvestDate+15,E62)</f>
        <v>45316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45274</v>
      </c>
      <c r="S62" s="55">
        <f t="shared" ca="1" si="11"/>
        <v>45274</v>
      </c>
      <c r="T62" s="55">
        <f t="shared" ca="1" si="0"/>
        <v>49.416777801312683</v>
      </c>
      <c r="U62" s="55">
        <f t="shared" ca="1" si="1"/>
        <v>9.658183213397475</v>
      </c>
      <c r="V62" s="55">
        <f t="shared" ca="1" si="2"/>
        <v>0</v>
      </c>
      <c r="W62" s="55">
        <f t="shared" ca="1" si="12"/>
        <v>0</v>
      </c>
      <c r="X62" s="55">
        <f t="shared" ca="1" si="13"/>
        <v>14.618953908313227</v>
      </c>
      <c r="Y62" s="55">
        <f t="shared" ca="1" si="14"/>
        <v>-6.8209351957211393</v>
      </c>
      <c r="Z62">
        <f t="shared" ca="1" si="3"/>
        <v>79.741640540037025</v>
      </c>
      <c r="AA62">
        <f t="shared" ca="1" si="15"/>
        <v>0</v>
      </c>
      <c r="AB62">
        <f t="shared" ca="1" si="4"/>
        <v>0</v>
      </c>
      <c r="AC62">
        <f t="shared" ca="1" si="5"/>
        <v>0.70058262044173403</v>
      </c>
      <c r="AD62" s="83">
        <f ca="1"/>
        <v>45346</v>
      </c>
      <c r="AE62" s="55">
        <f t="shared" ca="1" si="20"/>
        <v>45346</v>
      </c>
      <c r="AF62" s="55">
        <f t="shared" ca="1" si="21"/>
        <v>40.031564228414737</v>
      </c>
      <c r="AG62" s="55">
        <f t="shared" ca="1" si="22"/>
        <v>16.415198634900928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12.934019040871021</v>
      </c>
      <c r="AK62" s="55">
        <f t="shared" ca="1" si="19"/>
        <v>3.3415028503183342</v>
      </c>
    </row>
    <row r="63" spans="2:37" s="55" customFormat="1">
      <c r="C63" s="61" t="s">
        <v>5</v>
      </c>
      <c r="D63" s="68">
        <f>IF(E63="",FollowingEstablishDate+120,E63)</f>
        <v>45436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45275</v>
      </c>
      <c r="S63" s="55">
        <f t="shared" ca="1" si="11"/>
        <v>45275</v>
      </c>
      <c r="T63" s="55">
        <f t="shared" ca="1" si="0"/>
        <v>49.24083217321332</v>
      </c>
      <c r="U63" s="55">
        <f t="shared" ca="1" si="1"/>
        <v>10.099873038021652</v>
      </c>
      <c r="V63" s="55">
        <f t="shared" ca="1" si="2"/>
        <v>0</v>
      </c>
      <c r="W63" s="55">
        <f t="shared" ca="1" si="12"/>
        <v>0</v>
      </c>
      <c r="X63" s="55">
        <f t="shared" ca="1" si="13"/>
        <v>14.908141669809705</v>
      </c>
      <c r="Y63" s="55">
        <f t="shared" ca="1" si="14"/>
        <v>-6.8443787606928037</v>
      </c>
      <c r="Z63">
        <f t="shared" ca="1" si="3"/>
        <v>77.022726599063617</v>
      </c>
      <c r="AA63">
        <f t="shared" ca="1" si="15"/>
        <v>0</v>
      </c>
      <c r="AB63">
        <f t="shared" ca="1" si="4"/>
        <v>0</v>
      </c>
      <c r="AC63">
        <f t="shared" ca="1" si="5"/>
        <v>0.72850948521441439</v>
      </c>
      <c r="AD63" s="83">
        <f ca="1"/>
        <v>45347</v>
      </c>
      <c r="AE63" s="55">
        <f t="shared" ca="1" si="20"/>
        <v>45347</v>
      </c>
      <c r="AF63" s="55">
        <f t="shared" ca="1" si="21"/>
        <v>39.508857728163989</v>
      </c>
      <c r="AG63" s="55">
        <f t="shared" ca="1" si="22"/>
        <v>17.188654088907484</v>
      </c>
      <c r="AH63" s="55">
        <f t="shared" ca="1" si="23"/>
        <v>0</v>
      </c>
      <c r="AI63" s="55">
        <f t="shared" ca="1" si="17"/>
        <v>0</v>
      </c>
      <c r="AJ63" s="55">
        <f t="shared" ca="1" si="18"/>
        <v>13.169647619489766</v>
      </c>
      <c r="AK63" s="55">
        <f t="shared" ca="1" si="19"/>
        <v>3.3566232254553996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45276</v>
      </c>
      <c r="S64" s="55">
        <f t="shared" ca="1" si="11"/>
        <v>45276</v>
      </c>
      <c r="T64" s="55">
        <f t="shared" ca="1" si="0"/>
        <v>49.061295391137349</v>
      </c>
      <c r="U64" s="55">
        <f t="shared" ca="1" si="1"/>
        <v>10.562805081161891</v>
      </c>
      <c r="V64" s="55">
        <f t="shared" ca="1" si="2"/>
        <v>0</v>
      </c>
      <c r="W64" s="55">
        <f t="shared" ca="1" si="12"/>
        <v>0</v>
      </c>
      <c r="X64" s="55">
        <f t="shared" ca="1" si="13"/>
        <v>15.212109665671695</v>
      </c>
      <c r="Y64" s="55">
        <f t="shared" ca="1" si="14"/>
        <v>-6.8649514954905282</v>
      </c>
      <c r="Z64">
        <f t="shared" ca="1" si="3"/>
        <v>80.825340813652517</v>
      </c>
      <c r="AA64">
        <f t="shared" ca="1" si="15"/>
        <v>0</v>
      </c>
      <c r="AB64">
        <f t="shared" ca="1" si="4"/>
        <v>0</v>
      </c>
      <c r="AC64">
        <f t="shared" ca="1" si="5"/>
        <v>0.75438416872049996</v>
      </c>
      <c r="AD64" s="83">
        <f ca="1"/>
        <v>45348</v>
      </c>
      <c r="AE64" s="55">
        <f t="shared" ca="1" si="20"/>
        <v>45348</v>
      </c>
      <c r="AF64" s="55">
        <f t="shared" ca="1" si="21"/>
        <v>38.943958235015998</v>
      </c>
      <c r="AG64" s="55">
        <f t="shared" ca="1" si="22"/>
        <v>18.001347770466403</v>
      </c>
      <c r="AH64" s="55">
        <f t="shared" ca="1" si="23"/>
        <v>0</v>
      </c>
      <c r="AI64" s="55">
        <f t="shared" ca="1" si="17"/>
        <v>0</v>
      </c>
      <c r="AJ64" s="55">
        <f t="shared" ca="1" si="18"/>
        <v>13.402937181827681</v>
      </c>
      <c r="AK64" s="55">
        <f t="shared" ca="1" si="19"/>
        <v>3.3711278515284144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45277</v>
      </c>
      <c r="S65" s="55">
        <f t="shared" ca="1" si="11"/>
        <v>45277</v>
      </c>
      <c r="T65" s="55">
        <f t="shared" ca="1" si="0"/>
        <v>48.872948748917793</v>
      </c>
      <c r="U65" s="55">
        <f t="shared" ca="1" si="1"/>
        <v>11.045830286332979</v>
      </c>
      <c r="V65" s="55">
        <f t="shared" ca="1" si="2"/>
        <v>0</v>
      </c>
      <c r="W65" s="55">
        <f t="shared" ca="1" si="12"/>
        <v>0</v>
      </c>
      <c r="X65" s="55">
        <f t="shared" ca="1" si="13"/>
        <v>15.524548560576275</v>
      </c>
      <c r="Y65" s="55">
        <f t="shared" ca="1" si="14"/>
        <v>-6.8827118274435772</v>
      </c>
      <c r="Z65">
        <f t="shared" ca="1" si="3"/>
        <v>82.968648835406654</v>
      </c>
      <c r="AA65">
        <f t="shared" ca="1" si="15"/>
        <v>0</v>
      </c>
      <c r="AB65">
        <f t="shared" ca="1" si="4"/>
        <v>0</v>
      </c>
      <c r="AC65">
        <f t="shared" ca="1" si="5"/>
        <v>0.77803940750565859</v>
      </c>
      <c r="AD65" s="83">
        <f ca="1"/>
        <v>45349</v>
      </c>
      <c r="AE65" s="55">
        <f t="shared" ca="1" si="20"/>
        <v>45349</v>
      </c>
      <c r="AF65" s="55">
        <f t="shared" ca="1" si="21"/>
        <v>38.333538267616319</v>
      </c>
      <c r="AG65" s="55">
        <f t="shared" ca="1" si="22"/>
        <v>18.854891507966922</v>
      </c>
      <c r="AH65" s="55">
        <f t="shared" ca="1" si="23"/>
        <v>0</v>
      </c>
      <c r="AI65" s="55">
        <f t="shared" ca="1" si="17"/>
        <v>0</v>
      </c>
      <c r="AJ65" s="55">
        <f t="shared" ca="1" si="18"/>
        <v>13.63235294645277</v>
      </c>
      <c r="AK65" s="55">
        <f t="shared" ca="1" si="19"/>
        <v>3.3848358570041639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45278</v>
      </c>
      <c r="S66" s="55">
        <f t="shared" ca="1" si="11"/>
        <v>45278</v>
      </c>
      <c r="T66" s="55">
        <f t="shared" ca="1" si="0"/>
        <v>48.680272876127923</v>
      </c>
      <c r="U66" s="55">
        <f t="shared" ca="1" si="1"/>
        <v>11.534955980335999</v>
      </c>
      <c r="V66" s="55">
        <f t="shared" ca="1" si="2"/>
        <v>0</v>
      </c>
      <c r="W66" s="55">
        <f t="shared" ca="1" si="12"/>
        <v>0</v>
      </c>
      <c r="X66" s="55">
        <f t="shared" ca="1" si="13"/>
        <v>15.835756828202374</v>
      </c>
      <c r="Y66" s="55">
        <f t="shared" ca="1" si="14"/>
        <v>-6.8974702738565261</v>
      </c>
      <c r="Z66">
        <f t="shared" ca="1" si="3"/>
        <v>84.718780940569118</v>
      </c>
      <c r="AA66">
        <f t="shared" ca="1" si="15"/>
        <v>0</v>
      </c>
      <c r="AB66">
        <f t="shared" ca="1" si="4"/>
        <v>0</v>
      </c>
      <c r="AC66">
        <f t="shared" ca="1" si="5"/>
        <v>0.79890471013625752</v>
      </c>
      <c r="AD66" s="83">
        <f ca="1"/>
        <v>45350</v>
      </c>
      <c r="AE66" s="55">
        <f t="shared" ca="1" si="20"/>
        <v>45350</v>
      </c>
      <c r="AF66" s="55">
        <f t="shared" ca="1" si="21"/>
        <v>37.706742811615172</v>
      </c>
      <c r="AG66" s="55">
        <f t="shared" ca="1" si="22"/>
        <v>19.726322896718358</v>
      </c>
      <c r="AH66" s="55">
        <f t="shared" ca="1" si="23"/>
        <v>0</v>
      </c>
      <c r="AI66" s="55">
        <f t="shared" ca="1" si="17"/>
        <v>0</v>
      </c>
      <c r="AJ66" s="55">
        <f t="shared" ca="1" si="18"/>
        <v>13.862994202464431</v>
      </c>
      <c r="AK66" s="55">
        <f t="shared" ca="1" si="19"/>
        <v>3.3988305337427911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143 kg N/ha</v>
      </c>
      <c r="R67" s="83">
        <f ca="1"/>
        <v>45279</v>
      </c>
      <c r="S67" s="55">
        <f t="shared" ca="1" si="11"/>
        <v>45279</v>
      </c>
      <c r="T67" s="55">
        <f t="shared" ca="1" si="0"/>
        <v>48.47129628361936</v>
      </c>
      <c r="U67" s="55">
        <f t="shared" ca="1" si="1"/>
        <v>12.049979597810831</v>
      </c>
      <c r="V67" s="55">
        <f t="shared" ca="1" si="2"/>
        <v>0</v>
      </c>
      <c r="W67" s="55">
        <f t="shared" ca="1" si="12"/>
        <v>0</v>
      </c>
      <c r="X67" s="55">
        <f t="shared" ca="1" si="13"/>
        <v>16.154241246893601</v>
      </c>
      <c r="Y67" s="55">
        <f t="shared" ca="1" si="14"/>
        <v>-6.9099076675814839</v>
      </c>
      <c r="Z67">
        <f t="shared" ca="1" si="3"/>
        <v>85.564441731431032</v>
      </c>
      <c r="AA67">
        <f t="shared" ca="1" si="15"/>
        <v>0</v>
      </c>
      <c r="AB67">
        <f t="shared" ca="1" si="4"/>
        <v>0</v>
      </c>
      <c r="AC67">
        <f t="shared" ca="1" si="5"/>
        <v>0.81793352498600447</v>
      </c>
      <c r="AD67" s="83">
        <f ca="1"/>
        <v>45351</v>
      </c>
      <c r="AE67" s="55">
        <f t="shared" ca="1" si="20"/>
        <v>45351</v>
      </c>
      <c r="AF67" s="55">
        <f t="shared" ca="1" si="21"/>
        <v>37.051882324727821</v>
      </c>
      <c r="AG67" s="55">
        <f t="shared" ca="1" si="22"/>
        <v>20.637073832334963</v>
      </c>
      <c r="AH67" s="55">
        <f t="shared" ca="1" si="23"/>
        <v>0</v>
      </c>
      <c r="AI67" s="55">
        <f t="shared" ca="1" si="17"/>
        <v>0</v>
      </c>
      <c r="AJ67" s="55">
        <f t="shared" ca="1" si="18"/>
        <v>14.103935289812256</v>
      </c>
      <c r="AK67" s="55">
        <f t="shared" ca="1" si="19"/>
        <v>3.4137798951242138</v>
      </c>
    </row>
    <row r="68" spans="2:37" ht="15.75" thickBot="1">
      <c r="C68" s="140" t="s">
        <v>187</v>
      </c>
      <c r="D68" s="140"/>
      <c r="E68" s="140"/>
      <c r="F68" s="140"/>
      <c r="G68" s="140"/>
      <c r="H68" s="140"/>
      <c r="R68" s="83">
        <f ca="1"/>
        <v>45280</v>
      </c>
      <c r="S68" s="55">
        <f t="shared" ca="1" si="11"/>
        <v>45280</v>
      </c>
      <c r="T68" s="55">
        <f t="shared" ca="1" si="0"/>
        <v>48.219104614757384</v>
      </c>
      <c r="U68" s="55">
        <f t="shared" ca="1" si="1"/>
        <v>12.596704646346192</v>
      </c>
      <c r="V68" s="55">
        <f t="shared" ca="1" si="2"/>
        <v>0</v>
      </c>
      <c r="W68" s="55">
        <f t="shared" ca="1" si="12"/>
        <v>0</v>
      </c>
      <c r="X68" s="55">
        <f t="shared" ca="1" si="13"/>
        <v>16.459014151158875</v>
      </c>
      <c r="Y68" s="55">
        <f t="shared" ca="1" si="14"/>
        <v>-6.9201471921733777</v>
      </c>
      <c r="Z68">
        <f t="shared" ca="1" si="3"/>
        <v>79.648420199921219</v>
      </c>
      <c r="AA68">
        <f t="shared" ca="1" si="15"/>
        <v>0</v>
      </c>
      <c r="AB68">
        <f t="shared" ca="1" si="4"/>
        <v>0</v>
      </c>
      <c r="AC68">
        <f t="shared" ca="1" si="5"/>
        <v>0.835280569920125</v>
      </c>
      <c r="AD68" s="83">
        <f ca="1"/>
        <v>45352</v>
      </c>
      <c r="AE68" s="55">
        <f t="shared" ca="1" si="20"/>
        <v>45352</v>
      </c>
      <c r="AF68" s="55">
        <f t="shared" ca="1" si="21"/>
        <v>36.338243821152588</v>
      </c>
      <c r="AG68" s="55">
        <f t="shared" ca="1" si="22"/>
        <v>21.612363006518638</v>
      </c>
      <c r="AH68" s="55">
        <f t="shared" ca="1" si="23"/>
        <v>0</v>
      </c>
      <c r="AI68" s="55">
        <f t="shared" ca="1" si="17"/>
        <v>0</v>
      </c>
      <c r="AJ68" s="55">
        <f t="shared" ca="1" si="18"/>
        <v>14.350583327049849</v>
      </c>
      <c r="AK68" s="55">
        <f t="shared" ca="1" si="19"/>
        <v>3.4287825284950708</v>
      </c>
    </row>
    <row r="69" spans="2:37">
      <c r="C69" s="61"/>
      <c r="D69" s="88"/>
      <c r="E69" s="105"/>
      <c r="R69" s="83">
        <f ca="1"/>
        <v>45281</v>
      </c>
      <c r="S69" s="55">
        <f t="shared" ca="1" si="11"/>
        <v>45281</v>
      </c>
      <c r="T69" s="55">
        <f t="shared" ca="1" si="0"/>
        <v>47.948435874381033</v>
      </c>
      <c r="U69" s="55">
        <f t="shared" ca="1" si="1"/>
        <v>13.163829276877234</v>
      </c>
      <c r="V69" s="55">
        <f t="shared" ca="1" si="2"/>
        <v>0</v>
      </c>
      <c r="W69" s="55">
        <f t="shared" ca="1" si="12"/>
        <v>0</v>
      </c>
      <c r="X69" s="55">
        <f t="shared" ca="1" si="13"/>
        <v>16.763393730972378</v>
      </c>
      <c r="Y69" s="55">
        <f t="shared" ca="1" si="14"/>
        <v>-6.9280708818321912</v>
      </c>
      <c r="Z69">
        <f t="shared" ca="1" si="3"/>
        <v>79.532084207302489</v>
      </c>
      <c r="AA69">
        <f t="shared" ca="1" si="15"/>
        <v>0</v>
      </c>
      <c r="AB69">
        <f t="shared" ca="1" si="4"/>
        <v>0</v>
      </c>
      <c r="AC69">
        <f t="shared" ca="1" si="5"/>
        <v>0.85062589591074822</v>
      </c>
      <c r="AD69" s="83">
        <f ca="1"/>
        <v>45353</v>
      </c>
      <c r="AE69" s="55">
        <f t="shared" ca="1" si="20"/>
        <v>45353</v>
      </c>
      <c r="AF69" s="55">
        <f t="shared" ca="1" si="21"/>
        <v>35.587847417965769</v>
      </c>
      <c r="AG69" s="55">
        <f t="shared" ca="1" si="22"/>
        <v>22.631601314336837</v>
      </c>
      <c r="AH69" s="55">
        <f t="shared" ca="1" si="23"/>
        <v>0</v>
      </c>
      <c r="AI69" s="55">
        <f t="shared" ca="1" si="17"/>
        <v>0</v>
      </c>
      <c r="AJ69" s="55">
        <f t="shared" ca="1" si="18"/>
        <v>14.60395057410906</v>
      </c>
      <c r="AK69" s="55">
        <f t="shared" ca="1" si="19"/>
        <v>3.4442571860672393</v>
      </c>
    </row>
    <row r="70" spans="2:37">
      <c r="C70" s="61"/>
      <c r="D70" s="84"/>
      <c r="E70" s="69"/>
      <c r="R70" s="83">
        <f ca="1"/>
        <v>45282</v>
      </c>
      <c r="S70" s="55">
        <f t="shared" ca="1" si="11"/>
        <v>45282</v>
      </c>
      <c r="T70" s="55">
        <f t="shared" ca="1" si="0"/>
        <v>47.639079440153772</v>
      </c>
      <c r="U70" s="55">
        <f t="shared" ca="1" si="1"/>
        <v>13.75976219483257</v>
      </c>
      <c r="V70" s="55">
        <f t="shared" ca="1" si="2"/>
        <v>0</v>
      </c>
      <c r="W70" s="55">
        <f t="shared" ca="1" si="12"/>
        <v>0</v>
      </c>
      <c r="X70" s="55">
        <f t="shared" ca="1" si="13"/>
        <v>17.055773482858694</v>
      </c>
      <c r="Y70" s="55">
        <f t="shared" ca="1" si="14"/>
        <v>-6.9338741499904284</v>
      </c>
      <c r="Z70">
        <f t="shared" ca="1" si="3"/>
        <v>74.769563556696056</v>
      </c>
      <c r="AA70">
        <f t="shared" ca="1" si="15"/>
        <v>0</v>
      </c>
      <c r="AB70">
        <f t="shared" ca="1" si="4"/>
        <v>0</v>
      </c>
      <c r="AC70">
        <f t="shared" ca="1" si="5"/>
        <v>0.86429938900550241</v>
      </c>
      <c r="AD70" s="83">
        <f ca="1"/>
        <v>45354</v>
      </c>
      <c r="AE70" s="55">
        <f t="shared" ca="1" si="20"/>
        <v>45354</v>
      </c>
      <c r="AF70" s="55">
        <f t="shared" ca="1" si="21"/>
        <v>34.857151992323139</v>
      </c>
      <c r="AG70" s="55">
        <f t="shared" ca="1" si="22"/>
        <v>23.634609784062846</v>
      </c>
      <c r="AH70" s="55">
        <f t="shared" ca="1" si="23"/>
        <v>0</v>
      </c>
      <c r="AI70" s="55">
        <f t="shared" ca="1" si="17"/>
        <v>0</v>
      </c>
      <c r="AJ70" s="55">
        <f t="shared" ca="1" si="18"/>
        <v>14.860115500220706</v>
      </c>
      <c r="AK70" s="55">
        <f t="shared" ca="1" si="19"/>
        <v>3.4604053040389768</v>
      </c>
    </row>
    <row r="71" spans="2:37">
      <c r="C71" s="61"/>
      <c r="D71" s="84"/>
      <c r="E71" s="69"/>
      <c r="R71" s="83">
        <f ca="1"/>
        <v>45283</v>
      </c>
      <c r="S71" s="55">
        <f t="shared" ca="1" si="11"/>
        <v>45283</v>
      </c>
      <c r="T71" s="55">
        <f t="shared" ca="1" si="0"/>
        <v>47.310939464697633</v>
      </c>
      <c r="U71" s="55">
        <f t="shared" ca="1" si="1"/>
        <v>14.358083915434344</v>
      </c>
      <c r="V71" s="55">
        <f t="shared" ca="1" si="2"/>
        <v>0</v>
      </c>
      <c r="W71" s="55">
        <f t="shared" ca="1" si="12"/>
        <v>0</v>
      </c>
      <c r="X71" s="55">
        <f t="shared" ca="1" si="13"/>
        <v>17.329600288785837</v>
      </c>
      <c r="Y71" s="55">
        <f t="shared" ca="1" si="14"/>
        <v>-6.9375192107719394</v>
      </c>
      <c r="Z71">
        <f t="shared" ca="1" si="3"/>
        <v>71.524054479180322</v>
      </c>
      <c r="AA71">
        <f t="shared" ca="1" si="15"/>
        <v>0</v>
      </c>
      <c r="AB71">
        <f t="shared" ca="1" si="4"/>
        <v>0</v>
      </c>
      <c r="AC71">
        <f t="shared" ca="1" si="5"/>
        <v>0.87591159514297823</v>
      </c>
      <c r="AD71" s="83">
        <f ca="1"/>
        <v>45355</v>
      </c>
      <c r="AE71" s="55">
        <f t="shared" ca="1" si="20"/>
        <v>45355</v>
      </c>
      <c r="AF71" s="55">
        <f t="shared" ca="1" si="21"/>
        <v>34.091307572391159</v>
      </c>
      <c r="AG71" s="55">
        <f t="shared" ca="1" si="22"/>
        <v>24.668413836550005</v>
      </c>
      <c r="AH71" s="55">
        <f t="shared" ca="1" si="23"/>
        <v>0</v>
      </c>
      <c r="AI71" s="55">
        <f t="shared" ca="1" si="17"/>
        <v>0</v>
      </c>
      <c r="AJ71" s="55">
        <f t="shared" ca="1" si="18"/>
        <v>15.112465845774686</v>
      </c>
      <c r="AK71" s="55">
        <f t="shared" ca="1" si="19"/>
        <v>3.4760145910401814</v>
      </c>
    </row>
    <row r="72" spans="2:37">
      <c r="C72" s="61"/>
      <c r="D72" s="84">
        <v>120</v>
      </c>
      <c r="E72" s="69">
        <v>120</v>
      </c>
      <c r="R72" s="83">
        <f ca="1"/>
        <v>45284</v>
      </c>
      <c r="S72" s="55">
        <f t="shared" ca="1" si="11"/>
        <v>45284</v>
      </c>
      <c r="T72" s="55">
        <f t="shared" ca="1" si="0"/>
        <v>46.957037800807804</v>
      </c>
      <c r="U72" s="55">
        <f t="shared" ca="1" si="1"/>
        <v>14.984131629697975</v>
      </c>
      <c r="V72" s="55">
        <f t="shared" ca="1" si="2"/>
        <v>0</v>
      </c>
      <c r="W72" s="55">
        <f t="shared" ca="1" si="12"/>
        <v>0</v>
      </c>
      <c r="X72" s="55">
        <f t="shared" ca="1" si="13"/>
        <v>17.603542913912307</v>
      </c>
      <c r="Y72" s="55">
        <f t="shared" ca="1" si="14"/>
        <v>-6.9393157855246059</v>
      </c>
      <c r="Z72">
        <f t="shared" ca="1" si="3"/>
        <v>70.614650235630734</v>
      </c>
      <c r="AA72">
        <f t="shared" ca="1" si="15"/>
        <v>0</v>
      </c>
      <c r="AB72">
        <f t="shared" ca="1" si="4"/>
        <v>0</v>
      </c>
      <c r="AC72">
        <f t="shared" ca="1" si="5"/>
        <v>0.88617345221340982</v>
      </c>
      <c r="AD72" s="83">
        <f ca="1"/>
        <v>45356</v>
      </c>
      <c r="AE72" s="55">
        <f t="shared" ca="1" si="20"/>
        <v>45356</v>
      </c>
      <c r="AF72" s="55">
        <f t="shared" ca="1" si="21"/>
        <v>33.257397090924044</v>
      </c>
      <c r="AG72" s="55">
        <f t="shared" ca="1" si="22"/>
        <v>25.774654153335764</v>
      </c>
      <c r="AH72" s="55">
        <f t="shared" ca="1" si="23"/>
        <v>0</v>
      </c>
      <c r="AI72" s="55">
        <f t="shared" ca="1" si="17"/>
        <v>0</v>
      </c>
      <c r="AJ72" s="55">
        <f t="shared" ca="1" si="18"/>
        <v>15.369293153383463</v>
      </c>
      <c r="AK72" s="55">
        <f t="shared" ca="1" si="19"/>
        <v>3.4915171187500409</v>
      </c>
    </row>
    <row r="73" spans="2:37">
      <c r="R73" s="83">
        <f ca="1"/>
        <v>45285</v>
      </c>
      <c r="S73" s="55">
        <f t="shared" ca="1" si="11"/>
        <v>45285</v>
      </c>
      <c r="T73" s="55">
        <f t="shared" ca="1" si="0"/>
        <v>46.582879978320747</v>
      </c>
      <c r="U73" s="55">
        <f t="shared" ca="1" si="1"/>
        <v>15.644901827866875</v>
      </c>
      <c r="V73" s="55">
        <f t="shared" ca="1" si="2"/>
        <v>0</v>
      </c>
      <c r="W73" s="55">
        <f t="shared" ca="1" si="12"/>
        <v>0</v>
      </c>
      <c r="X73" s="55">
        <f t="shared" ca="1" si="13"/>
        <v>17.890163699850135</v>
      </c>
      <c r="Y73" s="55">
        <f t="shared" ca="1" si="14"/>
        <v>-6.9393241957805962</v>
      </c>
      <c r="Z73">
        <f t="shared" ca="1" si="3"/>
        <v>72.968626628208085</v>
      </c>
      <c r="AA73">
        <f t="shared" ca="1" si="15"/>
        <v>0</v>
      </c>
      <c r="AB73">
        <f t="shared" ca="1" si="4"/>
        <v>0</v>
      </c>
      <c r="AC73">
        <f t="shared" ca="1" si="5"/>
        <v>0.89527160963145624</v>
      </c>
      <c r="AD73" s="83">
        <f ca="1"/>
        <v>45357</v>
      </c>
      <c r="AE73" s="55">
        <f t="shared" ca="1" si="20"/>
        <v>45357</v>
      </c>
      <c r="AF73" s="55">
        <f t="shared" ca="1" si="21"/>
        <v>32.421652178793529</v>
      </c>
      <c r="AG73" s="55">
        <f t="shared" ca="1" si="22"/>
        <v>26.872030623270465</v>
      </c>
      <c r="AH73" s="55">
        <f t="shared" ca="1" si="23"/>
        <v>0</v>
      </c>
      <c r="AI73" s="55">
        <f t="shared" ca="1" si="17"/>
        <v>0</v>
      </c>
      <c r="AJ73" s="55">
        <f t="shared" ca="1" si="18"/>
        <v>15.616152874009067</v>
      </c>
      <c r="AK73" s="55">
        <f t="shared" ca="1" si="19"/>
        <v>3.5062889559286257</v>
      </c>
    </row>
    <row r="74" spans="2:37">
      <c r="R74" s="83">
        <f ca="1"/>
        <v>45286</v>
      </c>
      <c r="S74" s="55">
        <f t="shared" ca="1" si="11"/>
        <v>45286</v>
      </c>
      <c r="T74" s="55">
        <f t="shared" ca="1" si="0"/>
        <v>46.181738017555105</v>
      </c>
      <c r="U74" s="55">
        <f t="shared" ca="1" si="1"/>
        <v>16.312391139180662</v>
      </c>
      <c r="V74" s="55">
        <f t="shared" ca="1" si="2"/>
        <v>0</v>
      </c>
      <c r="W74" s="55">
        <f t="shared" ca="1" si="12"/>
        <v>0</v>
      </c>
      <c r="X74" s="55">
        <f t="shared" ca="1" si="13"/>
        <v>18.154851164581949</v>
      </c>
      <c r="Y74" s="55">
        <f t="shared" ca="1" si="14"/>
        <v>-6.9376643099642639</v>
      </c>
      <c r="Z74">
        <f t="shared" ca="1" si="3"/>
        <v>67.758436608030436</v>
      </c>
      <c r="AA74">
        <f t="shared" ca="1" si="15"/>
        <v>0</v>
      </c>
      <c r="AB74">
        <f t="shared" ca="1" si="4"/>
        <v>0</v>
      </c>
      <c r="AC74">
        <f t="shared" ca="1" si="5"/>
        <v>0.90297558684597956</v>
      </c>
      <c r="AD74" s="83">
        <f ca="1"/>
        <v>45358</v>
      </c>
      <c r="AE74" s="55">
        <f t="shared" ca="1" si="20"/>
        <v>45358</v>
      </c>
      <c r="AF74" s="55">
        <f t="shared" ca="1" si="21"/>
        <v>31.511486521895588</v>
      </c>
      <c r="AG74" s="55">
        <f t="shared" ca="1" si="22"/>
        <v>28.039358328844997</v>
      </c>
      <c r="AH74" s="55">
        <f t="shared" ca="1" si="23"/>
        <v>0</v>
      </c>
      <c r="AI74" s="55">
        <f t="shared" ca="1" si="17"/>
        <v>0</v>
      </c>
      <c r="AJ74" s="55">
        <f t="shared" ca="1" si="18"/>
        <v>15.859376358066587</v>
      </c>
      <c r="AK74" s="55">
        <f t="shared" ca="1" si="19"/>
        <v>3.5202275205476958</v>
      </c>
    </row>
    <row r="75" spans="2:37">
      <c r="R75" s="83">
        <f ca="1"/>
        <v>45287</v>
      </c>
      <c r="S75" s="55">
        <f t="shared" ca="1" si="11"/>
        <v>45287</v>
      </c>
      <c r="T75" s="55">
        <f t="shared" ca="1" si="0"/>
        <v>45.749370119709106</v>
      </c>
      <c r="U75" s="55">
        <f t="shared" ca="1" si="1"/>
        <v>17.005550932240503</v>
      </c>
      <c r="V75" s="55">
        <f t="shared" ca="1" si="2"/>
        <v>0</v>
      </c>
      <c r="W75" s="55">
        <f t="shared" ca="1" si="12"/>
        <v>0</v>
      </c>
      <c r="X75" s="55">
        <f t="shared" ca="1" si="13"/>
        <v>18.412418816501532</v>
      </c>
      <c r="Y75" s="55">
        <f t="shared" ca="1" si="14"/>
        <v>-6.9344400666700068</v>
      </c>
      <c r="Z75">
        <f t="shared" ca="1" si="3"/>
        <v>64.803429892389929</v>
      </c>
      <c r="AA75">
        <f t="shared" ca="1" si="15"/>
        <v>0</v>
      </c>
      <c r="AB75">
        <f t="shared" ca="1" si="4"/>
        <v>0</v>
      </c>
      <c r="AC75">
        <f t="shared" ca="1" si="5"/>
        <v>0.9096798716006026</v>
      </c>
      <c r="AD75" s="83">
        <f ca="1"/>
        <v>45359</v>
      </c>
      <c r="AE75" s="55">
        <f t="shared" ca="1" si="20"/>
        <v>45359</v>
      </c>
      <c r="AF75" s="55">
        <f t="shared" ca="1" si="21"/>
        <v>30.547089786181189</v>
      </c>
      <c r="AG75" s="55">
        <f t="shared" ca="1" si="22"/>
        <v>29.270189741647187</v>
      </c>
      <c r="AH75" s="55">
        <f t="shared" ca="1" si="23"/>
        <v>0</v>
      </c>
      <c r="AI75" s="55">
        <f t="shared" ca="1" si="17"/>
        <v>0</v>
      </c>
      <c r="AJ75" s="55">
        <f t="shared" ca="1" si="18"/>
        <v>16.111400171706357</v>
      </c>
      <c r="AK75" s="55">
        <f t="shared" ca="1" si="19"/>
        <v>3.5346383839957158</v>
      </c>
    </row>
    <row r="76" spans="2:37">
      <c r="R76" s="83">
        <f ca="1"/>
        <v>45288</v>
      </c>
      <c r="S76" s="55">
        <f t="shared" ca="1" si="11"/>
        <v>45288</v>
      </c>
      <c r="T76" s="55">
        <f t="shared" ca="1" si="0"/>
        <v>45.250689489270812</v>
      </c>
      <c r="U76" s="55">
        <f t="shared" ca="1" si="1"/>
        <v>17.767903946433044</v>
      </c>
      <c r="V76" s="55">
        <f t="shared" ca="1" si="2"/>
        <v>0</v>
      </c>
      <c r="W76" s="55">
        <f t="shared" ca="1" si="12"/>
        <v>0</v>
      </c>
      <c r="X76" s="55">
        <f t="shared" ca="1" si="13"/>
        <v>18.671130256327928</v>
      </c>
      <c r="Y76" s="55">
        <f t="shared" ca="1" si="14"/>
        <v>-6.9294791227421584</v>
      </c>
      <c r="Z76">
        <f t="shared" ca="1" si="3"/>
        <v>59.699419394434543</v>
      </c>
      <c r="AA76">
        <f t="shared" ca="1" si="15"/>
        <v>0</v>
      </c>
      <c r="AB76">
        <f t="shared" ca="1" si="4"/>
        <v>0</v>
      </c>
      <c r="AC76">
        <f t="shared" ca="1" si="5"/>
        <v>0.91581166733305452</v>
      </c>
      <c r="AD76" s="83">
        <f ca="1"/>
        <v>45360</v>
      </c>
      <c r="AE76" s="55">
        <f t="shared" ca="1" si="20"/>
        <v>45360</v>
      </c>
      <c r="AF76" s="55">
        <f t="shared" ca="1" si="21"/>
        <v>29.555552201376749</v>
      </c>
      <c r="AG76" s="55">
        <f t="shared" ca="1" si="22"/>
        <v>30.516925736468313</v>
      </c>
      <c r="AH76" s="55">
        <f t="shared" ca="1" si="23"/>
        <v>0</v>
      </c>
      <c r="AI76" s="55">
        <f t="shared" ca="1" si="17"/>
        <v>0</v>
      </c>
      <c r="AJ76" s="55">
        <f t="shared" ca="1" si="18"/>
        <v>16.353138211976756</v>
      </c>
      <c r="AK76" s="55">
        <f t="shared" ca="1" si="19"/>
        <v>3.5480987537420035</v>
      </c>
    </row>
    <row r="77" spans="2:37">
      <c r="R77" s="83">
        <f ca="1"/>
        <v>45289</v>
      </c>
      <c r="S77" s="55">
        <f t="shared" ca="1" si="11"/>
        <v>45289</v>
      </c>
      <c r="T77" s="55">
        <f t="shared" ca="1" si="0"/>
        <v>44.716110018789472</v>
      </c>
      <c r="U77" s="55">
        <f t="shared" ca="1" si="1"/>
        <v>18.575227934848222</v>
      </c>
      <c r="V77" s="55">
        <f t="shared" ca="1" si="2"/>
        <v>0</v>
      </c>
      <c r="W77" s="55">
        <f t="shared" ca="1" si="12"/>
        <v>0</v>
      </c>
      <c r="X77" s="55">
        <f t="shared" ca="1" si="13"/>
        <v>18.937212831065001</v>
      </c>
      <c r="Y77" s="55">
        <f t="shared" ca="1" si="14"/>
        <v>-6.9228171795453903</v>
      </c>
      <c r="Z77">
        <f t="shared" ca="1" si="3"/>
        <v>60.039967588482327</v>
      </c>
      <c r="AA77">
        <f t="shared" ca="1" si="15"/>
        <v>0</v>
      </c>
      <c r="AB77">
        <f t="shared" ca="1" si="4"/>
        <v>0</v>
      </c>
      <c r="AC77">
        <f t="shared" ca="1" si="5"/>
        <v>0.92116066682919706</v>
      </c>
      <c r="AD77" s="83">
        <f ca="1"/>
        <v>45361</v>
      </c>
      <c r="AE77" s="55">
        <f t="shared" ca="1" si="20"/>
        <v>45361</v>
      </c>
      <c r="AF77" s="55">
        <f t="shared" ca="1" si="21"/>
        <v>28.56447556819926</v>
      </c>
      <c r="AG77" s="55">
        <f t="shared" ca="1" si="22"/>
        <v>31.788733361106527</v>
      </c>
      <c r="AH77" s="55">
        <f t="shared" ca="1" si="23"/>
        <v>0</v>
      </c>
      <c r="AI77" s="55">
        <f t="shared" ca="1" si="17"/>
        <v>0</v>
      </c>
      <c r="AJ77" s="55">
        <f t="shared" ca="1" si="18"/>
        <v>16.619061552929836</v>
      </c>
      <c r="AK77" s="55">
        <f t="shared" ca="1" si="19"/>
        <v>3.5629064042496479</v>
      </c>
    </row>
    <row r="78" spans="2:37">
      <c r="R78" s="83">
        <f ca="1"/>
        <v>45290</v>
      </c>
      <c r="S78" s="55">
        <f t="shared" ca="1" si="11"/>
        <v>45290</v>
      </c>
      <c r="T78" s="55">
        <f t="shared" ca="1" si="0"/>
        <v>44.176830590579897</v>
      </c>
      <c r="U78" s="55">
        <f t="shared" ca="1" si="1"/>
        <v>19.394323785845401</v>
      </c>
      <c r="V78" s="55">
        <f t="shared" ca="1" si="2"/>
        <v>0</v>
      </c>
      <c r="W78" s="55">
        <f t="shared" ca="1" si="12"/>
        <v>0</v>
      </c>
      <c r="X78" s="55">
        <f t="shared" ca="1" si="13"/>
        <v>19.209037016838824</v>
      </c>
      <c r="Y78" s="55">
        <f t="shared" ca="1" si="14"/>
        <v>-6.9148249425316113</v>
      </c>
      <c r="Z78">
        <f t="shared" ca="1" si="3"/>
        <v>63.537483548442957</v>
      </c>
      <c r="AA78">
        <f t="shared" ca="1" si="15"/>
        <v>0</v>
      </c>
      <c r="AB78">
        <f t="shared" ca="1" si="4"/>
        <v>0</v>
      </c>
      <c r="AC78">
        <f t="shared" ca="1" si="5"/>
        <v>0.92562349643788711</v>
      </c>
      <c r="AD78" s="83">
        <f ca="1"/>
        <v>45362</v>
      </c>
      <c r="AE78" s="55">
        <f t="shared" ca="1" si="20"/>
        <v>45362</v>
      </c>
      <c r="AF78" s="55">
        <f t="shared" ca="1" si="21"/>
        <v>27.5180367042481</v>
      </c>
      <c r="AG78" s="55">
        <f t="shared" ca="1" si="22"/>
        <v>33.120205172841629</v>
      </c>
      <c r="AH78" s="55">
        <f t="shared" ca="1" si="23"/>
        <v>0</v>
      </c>
      <c r="AI78" s="55">
        <f t="shared" ca="1" si="17"/>
        <v>0</v>
      </c>
      <c r="AJ78" s="55">
        <f t="shared" ca="1" si="18"/>
        <v>16.88931988984929</v>
      </c>
      <c r="AK78" s="55">
        <f t="shared" ca="1" si="19"/>
        <v>3.5776810151141349</v>
      </c>
    </row>
    <row r="79" spans="2:37">
      <c r="R79" s="83">
        <f ca="1"/>
        <v>45291</v>
      </c>
      <c r="S79" s="55">
        <f t="shared" ca="1" si="11"/>
        <v>45291</v>
      </c>
      <c r="T79" s="55">
        <f t="shared" ca="1" si="0"/>
        <v>43.669583757054895</v>
      </c>
      <c r="U79" s="55">
        <f t="shared" ca="1" si="1"/>
        <v>20.21604562698786</v>
      </c>
      <c r="V79" s="55">
        <f t="shared" ca="1" si="2"/>
        <v>0</v>
      </c>
      <c r="W79" s="55">
        <f t="shared" ca="1" si="12"/>
        <v>0</v>
      </c>
      <c r="X79" s="55">
        <f t="shared" ca="1" si="13"/>
        <v>19.514437046521916</v>
      </c>
      <c r="Y79" s="55">
        <f t="shared" ca="1" si="14"/>
        <v>-6.9057499645972502</v>
      </c>
      <c r="Z79">
        <f t="shared" ca="1" si="3"/>
        <v>76.397789169842454</v>
      </c>
      <c r="AA79">
        <f t="shared" ca="1" si="15"/>
        <v>0</v>
      </c>
      <c r="AB79">
        <f t="shared" ca="1" si="4"/>
        <v>0</v>
      </c>
      <c r="AC79">
        <f t="shared" ca="1" si="5"/>
        <v>0.92931872765381984</v>
      </c>
      <c r="AD79" s="83">
        <f ca="1"/>
        <v>45363</v>
      </c>
      <c r="AE79" s="55">
        <f t="shared" ca="1" si="20"/>
        <v>45363</v>
      </c>
      <c r="AF79" s="55">
        <f t="shared" ca="1" si="21"/>
        <v>26.452342579039232</v>
      </c>
      <c r="AG79" s="55">
        <f t="shared" ca="1" si="22"/>
        <v>34.455015196353699</v>
      </c>
      <c r="AH79" s="55">
        <f t="shared" ca="1" si="23"/>
        <v>0</v>
      </c>
      <c r="AI79" s="55">
        <f t="shared" ca="1" si="17"/>
        <v>0</v>
      </c>
      <c r="AJ79" s="55">
        <f t="shared" ca="1" si="18"/>
        <v>17.14424374550013</v>
      </c>
      <c r="AK79" s="55">
        <f t="shared" ca="1" si="19"/>
        <v>3.5918730577664943</v>
      </c>
    </row>
    <row r="80" spans="2:37">
      <c r="R80" s="83">
        <f ca="1"/>
        <v>45292</v>
      </c>
      <c r="S80" s="55">
        <f t="shared" ca="1" si="11"/>
        <v>45292</v>
      </c>
      <c r="T80" s="55">
        <f t="shared" ca="1" si="0"/>
        <v>43.142117407763045</v>
      </c>
      <c r="U80" s="55">
        <f t="shared" ca="1" si="1"/>
        <v>21.050291955149323</v>
      </c>
      <c r="V80" s="55">
        <f t="shared" ca="1" si="2"/>
        <v>0</v>
      </c>
      <c r="W80" s="55">
        <f t="shared" ca="1" si="12"/>
        <v>0</v>
      </c>
      <c r="X80" s="55">
        <f t="shared" ca="1" si="13"/>
        <v>19.811101797984573</v>
      </c>
      <c r="Y80" s="55">
        <f t="shared" ca="1" si="14"/>
        <v>-6.8956347371902948</v>
      </c>
      <c r="Z80">
        <f t="shared" ca="1" si="3"/>
        <v>74.941692631792222</v>
      </c>
      <c r="AA80">
        <f t="shared" ca="1" si="15"/>
        <v>0</v>
      </c>
      <c r="AB80">
        <f t="shared" ca="1" si="4"/>
        <v>0</v>
      </c>
      <c r="AC80">
        <f t="shared" ca="1" si="5"/>
        <v>0.93242614041160687</v>
      </c>
      <c r="AD80" s="83">
        <f ca="1"/>
        <v>45364</v>
      </c>
      <c r="AE80" s="55">
        <f t="shared" ca="1" si="20"/>
        <v>45364</v>
      </c>
      <c r="AF80" s="55">
        <f t="shared" ca="1" si="21"/>
        <v>25.339213866917575</v>
      </c>
      <c r="AG80" s="55">
        <f t="shared" ca="1" si="22"/>
        <v>35.830915930699859</v>
      </c>
      <c r="AH80" s="55">
        <f t="shared" ca="1" si="23"/>
        <v>0</v>
      </c>
      <c r="AI80" s="55">
        <f t="shared" ca="1" si="17"/>
        <v>0</v>
      </c>
      <c r="AJ80" s="55">
        <f t="shared" ca="1" si="18"/>
        <v>17.393383454450095</v>
      </c>
      <c r="AK80" s="55">
        <f t="shared" ca="1" si="19"/>
        <v>3.6055053710410325</v>
      </c>
    </row>
    <row r="81" spans="18:37">
      <c r="R81" s="83">
        <f ca="1"/>
        <v>45293</v>
      </c>
      <c r="S81" s="55">
        <f t="shared" ca="1" si="11"/>
        <v>45293</v>
      </c>
      <c r="T81" s="55">
        <f t="shared" ca="1" si="0"/>
        <v>42.560310889243013</v>
      </c>
      <c r="U81" s="55">
        <f t="shared" ca="1" si="1"/>
        <v>21.933249692959276</v>
      </c>
      <c r="V81" s="55">
        <f t="shared" ca="1" si="2"/>
        <v>0</v>
      </c>
      <c r="W81" s="55">
        <f t="shared" ca="1" si="12"/>
        <v>0</v>
      </c>
      <c r="X81" s="55">
        <f t="shared" ca="1" si="13"/>
        <v>20.100775378131303</v>
      </c>
      <c r="Y81" s="55">
        <f t="shared" ca="1" si="14"/>
        <v>-6.8841570980470994</v>
      </c>
      <c r="Z81">
        <f t="shared" ca="1" si="3"/>
        <v>70.248892511478715</v>
      </c>
      <c r="AA81">
        <f t="shared" ca="1" si="15"/>
        <v>0</v>
      </c>
      <c r="AB81">
        <f t="shared" ca="1" si="4"/>
        <v>0</v>
      </c>
      <c r="AC81">
        <f t="shared" ca="1" si="5"/>
        <v>0.93514623888437343</v>
      </c>
      <c r="AD81" s="83">
        <f ca="1"/>
        <v>45365</v>
      </c>
      <c r="AE81" s="55">
        <f t="shared" ca="1" si="20"/>
        <v>45365</v>
      </c>
      <c r="AF81" s="55">
        <f t="shared" ca="1" si="21"/>
        <v>24.203189735096423</v>
      </c>
      <c r="AG81" s="55">
        <f t="shared" ca="1" si="22"/>
        <v>37.229617921453965</v>
      </c>
      <c r="AH81" s="55">
        <f t="shared" ca="1" si="23"/>
        <v>0</v>
      </c>
      <c r="AI81" s="55">
        <f t="shared" ca="1" si="17"/>
        <v>0</v>
      </c>
      <c r="AJ81" s="55">
        <f t="shared" ca="1" si="18"/>
        <v>17.642515619035777</v>
      </c>
      <c r="AK81" s="55">
        <f t="shared" ca="1" si="19"/>
        <v>3.619051065388303</v>
      </c>
    </row>
    <row r="82" spans="18:37">
      <c r="R82" s="83">
        <f ca="1"/>
        <v>45294</v>
      </c>
      <c r="S82" s="55">
        <f t="shared" ca="1" si="11"/>
        <v>45294</v>
      </c>
      <c r="T82" s="55">
        <f t="shared" ref="T82:T145" ca="1" si="27">VLOOKUP(S82,ModelOutputs,2,FALSE)</f>
        <v>41.950323270276421</v>
      </c>
      <c r="U82" s="55">
        <f t="shared" ref="U82:U145" ca="1" si="28">VLOOKUP(S82,ModelOutputs,7,FALSE)</f>
        <v>22.827105729284657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20.37230626959483</v>
      </c>
      <c r="Y82" s="55">
        <f t="shared" ca="1" si="14"/>
        <v>-6.8718195721518391</v>
      </c>
      <c r="Z82">
        <f t="shared" ref="Z82:Z145" ca="1" si="30">VLOOKUP(S82,ModelOutputs,10,FALSE)*AWC</f>
        <v>65.683992863333231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0.93742063665432007</v>
      </c>
      <c r="AD82" s="83">
        <f ca="1"/>
        <v>45366</v>
      </c>
      <c r="AE82" s="55">
        <f t="shared" ca="1" si="20"/>
        <v>45366</v>
      </c>
      <c r="AF82" s="55">
        <f t="shared" ca="1" si="21"/>
        <v>23.014998562789131</v>
      </c>
      <c r="AG82" s="55">
        <f t="shared" ca="1" si="22"/>
        <v>38.684667160379618</v>
      </c>
      <c r="AH82" s="55">
        <f t="shared" ca="1" si="23"/>
        <v>0</v>
      </c>
      <c r="AI82" s="55">
        <f t="shared" ca="1" si="17"/>
        <v>0</v>
      </c>
      <c r="AJ82" s="55">
        <f t="shared" ca="1" si="18"/>
        <v>17.895789110924362</v>
      </c>
      <c r="AK82" s="55">
        <f t="shared" ca="1" si="19"/>
        <v>3.6326356401180799</v>
      </c>
    </row>
    <row r="83" spans="18:37">
      <c r="R83" s="83">
        <f ca="1"/>
        <v>45295</v>
      </c>
      <c r="S83" s="55">
        <f t="shared" ref="S83:S146" ca="1" si="33">IF(R83&gt;1,R83,"")</f>
        <v>45295</v>
      </c>
      <c r="T83" s="55">
        <f t="shared" ca="1" si="27"/>
        <v>41.294182126344467</v>
      </c>
      <c r="U83" s="55">
        <f t="shared" ca="1" si="28"/>
        <v>23.76139157874233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20.636959477491857</v>
      </c>
      <c r="Y83" s="55">
        <f t="shared" ref="Y83:Y146" ca="1" si="36">VLOOKUP(S83,ModelOutputs,4,FALSE)+Y82</f>
        <v>-6.8583280745231496</v>
      </c>
      <c r="Z83">
        <f t="shared" ca="1" si="30"/>
        <v>61.709326763247809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0.93938410604116296</v>
      </c>
      <c r="AD83" s="83">
        <f ca="1"/>
        <v>45367</v>
      </c>
      <c r="AE83" s="55">
        <f t="shared" ca="1" si="20"/>
        <v>45367</v>
      </c>
      <c r="AF83" s="55">
        <f t="shared" ca="1" si="21"/>
        <v>21.787443731472734</v>
      </c>
      <c r="AG83" s="55">
        <f t="shared" ca="1" si="22"/>
        <v>40.177504624980507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18.1477547984171</v>
      </c>
      <c r="AK83" s="55">
        <f t="shared" ref="AK83:AK146" ca="1" si="40">VLOOKUP(AE83,ModelOutputs,4,FALSE)+AK82</f>
        <v>3.6459525859098347</v>
      </c>
    </row>
    <row r="84" spans="18:37">
      <c r="R84" s="83">
        <f ca="1"/>
        <v>45296</v>
      </c>
      <c r="S84" s="55">
        <f t="shared" ca="1" si="33"/>
        <v>45296</v>
      </c>
      <c r="T84" s="55">
        <f t="shared" ca="1" si="27"/>
        <v>40.629372252077019</v>
      </c>
      <c r="U84" s="55">
        <f t="shared" ca="1" si="28"/>
        <v>24.688576008792488</v>
      </c>
      <c r="V84" s="55">
        <f t="shared" ca="1" si="29"/>
        <v>0</v>
      </c>
      <c r="W84" s="55">
        <f t="shared" ca="1" si="34"/>
        <v>0</v>
      </c>
      <c r="X84" s="55">
        <f t="shared" ca="1" si="35"/>
        <v>20.885650650297833</v>
      </c>
      <c r="Y84" s="55">
        <f t="shared" ca="1" si="36"/>
        <v>-6.8446446915464154</v>
      </c>
      <c r="Z84">
        <f t="shared" ca="1" si="30"/>
        <v>58.865455462309541</v>
      </c>
      <c r="AA84">
        <f t="shared" ca="1" si="37"/>
        <v>0</v>
      </c>
      <c r="AB84">
        <f t="shared" ca="1" si="31"/>
        <v>0</v>
      </c>
      <c r="AC84">
        <f t="shared" ca="1" si="32"/>
        <v>0.94099605076830994</v>
      </c>
      <c r="AD84" s="83">
        <f ca="1"/>
        <v>45368</v>
      </c>
      <c r="AE84" s="55">
        <f t="shared" ca="1" si="20"/>
        <v>45368</v>
      </c>
      <c r="AF84" s="55">
        <f t="shared" ca="1" si="21"/>
        <v>20.520384756844145</v>
      </c>
      <c r="AG84" s="55">
        <f t="shared" ca="1" si="22"/>
        <v>41.701363098930592</v>
      </c>
      <c r="AH84" s="55">
        <f t="shared" ca="1" si="23"/>
        <v>0</v>
      </c>
      <c r="AI84" s="55">
        <f t="shared" ca="1" si="38"/>
        <v>0</v>
      </c>
      <c r="AJ84" s="55">
        <f t="shared" ca="1" si="39"/>
        <v>18.391999767598545</v>
      </c>
      <c r="AK84" s="55">
        <f t="shared" ca="1" si="40"/>
        <v>3.6585071160498863</v>
      </c>
    </row>
    <row r="85" spans="18:37">
      <c r="R85" s="83">
        <f ca="1"/>
        <v>45297</v>
      </c>
      <c r="S85" s="55">
        <f t="shared" ca="1" si="33"/>
        <v>45297</v>
      </c>
      <c r="T85" s="55">
        <f t="shared" ca="1" si="27"/>
        <v>39.932996833498059</v>
      </c>
      <c r="U85" s="55">
        <f t="shared" ca="1" si="28"/>
        <v>25.643475547334937</v>
      </c>
      <c r="V85" s="55">
        <f t="shared" ca="1" si="29"/>
        <v>0</v>
      </c>
      <c r="W85" s="55">
        <f t="shared" ca="1" si="34"/>
        <v>0</v>
      </c>
      <c r="X85" s="55">
        <f t="shared" ca="1" si="35"/>
        <v>21.130206475784856</v>
      </c>
      <c r="Y85" s="55">
        <f t="shared" ca="1" si="36"/>
        <v>-6.8306763970699542</v>
      </c>
      <c r="Z85">
        <f t="shared" ca="1" si="30"/>
        <v>56.737961382031003</v>
      </c>
      <c r="AA85">
        <f t="shared" ca="1" si="37"/>
        <v>0</v>
      </c>
      <c r="AB85">
        <f t="shared" ca="1" si="31"/>
        <v>0</v>
      </c>
      <c r="AC85">
        <f t="shared" ca="1" si="32"/>
        <v>0.94237362911854639</v>
      </c>
      <c r="AD85" s="83">
        <f ca="1"/>
        <v>45369</v>
      </c>
      <c r="AE85" s="55">
        <f t="shared" ref="AE85:AE148" ca="1" si="41">IF(AD85&gt;1,AD85,"")</f>
        <v>45369</v>
      </c>
      <c r="AF85" s="55">
        <f t="shared" ref="AF85:AF148" ca="1" si="42">VLOOKUP(AE85,ModelOutputs,2,FALSE)</f>
        <v>19.254318352373677</v>
      </c>
      <c r="AG85" s="55">
        <f t="shared" ref="AG85:AG148" ca="1" si="43">VLOOKUP(AE85,ModelOutputs,7,FALSE)</f>
        <v>43.208690930696164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18.621766786514115</v>
      </c>
      <c r="AK85" s="55">
        <f t="shared" ca="1" si="40"/>
        <v>3.6700015244294204</v>
      </c>
    </row>
    <row r="86" spans="18:37">
      <c r="R86" s="83">
        <f ca="1"/>
        <v>45298</v>
      </c>
      <c r="S86" s="55">
        <f t="shared" ca="1" si="33"/>
        <v>45298</v>
      </c>
      <c r="T86" s="55">
        <f t="shared" ca="1" si="27"/>
        <v>39.183349236139705</v>
      </c>
      <c r="U86" s="55">
        <f t="shared" ca="1" si="28"/>
        <v>26.653214219724433</v>
      </c>
      <c r="V86" s="55">
        <f t="shared" ca="1" si="29"/>
        <v>0</v>
      </c>
      <c r="W86" s="55">
        <f t="shared" ca="1" si="34"/>
        <v>0</v>
      </c>
      <c r="X86" s="55">
        <f t="shared" ca="1" si="35"/>
        <v>21.375939366580507</v>
      </c>
      <c r="Y86" s="55">
        <f t="shared" ca="1" si="36"/>
        <v>-6.8163182128344619</v>
      </c>
      <c r="Z86">
        <f t="shared" ca="1" si="30"/>
        <v>54.131776741071498</v>
      </c>
      <c r="AA86">
        <f t="shared" ca="1" si="37"/>
        <v>0</v>
      </c>
      <c r="AB86">
        <f t="shared" ca="1" si="31"/>
        <v>0</v>
      </c>
      <c r="AC86">
        <f t="shared" ca="1" si="32"/>
        <v>0.94357870916954589</v>
      </c>
      <c r="AD86" s="83">
        <f ca="1"/>
        <v>45370</v>
      </c>
      <c r="AE86" s="55">
        <f t="shared" ca="1" si="41"/>
        <v>45370</v>
      </c>
      <c r="AF86" s="55">
        <f t="shared" ca="1" si="42"/>
        <v>17.951865795857131</v>
      </c>
      <c r="AG86" s="55">
        <f t="shared" ca="1" si="43"/>
        <v>44.759719410219759</v>
      </c>
      <c r="AH86" s="55">
        <f t="shared" ca="1" si="44"/>
        <v>0</v>
      </c>
      <c r="AI86" s="55">
        <f t="shared" ca="1" si="38"/>
        <v>0</v>
      </c>
      <c r="AJ86" s="55">
        <f t="shared" ca="1" si="39"/>
        <v>18.858470207264578</v>
      </c>
      <c r="AK86" s="55">
        <f t="shared" ca="1" si="40"/>
        <v>3.6818740266860073</v>
      </c>
    </row>
    <row r="87" spans="18:37">
      <c r="R87" s="83">
        <f ca="1"/>
        <v>45299</v>
      </c>
      <c r="S87" s="55">
        <f t="shared" ca="1" si="33"/>
        <v>45299</v>
      </c>
      <c r="T87" s="55">
        <f t="shared" ca="1" si="27"/>
        <v>38.401136379736656</v>
      </c>
      <c r="U87" s="55">
        <f t="shared" ca="1" si="28"/>
        <v>27.701287598840441</v>
      </c>
      <c r="V87" s="55">
        <f t="shared" ca="1" si="29"/>
        <v>0</v>
      </c>
      <c r="W87" s="55">
        <f t="shared" ca="1" si="34"/>
        <v>0</v>
      </c>
      <c r="X87" s="55">
        <f t="shared" ca="1" si="35"/>
        <v>21.626549185006905</v>
      </c>
      <c r="Y87" s="55">
        <f t="shared" ca="1" si="36"/>
        <v>-6.8010675085478969</v>
      </c>
      <c r="Z87">
        <f t="shared" ca="1" si="30"/>
        <v>54.486832139424251</v>
      </c>
      <c r="AA87">
        <f t="shared" ca="1" si="37"/>
        <v>0</v>
      </c>
      <c r="AB87">
        <f t="shared" ca="1" si="31"/>
        <v>0</v>
      </c>
      <c r="AC87">
        <f t="shared" ca="1" si="32"/>
        <v>0.94460942381191038</v>
      </c>
      <c r="AD87" s="83">
        <f ca="1"/>
        <v>45371</v>
      </c>
      <c r="AE87" s="55">
        <f t="shared" ca="1" si="41"/>
        <v>45371</v>
      </c>
      <c r="AF87" s="55">
        <f t="shared" ca="1" si="42"/>
        <v>16.570506605501151</v>
      </c>
      <c r="AG87" s="55">
        <f t="shared" ca="1" si="43"/>
        <v>46.383702978526976</v>
      </c>
      <c r="AH87" s="55">
        <f t="shared" ca="1" si="44"/>
        <v>0</v>
      </c>
      <c r="AI87" s="55">
        <f t="shared" ca="1" si="38"/>
        <v>0</v>
      </c>
      <c r="AJ87" s="55">
        <f t="shared" ca="1" si="39"/>
        <v>19.089986476912873</v>
      </c>
      <c r="AK87" s="55">
        <f t="shared" ca="1" si="40"/>
        <v>3.6929821349889504</v>
      </c>
    </row>
    <row r="88" spans="18:37">
      <c r="R88" s="83">
        <f ca="1"/>
        <v>45300</v>
      </c>
      <c r="S88" s="55">
        <f t="shared" ca="1" si="33"/>
        <v>45300</v>
      </c>
      <c r="T88" s="55">
        <f t="shared" ca="1" si="27"/>
        <v>37.588078383167726</v>
      </c>
      <c r="U88" s="55">
        <f t="shared" ca="1" si="28"/>
        <v>28.788163068354983</v>
      </c>
      <c r="V88" s="55">
        <f t="shared" ca="1" si="29"/>
        <v>0</v>
      </c>
      <c r="W88" s="55">
        <f t="shared" ca="1" si="34"/>
        <v>0</v>
      </c>
      <c r="X88" s="55">
        <f t="shared" ca="1" si="35"/>
        <v>21.884028166021515</v>
      </c>
      <c r="Y88" s="55">
        <f t="shared" ca="1" si="36"/>
        <v>-6.7847290166168914</v>
      </c>
      <c r="Z88">
        <f t="shared" ca="1" si="30"/>
        <v>55.498942979523491</v>
      </c>
      <c r="AA88">
        <f t="shared" ca="1" si="37"/>
        <v>0</v>
      </c>
      <c r="AB88">
        <f t="shared" ca="1" si="31"/>
        <v>0</v>
      </c>
      <c r="AC88">
        <f t="shared" ca="1" si="32"/>
        <v>0.94548832755669721</v>
      </c>
      <c r="AD88" s="83">
        <f ca="1"/>
        <v>45372</v>
      </c>
      <c r="AE88" s="55">
        <f t="shared" ca="1" si="41"/>
        <v>45372</v>
      </c>
      <c r="AF88" s="55">
        <f t="shared" ca="1" si="42"/>
        <v>15.166115598525</v>
      </c>
      <c r="AG88" s="55">
        <f t="shared" ca="1" si="43"/>
        <v>48.031151816071983</v>
      </c>
      <c r="AH88" s="55">
        <f t="shared" ca="1" si="44"/>
        <v>0</v>
      </c>
      <c r="AI88" s="55">
        <f t="shared" ca="1" si="38"/>
        <v>0</v>
      </c>
      <c r="AJ88" s="55">
        <f t="shared" ca="1" si="39"/>
        <v>19.32196848312088</v>
      </c>
      <c r="AK88" s="55">
        <f t="shared" ca="1" si="40"/>
        <v>3.7040579593497971</v>
      </c>
    </row>
    <row r="89" spans="18:37">
      <c r="R89" s="83">
        <f ca="1"/>
        <v>45301</v>
      </c>
      <c r="S89" s="55">
        <f t="shared" ca="1" si="33"/>
        <v>45301</v>
      </c>
      <c r="T89" s="55">
        <f t="shared" ca="1" si="27"/>
        <v>36.755489653068054</v>
      </c>
      <c r="U89" s="55">
        <f t="shared" ca="1" si="28"/>
        <v>29.882990945181152</v>
      </c>
      <c r="V89" s="55">
        <f t="shared" ca="1" si="29"/>
        <v>0</v>
      </c>
      <c r="W89" s="55">
        <f t="shared" ca="1" si="34"/>
        <v>0</v>
      </c>
      <c r="X89" s="55">
        <f t="shared" ca="1" si="35"/>
        <v>22.13049455482642</v>
      </c>
      <c r="Y89" s="55">
        <f t="shared" ca="1" si="36"/>
        <v>-6.7689562586952974</v>
      </c>
      <c r="Z89">
        <f t="shared" ca="1" si="30"/>
        <v>52.519238735927516</v>
      </c>
      <c r="AA89">
        <f t="shared" ca="1" si="37"/>
        <v>0</v>
      </c>
      <c r="AB89">
        <f t="shared" ca="1" si="31"/>
        <v>0</v>
      </c>
      <c r="AC89">
        <f t="shared" ca="1" si="32"/>
        <v>0.94621673976952447</v>
      </c>
      <c r="AD89" s="83">
        <f ca="1"/>
        <v>45373</v>
      </c>
      <c r="AE89" s="55">
        <f t="shared" ca="1" si="41"/>
        <v>45373</v>
      </c>
      <c r="AF89" s="55">
        <f t="shared" ca="1" si="42"/>
        <v>13.768052956596126</v>
      </c>
      <c r="AG89" s="55">
        <f t="shared" ca="1" si="43"/>
        <v>49.669056471817022</v>
      </c>
      <c r="AH89" s="55">
        <f t="shared" ca="1" si="44"/>
        <v>0</v>
      </c>
      <c r="AI89" s="55">
        <f t="shared" ca="1" si="38"/>
        <v>0</v>
      </c>
      <c r="AJ89" s="55">
        <f t="shared" ca="1" si="39"/>
        <v>19.550901053311982</v>
      </c>
      <c r="AK89" s="55">
        <f t="shared" ca="1" si="40"/>
        <v>3.7149674029748594</v>
      </c>
    </row>
    <row r="90" spans="18:37">
      <c r="R90" s="83" t="e">
        <f ca="1"/>
        <v>#N/A</v>
      </c>
      <c r="S90" s="55" t="e">
        <f t="shared" ca="1" si="33"/>
        <v>#N/A</v>
      </c>
      <c r="T90" s="55" t="e">
        <f t="shared" ca="1" si="27"/>
        <v>#N/A</v>
      </c>
      <c r="U90" s="55" t="e">
        <f t="shared" ca="1" si="28"/>
        <v>#N/A</v>
      </c>
      <c r="V90" s="55" t="e">
        <f t="shared" ca="1" si="29"/>
        <v>#N/A</v>
      </c>
      <c r="W90" s="55" t="e">
        <f t="shared" ca="1" si="34"/>
        <v>#N/A</v>
      </c>
      <c r="X90" s="55" t="e">
        <f t="shared" ca="1" si="35"/>
        <v>#N/A</v>
      </c>
      <c r="Y90" s="55" t="e">
        <f t="shared" ca="1" si="36"/>
        <v>#N/A</v>
      </c>
      <c r="Z90" t="e">
        <f t="shared" ca="1" si="30"/>
        <v>#N/A</v>
      </c>
      <c r="AA90" t="e">
        <f t="shared" ca="1" si="37"/>
        <v>#N/A</v>
      </c>
      <c r="AB90" t="e">
        <f t="shared" ca="1" si="31"/>
        <v>#N/A</v>
      </c>
      <c r="AC90" t="e">
        <f t="shared" ca="1" si="32"/>
        <v>#N/A</v>
      </c>
      <c r="AD90" s="83">
        <f ca="1"/>
        <v>45374</v>
      </c>
      <c r="AE90" s="55">
        <f t="shared" ca="1" si="41"/>
        <v>45374</v>
      </c>
      <c r="AF90" s="55">
        <f t="shared" ca="1" si="42"/>
        <v>12.341501868020247</v>
      </c>
      <c r="AG90" s="55">
        <f t="shared" ca="1" si="43"/>
        <v>51.329877264066553</v>
      </c>
      <c r="AH90" s="55">
        <f t="shared" ca="1" si="44"/>
        <v>0</v>
      </c>
      <c r="AI90" s="55">
        <f t="shared" ca="1" si="38"/>
        <v>0</v>
      </c>
      <c r="AJ90" s="55">
        <f t="shared" ca="1" si="39"/>
        <v>19.774752862334246</v>
      </c>
      <c r="AK90" s="55">
        <f t="shared" ca="1" si="40"/>
        <v>3.7253852976262474</v>
      </c>
    </row>
    <row r="91" spans="18:37">
      <c r="R91" s="83" t="e">
        <f ca="1"/>
        <v>#N/A</v>
      </c>
      <c r="S91" s="55" t="e">
        <f t="shared" ca="1" si="33"/>
        <v>#N/A</v>
      </c>
      <c r="T91" s="55" t="e">
        <f t="shared" ca="1" si="27"/>
        <v>#N/A</v>
      </c>
      <c r="U91" s="55" t="e">
        <f t="shared" ca="1" si="28"/>
        <v>#N/A</v>
      </c>
      <c r="V91" s="55" t="e">
        <f t="shared" ca="1" si="29"/>
        <v>#N/A</v>
      </c>
      <c r="W91" s="55" t="e">
        <f t="shared" ca="1" si="34"/>
        <v>#N/A</v>
      </c>
      <c r="X91" s="55" t="e">
        <f t="shared" ca="1" si="35"/>
        <v>#N/A</v>
      </c>
      <c r="Y91" s="55" t="e">
        <f t="shared" ca="1" si="36"/>
        <v>#N/A</v>
      </c>
      <c r="Z91" t="e">
        <f t="shared" ca="1" si="30"/>
        <v>#N/A</v>
      </c>
      <c r="AA91" t="e">
        <f t="shared" ca="1" si="37"/>
        <v>#N/A</v>
      </c>
      <c r="AB91" t="e">
        <f t="shared" ca="1" si="31"/>
        <v>#N/A</v>
      </c>
      <c r="AC91" t="e">
        <f t="shared" ca="1" si="32"/>
        <v>#N/A</v>
      </c>
      <c r="AD91" s="83">
        <f ca="1"/>
        <v>45375</v>
      </c>
      <c r="AE91" s="55">
        <f t="shared" ca="1" si="41"/>
        <v>45375</v>
      </c>
      <c r="AF91" s="55">
        <f t="shared" ca="1" si="42"/>
        <v>10.876550206550309</v>
      </c>
      <c r="AG91" s="55">
        <f t="shared" ca="1" si="43"/>
        <v>53.02530492326116</v>
      </c>
      <c r="AH91" s="55">
        <f t="shared" ca="1" si="44"/>
        <v>0</v>
      </c>
      <c r="AI91" s="55">
        <f t="shared" ca="1" si="38"/>
        <v>0</v>
      </c>
      <c r="AJ91" s="55">
        <f t="shared" ca="1" si="39"/>
        <v>19.995221328605698</v>
      </c>
      <c r="AK91" s="55">
        <f t="shared" ca="1" si="40"/>
        <v>3.7353928290794642</v>
      </c>
    </row>
    <row r="92" spans="18:37">
      <c r="R92" s="83" t="e">
        <f ca="1"/>
        <v>#N/A</v>
      </c>
      <c r="S92" s="55" t="e">
        <f t="shared" ca="1" si="33"/>
        <v>#N/A</v>
      </c>
      <c r="T92" s="55" t="e">
        <f t="shared" ca="1" si="27"/>
        <v>#N/A</v>
      </c>
      <c r="U92" s="55" t="e">
        <f t="shared" ca="1" si="28"/>
        <v>#N/A</v>
      </c>
      <c r="V92" s="55" t="e">
        <f t="shared" ca="1" si="29"/>
        <v>#N/A</v>
      </c>
      <c r="W92" s="55" t="e">
        <f t="shared" ca="1" si="34"/>
        <v>#N/A</v>
      </c>
      <c r="X92" s="55" t="e">
        <f t="shared" ca="1" si="35"/>
        <v>#N/A</v>
      </c>
      <c r="Y92" s="55" t="e">
        <f t="shared" ca="1" si="36"/>
        <v>#N/A</v>
      </c>
      <c r="Z92" t="e">
        <f t="shared" ca="1" si="30"/>
        <v>#N/A</v>
      </c>
      <c r="AA92" t="e">
        <f t="shared" ca="1" si="37"/>
        <v>#N/A</v>
      </c>
      <c r="AB92" t="e">
        <f t="shared" ca="1" si="31"/>
        <v>#N/A</v>
      </c>
      <c r="AC92" t="e">
        <f t="shared" ca="1" si="32"/>
        <v>#N/A</v>
      </c>
      <c r="AD92" s="83">
        <f ca="1"/>
        <v>45376</v>
      </c>
      <c r="AE92" s="55">
        <f t="shared" ca="1" si="41"/>
        <v>45376</v>
      </c>
      <c r="AF92" s="55">
        <f t="shared" ca="1" si="42"/>
        <v>9.375301377501593</v>
      </c>
      <c r="AG92" s="55">
        <f t="shared" ca="1" si="43"/>
        <v>54.764470345207954</v>
      </c>
      <c r="AH92" s="55">
        <f t="shared" ca="1" si="44"/>
        <v>0</v>
      </c>
      <c r="AI92" s="55">
        <f t="shared" ca="1" si="38"/>
        <v>0</v>
      </c>
      <c r="AJ92" s="55">
        <f t="shared" ca="1" si="39"/>
        <v>20.222758970963518</v>
      </c>
      <c r="AK92" s="55">
        <f t="shared" ca="1" si="40"/>
        <v>3.7457717796197239</v>
      </c>
    </row>
    <row r="93" spans="18:37">
      <c r="R93" s="83" t="e">
        <f ca="1"/>
        <v>#N/A</v>
      </c>
      <c r="S93" s="55" t="e">
        <f t="shared" ca="1" si="33"/>
        <v>#N/A</v>
      </c>
      <c r="T93" s="55" t="e">
        <f t="shared" ca="1" si="27"/>
        <v>#N/A</v>
      </c>
      <c r="U93" s="55" t="e">
        <f t="shared" ca="1" si="28"/>
        <v>#N/A</v>
      </c>
      <c r="V93" s="55" t="e">
        <f t="shared" ca="1" si="29"/>
        <v>#N/A</v>
      </c>
      <c r="W93" s="55" t="e">
        <f t="shared" ca="1" si="34"/>
        <v>#N/A</v>
      </c>
      <c r="X93" s="55" t="e">
        <f t="shared" ca="1" si="35"/>
        <v>#N/A</v>
      </c>
      <c r="Y93" s="55" t="e">
        <f t="shared" ca="1" si="36"/>
        <v>#N/A</v>
      </c>
      <c r="Z93" t="e">
        <f t="shared" ca="1" si="30"/>
        <v>#N/A</v>
      </c>
      <c r="AA93" t="e">
        <f t="shared" ca="1" si="37"/>
        <v>#N/A</v>
      </c>
      <c r="AB93" t="e">
        <f t="shared" ca="1" si="31"/>
        <v>#N/A</v>
      </c>
      <c r="AC93" t="e">
        <f t="shared" ca="1" si="32"/>
        <v>#N/A</v>
      </c>
      <c r="AD93" s="83">
        <f ca="1"/>
        <v>45377</v>
      </c>
      <c r="AE93" s="55">
        <f t="shared" ca="1" si="41"/>
        <v>45377</v>
      </c>
      <c r="AF93" s="55">
        <f t="shared" ca="1" si="42"/>
        <v>7.8149147677033923</v>
      </c>
      <c r="AG93" s="55">
        <f t="shared" ca="1" si="43"/>
        <v>56.556536318206703</v>
      </c>
      <c r="AH93" s="55">
        <f t="shared" ca="1" si="44"/>
        <v>0</v>
      </c>
      <c r="AI93" s="55">
        <f t="shared" ca="1" si="38"/>
        <v>0</v>
      </c>
      <c r="AJ93" s="55">
        <f t="shared" ca="1" si="39"/>
        <v>20.444721942104291</v>
      </c>
      <c r="AK93" s="55">
        <f t="shared" ca="1" si="40"/>
        <v>3.7554881716794997</v>
      </c>
    </row>
    <row r="94" spans="18:37">
      <c r="R94" s="83" t="e">
        <f ca="1"/>
        <v>#N/A</v>
      </c>
      <c r="S94" s="55" t="e">
        <f t="shared" ca="1" si="33"/>
        <v>#N/A</v>
      </c>
      <c r="T94" s="55" t="e">
        <f t="shared" ca="1" si="27"/>
        <v>#N/A</v>
      </c>
      <c r="U94" s="55" t="e">
        <f t="shared" ca="1" si="28"/>
        <v>#N/A</v>
      </c>
      <c r="V94" s="55" t="e">
        <f t="shared" ca="1" si="29"/>
        <v>#N/A</v>
      </c>
      <c r="W94" s="55" t="e">
        <f t="shared" ca="1" si="34"/>
        <v>#N/A</v>
      </c>
      <c r="X94" s="55" t="e">
        <f t="shared" ca="1" si="35"/>
        <v>#N/A</v>
      </c>
      <c r="Y94" s="55" t="e">
        <f t="shared" ca="1" si="36"/>
        <v>#N/A</v>
      </c>
      <c r="Z94" t="e">
        <f t="shared" ca="1" si="30"/>
        <v>#N/A</v>
      </c>
      <c r="AA94" t="e">
        <f t="shared" ca="1" si="37"/>
        <v>#N/A</v>
      </c>
      <c r="AB94" t="e">
        <f t="shared" ca="1" si="31"/>
        <v>#N/A</v>
      </c>
      <c r="AC94" t="e">
        <f t="shared" ca="1" si="32"/>
        <v>#N/A</v>
      </c>
      <c r="AD94" s="83">
        <f ca="1"/>
        <v>45378</v>
      </c>
      <c r="AE94" s="55">
        <f t="shared" ca="1" si="41"/>
        <v>45378</v>
      </c>
      <c r="AF94" s="55">
        <f t="shared" ca="1" si="42"/>
        <v>6.232522397802164</v>
      </c>
      <c r="AG94" s="55">
        <f t="shared" ca="1" si="43"/>
        <v>58.369908107569358</v>
      </c>
      <c r="AH94" s="55">
        <f t="shared" ca="1" si="44"/>
        <v>0</v>
      </c>
      <c r="AI94" s="55">
        <f t="shared" ca="1" si="38"/>
        <v>0</v>
      </c>
      <c r="AJ94" s="55">
        <f t="shared" ca="1" si="39"/>
        <v>20.666108482926706</v>
      </c>
      <c r="AK94" s="55">
        <f t="shared" ca="1" si="40"/>
        <v>3.7650810503185128</v>
      </c>
    </row>
    <row r="95" spans="18:37">
      <c r="R95" s="83" t="e">
        <f ca="1"/>
        <v>#N/A</v>
      </c>
      <c r="S95" s="55" t="e">
        <f t="shared" ca="1" si="33"/>
        <v>#N/A</v>
      </c>
      <c r="T95" s="55" t="e">
        <f t="shared" ca="1" si="27"/>
        <v>#N/A</v>
      </c>
      <c r="U95" s="55" t="e">
        <f t="shared" ca="1" si="28"/>
        <v>#N/A</v>
      </c>
      <c r="V95" s="55" t="e">
        <f t="shared" ca="1" si="29"/>
        <v>#N/A</v>
      </c>
      <c r="W95" s="55" t="e">
        <f t="shared" ca="1" si="34"/>
        <v>#N/A</v>
      </c>
      <c r="X95" s="55" t="e">
        <f t="shared" ca="1" si="35"/>
        <v>#N/A</v>
      </c>
      <c r="Y95" s="55" t="e">
        <f t="shared" ca="1" si="36"/>
        <v>#N/A</v>
      </c>
      <c r="Z95" t="e">
        <f t="shared" ca="1" si="30"/>
        <v>#N/A</v>
      </c>
      <c r="AA95" t="e">
        <f t="shared" ca="1" si="37"/>
        <v>#N/A</v>
      </c>
      <c r="AB95" t="e">
        <f t="shared" ca="1" si="31"/>
        <v>#N/A</v>
      </c>
      <c r="AC95" t="e">
        <f t="shared" ca="1" si="32"/>
        <v>#N/A</v>
      </c>
      <c r="AD95" s="83">
        <f ca="1"/>
        <v>45379</v>
      </c>
      <c r="AE95" s="55">
        <f t="shared" ca="1" si="41"/>
        <v>45379</v>
      </c>
      <c r="AF95" s="55">
        <f t="shared" ca="1" si="42"/>
        <v>4.5964434486844361</v>
      </c>
      <c r="AG95" s="55">
        <f t="shared" ca="1" si="43"/>
        <v>60.243154448383763</v>
      </c>
      <c r="AH95" s="55">
        <f t="shared" ca="1" si="44"/>
        <v>0</v>
      </c>
      <c r="AI95" s="55">
        <f t="shared" ca="1" si="38"/>
        <v>0</v>
      </c>
      <c r="AJ95" s="55">
        <f t="shared" ca="1" si="39"/>
        <v>20.89347833215264</v>
      </c>
      <c r="AK95" s="55">
        <f t="shared" ca="1" si="40"/>
        <v>3.7748785927892543</v>
      </c>
    </row>
    <row r="96" spans="18:37">
      <c r="R96" s="83" t="e">
        <f ca="1"/>
        <v>#N/A</v>
      </c>
      <c r="S96" s="55" t="e">
        <f t="shared" ca="1" si="33"/>
        <v>#N/A</v>
      </c>
      <c r="T96" s="55" t="e">
        <f t="shared" ca="1" si="27"/>
        <v>#N/A</v>
      </c>
      <c r="U96" s="55" t="e">
        <f t="shared" ca="1" si="28"/>
        <v>#N/A</v>
      </c>
      <c r="V96" s="55" t="e">
        <f t="shared" ca="1" si="29"/>
        <v>#N/A</v>
      </c>
      <c r="W96" s="55" t="e">
        <f t="shared" ca="1" si="34"/>
        <v>#N/A</v>
      </c>
      <c r="X96" s="55" t="e">
        <f t="shared" ca="1" si="35"/>
        <v>#N/A</v>
      </c>
      <c r="Y96" s="55" t="e">
        <f t="shared" ca="1" si="36"/>
        <v>#N/A</v>
      </c>
      <c r="Z96" t="e">
        <f t="shared" ca="1" si="30"/>
        <v>#N/A</v>
      </c>
      <c r="AA96" t="e">
        <f t="shared" ca="1" si="37"/>
        <v>#N/A</v>
      </c>
      <c r="AB96" t="e">
        <f t="shared" ca="1" si="31"/>
        <v>#N/A</v>
      </c>
      <c r="AC96" t="e">
        <f t="shared" ca="1" si="32"/>
        <v>#N/A</v>
      </c>
      <c r="AD96" s="83">
        <f ca="1"/>
        <v>45380</v>
      </c>
      <c r="AE96" s="55">
        <f t="shared" ca="1" si="41"/>
        <v>45380</v>
      </c>
      <c r="AF96" s="55">
        <f t="shared" ca="1" si="42"/>
        <v>2.9516555018008379</v>
      </c>
      <c r="AG96" s="55">
        <f t="shared" ca="1" si="43"/>
        <v>62.114403401422017</v>
      </c>
      <c r="AH96" s="55">
        <f t="shared" ca="1" si="44"/>
        <v>0</v>
      </c>
      <c r="AI96" s="55">
        <f t="shared" ca="1" si="38"/>
        <v>0</v>
      </c>
      <c r="AJ96" s="55">
        <f t="shared" ca="1" si="39"/>
        <v>21.1108956818059</v>
      </c>
      <c r="AK96" s="55">
        <f t="shared" ca="1" si="40"/>
        <v>3.7839222492906486</v>
      </c>
    </row>
    <row r="97" spans="18:37">
      <c r="R97" s="83" t="e">
        <f ca="1"/>
        <v>#N/A</v>
      </c>
      <c r="S97" s="55" t="e">
        <f t="shared" ca="1" si="33"/>
        <v>#N/A</v>
      </c>
      <c r="T97" s="55" t="e">
        <f t="shared" ca="1" si="27"/>
        <v>#N/A</v>
      </c>
      <c r="U97" s="55" t="e">
        <f t="shared" ca="1" si="28"/>
        <v>#N/A</v>
      </c>
      <c r="V97" s="55" t="e">
        <f t="shared" ca="1" si="29"/>
        <v>#N/A</v>
      </c>
      <c r="W97" s="55" t="e">
        <f t="shared" ca="1" si="34"/>
        <v>#N/A</v>
      </c>
      <c r="X97" s="55" t="e">
        <f t="shared" ca="1" si="35"/>
        <v>#N/A</v>
      </c>
      <c r="Y97" s="55" t="e">
        <f t="shared" ca="1" si="36"/>
        <v>#N/A</v>
      </c>
      <c r="Z97" t="e">
        <f t="shared" ca="1" si="30"/>
        <v>#N/A</v>
      </c>
      <c r="AA97" t="e">
        <f t="shared" ca="1" si="37"/>
        <v>#N/A</v>
      </c>
      <c r="AB97" t="e">
        <f t="shared" ca="1" si="31"/>
        <v>#N/A</v>
      </c>
      <c r="AC97" t="e">
        <f t="shared" ca="1" si="32"/>
        <v>#N/A</v>
      </c>
      <c r="AD97" s="83">
        <f ca="1"/>
        <v>45381</v>
      </c>
      <c r="AE97" s="55">
        <f t="shared" ca="1" si="41"/>
        <v>45381</v>
      </c>
      <c r="AF97" s="55">
        <f t="shared" ca="1" si="42"/>
        <v>1.3135737375976015</v>
      </c>
      <c r="AG97" s="55">
        <f t="shared" ca="1" si="43"/>
        <v>63.97904125076434</v>
      </c>
      <c r="AH97" s="55">
        <f t="shared" ca="1" si="44"/>
        <v>0</v>
      </c>
      <c r="AI97" s="55">
        <f t="shared" ca="1" si="38"/>
        <v>0</v>
      </c>
      <c r="AJ97" s="55">
        <f t="shared" ca="1" si="39"/>
        <v>21.328374708838794</v>
      </c>
      <c r="AK97" s="55">
        <f t="shared" ca="1" si="40"/>
        <v>3.7929993073968395</v>
      </c>
    </row>
    <row r="98" spans="18:37">
      <c r="R98" s="83" t="e">
        <f ca="1"/>
        <v>#N/A</v>
      </c>
      <c r="S98" s="55" t="e">
        <f t="shared" ca="1" si="33"/>
        <v>#N/A</v>
      </c>
      <c r="T98" s="55" t="e">
        <f t="shared" ca="1" si="27"/>
        <v>#N/A</v>
      </c>
      <c r="U98" s="55" t="e">
        <f t="shared" ca="1" si="28"/>
        <v>#N/A</v>
      </c>
      <c r="V98" s="55" t="e">
        <f t="shared" ca="1" si="29"/>
        <v>#N/A</v>
      </c>
      <c r="W98" s="55" t="e">
        <f t="shared" ca="1" si="34"/>
        <v>#N/A</v>
      </c>
      <c r="X98" s="55" t="e">
        <f t="shared" ca="1" si="35"/>
        <v>#N/A</v>
      </c>
      <c r="Y98" s="55" t="e">
        <f t="shared" ca="1" si="36"/>
        <v>#N/A</v>
      </c>
      <c r="Z98" t="e">
        <f t="shared" ca="1" si="30"/>
        <v>#N/A</v>
      </c>
      <c r="AA98" t="e">
        <f t="shared" ca="1" si="37"/>
        <v>#N/A</v>
      </c>
      <c r="AB98" t="e">
        <f t="shared" ca="1" si="31"/>
        <v>#N/A</v>
      </c>
      <c r="AC98" t="e">
        <f t="shared" ca="1" si="32"/>
        <v>#N/A</v>
      </c>
      <c r="AD98" s="83">
        <f ca="1"/>
        <v>45382</v>
      </c>
      <c r="AE98" s="55">
        <f t="shared" ca="1" si="41"/>
        <v>45382</v>
      </c>
      <c r="AF98" s="55">
        <f t="shared" ca="1" si="42"/>
        <v>-0.31083903635154586</v>
      </c>
      <c r="AG98" s="55">
        <f t="shared" ca="1" si="43"/>
        <v>65.821755874128769</v>
      </c>
      <c r="AH98" s="55">
        <f t="shared" ca="1" si="44"/>
        <v>0</v>
      </c>
      <c r="AI98" s="55">
        <f t="shared" ca="1" si="38"/>
        <v>0</v>
      </c>
      <c r="AJ98" s="55">
        <f t="shared" ca="1" si="39"/>
        <v>21.538106126458398</v>
      </c>
      <c r="AK98" s="55">
        <f t="shared" ca="1" si="40"/>
        <v>3.8015697391925163</v>
      </c>
    </row>
    <row r="99" spans="18:37">
      <c r="R99" s="83" t="e">
        <f ca="1"/>
        <v>#N/A</v>
      </c>
      <c r="S99" s="55" t="e">
        <f t="shared" ca="1" si="33"/>
        <v>#N/A</v>
      </c>
      <c r="T99" s="55" t="e">
        <f t="shared" ca="1" si="27"/>
        <v>#N/A</v>
      </c>
      <c r="U99" s="55" t="e">
        <f t="shared" ca="1" si="28"/>
        <v>#N/A</v>
      </c>
      <c r="V99" s="55" t="e">
        <f t="shared" ca="1" si="29"/>
        <v>#N/A</v>
      </c>
      <c r="W99" s="55" t="e">
        <f t="shared" ca="1" si="34"/>
        <v>#N/A</v>
      </c>
      <c r="X99" s="55" t="e">
        <f t="shared" ca="1" si="35"/>
        <v>#N/A</v>
      </c>
      <c r="Y99" s="55" t="e">
        <f t="shared" ca="1" si="36"/>
        <v>#N/A</v>
      </c>
      <c r="Z99" t="e">
        <f t="shared" ca="1" si="30"/>
        <v>#N/A</v>
      </c>
      <c r="AA99" t="e">
        <f t="shared" ca="1" si="37"/>
        <v>#N/A</v>
      </c>
      <c r="AB99" t="e">
        <f t="shared" ca="1" si="31"/>
        <v>#N/A</v>
      </c>
      <c r="AC99" t="e">
        <f t="shared" ca="1" si="32"/>
        <v>#N/A</v>
      </c>
      <c r="AD99" s="83">
        <f ca="1"/>
        <v>45383</v>
      </c>
      <c r="AE99" s="55">
        <f t="shared" ca="1" si="41"/>
        <v>45383</v>
      </c>
      <c r="AF99" s="55">
        <f t="shared" ca="1" si="42"/>
        <v>-1.9385550007655834</v>
      </c>
      <c r="AG99" s="55">
        <f t="shared" ca="1" si="43"/>
        <v>67.671735033309531</v>
      </c>
      <c r="AH99" s="55">
        <f t="shared" ca="1" si="44"/>
        <v>0</v>
      </c>
      <c r="AI99" s="55">
        <f t="shared" ca="1" si="38"/>
        <v>0</v>
      </c>
      <c r="AJ99" s="55">
        <f t="shared" ca="1" si="39"/>
        <v>21.751570825817996</v>
      </c>
      <c r="AK99" s="55">
        <f t="shared" ca="1" si="40"/>
        <v>3.8103682345996419</v>
      </c>
    </row>
    <row r="100" spans="18:37">
      <c r="R100" s="83" t="e">
        <f ca="1"/>
        <v>#N/A</v>
      </c>
      <c r="S100" s="55" t="e">
        <f t="shared" ca="1" si="33"/>
        <v>#N/A</v>
      </c>
      <c r="T100" s="55" t="e">
        <f t="shared" ca="1" si="27"/>
        <v>#N/A</v>
      </c>
      <c r="U100" s="55" t="e">
        <f t="shared" ca="1" si="28"/>
        <v>#N/A</v>
      </c>
      <c r="V100" s="55" t="e">
        <f t="shared" ca="1" si="29"/>
        <v>#N/A</v>
      </c>
      <c r="W100" s="55" t="e">
        <f t="shared" ca="1" si="34"/>
        <v>#N/A</v>
      </c>
      <c r="X100" s="55" t="e">
        <f t="shared" ca="1" si="35"/>
        <v>#N/A</v>
      </c>
      <c r="Y100" s="55" t="e">
        <f t="shared" ca="1" si="36"/>
        <v>#N/A</v>
      </c>
      <c r="Z100" t="e">
        <f t="shared" ca="1" si="30"/>
        <v>#N/A</v>
      </c>
      <c r="AA100" t="e">
        <f t="shared" ca="1" si="37"/>
        <v>#N/A</v>
      </c>
      <c r="AB100" t="e">
        <f t="shared" ca="1" si="31"/>
        <v>#N/A</v>
      </c>
      <c r="AC100" t="e">
        <f t="shared" ca="1" si="32"/>
        <v>#N/A</v>
      </c>
      <c r="AD100" s="83">
        <f ca="1"/>
        <v>45384</v>
      </c>
      <c r="AE100" s="55">
        <f t="shared" ca="1" si="41"/>
        <v>45384</v>
      </c>
      <c r="AF100" s="55">
        <f t="shared" ca="1" si="42"/>
        <v>-3.6069021525219349</v>
      </c>
      <c r="AG100" s="55">
        <f t="shared" ca="1" si="43"/>
        <v>69.567326207002452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21.969878098727584</v>
      </c>
      <c r="AK100" s="55">
        <f t="shared" ca="1" si="40"/>
        <v>3.8193049836266222</v>
      </c>
    </row>
    <row r="101" spans="18:37">
      <c r="R101" s="83" t="e">
        <f ca="1"/>
        <v>#N/A</v>
      </c>
      <c r="S101" s="55" t="e">
        <f t="shared" ca="1" si="33"/>
        <v>#N/A</v>
      </c>
      <c r="T101" s="55" t="e">
        <f t="shared" ca="1" si="27"/>
        <v>#N/A</v>
      </c>
      <c r="U101" s="55" t="e">
        <f t="shared" ca="1" si="28"/>
        <v>#N/A</v>
      </c>
      <c r="V101" s="55" t="e">
        <f t="shared" ca="1" si="29"/>
        <v>#N/A</v>
      </c>
      <c r="W101" s="55" t="e">
        <f t="shared" ca="1" si="34"/>
        <v>#N/A</v>
      </c>
      <c r="X101" s="55" t="e">
        <f t="shared" ca="1" si="35"/>
        <v>#N/A</v>
      </c>
      <c r="Y101" s="55" t="e">
        <f t="shared" ca="1" si="36"/>
        <v>#N/A</v>
      </c>
      <c r="Z101" t="e">
        <f t="shared" ca="1" si="30"/>
        <v>#N/A</v>
      </c>
      <c r="AA101" t="e">
        <f t="shared" ca="1" si="37"/>
        <v>#N/A</v>
      </c>
      <c r="AB101" t="e">
        <f t="shared" ca="1" si="31"/>
        <v>#N/A</v>
      </c>
      <c r="AC101" t="e">
        <f t="shared" ca="1" si="32"/>
        <v>#N/A</v>
      </c>
      <c r="AD101" s="83">
        <f ca="1"/>
        <v>45385</v>
      </c>
      <c r="AE101" s="55">
        <f t="shared" ca="1" si="41"/>
        <v>45385</v>
      </c>
      <c r="AF101" s="55">
        <f t="shared" ca="1" si="42"/>
        <v>-5.240622562135945</v>
      </c>
      <c r="AG101" s="55">
        <f t="shared" ca="1" si="43"/>
        <v>71.415908490555694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22.176505424113973</v>
      </c>
      <c r="AK101" s="55">
        <f t="shared" ca="1" si="40"/>
        <v>3.827539532179463</v>
      </c>
    </row>
    <row r="102" spans="18:37">
      <c r="R102" s="83" t="e">
        <f ca="1"/>
        <v>#N/A</v>
      </c>
      <c r="S102" s="55" t="e">
        <f t="shared" ca="1" si="33"/>
        <v>#N/A</v>
      </c>
      <c r="T102" s="55" t="e">
        <f t="shared" ca="1" si="27"/>
        <v>#N/A</v>
      </c>
      <c r="U102" s="55" t="e">
        <f t="shared" ca="1" si="28"/>
        <v>#N/A</v>
      </c>
      <c r="V102" s="55" t="e">
        <f t="shared" ca="1" si="29"/>
        <v>#N/A</v>
      </c>
      <c r="W102" s="55" t="e">
        <f t="shared" ca="1" si="34"/>
        <v>#N/A</v>
      </c>
      <c r="X102" s="55" t="e">
        <f t="shared" ca="1" si="35"/>
        <v>#N/A</v>
      </c>
      <c r="Y102" s="55" t="e">
        <f t="shared" ca="1" si="36"/>
        <v>#N/A</v>
      </c>
      <c r="Z102" t="e">
        <f t="shared" ca="1" si="30"/>
        <v>#N/A</v>
      </c>
      <c r="AA102" t="e">
        <f t="shared" ca="1" si="37"/>
        <v>#N/A</v>
      </c>
      <c r="AB102" t="e">
        <f t="shared" ca="1" si="31"/>
        <v>#N/A</v>
      </c>
      <c r="AC102" t="e">
        <f t="shared" ca="1" si="32"/>
        <v>#N/A</v>
      </c>
      <c r="AD102" s="83">
        <f ca="1"/>
        <v>45386</v>
      </c>
      <c r="AE102" s="55">
        <f t="shared" ca="1" si="41"/>
        <v>45386</v>
      </c>
      <c r="AF102" s="55">
        <f t="shared" ca="1" si="42"/>
        <v>-6.8927996747050955</v>
      </c>
      <c r="AG102" s="55">
        <f t="shared" ca="1" si="43"/>
        <v>73.279357343819115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22.37987262531583</v>
      </c>
      <c r="AK102" s="55">
        <f t="shared" ca="1" si="40"/>
        <v>3.8354440716718763</v>
      </c>
    </row>
    <row r="103" spans="18:37">
      <c r="R103" s="83" t="e">
        <f ca="1"/>
        <v>#N/A</v>
      </c>
      <c r="S103" s="55" t="e">
        <f t="shared" ca="1" si="33"/>
        <v>#N/A</v>
      </c>
      <c r="T103" s="55" t="e">
        <f t="shared" ca="1" si="27"/>
        <v>#N/A</v>
      </c>
      <c r="U103" s="55" t="e">
        <f t="shared" ca="1" si="28"/>
        <v>#N/A</v>
      </c>
      <c r="V103" s="55" t="e">
        <f t="shared" ca="1" si="29"/>
        <v>#N/A</v>
      </c>
      <c r="W103" s="55" t="e">
        <f t="shared" ca="1" si="34"/>
        <v>#N/A</v>
      </c>
      <c r="X103" s="55" t="e">
        <f t="shared" ca="1" si="35"/>
        <v>#N/A</v>
      </c>
      <c r="Y103" s="55" t="e">
        <f t="shared" ca="1" si="36"/>
        <v>#N/A</v>
      </c>
      <c r="Z103" t="e">
        <f t="shared" ca="1" si="30"/>
        <v>#N/A</v>
      </c>
      <c r="AA103" t="e">
        <f t="shared" ca="1" si="37"/>
        <v>#N/A</v>
      </c>
      <c r="AB103" t="e">
        <f t="shared" ca="1" si="31"/>
        <v>#N/A</v>
      </c>
      <c r="AC103" t="e">
        <f t="shared" ca="1" si="32"/>
        <v>#N/A</v>
      </c>
      <c r="AD103" s="83">
        <f ca="1"/>
        <v>45387</v>
      </c>
      <c r="AE103" s="55">
        <f t="shared" ca="1" si="41"/>
        <v>45387</v>
      </c>
      <c r="AF103" s="55">
        <f t="shared" ca="1" si="42"/>
        <v>-8.5568769132942872</v>
      </c>
      <c r="AG103" s="55">
        <f t="shared" ca="1" si="43"/>
        <v>75.159167012546618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22.587499787559519</v>
      </c>
      <c r="AK103" s="55">
        <f t="shared" ca="1" si="40"/>
        <v>3.8435493395664992</v>
      </c>
    </row>
    <row r="104" spans="18:37">
      <c r="R104" s="83" t="e">
        <f ca="1"/>
        <v>#N/A</v>
      </c>
      <c r="S104" s="55" t="e">
        <f t="shared" ca="1" si="33"/>
        <v>#N/A</v>
      </c>
      <c r="T104" s="55" t="e">
        <f t="shared" ca="1" si="27"/>
        <v>#N/A</v>
      </c>
      <c r="U104" s="55" t="e">
        <f t="shared" ca="1" si="28"/>
        <v>#N/A</v>
      </c>
      <c r="V104" s="55" t="e">
        <f t="shared" ca="1" si="29"/>
        <v>#N/A</v>
      </c>
      <c r="W104" s="55" t="e">
        <f t="shared" ca="1" si="34"/>
        <v>#N/A</v>
      </c>
      <c r="X104" s="55" t="e">
        <f t="shared" ca="1" si="35"/>
        <v>#N/A</v>
      </c>
      <c r="Y104" s="55" t="e">
        <f t="shared" ca="1" si="36"/>
        <v>#N/A</v>
      </c>
      <c r="Z104" t="e">
        <f t="shared" ca="1" si="30"/>
        <v>#N/A</v>
      </c>
      <c r="AA104" t="e">
        <f t="shared" ca="1" si="37"/>
        <v>#N/A</v>
      </c>
      <c r="AB104" t="e">
        <f t="shared" ca="1" si="31"/>
        <v>#N/A</v>
      </c>
      <c r="AC104" t="e">
        <f t="shared" ca="1" si="32"/>
        <v>#N/A</v>
      </c>
      <c r="AD104" s="83">
        <f ca="1"/>
        <v>45388</v>
      </c>
      <c r="AE104" s="55">
        <f t="shared" ca="1" si="41"/>
        <v>45388</v>
      </c>
      <c r="AF104" s="55">
        <f t="shared" ca="1" si="42"/>
        <v>-10.22849694500982</v>
      </c>
      <c r="AG104" s="55">
        <f t="shared" ca="1" si="43"/>
        <v>77.045512276691525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22.794257814155138</v>
      </c>
      <c r="AK104" s="55">
        <f t="shared" ca="1" si="40"/>
        <v>3.8515165454002545</v>
      </c>
    </row>
    <row r="105" spans="18:37">
      <c r="R105" s="83" t="e">
        <f ca="1"/>
        <v>#N/A</v>
      </c>
      <c r="S105" s="55" t="e">
        <f t="shared" ca="1" si="33"/>
        <v>#N/A</v>
      </c>
      <c r="T105" s="55" t="e">
        <f t="shared" ca="1" si="27"/>
        <v>#N/A</v>
      </c>
      <c r="U105" s="55" t="e">
        <f t="shared" ca="1" si="28"/>
        <v>#N/A</v>
      </c>
      <c r="V105" s="55" t="e">
        <f t="shared" ca="1" si="29"/>
        <v>#N/A</v>
      </c>
      <c r="W105" s="55" t="e">
        <f t="shared" ca="1" si="34"/>
        <v>#N/A</v>
      </c>
      <c r="X105" s="55" t="e">
        <f t="shared" ca="1" si="35"/>
        <v>#N/A</v>
      </c>
      <c r="Y105" s="55" t="e">
        <f t="shared" ca="1" si="36"/>
        <v>#N/A</v>
      </c>
      <c r="Z105" t="e">
        <f t="shared" ca="1" si="30"/>
        <v>#N/A</v>
      </c>
      <c r="AA105" t="e">
        <f t="shared" ca="1" si="37"/>
        <v>#N/A</v>
      </c>
      <c r="AB105" t="e">
        <f t="shared" ca="1" si="31"/>
        <v>#N/A</v>
      </c>
      <c r="AC105" t="e">
        <f t="shared" ca="1" si="32"/>
        <v>#N/A</v>
      </c>
      <c r="AD105" s="83">
        <f ca="1"/>
        <v>45389</v>
      </c>
      <c r="AE105" s="55">
        <f t="shared" ca="1" si="41"/>
        <v>45389</v>
      </c>
      <c r="AF105" s="55">
        <f t="shared" ca="1" si="42"/>
        <v>-11.869341111966921</v>
      </c>
      <c r="AG105" s="55">
        <f t="shared" ca="1" si="43"/>
        <v>78.900306819461093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23.000248198966734</v>
      </c>
      <c r="AK105" s="55">
        <f t="shared" ca="1" si="40"/>
        <v>3.8594765364011239</v>
      </c>
    </row>
    <row r="106" spans="18:37">
      <c r="R106" s="83" t="e">
        <f ca="1"/>
        <v>#N/A</v>
      </c>
      <c r="S106" s="55" t="e">
        <f t="shared" ca="1" si="33"/>
        <v>#N/A</v>
      </c>
      <c r="T106" s="55" t="e">
        <f t="shared" ca="1" si="27"/>
        <v>#N/A</v>
      </c>
      <c r="U106" s="55" t="e">
        <f t="shared" ca="1" si="28"/>
        <v>#N/A</v>
      </c>
      <c r="V106" s="55" t="e">
        <f t="shared" ca="1" si="29"/>
        <v>#N/A</v>
      </c>
      <c r="W106" s="55" t="e">
        <f t="shared" ca="1" si="34"/>
        <v>#N/A</v>
      </c>
      <c r="X106" s="55" t="e">
        <f t="shared" ca="1" si="35"/>
        <v>#N/A</v>
      </c>
      <c r="Y106" s="55" t="e">
        <f t="shared" ca="1" si="36"/>
        <v>#N/A</v>
      </c>
      <c r="Z106" t="e">
        <f t="shared" ca="1" si="30"/>
        <v>#N/A</v>
      </c>
      <c r="AA106" t="e">
        <f t="shared" ca="1" si="37"/>
        <v>#N/A</v>
      </c>
      <c r="AB106" t="e">
        <f t="shared" ca="1" si="31"/>
        <v>#N/A</v>
      </c>
      <c r="AC106" t="e">
        <f t="shared" ca="1" si="32"/>
        <v>#N/A</v>
      </c>
      <c r="AD106" s="83">
        <f ca="1"/>
        <v>45390</v>
      </c>
      <c r="AE106" s="55">
        <f t="shared" ca="1" si="41"/>
        <v>45390</v>
      </c>
      <c r="AF106" s="55">
        <f t="shared" ca="1" si="42"/>
        <v>-13.463247970045137</v>
      </c>
      <c r="AG106" s="55">
        <f t="shared" ca="1" si="43"/>
        <v>80.71509702125482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23.212711465762862</v>
      </c>
      <c r="AK106" s="55">
        <f t="shared" ca="1" si="40"/>
        <v>3.8678966133205082</v>
      </c>
    </row>
    <row r="107" spans="18:37">
      <c r="R107" s="83" t="e">
        <f ca="1"/>
        <v>#N/A</v>
      </c>
      <c r="S107" s="55" t="e">
        <f t="shared" ca="1" si="33"/>
        <v>#N/A</v>
      </c>
      <c r="T107" s="55" t="e">
        <f t="shared" ca="1" si="27"/>
        <v>#N/A</v>
      </c>
      <c r="U107" s="55" t="e">
        <f t="shared" ca="1" si="28"/>
        <v>#N/A</v>
      </c>
      <c r="V107" s="55" t="e">
        <f t="shared" ca="1" si="29"/>
        <v>#N/A</v>
      </c>
      <c r="W107" s="55" t="e">
        <f t="shared" ca="1" si="34"/>
        <v>#N/A</v>
      </c>
      <c r="X107" s="55" t="e">
        <f t="shared" ca="1" si="35"/>
        <v>#N/A</v>
      </c>
      <c r="Y107" s="55" t="e">
        <f t="shared" ca="1" si="36"/>
        <v>#N/A</v>
      </c>
      <c r="Z107" t="e">
        <f t="shared" ca="1" si="30"/>
        <v>#N/A</v>
      </c>
      <c r="AA107" t="e">
        <f t="shared" ca="1" si="37"/>
        <v>#N/A</v>
      </c>
      <c r="AB107" t="e">
        <f t="shared" ca="1" si="31"/>
        <v>#N/A</v>
      </c>
      <c r="AC107" t="e">
        <f t="shared" ca="1" si="32"/>
        <v>#N/A</v>
      </c>
      <c r="AD107" s="83">
        <f ca="1"/>
        <v>45391</v>
      </c>
      <c r="AE107" s="55">
        <f t="shared" ca="1" si="41"/>
        <v>45391</v>
      </c>
      <c r="AF107" s="55">
        <f t="shared" ca="1" si="42"/>
        <v>-15.049014362389467</v>
      </c>
      <c r="AG107" s="55">
        <f t="shared" ca="1" si="43"/>
        <v>82.521625471911562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23.42512831364624</v>
      </c>
      <c r="AK107" s="55">
        <f t="shared" ca="1" si="40"/>
        <v>3.8762418237495386</v>
      </c>
    </row>
    <row r="108" spans="18:37">
      <c r="R108" s="83" t="e">
        <f ca="1"/>
        <v>#N/A</v>
      </c>
      <c r="S108" s="55" t="e">
        <f t="shared" ca="1" si="33"/>
        <v>#N/A</v>
      </c>
      <c r="T108" s="55" t="e">
        <f t="shared" ca="1" si="27"/>
        <v>#N/A</v>
      </c>
      <c r="U108" s="55" t="e">
        <f t="shared" ca="1" si="28"/>
        <v>#N/A</v>
      </c>
      <c r="V108" s="55" t="e">
        <f t="shared" ca="1" si="29"/>
        <v>#N/A</v>
      </c>
      <c r="W108" s="55" t="e">
        <f t="shared" ca="1" si="34"/>
        <v>#N/A</v>
      </c>
      <c r="X108" s="55" t="e">
        <f t="shared" ca="1" si="35"/>
        <v>#N/A</v>
      </c>
      <c r="Y108" s="55" t="e">
        <f t="shared" ca="1" si="36"/>
        <v>#N/A</v>
      </c>
      <c r="Z108" t="e">
        <f t="shared" ca="1" si="30"/>
        <v>#N/A</v>
      </c>
      <c r="AA108" t="e">
        <f t="shared" ca="1" si="37"/>
        <v>#N/A</v>
      </c>
      <c r="AB108" t="e">
        <f t="shared" ca="1" si="31"/>
        <v>#N/A</v>
      </c>
      <c r="AC108" t="e">
        <f t="shared" ca="1" si="32"/>
        <v>#N/A</v>
      </c>
      <c r="AD108" s="83">
        <f ca="1"/>
        <v>45392</v>
      </c>
      <c r="AE108" s="55">
        <f t="shared" ca="1" si="41"/>
        <v>45392</v>
      </c>
      <c r="AF108" s="55">
        <f t="shared" ca="1" si="42"/>
        <v>-16.598054077847671</v>
      </c>
      <c r="AG108" s="55">
        <f t="shared" ca="1" si="43"/>
        <v>84.287752206564249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23.634068324466355</v>
      </c>
      <c r="AK108" s="55">
        <f t="shared" ca="1" si="40"/>
        <v>3.8843888321239071</v>
      </c>
    </row>
    <row r="109" spans="18:37">
      <c r="R109" s="83" t="e">
        <f ca="1"/>
        <v>#N/A</v>
      </c>
      <c r="S109" s="55" t="e">
        <f t="shared" ca="1" si="33"/>
        <v>#N/A</v>
      </c>
      <c r="T109" s="55" t="e">
        <f t="shared" ca="1" si="27"/>
        <v>#N/A</v>
      </c>
      <c r="U109" s="55" t="e">
        <f t="shared" ca="1" si="28"/>
        <v>#N/A</v>
      </c>
      <c r="V109" s="55" t="e">
        <f t="shared" ca="1" si="29"/>
        <v>#N/A</v>
      </c>
      <c r="W109" s="55" t="e">
        <f t="shared" ca="1" si="34"/>
        <v>#N/A</v>
      </c>
      <c r="X109" s="55" t="e">
        <f t="shared" ca="1" si="35"/>
        <v>#N/A</v>
      </c>
      <c r="Y109" s="55" t="e">
        <f t="shared" ca="1" si="36"/>
        <v>#N/A</v>
      </c>
      <c r="Z109" t="e">
        <f t="shared" ca="1" si="30"/>
        <v>#N/A</v>
      </c>
      <c r="AA109" t="e">
        <f t="shared" ca="1" si="37"/>
        <v>#N/A</v>
      </c>
      <c r="AB109" t="e">
        <f t="shared" ca="1" si="31"/>
        <v>#N/A</v>
      </c>
      <c r="AC109" t="e">
        <f t="shared" ca="1" si="32"/>
        <v>#N/A</v>
      </c>
      <c r="AD109" s="83">
        <f ca="1"/>
        <v>45393</v>
      </c>
      <c r="AE109" s="55">
        <f t="shared" ca="1" si="41"/>
        <v>45393</v>
      </c>
      <c r="AF109" s="55">
        <f t="shared" ca="1" si="42"/>
        <v>-18.152320895316741</v>
      </c>
      <c r="AG109" s="55">
        <f t="shared" ca="1" si="43"/>
        <v>86.068024858110277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23.851970599402932</v>
      </c>
      <c r="AK109" s="55">
        <f t="shared" ca="1" si="40"/>
        <v>3.8924923912642857</v>
      </c>
    </row>
    <row r="110" spans="18:37">
      <c r="R110" s="83" t="e">
        <f ca="1"/>
        <v>#N/A</v>
      </c>
      <c r="S110" s="55" t="e">
        <f t="shared" ca="1" si="33"/>
        <v>#N/A</v>
      </c>
      <c r="T110" s="55" t="e">
        <f t="shared" ca="1" si="27"/>
        <v>#N/A</v>
      </c>
      <c r="U110" s="55" t="e">
        <f t="shared" ca="1" si="28"/>
        <v>#N/A</v>
      </c>
      <c r="V110" s="55" t="e">
        <f t="shared" ca="1" si="29"/>
        <v>#N/A</v>
      </c>
      <c r="W110" s="55" t="e">
        <f t="shared" ca="1" si="34"/>
        <v>#N/A</v>
      </c>
      <c r="X110" s="55" t="e">
        <f t="shared" ca="1" si="35"/>
        <v>#N/A</v>
      </c>
      <c r="Y110" s="55" t="e">
        <f t="shared" ca="1" si="36"/>
        <v>#N/A</v>
      </c>
      <c r="Z110" t="e">
        <f t="shared" ca="1" si="30"/>
        <v>#N/A</v>
      </c>
      <c r="AA110" t="e">
        <f t="shared" ca="1" si="37"/>
        <v>#N/A</v>
      </c>
      <c r="AB110" t="e">
        <f t="shared" ca="1" si="31"/>
        <v>#N/A</v>
      </c>
      <c r="AC110" t="e">
        <f t="shared" ca="1" si="32"/>
        <v>#N/A</v>
      </c>
      <c r="AD110" s="83">
        <f ca="1"/>
        <v>45394</v>
      </c>
      <c r="AE110" s="55">
        <f t="shared" ca="1" si="41"/>
        <v>45394</v>
      </c>
      <c r="AF110" s="55">
        <f t="shared" ca="1" si="42"/>
        <v>-19.749030848069619</v>
      </c>
      <c r="AG110" s="55">
        <f t="shared" ca="1" si="43"/>
        <v>87.894915919451364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24.074020777894898</v>
      </c>
      <c r="AK110" s="55">
        <f t="shared" ca="1" si="40"/>
        <v>3.9006233213605279</v>
      </c>
    </row>
    <row r="111" spans="18:37">
      <c r="R111" s="83" t="e">
        <f ca="1"/>
        <v>#N/A</v>
      </c>
      <c r="S111" s="55" t="e">
        <f t="shared" ca="1" si="33"/>
        <v>#N/A</v>
      </c>
      <c r="T111" s="55" t="e">
        <f t="shared" ca="1" si="27"/>
        <v>#N/A</v>
      </c>
      <c r="U111" s="55" t="e">
        <f t="shared" ca="1" si="28"/>
        <v>#N/A</v>
      </c>
      <c r="V111" s="55" t="e">
        <f t="shared" ca="1" si="29"/>
        <v>#N/A</v>
      </c>
      <c r="W111" s="55" t="e">
        <f t="shared" ca="1" si="34"/>
        <v>#N/A</v>
      </c>
      <c r="X111" s="55" t="e">
        <f t="shared" ca="1" si="35"/>
        <v>#N/A</v>
      </c>
      <c r="Y111" s="55" t="e">
        <f t="shared" ca="1" si="36"/>
        <v>#N/A</v>
      </c>
      <c r="Z111" t="e">
        <f t="shared" ca="1" si="30"/>
        <v>#N/A</v>
      </c>
      <c r="AA111" t="e">
        <f t="shared" ca="1" si="37"/>
        <v>#N/A</v>
      </c>
      <c r="AB111" t="e">
        <f t="shared" ca="1" si="31"/>
        <v>#N/A</v>
      </c>
      <c r="AC111" t="e">
        <f t="shared" ca="1" si="32"/>
        <v>#N/A</v>
      </c>
      <c r="AD111" s="83">
        <f ca="1"/>
        <v>45395</v>
      </c>
      <c r="AE111" s="55">
        <f t="shared" ca="1" si="41"/>
        <v>45395</v>
      </c>
      <c r="AF111" s="55">
        <f t="shared" ca="1" si="42"/>
        <v>-21.295828373188272</v>
      </c>
      <c r="AG111" s="55">
        <f t="shared" ca="1" si="43"/>
        <v>89.671722934325743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24.296180078471689</v>
      </c>
      <c r="AK111" s="55">
        <f t="shared" ca="1" si="40"/>
        <v>3.9084735105394621</v>
      </c>
    </row>
    <row r="112" spans="18:37">
      <c r="R112" s="83" t="e">
        <f ca="1"/>
        <v>#N/A</v>
      </c>
      <c r="S112" s="55" t="e">
        <f t="shared" ca="1" si="33"/>
        <v>#N/A</v>
      </c>
      <c r="T112" s="55" t="e">
        <f t="shared" ca="1" si="27"/>
        <v>#N/A</v>
      </c>
      <c r="U112" s="55" t="e">
        <f t="shared" ca="1" si="28"/>
        <v>#N/A</v>
      </c>
      <c r="V112" s="55" t="e">
        <f t="shared" ca="1" si="29"/>
        <v>#N/A</v>
      </c>
      <c r="W112" s="55" t="e">
        <f t="shared" ca="1" si="34"/>
        <v>#N/A</v>
      </c>
      <c r="X112" s="55" t="e">
        <f t="shared" ca="1" si="35"/>
        <v>#N/A</v>
      </c>
      <c r="Y112" s="55" t="e">
        <f t="shared" ca="1" si="36"/>
        <v>#N/A</v>
      </c>
      <c r="Z112" t="e">
        <f t="shared" ca="1" si="30"/>
        <v>#N/A</v>
      </c>
      <c r="AA112" t="e">
        <f t="shared" ca="1" si="37"/>
        <v>#N/A</v>
      </c>
      <c r="AB112" t="e">
        <f t="shared" ca="1" si="31"/>
        <v>#N/A</v>
      </c>
      <c r="AC112" t="e">
        <f t="shared" ca="1" si="32"/>
        <v>#N/A</v>
      </c>
      <c r="AD112" s="83">
        <f ca="1"/>
        <v>45396</v>
      </c>
      <c r="AE112" s="55">
        <f t="shared" ca="1" si="41"/>
        <v>45396</v>
      </c>
      <c r="AF112" s="55">
        <f t="shared" ca="1" si="42"/>
        <v>-22.812379838575783</v>
      </c>
      <c r="AG112" s="55">
        <f t="shared" ca="1" si="43"/>
        <v>91.417478932629678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24.517741098563977</v>
      </c>
      <c r="AK112" s="55">
        <f t="shared" ca="1" si="40"/>
        <v>3.9161170233635976</v>
      </c>
    </row>
    <row r="113" spans="18:37">
      <c r="R113" s="83" t="e">
        <f ca="1"/>
        <v>#N/A</v>
      </c>
      <c r="S113" s="55" t="e">
        <f t="shared" ca="1" si="33"/>
        <v>#N/A</v>
      </c>
      <c r="T113" s="55" t="e">
        <f t="shared" ca="1" si="27"/>
        <v>#N/A</v>
      </c>
      <c r="U113" s="55" t="e">
        <f t="shared" ca="1" si="28"/>
        <v>#N/A</v>
      </c>
      <c r="V113" s="55" t="e">
        <f t="shared" ca="1" si="29"/>
        <v>#N/A</v>
      </c>
      <c r="W113" s="55" t="e">
        <f t="shared" ca="1" si="34"/>
        <v>#N/A</v>
      </c>
      <c r="X113" s="55" t="e">
        <f t="shared" ca="1" si="35"/>
        <v>#N/A</v>
      </c>
      <c r="Y113" s="55" t="e">
        <f t="shared" ca="1" si="36"/>
        <v>#N/A</v>
      </c>
      <c r="Z113" t="e">
        <f t="shared" ca="1" si="30"/>
        <v>#N/A</v>
      </c>
      <c r="AA113" t="e">
        <f t="shared" ca="1" si="37"/>
        <v>#N/A</v>
      </c>
      <c r="AB113" t="e">
        <f t="shared" ca="1" si="31"/>
        <v>#N/A</v>
      </c>
      <c r="AC113" t="e">
        <f t="shared" ca="1" si="32"/>
        <v>#N/A</v>
      </c>
      <c r="AD113" s="83">
        <f ca="1"/>
        <v>45397</v>
      </c>
      <c r="AE113" s="55">
        <f t="shared" ca="1" si="41"/>
        <v>45397</v>
      </c>
      <c r="AF113" s="55">
        <f t="shared" ca="1" si="42"/>
        <v>-24.395527340669155</v>
      </c>
      <c r="AG113" s="55">
        <f t="shared" ca="1" si="43"/>
        <v>93.247414290487939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24.756729635201019</v>
      </c>
      <c r="AK113" s="55">
        <f t="shared" ca="1" si="40"/>
        <v>3.9239163424914447</v>
      </c>
    </row>
    <row r="114" spans="18:37">
      <c r="R114" s="83" t="e">
        <f ca="1"/>
        <v>#N/A</v>
      </c>
      <c r="S114" s="55" t="e">
        <f t="shared" ca="1" si="33"/>
        <v>#N/A</v>
      </c>
      <c r="T114" s="55" t="e">
        <f t="shared" ca="1" si="27"/>
        <v>#N/A</v>
      </c>
      <c r="U114" s="55" t="e">
        <f t="shared" ca="1" si="28"/>
        <v>#N/A</v>
      </c>
      <c r="V114" s="55" t="e">
        <f t="shared" ca="1" si="29"/>
        <v>#N/A</v>
      </c>
      <c r="W114" s="55" t="e">
        <f t="shared" ca="1" si="34"/>
        <v>#N/A</v>
      </c>
      <c r="X114" s="55" t="e">
        <f t="shared" ca="1" si="35"/>
        <v>#N/A</v>
      </c>
      <c r="Y114" s="55" t="e">
        <f t="shared" ca="1" si="36"/>
        <v>#N/A</v>
      </c>
      <c r="Z114" t="e">
        <f t="shared" ca="1" si="30"/>
        <v>#N/A</v>
      </c>
      <c r="AA114" t="e">
        <f t="shared" ca="1" si="37"/>
        <v>#N/A</v>
      </c>
      <c r="AB114" t="e">
        <f t="shared" ca="1" si="31"/>
        <v>#N/A</v>
      </c>
      <c r="AC114" t="e">
        <f t="shared" ca="1" si="32"/>
        <v>#N/A</v>
      </c>
      <c r="AD114" s="83">
        <f ca="1"/>
        <v>45398</v>
      </c>
      <c r="AE114" s="55">
        <f t="shared" ca="1" si="41"/>
        <v>45398</v>
      </c>
      <c r="AF114" s="55">
        <f t="shared" ca="1" si="42"/>
        <v>-25.934736123461647</v>
      </c>
      <c r="AG114" s="55">
        <f t="shared" ca="1" si="43"/>
        <v>95.031846385948256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24.994397419240414</v>
      </c>
      <c r="AK114" s="55">
        <f t="shared" ca="1" si="40"/>
        <v>3.9314718711198733</v>
      </c>
    </row>
    <row r="115" spans="18:37">
      <c r="R115" s="83" t="e">
        <f ca="1"/>
        <v>#N/A</v>
      </c>
      <c r="S115" s="55" t="e">
        <f t="shared" ca="1" si="33"/>
        <v>#N/A</v>
      </c>
      <c r="T115" s="55" t="e">
        <f t="shared" ca="1" si="27"/>
        <v>#N/A</v>
      </c>
      <c r="U115" s="55" t="e">
        <f t="shared" ca="1" si="28"/>
        <v>#N/A</v>
      </c>
      <c r="V115" s="55" t="e">
        <f t="shared" ca="1" si="29"/>
        <v>#N/A</v>
      </c>
      <c r="W115" s="55" t="e">
        <f t="shared" ca="1" si="34"/>
        <v>#N/A</v>
      </c>
      <c r="X115" s="55" t="e">
        <f t="shared" ca="1" si="35"/>
        <v>#N/A</v>
      </c>
      <c r="Y115" s="55" t="e">
        <f t="shared" ca="1" si="36"/>
        <v>#N/A</v>
      </c>
      <c r="Z115" t="e">
        <f t="shared" ca="1" si="30"/>
        <v>#N/A</v>
      </c>
      <c r="AA115" t="e">
        <f t="shared" ca="1" si="37"/>
        <v>#N/A</v>
      </c>
      <c r="AB115" t="e">
        <f t="shared" ca="1" si="31"/>
        <v>#N/A</v>
      </c>
      <c r="AC115" t="e">
        <f t="shared" ca="1" si="32"/>
        <v>#N/A</v>
      </c>
      <c r="AD115" s="83">
        <f ca="1"/>
        <v>45399</v>
      </c>
      <c r="AE115" s="55">
        <f t="shared" ca="1" si="41"/>
        <v>45399</v>
      </c>
      <c r="AF115" s="55">
        <f t="shared" ca="1" si="42"/>
        <v>-27.468007853377109</v>
      </c>
      <c r="AG115" s="55">
        <f t="shared" ca="1" si="43"/>
        <v>96.814523013583596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25.236347845277763</v>
      </c>
      <c r="AK115" s="55">
        <f t="shared" ca="1" si="40"/>
        <v>3.9389263428024002</v>
      </c>
    </row>
    <row r="116" spans="18:37">
      <c r="R116" s="83" t="e">
        <f ca="1"/>
        <v>#N/A</v>
      </c>
      <c r="S116" s="55" t="e">
        <f t="shared" ca="1" si="33"/>
        <v>#N/A</v>
      </c>
      <c r="T116" s="55" t="e">
        <f t="shared" ca="1" si="27"/>
        <v>#N/A</v>
      </c>
      <c r="U116" s="55" t="e">
        <f t="shared" ca="1" si="28"/>
        <v>#N/A</v>
      </c>
      <c r="V116" s="55" t="e">
        <f t="shared" ca="1" si="29"/>
        <v>#N/A</v>
      </c>
      <c r="W116" s="55" t="e">
        <f t="shared" ca="1" si="34"/>
        <v>#N/A</v>
      </c>
      <c r="X116" s="55" t="e">
        <f t="shared" ca="1" si="35"/>
        <v>#N/A</v>
      </c>
      <c r="Y116" s="55" t="e">
        <f t="shared" ca="1" si="36"/>
        <v>#N/A</v>
      </c>
      <c r="Z116" t="e">
        <f t="shared" ca="1" si="30"/>
        <v>#N/A</v>
      </c>
      <c r="AA116" t="e">
        <f t="shared" ca="1" si="37"/>
        <v>#N/A</v>
      </c>
      <c r="AB116" t="e">
        <f t="shared" ca="1" si="31"/>
        <v>#N/A</v>
      </c>
      <c r="AC116" t="e">
        <f t="shared" ca="1" si="32"/>
        <v>#N/A</v>
      </c>
      <c r="AD116" s="83">
        <f ca="1"/>
        <v>45400</v>
      </c>
      <c r="AE116" s="55">
        <f t="shared" ca="1" si="41"/>
        <v>45400</v>
      </c>
      <c r="AF116" s="55">
        <f t="shared" ca="1" si="42"/>
        <v>-28.961137925972139</v>
      </c>
      <c r="AG116" s="55">
        <f t="shared" ca="1" si="43"/>
        <v>98.553117960106732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25.474579040213779</v>
      </c>
      <c r="AK116" s="55">
        <f t="shared" ca="1" si="40"/>
        <v>3.9461600217944897</v>
      </c>
    </row>
    <row r="117" spans="18:37">
      <c r="R117" s="83" t="e">
        <f ca="1"/>
        <v>#N/A</v>
      </c>
      <c r="S117" s="55" t="e">
        <f t="shared" ca="1" si="33"/>
        <v>#N/A</v>
      </c>
      <c r="T117" s="55" t="e">
        <f t="shared" ca="1" si="27"/>
        <v>#N/A</v>
      </c>
      <c r="U117" s="55" t="e">
        <f t="shared" ca="1" si="28"/>
        <v>#N/A</v>
      </c>
      <c r="V117" s="55" t="e">
        <f t="shared" ca="1" si="29"/>
        <v>#N/A</v>
      </c>
      <c r="W117" s="55" t="e">
        <f t="shared" ca="1" si="34"/>
        <v>#N/A</v>
      </c>
      <c r="X117" s="55" t="e">
        <f t="shared" ca="1" si="35"/>
        <v>#N/A</v>
      </c>
      <c r="Y117" s="55" t="e">
        <f t="shared" ca="1" si="36"/>
        <v>#N/A</v>
      </c>
      <c r="Z117" t="e">
        <f t="shared" ca="1" si="30"/>
        <v>#N/A</v>
      </c>
      <c r="AA117" t="e">
        <f t="shared" ca="1" si="37"/>
        <v>#N/A</v>
      </c>
      <c r="AB117" t="e">
        <f t="shared" ca="1" si="31"/>
        <v>#N/A</v>
      </c>
      <c r="AC117" t="e">
        <f t="shared" ca="1" si="32"/>
        <v>#N/A</v>
      </c>
      <c r="AD117" s="83">
        <f ca="1"/>
        <v>45401</v>
      </c>
      <c r="AE117" s="55">
        <f t="shared" ca="1" si="41"/>
        <v>45401</v>
      </c>
      <c r="AF117" s="55">
        <f t="shared" ca="1" si="42"/>
        <v>-30.483721152207423</v>
      </c>
      <c r="AG117" s="55">
        <f t="shared" ca="1" si="43"/>
        <v>100.3219426630048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25.713582229982801</v>
      </c>
      <c r="AK117" s="55">
        <f t="shared" ca="1" si="40"/>
        <v>3.9533983086882571</v>
      </c>
    </row>
    <row r="118" spans="18:37">
      <c r="R118" s="83" t="e">
        <f ca="1"/>
        <v>#N/A</v>
      </c>
      <c r="S118" s="55" t="e">
        <f t="shared" ca="1" si="33"/>
        <v>#N/A</v>
      </c>
      <c r="T118" s="55" t="e">
        <f t="shared" ca="1" si="27"/>
        <v>#N/A</v>
      </c>
      <c r="U118" s="55" t="e">
        <f t="shared" ca="1" si="28"/>
        <v>#N/A</v>
      </c>
      <c r="V118" s="55" t="e">
        <f t="shared" ca="1" si="29"/>
        <v>#N/A</v>
      </c>
      <c r="W118" s="55" t="e">
        <f t="shared" ca="1" si="34"/>
        <v>#N/A</v>
      </c>
      <c r="X118" s="55" t="e">
        <f t="shared" ca="1" si="35"/>
        <v>#N/A</v>
      </c>
      <c r="Y118" s="55" t="e">
        <f t="shared" ca="1" si="36"/>
        <v>#N/A</v>
      </c>
      <c r="Z118" t="e">
        <f t="shared" ca="1" si="30"/>
        <v>#N/A</v>
      </c>
      <c r="AA118" t="e">
        <f t="shared" ca="1" si="37"/>
        <v>#N/A</v>
      </c>
      <c r="AB118" t="e">
        <f t="shared" ca="1" si="31"/>
        <v>#N/A</v>
      </c>
      <c r="AC118" t="e">
        <f t="shared" ca="1" si="32"/>
        <v>#N/A</v>
      </c>
      <c r="AD118" s="83">
        <f ca="1"/>
        <v>45402</v>
      </c>
      <c r="AE118" s="55">
        <f t="shared" ca="1" si="41"/>
        <v>45402</v>
      </c>
      <c r="AF118" s="55">
        <f t="shared" ca="1" si="42"/>
        <v>-31.966313229030554</v>
      </c>
      <c r="AG118" s="55">
        <f t="shared" ca="1" si="43"/>
        <v>102.05775058885952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25.959736274154775</v>
      </c>
      <c r="AK118" s="55">
        <f t="shared" ca="1" si="40"/>
        <v>3.9604601135478692</v>
      </c>
    </row>
    <row r="119" spans="18:37">
      <c r="R119" s="83" t="e">
        <f ca="1"/>
        <v>#N/A</v>
      </c>
      <c r="S119" s="55" t="e">
        <f t="shared" ca="1" si="33"/>
        <v>#N/A</v>
      </c>
      <c r="T119" s="55" t="e">
        <f t="shared" ca="1" si="27"/>
        <v>#N/A</v>
      </c>
      <c r="U119" s="55" t="e">
        <f t="shared" ca="1" si="28"/>
        <v>#N/A</v>
      </c>
      <c r="V119" s="55" t="e">
        <f t="shared" ca="1" si="29"/>
        <v>#N/A</v>
      </c>
      <c r="W119" s="55" t="e">
        <f t="shared" ca="1" si="34"/>
        <v>#N/A</v>
      </c>
      <c r="X119" s="55" t="e">
        <f t="shared" ca="1" si="35"/>
        <v>#N/A</v>
      </c>
      <c r="Y119" s="55" t="e">
        <f t="shared" ca="1" si="36"/>
        <v>#N/A</v>
      </c>
      <c r="Z119" t="e">
        <f t="shared" ca="1" si="30"/>
        <v>#N/A</v>
      </c>
      <c r="AA119" t="e">
        <f t="shared" ca="1" si="37"/>
        <v>#N/A</v>
      </c>
      <c r="AB119" t="e">
        <f t="shared" ca="1" si="31"/>
        <v>#N/A</v>
      </c>
      <c r="AC119" t="e">
        <f t="shared" ca="1" si="32"/>
        <v>#N/A</v>
      </c>
      <c r="AD119" s="83">
        <f ca="1"/>
        <v>45403</v>
      </c>
      <c r="AE119" s="55">
        <f t="shared" ca="1" si="41"/>
        <v>45403</v>
      </c>
      <c r="AF119" s="55">
        <f t="shared" ca="1" si="42"/>
        <v>-33.324153858155491</v>
      </c>
      <c r="AG119" s="55">
        <f t="shared" ca="1" si="43"/>
        <v>103.6614027380069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26.198929544330475</v>
      </c>
      <c r="AK119" s="55">
        <f t="shared" ca="1" si="40"/>
        <v>3.9670783633946098</v>
      </c>
    </row>
    <row r="120" spans="18:37">
      <c r="R120" s="83" t="e">
        <f ca="1"/>
        <v>#N/A</v>
      </c>
      <c r="S120" s="55" t="e">
        <f t="shared" ca="1" si="33"/>
        <v>#N/A</v>
      </c>
      <c r="T120" s="55" t="e">
        <f t="shared" ca="1" si="27"/>
        <v>#N/A</v>
      </c>
      <c r="U120" s="55" t="e">
        <f t="shared" ca="1" si="28"/>
        <v>#N/A</v>
      </c>
      <c r="V120" s="55" t="e">
        <f t="shared" ca="1" si="29"/>
        <v>#N/A</v>
      </c>
      <c r="W120" s="55" t="e">
        <f t="shared" ca="1" si="34"/>
        <v>#N/A</v>
      </c>
      <c r="X120" s="55" t="e">
        <f t="shared" ca="1" si="35"/>
        <v>#N/A</v>
      </c>
      <c r="Y120" s="55" t="e">
        <f t="shared" ca="1" si="36"/>
        <v>#N/A</v>
      </c>
      <c r="Z120" t="e">
        <f t="shared" ca="1" si="30"/>
        <v>#N/A</v>
      </c>
      <c r="AA120" t="e">
        <f t="shared" ca="1" si="37"/>
        <v>#N/A</v>
      </c>
      <c r="AB120" t="e">
        <f t="shared" ca="1" si="31"/>
        <v>#N/A</v>
      </c>
      <c r="AC120" t="e">
        <f t="shared" ca="1" si="32"/>
        <v>#N/A</v>
      </c>
      <c r="AD120" s="83">
        <f ca="1"/>
        <v>45404</v>
      </c>
      <c r="AE120" s="55">
        <f t="shared" ca="1" si="41"/>
        <v>45404</v>
      </c>
      <c r="AF120" s="55">
        <f t="shared" ca="1" si="42"/>
        <v>-34.695230518301734</v>
      </c>
      <c r="AG120" s="55">
        <f t="shared" ca="1" si="43"/>
        <v>105.28153312358032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26.441386702126643</v>
      </c>
      <c r="AK120" s="55">
        <f t="shared" ca="1" si="40"/>
        <v>3.9736749310256196</v>
      </c>
    </row>
    <row r="121" spans="18:37">
      <c r="R121" s="83" t="e">
        <f ca="1"/>
        <v>#N/A</v>
      </c>
      <c r="S121" s="55" t="e">
        <f t="shared" ca="1" si="33"/>
        <v>#N/A</v>
      </c>
      <c r="T121" s="55" t="e">
        <f t="shared" ca="1" si="27"/>
        <v>#N/A</v>
      </c>
      <c r="U121" s="55" t="e">
        <f t="shared" ca="1" si="28"/>
        <v>#N/A</v>
      </c>
      <c r="V121" s="55" t="e">
        <f t="shared" ca="1" si="29"/>
        <v>#N/A</v>
      </c>
      <c r="W121" s="55" t="e">
        <f t="shared" ca="1" si="34"/>
        <v>#N/A</v>
      </c>
      <c r="X121" s="55" t="e">
        <f t="shared" ca="1" si="35"/>
        <v>#N/A</v>
      </c>
      <c r="Y121" s="55" t="e">
        <f t="shared" ca="1" si="36"/>
        <v>#N/A</v>
      </c>
      <c r="Z121" t="e">
        <f t="shared" ca="1" si="30"/>
        <v>#N/A</v>
      </c>
      <c r="AA121" t="e">
        <f t="shared" ca="1" si="37"/>
        <v>#N/A</v>
      </c>
      <c r="AB121" t="e">
        <f t="shared" ca="1" si="31"/>
        <v>#N/A</v>
      </c>
      <c r="AC121" t="e">
        <f t="shared" ca="1" si="32"/>
        <v>#N/A</v>
      </c>
      <c r="AD121" s="83">
        <f ca="1"/>
        <v>45405</v>
      </c>
      <c r="AE121" s="55">
        <f t="shared" ca="1" si="41"/>
        <v>45405</v>
      </c>
      <c r="AF121" s="55">
        <f t="shared" ca="1" si="42"/>
        <v>-36.016497287957328</v>
      </c>
      <c r="AG121" s="55">
        <f t="shared" ca="1" si="43"/>
        <v>106.86058458139576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26.692748978817121</v>
      </c>
      <c r="AK121" s="55">
        <f t="shared" ca="1" si="40"/>
        <v>3.9800973424949886</v>
      </c>
    </row>
    <row r="122" spans="18:37">
      <c r="R122" s="83" t="e">
        <f ca="1"/>
        <v>#N/A</v>
      </c>
      <c r="S122" s="55" t="e">
        <f t="shared" ca="1" si="33"/>
        <v>#N/A</v>
      </c>
      <c r="T122" s="55" t="e">
        <f t="shared" ca="1" si="27"/>
        <v>#N/A</v>
      </c>
      <c r="U122" s="55" t="e">
        <f t="shared" ca="1" si="28"/>
        <v>#N/A</v>
      </c>
      <c r="V122" s="55" t="e">
        <f t="shared" ca="1" si="29"/>
        <v>#N/A</v>
      </c>
      <c r="W122" s="55" t="e">
        <f t="shared" ca="1" si="34"/>
        <v>#N/A</v>
      </c>
      <c r="X122" s="55" t="e">
        <f t="shared" ca="1" si="35"/>
        <v>#N/A</v>
      </c>
      <c r="Y122" s="55" t="e">
        <f t="shared" ca="1" si="36"/>
        <v>#N/A</v>
      </c>
      <c r="Z122" t="e">
        <f t="shared" ca="1" si="30"/>
        <v>#N/A</v>
      </c>
      <c r="AA122" t="e">
        <f t="shared" ca="1" si="37"/>
        <v>#N/A</v>
      </c>
      <c r="AB122" t="e">
        <f t="shared" ca="1" si="31"/>
        <v>#N/A</v>
      </c>
      <c r="AC122" t="e">
        <f t="shared" ca="1" si="32"/>
        <v>#N/A</v>
      </c>
      <c r="AD122" s="83">
        <f ca="1"/>
        <v>45406</v>
      </c>
      <c r="AE122" s="55">
        <f t="shared" ca="1" si="41"/>
        <v>45406</v>
      </c>
      <c r="AF122" s="55">
        <f t="shared" ca="1" si="42"/>
        <v>-37.337582221272527</v>
      </c>
      <c r="AG122" s="55">
        <f t="shared" ca="1" si="43"/>
        <v>108.4750373151127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26.979658895859973</v>
      </c>
      <c r="AK122" s="55">
        <f t="shared" ca="1" si="40"/>
        <v>3.9865552258538903</v>
      </c>
    </row>
    <row r="123" spans="18:37">
      <c r="R123" s="83" t="e">
        <f ca="1"/>
        <v>#N/A</v>
      </c>
      <c r="S123" s="55" t="e">
        <f t="shared" ca="1" si="33"/>
        <v>#N/A</v>
      </c>
      <c r="T123" s="55" t="e">
        <f t="shared" ca="1" si="27"/>
        <v>#N/A</v>
      </c>
      <c r="U123" s="55" t="e">
        <f t="shared" ca="1" si="28"/>
        <v>#N/A</v>
      </c>
      <c r="V123" s="55" t="e">
        <f t="shared" ca="1" si="29"/>
        <v>#N/A</v>
      </c>
      <c r="W123" s="55" t="e">
        <f t="shared" ca="1" si="34"/>
        <v>#N/A</v>
      </c>
      <c r="X123" s="55" t="e">
        <f t="shared" ca="1" si="35"/>
        <v>#N/A</v>
      </c>
      <c r="Y123" s="55" t="e">
        <f t="shared" ca="1" si="36"/>
        <v>#N/A</v>
      </c>
      <c r="Z123" t="e">
        <f t="shared" ca="1" si="30"/>
        <v>#N/A</v>
      </c>
      <c r="AA123" t="e">
        <f t="shared" ca="1" si="37"/>
        <v>#N/A</v>
      </c>
      <c r="AB123" t="e">
        <f t="shared" ca="1" si="31"/>
        <v>#N/A</v>
      </c>
      <c r="AC123" t="e">
        <f t="shared" ca="1" si="32"/>
        <v>#N/A</v>
      </c>
      <c r="AD123" s="83">
        <f ca="1"/>
        <v>45407</v>
      </c>
      <c r="AE123" s="55">
        <f t="shared" ca="1" si="41"/>
        <v>45407</v>
      </c>
      <c r="AF123" s="55">
        <f t="shared" ca="1" si="42"/>
        <v>-38.67003695517333</v>
      </c>
      <c r="AG123" s="55">
        <f t="shared" ca="1" si="43"/>
        <v>110.11390301113495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27.279602850885418</v>
      </c>
      <c r="AK123" s="55">
        <f t="shared" ca="1" si="40"/>
        <v>3.9930222329498886</v>
      </c>
    </row>
    <row r="124" spans="18:37">
      <c r="R124" s="83" t="e">
        <f ca="1"/>
        <v>#N/A</v>
      </c>
      <c r="S124" s="55" t="e">
        <f t="shared" ca="1" si="33"/>
        <v>#N/A</v>
      </c>
      <c r="T124" s="55" t="e">
        <f t="shared" ca="1" si="27"/>
        <v>#N/A</v>
      </c>
      <c r="U124" s="55" t="e">
        <f t="shared" ca="1" si="28"/>
        <v>#N/A</v>
      </c>
      <c r="V124" s="55" t="e">
        <f t="shared" ca="1" si="29"/>
        <v>#N/A</v>
      </c>
      <c r="W124" s="55" t="e">
        <f t="shared" ca="1" si="34"/>
        <v>#N/A</v>
      </c>
      <c r="X124" s="55" t="e">
        <f t="shared" ca="1" si="35"/>
        <v>#N/A</v>
      </c>
      <c r="Y124" s="55" t="e">
        <f t="shared" ca="1" si="36"/>
        <v>#N/A</v>
      </c>
      <c r="Z124" t="e">
        <f t="shared" ca="1" si="30"/>
        <v>#N/A</v>
      </c>
      <c r="AA124" t="e">
        <f t="shared" ca="1" si="37"/>
        <v>#N/A</v>
      </c>
      <c r="AB124" t="e">
        <f t="shared" ca="1" si="31"/>
        <v>#N/A</v>
      </c>
      <c r="AC124" t="e">
        <f t="shared" ca="1" si="32"/>
        <v>#N/A</v>
      </c>
      <c r="AD124" s="83">
        <f ca="1"/>
        <v>45408</v>
      </c>
      <c r="AE124" s="55">
        <f t="shared" ca="1" si="41"/>
        <v>45408</v>
      </c>
      <c r="AF124" s="55">
        <f t="shared" ca="1" si="42"/>
        <v>-40.037273352877641</v>
      </c>
      <c r="AG124" s="55">
        <f t="shared" ca="1" si="43"/>
        <v>111.8030132873746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27.59492535205197</v>
      </c>
      <c r="AK124" s="55">
        <f t="shared" ca="1" si="40"/>
        <v>3.9995736103186754</v>
      </c>
    </row>
    <row r="125" spans="18:37">
      <c r="R125" s="83" t="e">
        <f ca="1"/>
        <v>#N/A</v>
      </c>
      <c r="S125" s="55" t="e">
        <f t="shared" ca="1" si="33"/>
        <v>#N/A</v>
      </c>
      <c r="T125" s="55" t="e">
        <f t="shared" ca="1" si="27"/>
        <v>#N/A</v>
      </c>
      <c r="U125" s="55" t="e">
        <f t="shared" ca="1" si="28"/>
        <v>#N/A</v>
      </c>
      <c r="V125" s="55" t="e">
        <f t="shared" ca="1" si="29"/>
        <v>#N/A</v>
      </c>
      <c r="W125" s="55" t="e">
        <f t="shared" ca="1" si="34"/>
        <v>#N/A</v>
      </c>
      <c r="X125" s="55" t="e">
        <f t="shared" ca="1" si="35"/>
        <v>#N/A</v>
      </c>
      <c r="Y125" s="55" t="e">
        <f t="shared" ca="1" si="36"/>
        <v>#N/A</v>
      </c>
      <c r="Z125" t="e">
        <f t="shared" ca="1" si="30"/>
        <v>#N/A</v>
      </c>
      <c r="AA125" t="e">
        <f t="shared" ca="1" si="37"/>
        <v>#N/A</v>
      </c>
      <c r="AB125" t="e">
        <f t="shared" ca="1" si="31"/>
        <v>#N/A</v>
      </c>
      <c r="AC125" t="e">
        <f t="shared" ca="1" si="32"/>
        <v>#N/A</v>
      </c>
      <c r="AD125" s="83">
        <f ca="1"/>
        <v>45409</v>
      </c>
      <c r="AE125" s="55">
        <f t="shared" ca="1" si="41"/>
        <v>45409</v>
      </c>
      <c r="AF125" s="55">
        <f t="shared" ca="1" si="42"/>
        <v>-41.407935430622352</v>
      </c>
      <c r="AG125" s="55">
        <f t="shared" ca="1" si="43"/>
        <v>113.51540942329827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27.930093749048556</v>
      </c>
      <c r="AK125" s="55">
        <f t="shared" ca="1" si="40"/>
        <v>4.0061392715010449</v>
      </c>
    </row>
    <row r="126" spans="18:37">
      <c r="R126" s="83" t="e">
        <f ca="1"/>
        <v>#N/A</v>
      </c>
      <c r="S126" s="55" t="e">
        <f t="shared" ca="1" si="33"/>
        <v>#N/A</v>
      </c>
      <c r="T126" s="55" t="e">
        <f t="shared" ca="1" si="27"/>
        <v>#N/A</v>
      </c>
      <c r="U126" s="55" t="e">
        <f t="shared" ca="1" si="28"/>
        <v>#N/A</v>
      </c>
      <c r="V126" s="55" t="e">
        <f t="shared" ca="1" si="29"/>
        <v>#N/A</v>
      </c>
      <c r="W126" s="55" t="e">
        <f t="shared" ca="1" si="34"/>
        <v>#N/A</v>
      </c>
      <c r="X126" s="55" t="e">
        <f t="shared" ca="1" si="35"/>
        <v>#N/A</v>
      </c>
      <c r="Y126" s="55" t="e">
        <f t="shared" ca="1" si="36"/>
        <v>#N/A</v>
      </c>
      <c r="Z126" t="e">
        <f t="shared" ca="1" si="30"/>
        <v>#N/A</v>
      </c>
      <c r="AA126" t="e">
        <f t="shared" ca="1" si="37"/>
        <v>#N/A</v>
      </c>
      <c r="AB126" t="e">
        <f t="shared" ca="1" si="31"/>
        <v>#N/A</v>
      </c>
      <c r="AC126" t="e">
        <f t="shared" ca="1" si="32"/>
        <v>#N/A</v>
      </c>
      <c r="AD126" s="83">
        <f ca="1"/>
        <v>45410</v>
      </c>
      <c r="AE126" s="55">
        <f t="shared" ca="1" si="41"/>
        <v>45410</v>
      </c>
      <c r="AF126" s="55">
        <f t="shared" ca="1" si="42"/>
        <v>-42.632262020054242</v>
      </c>
      <c r="AG126" s="55">
        <f t="shared" ca="1" si="43"/>
        <v>115.06578861795244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28.250070852300336</v>
      </c>
      <c r="AK126" s="55">
        <f t="shared" ca="1" si="40"/>
        <v>4.0122147734715474</v>
      </c>
    </row>
    <row r="127" spans="18:37">
      <c r="R127" s="83" t="e">
        <f ca="1"/>
        <v>#N/A</v>
      </c>
      <c r="S127" s="55" t="e">
        <f t="shared" ca="1" si="33"/>
        <v>#N/A</v>
      </c>
      <c r="T127" s="55" t="e">
        <f t="shared" ca="1" si="27"/>
        <v>#N/A</v>
      </c>
      <c r="U127" s="55" t="e">
        <f t="shared" ca="1" si="28"/>
        <v>#N/A</v>
      </c>
      <c r="V127" s="55" t="e">
        <f t="shared" ca="1" si="29"/>
        <v>#N/A</v>
      </c>
      <c r="W127" s="55" t="e">
        <f t="shared" ca="1" si="34"/>
        <v>#N/A</v>
      </c>
      <c r="X127" s="55" t="e">
        <f t="shared" ca="1" si="35"/>
        <v>#N/A</v>
      </c>
      <c r="Y127" s="55" t="e">
        <f t="shared" ca="1" si="36"/>
        <v>#N/A</v>
      </c>
      <c r="Z127" t="e">
        <f t="shared" ca="1" si="30"/>
        <v>#N/A</v>
      </c>
      <c r="AA127" t="e">
        <f t="shared" ca="1" si="37"/>
        <v>#N/A</v>
      </c>
      <c r="AB127" t="e">
        <f t="shared" ca="1" si="31"/>
        <v>#N/A</v>
      </c>
      <c r="AC127" t="e">
        <f t="shared" ca="1" si="32"/>
        <v>#N/A</v>
      </c>
      <c r="AD127" s="83">
        <f ca="1"/>
        <v>45411</v>
      </c>
      <c r="AE127" s="55">
        <f t="shared" ca="1" si="41"/>
        <v>45411</v>
      </c>
      <c r="AF127" s="55">
        <f t="shared" ca="1" si="42"/>
        <v>-43.768319968966807</v>
      </c>
      <c r="AG127" s="55">
        <f t="shared" ca="1" si="43"/>
        <v>116.53746925627127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28.579866262097099</v>
      </c>
      <c r="AK127" s="55">
        <f t="shared" ca="1" si="40"/>
        <v>4.0180420530810466</v>
      </c>
    </row>
    <row r="128" spans="18:37">
      <c r="R128" s="83" t="e">
        <f ca="1"/>
        <v>#N/A</v>
      </c>
      <c r="S128" s="55" t="e">
        <f t="shared" ca="1" si="33"/>
        <v>#N/A</v>
      </c>
      <c r="T128" s="55" t="e">
        <f t="shared" ca="1" si="27"/>
        <v>#N/A</v>
      </c>
      <c r="U128" s="55" t="e">
        <f t="shared" ca="1" si="28"/>
        <v>#N/A</v>
      </c>
      <c r="V128" s="55" t="e">
        <f t="shared" ca="1" si="29"/>
        <v>#N/A</v>
      </c>
      <c r="W128" s="55" t="e">
        <f t="shared" ca="1" si="34"/>
        <v>#N/A</v>
      </c>
      <c r="X128" s="55" t="e">
        <f t="shared" ca="1" si="35"/>
        <v>#N/A</v>
      </c>
      <c r="Y128" s="55" t="e">
        <f t="shared" ca="1" si="36"/>
        <v>#N/A</v>
      </c>
      <c r="Z128" t="e">
        <f t="shared" ca="1" si="30"/>
        <v>#N/A</v>
      </c>
      <c r="AA128" t="e">
        <f t="shared" ca="1" si="37"/>
        <v>#N/A</v>
      </c>
      <c r="AB128" t="e">
        <f t="shared" ca="1" si="31"/>
        <v>#N/A</v>
      </c>
      <c r="AC128" t="e">
        <f t="shared" ca="1" si="32"/>
        <v>#N/A</v>
      </c>
      <c r="AD128" s="83">
        <f ca="1"/>
        <v>45412</v>
      </c>
      <c r="AE128" s="55">
        <f t="shared" ca="1" si="41"/>
        <v>45412</v>
      </c>
      <c r="AF128" s="55">
        <f t="shared" ca="1" si="42"/>
        <v>-44.887569790941946</v>
      </c>
      <c r="AG128" s="55">
        <f t="shared" ca="1" si="43"/>
        <v>118.00393683147527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28.921310773337613</v>
      </c>
      <c r="AK128" s="55">
        <f t="shared" ca="1" si="40"/>
        <v>4.0238152950694026</v>
      </c>
    </row>
    <row r="129" spans="18:37">
      <c r="R129" s="83" t="e">
        <f ca="1"/>
        <v>#N/A</v>
      </c>
      <c r="S129" s="55" t="e">
        <f t="shared" ca="1" si="33"/>
        <v>#N/A</v>
      </c>
      <c r="T129" s="55" t="e">
        <f t="shared" ca="1" si="27"/>
        <v>#N/A</v>
      </c>
      <c r="U129" s="55" t="e">
        <f t="shared" ca="1" si="28"/>
        <v>#N/A</v>
      </c>
      <c r="V129" s="55" t="e">
        <f t="shared" ca="1" si="29"/>
        <v>#N/A</v>
      </c>
      <c r="W129" s="55" t="e">
        <f t="shared" ca="1" si="34"/>
        <v>#N/A</v>
      </c>
      <c r="X129" s="55" t="e">
        <f t="shared" ca="1" si="35"/>
        <v>#N/A</v>
      </c>
      <c r="Y129" s="55" t="e">
        <f t="shared" ca="1" si="36"/>
        <v>#N/A</v>
      </c>
      <c r="Z129" t="e">
        <f t="shared" ca="1" si="30"/>
        <v>#N/A</v>
      </c>
      <c r="AA129" t="e">
        <f t="shared" ca="1" si="37"/>
        <v>#N/A</v>
      </c>
      <c r="AB129" t="e">
        <f t="shared" ca="1" si="31"/>
        <v>#N/A</v>
      </c>
      <c r="AC129" t="e">
        <f t="shared" ca="1" si="32"/>
        <v>#N/A</v>
      </c>
      <c r="AD129" s="83">
        <f ca="1"/>
        <v>45413</v>
      </c>
      <c r="AE129" s="55">
        <f t="shared" ca="1" si="41"/>
        <v>45413</v>
      </c>
      <c r="AF129" s="55">
        <f t="shared" ca="1" si="42"/>
        <v>-45.965460369165818</v>
      </c>
      <c r="AG129" s="55">
        <f t="shared" ca="1" si="43"/>
        <v>119.43853400847179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29.272363623327987</v>
      </c>
      <c r="AK129" s="55">
        <f t="shared" ca="1" si="40"/>
        <v>4.0294690438516749</v>
      </c>
    </row>
    <row r="130" spans="18:37">
      <c r="R130" s="83" t="e">
        <f ca="1"/>
        <v>#N/A</v>
      </c>
      <c r="S130" s="55" t="e">
        <f t="shared" ca="1" si="33"/>
        <v>#N/A</v>
      </c>
      <c r="T130" s="55" t="e">
        <f t="shared" ca="1" si="27"/>
        <v>#N/A</v>
      </c>
      <c r="U130" s="55" t="e">
        <f t="shared" ca="1" si="28"/>
        <v>#N/A</v>
      </c>
      <c r="V130" s="55" t="e">
        <f t="shared" ca="1" si="29"/>
        <v>#N/A</v>
      </c>
      <c r="W130" s="55" t="e">
        <f t="shared" ca="1" si="34"/>
        <v>#N/A</v>
      </c>
      <c r="X130" s="55" t="e">
        <f t="shared" ca="1" si="35"/>
        <v>#N/A</v>
      </c>
      <c r="Y130" s="55" t="e">
        <f t="shared" ca="1" si="36"/>
        <v>#N/A</v>
      </c>
      <c r="Z130" t="e">
        <f t="shared" ca="1" si="30"/>
        <v>#N/A</v>
      </c>
      <c r="AA130" t="e">
        <f t="shared" ca="1" si="37"/>
        <v>#N/A</v>
      </c>
      <c r="AB130" t="e">
        <f t="shared" ca="1" si="31"/>
        <v>#N/A</v>
      </c>
      <c r="AC130" t="e">
        <f t="shared" ca="1" si="32"/>
        <v>#N/A</v>
      </c>
      <c r="AD130" s="83">
        <f ca="1"/>
        <v>45414</v>
      </c>
      <c r="AE130" s="55">
        <f t="shared" ca="1" si="41"/>
        <v>45414</v>
      </c>
      <c r="AF130" s="55">
        <f t="shared" ca="1" si="42"/>
        <v>-47.01349866323816</v>
      </c>
      <c r="AG130" s="55">
        <f t="shared" ca="1" si="43"/>
        <v>120.83989321573667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29.620150633304128</v>
      </c>
      <c r="AK130" s="55">
        <f t="shared" ca="1" si="40"/>
        <v>4.0350029470680608</v>
      </c>
    </row>
    <row r="131" spans="18:37">
      <c r="R131" s="83" t="e">
        <f ca="1"/>
        <v>#N/A</v>
      </c>
      <c r="S131" s="55" t="e">
        <f t="shared" ca="1" si="33"/>
        <v>#N/A</v>
      </c>
      <c r="T131" s="55" t="e">
        <f t="shared" ca="1" si="27"/>
        <v>#N/A</v>
      </c>
      <c r="U131" s="55" t="e">
        <f t="shared" ca="1" si="28"/>
        <v>#N/A</v>
      </c>
      <c r="V131" s="55" t="e">
        <f t="shared" ca="1" si="29"/>
        <v>#N/A</v>
      </c>
      <c r="W131" s="55" t="e">
        <f t="shared" ca="1" si="34"/>
        <v>#N/A</v>
      </c>
      <c r="X131" s="55" t="e">
        <f t="shared" ca="1" si="35"/>
        <v>#N/A</v>
      </c>
      <c r="Y131" s="55" t="e">
        <f t="shared" ca="1" si="36"/>
        <v>#N/A</v>
      </c>
      <c r="Z131" t="e">
        <f t="shared" ca="1" si="30"/>
        <v>#N/A</v>
      </c>
      <c r="AA131" t="e">
        <f t="shared" ca="1" si="37"/>
        <v>#N/A</v>
      </c>
      <c r="AB131" t="e">
        <f t="shared" ca="1" si="31"/>
        <v>#N/A</v>
      </c>
      <c r="AC131" t="e">
        <f t="shared" ca="1" si="32"/>
        <v>#N/A</v>
      </c>
      <c r="AD131" s="83">
        <f ca="1"/>
        <v>45415</v>
      </c>
      <c r="AE131" s="55">
        <f t="shared" ca="1" si="41"/>
        <v>45415</v>
      </c>
      <c r="AF131" s="55">
        <f t="shared" ca="1" si="42"/>
        <v>-48.011812161794737</v>
      </c>
      <c r="AG131" s="55">
        <f t="shared" ca="1" si="43"/>
        <v>122.18325513524221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29.959843369539847</v>
      </c>
      <c r="AK131" s="55">
        <f t="shared" ca="1" si="40"/>
        <v>4.0403586317813041</v>
      </c>
    </row>
    <row r="132" spans="18:37">
      <c r="R132" s="83" t="e">
        <f ca="1"/>
        <v>#N/A</v>
      </c>
      <c r="S132" s="55" t="e">
        <f t="shared" ca="1" si="33"/>
        <v>#N/A</v>
      </c>
      <c r="T132" s="55" t="e">
        <f t="shared" ca="1" si="27"/>
        <v>#N/A</v>
      </c>
      <c r="U132" s="55" t="e">
        <f t="shared" ca="1" si="28"/>
        <v>#N/A</v>
      </c>
      <c r="V132" s="55" t="e">
        <f t="shared" ca="1" si="29"/>
        <v>#N/A</v>
      </c>
      <c r="W132" s="55" t="e">
        <f t="shared" ca="1" si="34"/>
        <v>#N/A</v>
      </c>
      <c r="X132" s="55" t="e">
        <f t="shared" ca="1" si="35"/>
        <v>#N/A</v>
      </c>
      <c r="Y132" s="55" t="e">
        <f t="shared" ca="1" si="36"/>
        <v>#N/A</v>
      </c>
      <c r="Z132" t="e">
        <f t="shared" ca="1" si="30"/>
        <v>#N/A</v>
      </c>
      <c r="AA132" t="e">
        <f t="shared" ca="1" si="37"/>
        <v>#N/A</v>
      </c>
      <c r="AB132" t="e">
        <f t="shared" ca="1" si="31"/>
        <v>#N/A</v>
      </c>
      <c r="AC132" t="e">
        <f t="shared" ca="1" si="32"/>
        <v>#N/A</v>
      </c>
      <c r="AD132" s="83">
        <f ca="1"/>
        <v>45416</v>
      </c>
      <c r="AE132" s="55">
        <f t="shared" ca="1" si="41"/>
        <v>45416</v>
      </c>
      <c r="AF132" s="55">
        <f t="shared" ca="1" si="42"/>
        <v>-49.004059975851114</v>
      </c>
      <c r="AG132" s="55">
        <f t="shared" ca="1" si="43"/>
        <v>123.52300752932605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30.302033167686663</v>
      </c>
      <c r="AK132" s="55">
        <f t="shared" ca="1" si="40"/>
        <v>4.0456734136619534</v>
      </c>
    </row>
    <row r="133" spans="18:37">
      <c r="R133" s="83" t="e">
        <f ca="1"/>
        <v>#N/A</v>
      </c>
      <c r="S133" s="55" t="e">
        <f t="shared" ca="1" si="33"/>
        <v>#N/A</v>
      </c>
      <c r="T133" s="55" t="e">
        <f t="shared" ca="1" si="27"/>
        <v>#N/A</v>
      </c>
      <c r="U133" s="55" t="e">
        <f t="shared" ca="1" si="28"/>
        <v>#N/A</v>
      </c>
      <c r="V133" s="55" t="e">
        <f t="shared" ca="1" si="29"/>
        <v>#N/A</v>
      </c>
      <c r="W133" s="55" t="e">
        <f t="shared" ca="1" si="34"/>
        <v>#N/A</v>
      </c>
      <c r="X133" s="55" t="e">
        <f t="shared" ca="1" si="35"/>
        <v>#N/A</v>
      </c>
      <c r="Y133" s="55" t="e">
        <f t="shared" ca="1" si="36"/>
        <v>#N/A</v>
      </c>
      <c r="Z133" t="e">
        <f t="shared" ca="1" si="30"/>
        <v>#N/A</v>
      </c>
      <c r="AA133" t="e">
        <f t="shared" ca="1" si="37"/>
        <v>#N/A</v>
      </c>
      <c r="AB133" t="e">
        <f t="shared" ca="1" si="31"/>
        <v>#N/A</v>
      </c>
      <c r="AC133" t="e">
        <f t="shared" ca="1" si="32"/>
        <v>#N/A</v>
      </c>
      <c r="AD133" s="83">
        <f ca="1"/>
        <v>45417</v>
      </c>
      <c r="AE133" s="55">
        <f t="shared" ca="1" si="41"/>
        <v>45417</v>
      </c>
      <c r="AF133" s="55">
        <f t="shared" ca="1" si="42"/>
        <v>-49.998297209803553</v>
      </c>
      <c r="AG133" s="55">
        <f t="shared" ca="1" si="43"/>
        <v>124.86953520001634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30.649021722911733</v>
      </c>
      <c r="AK133" s="55">
        <f t="shared" ca="1" si="40"/>
        <v>4.0509752951747302</v>
      </c>
    </row>
    <row r="134" spans="18:37">
      <c r="R134" s="83" t="e">
        <f ca="1"/>
        <v>#N/A</v>
      </c>
      <c r="S134" s="55" t="e">
        <f t="shared" ca="1" si="33"/>
        <v>#N/A</v>
      </c>
      <c r="T134" s="55" t="e">
        <f t="shared" ca="1" si="27"/>
        <v>#N/A</v>
      </c>
      <c r="U134" s="55" t="e">
        <f t="shared" ca="1" si="28"/>
        <v>#N/A</v>
      </c>
      <c r="V134" s="55" t="e">
        <f t="shared" ca="1" si="29"/>
        <v>#N/A</v>
      </c>
      <c r="W134" s="55" t="e">
        <f t="shared" ca="1" si="34"/>
        <v>#N/A</v>
      </c>
      <c r="X134" s="55" t="e">
        <f t="shared" ca="1" si="35"/>
        <v>#N/A</v>
      </c>
      <c r="Y134" s="55" t="e">
        <f t="shared" ca="1" si="36"/>
        <v>#N/A</v>
      </c>
      <c r="Z134" t="e">
        <f t="shared" ca="1" si="30"/>
        <v>#N/A</v>
      </c>
      <c r="AA134" t="e">
        <f t="shared" ca="1" si="37"/>
        <v>#N/A</v>
      </c>
      <c r="AB134" t="e">
        <f t="shared" ca="1" si="31"/>
        <v>#N/A</v>
      </c>
      <c r="AC134" t="e">
        <f t="shared" ca="1" si="32"/>
        <v>#N/A</v>
      </c>
      <c r="AD134" s="83">
        <f ca="1"/>
        <v>45418</v>
      </c>
      <c r="AE134" s="55">
        <f t="shared" ca="1" si="41"/>
        <v>45418</v>
      </c>
      <c r="AF134" s="55">
        <f t="shared" ca="1" si="42"/>
        <v>-50.937957710545305</v>
      </c>
      <c r="AG134" s="55">
        <f t="shared" ca="1" si="43"/>
        <v>126.1519366351267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30.986647321390102</v>
      </c>
      <c r="AK134" s="55">
        <f t="shared" ca="1" si="40"/>
        <v>4.056090631064972</v>
      </c>
    </row>
    <row r="135" spans="18:37">
      <c r="R135" s="83" t="e">
        <f ca="1"/>
        <v>#N/A</v>
      </c>
      <c r="S135" s="55" t="e">
        <f t="shared" ca="1" si="33"/>
        <v>#N/A</v>
      </c>
      <c r="T135" s="55" t="e">
        <f t="shared" ca="1" si="27"/>
        <v>#N/A</v>
      </c>
      <c r="U135" s="55" t="e">
        <f t="shared" ca="1" si="28"/>
        <v>#N/A</v>
      </c>
      <c r="V135" s="55" t="e">
        <f t="shared" ca="1" si="29"/>
        <v>#N/A</v>
      </c>
      <c r="W135" s="55" t="e">
        <f t="shared" ca="1" si="34"/>
        <v>#N/A</v>
      </c>
      <c r="X135" s="55" t="e">
        <f t="shared" ca="1" si="35"/>
        <v>#N/A</v>
      </c>
      <c r="Y135" s="55" t="e">
        <f t="shared" ca="1" si="36"/>
        <v>#N/A</v>
      </c>
      <c r="Z135" t="e">
        <f t="shared" ca="1" si="30"/>
        <v>#N/A</v>
      </c>
      <c r="AA135" t="e">
        <f t="shared" ca="1" si="37"/>
        <v>#N/A</v>
      </c>
      <c r="AB135" t="e">
        <f t="shared" ca="1" si="31"/>
        <v>#N/A</v>
      </c>
      <c r="AC135" t="e">
        <f t="shared" ca="1" si="32"/>
        <v>#N/A</v>
      </c>
      <c r="AD135" s="83">
        <f ca="1"/>
        <v>45419</v>
      </c>
      <c r="AE135" s="55">
        <f t="shared" ca="1" si="41"/>
        <v>45419</v>
      </c>
      <c r="AF135" s="55">
        <f t="shared" ca="1" si="42"/>
        <v>-51.830728299788376</v>
      </c>
      <c r="AG135" s="55">
        <f t="shared" ca="1" si="43"/>
        <v>127.37969815841041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31.316682320463837</v>
      </c>
      <c r="AK135" s="55">
        <f t="shared" ca="1" si="40"/>
        <v>4.0610465660318695</v>
      </c>
    </row>
    <row r="136" spans="18:37">
      <c r="R136" s="83" t="e">
        <f ca="1"/>
        <v>#N/A</v>
      </c>
      <c r="S136" s="55" t="e">
        <f t="shared" ca="1" si="33"/>
        <v>#N/A</v>
      </c>
      <c r="T136" s="55" t="e">
        <f t="shared" ca="1" si="27"/>
        <v>#N/A</v>
      </c>
      <c r="U136" s="55" t="e">
        <f t="shared" ca="1" si="28"/>
        <v>#N/A</v>
      </c>
      <c r="V136" s="55" t="e">
        <f t="shared" ca="1" si="29"/>
        <v>#N/A</v>
      </c>
      <c r="W136" s="55" t="e">
        <f t="shared" ca="1" si="34"/>
        <v>#N/A</v>
      </c>
      <c r="X136" s="55" t="e">
        <f t="shared" ca="1" si="35"/>
        <v>#N/A</v>
      </c>
      <c r="Y136" s="55" t="e">
        <f t="shared" ca="1" si="36"/>
        <v>#N/A</v>
      </c>
      <c r="Z136" t="e">
        <f t="shared" ca="1" si="30"/>
        <v>#N/A</v>
      </c>
      <c r="AA136" t="e">
        <f t="shared" ca="1" si="37"/>
        <v>#N/A</v>
      </c>
      <c r="AB136" t="e">
        <f t="shared" ca="1" si="31"/>
        <v>#N/A</v>
      </c>
      <c r="AC136" t="e">
        <f t="shared" ca="1" si="32"/>
        <v>#N/A</v>
      </c>
      <c r="AD136" s="83">
        <f ca="1"/>
        <v>45420</v>
      </c>
      <c r="AE136" s="55">
        <f t="shared" ca="1" si="41"/>
        <v>45420</v>
      </c>
      <c r="AF136" s="55">
        <f t="shared" ca="1" si="42"/>
        <v>-52.660543588488956</v>
      </c>
      <c r="AG136" s="55">
        <f t="shared" ca="1" si="43"/>
        <v>128.53250187843815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31.634918607871306</v>
      </c>
      <c r="AK136" s="55">
        <f t="shared" ca="1" si="40"/>
        <v>4.0657987099515704</v>
      </c>
    </row>
    <row r="137" spans="18:37">
      <c r="R137" s="83" t="e">
        <f ca="1"/>
        <v>#N/A</v>
      </c>
      <c r="S137" s="55" t="e">
        <f t="shared" ca="1" si="33"/>
        <v>#N/A</v>
      </c>
      <c r="T137" s="55" t="e">
        <f t="shared" ca="1" si="27"/>
        <v>#N/A</v>
      </c>
      <c r="U137" s="55" t="e">
        <f t="shared" ca="1" si="28"/>
        <v>#N/A</v>
      </c>
      <c r="V137" s="55" t="e">
        <f t="shared" ca="1" si="29"/>
        <v>#N/A</v>
      </c>
      <c r="W137" s="55" t="e">
        <f t="shared" ca="1" si="34"/>
        <v>#N/A</v>
      </c>
      <c r="X137" s="55" t="e">
        <f t="shared" ca="1" si="35"/>
        <v>#N/A</v>
      </c>
      <c r="Y137" s="55" t="e">
        <f t="shared" ca="1" si="36"/>
        <v>#N/A</v>
      </c>
      <c r="Z137" t="e">
        <f t="shared" ca="1" si="30"/>
        <v>#N/A</v>
      </c>
      <c r="AA137" t="e">
        <f t="shared" ca="1" si="37"/>
        <v>#N/A</v>
      </c>
      <c r="AB137" t="e">
        <f t="shared" ca="1" si="31"/>
        <v>#N/A</v>
      </c>
      <c r="AC137" t="e">
        <f t="shared" ca="1" si="32"/>
        <v>#N/A</v>
      </c>
      <c r="AD137" s="83">
        <f ca="1"/>
        <v>45421</v>
      </c>
      <c r="AE137" s="55">
        <f t="shared" ca="1" si="41"/>
        <v>45421</v>
      </c>
      <c r="AF137" s="55">
        <f t="shared" ca="1" si="42"/>
        <v>-53.489509158214204</v>
      </c>
      <c r="AG137" s="55">
        <f t="shared" ca="1" si="43"/>
        <v>129.68811279926956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31.956830698974052</v>
      </c>
      <c r="AK137" s="55">
        <f t="shared" ca="1" si="40"/>
        <v>4.0705319699549811</v>
      </c>
    </row>
    <row r="138" spans="18:37">
      <c r="R138" s="83" t="e">
        <f ca="1"/>
        <v>#N/A</v>
      </c>
      <c r="S138" s="55" t="e">
        <f t="shared" ca="1" si="33"/>
        <v>#N/A</v>
      </c>
      <c r="T138" s="55" t="e">
        <f t="shared" ca="1" si="27"/>
        <v>#N/A</v>
      </c>
      <c r="U138" s="55" t="e">
        <f t="shared" ca="1" si="28"/>
        <v>#N/A</v>
      </c>
      <c r="V138" s="55" t="e">
        <f t="shared" ca="1" si="29"/>
        <v>#N/A</v>
      </c>
      <c r="W138" s="55" t="e">
        <f t="shared" ca="1" si="34"/>
        <v>#N/A</v>
      </c>
      <c r="X138" s="55" t="e">
        <f t="shared" ca="1" si="35"/>
        <v>#N/A</v>
      </c>
      <c r="Y138" s="55" t="e">
        <f t="shared" ca="1" si="36"/>
        <v>#N/A</v>
      </c>
      <c r="Z138" t="e">
        <f t="shared" ca="1" si="30"/>
        <v>#N/A</v>
      </c>
      <c r="AA138" t="e">
        <f t="shared" ca="1" si="37"/>
        <v>#N/A</v>
      </c>
      <c r="AB138" t="e">
        <f t="shared" ca="1" si="31"/>
        <v>#N/A</v>
      </c>
      <c r="AC138" t="e">
        <f t="shared" ca="1" si="32"/>
        <v>#N/A</v>
      </c>
      <c r="AD138" s="83">
        <f ca="1"/>
        <v>45422</v>
      </c>
      <c r="AE138" s="55">
        <f t="shared" ca="1" si="41"/>
        <v>45422</v>
      </c>
      <c r="AF138" s="55">
        <f t="shared" ca="1" si="42"/>
        <v>-54.333247082087645</v>
      </c>
      <c r="AG138" s="55">
        <f t="shared" ca="1" si="43"/>
        <v>130.86665003426589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32.286865698047784</v>
      </c>
      <c r="AK138" s="55">
        <f t="shared" ca="1" si="40"/>
        <v>4.0752962820041372</v>
      </c>
    </row>
    <row r="139" spans="18:37">
      <c r="R139" s="83" t="e">
        <f ca="1"/>
        <v>#N/A</v>
      </c>
      <c r="S139" s="55" t="e">
        <f t="shared" ca="1" si="33"/>
        <v>#N/A</v>
      </c>
      <c r="T139" s="55" t="e">
        <f t="shared" ca="1" si="27"/>
        <v>#N/A</v>
      </c>
      <c r="U139" s="55" t="e">
        <f t="shared" ca="1" si="28"/>
        <v>#N/A</v>
      </c>
      <c r="V139" s="55" t="e">
        <f t="shared" ca="1" si="29"/>
        <v>#N/A</v>
      </c>
      <c r="W139" s="55" t="e">
        <f t="shared" ca="1" si="34"/>
        <v>#N/A</v>
      </c>
      <c r="X139" s="55" t="e">
        <f t="shared" ca="1" si="35"/>
        <v>#N/A</v>
      </c>
      <c r="Y139" s="55" t="e">
        <f t="shared" ca="1" si="36"/>
        <v>#N/A</v>
      </c>
      <c r="Z139" t="e">
        <f t="shared" ca="1" si="30"/>
        <v>#N/A</v>
      </c>
      <c r="AA139" t="e">
        <f t="shared" ca="1" si="37"/>
        <v>#N/A</v>
      </c>
      <c r="AB139" t="e">
        <f t="shared" ca="1" si="31"/>
        <v>#N/A</v>
      </c>
      <c r="AC139" t="e">
        <f t="shared" ca="1" si="32"/>
        <v>#N/A</v>
      </c>
      <c r="AD139" s="83">
        <f ca="1"/>
        <v>45423</v>
      </c>
      <c r="AE139" s="55">
        <f t="shared" ca="1" si="41"/>
        <v>45423</v>
      </c>
      <c r="AF139" s="55">
        <f t="shared" ca="1" si="42"/>
        <v>-55.193376498894146</v>
      </c>
      <c r="AG139" s="55">
        <f t="shared" ca="1" si="43"/>
        <v>132.07090168546239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32.626182016869635</v>
      </c>
      <c r="AK139" s="55">
        <f t="shared" ca="1" si="40"/>
        <v>4.0801021975722858</v>
      </c>
    </row>
    <row r="140" spans="18:37">
      <c r="R140" s="83" t="e">
        <f ca="1"/>
        <v>#N/A</v>
      </c>
      <c r="S140" s="55" t="e">
        <f t="shared" ca="1" si="33"/>
        <v>#N/A</v>
      </c>
      <c r="T140" s="55" t="e">
        <f t="shared" ca="1" si="27"/>
        <v>#N/A</v>
      </c>
      <c r="U140" s="55" t="e">
        <f t="shared" ca="1" si="28"/>
        <v>#N/A</v>
      </c>
      <c r="V140" s="55" t="e">
        <f t="shared" ca="1" si="29"/>
        <v>#N/A</v>
      </c>
      <c r="W140" s="55" t="e">
        <f t="shared" ca="1" si="34"/>
        <v>#N/A</v>
      </c>
      <c r="X140" s="55" t="e">
        <f t="shared" ca="1" si="35"/>
        <v>#N/A</v>
      </c>
      <c r="Y140" s="55" t="e">
        <f t="shared" ca="1" si="36"/>
        <v>#N/A</v>
      </c>
      <c r="Z140" t="e">
        <f t="shared" ca="1" si="30"/>
        <v>#N/A</v>
      </c>
      <c r="AA140" t="e">
        <f t="shared" ca="1" si="37"/>
        <v>#N/A</v>
      </c>
      <c r="AB140" t="e">
        <f t="shared" ca="1" si="31"/>
        <v>#N/A</v>
      </c>
      <c r="AC140" t="e">
        <f t="shared" ca="1" si="32"/>
        <v>#N/A</v>
      </c>
      <c r="AD140" s="83">
        <f ca="1"/>
        <v>45424</v>
      </c>
      <c r="AE140" s="55">
        <f t="shared" ca="1" si="41"/>
        <v>45424</v>
      </c>
      <c r="AF140" s="55">
        <f t="shared" ca="1" si="42"/>
        <v>-56.026480806858693</v>
      </c>
      <c r="AG140" s="55">
        <f t="shared" ca="1" si="43"/>
        <v>133.24573699803392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32.963198347095812</v>
      </c>
      <c r="AK140" s="55">
        <f t="shared" ca="1" si="40"/>
        <v>4.0848168719530902</v>
      </c>
    </row>
    <row r="141" spans="18:37">
      <c r="R141" s="83" t="e">
        <f ca="1"/>
        <v>#N/A</v>
      </c>
      <c r="S141" s="55" t="e">
        <f t="shared" ca="1" si="33"/>
        <v>#N/A</v>
      </c>
      <c r="T141" s="55" t="e">
        <f t="shared" ca="1" si="27"/>
        <v>#N/A</v>
      </c>
      <c r="U141" s="55" t="e">
        <f t="shared" ca="1" si="28"/>
        <v>#N/A</v>
      </c>
      <c r="V141" s="55" t="e">
        <f t="shared" ca="1" si="29"/>
        <v>#N/A</v>
      </c>
      <c r="W141" s="55" t="e">
        <f t="shared" ca="1" si="34"/>
        <v>#N/A</v>
      </c>
      <c r="X141" s="55" t="e">
        <f t="shared" ca="1" si="35"/>
        <v>#N/A</v>
      </c>
      <c r="Y141" s="55" t="e">
        <f t="shared" ca="1" si="36"/>
        <v>#N/A</v>
      </c>
      <c r="Z141" t="e">
        <f t="shared" ca="1" si="30"/>
        <v>#N/A</v>
      </c>
      <c r="AA141" t="e">
        <f t="shared" ca="1" si="37"/>
        <v>#N/A</v>
      </c>
      <c r="AB141" t="e">
        <f t="shared" ca="1" si="31"/>
        <v>#N/A</v>
      </c>
      <c r="AC141" t="e">
        <f t="shared" ca="1" si="32"/>
        <v>#N/A</v>
      </c>
      <c r="AD141" s="83">
        <f ca="1"/>
        <v>45425</v>
      </c>
      <c r="AE141" s="55">
        <f t="shared" ca="1" si="41"/>
        <v>45425</v>
      </c>
      <c r="AF141" s="55">
        <f t="shared" ca="1" si="42"/>
        <v>-56.807551991492886</v>
      </c>
      <c r="AG141" s="55">
        <f t="shared" ca="1" si="43"/>
        <v>134.35888898743315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33.2907327742993</v>
      </c>
      <c r="AK141" s="55">
        <f t="shared" ca="1" si="40"/>
        <v>4.0893632495146335</v>
      </c>
    </row>
    <row r="142" spans="18:37">
      <c r="R142" s="83" t="e">
        <f ca="1"/>
        <v>#N/A</v>
      </c>
      <c r="S142" s="55" t="e">
        <f t="shared" ca="1" si="33"/>
        <v>#N/A</v>
      </c>
      <c r="T142" s="55" t="e">
        <f t="shared" ca="1" si="27"/>
        <v>#N/A</v>
      </c>
      <c r="U142" s="55" t="e">
        <f t="shared" ca="1" si="28"/>
        <v>#N/A</v>
      </c>
      <c r="V142" s="55" t="e">
        <f t="shared" ca="1" si="29"/>
        <v>#N/A</v>
      </c>
      <c r="W142" s="55" t="e">
        <f t="shared" ca="1" si="34"/>
        <v>#N/A</v>
      </c>
      <c r="X142" s="55" t="e">
        <f t="shared" ca="1" si="35"/>
        <v>#N/A</v>
      </c>
      <c r="Y142" s="55" t="e">
        <f t="shared" ca="1" si="36"/>
        <v>#N/A</v>
      </c>
      <c r="Z142" t="e">
        <f t="shared" ca="1" si="30"/>
        <v>#N/A</v>
      </c>
      <c r="AA142" t="e">
        <f t="shared" ca="1" si="37"/>
        <v>#N/A</v>
      </c>
      <c r="AB142" t="e">
        <f t="shared" ca="1" si="31"/>
        <v>#N/A</v>
      </c>
      <c r="AC142" t="e">
        <f t="shared" ca="1" si="32"/>
        <v>#N/A</v>
      </c>
      <c r="AD142" s="83">
        <f ca="1"/>
        <v>45426</v>
      </c>
      <c r="AE142" s="55">
        <f t="shared" ca="1" si="41"/>
        <v>45426</v>
      </c>
      <c r="AF142" s="55">
        <f t="shared" ca="1" si="42"/>
        <v>-57.562911758207299</v>
      </c>
      <c r="AG142" s="55">
        <f t="shared" ca="1" si="43"/>
        <v>135.44391075837007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33.615934089106702</v>
      </c>
      <c r="AK142" s="55">
        <f t="shared" ca="1" si="40"/>
        <v>4.0938239389297406</v>
      </c>
    </row>
    <row r="143" spans="18:37">
      <c r="R143" s="83" t="e">
        <f ca="1"/>
        <v>#N/A</v>
      </c>
      <c r="S143" s="55" t="e">
        <f t="shared" ca="1" si="33"/>
        <v>#N/A</v>
      </c>
      <c r="T143" s="55" t="e">
        <f t="shared" ca="1" si="27"/>
        <v>#N/A</v>
      </c>
      <c r="U143" s="55" t="e">
        <f t="shared" ca="1" si="28"/>
        <v>#N/A</v>
      </c>
      <c r="V143" s="55" t="e">
        <f t="shared" ca="1" si="29"/>
        <v>#N/A</v>
      </c>
      <c r="W143" s="55" t="e">
        <f t="shared" ca="1" si="34"/>
        <v>#N/A</v>
      </c>
      <c r="X143" s="55" t="e">
        <f t="shared" ca="1" si="35"/>
        <v>#N/A</v>
      </c>
      <c r="Y143" s="55" t="e">
        <f t="shared" ca="1" si="36"/>
        <v>#N/A</v>
      </c>
      <c r="Z143" t="e">
        <f t="shared" ca="1" si="30"/>
        <v>#N/A</v>
      </c>
      <c r="AA143" t="e">
        <f t="shared" ca="1" si="37"/>
        <v>#N/A</v>
      </c>
      <c r="AB143" t="e">
        <f t="shared" ca="1" si="31"/>
        <v>#N/A</v>
      </c>
      <c r="AC143" t="e">
        <f t="shared" ca="1" si="32"/>
        <v>#N/A</v>
      </c>
      <c r="AD143" s="83">
        <f ca="1"/>
        <v>45427</v>
      </c>
      <c r="AE143" s="55">
        <f t="shared" ca="1" si="41"/>
        <v>45427</v>
      </c>
      <c r="AF143" s="55">
        <f t="shared" ca="1" si="42"/>
        <v>-58.301982812439924</v>
      </c>
      <c r="AG143" s="55">
        <f t="shared" ca="1" si="43"/>
        <v>136.51290905650316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33.941456286960332</v>
      </c>
      <c r="AK143" s="55">
        <f t="shared" ca="1" si="40"/>
        <v>4.0982289849765792</v>
      </c>
    </row>
    <row r="144" spans="18:37">
      <c r="R144" s="83" t="e">
        <f ca="1"/>
        <v>#N/A</v>
      </c>
      <c r="S144" s="55" t="e">
        <f t="shared" ca="1" si="33"/>
        <v>#N/A</v>
      </c>
      <c r="T144" s="55" t="e">
        <f t="shared" ca="1" si="27"/>
        <v>#N/A</v>
      </c>
      <c r="U144" s="55" t="e">
        <f t="shared" ca="1" si="28"/>
        <v>#N/A</v>
      </c>
      <c r="V144" s="55" t="e">
        <f t="shared" ca="1" si="29"/>
        <v>#N/A</v>
      </c>
      <c r="W144" s="55" t="e">
        <f t="shared" ca="1" si="34"/>
        <v>#N/A</v>
      </c>
      <c r="X144" s="55" t="e">
        <f t="shared" ca="1" si="35"/>
        <v>#N/A</v>
      </c>
      <c r="Y144" s="55" t="e">
        <f t="shared" ca="1" si="36"/>
        <v>#N/A</v>
      </c>
      <c r="Z144" t="e">
        <f t="shared" ca="1" si="30"/>
        <v>#N/A</v>
      </c>
      <c r="AA144" t="e">
        <f t="shared" ca="1" si="37"/>
        <v>#N/A</v>
      </c>
      <c r="AB144" t="e">
        <f t="shared" ca="1" si="31"/>
        <v>#N/A</v>
      </c>
      <c r="AC144" t="e">
        <f t="shared" ca="1" si="32"/>
        <v>#N/A</v>
      </c>
      <c r="AD144" s="83">
        <f ca="1"/>
        <v>45428</v>
      </c>
      <c r="AE144" s="55">
        <f t="shared" ca="1" si="41"/>
        <v>45428</v>
      </c>
      <c r="AF144" s="55">
        <f t="shared" ca="1" si="42"/>
        <v>-58.985162891721494</v>
      </c>
      <c r="AG144" s="55">
        <f t="shared" ca="1" si="43"/>
        <v>137.51454456929864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34.255683689714495</v>
      </c>
      <c r="AK144" s="55">
        <f t="shared" ca="1" si="40"/>
        <v>4.1024570157363183</v>
      </c>
    </row>
    <row r="145" spans="18:37">
      <c r="R145" s="83" t="e">
        <f ca="1"/>
        <v>#N/A</v>
      </c>
      <c r="S145" s="55" t="e">
        <f t="shared" ca="1" si="33"/>
        <v>#N/A</v>
      </c>
      <c r="T145" s="55" t="e">
        <f t="shared" ca="1" si="27"/>
        <v>#N/A</v>
      </c>
      <c r="U145" s="55" t="e">
        <f t="shared" ca="1" si="28"/>
        <v>#N/A</v>
      </c>
      <c r="V145" s="55" t="e">
        <f t="shared" ca="1" si="29"/>
        <v>#N/A</v>
      </c>
      <c r="W145" s="55" t="e">
        <f t="shared" ca="1" si="34"/>
        <v>#N/A</v>
      </c>
      <c r="X145" s="55" t="e">
        <f t="shared" ca="1" si="35"/>
        <v>#N/A</v>
      </c>
      <c r="Y145" s="55" t="e">
        <f t="shared" ca="1" si="36"/>
        <v>#N/A</v>
      </c>
      <c r="Z145" t="e">
        <f t="shared" ca="1" si="30"/>
        <v>#N/A</v>
      </c>
      <c r="AA145" t="e">
        <f t="shared" ca="1" si="37"/>
        <v>#N/A</v>
      </c>
      <c r="AB145" t="e">
        <f t="shared" ca="1" si="31"/>
        <v>#N/A</v>
      </c>
      <c r="AC145" t="e">
        <f t="shared" ca="1" si="32"/>
        <v>#N/A</v>
      </c>
      <c r="AD145" s="83">
        <f ca="1"/>
        <v>45429</v>
      </c>
      <c r="AE145" s="55">
        <f t="shared" ca="1" si="41"/>
        <v>45429</v>
      </c>
      <c r="AF145" s="55">
        <f t="shared" ca="1" si="42"/>
        <v>-59.63915848059716</v>
      </c>
      <c r="AG145" s="55">
        <f t="shared" ca="1" si="43"/>
        <v>138.48301228370332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34.566022574450457</v>
      </c>
      <c r="AK145" s="55">
        <f t="shared" ca="1" si="40"/>
        <v>4.1065902565293708</v>
      </c>
    </row>
    <row r="146" spans="18:37">
      <c r="R146" s="83" t="e">
        <f ca="1"/>
        <v>#N/A</v>
      </c>
      <c r="S146" s="55" t="e">
        <f t="shared" ca="1" si="33"/>
        <v>#N/A</v>
      </c>
      <c r="T146" s="55" t="e">
        <f t="shared" ref="T146:T209" ca="1" si="45">VLOOKUP(S146,ModelOutputs,2,FALSE)</f>
        <v>#N/A</v>
      </c>
      <c r="U146" s="55" t="e">
        <f t="shared" ref="U146:U209" ca="1" si="46">VLOOKUP(S146,ModelOutputs,7,FALSE)</f>
        <v>#N/A</v>
      </c>
      <c r="V146" s="55" t="e">
        <f t="shared" ref="V146:V209" ca="1" si="47">VLOOKUP(S146,ModelOutputs,6,FALSE)</f>
        <v>#N/A</v>
      </c>
      <c r="W146" s="55" t="e">
        <f t="shared" ca="1" si="34"/>
        <v>#N/A</v>
      </c>
      <c r="X146" s="55" t="e">
        <f t="shared" ca="1" si="35"/>
        <v>#N/A</v>
      </c>
      <c r="Y146" s="55" t="e">
        <f t="shared" ca="1" si="36"/>
        <v>#N/A</v>
      </c>
      <c r="Z146" t="e">
        <f t="shared" ref="Z146:Z209" ca="1" si="48">VLOOKUP(S146,ModelOutputs,10,FALSE)*AWC</f>
        <v>#N/A</v>
      </c>
      <c r="AA146" t="e">
        <f t="shared" ca="1" si="37"/>
        <v>#N/A</v>
      </c>
      <c r="AB146" t="e">
        <f t="shared" ref="AB146:AB209" ca="1" si="49">VLOOKUP(S146,ModelOutputs,12,FALSE)</f>
        <v>#N/A</v>
      </c>
      <c r="AC146" t="e">
        <f t="shared" ref="AC146:AC209" ca="1" si="50">VLOOKUP(S146,ModelOutputs,13,FALSE)</f>
        <v>#N/A</v>
      </c>
      <c r="AD146" s="83">
        <f ca="1"/>
        <v>45430</v>
      </c>
      <c r="AE146" s="55">
        <f t="shared" ca="1" si="41"/>
        <v>45430</v>
      </c>
      <c r="AF146" s="55">
        <f t="shared" ca="1" si="42"/>
        <v>-60.32214005223581</v>
      </c>
      <c r="AG146" s="55">
        <f t="shared" ca="1" si="43"/>
        <v>139.49413254962332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34.889942302288262</v>
      </c>
      <c r="AK146" s="55">
        <f t="shared" ca="1" si="40"/>
        <v>4.1108092229729127</v>
      </c>
    </row>
    <row r="147" spans="18:37">
      <c r="R147" s="83" t="e">
        <f ca="1"/>
        <v>#N/A</v>
      </c>
      <c r="S147" s="55" t="e">
        <f t="shared" ref="S147:S210" ca="1" si="51">IF(R147&gt;1,R147,"")</f>
        <v>#N/A</v>
      </c>
      <c r="T147" s="55" t="e">
        <f t="shared" ca="1" si="45"/>
        <v>#N/A</v>
      </c>
      <c r="U147" s="55" t="e">
        <f t="shared" ca="1" si="46"/>
        <v>#N/A</v>
      </c>
      <c r="V147" s="55" t="e">
        <f t="shared" ca="1" si="47"/>
        <v>#N/A</v>
      </c>
      <c r="W147" s="55" t="e">
        <f t="shared" ref="W147:W210" ca="1" si="52">-VLOOKUP(S147,ModelOutputs,9,FALSE)+W146</f>
        <v>#N/A</v>
      </c>
      <c r="X147" s="55" t="e">
        <f t="shared" ref="X147:X210" ca="1" si="53">VLOOKUP(S147,ModelOutputs,5,FALSE)+X146</f>
        <v>#N/A</v>
      </c>
      <c r="Y147" s="55" t="e">
        <f t="shared" ref="Y147:Y210" ca="1" si="54">VLOOKUP(S147,ModelOutputs,4,FALSE)+Y146</f>
        <v>#N/A</v>
      </c>
      <c r="Z147" t="e">
        <f t="shared" ca="1" si="48"/>
        <v>#N/A</v>
      </c>
      <c r="AA147" t="e">
        <f t="shared" ref="AA147:AA210" ca="1" si="55">VLOOKUP(S147,ModelOutputs,11,FALSE)+AA146</f>
        <v>#N/A</v>
      </c>
      <c r="AB147" t="e">
        <f t="shared" ca="1" si="49"/>
        <v>#N/A</v>
      </c>
      <c r="AC147" t="e">
        <f t="shared" ca="1" si="50"/>
        <v>#N/A</v>
      </c>
      <c r="AD147" s="83">
        <f ca="1"/>
        <v>45431</v>
      </c>
      <c r="AE147" s="55">
        <f t="shared" ca="1" si="41"/>
        <v>45431</v>
      </c>
      <c r="AF147" s="55">
        <f t="shared" ca="1" si="42"/>
        <v>-60.983264337172336</v>
      </c>
      <c r="AG147" s="55">
        <f t="shared" ca="1" si="43"/>
        <v>140.48195600798238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35.212492353823855</v>
      </c>
      <c r="AK147" s="55">
        <f t="shared" ref="AK147:AK210" ca="1" si="58">VLOOKUP(AE147,ModelOutputs,4,FALSE)+AK146</f>
        <v>4.1149583448598541</v>
      </c>
    </row>
    <row r="148" spans="18:37">
      <c r="R148" s="83" t="e">
        <f ca="1"/>
        <v>#N/A</v>
      </c>
      <c r="S148" s="55" t="e">
        <f t="shared" ca="1" si="51"/>
        <v>#N/A</v>
      </c>
      <c r="T148" s="55" t="e">
        <f t="shared" ca="1" si="45"/>
        <v>#N/A</v>
      </c>
      <c r="U148" s="55" t="e">
        <f t="shared" ca="1" si="46"/>
        <v>#N/A</v>
      </c>
      <c r="V148" s="55" t="e">
        <f t="shared" ca="1" si="47"/>
        <v>#N/A</v>
      </c>
      <c r="W148" s="55" t="e">
        <f t="shared" ca="1" si="52"/>
        <v>#N/A</v>
      </c>
      <c r="X148" s="55" t="e">
        <f t="shared" ca="1" si="53"/>
        <v>#N/A</v>
      </c>
      <c r="Y148" s="55" t="e">
        <f t="shared" ca="1" si="54"/>
        <v>#N/A</v>
      </c>
      <c r="Z148" t="e">
        <f t="shared" ca="1" si="48"/>
        <v>#N/A</v>
      </c>
      <c r="AA148" t="e">
        <f t="shared" ca="1" si="55"/>
        <v>#N/A</v>
      </c>
      <c r="AB148" t="e">
        <f t="shared" ca="1" si="49"/>
        <v>#N/A</v>
      </c>
      <c r="AC148" t="e">
        <f t="shared" ca="1" si="50"/>
        <v>#N/A</v>
      </c>
      <c r="AD148" s="83">
        <f ca="1"/>
        <v>45432</v>
      </c>
      <c r="AE148" s="55">
        <f t="shared" ca="1" si="41"/>
        <v>45432</v>
      </c>
      <c r="AF148" s="55">
        <f t="shared" ca="1" si="42"/>
        <v>-61.651665825589099</v>
      </c>
      <c r="AG148" s="55">
        <f t="shared" ca="1" si="43"/>
        <v>141.4851689663775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35.543128857660236</v>
      </c>
      <c r="AK148" s="55">
        <f t="shared" ca="1" si="58"/>
        <v>4.1191333110018338</v>
      </c>
    </row>
    <row r="149" spans="18:37">
      <c r="R149" s="83" t="e">
        <f ca="1"/>
        <v>#N/A</v>
      </c>
      <c r="S149" s="55" t="e">
        <f t="shared" ca="1" si="51"/>
        <v>#N/A</v>
      </c>
      <c r="T149" s="55" t="e">
        <f t="shared" ca="1" si="45"/>
        <v>#N/A</v>
      </c>
      <c r="U149" s="55" t="e">
        <f t="shared" ca="1" si="46"/>
        <v>#N/A</v>
      </c>
      <c r="V149" s="55" t="e">
        <f t="shared" ca="1" si="47"/>
        <v>#N/A</v>
      </c>
      <c r="W149" s="55" t="e">
        <f t="shared" ca="1" si="52"/>
        <v>#N/A</v>
      </c>
      <c r="X149" s="55" t="e">
        <f t="shared" ca="1" si="53"/>
        <v>#N/A</v>
      </c>
      <c r="Y149" s="55" t="e">
        <f t="shared" ca="1" si="54"/>
        <v>#N/A</v>
      </c>
      <c r="Z149" t="e">
        <f t="shared" ca="1" si="48"/>
        <v>#N/A</v>
      </c>
      <c r="AA149" t="e">
        <f t="shared" ca="1" si="55"/>
        <v>#N/A</v>
      </c>
      <c r="AB149" t="e">
        <f t="shared" ca="1" si="49"/>
        <v>#N/A</v>
      </c>
      <c r="AC149" t="e">
        <f t="shared" ca="1" si="50"/>
        <v>#N/A</v>
      </c>
      <c r="AD149" s="83">
        <f ca="1"/>
        <v>45433</v>
      </c>
      <c r="AE149" s="55">
        <f t="shared" ref="AE149:AE212" ca="1" si="59">IF(AD149&gt;1,AD149,"")</f>
        <v>45433</v>
      </c>
      <c r="AF149" s="55">
        <f t="shared" ref="AF149:AF212" ca="1" si="60">VLOOKUP(AE149,ModelOutputs,2,FALSE)</f>
        <v>-62.256954243056761</v>
      </c>
      <c r="AG149" s="55">
        <f t="shared" ref="AG149:AG212" ca="1" si="61">VLOOKUP(AE149,ModelOutputs,7,FALSE)</f>
        <v>142.41023008055438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35.85892904811729</v>
      </c>
      <c r="AK149" s="55">
        <f t="shared" ca="1" si="58"/>
        <v>4.1231058172540029</v>
      </c>
    </row>
    <row r="150" spans="18:37">
      <c r="R150" s="83" t="e">
        <f ca="1"/>
        <v>#N/A</v>
      </c>
      <c r="S150" s="55" t="e">
        <f t="shared" ca="1" si="51"/>
        <v>#N/A</v>
      </c>
      <c r="T150" s="55" t="e">
        <f t="shared" ca="1" si="45"/>
        <v>#N/A</v>
      </c>
      <c r="U150" s="55" t="e">
        <f t="shared" ca="1" si="46"/>
        <v>#N/A</v>
      </c>
      <c r="V150" s="55" t="e">
        <f t="shared" ca="1" si="47"/>
        <v>#N/A</v>
      </c>
      <c r="W150" s="55" t="e">
        <f t="shared" ca="1" si="52"/>
        <v>#N/A</v>
      </c>
      <c r="X150" s="55" t="e">
        <f t="shared" ca="1" si="53"/>
        <v>#N/A</v>
      </c>
      <c r="Y150" s="55" t="e">
        <f t="shared" ca="1" si="54"/>
        <v>#N/A</v>
      </c>
      <c r="Z150" t="e">
        <f t="shared" ca="1" si="48"/>
        <v>#N/A</v>
      </c>
      <c r="AA150" t="e">
        <f t="shared" ca="1" si="55"/>
        <v>#N/A</v>
      </c>
      <c r="AB150" t="e">
        <f t="shared" ca="1" si="49"/>
        <v>#N/A</v>
      </c>
      <c r="AC150" t="e">
        <f t="shared" ca="1" si="50"/>
        <v>#N/A</v>
      </c>
      <c r="AD150" s="83">
        <f ca="1"/>
        <v>45434</v>
      </c>
      <c r="AE150" s="55">
        <f t="shared" ca="1" si="59"/>
        <v>45434</v>
      </c>
      <c r="AF150" s="55">
        <f t="shared" ca="1" si="60"/>
        <v>-62.825756419095811</v>
      </c>
      <c r="AG150" s="55">
        <f t="shared" ca="1" si="61"/>
        <v>143.29202670881944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36.168067231234595</v>
      </c>
      <c r="AK150" s="55">
        <f t="shared" ca="1" si="58"/>
        <v>4.1269620863626999</v>
      </c>
    </row>
    <row r="151" spans="18:37">
      <c r="R151" s="83" t="e">
        <f ca="1"/>
        <v>#N/A</v>
      </c>
      <c r="S151" s="55" t="e">
        <f t="shared" ca="1" si="51"/>
        <v>#N/A</v>
      </c>
      <c r="T151" s="55" t="e">
        <f t="shared" ca="1" si="45"/>
        <v>#N/A</v>
      </c>
      <c r="U151" s="55" t="e">
        <f t="shared" ca="1" si="46"/>
        <v>#N/A</v>
      </c>
      <c r="V151" s="55" t="e">
        <f t="shared" ca="1" si="47"/>
        <v>#N/A</v>
      </c>
      <c r="W151" s="55" t="e">
        <f t="shared" ca="1" si="52"/>
        <v>#N/A</v>
      </c>
      <c r="X151" s="55" t="e">
        <f t="shared" ca="1" si="53"/>
        <v>#N/A</v>
      </c>
      <c r="Y151" s="55" t="e">
        <f t="shared" ca="1" si="54"/>
        <v>#N/A</v>
      </c>
      <c r="Z151" t="e">
        <f t="shared" ca="1" si="48"/>
        <v>#N/A</v>
      </c>
      <c r="AA151" t="e">
        <f t="shared" ca="1" si="55"/>
        <v>#N/A</v>
      </c>
      <c r="AB151" t="e">
        <f t="shared" ca="1" si="49"/>
        <v>#N/A</v>
      </c>
      <c r="AC151" t="e">
        <f t="shared" ca="1" si="50"/>
        <v>#N/A</v>
      </c>
      <c r="AD151" s="83">
        <f ca="1"/>
        <v>45435</v>
      </c>
      <c r="AE151" s="55">
        <f t="shared" ca="1" si="59"/>
        <v>45435</v>
      </c>
      <c r="AF151" s="55">
        <f t="shared" ca="1" si="60"/>
        <v>-63.373187075869573</v>
      </c>
      <c r="AG151" s="55">
        <f t="shared" ca="1" si="61"/>
        <v>144.15038846226983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36.475210639038558</v>
      </c>
      <c r="AK151" s="55">
        <f t="shared" ca="1" si="58"/>
        <v>4.1307497752353708</v>
      </c>
    </row>
    <row r="152" spans="18:37">
      <c r="R152" s="83" t="e">
        <f ca="1"/>
        <v>#N/A</v>
      </c>
      <c r="S152" s="55" t="e">
        <f t="shared" ca="1" si="51"/>
        <v>#N/A</v>
      </c>
      <c r="T152" s="55" t="e">
        <f t="shared" ca="1" si="45"/>
        <v>#N/A</v>
      </c>
      <c r="U152" s="55" t="e">
        <f t="shared" ca="1" si="46"/>
        <v>#N/A</v>
      </c>
      <c r="V152" s="55" t="e">
        <f t="shared" ca="1" si="47"/>
        <v>#N/A</v>
      </c>
      <c r="W152" s="55" t="e">
        <f t="shared" ca="1" si="52"/>
        <v>#N/A</v>
      </c>
      <c r="X152" s="55" t="e">
        <f t="shared" ca="1" si="53"/>
        <v>#N/A</v>
      </c>
      <c r="Y152" s="55" t="e">
        <f t="shared" ca="1" si="54"/>
        <v>#N/A</v>
      </c>
      <c r="Z152" t="e">
        <f t="shared" ca="1" si="48"/>
        <v>#N/A</v>
      </c>
      <c r="AA152" t="e">
        <f t="shared" ca="1" si="55"/>
        <v>#N/A</v>
      </c>
      <c r="AB152" t="e">
        <f t="shared" ca="1" si="49"/>
        <v>#N/A</v>
      </c>
      <c r="AC152" t="e">
        <f t="shared" ca="1" si="50"/>
        <v>#N/A</v>
      </c>
      <c r="AD152" s="83">
        <f ca="1"/>
        <v>45436</v>
      </c>
      <c r="AE152" s="55">
        <f t="shared" ca="1" si="59"/>
        <v>45436</v>
      </c>
      <c r="AF152" s="55">
        <f t="shared" ca="1" si="60"/>
        <v>-63.927719832625691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36.790057590829932</v>
      </c>
      <c r="AK152" s="55">
        <f t="shared" ca="1" si="58"/>
        <v>4.1345613927733291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H125" zoomScale="105" workbookViewId="0">
      <selection activeCell="N138" sqref="N138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Pukekohe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 loam</v>
      </c>
      <c r="D3" s="39" t="str">
        <f>ConceptDemo!C27</f>
        <v>Fertiliser already applied or planned</v>
      </c>
      <c r="E3" s="40"/>
      <c r="O3" s="12" t="s">
        <v>0</v>
      </c>
      <c r="P3" s="28">
        <f>B21+1</f>
        <v>45231</v>
      </c>
      <c r="Q3" s="3">
        <v>50</v>
      </c>
      <c r="R3" s="3"/>
      <c r="S3" s="3">
        <f ca="1">SUMIF($O$8:$O$1001,TRUE,S8:S1001)</f>
        <v>-6.7689562586952974</v>
      </c>
      <c r="T3" s="3">
        <f ca="1">SUMIF($O$8:$O$1001,TRUE,T8:T1001)</f>
        <v>21.798790094310242</v>
      </c>
      <c r="U3" s="3">
        <f ca="1">SUMIF($O$8:$O$1001,TRUE,U8:U1001)</f>
        <v>0</v>
      </c>
      <c r="V3" s="3">
        <f ca="1">VLOOKUP(B32,ModelOutputs,V5,FALSE)-W3</f>
        <v>0.3539919059835861</v>
      </c>
      <c r="W3">
        <f ca="1">VLOOKUP(B32,ModelOutputs,W5,FALSE)</f>
        <v>1.2546548566506848</v>
      </c>
      <c r="X3" s="13"/>
      <c r="AC3" s="3">
        <f ca="1">MAX(0,AD4-AD3)</f>
        <v>0</v>
      </c>
      <c r="AD3" s="3">
        <f ca="1">SUM(Q3:X3)</f>
        <v>66.638480598249217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45301</v>
      </c>
      <c r="Q4" s="24">
        <f ca="1">VLOOKUP(P4,ModelOutputs,2,FALSE)</f>
        <v>36.755489653068054</v>
      </c>
      <c r="R4" s="27"/>
      <c r="S4" s="25"/>
      <c r="T4" s="25"/>
      <c r="U4" s="25"/>
      <c r="V4" s="24">
        <f ca="1">(VLOOKUP($P$4,ModelOutputs,V5,FALSE)-VLOOKUP($P$3+1,ModelOutputs,V5,FALSE))-W4</f>
        <v>6.2083878204343392</v>
      </c>
      <c r="W4" s="26">
        <f ca="1">VLOOKUP($P$4,ModelOutputs,W5,FALSE)-VLOOKUP($P$3+1,ModelOutputs,W5,FALSE)</f>
        <v>22.004412528121705</v>
      </c>
      <c r="X4" s="27">
        <f ca="1">SUMIF($O$8:$O$1001,TRUE,X8:X1001)</f>
        <v>0</v>
      </c>
      <c r="Y4" s="3"/>
      <c r="Z4" s="3"/>
      <c r="AA4" s="3"/>
      <c r="AB4" s="3"/>
      <c r="AC4" s="3">
        <f ca="1">MAX(0,AD3-AD4)</f>
        <v>1.6701905966251189</v>
      </c>
      <c r="AD4" s="3">
        <f ca="1">SUM(Q4:X4)</f>
        <v>64.968290001624098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Pukekohe</v>
      </c>
      <c r="I5" t="s">
        <v>203</v>
      </c>
      <c r="J5">
        <f>VLOOKUP(InCropRain,ListMembers!$Z$7:$AA$11,2,FALSE)</f>
        <v>1</v>
      </c>
      <c r="R5">
        <f ca="1">SUMIF(N7:N1000,FALSE,R7:R1000)</f>
        <v>142.70265634612321</v>
      </c>
      <c r="S5">
        <f ca="1">SUMIF(N7:N1000,TRUE,S7:S1000)</f>
        <v>-6.7847290166168914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30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245</v>
      </c>
      <c r="H7" s="95">
        <f ca="1">B19-1</f>
        <v>45170</v>
      </c>
      <c r="I7" s="119">
        <f ca="1">HLOOKUP($H$5,'Met Data'!$A$2:$F$368,G7,FALSE)</f>
        <v>10.803333333333301</v>
      </c>
      <c r="J7" s="119">
        <f ca="1">HLOOKUP($H$5,'Met Data'!$H$2:$M$368,G7,FALSE)*L7</f>
        <v>3.05</v>
      </c>
      <c r="K7" s="96">
        <f ca="1">HLOOKUP($H$5,'Met Data'!$O$2:$T$368,G7,FALSE)</f>
        <v>2.1147026396135802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45230</v>
      </c>
      <c r="Q7">
        <f ca="1"/>
        <v>0</v>
      </c>
      <c r="R7">
        <f ca="1"/>
        <v>2.561149561108806</v>
      </c>
      <c r="S7">
        <f ca="1"/>
        <v>0</v>
      </c>
      <c r="T7" s="4">
        <f ca="1"/>
        <v>0.33170446051617875</v>
      </c>
      <c r="U7">
        <f ca="1"/>
        <v>0</v>
      </c>
      <c r="V7">
        <f ca="1"/>
        <v>116.01886383068424</v>
      </c>
      <c r="W7">
        <f ca="1"/>
        <v>106.13577543029261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45230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246</v>
      </c>
      <c r="H8" s="95">
        <f ca="1">H7+1</f>
        <v>45171</v>
      </c>
      <c r="I8" s="119">
        <f ca="1">HLOOKUP($H$5,'Met Data'!$A$2:$F$368,G8,FALSE)</f>
        <v>10.862068965517199</v>
      </c>
      <c r="J8" s="119">
        <f ca="1">HLOOKUP($H$5,'Met Data'!$H$2:$M$368,G8,FALSE)*L8</f>
        <v>2.8035714285714199</v>
      </c>
      <c r="K8" s="96">
        <f ca="1">HLOOKUP($H$5,'Met Data'!$O$2:$T$368,G8,FALSE)</f>
        <v>2.04836351360946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45231</v>
      </c>
      <c r="Q8">
        <f ca="1"/>
        <v>49.943857094793344</v>
      </c>
      <c r="R8">
        <f ca="1"/>
        <v>0</v>
      </c>
      <c r="S8">
        <f ca="1"/>
        <v>-0.36529617021824862</v>
      </c>
      <c r="T8" s="4">
        <f ca="1"/>
        <v>0.30915326501159329</v>
      </c>
      <c r="U8">
        <f ca="1"/>
        <v>0</v>
      </c>
      <c r="V8">
        <f ca="1"/>
        <v>1.6086467626342709</v>
      </c>
      <c r="W8">
        <f ca="1"/>
        <v>1.2546548566506848</v>
      </c>
      <c r="X8">
        <f ca="1"/>
        <v>0</v>
      </c>
      <c r="Y8">
        <f ca="1"/>
        <v>0.87702488200526829</v>
      </c>
      <c r="Z8">
        <f ca="1"/>
        <v>0</v>
      </c>
      <c r="AA8">
        <f ca="1"/>
        <v>0</v>
      </c>
      <c r="AB8">
        <f ca="1"/>
        <v>7.154626778223607E-3</v>
      </c>
      <c r="AD8" s="2">
        <f t="shared" ca="1" si="2"/>
        <v>45231</v>
      </c>
      <c r="AE8">
        <f t="shared" ca="1" si="3"/>
        <v>0</v>
      </c>
      <c r="AF8" s="3"/>
      <c r="AG8" s="63">
        <f ca="1">Q7+S8+T8+U8</f>
        <v>-5.6142905206655325E-2</v>
      </c>
      <c r="AH8" s="63">
        <f ca="1">Q8+R8+X8</f>
        <v>49.943857094793344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247</v>
      </c>
      <c r="H9" s="95">
        <f t="shared" ref="H9:H72" ca="1" si="6">H8+1</f>
        <v>45172</v>
      </c>
      <c r="I9" s="119">
        <f ca="1">HLOOKUP($H$5,'Met Data'!$A$2:$F$368,G9,FALSE)</f>
        <v>11.4379310344827</v>
      </c>
      <c r="J9" s="119">
        <f ca="1">HLOOKUP($H$5,'Met Data'!$H$2:$M$368,G9,FALSE)*L9</f>
        <v>2.2964285714285699</v>
      </c>
      <c r="K9" s="96">
        <f ca="1">HLOOKUP($H$5,'Met Data'!$O$2:$T$368,G9,FALSE)</f>
        <v>2.1933906940536101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45232</v>
      </c>
      <c r="Q9">
        <f ca="1"/>
        <v>49.825630117243271</v>
      </c>
      <c r="R9">
        <f ca="1"/>
        <v>6.154383399083696E-2</v>
      </c>
      <c r="S9">
        <f ca="1"/>
        <v>-0.35041472765499321</v>
      </c>
      <c r="T9" s="4">
        <f ca="1"/>
        <v>0.29373158409575945</v>
      </c>
      <c r="U9">
        <f ca="1"/>
        <v>0</v>
      </c>
      <c r="V9">
        <f ca="1"/>
        <v>1.6701905966251078</v>
      </c>
      <c r="W9">
        <f ca="1"/>
        <v>1.3026556185376885</v>
      </c>
      <c r="X9">
        <f ca="1"/>
        <v>0</v>
      </c>
      <c r="Y9">
        <f ca="1"/>
        <v>0.83344583398658456</v>
      </c>
      <c r="Z9">
        <f ca="1"/>
        <v>0</v>
      </c>
      <c r="AA9">
        <f ca="1"/>
        <v>0</v>
      </c>
      <c r="AB9">
        <f ca="1"/>
        <v>8.0559000429555935E-3</v>
      </c>
      <c r="AD9" s="2">
        <f t="shared" ca="1" si="2"/>
        <v>45232</v>
      </c>
      <c r="AE9">
        <f t="shared" ca="1" si="3"/>
        <v>0</v>
      </c>
      <c r="AG9" s="63">
        <f t="shared" ref="AG9:AG72" ca="1" si="7">Q8+S9+T9+U9</f>
        <v>49.887173951234111</v>
      </c>
      <c r="AH9" s="63">
        <f t="shared" ref="AH9:AH72" ca="1" si="8">Q9+R9+X9</f>
        <v>49.887173951234111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248</v>
      </c>
      <c r="H10" s="95">
        <f t="shared" ca="1" si="6"/>
        <v>45173</v>
      </c>
      <c r="I10" s="119">
        <f ca="1">HLOOKUP($H$5,'Met Data'!$A$2:$F$368,G10,FALSE)</f>
        <v>11.5448275862068</v>
      </c>
      <c r="J10" s="119">
        <f ca="1">HLOOKUP($H$5,'Met Data'!$H$2:$M$368,G10,FALSE)*L10</f>
        <v>3.6892857142857101</v>
      </c>
      <c r="K10" s="96">
        <f ca="1">HLOOKUP($H$5,'Met Data'!$O$2:$T$368,G10,FALSE)</f>
        <v>2.0025541274337399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45233</v>
      </c>
      <c r="Q10">
        <f ca="1"/>
        <v>49.719257787071442</v>
      </c>
      <c r="R10">
        <f ca="1"/>
        <v>6.3099766694231452E-2</v>
      </c>
      <c r="S10">
        <f ca="1"/>
        <v>-0.33233980696508758</v>
      </c>
      <c r="T10" s="4">
        <f ca="1"/>
        <v>0.28906724348748758</v>
      </c>
      <c r="U10">
        <f ca="1"/>
        <v>0</v>
      </c>
      <c r="V10">
        <f ca="1"/>
        <v>1.7332903633193393</v>
      </c>
      <c r="W10">
        <f ca="1"/>
        <v>1.3518699212518523</v>
      </c>
      <c r="X10">
        <f ca="1"/>
        <v>0</v>
      </c>
      <c r="Y10">
        <f ca="1"/>
        <v>0.82801410632170891</v>
      </c>
      <c r="Z10">
        <f ca="1"/>
        <v>0</v>
      </c>
      <c r="AA10">
        <f ca="1"/>
        <v>0</v>
      </c>
      <c r="AB10">
        <f ca="1"/>
        <v>9.0572245391185371E-3</v>
      </c>
      <c r="AD10" s="2">
        <f t="shared" ca="1" si="2"/>
        <v>45233</v>
      </c>
      <c r="AE10">
        <f t="shared" ca="1" si="3"/>
        <v>0</v>
      </c>
      <c r="AG10" s="63">
        <f t="shared" ca="1" si="7"/>
        <v>49.782357553765671</v>
      </c>
      <c r="AH10" s="63">
        <f t="shared" ca="1" si="8"/>
        <v>49.782357553765671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ca="1" si="4"/>
        <v>249</v>
      </c>
      <c r="H11" s="95">
        <f t="shared" ca="1" si="6"/>
        <v>45174</v>
      </c>
      <c r="I11" s="119">
        <f ca="1">HLOOKUP($H$5,'Met Data'!$A$2:$F$368,G11,FALSE)</f>
        <v>11.734482758620601</v>
      </c>
      <c r="J11" s="119">
        <f ca="1">HLOOKUP($H$5,'Met Data'!$H$2:$M$368,G11,FALSE)*L11</f>
        <v>5.6892857142857096</v>
      </c>
      <c r="K11" s="96">
        <f ca="1">HLOOKUP($H$5,'Met Data'!$O$2:$T$368,G11,FALSE)</f>
        <v>2.0261980789565999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45234</v>
      </c>
      <c r="Q11">
        <f ca="1"/>
        <v>49.627422276878924</v>
      </c>
      <c r="R11">
        <f ca="1"/>
        <v>6.6977000249792917E-2</v>
      </c>
      <c r="S11">
        <f ca="1"/>
        <v>-0.32198614552413662</v>
      </c>
      <c r="T11" s="4">
        <f ca="1"/>
        <v>0.2971276355814102</v>
      </c>
      <c r="U11">
        <f ca="1"/>
        <v>0</v>
      </c>
      <c r="V11">
        <f ca="1"/>
        <v>1.8002673635691322</v>
      </c>
      <c r="W11">
        <f ca="1"/>
        <v>1.4041082501374846</v>
      </c>
      <c r="X11">
        <f ca="1"/>
        <v>0</v>
      </c>
      <c r="Y11">
        <f ca="1"/>
        <v>0.83552602577310209</v>
      </c>
      <c r="Z11">
        <f ca="1"/>
        <v>0</v>
      </c>
      <c r="AA11">
        <f ca="1"/>
        <v>0</v>
      </c>
      <c r="AB11">
        <f ca="1"/>
        <v>1.0209287429726367E-2</v>
      </c>
      <c r="AD11" s="2">
        <f t="shared" ca="1" si="2"/>
        <v>45234</v>
      </c>
      <c r="AE11">
        <f t="shared" ca="1" si="3"/>
        <v>0</v>
      </c>
      <c r="AG11" s="63">
        <f t="shared" ca="1" si="7"/>
        <v>49.694399277128717</v>
      </c>
      <c r="AH11" s="63">
        <f t="shared" ca="1" si="8"/>
        <v>49.694399277128717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ca="1" si="4"/>
        <v>250</v>
      </c>
      <c r="H12" s="95">
        <f t="shared" ca="1" si="6"/>
        <v>45175</v>
      </c>
      <c r="I12" s="119">
        <f ca="1">HLOOKUP($H$5,'Met Data'!$A$2:$F$368,G12,FALSE)</f>
        <v>11.682758620689601</v>
      </c>
      <c r="J12" s="119">
        <f ca="1">HLOOKUP($H$5,'Met Data'!$H$2:$M$368,G12,FALSE)*L12</f>
        <v>3.97586206896551</v>
      </c>
      <c r="K12" s="96">
        <f ca="1">HLOOKUP($H$5,'Met Data'!$O$2:$T$368,G12,FALSE)</f>
        <v>2.26836536246158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45235</v>
      </c>
      <c r="Q12">
        <f ca="1"/>
        <v>49.571471390198845</v>
      </c>
      <c r="R12">
        <f ca="1"/>
        <v>7.217710497247487E-2</v>
      </c>
      <c r="S12">
        <f ca="1"/>
        <v>-0.31459520516030914</v>
      </c>
      <c r="T12" s="4">
        <f ca="1"/>
        <v>0.33082142345270527</v>
      </c>
      <c r="U12">
        <f ca="1"/>
        <v>0</v>
      </c>
      <c r="V12">
        <f ca="1"/>
        <v>1.8724444685416071</v>
      </c>
      <c r="W12">
        <f ca="1"/>
        <v>1.4604023710073815</v>
      </c>
      <c r="X12">
        <f ca="1"/>
        <v>0</v>
      </c>
      <c r="Y12">
        <f ca="1"/>
        <v>0.89646472100080787</v>
      </c>
      <c r="Z12">
        <f ca="1"/>
        <v>0</v>
      </c>
      <c r="AA12">
        <f ca="1"/>
        <v>0</v>
      </c>
      <c r="AB12">
        <f ca="1"/>
        <v>1.1558013405001755E-2</v>
      </c>
      <c r="AD12" s="2">
        <f t="shared" ca="1" si="2"/>
        <v>45235</v>
      </c>
      <c r="AE12">
        <f t="shared" ca="1" si="3"/>
        <v>0</v>
      </c>
      <c r="AG12" s="63">
        <f t="shared" ca="1" si="7"/>
        <v>49.64364849517132</v>
      </c>
      <c r="AH12" s="63">
        <f t="shared" ca="1" si="8"/>
        <v>49.64364849517132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251</v>
      </c>
      <c r="H13" s="95">
        <f t="shared" ca="1" si="6"/>
        <v>45176</v>
      </c>
      <c r="I13" s="119">
        <f ca="1">HLOOKUP($H$5,'Met Data'!$A$2:$F$368,G13,FALSE)</f>
        <v>11.389655172413701</v>
      </c>
      <c r="J13" s="119">
        <f ca="1">HLOOKUP($H$5,'Met Data'!$H$2:$M$368,G13,FALSE)*L13</f>
        <v>2.6793103448275799</v>
      </c>
      <c r="K13" s="96">
        <f ca="1">HLOOKUP($H$5,'Met Data'!$O$2:$T$368,G13,FALSE)</f>
        <v>2.1403968231495001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45236</v>
      </c>
      <c r="Q13">
        <f ca="1"/>
        <v>49.534807044467932</v>
      </c>
      <c r="R13">
        <f ca="1"/>
        <v>7.18704967057886E-2</v>
      </c>
      <c r="S13">
        <f ca="1"/>
        <v>-0.29197662835747318</v>
      </c>
      <c r="T13" s="4">
        <f ca="1"/>
        <v>0.32718277933235629</v>
      </c>
      <c r="U13">
        <f ca="1"/>
        <v>0</v>
      </c>
      <c r="V13">
        <f ca="1"/>
        <v>1.9443149652473957</v>
      </c>
      <c r="W13">
        <f ca="1"/>
        <v>1.5164573545105036</v>
      </c>
      <c r="X13">
        <f ca="1"/>
        <v>0</v>
      </c>
      <c r="Y13">
        <f ca="1"/>
        <v>0.91390532072451214</v>
      </c>
      <c r="Z13">
        <f ca="1"/>
        <v>0</v>
      </c>
      <c r="AA13">
        <f ca="1"/>
        <v>0</v>
      </c>
      <c r="AB13">
        <f ca="1"/>
        <v>1.3016173018811049E-2</v>
      </c>
      <c r="AD13" s="2">
        <f t="shared" ca="1" si="2"/>
        <v>45236</v>
      </c>
      <c r="AE13">
        <f t="shared" ca="1" si="3"/>
        <v>0</v>
      </c>
      <c r="AG13" s="63">
        <f t="shared" ca="1" si="7"/>
        <v>49.606677541173724</v>
      </c>
      <c r="AH13" s="63">
        <f t="shared" ca="1" si="8"/>
        <v>49.606677541173724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252</v>
      </c>
      <c r="H14" s="95">
        <f t="shared" ca="1" si="6"/>
        <v>45177</v>
      </c>
      <c r="I14" s="119">
        <f ca="1">HLOOKUP($H$5,'Met Data'!$A$2:$F$368,G14,FALSE)</f>
        <v>11.834482758620601</v>
      </c>
      <c r="J14" s="119">
        <f ca="1">HLOOKUP($H$5,'Met Data'!$H$2:$M$368,G14,FALSE)*L14</f>
        <v>4.4310344827586201</v>
      </c>
      <c r="K14" s="96">
        <f ca="1">HLOOKUP($H$5,'Met Data'!$O$2:$T$368,G14,FALSE)</f>
        <v>2.4179314095726698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45237</v>
      </c>
      <c r="Q14">
        <f ca="1"/>
        <v>49.518211400134078</v>
      </c>
      <c r="R14">
        <f ca="1"/>
        <v>7.7135633214868715E-2</v>
      </c>
      <c r="S14">
        <f ca="1"/>
        <v>-0.28444842820050042</v>
      </c>
      <c r="T14" s="4">
        <f ca="1"/>
        <v>0.34498841708151284</v>
      </c>
      <c r="U14">
        <f ca="1"/>
        <v>0</v>
      </c>
      <c r="V14">
        <f ca="1"/>
        <v>2.0214505984622644</v>
      </c>
      <c r="W14">
        <f ca="1"/>
        <v>1.5766188511683397</v>
      </c>
      <c r="X14">
        <f ca="1"/>
        <v>0</v>
      </c>
      <c r="Y14">
        <f ca="1"/>
        <v>0.93511386740540015</v>
      </c>
      <c r="Z14">
        <f ca="1"/>
        <v>0</v>
      </c>
      <c r="AA14">
        <f ca="1"/>
        <v>0</v>
      </c>
      <c r="AB14">
        <f ca="1"/>
        <v>1.47143384307573E-2</v>
      </c>
      <c r="AD14" s="2">
        <f t="shared" ca="1" si="2"/>
        <v>45237</v>
      </c>
      <c r="AE14">
        <f t="shared" ca="1" si="3"/>
        <v>0</v>
      </c>
      <c r="AG14" s="63">
        <f t="shared" ca="1" si="7"/>
        <v>49.595347033348943</v>
      </c>
      <c r="AH14" s="63">
        <f t="shared" ca="1" si="8"/>
        <v>49.595347033348943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253</v>
      </c>
      <c r="H15" s="95">
        <f t="shared" ca="1" si="6"/>
        <v>45178</v>
      </c>
      <c r="I15" s="119">
        <f ca="1">HLOOKUP($H$5,'Met Data'!$A$2:$F$368,G15,FALSE)</f>
        <v>11.465</v>
      </c>
      <c r="J15" s="119">
        <f ca="1">HLOOKUP($H$5,'Met Data'!$H$2:$M$368,G15,FALSE)*L15</f>
        <v>3.6827586206896501</v>
      </c>
      <c r="K15" s="96">
        <f ca="1">HLOOKUP($H$5,'Met Data'!$O$2:$T$368,G15,FALSE)</f>
        <v>2.2362909221430498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45238</v>
      </c>
      <c r="Q15">
        <f ca="1"/>
        <v>49.513809874125442</v>
      </c>
      <c r="R15">
        <f ca="1"/>
        <v>8.2377409903630294E-2</v>
      </c>
      <c r="S15">
        <f ca="1"/>
        <v>-0.27583925768370676</v>
      </c>
      <c r="T15" s="4">
        <f ca="1"/>
        <v>0.35381514157870214</v>
      </c>
      <c r="U15">
        <f ca="1"/>
        <v>0</v>
      </c>
      <c r="V15">
        <f ca="1"/>
        <v>2.1038280083658947</v>
      </c>
      <c r="W15">
        <f ca="1"/>
        <v>1.6408686416224245</v>
      </c>
      <c r="X15">
        <f ca="1"/>
        <v>0</v>
      </c>
      <c r="Y15">
        <f ca="1"/>
        <v>0.93773619330101576</v>
      </c>
      <c r="Z15">
        <f ca="1"/>
        <v>0</v>
      </c>
      <c r="AA15">
        <f ca="1"/>
        <v>0</v>
      </c>
      <c r="AB15">
        <f ca="1"/>
        <v>1.6686419277041262E-2</v>
      </c>
      <c r="AD15" s="2">
        <f t="shared" ca="1" si="2"/>
        <v>45238</v>
      </c>
      <c r="AE15">
        <f t="shared" ca="1" si="3"/>
        <v>0</v>
      </c>
      <c r="AG15" s="63">
        <f t="shared" ca="1" si="7"/>
        <v>49.596187284029071</v>
      </c>
      <c r="AH15" s="63">
        <f t="shared" ca="1" si="8"/>
        <v>49.596187284029071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254</v>
      </c>
      <c r="H16" s="95">
        <f t="shared" ca="1" si="6"/>
        <v>45179</v>
      </c>
      <c r="I16" s="119">
        <f ca="1">HLOOKUP($H$5,'Met Data'!$A$2:$F$368,G16,FALSE)</f>
        <v>11.62</v>
      </c>
      <c r="J16" s="119">
        <f ca="1">HLOOKUP($H$5,'Met Data'!$H$2:$M$368,G16,FALSE)*L16</f>
        <v>1.66333333333333</v>
      </c>
      <c r="K16" s="96">
        <f ca="1">HLOOKUP($H$5,'Met Data'!$O$2:$T$368,G16,FALSE)</f>
        <v>2.5120136328346701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45239</v>
      </c>
      <c r="Q16">
        <f ca="1"/>
        <v>49.51979710292553</v>
      </c>
      <c r="R16">
        <f ca="1"/>
        <v>8.2432933844590828E-2</v>
      </c>
      <c r="S16">
        <f ca="1"/>
        <v>-0.25619512310725856</v>
      </c>
      <c r="T16" s="4">
        <f ca="1"/>
        <v>0.3446152857519415</v>
      </c>
      <c r="U16">
        <f ca="1"/>
        <v>0</v>
      </c>
      <c r="V16">
        <f ca="1"/>
        <v>2.1862609422104855</v>
      </c>
      <c r="W16">
        <f ca="1"/>
        <v>1.705161737657203</v>
      </c>
      <c r="X16">
        <f ca="1"/>
        <v>0</v>
      </c>
      <c r="Y16">
        <f ca="1"/>
        <v>0.94076171159198474</v>
      </c>
      <c r="Z16">
        <f ca="1"/>
        <v>0</v>
      </c>
      <c r="AA16">
        <f ca="1"/>
        <v>0</v>
      </c>
      <c r="AB16">
        <f ca="1"/>
        <v>1.8830322891543114E-2</v>
      </c>
      <c r="AD16" s="2">
        <f t="shared" ca="1" si="2"/>
        <v>45239</v>
      </c>
      <c r="AE16">
        <f t="shared" ca="1" si="3"/>
        <v>0</v>
      </c>
      <c r="AG16" s="63">
        <f t="shared" ca="1" si="7"/>
        <v>49.602230036770123</v>
      </c>
      <c r="AH16" s="63">
        <f t="shared" ca="1" si="8"/>
        <v>49.602230036770123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255</v>
      </c>
      <c r="H17" s="95">
        <f t="shared" ca="1" si="6"/>
        <v>45180</v>
      </c>
      <c r="I17" s="119">
        <f ca="1">HLOOKUP($H$5,'Met Data'!$A$2:$F$368,G17,FALSE)</f>
        <v>11.7633333333333</v>
      </c>
      <c r="J17" s="119">
        <f ca="1">HLOOKUP($H$5,'Met Data'!$H$2:$M$368,G17,FALSE)*L17</f>
        <v>3.2833333333333301</v>
      </c>
      <c r="K17" s="96">
        <f ca="1">HLOOKUP($H$5,'Met Data'!$O$2:$T$368,G17,FALSE)</f>
        <v>2.3151045080086101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45240</v>
      </c>
      <c r="Q17">
        <f ca="1"/>
        <v>49.52984168006445</v>
      </c>
      <c r="R17">
        <f ca="1"/>
        <v>8.8849967952963294E-2</v>
      </c>
      <c r="S17">
        <f ca="1"/>
        <v>-0.24987371748859255</v>
      </c>
      <c r="T17" s="4">
        <f ca="1"/>
        <v>0.34876826258046817</v>
      </c>
      <c r="U17">
        <f ca="1"/>
        <v>0</v>
      </c>
      <c r="V17">
        <f ca="1"/>
        <v>2.2751109101634488</v>
      </c>
      <c r="W17">
        <f ca="1"/>
        <v>1.7744597628015755</v>
      </c>
      <c r="X17">
        <f ca="1"/>
        <v>0</v>
      </c>
      <c r="Y17">
        <f ca="1"/>
        <v>0.92674553721201314</v>
      </c>
      <c r="Z17">
        <f ca="1"/>
        <v>0</v>
      </c>
      <c r="AA17">
        <f ca="1"/>
        <v>0</v>
      </c>
      <c r="AB17">
        <f ca="1"/>
        <v>2.1339630574903259E-2</v>
      </c>
      <c r="AD17" s="2">
        <f t="shared" ca="1" si="2"/>
        <v>45240</v>
      </c>
      <c r="AE17">
        <f t="shared" ca="1" si="3"/>
        <v>0</v>
      </c>
      <c r="AG17" s="63">
        <f t="shared" ca="1" si="7"/>
        <v>49.618691648017411</v>
      </c>
      <c r="AH17" s="63">
        <f t="shared" ca="1" si="8"/>
        <v>49.618691648017411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256</v>
      </c>
      <c r="H18" s="95">
        <f t="shared" ca="1" si="6"/>
        <v>45181</v>
      </c>
      <c r="I18" s="119">
        <f ca="1">HLOOKUP($H$5,'Met Data'!$A$2:$F$368,G18,FALSE)</f>
        <v>12.158333333333299</v>
      </c>
      <c r="J18" s="119">
        <f ca="1">HLOOKUP($H$5,'Met Data'!$H$2:$M$368,G18,FALSE)*L18</f>
        <v>3.8833333333333302</v>
      </c>
      <c r="K18" s="96">
        <f ca="1">HLOOKUP($H$5,'Met Data'!$O$2:$T$368,G18,FALSE)</f>
        <v>2.3727724062230302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45241</v>
      </c>
      <c r="Q18">
        <f ca="1"/>
        <v>49.53536629088741</v>
      </c>
      <c r="R18">
        <f ca="1"/>
        <v>9.3279313539082587E-2</v>
      </c>
      <c r="S18">
        <f ca="1"/>
        <v>-0.23914012791539463</v>
      </c>
      <c r="T18" s="4">
        <f ca="1"/>
        <v>0.33794405227744168</v>
      </c>
      <c r="U18">
        <f ca="1"/>
        <v>0</v>
      </c>
      <c r="V18">
        <f ca="1"/>
        <v>2.3683902237025314</v>
      </c>
      <c r="W18">
        <f ca="1"/>
        <v>1.8472124307429212</v>
      </c>
      <c r="X18">
        <f ca="1"/>
        <v>0</v>
      </c>
      <c r="Y18">
        <f ca="1"/>
        <v>0.89554512676654474</v>
      </c>
      <c r="Z18">
        <f ca="1"/>
        <v>0</v>
      </c>
      <c r="AA18">
        <f ca="1"/>
        <v>0</v>
      </c>
      <c r="AB18">
        <f ca="1"/>
        <v>2.4204083524567953E-2</v>
      </c>
      <c r="AD18" s="2">
        <f t="shared" ca="1" si="2"/>
        <v>45241</v>
      </c>
      <c r="AE18">
        <f t="shared" ca="1" si="3"/>
        <v>0</v>
      </c>
      <c r="AG18" s="63">
        <f t="shared" ca="1" si="7"/>
        <v>49.628645604426502</v>
      </c>
      <c r="AH18" s="63">
        <f t="shared" ca="1" si="8"/>
        <v>49.628645604426495</v>
      </c>
      <c r="AI18" s="3">
        <f t="shared" ca="1" si="9"/>
        <v>0</v>
      </c>
    </row>
    <row r="19" spans="1:35" ht="15.75" thickBot="1">
      <c r="A19" s="6" t="s">
        <v>117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257</v>
      </c>
      <c r="H19" s="95">
        <f t="shared" ca="1" si="6"/>
        <v>45182</v>
      </c>
      <c r="I19" s="119">
        <f ca="1">HLOOKUP($H$5,'Met Data'!$A$2:$F$368,G19,FALSE)</f>
        <v>11.908333333333299</v>
      </c>
      <c r="J19" s="119">
        <f ca="1">HLOOKUP($H$5,'Met Data'!$H$2:$M$368,G19,FALSE)*L19</f>
        <v>5.26</v>
      </c>
      <c r="K19" s="96">
        <f ca="1">HLOOKUP($H$5,'Met Data'!$O$2:$T$368,G19,FALSE)</f>
        <v>2.4036248389024699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45242</v>
      </c>
      <c r="Q19">
        <f ca="1"/>
        <v>49.552696027562725</v>
      </c>
      <c r="R19">
        <f ca="1"/>
        <v>9.6705941191664646E-2</v>
      </c>
      <c r="S19">
        <f ca="1"/>
        <v>-0.22680575272229886</v>
      </c>
      <c r="T19" s="4">
        <f ca="1"/>
        <v>0.34084143058928051</v>
      </c>
      <c r="U19">
        <f ca="1"/>
        <v>0</v>
      </c>
      <c r="V19">
        <f ca="1"/>
        <v>2.465096164894196</v>
      </c>
      <c r="W19">
        <f ca="1"/>
        <v>1.9226376773548044</v>
      </c>
      <c r="X19">
        <f ca="1"/>
        <v>0</v>
      </c>
      <c r="Y19">
        <f ca="1"/>
        <v>0.90413423126177583</v>
      </c>
      <c r="Z19">
        <f ca="1"/>
        <v>0</v>
      </c>
      <c r="AA19">
        <f ca="1"/>
        <v>0</v>
      </c>
      <c r="AB19">
        <f ca="1"/>
        <v>2.7431750913829468E-2</v>
      </c>
      <c r="AD19" s="2">
        <f t="shared" ca="1" si="2"/>
        <v>45242</v>
      </c>
      <c r="AE19">
        <f t="shared" ca="1" si="3"/>
        <v>0</v>
      </c>
      <c r="AG19" s="63">
        <f t="shared" ca="1" si="7"/>
        <v>49.64940196875439</v>
      </c>
      <c r="AH19" s="63">
        <f t="shared" ca="1" si="8"/>
        <v>49.64940196875439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ca="1" si="4"/>
        <v>258</v>
      </c>
      <c r="H20" s="95">
        <f t="shared" ca="1" si="6"/>
        <v>45183</v>
      </c>
      <c r="I20" s="119">
        <f ca="1">HLOOKUP($H$5,'Met Data'!$A$2:$F$368,G20,FALSE)</f>
        <v>12.074999999999999</v>
      </c>
      <c r="J20" s="119">
        <f ca="1">HLOOKUP($H$5,'Met Data'!$H$2:$M$368,G20,FALSE)*L20</f>
        <v>3.6933333333333298</v>
      </c>
      <c r="K20" s="96">
        <f ca="1">HLOOKUP($H$5,'Met Data'!$O$2:$T$368,G20,FALSE)</f>
        <v>2.56639010677653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45243</v>
      </c>
      <c r="Q20">
        <f ca="1"/>
        <v>49.573473882917845</v>
      </c>
      <c r="R20">
        <f ca="1"/>
        <v>9.8126472912949847E-2</v>
      </c>
      <c r="S20">
        <f ca="1"/>
        <v>-0.21213310218602022</v>
      </c>
      <c r="T20" s="4">
        <f ca="1"/>
        <v>0.33103743045409384</v>
      </c>
      <c r="U20">
        <f ca="1"/>
        <v>0</v>
      </c>
      <c r="V20">
        <f ca="1"/>
        <v>2.5632226378071459</v>
      </c>
      <c r="W20">
        <f ca="1"/>
        <v>1.9991708595710329</v>
      </c>
      <c r="X20">
        <f ca="1"/>
        <v>0</v>
      </c>
      <c r="Y20">
        <f ca="1"/>
        <v>0.89631655025445889</v>
      </c>
      <c r="Z20">
        <f ca="1"/>
        <v>0</v>
      </c>
      <c r="AA20">
        <f ca="1"/>
        <v>0</v>
      </c>
      <c r="AB20">
        <f ca="1"/>
        <v>3.0984633900880586E-2</v>
      </c>
      <c r="AD20" s="2">
        <f t="shared" ca="1" si="2"/>
        <v>45243</v>
      </c>
      <c r="AE20">
        <f t="shared" ca="1" si="3"/>
        <v>0</v>
      </c>
      <c r="AG20" s="63">
        <f t="shared" ca="1" si="7"/>
        <v>49.671600355830797</v>
      </c>
      <c r="AH20" s="63">
        <f t="shared" ca="1" si="8"/>
        <v>49.671600355830797</v>
      </c>
      <c r="AI20" s="3">
        <f t="shared" ca="1" si="9"/>
        <v>0</v>
      </c>
    </row>
    <row r="21" spans="1:35">
      <c r="A21" s="6" t="s">
        <v>119</v>
      </c>
      <c r="B21" s="34">
        <f>PriorHarvestDate</f>
        <v>45230</v>
      </c>
      <c r="G21" s="3">
        <f t="shared" ca="1" si="4"/>
        <v>259</v>
      </c>
      <c r="H21" s="95">
        <f t="shared" ca="1" si="6"/>
        <v>45184</v>
      </c>
      <c r="I21" s="119">
        <f ca="1">HLOOKUP($H$5,'Met Data'!$A$2:$F$368,G21,FALSE)</f>
        <v>12.3883333333333</v>
      </c>
      <c r="J21" s="119">
        <f ca="1">HLOOKUP($H$5,'Met Data'!$H$2:$M$368,G21,FALSE)*L21</f>
        <v>3.26</v>
      </c>
      <c r="K21" s="96">
        <f ca="1">HLOOKUP($H$5,'Met Data'!$O$2:$T$368,G21,FALSE)</f>
        <v>2.3157931057843801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45244</v>
      </c>
      <c r="Q21">
        <f ca="1"/>
        <v>49.598890696965277</v>
      </c>
      <c r="R21">
        <f ca="1"/>
        <v>0.1013468861775304</v>
      </c>
      <c r="S21">
        <f ca="1"/>
        <v>-0.20089578920266016</v>
      </c>
      <c r="T21" s="4">
        <f ca="1"/>
        <v>0.32765948942762541</v>
      </c>
      <c r="U21">
        <f ca="1"/>
        <v>0</v>
      </c>
      <c r="V21">
        <f ca="1"/>
        <v>2.6645695239846763</v>
      </c>
      <c r="W21">
        <f ca="1"/>
        <v>2.0782157847234242</v>
      </c>
      <c r="X21">
        <f ca="1"/>
        <v>0</v>
      </c>
      <c r="Y21">
        <f ca="1"/>
        <v>0.89166886826759728</v>
      </c>
      <c r="Z21">
        <f ca="1"/>
        <v>0</v>
      </c>
      <c r="AA21">
        <f ca="1"/>
        <v>0</v>
      </c>
      <c r="AB21">
        <f ca="1"/>
        <v>3.4957352834207485E-2</v>
      </c>
      <c r="AD21" s="2">
        <f t="shared" ca="1" si="2"/>
        <v>45244</v>
      </c>
      <c r="AE21">
        <f t="shared" ca="1" si="3"/>
        <v>0</v>
      </c>
      <c r="AG21" s="63">
        <f t="shared" ca="1" si="7"/>
        <v>49.700237583142808</v>
      </c>
      <c r="AH21" s="63">
        <f t="shared" ca="1" si="8"/>
        <v>49.700237583142808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260</v>
      </c>
      <c r="H22" s="95">
        <f t="shared" ca="1" si="6"/>
        <v>45185</v>
      </c>
      <c r="I22" s="119">
        <f ca="1">HLOOKUP($H$5,'Met Data'!$A$2:$F$368,G22,FALSE)</f>
        <v>12.5766666666666</v>
      </c>
      <c r="J22" s="119">
        <f ca="1">HLOOKUP($H$5,'Met Data'!$H$2:$M$368,G22,FALSE)*L22</f>
        <v>3.5999999999999899</v>
      </c>
      <c r="K22" s="96">
        <f ca="1">HLOOKUP($H$5,'Met Data'!$O$2:$T$368,G22,FALSE)</f>
        <v>2.2894884287258899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45245</v>
      </c>
      <c r="Q22">
        <f ca="1"/>
        <v>49.621055640203735</v>
      </c>
      <c r="R22">
        <f ca="1"/>
        <v>0.10924610945673985</v>
      </c>
      <c r="S22">
        <f ca="1"/>
        <v>-0.19552563125566014</v>
      </c>
      <c r="T22" s="4">
        <f ca="1"/>
        <v>0.32693668395086467</v>
      </c>
      <c r="U22">
        <f ca="1"/>
        <v>0</v>
      </c>
      <c r="V22">
        <f ca="1"/>
        <v>2.7738156334414161</v>
      </c>
      <c r="W22">
        <f ca="1"/>
        <v>2.1634216639654498</v>
      </c>
      <c r="X22">
        <f ca="1"/>
        <v>0</v>
      </c>
      <c r="Y22">
        <f ca="1"/>
        <v>0.86654920040704642</v>
      </c>
      <c r="Z22">
        <f ca="1"/>
        <v>0</v>
      </c>
      <c r="AA22">
        <f ca="1"/>
        <v>0</v>
      </c>
      <c r="AB22">
        <f ca="1"/>
        <v>3.9595114220933612E-2</v>
      </c>
      <c r="AD22" s="2">
        <f t="shared" ca="1" si="2"/>
        <v>45245</v>
      </c>
      <c r="AE22">
        <f t="shared" ca="1" si="3"/>
        <v>0</v>
      </c>
      <c r="AG22" s="63">
        <f t="shared" ca="1" si="7"/>
        <v>49.730301749660477</v>
      </c>
      <c r="AH22" s="63">
        <f t="shared" ca="1" si="8"/>
        <v>49.730301749660477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261</v>
      </c>
      <c r="H23" s="95">
        <f t="shared" ca="1" si="6"/>
        <v>45186</v>
      </c>
      <c r="I23" s="119">
        <f ca="1">HLOOKUP($H$5,'Met Data'!$A$2:$F$368,G23,FALSE)</f>
        <v>12.482258064516101</v>
      </c>
      <c r="J23" s="119">
        <f ca="1">HLOOKUP($H$5,'Met Data'!$H$2:$M$368,G23,FALSE)*L23</f>
        <v>2.73870967741935</v>
      </c>
      <c r="K23" s="96">
        <f ca="1">HLOOKUP($H$5,'Met Data'!$O$2:$T$368,G23,FALSE)</f>
        <v>2.42321708135252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45246</v>
      </c>
      <c r="Q23">
        <f ca="1"/>
        <v>49.658825075159342</v>
      </c>
      <c r="R23">
        <f ca="1"/>
        <v>0.11742701432089042</v>
      </c>
      <c r="S23">
        <f ca="1"/>
        <v>-0.18959986242020577</v>
      </c>
      <c r="T23" s="4">
        <f ca="1"/>
        <v>0.344796311696698</v>
      </c>
      <c r="U23">
        <f ca="1"/>
        <v>0</v>
      </c>
      <c r="V23">
        <f ca="1"/>
        <v>2.8912426477623066</v>
      </c>
      <c r="W23">
        <f ca="1"/>
        <v>2.2550081932407964</v>
      </c>
      <c r="X23">
        <f ca="1"/>
        <v>0</v>
      </c>
      <c r="Y23">
        <f ca="1"/>
        <v>0.88690063022637677</v>
      </c>
      <c r="Z23">
        <f ca="1"/>
        <v>0</v>
      </c>
      <c r="AA23">
        <f ca="1"/>
        <v>0</v>
      </c>
      <c r="AB23">
        <f ca="1"/>
        <v>4.5002700770002048E-2</v>
      </c>
      <c r="AD23" s="2">
        <f t="shared" ca="1" si="2"/>
        <v>45246</v>
      </c>
      <c r="AE23">
        <f t="shared" ca="1" si="3"/>
        <v>0</v>
      </c>
      <c r="AG23" s="63">
        <f t="shared" ca="1" si="7"/>
        <v>49.776252089480224</v>
      </c>
      <c r="AH23" s="63">
        <f t="shared" ca="1" si="8"/>
        <v>49.776252089480231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ca="1" si="4"/>
        <v>262</v>
      </c>
      <c r="H24" s="95">
        <f t="shared" ca="1" si="6"/>
        <v>45187</v>
      </c>
      <c r="I24" s="119">
        <f ca="1">HLOOKUP($H$5,'Met Data'!$A$2:$F$368,G24,FALSE)</f>
        <v>12.261290322580599</v>
      </c>
      <c r="J24" s="119">
        <f ca="1">HLOOKUP($H$5,'Met Data'!$H$2:$M$368,G24,FALSE)*L24</f>
        <v>2.5741935483870901</v>
      </c>
      <c r="K24" s="96">
        <f ca="1">HLOOKUP($H$5,'Met Data'!$O$2:$T$368,G24,FALSE)</f>
        <v>2.45933848636487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45247</v>
      </c>
      <c r="Q24">
        <f ca="1"/>
        <v>49.690867294592771</v>
      </c>
      <c r="R24">
        <f ca="1"/>
        <v>0.11749204457899687</v>
      </c>
      <c r="S24">
        <f ca="1"/>
        <v>-0.17489328043907815</v>
      </c>
      <c r="T24" s="4">
        <f ca="1"/>
        <v>0.32442754445150296</v>
      </c>
      <c r="U24">
        <f ca="1"/>
        <v>0</v>
      </c>
      <c r="V24">
        <f ca="1"/>
        <v>3.0087346923413034</v>
      </c>
      <c r="W24">
        <f ca="1"/>
        <v>2.3466454424946095</v>
      </c>
      <c r="X24">
        <f ca="1"/>
        <v>0</v>
      </c>
      <c r="Y24">
        <f ca="1"/>
        <v>0.86433052103954533</v>
      </c>
      <c r="Z24">
        <f ca="1"/>
        <v>0</v>
      </c>
      <c r="AA24">
        <f ca="1"/>
        <v>0</v>
      </c>
      <c r="AB24">
        <f ca="1"/>
        <v>5.0862111575444423E-2</v>
      </c>
      <c r="AD24" s="2">
        <f t="shared" ca="1" si="2"/>
        <v>45247</v>
      </c>
      <c r="AE24">
        <f t="shared" ca="1" si="3"/>
        <v>0</v>
      </c>
      <c r="AG24" s="63">
        <f t="shared" ca="1" si="7"/>
        <v>49.808359339171766</v>
      </c>
      <c r="AH24" s="63">
        <f t="shared" ca="1" si="8"/>
        <v>49.808359339171766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Lettuce Vegetable Ice berg</v>
      </c>
      <c r="G25" s="3">
        <f t="shared" ca="1" si="4"/>
        <v>263</v>
      </c>
      <c r="H25" s="95">
        <f t="shared" ca="1" si="6"/>
        <v>45188</v>
      </c>
      <c r="I25" s="119">
        <f ca="1">HLOOKUP($H$5,'Met Data'!$A$2:$F$368,G25,FALSE)</f>
        <v>12.1677419354838</v>
      </c>
      <c r="J25" s="119">
        <f ca="1">HLOOKUP($H$5,'Met Data'!$H$2:$M$368,G25,FALSE)*L25</f>
        <v>3.5774193548387001</v>
      </c>
      <c r="K25" s="96">
        <f ca="1">HLOOKUP($H$5,'Met Data'!$O$2:$T$368,G25,FALSE)</f>
        <v>2.2883058912546601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45248</v>
      </c>
      <c r="Q25">
        <f ca="1"/>
        <v>49.717885268020645</v>
      </c>
      <c r="R25">
        <f ca="1"/>
        <v>0.11741576739124993</v>
      </c>
      <c r="S25">
        <f ca="1"/>
        <v>-0.16167591916574686</v>
      </c>
      <c r="T25" s="4">
        <f ca="1"/>
        <v>0.30610965998486661</v>
      </c>
      <c r="U25">
        <f ca="1"/>
        <v>0</v>
      </c>
      <c r="V25">
        <f ca="1"/>
        <v>3.1261504597325533</v>
      </c>
      <c r="W25">
        <f ca="1"/>
        <v>2.4382231997914063</v>
      </c>
      <c r="X25">
        <f ca="1"/>
        <v>0</v>
      </c>
      <c r="Y25">
        <f ca="1"/>
        <v>0.84316851910891366</v>
      </c>
      <c r="Z25">
        <f ca="1"/>
        <v>0</v>
      </c>
      <c r="AA25">
        <f ca="1"/>
        <v>0</v>
      </c>
      <c r="AB25">
        <f ca="1"/>
        <v>5.7175276244683743E-2</v>
      </c>
      <c r="AD25" s="2">
        <f t="shared" ca="1" si="2"/>
        <v>45248</v>
      </c>
      <c r="AE25">
        <f t="shared" ca="1" si="3"/>
        <v>0</v>
      </c>
      <c r="AG25" s="63">
        <f t="shared" ca="1" si="7"/>
        <v>49.835301035411895</v>
      </c>
      <c r="AH25" s="63">
        <f t="shared" ca="1" si="8"/>
        <v>49.835301035411895</v>
      </c>
      <c r="AI25" s="3">
        <f t="shared" ca="1" si="9"/>
        <v>0</v>
      </c>
    </row>
    <row r="26" spans="1:35">
      <c r="A26" s="9" t="s">
        <v>242</v>
      </c>
      <c r="B26" s="11">
        <f>CurrentYield</f>
        <v>0.4</v>
      </c>
      <c r="G26" s="3">
        <f t="shared" ca="1" si="4"/>
        <v>264</v>
      </c>
      <c r="H26" s="95">
        <f t="shared" ca="1" si="6"/>
        <v>45189</v>
      </c>
      <c r="I26" s="119">
        <f ca="1">HLOOKUP($H$5,'Met Data'!$A$2:$F$368,G26,FALSE)</f>
        <v>12.1064516129032</v>
      </c>
      <c r="J26" s="119">
        <f ca="1">HLOOKUP($H$5,'Met Data'!$H$2:$M$368,G26,FALSE)*L26</f>
        <v>2.6774193548387002</v>
      </c>
      <c r="K26" s="96">
        <f ca="1">HLOOKUP($H$5,'Met Data'!$O$2:$T$368,G26,FALSE)</f>
        <v>2.6656714596224198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45249</v>
      </c>
      <c r="Q26">
        <f ca="1"/>
        <v>49.73671306178872</v>
      </c>
      <c r="R26">
        <f ca="1"/>
        <v>0.12151216475588322</v>
      </c>
      <c r="S26">
        <f ca="1"/>
        <v>-0.15310644456011335</v>
      </c>
      <c r="T26" s="4">
        <f ca="1"/>
        <v>0.29344640308407349</v>
      </c>
      <c r="U26">
        <f ca="1"/>
        <v>0</v>
      </c>
      <c r="V26">
        <f ca="1"/>
        <v>3.2476626244884366</v>
      </c>
      <c r="W26">
        <f ca="1"/>
        <v>2.5329959188210647</v>
      </c>
      <c r="X26">
        <f ca="1"/>
        <v>0</v>
      </c>
      <c r="Y26">
        <f ca="1"/>
        <v>0.81205866152350892</v>
      </c>
      <c r="Z26">
        <f ca="1"/>
        <v>0</v>
      </c>
      <c r="AA26">
        <f ca="1"/>
        <v>0</v>
      </c>
      <c r="AB26">
        <f ca="1"/>
        <v>6.4197722597438098E-2</v>
      </c>
      <c r="AD26" s="2">
        <f t="shared" ca="1" si="2"/>
        <v>45249</v>
      </c>
      <c r="AE26">
        <f t="shared" ca="1" si="3"/>
        <v>0</v>
      </c>
      <c r="AG26" s="63">
        <f t="shared" ca="1" si="7"/>
        <v>49.858225226544604</v>
      </c>
      <c r="AH26" s="63">
        <f t="shared" ca="1" si="8"/>
        <v>49.858225226544604</v>
      </c>
      <c r="AI26" s="3">
        <f t="shared" ca="1" si="9"/>
        <v>0</v>
      </c>
    </row>
    <row r="27" spans="1:35">
      <c r="A27" s="9" t="s">
        <v>236</v>
      </c>
      <c r="B27" s="13">
        <f>CurrentPopulation</f>
        <v>60000</v>
      </c>
      <c r="G27" s="3">
        <f t="shared" ca="1" si="4"/>
        <v>265</v>
      </c>
      <c r="H27" s="95">
        <f t="shared" ca="1" si="6"/>
        <v>45190</v>
      </c>
      <c r="I27" s="119">
        <f ca="1">HLOOKUP($H$5,'Met Data'!$A$2:$F$368,G27,FALSE)</f>
        <v>12.012903225806401</v>
      </c>
      <c r="J27" s="119">
        <f ca="1">HLOOKUP($H$5,'Met Data'!$H$2:$M$368,G27,FALSE)*L27</f>
        <v>2.8193548387096699</v>
      </c>
      <c r="K27" s="96">
        <f ca="1">HLOOKUP($H$5,'Met Data'!$O$2:$T$368,G27,FALSE)</f>
        <v>2.6640837362866301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45250</v>
      </c>
      <c r="Q27">
        <f ca="1"/>
        <v>49.754594934422457</v>
      </c>
      <c r="R27">
        <f ca="1"/>
        <v>0.13168410860119506</v>
      </c>
      <c r="S27">
        <f ca="1"/>
        <v>-0.14925718243928721</v>
      </c>
      <c r="T27" s="4">
        <f ca="1"/>
        <v>0.29882316367421596</v>
      </c>
      <c r="U27">
        <f ca="1"/>
        <v>0</v>
      </c>
      <c r="V27">
        <f ca="1"/>
        <v>3.3793467330896316</v>
      </c>
      <c r="W27">
        <f ca="1"/>
        <v>2.6357021873679578</v>
      </c>
      <c r="X27">
        <f ca="1"/>
        <v>0</v>
      </c>
      <c r="Y27">
        <f ca="1"/>
        <v>0.79936184534507715</v>
      </c>
      <c r="Z27">
        <f ca="1"/>
        <v>0</v>
      </c>
      <c r="AA27">
        <f ca="1"/>
        <v>0</v>
      </c>
      <c r="AB27">
        <f ca="1"/>
        <v>7.2375573694048373E-2</v>
      </c>
      <c r="AD27" s="2">
        <f t="shared" ca="1" si="2"/>
        <v>45250</v>
      </c>
      <c r="AE27">
        <f t="shared" ca="1" si="3"/>
        <v>0</v>
      </c>
      <c r="AG27" s="63">
        <f t="shared" ca="1" si="7"/>
        <v>49.886279043023649</v>
      </c>
      <c r="AH27" s="63">
        <f t="shared" ca="1" si="8"/>
        <v>49.886279043023649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kg/head</v>
      </c>
      <c r="G28" s="3">
        <f t="shared" ca="1" si="4"/>
        <v>266</v>
      </c>
      <c r="H28" s="95">
        <f t="shared" ca="1" si="6"/>
        <v>45191</v>
      </c>
      <c r="I28" s="119">
        <f ca="1">HLOOKUP($H$5,'Met Data'!$A$2:$F$368,G28,FALSE)</f>
        <v>12.1612903225806</v>
      </c>
      <c r="J28" s="119">
        <f ca="1">HLOOKUP($H$5,'Met Data'!$H$2:$M$368,G28,FALSE)*L28</f>
        <v>4.2935483870967701</v>
      </c>
      <c r="K28" s="96">
        <f ca="1">HLOOKUP($H$5,'Met Data'!$O$2:$T$368,G28,FALSE)</f>
        <v>2.5405503102234701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45251</v>
      </c>
      <c r="Q28">
        <f ca="1"/>
        <v>49.775085411854633</v>
      </c>
      <c r="R28">
        <f ca="1"/>
        <v>0.13783765941288806</v>
      </c>
      <c r="S28">
        <f ca="1"/>
        <v>-0.14189987015655348</v>
      </c>
      <c r="T28" s="4">
        <f ca="1"/>
        <v>0.30022800700161656</v>
      </c>
      <c r="U28">
        <f ca="1"/>
        <v>0</v>
      </c>
      <c r="V28">
        <f ca="1"/>
        <v>3.5171843925025197</v>
      </c>
      <c r="W28">
        <f ca="1"/>
        <v>2.7432078827317699</v>
      </c>
      <c r="X28">
        <f ca="1"/>
        <v>0</v>
      </c>
      <c r="Y28">
        <f ca="1"/>
        <v>0.79827713343352547</v>
      </c>
      <c r="Z28">
        <f ca="1"/>
        <v>0</v>
      </c>
      <c r="AA28">
        <f ca="1"/>
        <v>0</v>
      </c>
      <c r="AB28">
        <f ca="1"/>
        <v>8.1571171089633882E-2</v>
      </c>
      <c r="AD28" s="2">
        <f t="shared" ca="1" si="2"/>
        <v>45251</v>
      </c>
      <c r="AE28">
        <f t="shared" ca="1" si="3"/>
        <v>0</v>
      </c>
      <c r="AG28" s="63">
        <f t="shared" ca="1" si="7"/>
        <v>49.912923071267521</v>
      </c>
      <c r="AH28" s="63">
        <f t="shared" ca="1" si="8"/>
        <v>49.912923071267521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267</v>
      </c>
      <c r="H29" s="95">
        <f t="shared" ca="1" si="6"/>
        <v>45192</v>
      </c>
      <c r="I29" s="119">
        <f ca="1">HLOOKUP($H$5,'Met Data'!$A$2:$F$368,G29,FALSE)</f>
        <v>12.285483870967701</v>
      </c>
      <c r="J29" s="119">
        <f ca="1">HLOOKUP($H$5,'Met Data'!$H$2:$M$368,G29,FALSE)*L29</f>
        <v>3.69677419354838</v>
      </c>
      <c r="K29" s="96">
        <f ca="1">HLOOKUP($H$5,'Met Data'!$O$2:$T$368,G29,FALSE)</f>
        <v>2.75659518409562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45252</v>
      </c>
      <c r="Q29">
        <f ca="1"/>
        <v>49.806297305922648</v>
      </c>
      <c r="R29">
        <f ca="1"/>
        <v>0.1465299384847869</v>
      </c>
      <c r="S29">
        <f ca="1"/>
        <v>-0.13616374137512288</v>
      </c>
      <c r="T29" s="4">
        <f ca="1"/>
        <v>0.31390557392792739</v>
      </c>
      <c r="U29">
        <f ca="1"/>
        <v>0</v>
      </c>
      <c r="V29">
        <f ca="1"/>
        <v>3.6637143309873066</v>
      </c>
      <c r="W29">
        <f ca="1"/>
        <v>2.8574930715221329</v>
      </c>
      <c r="X29">
        <f ca="1"/>
        <v>0</v>
      </c>
      <c r="Y29">
        <f ca="1"/>
        <v>0.8181960932279192</v>
      </c>
      <c r="Z29">
        <f ca="1"/>
        <v>0</v>
      </c>
      <c r="AA29">
        <f ca="1"/>
        <v>0</v>
      </c>
      <c r="AB29">
        <f ca="1"/>
        <v>9.2058484896159379E-2</v>
      </c>
      <c r="AD29" s="2">
        <f t="shared" ca="1" si="2"/>
        <v>45252</v>
      </c>
      <c r="AE29">
        <f t="shared" ca="1" si="3"/>
        <v>0</v>
      </c>
      <c r="AG29" s="63">
        <f t="shared" ca="1" si="7"/>
        <v>49.952827244407437</v>
      </c>
      <c r="AH29" s="63">
        <f t="shared" ca="1" si="8"/>
        <v>49.952827244407437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268</v>
      </c>
      <c r="H30" s="95">
        <f t="shared" ca="1" si="6"/>
        <v>45193</v>
      </c>
      <c r="I30" s="119">
        <f ca="1">HLOOKUP($H$5,'Met Data'!$A$2:$F$368,G30,FALSE)</f>
        <v>12.7274193548387</v>
      </c>
      <c r="J30" s="119">
        <f ca="1">HLOOKUP($H$5,'Met Data'!$H$2:$M$368,G30,FALSE)*L30</f>
        <v>4.4354838709677402</v>
      </c>
      <c r="K30" s="96">
        <f ca="1">HLOOKUP($H$5,'Met Data'!$O$2:$T$368,G30,FALSE)</f>
        <v>2.4043238309259301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45253</v>
      </c>
      <c r="Q30">
        <f ca="1"/>
        <v>49.837827781051892</v>
      </c>
      <c r="R30">
        <f ca="1"/>
        <v>0.15593394741766664</v>
      </c>
      <c r="S30">
        <f ca="1"/>
        <v>-0.13052354163630842</v>
      </c>
      <c r="T30" s="4">
        <f ca="1"/>
        <v>0.31798796418321612</v>
      </c>
      <c r="U30">
        <f ca="1"/>
        <v>0</v>
      </c>
      <c r="V30">
        <f ca="1"/>
        <v>3.8196482784049732</v>
      </c>
      <c r="W30">
        <f ca="1"/>
        <v>2.9791128633799233</v>
      </c>
      <c r="X30">
        <f ca="1"/>
        <v>0</v>
      </c>
      <c r="Y30">
        <f ca="1"/>
        <v>0.81337314447625952</v>
      </c>
      <c r="Z30">
        <f ca="1"/>
        <v>0</v>
      </c>
      <c r="AA30">
        <f ca="1"/>
        <v>0</v>
      </c>
      <c r="AB30">
        <f ca="1"/>
        <v>0.10401683511095068</v>
      </c>
      <c r="AD30" s="2">
        <f t="shared" ca="1" si="2"/>
        <v>45253</v>
      </c>
      <c r="AE30">
        <f t="shared" ca="1" si="3"/>
        <v>0</v>
      </c>
      <c r="AG30" s="63">
        <f t="shared" ca="1" si="7"/>
        <v>49.993761728469558</v>
      </c>
      <c r="AH30" s="63">
        <f t="shared" ca="1" si="8"/>
        <v>49.993761728469558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96</v>
      </c>
      <c r="G31" s="3">
        <f t="shared" ca="1" si="4"/>
        <v>269</v>
      </c>
      <c r="H31" s="95">
        <f t="shared" ca="1" si="6"/>
        <v>45194</v>
      </c>
      <c r="I31" s="119">
        <f ca="1">HLOOKUP($H$5,'Met Data'!$A$2:$F$368,G31,FALSE)</f>
        <v>12.4338709677419</v>
      </c>
      <c r="J31" s="119">
        <f ca="1">HLOOKUP($H$5,'Met Data'!$H$2:$M$368,G31,FALSE)*L31</f>
        <v>3.1290322580645098</v>
      </c>
      <c r="K31" s="96">
        <f ca="1">HLOOKUP($H$5,'Met Data'!$O$2:$T$368,G31,FALSE)</f>
        <v>2.32653952570764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45254</v>
      </c>
      <c r="Q31">
        <f ca="1"/>
        <v>49.865352630840121</v>
      </c>
      <c r="R31">
        <f ca="1"/>
        <v>0.15980424368330493</v>
      </c>
      <c r="S31">
        <f ca="1"/>
        <v>-0.12169655861363893</v>
      </c>
      <c r="T31" s="4">
        <f ca="1"/>
        <v>0.30902565208517346</v>
      </c>
      <c r="U31">
        <f ca="1"/>
        <v>0</v>
      </c>
      <c r="V31">
        <f ca="1"/>
        <v>3.9794525220882782</v>
      </c>
      <c r="W31">
        <f ca="1"/>
        <v>3.1037512707095205</v>
      </c>
      <c r="X31">
        <f ca="1"/>
        <v>0</v>
      </c>
      <c r="Y31">
        <f ca="1"/>
        <v>0.80106653240193004</v>
      </c>
      <c r="Z31">
        <f ca="1"/>
        <v>0</v>
      </c>
      <c r="AA31">
        <f ca="1"/>
        <v>0</v>
      </c>
      <c r="AB31">
        <f ca="1"/>
        <v>0.11710928144968348</v>
      </c>
      <c r="AD31" s="2">
        <f t="shared" ca="1" si="2"/>
        <v>45254</v>
      </c>
      <c r="AE31">
        <f t="shared" ca="1" si="3"/>
        <v>0</v>
      </c>
      <c r="AG31" s="63">
        <f t="shared" ca="1" si="7"/>
        <v>50.025156874523425</v>
      </c>
      <c r="AH31" s="63">
        <f t="shared" ca="1" si="8"/>
        <v>50.025156874523425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45231</v>
      </c>
      <c r="G32" s="3">
        <f t="shared" ca="1" si="4"/>
        <v>270</v>
      </c>
      <c r="H32" s="95">
        <f t="shared" ca="1" si="6"/>
        <v>45195</v>
      </c>
      <c r="I32" s="119">
        <f ca="1">HLOOKUP($H$5,'Met Data'!$A$2:$F$368,G32,FALSE)</f>
        <v>12.341666666666599</v>
      </c>
      <c r="J32" s="119">
        <f ca="1">HLOOKUP($H$5,'Met Data'!$H$2:$M$368,G32,FALSE)*L32</f>
        <v>4.32666666666666</v>
      </c>
      <c r="K32" s="96">
        <f ca="1">HLOOKUP($H$5,'Met Data'!$O$2:$T$368,G32,FALSE)</f>
        <v>2.5198296361703401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45255</v>
      </c>
      <c r="Q32">
        <f ca="1"/>
        <v>49.889717044000548</v>
      </c>
      <c r="R32">
        <f ca="1"/>
        <v>0.17661225637077171</v>
      </c>
      <c r="S32">
        <f ca="1"/>
        <v>-0.11957269411629312</v>
      </c>
      <c r="T32" s="4">
        <f ca="1"/>
        <v>0.32054936364749309</v>
      </c>
      <c r="U32">
        <f ca="1"/>
        <v>0</v>
      </c>
      <c r="V32">
        <f ca="1"/>
        <v>4.1560647784590499</v>
      </c>
      <c r="W32">
        <f ca="1"/>
        <v>3.2414989915558046</v>
      </c>
      <c r="X32">
        <f ca="1"/>
        <v>0</v>
      </c>
      <c r="Y32">
        <f ca="1"/>
        <v>0.78982844772973859</v>
      </c>
      <c r="Z32">
        <f ca="1"/>
        <v>0</v>
      </c>
      <c r="AA32">
        <f ca="1"/>
        <v>0</v>
      </c>
      <c r="AB32">
        <f ca="1"/>
        <v>0.13253394788159889</v>
      </c>
      <c r="AD32" s="2">
        <f t="shared" ca="1" si="2"/>
        <v>45255</v>
      </c>
      <c r="AE32">
        <f t="shared" ca="1" si="3"/>
        <v>0</v>
      </c>
      <c r="AG32" s="63">
        <f t="shared" ca="1" si="7"/>
        <v>50.066329300371322</v>
      </c>
      <c r="AH32" s="63">
        <f t="shared" ca="1" si="8"/>
        <v>50.066329300371322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Seedling</v>
      </c>
      <c r="G33" s="3">
        <f t="shared" ca="1" si="4"/>
        <v>271</v>
      </c>
      <c r="H33" s="95">
        <f t="shared" ca="1" si="6"/>
        <v>45196</v>
      </c>
      <c r="I33" s="119">
        <f ca="1">HLOOKUP($H$5,'Met Data'!$A$2:$F$368,G33,FALSE)</f>
        <v>12.7183333333333</v>
      </c>
      <c r="J33" s="119">
        <f ca="1">HLOOKUP($H$5,'Met Data'!$H$2:$M$368,G33,FALSE)*L33</f>
        <v>2.83</v>
      </c>
      <c r="K33" s="96">
        <f ca="1">HLOOKUP($H$5,'Met Data'!$O$2:$T$368,G33,FALSE)</f>
        <v>2.6371707298843199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45256</v>
      </c>
      <c r="Q33">
        <f ca="1"/>
        <v>49.905686774859916</v>
      </c>
      <c r="R33">
        <f ca="1"/>
        <v>0.18476795100424415</v>
      </c>
      <c r="S33">
        <f ca="1"/>
        <v>-0.11253450513510721</v>
      </c>
      <c r="T33" s="4">
        <f ca="1"/>
        <v>0.31327218699872011</v>
      </c>
      <c r="U33">
        <f ca="1"/>
        <v>0</v>
      </c>
      <c r="V33">
        <f ca="1"/>
        <v>4.340832729463294</v>
      </c>
      <c r="W33">
        <f ca="1"/>
        <v>3.3856076998599507</v>
      </c>
      <c r="X33">
        <f ca="1"/>
        <v>0</v>
      </c>
      <c r="Y33">
        <f ca="1"/>
        <v>0.76969144383639565</v>
      </c>
      <c r="Z33">
        <f ca="1"/>
        <v>0</v>
      </c>
      <c r="AA33">
        <f ca="1"/>
        <v>0</v>
      </c>
      <c r="AB33">
        <f ca="1"/>
        <v>0.14969517046231681</v>
      </c>
      <c r="AD33" s="2">
        <f t="shared" ca="1" si="2"/>
        <v>45256</v>
      </c>
      <c r="AE33">
        <f t="shared" ca="1" si="3"/>
        <v>0</v>
      </c>
      <c r="AG33" s="63">
        <f t="shared" ca="1" si="7"/>
        <v>50.090454725864163</v>
      </c>
      <c r="AH33" s="63">
        <f t="shared" ca="1" si="8"/>
        <v>50.090454725864163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45301</v>
      </c>
      <c r="G34" s="3">
        <f t="shared" ca="1" si="4"/>
        <v>272</v>
      </c>
      <c r="H34" s="95">
        <f t="shared" ca="1" si="6"/>
        <v>45197</v>
      </c>
      <c r="I34" s="119">
        <f ca="1">HLOOKUP($H$5,'Met Data'!$A$2:$F$368,G34,FALSE)</f>
        <v>13.04</v>
      </c>
      <c r="J34" s="119">
        <f ca="1">HLOOKUP($H$5,'Met Data'!$H$2:$M$368,G34,FALSE)*L34</f>
        <v>4.2233333333333301</v>
      </c>
      <c r="K34" s="96">
        <f ca="1">HLOOKUP($H$5,'Met Data'!$O$2:$T$368,G34,FALSE)</f>
        <v>2.4067153885809098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45257</v>
      </c>
      <c r="Q34">
        <f ca="1"/>
        <v>49.9225876858075</v>
      </c>
      <c r="R34">
        <f ca="1"/>
        <v>0.18608877992874717</v>
      </c>
      <c r="S34">
        <f ca="1"/>
        <v>-0.10299104706894724</v>
      </c>
      <c r="T34" s="4">
        <f ca="1"/>
        <v>0.30598073794527691</v>
      </c>
      <c r="U34">
        <f ca="1"/>
        <v>0</v>
      </c>
      <c r="V34">
        <f ca="1"/>
        <v>4.5269215093920412</v>
      </c>
      <c r="W34">
        <f ca="1"/>
        <v>3.5307465811414245</v>
      </c>
      <c r="X34">
        <f ca="1"/>
        <v>0</v>
      </c>
      <c r="Y34">
        <f ca="1"/>
        <v>0.77376466844895264</v>
      </c>
      <c r="Z34">
        <f ca="1"/>
        <v>0</v>
      </c>
      <c r="AA34">
        <f ca="1"/>
        <v>0</v>
      </c>
      <c r="AB34">
        <f ca="1"/>
        <v>0.16797088320567555</v>
      </c>
      <c r="AD34" s="2">
        <f t="shared" ca="1" si="2"/>
        <v>45257</v>
      </c>
      <c r="AE34">
        <f t="shared" ca="1" si="3"/>
        <v>0</v>
      </c>
      <c r="AG34" s="63">
        <f t="shared" ca="1" si="7"/>
        <v>50.108676465736245</v>
      </c>
      <c r="AH34" s="63">
        <f t="shared" ca="1" si="8"/>
        <v>50.108676465736245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Vegetative</v>
      </c>
      <c r="G35" s="3">
        <f t="shared" ca="1" si="4"/>
        <v>273</v>
      </c>
      <c r="H35" s="95">
        <f t="shared" ca="1" si="6"/>
        <v>45198</v>
      </c>
      <c r="I35" s="119">
        <f ca="1">HLOOKUP($H$5,'Met Data'!$A$2:$F$368,G35,FALSE)</f>
        <v>13.381034482758601</v>
      </c>
      <c r="J35" s="119">
        <f ca="1">HLOOKUP($H$5,'Met Data'!$H$2:$M$368,G35,FALSE)*L35</f>
        <v>3.7620689655172401</v>
      </c>
      <c r="K35" s="96">
        <f ca="1">HLOOKUP($H$5,'Met Data'!$O$2:$T$368,G35,FALSE)</f>
        <v>2.71659484771267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45258</v>
      </c>
      <c r="Q35">
        <f ca="1"/>
        <v>49.949655773442551</v>
      </c>
      <c r="R35">
        <f ca="1"/>
        <v>0.19207344581826646</v>
      </c>
      <c r="S35">
        <f ca="1"/>
        <v>-9.6065806163336376E-2</v>
      </c>
      <c r="T35" s="4">
        <f ca="1"/>
        <v>0.31520733961665565</v>
      </c>
      <c r="U35">
        <f ca="1"/>
        <v>0</v>
      </c>
      <c r="V35">
        <f ca="1"/>
        <v>4.7189949552103077</v>
      </c>
      <c r="W35">
        <f ca="1"/>
        <v>3.6805531684091535</v>
      </c>
      <c r="X35">
        <f ca="1"/>
        <v>0</v>
      </c>
      <c r="Y35">
        <f ca="1"/>
        <v>0.80159339733701573</v>
      </c>
      <c r="Z35">
        <f ca="1"/>
        <v>0</v>
      </c>
      <c r="AA35">
        <f ca="1"/>
        <v>0</v>
      </c>
      <c r="AB35">
        <f ca="1"/>
        <v>0.18779199787348508</v>
      </c>
      <c r="AD35" s="2">
        <f t="shared" ca="1" si="2"/>
        <v>45258</v>
      </c>
      <c r="AE35">
        <f t="shared" ca="1" si="3"/>
        <v>0</v>
      </c>
      <c r="AG35" s="63">
        <f t="shared" ca="1" si="7"/>
        <v>50.141729219260817</v>
      </c>
      <c r="AH35" s="63">
        <f t="shared" ca="1" si="8"/>
        <v>50.141729219260817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274</v>
      </c>
      <c r="H36" s="95">
        <f t="shared" ca="1" si="6"/>
        <v>45199</v>
      </c>
      <c r="I36" s="119">
        <f ca="1">HLOOKUP($H$5,'Met Data'!$A$2:$F$368,G36,FALSE)</f>
        <v>13.274137931034399</v>
      </c>
      <c r="J36" s="119">
        <f ca="1">HLOOKUP($H$5,'Met Data'!$H$2:$M$368,G36,FALSE)*L36</f>
        <v>5.4793103448275797</v>
      </c>
      <c r="K36" s="96">
        <f ca="1">HLOOKUP($H$5,'Met Data'!$O$2:$T$368,G36,FALSE)</f>
        <v>2.6496213239398698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45259</v>
      </c>
      <c r="Q36">
        <f ca="1"/>
        <v>49.97005163334174</v>
      </c>
      <c r="R36">
        <f ca="1"/>
        <v>0.20194460198379272</v>
      </c>
      <c r="S36">
        <f ca="1"/>
        <v>-9.072066976918336E-2</v>
      </c>
      <c r="T36" s="4">
        <f ca="1"/>
        <v>0.31306113165216048</v>
      </c>
      <c r="U36">
        <f ca="1"/>
        <v>0</v>
      </c>
      <c r="V36">
        <f ca="1"/>
        <v>4.9209395571941004</v>
      </c>
      <c r="W36">
        <f ca="1"/>
        <v>3.8380587075608585</v>
      </c>
      <c r="X36">
        <f ca="1"/>
        <v>0</v>
      </c>
      <c r="Y36">
        <f ca="1"/>
        <v>0.78927047415684093</v>
      </c>
      <c r="Z36">
        <f ca="1"/>
        <v>0</v>
      </c>
      <c r="AA36">
        <f ca="1"/>
        <v>0</v>
      </c>
      <c r="AB36">
        <f ca="1"/>
        <v>0.20956936669915502</v>
      </c>
      <c r="AD36" s="2">
        <f t="shared" ca="1" si="2"/>
        <v>45259</v>
      </c>
      <c r="AE36">
        <f t="shared" ca="1" si="3"/>
        <v>0</v>
      </c>
      <c r="AG36" s="63">
        <f t="shared" ca="1" si="7"/>
        <v>50.17199623532553</v>
      </c>
      <c r="AH36" s="63">
        <f t="shared" ca="1" si="8"/>
        <v>50.17199623532553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ca="1" si="4"/>
        <v>275</v>
      </c>
      <c r="H37" s="95">
        <f t="shared" ca="1" si="6"/>
        <v>45200</v>
      </c>
      <c r="I37" s="119">
        <f ca="1">HLOOKUP($H$5,'Met Data'!$A$2:$F$368,G37,FALSE)</f>
        <v>13.0233333333333</v>
      </c>
      <c r="J37" s="119">
        <f ca="1">HLOOKUP($H$5,'Met Data'!$H$2:$M$368,G37,FALSE)*L37</f>
        <v>7.2033333333333296</v>
      </c>
      <c r="K37" s="96">
        <f ca="1">HLOOKUP($H$5,'Met Data'!$O$2:$T$368,G37,FALSE)</f>
        <v>2.7120872842053001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45260</v>
      </c>
      <c r="Q37">
        <f ca="1"/>
        <v>49.984540568051607</v>
      </c>
      <c r="R37">
        <f ca="1"/>
        <v>0.215749665040045</v>
      </c>
      <c r="S37">
        <f ca="1"/>
        <v>-8.6492857662967992E-2</v>
      </c>
      <c r="T37">
        <f ca="1"/>
        <v>0.31673145741288139</v>
      </c>
      <c r="U37">
        <f ca="1"/>
        <v>0</v>
      </c>
      <c r="V37">
        <f ca="1"/>
        <v>5.1366892222341454</v>
      </c>
      <c r="W37">
        <f ca="1"/>
        <v>4.0063314268121468</v>
      </c>
      <c r="X37">
        <f ca="1"/>
        <v>0</v>
      </c>
      <c r="Y37">
        <f ca="1"/>
        <v>0.78077194103954917</v>
      </c>
      <c r="Z37">
        <f ca="1"/>
        <v>0</v>
      </c>
      <c r="AA37">
        <f ca="1"/>
        <v>0</v>
      </c>
      <c r="AB37">
        <f ca="1"/>
        <v>0.2337502880623113</v>
      </c>
      <c r="AD37" s="2">
        <f t="shared" ca="1" si="2"/>
        <v>45260</v>
      </c>
      <c r="AE37">
        <f t="shared" ca="1" si="3"/>
        <v>0</v>
      </c>
      <c r="AG37" s="63">
        <f t="shared" ca="1" si="7"/>
        <v>50.20029023309165</v>
      </c>
      <c r="AH37" s="63">
        <f t="shared" ca="1" si="8"/>
        <v>50.20029023309165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ca="1" si="4"/>
        <v>276</v>
      </c>
      <c r="H38" s="95">
        <f t="shared" ca="1" si="6"/>
        <v>45201</v>
      </c>
      <c r="I38" s="119">
        <f ca="1">HLOOKUP($H$5,'Met Data'!$A$2:$F$368,G38,FALSE)</f>
        <v>12.938333333333301</v>
      </c>
      <c r="J38" s="119">
        <f ca="1">HLOOKUP($H$5,'Met Data'!$H$2:$M$368,G38,FALSE)*L38</f>
        <v>4.3633333333333297</v>
      </c>
      <c r="K38" s="96">
        <f ca="1">HLOOKUP($H$5,'Met Data'!$O$2:$T$368,G38,FALSE)</f>
        <v>2.5284096014561799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45261</v>
      </c>
      <c r="Q38">
        <f ca="1"/>
        <v>49.983225824461684</v>
      </c>
      <c r="R38">
        <f ca="1"/>
        <v>0.22987429420217698</v>
      </c>
      <c r="S38">
        <f ca="1"/>
        <v>-8.2072248837103956E-2</v>
      </c>
      <c r="T38">
        <f ca="1"/>
        <v>0.31063179944936126</v>
      </c>
      <c r="U38">
        <f ca="1"/>
        <v>0</v>
      </c>
      <c r="V38">
        <f ca="1"/>
        <v>5.3665635164363223</v>
      </c>
      <c r="W38">
        <f ca="1"/>
        <v>4.18562056992248</v>
      </c>
      <c r="X38">
        <f ca="1"/>
        <v>0</v>
      </c>
      <c r="Y38">
        <f ca="1"/>
        <v>0.75066595464838315</v>
      </c>
      <c r="Z38">
        <f ca="1"/>
        <v>0</v>
      </c>
      <c r="AA38">
        <f ca="1"/>
        <v>0</v>
      </c>
      <c r="AB38">
        <f ca="1"/>
        <v>0.26036321945265267</v>
      </c>
      <c r="AD38" s="2">
        <f t="shared" ca="1" si="2"/>
        <v>45261</v>
      </c>
      <c r="AE38">
        <f t="shared" ca="1" si="3"/>
        <v>0</v>
      </c>
      <c r="AG38" s="63">
        <f t="shared" ca="1" si="7"/>
        <v>50.213100118663867</v>
      </c>
      <c r="AH38" s="63">
        <f t="shared" ca="1" si="8"/>
        <v>50.21310011866386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ca="1" si="4"/>
        <v>277</v>
      </c>
      <c r="H39" s="95">
        <f t="shared" ca="1" si="6"/>
        <v>45202</v>
      </c>
      <c r="I39" s="119">
        <f ca="1">HLOOKUP($H$5,'Met Data'!$A$2:$F$368,G39,FALSE)</f>
        <v>13.2433333333333</v>
      </c>
      <c r="J39" s="119">
        <f ca="1">HLOOKUP($H$5,'Met Data'!$H$2:$M$368,G39,FALSE)*L39</f>
        <v>5.1333333333333302</v>
      </c>
      <c r="K39" s="96">
        <f ca="1">HLOOKUP($H$5,'Met Data'!$O$2:$T$368,G39,FALSE)</f>
        <v>2.88480468453885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45262</v>
      </c>
      <c r="Q39">
        <f ca="1"/>
        <v>49.995014744764994</v>
      </c>
      <c r="R39">
        <f ca="1"/>
        <v>0.24850364748651277</v>
      </c>
      <c r="S39">
        <f ca="1"/>
        <v>-7.8501731834735189E-2</v>
      </c>
      <c r="T39">
        <f ca="1"/>
        <v>0.3387942996245602</v>
      </c>
      <c r="U39">
        <f ca="1"/>
        <v>0</v>
      </c>
      <c r="V39">
        <f ca="1"/>
        <v>5.6150671639228351</v>
      </c>
      <c r="W39">
        <f ca="1"/>
        <v>4.379439570747615</v>
      </c>
      <c r="X39">
        <f ca="1"/>
        <v>0</v>
      </c>
      <c r="Y39">
        <f ca="1"/>
        <v>0.79197196702734274</v>
      </c>
      <c r="Z39">
        <f ca="1"/>
        <v>0</v>
      </c>
      <c r="AA39">
        <f ca="1"/>
        <v>0</v>
      </c>
      <c r="AB39">
        <f ca="1"/>
        <v>0.28986981459153727</v>
      </c>
      <c r="AD39" s="2">
        <f t="shared" ca="1" si="2"/>
        <v>45262</v>
      </c>
      <c r="AE39">
        <f t="shared" ca="1" si="3"/>
        <v>0</v>
      </c>
      <c r="AG39" s="63">
        <f t="shared" ca="1" si="7"/>
        <v>50.243518392251509</v>
      </c>
      <c r="AH39" s="63">
        <f t="shared" ca="1" si="8"/>
        <v>50.243518392251509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ca="1" si="4"/>
        <v>278</v>
      </c>
      <c r="H40" s="95">
        <f t="shared" ca="1" si="6"/>
        <v>45203</v>
      </c>
      <c r="I40" s="119">
        <f ca="1">HLOOKUP($H$5,'Met Data'!$A$2:$F$368,G40,FALSE)</f>
        <v>12.85</v>
      </c>
      <c r="J40" s="119">
        <f ca="1">HLOOKUP($H$5,'Met Data'!$H$2:$M$368,G40,FALSE)*L40</f>
        <v>2.5033333333333299</v>
      </c>
      <c r="K40" s="96">
        <f ca="1">HLOOKUP($H$5,'Met Data'!$O$2:$T$368,G40,FALSE)</f>
        <v>2.7808067783335901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45263</v>
      </c>
      <c r="Q40">
        <f ca="1"/>
        <v>49.988199338036083</v>
      </c>
      <c r="R40">
        <f ca="1"/>
        <v>0.26578358952009395</v>
      </c>
      <c r="S40">
        <f ca="1"/>
        <v>-7.4185842893387921E-2</v>
      </c>
      <c r="T40">
        <f ca="1"/>
        <v>0.33315402568456826</v>
      </c>
      <c r="U40">
        <f ca="1"/>
        <v>0</v>
      </c>
      <c r="V40">
        <f ca="1"/>
        <v>5.8808507534429291</v>
      </c>
      <c r="W40">
        <f ca="1"/>
        <v>4.5867359636880778</v>
      </c>
      <c r="X40">
        <f ca="1"/>
        <v>0</v>
      </c>
      <c r="Y40">
        <f ca="1"/>
        <v>0.76194240031004767</v>
      </c>
      <c r="Z40">
        <f ca="1"/>
        <v>0</v>
      </c>
      <c r="AA40">
        <f ca="1"/>
        <v>0</v>
      </c>
      <c r="AB40">
        <f ca="1"/>
        <v>0.32196532456109772</v>
      </c>
      <c r="AD40" s="2">
        <f t="shared" ca="1" si="2"/>
        <v>45263</v>
      </c>
      <c r="AE40">
        <f t="shared" ca="1" si="3"/>
        <v>0</v>
      </c>
      <c r="AG40" s="63">
        <f t="shared" ca="1" si="7"/>
        <v>50.25398292755618</v>
      </c>
      <c r="AH40" s="63">
        <f t="shared" ca="1" si="8"/>
        <v>50.25398292755618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ca="1" si="4"/>
        <v>279</v>
      </c>
      <c r="H41" s="95">
        <f t="shared" ca="1" si="6"/>
        <v>45204</v>
      </c>
      <c r="I41" s="119">
        <f ca="1">HLOOKUP($H$5,'Met Data'!$A$2:$F$368,G41,FALSE)</f>
        <v>12.875806451612901</v>
      </c>
      <c r="J41" s="119">
        <f ca="1">HLOOKUP($H$5,'Met Data'!$H$2:$M$368,G41,FALSE)*L41</f>
        <v>4.1354838709677404</v>
      </c>
      <c r="K41" s="96">
        <f ca="1">HLOOKUP($H$5,'Met Data'!$O$2:$T$368,G41,FALSE)</f>
        <v>3.0772949163384999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45264</v>
      </c>
      <c r="Q41">
        <f ca="1"/>
        <v>50.000222680719133</v>
      </c>
      <c r="R41">
        <f ca="1"/>
        <v>0.27852489924987367</v>
      </c>
      <c r="S41">
        <f ca="1"/>
        <v>-6.8754096346718363E-2</v>
      </c>
      <c r="T41">
        <f ca="1"/>
        <v>0.35930233827964081</v>
      </c>
      <c r="U41">
        <f ca="1"/>
        <v>0</v>
      </c>
      <c r="V41">
        <f ca="1"/>
        <v>6.1593756526928027</v>
      </c>
      <c r="W41">
        <f ca="1"/>
        <v>4.8039698683954999</v>
      </c>
      <c r="X41">
        <f ca="1"/>
        <v>0</v>
      </c>
      <c r="Y41">
        <f ca="1"/>
        <v>0.81698970805630466</v>
      </c>
      <c r="Z41">
        <f ca="1"/>
        <v>0</v>
      </c>
      <c r="AA41">
        <f ca="1"/>
        <v>0</v>
      </c>
      <c r="AB41">
        <f ca="1"/>
        <v>0.35583621861281051</v>
      </c>
      <c r="AD41" s="2">
        <f t="shared" ca="1" si="2"/>
        <v>45264</v>
      </c>
      <c r="AE41">
        <f t="shared" ca="1" si="3"/>
        <v>0</v>
      </c>
      <c r="AG41" s="63">
        <f t="shared" ca="1" si="7"/>
        <v>50.278747579969007</v>
      </c>
      <c r="AH41" s="63">
        <f t="shared" ca="1" si="8"/>
        <v>50.278747579969007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280</v>
      </c>
      <c r="H42" s="95">
        <f t="shared" ca="1" si="6"/>
        <v>45205</v>
      </c>
      <c r="I42" s="119">
        <f ca="1">HLOOKUP($H$5,'Met Data'!$A$2:$F$368,G42,FALSE)</f>
        <v>12.9966666666666</v>
      </c>
      <c r="J42" s="119">
        <f ca="1">HLOOKUP($H$5,'Met Data'!$H$2:$M$368,G42,FALSE)*L42</f>
        <v>2.96999999999999</v>
      </c>
      <c r="K42" s="96">
        <f ca="1">HLOOKUP($H$5,'Met Data'!$O$2:$T$368,G42,FALSE)</f>
        <v>3.1690364753373701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45265</v>
      </c>
      <c r="Q42">
        <f ca="1"/>
        <v>50.018812801768576</v>
      </c>
      <c r="R42">
        <f ca="1"/>
        <v>0.28626501230032542</v>
      </c>
      <c r="S42">
        <f ca="1"/>
        <v>-6.263604050269489E-2</v>
      </c>
      <c r="T42">
        <f ca="1"/>
        <v>0.36749117385246288</v>
      </c>
      <c r="U42">
        <f ca="1"/>
        <v>0</v>
      </c>
      <c r="V42">
        <f ca="1"/>
        <v>6.4456406649931282</v>
      </c>
      <c r="W42">
        <f ca="1"/>
        <v>5.0272406300782055</v>
      </c>
      <c r="X42">
        <f ca="1"/>
        <v>0</v>
      </c>
      <c r="Y42">
        <f ca="1"/>
        <v>0.84500832407245374</v>
      </c>
      <c r="Z42">
        <f ca="1"/>
        <v>0</v>
      </c>
      <c r="AA42">
        <f ca="1"/>
        <v>0</v>
      </c>
      <c r="AB42">
        <f ca="1"/>
        <v>0.39052247986347965</v>
      </c>
      <c r="AD42" s="2">
        <f t="shared" ca="1" si="2"/>
        <v>45265</v>
      </c>
      <c r="AE42">
        <f t="shared" ca="1" si="3"/>
        <v>0</v>
      </c>
      <c r="AG42" s="63">
        <f t="shared" ca="1" si="7"/>
        <v>50.305077814068902</v>
      </c>
      <c r="AH42" s="63">
        <f t="shared" ca="1" si="8"/>
        <v>50.305077814068902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281</v>
      </c>
      <c r="H43" s="95">
        <f t="shared" ca="1" si="6"/>
        <v>45206</v>
      </c>
      <c r="I43" s="119">
        <f ca="1">HLOOKUP($H$5,'Met Data'!$A$2:$F$368,G43,FALSE)</f>
        <v>12.7633333333333</v>
      </c>
      <c r="J43" s="119">
        <f ca="1">HLOOKUP($H$5,'Met Data'!$H$2:$M$368,G43,FALSE)*L43</f>
        <v>2.61</v>
      </c>
      <c r="K43" s="96">
        <f ca="1">HLOOKUP($H$5,'Met Data'!$O$2:$T$368,G43,FALSE)</f>
        <v>2.8220150579732999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45266</v>
      </c>
      <c r="Q43">
        <f ca="1"/>
        <v>50.031082681393173</v>
      </c>
      <c r="R43">
        <f ca="1"/>
        <v>0.29918889213964484</v>
      </c>
      <c r="S43">
        <f ca="1"/>
        <v>-5.7761331887689948E-2</v>
      </c>
      <c r="T43">
        <f ca="1"/>
        <v>0.3692201036519322</v>
      </c>
      <c r="U43">
        <f ca="1"/>
        <v>0</v>
      </c>
      <c r="V43">
        <f ca="1"/>
        <v>6.744829557132773</v>
      </c>
      <c r="W43">
        <f ca="1"/>
        <v>5.2605912980422742</v>
      </c>
      <c r="X43">
        <f ca="1"/>
        <v>0</v>
      </c>
      <c r="Y43">
        <f ca="1"/>
        <v>0.84692422255382638</v>
      </c>
      <c r="Z43">
        <f ca="1"/>
        <v>0</v>
      </c>
      <c r="AA43">
        <f ca="1"/>
        <v>0</v>
      </c>
      <c r="AB43">
        <f ca="1"/>
        <v>0.42625228239074081</v>
      </c>
      <c r="AD43" s="2">
        <f t="shared" ca="1" si="2"/>
        <v>45266</v>
      </c>
      <c r="AE43">
        <f t="shared" ca="1" si="3"/>
        <v>0</v>
      </c>
      <c r="AG43" s="63">
        <f t="shared" ca="1" si="7"/>
        <v>50.330271573532819</v>
      </c>
      <c r="AH43" s="63">
        <f t="shared" ca="1" si="8"/>
        <v>50.330271573532819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ca="1" si="4"/>
        <v>282</v>
      </c>
      <c r="H44" s="95">
        <f t="shared" ca="1" si="6"/>
        <v>45207</v>
      </c>
      <c r="I44" s="119">
        <f ca="1">HLOOKUP($H$5,'Met Data'!$A$2:$F$368,G44,FALSE)</f>
        <v>13.4816666666666</v>
      </c>
      <c r="J44" s="119">
        <f ca="1">HLOOKUP($H$5,'Met Data'!$H$2:$M$368,G44,FALSE)*L44</f>
        <v>4.0666666666666602</v>
      </c>
      <c r="K44" s="96">
        <f ca="1">HLOOKUP($H$5,'Met Data'!$O$2:$T$368,G44,FALSE)</f>
        <v>2.68549157073894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45267</v>
      </c>
      <c r="Q44">
        <f ca="1"/>
        <v>50.039065546014314</v>
      </c>
      <c r="R44">
        <f ca="1"/>
        <v>0.29764305267681834</v>
      </c>
      <c r="S44">
        <f ca="1"/>
        <v>-5.1215185856086975E-2</v>
      </c>
      <c r="T44">
        <f ca="1"/>
        <v>0.35684110315404538</v>
      </c>
      <c r="U44">
        <f ca="1"/>
        <v>0</v>
      </c>
      <c r="V44">
        <f ca="1"/>
        <v>7.0424726098095913</v>
      </c>
      <c r="W44">
        <f ca="1"/>
        <v>5.4927362973445275</v>
      </c>
      <c r="X44">
        <f ca="1"/>
        <v>0</v>
      </c>
      <c r="Y44">
        <f ca="1"/>
        <v>0.85250632311933905</v>
      </c>
      <c r="Z44">
        <f ca="1"/>
        <v>0</v>
      </c>
      <c r="AA44">
        <f ca="1"/>
        <v>0</v>
      </c>
      <c r="AB44">
        <f ca="1"/>
        <v>0.46092104011713142</v>
      </c>
      <c r="AD44" s="2">
        <f t="shared" ca="1" si="2"/>
        <v>45267</v>
      </c>
      <c r="AE44">
        <f t="shared" ca="1" si="3"/>
        <v>0</v>
      </c>
      <c r="AG44" s="63">
        <f t="shared" ca="1" si="7"/>
        <v>50.336708598691132</v>
      </c>
      <c r="AH44" s="63">
        <f t="shared" ca="1" si="8"/>
        <v>50.336708598691132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45316</v>
      </c>
      <c r="G45" s="3">
        <f t="shared" ca="1" si="4"/>
        <v>283</v>
      </c>
      <c r="H45" s="95">
        <f t="shared" ca="1" si="6"/>
        <v>45208</v>
      </c>
      <c r="I45" s="119">
        <f ca="1">HLOOKUP($H$5,'Met Data'!$A$2:$F$368,G45,FALSE)</f>
        <v>13.6933333333333</v>
      </c>
      <c r="J45" s="119">
        <f ca="1">HLOOKUP($H$5,'Met Data'!$H$2:$M$368,G45,FALSE)*L45</f>
        <v>4.22</v>
      </c>
      <c r="K45" s="96">
        <f ca="1">HLOOKUP($H$5,'Met Data'!$O$2:$T$368,G45,FALSE)</f>
        <v>2.6969590648562201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45268</v>
      </c>
      <c r="Q45">
        <f ca="1"/>
        <v>50.028350192031951</v>
      </c>
      <c r="R45">
        <f ca="1"/>
        <v>0.30805325046773824</v>
      </c>
      <c r="S45">
        <f ca="1"/>
        <v>-4.6861926901767603E-2</v>
      </c>
      <c r="T45">
        <f ca="1"/>
        <v>0.3441998233871435</v>
      </c>
      <c r="U45">
        <f ca="1"/>
        <v>0</v>
      </c>
      <c r="V45">
        <f ca="1"/>
        <v>7.3505258602773296</v>
      </c>
      <c r="W45">
        <f ca="1"/>
        <v>5.7330006709683907</v>
      </c>
      <c r="X45">
        <f ca="1"/>
        <v>0</v>
      </c>
      <c r="Y45">
        <f ca="1"/>
        <v>0.82785922834363079</v>
      </c>
      <c r="Z45">
        <f ca="1"/>
        <v>0</v>
      </c>
      <c r="AA45">
        <f ca="1"/>
        <v>0</v>
      </c>
      <c r="AB45">
        <f ca="1"/>
        <v>0.49557438788143987</v>
      </c>
      <c r="AD45" s="2">
        <f t="shared" ca="1" si="2"/>
        <v>45268</v>
      </c>
      <c r="AE45">
        <f t="shared" ca="1" si="3"/>
        <v>0</v>
      </c>
      <c r="AG45" s="63">
        <f t="shared" ca="1" si="7"/>
        <v>50.336403442499687</v>
      </c>
      <c r="AH45" s="63">
        <f t="shared" ca="1" si="8"/>
        <v>50.336403442499687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ca="1" si="4"/>
        <v>284</v>
      </c>
      <c r="H46" s="95">
        <f t="shared" ca="1" si="6"/>
        <v>45209</v>
      </c>
      <c r="I46" s="119">
        <f ca="1">HLOOKUP($H$5,'Met Data'!$A$2:$F$368,G46,FALSE)</f>
        <v>12.9568965517241</v>
      </c>
      <c r="J46" s="119">
        <f ca="1">HLOOKUP($H$5,'Met Data'!$H$2:$M$368,G46,FALSE)*L46</f>
        <v>4.5966666666666596</v>
      </c>
      <c r="K46" s="96">
        <f ca="1">HLOOKUP($H$5,'Met Data'!$O$2:$T$368,G46,FALSE)</f>
        <v>2.9040985917251398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45269</v>
      </c>
      <c r="Q46">
        <f ca="1"/>
        <v>49.987248353115298</v>
      </c>
      <c r="R46">
        <f ca="1"/>
        <v>0.33375402727481074</v>
      </c>
      <c r="S46">
        <f ca="1"/>
        <v>-4.424346669369239E-2</v>
      </c>
      <c r="T46">
        <f ca="1"/>
        <v>0.33689565505185776</v>
      </c>
      <c r="U46">
        <f ca="1"/>
        <v>0</v>
      </c>
      <c r="V46">
        <f ca="1"/>
        <v>7.6842798875521403</v>
      </c>
      <c r="W46">
        <f ca="1"/>
        <v>5.9933102187036189</v>
      </c>
      <c r="X46">
        <f ca="1"/>
        <v>0</v>
      </c>
      <c r="Y46">
        <f ca="1"/>
        <v>0.78333374160390057</v>
      </c>
      <c r="Z46">
        <f ca="1"/>
        <v>0</v>
      </c>
      <c r="AA46">
        <f ca="1"/>
        <v>0</v>
      </c>
      <c r="AB46">
        <f ca="1"/>
        <v>0.53142607735776826</v>
      </c>
      <c r="AD46" s="2">
        <f t="shared" ca="1" si="2"/>
        <v>45269</v>
      </c>
      <c r="AE46">
        <f t="shared" ca="1" si="3"/>
        <v>0</v>
      </c>
      <c r="AG46" s="63">
        <f t="shared" ca="1" si="7"/>
        <v>50.321002380390112</v>
      </c>
      <c r="AH46" s="63">
        <f t="shared" ca="1" si="8"/>
        <v>50.321002380390112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45436</v>
      </c>
      <c r="G47" s="3">
        <f t="shared" ca="1" si="4"/>
        <v>285</v>
      </c>
      <c r="H47" s="95">
        <f t="shared" ca="1" si="6"/>
        <v>45210</v>
      </c>
      <c r="I47" s="119">
        <f ca="1">HLOOKUP($H$5,'Met Data'!$A$2:$F$368,G47,FALSE)</f>
        <v>13.2293103448275</v>
      </c>
      <c r="J47" s="119">
        <f ca="1">HLOOKUP($H$5,'Met Data'!$H$2:$M$368,G47,FALSE)*L47</f>
        <v>2.3896551724137902</v>
      </c>
      <c r="K47" s="96">
        <f ca="1">HLOOKUP($H$5,'Met Data'!$O$2:$T$368,G47,FALSE)</f>
        <v>2.90858576113735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45270</v>
      </c>
      <c r="Q47">
        <f ca="1"/>
        <v>49.931444276839912</v>
      </c>
      <c r="R47">
        <f ca="1"/>
        <v>0.34486228155237342</v>
      </c>
      <c r="S47">
        <f ca="1"/>
        <v>-4.0043486754961499E-2</v>
      </c>
      <c r="T47">
        <f ca="1"/>
        <v>0.32910169203195039</v>
      </c>
      <c r="U47">
        <f ca="1"/>
        <v>0</v>
      </c>
      <c r="V47">
        <f ca="1"/>
        <v>8.0291421691045137</v>
      </c>
      <c r="W47">
        <f ca="1"/>
        <v>6.2622835859310966</v>
      </c>
      <c r="X47">
        <f ca="1"/>
        <v>0</v>
      </c>
      <c r="Y47">
        <f ca="1"/>
        <v>0.77038390519626809</v>
      </c>
      <c r="Z47">
        <f ca="1"/>
        <v>0</v>
      </c>
      <c r="AA47">
        <f ca="1"/>
        <v>0</v>
      </c>
      <c r="AB47">
        <f ca="1"/>
        <v>0.56639181279629691</v>
      </c>
      <c r="AD47" s="2">
        <f t="shared" ca="1" si="2"/>
        <v>45270</v>
      </c>
      <c r="AE47">
        <f t="shared" ca="1" si="3"/>
        <v>0</v>
      </c>
      <c r="AG47" s="63">
        <f t="shared" ca="1" si="7"/>
        <v>50.276306558392285</v>
      </c>
      <c r="AH47" s="63">
        <f t="shared" ca="1" si="8"/>
        <v>50.276306558392285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286</v>
      </c>
      <c r="H48" s="95">
        <f t="shared" ca="1" si="6"/>
        <v>45211</v>
      </c>
      <c r="I48" s="119">
        <f ca="1">HLOOKUP($H$5,'Met Data'!$A$2:$F$368,G48,FALSE)</f>
        <v>13.7431034482758</v>
      </c>
      <c r="J48" s="119">
        <f ca="1">HLOOKUP($H$5,'Met Data'!$H$2:$M$368,G48,FALSE)*L48</f>
        <v>5.39310344827586</v>
      </c>
      <c r="K48" s="96">
        <f ca="1">HLOOKUP($H$5,'Met Data'!$O$2:$T$368,G48,FALSE)</f>
        <v>2.9187130451018599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45271</v>
      </c>
      <c r="Q48">
        <f ca="1"/>
        <v>49.839857538655878</v>
      </c>
      <c r="R48">
        <f ca="1"/>
        <v>0.37563331842589598</v>
      </c>
      <c r="S48">
        <f ca="1"/>
        <v>-3.7605615829047423E-2</v>
      </c>
      <c r="T48">
        <f ca="1"/>
        <v>0.32165219607091583</v>
      </c>
      <c r="U48">
        <f ca="1"/>
        <v>0</v>
      </c>
      <c r="V48">
        <f ca="1"/>
        <v>8.4047754875304097</v>
      </c>
      <c r="W48">
        <f ca="1"/>
        <v>6.5552566476560292</v>
      </c>
      <c r="X48">
        <f ca="1"/>
        <v>0</v>
      </c>
      <c r="Y48">
        <f ca="1"/>
        <v>0.72141232869627447</v>
      </c>
      <c r="Z48">
        <f ca="1"/>
        <v>0</v>
      </c>
      <c r="AA48">
        <f ca="1"/>
        <v>0</v>
      </c>
      <c r="AB48">
        <f ca="1"/>
        <v>0.60190125576926456</v>
      </c>
      <c r="AD48" s="2">
        <f t="shared" ca="1" si="2"/>
        <v>45271</v>
      </c>
      <c r="AE48">
        <f t="shared" ca="1" si="3"/>
        <v>0</v>
      </c>
      <c r="AG48" s="63">
        <f t="shared" ca="1" si="7"/>
        <v>50.215490857081775</v>
      </c>
      <c r="AH48" s="63">
        <f t="shared" ca="1" si="8"/>
        <v>50.215490857081775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ca="1" si="4"/>
        <v>287</v>
      </c>
      <c r="H49" s="95">
        <f t="shared" ca="1" si="6"/>
        <v>45212</v>
      </c>
      <c r="I49" s="119">
        <f ca="1">HLOOKUP($H$5,'Met Data'!$A$2:$F$368,G49,FALSE)</f>
        <v>13.6551724137931</v>
      </c>
      <c r="J49" s="119">
        <f ca="1">HLOOKUP($H$5,'Met Data'!$H$2:$M$368,G49,FALSE)*L49</f>
        <v>4.9586206896551701</v>
      </c>
      <c r="K49" s="96">
        <f ca="1">HLOOKUP($H$5,'Met Data'!$O$2:$T$368,G49,FALSE)</f>
        <v>2.9944315874670302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45272</v>
      </c>
      <c r="Q49">
        <f ca="1"/>
        <v>49.71901375433039</v>
      </c>
      <c r="R49">
        <f ca="1"/>
        <v>0.40680026522961654</v>
      </c>
      <c r="S49">
        <f ca="1"/>
        <v>-3.4863341254921743E-2</v>
      </c>
      <c r="T49">
        <f ca="1"/>
        <v>0.32081982215904703</v>
      </c>
      <c r="U49">
        <f ca="1"/>
        <v>0</v>
      </c>
      <c r="V49">
        <f ca="1"/>
        <v>8.8115757527600262</v>
      </c>
      <c r="W49">
        <f ca="1"/>
        <v>6.872538191567708</v>
      </c>
      <c r="X49">
        <f ca="1"/>
        <v>0</v>
      </c>
      <c r="Y49">
        <f ca="1"/>
        <v>0.69223176242921491</v>
      </c>
      <c r="Z49">
        <f ca="1"/>
        <v>0</v>
      </c>
      <c r="AA49">
        <f ca="1"/>
        <v>0</v>
      </c>
      <c r="AB49">
        <f ca="1"/>
        <v>0.63723921697828889</v>
      </c>
      <c r="AD49" s="2">
        <f t="shared" ca="1" si="2"/>
        <v>45272</v>
      </c>
      <c r="AE49">
        <f t="shared" ca="1" si="3"/>
        <v>0</v>
      </c>
      <c r="AG49" s="63">
        <f t="shared" ca="1" si="7"/>
        <v>50.125814019560003</v>
      </c>
      <c r="AH49" s="63">
        <f t="shared" ca="1" si="8"/>
        <v>50.125814019560011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288</v>
      </c>
      <c r="H50" s="95">
        <f t="shared" ca="1" si="6"/>
        <v>45213</v>
      </c>
      <c r="I50" s="119">
        <f ca="1">HLOOKUP($H$5,'Met Data'!$A$2:$F$368,G50,FALSE)</f>
        <v>13.334482758620601</v>
      </c>
      <c r="J50" s="119">
        <f ca="1">HLOOKUP($H$5,'Met Data'!$H$2:$M$368,G50,FALSE)*L50</f>
        <v>5.6758620689655102</v>
      </c>
      <c r="K50" s="96">
        <f ca="1">HLOOKUP($H$5,'Met Data'!$O$2:$T$368,G50,FALSE)</f>
        <v>2.9220059834019998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45273</v>
      </c>
      <c r="Q50">
        <f ca="1"/>
        <v>49.57229661277006</v>
      </c>
      <c r="R50">
        <f ca="1"/>
        <v>0.41611859554633845</v>
      </c>
      <c r="S50">
        <f ca="1"/>
        <v>-3.0578751261295167E-2</v>
      </c>
      <c r="T50">
        <f ca="1"/>
        <v>0.29998020524730462</v>
      </c>
      <c r="U50">
        <f ca="1"/>
        <v>0</v>
      </c>
      <c r="V50">
        <f ca="1"/>
        <v>9.2276943483063647</v>
      </c>
      <c r="W50">
        <f ca="1"/>
        <v>7.1970875139993931</v>
      </c>
      <c r="X50">
        <f ca="1"/>
        <v>0</v>
      </c>
      <c r="Y50">
        <f ca="1"/>
        <v>0.65513244828148642</v>
      </c>
      <c r="Z50">
        <f ca="1"/>
        <v>0</v>
      </c>
      <c r="AA50">
        <f ca="1"/>
        <v>0</v>
      </c>
      <c r="AB50">
        <f ca="1"/>
        <v>0.6700537683467882</v>
      </c>
      <c r="AD50" s="2">
        <f t="shared" ca="1" si="2"/>
        <v>45273</v>
      </c>
      <c r="AE50">
        <f t="shared" ca="1" si="3"/>
        <v>0</v>
      </c>
      <c r="AG50" s="63">
        <f t="shared" ca="1" si="7"/>
        <v>49.988415208316397</v>
      </c>
      <c r="AH50" s="63">
        <f t="shared" ca="1" si="8"/>
        <v>49.988415208316397</v>
      </c>
      <c r="AI50" s="3">
        <f t="shared" ca="1" si="9"/>
        <v>0</v>
      </c>
    </row>
    <row r="51" spans="1:35">
      <c r="A51" s="12"/>
      <c r="B51" s="13"/>
      <c r="G51" s="3">
        <f t="shared" ca="1" si="4"/>
        <v>289</v>
      </c>
      <c r="H51" s="95">
        <f t="shared" ca="1" si="6"/>
        <v>45214</v>
      </c>
      <c r="I51" s="119">
        <f ca="1">HLOOKUP($H$5,'Met Data'!$A$2:$F$368,G51,FALSE)</f>
        <v>13.0379310344827</v>
      </c>
      <c r="J51" s="119">
        <f ca="1">HLOOKUP($H$5,'Met Data'!$H$2:$M$368,G51,FALSE)*L51</f>
        <v>5.9344827586206899</v>
      </c>
      <c r="K51" s="96">
        <f ca="1">HLOOKUP($H$5,'Met Data'!$O$2:$T$368,G51,FALSE)</f>
        <v>3.1812494285264998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45274</v>
      </c>
      <c r="Q51">
        <f ca="1"/>
        <v>49.416777801312683</v>
      </c>
      <c r="R51">
        <f ca="1"/>
        <v>0.43048886509111028</v>
      </c>
      <c r="S51">
        <f ca="1"/>
        <v>-2.6952534502805214E-2</v>
      </c>
      <c r="T51">
        <f ca="1"/>
        <v>0.30192258813654066</v>
      </c>
      <c r="U51">
        <f ca="1"/>
        <v>0</v>
      </c>
      <c r="V51">
        <f ca="1"/>
        <v>9.658183213397475</v>
      </c>
      <c r="W51">
        <f ca="1"/>
        <v>7.5328448461038793</v>
      </c>
      <c r="X51">
        <f ca="1"/>
        <v>0</v>
      </c>
      <c r="Y51">
        <f ca="1"/>
        <v>0.66451367116697524</v>
      </c>
      <c r="Z51">
        <f ca="1"/>
        <v>0</v>
      </c>
      <c r="AA51">
        <f ca="1"/>
        <v>0</v>
      </c>
      <c r="AB51">
        <f ca="1"/>
        <v>0.70058262044173403</v>
      </c>
      <c r="AD51" s="2">
        <f t="shared" ca="1" si="2"/>
        <v>45274</v>
      </c>
      <c r="AE51">
        <f t="shared" ca="1" si="3"/>
        <v>0</v>
      </c>
      <c r="AG51" s="63">
        <f t="shared" ca="1" si="7"/>
        <v>49.847266666403797</v>
      </c>
      <c r="AH51" s="63">
        <f t="shared" ca="1" si="8"/>
        <v>49.847266666403797</v>
      </c>
      <c r="AI51" s="3">
        <f t="shared" ca="1" si="9"/>
        <v>0</v>
      </c>
    </row>
    <row r="52" spans="1:35" ht="15.75" thickBot="1">
      <c r="A52" s="14"/>
      <c r="B52" s="15"/>
      <c r="G52" s="3">
        <f t="shared" ca="1" si="4"/>
        <v>290</v>
      </c>
      <c r="H52" s="95">
        <f t="shared" ca="1" si="6"/>
        <v>45215</v>
      </c>
      <c r="I52" s="119">
        <f ca="1">HLOOKUP($H$5,'Met Data'!$A$2:$F$368,G52,FALSE)</f>
        <v>13.094827586206801</v>
      </c>
      <c r="J52" s="119">
        <f ca="1">HLOOKUP($H$5,'Met Data'!$H$2:$M$368,G52,FALSE)*L52</f>
        <v>3.2862068965517199</v>
      </c>
      <c r="K52" s="96">
        <f ca="1">HLOOKUP($H$5,'Met Data'!$O$2:$T$368,G52,FALSE)</f>
        <v>3.1846462671739202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45275</v>
      </c>
      <c r="Q52">
        <f ca="1"/>
        <v>49.24083217321332</v>
      </c>
      <c r="R52">
        <f ca="1"/>
        <v>0.44168982462417716</v>
      </c>
      <c r="S52">
        <f ca="1"/>
        <v>-2.3443564971664443E-2</v>
      </c>
      <c r="T52">
        <f ca="1"/>
        <v>0.2891877614964779</v>
      </c>
      <c r="U52">
        <f ca="1"/>
        <v>0</v>
      </c>
      <c r="V52">
        <f ca="1"/>
        <v>10.099873038021652</v>
      </c>
      <c r="W52">
        <f ca="1"/>
        <v>7.8773383026352715</v>
      </c>
      <c r="X52">
        <f ca="1"/>
        <v>0</v>
      </c>
      <c r="Y52">
        <f ca="1"/>
        <v>0.64185605499219678</v>
      </c>
      <c r="Z52">
        <f ca="1"/>
        <v>0</v>
      </c>
      <c r="AA52">
        <f ca="1"/>
        <v>0</v>
      </c>
      <c r="AB52">
        <f ca="1"/>
        <v>0.72850948521441439</v>
      </c>
      <c r="AD52" s="2">
        <f t="shared" ca="1" si="2"/>
        <v>45275</v>
      </c>
      <c r="AE52">
        <f t="shared" ca="1" si="3"/>
        <v>0</v>
      </c>
      <c r="AG52" s="63">
        <f t="shared" ca="1" si="7"/>
        <v>49.682521997837497</v>
      </c>
      <c r="AH52" s="63">
        <f t="shared" ca="1" si="8"/>
        <v>49.682521997837497</v>
      </c>
      <c r="AI52" s="3">
        <f t="shared" ca="1" si="9"/>
        <v>0</v>
      </c>
    </row>
    <row r="53" spans="1:35">
      <c r="G53" s="3">
        <f t="shared" ca="1" si="4"/>
        <v>291</v>
      </c>
      <c r="H53" s="95">
        <f t="shared" ca="1" si="6"/>
        <v>45216</v>
      </c>
      <c r="I53" s="119">
        <f ca="1">HLOOKUP($H$5,'Met Data'!$A$2:$F$368,G53,FALSE)</f>
        <v>13.6775862068965</v>
      </c>
      <c r="J53" s="119">
        <f ca="1">HLOOKUP($H$5,'Met Data'!$H$2:$M$368,G53,FALSE)*L53</f>
        <v>3.4241379310344802</v>
      </c>
      <c r="K53" s="96">
        <f ca="1">HLOOKUP($H$5,'Met Data'!$O$2:$T$368,G53,FALSE)</f>
        <v>3.2300602691540199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45276</v>
      </c>
      <c r="Q53">
        <f ca="1"/>
        <v>49.061295391137349</v>
      </c>
      <c r="R53">
        <f ca="1"/>
        <v>0.46293204314023839</v>
      </c>
      <c r="S53">
        <f ca="1"/>
        <v>-2.0572734797724479E-2</v>
      </c>
      <c r="T53">
        <f ca="1"/>
        <v>0.30396799586199053</v>
      </c>
      <c r="U53">
        <f ca="1"/>
        <v>0</v>
      </c>
      <c r="V53">
        <f ca="1"/>
        <v>10.562805081161891</v>
      </c>
      <c r="W53">
        <f ca="1"/>
        <v>8.2383995061986894</v>
      </c>
      <c r="X53">
        <f ca="1"/>
        <v>0</v>
      </c>
      <c r="Y53">
        <f ca="1"/>
        <v>0.67354450678043765</v>
      </c>
      <c r="Z53">
        <f ca="1"/>
        <v>0</v>
      </c>
      <c r="AA53">
        <f ca="1"/>
        <v>0</v>
      </c>
      <c r="AB53">
        <f ca="1"/>
        <v>0.75438416872049996</v>
      </c>
      <c r="AD53" s="2">
        <f t="shared" ca="1" si="2"/>
        <v>45276</v>
      </c>
      <c r="AE53">
        <f t="shared" ca="1" si="3"/>
        <v>0</v>
      </c>
      <c r="AG53" s="63">
        <f t="shared" ca="1" si="7"/>
        <v>49.524227434277584</v>
      </c>
      <c r="AH53" s="63">
        <f t="shared" ca="1" si="8"/>
        <v>49.524227434277591</v>
      </c>
      <c r="AI53" s="3">
        <f t="shared" ca="1" si="9"/>
        <v>0</v>
      </c>
    </row>
    <row r="54" spans="1:35">
      <c r="G54" s="3">
        <f t="shared" ca="1" si="4"/>
        <v>292</v>
      </c>
      <c r="H54" s="95">
        <f t="shared" ca="1" si="6"/>
        <v>45217</v>
      </c>
      <c r="I54" s="119">
        <f ca="1">HLOOKUP($H$5,'Met Data'!$A$2:$F$368,G54,FALSE)</f>
        <v>13.189655172413699</v>
      </c>
      <c r="J54" s="119">
        <f ca="1">HLOOKUP($H$5,'Met Data'!$H$2:$M$368,G54,FALSE)*L54</f>
        <v>3.6586206896551698</v>
      </c>
      <c r="K54" s="96">
        <f ca="1">HLOOKUP($H$5,'Met Data'!$O$2:$T$368,G54,FALSE)</f>
        <v>2.98673361950474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45277</v>
      </c>
      <c r="Q54">
        <f ca="1"/>
        <v>48.872948748917793</v>
      </c>
      <c r="R54">
        <f ca="1"/>
        <v>0.4830252051710886</v>
      </c>
      <c r="S54">
        <f ca="1"/>
        <v>-1.7760331953049047E-2</v>
      </c>
      <c r="T54">
        <f ca="1"/>
        <v>0.31243889490457971</v>
      </c>
      <c r="U54">
        <f ca="1"/>
        <v>0</v>
      </c>
      <c r="V54">
        <f ca="1"/>
        <v>11.045830286332979</v>
      </c>
      <c r="W54">
        <f ca="1"/>
        <v>8.6151322567499555</v>
      </c>
      <c r="X54">
        <f ca="1"/>
        <v>0</v>
      </c>
      <c r="Y54">
        <f ca="1"/>
        <v>0.69140540696172215</v>
      </c>
      <c r="Z54">
        <f ca="1"/>
        <v>0</v>
      </c>
      <c r="AA54">
        <f ca="1"/>
        <v>0</v>
      </c>
      <c r="AB54">
        <f ca="1"/>
        <v>0.77803940750565859</v>
      </c>
      <c r="AD54" s="2">
        <f t="shared" ca="1" si="2"/>
        <v>45277</v>
      </c>
      <c r="AE54">
        <f t="shared" ca="1" si="3"/>
        <v>0</v>
      </c>
      <c r="AG54" s="63">
        <f t="shared" ca="1" si="7"/>
        <v>49.355973954088881</v>
      </c>
      <c r="AH54" s="63">
        <f t="shared" ca="1" si="8"/>
        <v>49.355973954088881</v>
      </c>
      <c r="AI54" s="3">
        <f t="shared" ca="1" si="9"/>
        <v>0</v>
      </c>
    </row>
    <row r="55" spans="1:35">
      <c r="G55" s="3">
        <f t="shared" ca="1" si="4"/>
        <v>293</v>
      </c>
      <c r="H55" s="95">
        <f t="shared" ca="1" si="6"/>
        <v>45218</v>
      </c>
      <c r="I55" s="119">
        <f ca="1">HLOOKUP($H$5,'Met Data'!$A$2:$F$368,G55,FALSE)</f>
        <v>12.9428571428571</v>
      </c>
      <c r="J55" s="119">
        <f ca="1">HLOOKUP($H$5,'Met Data'!$H$2:$M$368,G55,FALSE)*L55</f>
        <v>2.3892857142857098</v>
      </c>
      <c r="K55" s="96">
        <f ca="1">HLOOKUP($H$5,'Met Data'!$O$2:$T$368,G55,FALSE)</f>
        <v>3.3877860671285598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45278</v>
      </c>
      <c r="Q55">
        <f ca="1"/>
        <v>48.680272876127923</v>
      </c>
      <c r="R55">
        <f ca="1"/>
        <v>0.48912569400301997</v>
      </c>
      <c r="S55">
        <f ca="1"/>
        <v>-1.4758446412948878E-2</v>
      </c>
      <c r="T55">
        <f ca="1"/>
        <v>0.3112082676260991</v>
      </c>
      <c r="U55">
        <f ca="1"/>
        <v>0</v>
      </c>
      <c r="V55">
        <f ca="1"/>
        <v>11.534955980335999</v>
      </c>
      <c r="W55">
        <f ca="1"/>
        <v>8.9966230487300276</v>
      </c>
      <c r="X55">
        <f ca="1"/>
        <v>0</v>
      </c>
      <c r="Y55">
        <f ca="1"/>
        <v>0.70598984117140928</v>
      </c>
      <c r="Z55">
        <f ca="1"/>
        <v>0</v>
      </c>
      <c r="AA55">
        <f ca="1"/>
        <v>0</v>
      </c>
      <c r="AB55">
        <f ca="1"/>
        <v>0.79890471013625752</v>
      </c>
      <c r="AD55" s="2">
        <f t="shared" ca="1" si="2"/>
        <v>45278</v>
      </c>
      <c r="AE55">
        <f t="shared" ca="1" si="3"/>
        <v>0</v>
      </c>
      <c r="AG55" s="63">
        <f t="shared" ca="1" si="7"/>
        <v>49.169398570130944</v>
      </c>
      <c r="AH55" s="63">
        <f t="shared" ca="1" si="8"/>
        <v>49.169398570130944</v>
      </c>
      <c r="AI55" s="3">
        <f t="shared" ca="1" si="9"/>
        <v>0</v>
      </c>
    </row>
    <row r="56" spans="1:35">
      <c r="G56" s="3">
        <f t="shared" ca="1" si="4"/>
        <v>294</v>
      </c>
      <c r="H56" s="95">
        <f t="shared" ca="1" si="6"/>
        <v>45219</v>
      </c>
      <c r="I56" s="119">
        <f ca="1">HLOOKUP($H$5,'Met Data'!$A$2:$F$368,G56,FALSE)</f>
        <v>12.819642857142799</v>
      </c>
      <c r="J56" s="119">
        <f ca="1">HLOOKUP($H$5,'Met Data'!$H$2:$M$368,G56,FALSE)*L56</f>
        <v>1.6142857142857101</v>
      </c>
      <c r="K56" s="96">
        <f ca="1">HLOOKUP($H$5,'Met Data'!$O$2:$T$368,G56,FALSE)</f>
        <v>3.30175747979975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45279</v>
      </c>
      <c r="Q56">
        <f ca="1"/>
        <v>48.47129628361936</v>
      </c>
      <c r="R56">
        <f ca="1"/>
        <v>0.5150236174748315</v>
      </c>
      <c r="S56">
        <f ca="1"/>
        <v>-1.2437393724957779E-2</v>
      </c>
      <c r="T56">
        <f ca="1"/>
        <v>0.31848441869122779</v>
      </c>
      <c r="U56">
        <f ca="1"/>
        <v>0</v>
      </c>
      <c r="V56">
        <f ca="1"/>
        <v>12.049979597810831</v>
      </c>
      <c r="W56">
        <f ca="1"/>
        <v>9.3983127782368587</v>
      </c>
      <c r="X56">
        <f ca="1"/>
        <v>0</v>
      </c>
      <c r="Y56">
        <f ca="1"/>
        <v>0.71303701442859191</v>
      </c>
      <c r="Z56">
        <f ca="1"/>
        <v>0</v>
      </c>
      <c r="AA56">
        <f ca="1"/>
        <v>0</v>
      </c>
      <c r="AB56">
        <f ca="1"/>
        <v>0.81793352498600447</v>
      </c>
      <c r="AD56" s="2">
        <f t="shared" ca="1" si="2"/>
        <v>45279</v>
      </c>
      <c r="AE56">
        <f t="shared" ca="1" si="3"/>
        <v>0</v>
      </c>
      <c r="AG56" s="63">
        <f t="shared" ca="1" si="7"/>
        <v>48.986319901094191</v>
      </c>
      <c r="AH56" s="63">
        <f t="shared" ca="1" si="8"/>
        <v>48.986319901094191</v>
      </c>
      <c r="AI56" s="3">
        <f t="shared" ca="1" si="9"/>
        <v>0</v>
      </c>
    </row>
    <row r="57" spans="1:35">
      <c r="G57" s="3">
        <f t="shared" ca="1" si="4"/>
        <v>295</v>
      </c>
      <c r="H57" s="95">
        <f t="shared" ca="1" si="6"/>
        <v>45220</v>
      </c>
      <c r="I57" s="119">
        <f ca="1">HLOOKUP($H$5,'Met Data'!$A$2:$F$368,G57,FALSE)</f>
        <v>13.2785714285714</v>
      </c>
      <c r="J57" s="119">
        <f ca="1">HLOOKUP($H$5,'Met Data'!$H$2:$M$368,G57,FALSE)*L57</f>
        <v>2.9214285714285699</v>
      </c>
      <c r="K57" s="96">
        <f ca="1">HLOOKUP($H$5,'Met Data'!$O$2:$T$368,G57,FALSE)</f>
        <v>2.9372247945615499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45280</v>
      </c>
      <c r="Q57">
        <f ca="1"/>
        <v>48.219104614757384</v>
      </c>
      <c r="R57">
        <f ca="1"/>
        <v>0.54672504853536097</v>
      </c>
      <c r="S57">
        <f ca="1"/>
        <v>-1.0239524591893812E-2</v>
      </c>
      <c r="T57">
        <f ca="1"/>
        <v>0.30477290426527431</v>
      </c>
      <c r="U57">
        <f ca="1"/>
        <v>0</v>
      </c>
      <c r="V57">
        <f ca="1"/>
        <v>12.596704646346192</v>
      </c>
      <c r="W57">
        <f ca="1"/>
        <v>9.8247278578744659</v>
      </c>
      <c r="X57">
        <f ca="1"/>
        <v>0</v>
      </c>
      <c r="Y57">
        <f ca="1"/>
        <v>0.66373683499934344</v>
      </c>
      <c r="Z57">
        <f ca="1"/>
        <v>0</v>
      </c>
      <c r="AA57">
        <f ca="1"/>
        <v>0</v>
      </c>
      <c r="AB57">
        <f ca="1"/>
        <v>0.835280569920125</v>
      </c>
      <c r="AD57" s="2">
        <f t="shared" ca="1" si="2"/>
        <v>45280</v>
      </c>
      <c r="AE57">
        <f t="shared" ca="1" si="3"/>
        <v>0</v>
      </c>
      <c r="AG57" s="63">
        <f t="shared" ca="1" si="7"/>
        <v>48.765829663292742</v>
      </c>
      <c r="AH57" s="63">
        <f t="shared" ca="1" si="8"/>
        <v>48.765829663292749</v>
      </c>
      <c r="AI57" s="3">
        <f t="shared" ca="1" si="9"/>
        <v>0</v>
      </c>
    </row>
    <row r="58" spans="1:35">
      <c r="G58" s="3">
        <f t="shared" ca="1" si="4"/>
        <v>296</v>
      </c>
      <c r="H58" s="95">
        <f t="shared" ca="1" si="6"/>
        <v>45221</v>
      </c>
      <c r="I58" s="119">
        <f ca="1">HLOOKUP($H$5,'Met Data'!$A$2:$F$368,G58,FALSE)</f>
        <v>13.5625</v>
      </c>
      <c r="J58" s="119">
        <f ca="1">HLOOKUP($H$5,'Met Data'!$H$2:$M$368,G58,FALSE)*L58</f>
        <v>3.3499999999999899</v>
      </c>
      <c r="K58" s="96">
        <f ca="1">HLOOKUP($H$5,'Met Data'!$O$2:$T$368,G58,FALSE)</f>
        <v>2.9112128548041598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45281</v>
      </c>
      <c r="Q58">
        <f ca="1"/>
        <v>47.948435874381033</v>
      </c>
      <c r="R58">
        <f ca="1"/>
        <v>0.56712463053104223</v>
      </c>
      <c r="S58">
        <f ca="1"/>
        <v>-7.9236896588135153E-3</v>
      </c>
      <c r="T58">
        <f ca="1"/>
        <v>0.30437957981350244</v>
      </c>
      <c r="U58">
        <f ca="1"/>
        <v>0</v>
      </c>
      <c r="V58">
        <f ca="1"/>
        <v>13.163829276877234</v>
      </c>
      <c r="W58">
        <f ca="1"/>
        <v>10.267053475001742</v>
      </c>
      <c r="X58">
        <f ca="1"/>
        <v>0</v>
      </c>
      <c r="Y58">
        <f ca="1"/>
        <v>0.66276736839418737</v>
      </c>
      <c r="Z58">
        <f ca="1"/>
        <v>0</v>
      </c>
      <c r="AA58">
        <f ca="1"/>
        <v>0</v>
      </c>
      <c r="AB58">
        <f ca="1"/>
        <v>0.85062589591074822</v>
      </c>
      <c r="AD58" s="2">
        <f t="shared" ca="1" si="2"/>
        <v>45281</v>
      </c>
      <c r="AE58">
        <f t="shared" ca="1" si="3"/>
        <v>0</v>
      </c>
      <c r="AG58" s="63">
        <f t="shared" ca="1" si="7"/>
        <v>48.515560504912074</v>
      </c>
      <c r="AH58" s="63">
        <f t="shared" ca="1" si="8"/>
        <v>48.515560504912074</v>
      </c>
      <c r="AI58" s="3">
        <f t="shared" ca="1" si="9"/>
        <v>0</v>
      </c>
    </row>
    <row r="59" spans="1:35">
      <c r="G59" s="3">
        <f t="shared" ca="1" si="4"/>
        <v>297</v>
      </c>
      <c r="H59" s="95">
        <f t="shared" ca="1" si="6"/>
        <v>45222</v>
      </c>
      <c r="I59" s="119">
        <f ca="1">HLOOKUP($H$5,'Met Data'!$A$2:$F$368,G59,FALSE)</f>
        <v>13.9310344827586</v>
      </c>
      <c r="J59" s="119">
        <f ca="1">HLOOKUP($H$5,'Met Data'!$H$2:$M$368,G59,FALSE)*L59</f>
        <v>4.6137931034482698</v>
      </c>
      <c r="K59" s="96">
        <f ca="1">HLOOKUP($H$5,'Met Data'!$O$2:$T$368,G59,FALSE)</f>
        <v>3.5318790230099002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45282</v>
      </c>
      <c r="Q59">
        <f ca="1"/>
        <v>47.639079440153772</v>
      </c>
      <c r="R59">
        <f ca="1"/>
        <v>0.59593291795533609</v>
      </c>
      <c r="S59">
        <f ca="1"/>
        <v>-5.8032681582371737E-3</v>
      </c>
      <c r="T59">
        <f ca="1"/>
        <v>0.29237975188631488</v>
      </c>
      <c r="U59">
        <f ca="1"/>
        <v>0</v>
      </c>
      <c r="V59">
        <f ca="1"/>
        <v>13.75976219483257</v>
      </c>
      <c r="W59">
        <f ca="1"/>
        <v>10.731847951401447</v>
      </c>
      <c r="X59">
        <f ca="1"/>
        <v>0</v>
      </c>
      <c r="Y59">
        <f ca="1"/>
        <v>0.62307969630580051</v>
      </c>
      <c r="Z59">
        <f ca="1"/>
        <v>0</v>
      </c>
      <c r="AA59">
        <f ca="1"/>
        <v>0</v>
      </c>
      <c r="AB59">
        <f ca="1"/>
        <v>0.86429938900550241</v>
      </c>
      <c r="AD59" s="2">
        <f t="shared" ca="1" si="2"/>
        <v>45282</v>
      </c>
      <c r="AE59">
        <f t="shared" ca="1" si="3"/>
        <v>0</v>
      </c>
      <c r="AG59" s="63">
        <f t="shared" ca="1" si="7"/>
        <v>48.23501235810911</v>
      </c>
      <c r="AH59" s="63">
        <f t="shared" ca="1" si="8"/>
        <v>48.23501235810911</v>
      </c>
      <c r="AI59" s="3">
        <f t="shared" ca="1" si="9"/>
        <v>0</v>
      </c>
    </row>
    <row r="60" spans="1:35">
      <c r="A60" s="1"/>
      <c r="B60" s="1"/>
      <c r="G60" s="3">
        <f t="shared" ca="1" si="4"/>
        <v>298</v>
      </c>
      <c r="H60" s="95">
        <f t="shared" ca="1" si="6"/>
        <v>45223</v>
      </c>
      <c r="I60" s="119">
        <f ca="1">HLOOKUP($H$5,'Met Data'!$A$2:$F$368,G60,FALSE)</f>
        <v>13.336206896551699</v>
      </c>
      <c r="J60" s="119">
        <f ca="1">HLOOKUP($H$5,'Met Data'!$H$2:$M$368,G60,FALSE)*L60</f>
        <v>3.30689655172413</v>
      </c>
      <c r="K60" s="96">
        <f ca="1">HLOOKUP($H$5,'Met Data'!$O$2:$T$368,G60,FALSE)</f>
        <v>3.2578637469081699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45283</v>
      </c>
      <c r="Q60">
        <f ca="1"/>
        <v>47.310939464697633</v>
      </c>
      <c r="R60">
        <f ca="1"/>
        <v>0.59832172060177413</v>
      </c>
      <c r="S60">
        <f ca="1"/>
        <v>-3.6450607815110558E-3</v>
      </c>
      <c r="T60">
        <f ca="1"/>
        <v>0.2738268059271427</v>
      </c>
      <c r="U60">
        <f ca="1"/>
        <v>0</v>
      </c>
      <c r="V60">
        <f ca="1"/>
        <v>14.358083915434344</v>
      </c>
      <c r="W60">
        <f ca="1"/>
        <v>11.198505560784445</v>
      </c>
      <c r="X60">
        <f ca="1"/>
        <v>0</v>
      </c>
      <c r="Y60">
        <f ca="1"/>
        <v>0.5960337873265027</v>
      </c>
      <c r="Z60">
        <f ca="1"/>
        <v>0</v>
      </c>
      <c r="AA60">
        <f ca="1"/>
        <v>0</v>
      </c>
      <c r="AB60">
        <f ca="1"/>
        <v>0.87591159514297823</v>
      </c>
      <c r="AD60" s="2">
        <f t="shared" ca="1" si="2"/>
        <v>45283</v>
      </c>
      <c r="AE60">
        <f t="shared" ca="1" si="3"/>
        <v>0</v>
      </c>
      <c r="AG60" s="63">
        <f t="shared" ca="1" si="7"/>
        <v>47.909261185299407</v>
      </c>
      <c r="AH60" s="63">
        <f t="shared" ca="1" si="8"/>
        <v>47.909261185299407</v>
      </c>
      <c r="AI60" s="3">
        <f t="shared" ca="1" si="9"/>
        <v>0</v>
      </c>
    </row>
    <row r="61" spans="1:35">
      <c r="G61" s="3">
        <f t="shared" ca="1" si="4"/>
        <v>299</v>
      </c>
      <c r="H61" s="95">
        <f t="shared" ca="1" si="6"/>
        <v>45224</v>
      </c>
      <c r="I61" s="119">
        <f ca="1">HLOOKUP($H$5,'Met Data'!$A$2:$F$368,G61,FALSE)</f>
        <v>13.789655172413701</v>
      </c>
      <c r="J61" s="119">
        <f ca="1">HLOOKUP($H$5,'Met Data'!$H$2:$M$368,G61,FALSE)*L61</f>
        <v>1.8172413793103399</v>
      </c>
      <c r="K61" s="96">
        <f ca="1">HLOOKUP($H$5,'Met Data'!$O$2:$T$368,G61,FALSE)</f>
        <v>3.4101531049699898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45284</v>
      </c>
      <c r="Q61">
        <f ca="1"/>
        <v>46.957037800807804</v>
      </c>
      <c r="R61">
        <f ca="1"/>
        <v>0.62604771426363115</v>
      </c>
      <c r="S61">
        <f ca="1"/>
        <v>-1.7965747526664799E-3</v>
      </c>
      <c r="T61">
        <f ca="1"/>
        <v>0.27394262512646816</v>
      </c>
      <c r="U61">
        <f ca="1"/>
        <v>0</v>
      </c>
      <c r="V61">
        <f ca="1"/>
        <v>14.984131629697975</v>
      </c>
      <c r="W61">
        <f ca="1"/>
        <v>11.686787900600091</v>
      </c>
      <c r="X61">
        <f ca="1"/>
        <v>0</v>
      </c>
      <c r="Y61">
        <f ca="1"/>
        <v>0.58845541863025608</v>
      </c>
      <c r="Z61">
        <f ca="1"/>
        <v>0</v>
      </c>
      <c r="AA61">
        <f ca="1"/>
        <v>0</v>
      </c>
      <c r="AB61">
        <f ca="1"/>
        <v>0.88617345221340982</v>
      </c>
      <c r="AD61" s="2">
        <f t="shared" ca="1" si="2"/>
        <v>45284</v>
      </c>
      <c r="AE61">
        <f t="shared" ca="1" si="3"/>
        <v>0</v>
      </c>
      <c r="AG61" s="63">
        <f t="shared" ca="1" si="7"/>
        <v>47.583085515071431</v>
      </c>
      <c r="AH61" s="63">
        <f t="shared" ca="1" si="8"/>
        <v>47.583085515071431</v>
      </c>
      <c r="AI61" s="3">
        <f t="shared" ca="1" si="9"/>
        <v>0</v>
      </c>
    </row>
    <row r="62" spans="1:35">
      <c r="G62" s="3">
        <f t="shared" ca="1" si="4"/>
        <v>300</v>
      </c>
      <c r="H62" s="95">
        <f t="shared" ca="1" si="6"/>
        <v>45225</v>
      </c>
      <c r="I62" s="119">
        <f ca="1">HLOOKUP($H$5,'Met Data'!$A$2:$F$368,G62,FALSE)</f>
        <v>14.0810344827586</v>
      </c>
      <c r="J62" s="119">
        <f ca="1">HLOOKUP($H$5,'Met Data'!$H$2:$M$368,G62,FALSE)*L62</f>
        <v>0.78965517241379302</v>
      </c>
      <c r="K62" s="96">
        <f ca="1">HLOOKUP($H$5,'Met Data'!$O$2:$T$368,G62,FALSE)</f>
        <v>3.2764418127891499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45285</v>
      </c>
      <c r="Q62">
        <f ca="1"/>
        <v>46.582879978320747</v>
      </c>
      <c r="R62">
        <f ca="1"/>
        <v>0.66077019816889937</v>
      </c>
      <c r="S62">
        <f ca="1"/>
        <v>-8.410255990298765E-6</v>
      </c>
      <c r="T62">
        <f ca="1"/>
        <v>0.28662078593782764</v>
      </c>
      <c r="U62">
        <f ca="1"/>
        <v>0</v>
      </c>
      <c r="V62">
        <f ca="1"/>
        <v>15.644901827866875</v>
      </c>
      <c r="W62">
        <f ca="1"/>
        <v>12.202151843461628</v>
      </c>
      <c r="X62">
        <f ca="1"/>
        <v>0</v>
      </c>
      <c r="Y62">
        <f ca="1"/>
        <v>0.60807188856840066</v>
      </c>
      <c r="Z62">
        <f ca="1"/>
        <v>0</v>
      </c>
      <c r="AA62">
        <f ca="1"/>
        <v>0</v>
      </c>
      <c r="AB62">
        <f ca="1"/>
        <v>0.89527160963145624</v>
      </c>
      <c r="AD62" s="2">
        <f t="shared" ca="1" si="2"/>
        <v>45285</v>
      </c>
      <c r="AE62">
        <f t="shared" ca="1" si="3"/>
        <v>0</v>
      </c>
      <c r="AG62" s="63">
        <f t="shared" ca="1" si="7"/>
        <v>47.243650176489638</v>
      </c>
      <c r="AH62" s="63">
        <f t="shared" ca="1" si="8"/>
        <v>47.243650176489645</v>
      </c>
      <c r="AI62" s="3">
        <f t="shared" ca="1" si="9"/>
        <v>0</v>
      </c>
    </row>
    <row r="63" spans="1:35">
      <c r="G63" s="3">
        <f t="shared" ca="1" si="4"/>
        <v>301</v>
      </c>
      <c r="H63" s="95">
        <f t="shared" ca="1" si="6"/>
        <v>45226</v>
      </c>
      <c r="I63" s="119">
        <f ca="1">HLOOKUP($H$5,'Met Data'!$A$2:$F$368,G63,FALSE)</f>
        <v>14.8396551724137</v>
      </c>
      <c r="J63" s="119">
        <f ca="1">HLOOKUP($H$5,'Met Data'!$H$2:$M$368,G63,FALSE)*L63</f>
        <v>3.4241379310344802</v>
      </c>
      <c r="K63" s="96">
        <f ca="1">HLOOKUP($H$5,'Met Data'!$O$2:$T$368,G63,FALSE)</f>
        <v>3.3023555527193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45286</v>
      </c>
      <c r="Q63">
        <f ca="1"/>
        <v>46.181738017555105</v>
      </c>
      <c r="R63">
        <f ca="1"/>
        <v>0.66748931131378697</v>
      </c>
      <c r="S63">
        <f ca="1"/>
        <v>1.6598858163323627E-3</v>
      </c>
      <c r="T63">
        <f ca="1"/>
        <v>0.26468746473181259</v>
      </c>
      <c r="U63">
        <f ca="1"/>
        <v>0</v>
      </c>
      <c r="V63">
        <f ca="1"/>
        <v>16.312391139180662</v>
      </c>
      <c r="W63">
        <f ca="1"/>
        <v>12.722756320252326</v>
      </c>
      <c r="X63">
        <f ca="1"/>
        <v>0</v>
      </c>
      <c r="Y63">
        <f ca="1"/>
        <v>0.56465363840025362</v>
      </c>
      <c r="Z63">
        <f ca="1"/>
        <v>0</v>
      </c>
      <c r="AA63">
        <f ca="1"/>
        <v>0</v>
      </c>
      <c r="AB63">
        <f ca="1"/>
        <v>0.90297558684597956</v>
      </c>
      <c r="AD63" s="2">
        <f t="shared" ca="1" si="2"/>
        <v>45286</v>
      </c>
      <c r="AE63">
        <f t="shared" ca="1" si="3"/>
        <v>0</v>
      </c>
      <c r="AG63" s="63">
        <f t="shared" ca="1" si="7"/>
        <v>46.849227328868892</v>
      </c>
      <c r="AH63" s="63">
        <f t="shared" ca="1" si="8"/>
        <v>46.849227328868892</v>
      </c>
      <c r="AI63" s="3">
        <f t="shared" ca="1" si="9"/>
        <v>0</v>
      </c>
    </row>
    <row r="64" spans="1:35">
      <c r="G64" s="3">
        <f t="shared" ca="1" si="4"/>
        <v>302</v>
      </c>
      <c r="H64" s="95">
        <f t="shared" ca="1" si="6"/>
        <v>45227</v>
      </c>
      <c r="I64" s="119">
        <f ca="1">HLOOKUP($H$5,'Met Data'!$A$2:$F$368,G64,FALSE)</f>
        <v>14.274137931034399</v>
      </c>
      <c r="J64" s="119">
        <f ca="1">HLOOKUP($H$5,'Met Data'!$H$2:$M$368,G64,FALSE)*L64</f>
        <v>4.16206896551724</v>
      </c>
      <c r="K64" s="96">
        <f ca="1">HLOOKUP($H$5,'Met Data'!$O$2:$T$368,G64,FALSE)</f>
        <v>2.9394492851949701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45287</v>
      </c>
      <c r="Q64">
        <f ca="1"/>
        <v>45.749370119709106</v>
      </c>
      <c r="R64">
        <f ca="1"/>
        <v>0.69315979305984143</v>
      </c>
      <c r="S64">
        <f ca="1"/>
        <v>3.2242432942570787E-3</v>
      </c>
      <c r="T64">
        <f ca="1"/>
        <v>0.25756765191958447</v>
      </c>
      <c r="U64">
        <f ca="1"/>
        <v>0</v>
      </c>
      <c r="V64">
        <f ca="1"/>
        <v>17.005550932240503</v>
      </c>
      <c r="W64">
        <f ca="1"/>
        <v>13.263382342694541</v>
      </c>
      <c r="X64">
        <f ca="1"/>
        <v>0</v>
      </c>
      <c r="Y64">
        <f ca="1"/>
        <v>0.54002858243658269</v>
      </c>
      <c r="Z64">
        <f ca="1"/>
        <v>0</v>
      </c>
      <c r="AA64">
        <f ca="1"/>
        <v>0</v>
      </c>
      <c r="AB64">
        <f ca="1"/>
        <v>0.9096798716006026</v>
      </c>
      <c r="AD64" s="2">
        <f t="shared" ca="1" si="2"/>
        <v>45287</v>
      </c>
      <c r="AE64">
        <f t="shared" ca="1" si="3"/>
        <v>0</v>
      </c>
      <c r="AG64" s="63">
        <f t="shared" ca="1" si="7"/>
        <v>46.442529912768947</v>
      </c>
      <c r="AH64" s="63">
        <f t="shared" ca="1" si="8"/>
        <v>46.442529912768947</v>
      </c>
      <c r="AI64" s="3">
        <f t="shared" ca="1" si="9"/>
        <v>0</v>
      </c>
    </row>
    <row r="65" spans="7:35">
      <c r="G65" s="3">
        <f t="shared" ca="1" si="4"/>
        <v>303</v>
      </c>
      <c r="H65" s="95">
        <f t="shared" ca="1" si="6"/>
        <v>45228</v>
      </c>
      <c r="I65" s="119">
        <f ca="1">HLOOKUP($H$5,'Met Data'!$A$2:$F$368,G65,FALSE)</f>
        <v>14.29</v>
      </c>
      <c r="J65" s="119">
        <f ca="1">HLOOKUP($H$5,'Met Data'!$H$2:$M$368,G65,FALSE)*L65</f>
        <v>2.4933333333333301</v>
      </c>
      <c r="K65" s="96">
        <f ca="1">HLOOKUP($H$5,'Met Data'!$O$2:$T$368,G65,FALSE)</f>
        <v>3.1793308523033601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45288</v>
      </c>
      <c r="Q65">
        <f ca="1"/>
        <v>45.250689489270812</v>
      </c>
      <c r="R65">
        <f ca="1"/>
        <v>0.76235301419254142</v>
      </c>
      <c r="S65">
        <f ca="1"/>
        <v>4.9609439278484047E-3</v>
      </c>
      <c r="T65">
        <f ca="1"/>
        <v>0.25871143982639655</v>
      </c>
      <c r="U65">
        <f ca="1"/>
        <v>0</v>
      </c>
      <c r="V65">
        <f ca="1"/>
        <v>17.767903946433044</v>
      </c>
      <c r="W65">
        <f ca="1"/>
        <v>13.857975222844713</v>
      </c>
      <c r="X65">
        <f ca="1"/>
        <v>0</v>
      </c>
      <c r="Y65">
        <f ca="1"/>
        <v>0.49749516162028784</v>
      </c>
      <c r="Z65">
        <f ca="1"/>
        <v>0</v>
      </c>
      <c r="AA65">
        <f ca="1"/>
        <v>0</v>
      </c>
      <c r="AB65">
        <f ca="1"/>
        <v>0.91581166733305452</v>
      </c>
      <c r="AD65" s="2">
        <f t="shared" ca="1" si="2"/>
        <v>45288</v>
      </c>
      <c r="AE65">
        <f t="shared" ca="1" si="3"/>
        <v>0</v>
      </c>
      <c r="AG65" s="63">
        <f t="shared" ca="1" si="7"/>
        <v>46.013042503463353</v>
      </c>
      <c r="AH65" s="63">
        <f t="shared" ca="1" si="8"/>
        <v>46.013042503463353</v>
      </c>
      <c r="AI65" s="3">
        <f t="shared" ca="1" si="9"/>
        <v>0</v>
      </c>
    </row>
    <row r="66" spans="7:35">
      <c r="G66" s="3">
        <f t="shared" ca="1" si="4"/>
        <v>304</v>
      </c>
      <c r="H66" s="95">
        <f t="shared" ca="1" si="6"/>
        <v>45229</v>
      </c>
      <c r="I66" s="119">
        <f ca="1">HLOOKUP($H$5,'Met Data'!$A$2:$F$368,G66,FALSE)</f>
        <v>14.715</v>
      </c>
      <c r="J66" s="119">
        <f ca="1">HLOOKUP($H$5,'Met Data'!$H$2:$M$368,G66,FALSE)*L66</f>
        <v>1.99</v>
      </c>
      <c r="K66" s="96">
        <f ca="1">HLOOKUP($H$5,'Met Data'!$O$2:$T$368,G66,FALSE)</f>
        <v>3.2908149619424898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45289</v>
      </c>
      <c r="Q66">
        <f ca="1"/>
        <v>44.716110018789472</v>
      </c>
      <c r="R66">
        <f ca="1"/>
        <v>0.8073239884151775</v>
      </c>
      <c r="S66">
        <f ca="1"/>
        <v>6.6619431967680498E-3</v>
      </c>
      <c r="T66">
        <f ca="1"/>
        <v>0.26608257473707236</v>
      </c>
      <c r="U66">
        <f ca="1"/>
        <v>0</v>
      </c>
      <c r="V66">
        <f ca="1"/>
        <v>18.575227934848222</v>
      </c>
      <c r="W66">
        <f ca="1"/>
        <v>14.487642957541786</v>
      </c>
      <c r="X66">
        <f ca="1"/>
        <v>0</v>
      </c>
      <c r="Y66">
        <f ca="1"/>
        <v>0.50033306323735272</v>
      </c>
      <c r="Z66">
        <f ca="1"/>
        <v>0</v>
      </c>
      <c r="AA66">
        <f ca="1"/>
        <v>0</v>
      </c>
      <c r="AB66">
        <f ca="1"/>
        <v>0.92116066682919706</v>
      </c>
      <c r="AD66" s="2">
        <f t="shared" ca="1" si="2"/>
        <v>45289</v>
      </c>
      <c r="AE66">
        <f t="shared" ca="1" si="3"/>
        <v>0</v>
      </c>
      <c r="AG66" s="63">
        <f t="shared" ca="1" si="7"/>
        <v>45.523434007204649</v>
      </c>
      <c r="AH66" s="63">
        <f t="shared" ca="1" si="8"/>
        <v>45.523434007204649</v>
      </c>
      <c r="AI66" s="3">
        <f t="shared" ca="1" si="9"/>
        <v>0</v>
      </c>
    </row>
    <row r="67" spans="7:35">
      <c r="G67" s="3">
        <f t="shared" ca="1" si="4"/>
        <v>305</v>
      </c>
      <c r="H67" s="95">
        <f t="shared" ca="1" si="6"/>
        <v>45230</v>
      </c>
      <c r="I67" s="119">
        <f ca="1">HLOOKUP($H$5,'Met Data'!$A$2:$F$368,G67,FALSE)</f>
        <v>14.5266666666666</v>
      </c>
      <c r="J67" s="119">
        <f ca="1">HLOOKUP($H$5,'Met Data'!$H$2:$M$368,G67,FALSE)*L67</f>
        <v>1.75</v>
      </c>
      <c r="K67" s="96">
        <f ca="1">HLOOKUP($H$5,'Met Data'!$O$2:$T$368,G67,FALSE)</f>
        <v>3.7910621493299299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45290</v>
      </c>
      <c r="Q67">
        <f ca="1"/>
        <v>44.176830590579897</v>
      </c>
      <c r="R67">
        <f ca="1"/>
        <v>0.8190958509971793</v>
      </c>
      <c r="S67">
        <f ca="1"/>
        <v>7.9922370137790466E-3</v>
      </c>
      <c r="T67">
        <f ca="1"/>
        <v>0.27182418577382383</v>
      </c>
      <c r="U67">
        <f ca="1"/>
        <v>0</v>
      </c>
      <c r="V67">
        <f ca="1"/>
        <v>19.394323785845401</v>
      </c>
      <c r="W67">
        <f ca="1"/>
        <v>15.126492089238752</v>
      </c>
      <c r="X67">
        <f ca="1"/>
        <v>0</v>
      </c>
      <c r="Y67">
        <f ca="1"/>
        <v>0.52947902957035797</v>
      </c>
      <c r="Z67">
        <f ca="1"/>
        <v>0</v>
      </c>
      <c r="AA67">
        <f ca="1"/>
        <v>0</v>
      </c>
      <c r="AB67">
        <f ca="1"/>
        <v>0.92562349643788711</v>
      </c>
      <c r="AD67" s="2">
        <f t="shared" ca="1" si="2"/>
        <v>45290</v>
      </c>
      <c r="AE67">
        <f t="shared" ca="1" si="3"/>
        <v>0</v>
      </c>
      <c r="AG67" s="63">
        <f t="shared" ca="1" si="7"/>
        <v>44.995926441577076</v>
      </c>
      <c r="AH67" s="63">
        <f t="shared" ca="1" si="8"/>
        <v>44.995926441577076</v>
      </c>
      <c r="AI67" s="3">
        <f t="shared" ca="1" si="9"/>
        <v>0</v>
      </c>
    </row>
    <row r="68" spans="7:35">
      <c r="G68" s="3">
        <f t="shared" ca="1" si="4"/>
        <v>306</v>
      </c>
      <c r="H68" s="95">
        <f t="shared" ca="1" si="6"/>
        <v>45231</v>
      </c>
      <c r="I68" s="119">
        <f ca="1">HLOOKUP($H$5,'Met Data'!$A$2:$F$368,G68,FALSE)</f>
        <v>14.0416666666666</v>
      </c>
      <c r="J68" s="119">
        <f ca="1">HLOOKUP($H$5,'Met Data'!$H$2:$M$368,G68,FALSE)*L68</f>
        <v>2.11666666666666</v>
      </c>
      <c r="K68" s="96">
        <f ca="1">HLOOKUP($H$5,'Met Data'!$O$2:$T$368,G68,FALSE)</f>
        <v>3.7273958064413302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45291</v>
      </c>
      <c r="Q68">
        <f ca="1"/>
        <v>43.669583757054895</v>
      </c>
      <c r="R68">
        <f ca="1"/>
        <v>0.82172184114245894</v>
      </c>
      <c r="S68">
        <f ca="1"/>
        <v>9.0749779343610726E-3</v>
      </c>
      <c r="T68">
        <f ca="1"/>
        <v>0.30540002968309238</v>
      </c>
      <c r="U68">
        <f ca="1"/>
        <v>0</v>
      </c>
      <c r="V68">
        <f ca="1"/>
        <v>20.21604562698786</v>
      </c>
      <c r="W68">
        <f ca="1"/>
        <v>15.767389346954317</v>
      </c>
      <c r="X68">
        <f ca="1"/>
        <v>0</v>
      </c>
      <c r="Y68">
        <f ca="1"/>
        <v>0.6366482430820205</v>
      </c>
      <c r="Z68">
        <f ca="1"/>
        <v>0</v>
      </c>
      <c r="AA68">
        <f ca="1"/>
        <v>0</v>
      </c>
      <c r="AB68">
        <f ca="1"/>
        <v>0.92931872765381984</v>
      </c>
      <c r="AD68" s="2">
        <f t="shared" ca="1" si="2"/>
        <v>45291</v>
      </c>
      <c r="AE68">
        <f t="shared" ca="1" si="3"/>
        <v>0</v>
      </c>
      <c r="AG68" s="63">
        <f t="shared" ca="1" si="7"/>
        <v>44.49130559819735</v>
      </c>
      <c r="AH68" s="63">
        <f t="shared" ca="1" si="8"/>
        <v>44.491305598197357</v>
      </c>
      <c r="AI68" s="3">
        <f t="shared" ca="1" si="9"/>
        <v>0</v>
      </c>
    </row>
    <row r="69" spans="7:35">
      <c r="G69" s="3">
        <f t="shared" ca="1" si="4"/>
        <v>307</v>
      </c>
      <c r="H69" s="95">
        <f t="shared" ca="1" si="6"/>
        <v>45232</v>
      </c>
      <c r="I69" s="119">
        <f ca="1">HLOOKUP($H$5,'Met Data'!$A$2:$F$368,G69,FALSE)</f>
        <v>14.098333333333301</v>
      </c>
      <c r="J69" s="119">
        <f ca="1">HLOOKUP($H$5,'Met Data'!$H$2:$M$368,G69,FALSE)*L69</f>
        <v>0.94</v>
      </c>
      <c r="K69" s="96">
        <f ca="1">HLOOKUP($H$5,'Met Data'!$O$2:$T$368,G69,FALSE)</f>
        <v>3.7508089301659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45292</v>
      </c>
      <c r="Q69">
        <f ca="1"/>
        <v>43.142117407763045</v>
      </c>
      <c r="R69">
        <f ca="1"/>
        <v>0.83424632816146271</v>
      </c>
      <c r="S69">
        <f ca="1"/>
        <v>1.0115227406955363E-2</v>
      </c>
      <c r="T69">
        <f ca="1"/>
        <v>0.29666475146265642</v>
      </c>
      <c r="U69">
        <f ca="1"/>
        <v>0</v>
      </c>
      <c r="V69">
        <f ca="1"/>
        <v>21.050291955149323</v>
      </c>
      <c r="W69">
        <f ca="1"/>
        <v>16.418055006801698</v>
      </c>
      <c r="X69">
        <f ca="1"/>
        <v>0</v>
      </c>
      <c r="Y69">
        <f ca="1"/>
        <v>0.62451410526493523</v>
      </c>
      <c r="Z69">
        <f ca="1"/>
        <v>0</v>
      </c>
      <c r="AA69">
        <f ca="1"/>
        <v>0</v>
      </c>
      <c r="AB69">
        <f ca="1"/>
        <v>0.93242614041160687</v>
      </c>
      <c r="AD69" s="2">
        <f t="shared" ca="1" si="2"/>
        <v>45292</v>
      </c>
      <c r="AE69">
        <f t="shared" ca="1" si="3"/>
        <v>0</v>
      </c>
      <c r="AG69" s="63">
        <f t="shared" ca="1" si="7"/>
        <v>43.976363735924508</v>
      </c>
      <c r="AH69" s="63">
        <f t="shared" ca="1" si="8"/>
        <v>43.976363735924508</v>
      </c>
      <c r="AI69" s="3">
        <f t="shared" ca="1" si="9"/>
        <v>0</v>
      </c>
    </row>
    <row r="70" spans="7:35">
      <c r="G70" s="3">
        <f t="shared" ca="1" si="4"/>
        <v>308</v>
      </c>
      <c r="H70" s="95">
        <f t="shared" ca="1" si="6"/>
        <v>45233</v>
      </c>
      <c r="I70" s="119">
        <f ca="1">HLOOKUP($H$5,'Met Data'!$A$2:$F$368,G70,FALSE)</f>
        <v>13.9933333333333</v>
      </c>
      <c r="J70" s="119">
        <f ca="1">HLOOKUP($H$5,'Met Data'!$H$2:$M$368,G70,FALSE)*L70</f>
        <v>2.42</v>
      </c>
      <c r="K70" s="96">
        <f ca="1">HLOOKUP($H$5,'Met Data'!$O$2:$T$368,G70,FALSE)</f>
        <v>3.2496546498492198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45293</v>
      </c>
      <c r="Q70">
        <f ca="1"/>
        <v>42.560310889243013</v>
      </c>
      <c r="R70">
        <f ca="1"/>
        <v>0.8829577378099529</v>
      </c>
      <c r="S70">
        <f ca="1"/>
        <v>1.1477639143195439E-2</v>
      </c>
      <c r="T70">
        <f ca="1"/>
        <v>0.28967358014672867</v>
      </c>
      <c r="U70">
        <f ca="1"/>
        <v>0</v>
      </c>
      <c r="V70">
        <f ca="1"/>
        <v>21.933249692959276</v>
      </c>
      <c r="W70">
        <f ca="1"/>
        <v>17.106712852447345</v>
      </c>
      <c r="X70">
        <f ca="1"/>
        <v>0</v>
      </c>
      <c r="Y70">
        <f ca="1"/>
        <v>0.58540743759565594</v>
      </c>
      <c r="Z70">
        <f ca="1"/>
        <v>0</v>
      </c>
      <c r="AA70">
        <f ca="1"/>
        <v>0</v>
      </c>
      <c r="AB70">
        <f ca="1"/>
        <v>0.93514623888437343</v>
      </c>
      <c r="AD70" s="2">
        <f t="shared" ca="1" si="2"/>
        <v>45293</v>
      </c>
      <c r="AE70">
        <f t="shared" ca="1" si="3"/>
        <v>0</v>
      </c>
      <c r="AG70" s="63">
        <f t="shared" ca="1" si="7"/>
        <v>43.443268627052966</v>
      </c>
      <c r="AH70" s="63">
        <f t="shared" ca="1" si="8"/>
        <v>43.443268627052966</v>
      </c>
      <c r="AI70" s="3">
        <f t="shared" ca="1" si="9"/>
        <v>0</v>
      </c>
    </row>
    <row r="71" spans="7:35">
      <c r="G71" s="3">
        <f t="shared" ca="1" si="4"/>
        <v>309</v>
      </c>
      <c r="H71" s="95">
        <f t="shared" ca="1" si="6"/>
        <v>45234</v>
      </c>
      <c r="I71" s="119">
        <f ca="1">HLOOKUP($H$5,'Met Data'!$A$2:$F$368,G71,FALSE)</f>
        <v>14.2016666666666</v>
      </c>
      <c r="J71" s="119">
        <f ca="1">HLOOKUP($H$5,'Met Data'!$H$2:$M$368,G71,FALSE)*L71</f>
        <v>3.21999999999999</v>
      </c>
      <c r="K71" s="96">
        <f ca="1">HLOOKUP($H$5,'Met Data'!$O$2:$T$368,G71,FALSE)</f>
        <v>3.3917308243993398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45294</v>
      </c>
      <c r="Q71">
        <f ca="1"/>
        <v>41.950323270276421</v>
      </c>
      <c r="R71">
        <f ca="1"/>
        <v>0.89385603632538135</v>
      </c>
      <c r="S71">
        <f ca="1"/>
        <v>1.2337525895260271E-2</v>
      </c>
      <c r="T71">
        <f ca="1"/>
        <v>0.2715308914635276</v>
      </c>
      <c r="U71">
        <f ca="1"/>
        <v>0</v>
      </c>
      <c r="V71">
        <f ca="1"/>
        <v>22.827105729284657</v>
      </c>
      <c r="W71">
        <f ca="1"/>
        <v>17.803870763787476</v>
      </c>
      <c r="X71">
        <f ca="1"/>
        <v>0</v>
      </c>
      <c r="Y71">
        <f ca="1"/>
        <v>0.54736660719444363</v>
      </c>
      <c r="Z71">
        <f ca="1"/>
        <v>0</v>
      </c>
      <c r="AA71">
        <f ca="1"/>
        <v>0</v>
      </c>
      <c r="AB71">
        <f ca="1"/>
        <v>0.93742063665432007</v>
      </c>
      <c r="AD71" s="2">
        <f t="shared" ref="AD71:AD134" ca="1" si="12">IFERROR(P71,$AD$5)</f>
        <v>45294</v>
      </c>
      <c r="AE71">
        <f t="shared" ref="AE71:AE134" ca="1" si="13">IFERROR(U71,0)</f>
        <v>0</v>
      </c>
      <c r="AG71" s="63">
        <f t="shared" ca="1" si="7"/>
        <v>42.844179306601802</v>
      </c>
      <c r="AH71" s="63">
        <f t="shared" ca="1" si="8"/>
        <v>42.844179306601802</v>
      </c>
      <c r="AI71" s="3">
        <f t="shared" ca="1" si="9"/>
        <v>0</v>
      </c>
    </row>
    <row r="72" spans="7:35">
      <c r="G72" s="3">
        <f t="shared" ref="G72:G135" ca="1" si="14">H72-DATE(YEAR(H72),1,0)+1</f>
        <v>310</v>
      </c>
      <c r="H72" s="95">
        <f t="shared" ca="1" si="6"/>
        <v>45235</v>
      </c>
      <c r="I72" s="119">
        <f ca="1">HLOOKUP($H$5,'Met Data'!$A$2:$F$368,G72,FALSE)</f>
        <v>14.5483333333333</v>
      </c>
      <c r="J72" s="119">
        <f ca="1">HLOOKUP($H$5,'Met Data'!$H$2:$M$368,G72,FALSE)*L72</f>
        <v>6.2166666666666597</v>
      </c>
      <c r="K72" s="96">
        <f ca="1">HLOOKUP($H$5,'Met Data'!$O$2:$T$368,G72,FALSE)</f>
        <v>3.4940085056696999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45295</v>
      </c>
      <c r="Q72">
        <f ca="1"/>
        <v>41.294182126344467</v>
      </c>
      <c r="R72">
        <f ca="1"/>
        <v>0.93428584945767312</v>
      </c>
      <c r="S72">
        <f ca="1"/>
        <v>1.3491497628689508E-2</v>
      </c>
      <c r="T72">
        <f ca="1"/>
        <v>0.26465320789702562</v>
      </c>
      <c r="U72">
        <f ca="1"/>
        <v>0</v>
      </c>
      <c r="V72">
        <f ca="1"/>
        <v>23.76139157874233</v>
      </c>
      <c r="W72">
        <f ca="1"/>
        <v>18.532561677013515</v>
      </c>
      <c r="X72">
        <f ca="1"/>
        <v>0</v>
      </c>
      <c r="Y72">
        <f ca="1"/>
        <v>0.51424438969373176</v>
      </c>
      <c r="Z72">
        <f ca="1"/>
        <v>0</v>
      </c>
      <c r="AA72">
        <f ca="1"/>
        <v>0</v>
      </c>
      <c r="AB72">
        <f ca="1"/>
        <v>0.93938410604116296</v>
      </c>
      <c r="AD72" s="2">
        <f t="shared" ca="1" si="12"/>
        <v>45295</v>
      </c>
      <c r="AE72">
        <f t="shared" ca="1" si="13"/>
        <v>0</v>
      </c>
      <c r="AG72" s="63">
        <f t="shared" ca="1" si="7"/>
        <v>42.22846797580214</v>
      </c>
      <c r="AH72" s="63">
        <f t="shared" ca="1" si="8"/>
        <v>42.22846797580214</v>
      </c>
      <c r="AI72" s="3">
        <f t="shared" ca="1" si="9"/>
        <v>0</v>
      </c>
    </row>
    <row r="73" spans="7:35">
      <c r="G73" s="3">
        <f t="shared" ca="1" si="14"/>
        <v>311</v>
      </c>
      <c r="H73" s="95">
        <f t="shared" ref="H73:H136" ca="1" si="16">H72+1</f>
        <v>45236</v>
      </c>
      <c r="I73" s="119">
        <f ca="1">HLOOKUP($H$5,'Met Data'!$A$2:$F$368,G73,FALSE)</f>
        <v>14.156666666666601</v>
      </c>
      <c r="J73" s="119">
        <f ca="1">HLOOKUP($H$5,'Met Data'!$H$2:$M$368,G73,FALSE)*L73</f>
        <v>4.1999999999999904</v>
      </c>
      <c r="K73" s="96">
        <f ca="1">HLOOKUP($H$5,'Met Data'!$O$2:$T$368,G73,FALSE)</f>
        <v>3.6290518837480299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45296</v>
      </c>
      <c r="Q73">
        <f ca="1"/>
        <v>40.629372252077019</v>
      </c>
      <c r="R73">
        <f ca="1"/>
        <v>0.92718443005015772</v>
      </c>
      <c r="S73">
        <f ca="1"/>
        <v>1.3683382976734215E-2</v>
      </c>
      <c r="T73">
        <f ca="1"/>
        <v>0.24869117280597824</v>
      </c>
      <c r="U73">
        <f ca="1"/>
        <v>0</v>
      </c>
      <c r="V73">
        <f ca="1"/>
        <v>24.688576008792488</v>
      </c>
      <c r="W73">
        <f ca="1"/>
        <v>19.255713878723945</v>
      </c>
      <c r="X73">
        <f ca="1"/>
        <v>0</v>
      </c>
      <c r="Y73">
        <f ca="1"/>
        <v>0.49054546218591283</v>
      </c>
      <c r="Z73">
        <f ca="1"/>
        <v>0</v>
      </c>
      <c r="AA73">
        <f ca="1"/>
        <v>0</v>
      </c>
      <c r="AB73">
        <f ca="1"/>
        <v>0.94099605076830994</v>
      </c>
      <c r="AD73" s="2">
        <f t="shared" ca="1" si="12"/>
        <v>45296</v>
      </c>
      <c r="AE73">
        <f t="shared" ca="1" si="13"/>
        <v>0</v>
      </c>
      <c r="AG73" s="63">
        <f t="shared" ref="AG73:AG136" ca="1" si="17">Q72+S73+T73+U73</f>
        <v>41.55655668212718</v>
      </c>
      <c r="AH73" s="63">
        <f t="shared" ref="AH73:AH136" ca="1" si="18">Q73+R73+X73</f>
        <v>41.55655668212718</v>
      </c>
      <c r="AI73" s="3">
        <f t="shared" ref="AI73:AI136" ca="1" si="19">AH73-AG73</f>
        <v>0</v>
      </c>
    </row>
    <row r="74" spans="7:35">
      <c r="G74" s="3">
        <f t="shared" ca="1" si="14"/>
        <v>312</v>
      </c>
      <c r="H74" s="95">
        <f t="shared" ca="1" si="16"/>
        <v>45237</v>
      </c>
      <c r="I74" s="119">
        <f ca="1">HLOOKUP($H$5,'Met Data'!$A$2:$F$368,G74,FALSE)</f>
        <v>14.466666666666599</v>
      </c>
      <c r="J74" s="119">
        <f ca="1">HLOOKUP($H$5,'Met Data'!$H$2:$M$368,G74,FALSE)*L74</f>
        <v>4.18333333333333</v>
      </c>
      <c r="K74" s="96">
        <f ca="1">HLOOKUP($H$5,'Met Data'!$O$2:$T$368,G74,FALSE)</f>
        <v>3.3196725038188899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45297</v>
      </c>
      <c r="Q74">
        <f ca="1"/>
        <v>39.932996833498059</v>
      </c>
      <c r="R74">
        <f ca="1"/>
        <v>0.95489953854244902</v>
      </c>
      <c r="S74">
        <f ca="1"/>
        <v>1.3968294476461196E-2</v>
      </c>
      <c r="T74">
        <f ca="1"/>
        <v>0.24455582548702304</v>
      </c>
      <c r="U74">
        <f ca="1"/>
        <v>0</v>
      </c>
      <c r="V74">
        <f ca="1"/>
        <v>25.643475547334937</v>
      </c>
      <c r="W74">
        <f ca="1"/>
        <v>20.000482321041176</v>
      </c>
      <c r="X74">
        <f ca="1"/>
        <v>0</v>
      </c>
      <c r="Y74">
        <f ca="1"/>
        <v>0.47281634485025836</v>
      </c>
      <c r="Z74">
        <f ca="1"/>
        <v>0</v>
      </c>
      <c r="AA74">
        <f ca="1"/>
        <v>0</v>
      </c>
      <c r="AB74">
        <f ca="1"/>
        <v>0.94237362911854639</v>
      </c>
      <c r="AD74" s="2">
        <f t="shared" ca="1" si="12"/>
        <v>45297</v>
      </c>
      <c r="AE74">
        <f t="shared" ca="1" si="13"/>
        <v>0</v>
      </c>
      <c r="AG74" s="63">
        <f t="shared" ca="1" si="17"/>
        <v>40.887896372040508</v>
      </c>
      <c r="AH74" s="63">
        <f t="shared" ca="1" si="18"/>
        <v>40.887896372040508</v>
      </c>
      <c r="AI74" s="3">
        <f t="shared" ca="1" si="19"/>
        <v>0</v>
      </c>
    </row>
    <row r="75" spans="7:35">
      <c r="G75" s="3">
        <f t="shared" ca="1" si="14"/>
        <v>313</v>
      </c>
      <c r="H75" s="95">
        <f t="shared" ca="1" si="16"/>
        <v>45238</v>
      </c>
      <c r="I75" s="119">
        <f ca="1">HLOOKUP($H$5,'Met Data'!$A$2:$F$368,G75,FALSE)</f>
        <v>14.7283333333333</v>
      </c>
      <c r="J75" s="119">
        <f ca="1">HLOOKUP($H$5,'Met Data'!$H$2:$M$368,G75,FALSE)*L75</f>
        <v>3.4833333333333298</v>
      </c>
      <c r="K75" s="96">
        <f ca="1">HLOOKUP($H$5,'Met Data'!$O$2:$T$368,G75,FALSE)</f>
        <v>3.5694722560107999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45298</v>
      </c>
      <c r="Q75">
        <f ca="1"/>
        <v>39.183349236139705</v>
      </c>
      <c r="R75">
        <f ca="1"/>
        <v>1.0097386723894957</v>
      </c>
      <c r="S75">
        <f ca="1"/>
        <v>1.4358184235492288E-2</v>
      </c>
      <c r="T75">
        <f ca="1"/>
        <v>0.24573289079565225</v>
      </c>
      <c r="U75">
        <f ca="1"/>
        <v>0</v>
      </c>
      <c r="V75">
        <f ca="1"/>
        <v>26.653214219724433</v>
      </c>
      <c r="W75">
        <f ca="1"/>
        <v>20.788022232654153</v>
      </c>
      <c r="X75">
        <f ca="1"/>
        <v>0</v>
      </c>
      <c r="Y75">
        <f ca="1"/>
        <v>0.45109813950892913</v>
      </c>
      <c r="Z75">
        <f ca="1"/>
        <v>0</v>
      </c>
      <c r="AA75">
        <f ca="1"/>
        <v>0</v>
      </c>
      <c r="AB75">
        <f ca="1"/>
        <v>0.94357870916954589</v>
      </c>
      <c r="AD75" s="2">
        <f t="shared" ca="1" si="12"/>
        <v>45298</v>
      </c>
      <c r="AE75">
        <f t="shared" ca="1" si="13"/>
        <v>0</v>
      </c>
      <c r="AG75" s="63">
        <f t="shared" ca="1" si="17"/>
        <v>40.193087908529201</v>
      </c>
      <c r="AH75" s="63">
        <f t="shared" ca="1" si="18"/>
        <v>40.193087908529201</v>
      </c>
      <c r="AI75" s="3">
        <f t="shared" ca="1" si="19"/>
        <v>0</v>
      </c>
    </row>
    <row r="76" spans="7:35">
      <c r="G76" s="3">
        <f t="shared" ca="1" si="14"/>
        <v>314</v>
      </c>
      <c r="H76" s="95">
        <f t="shared" ca="1" si="16"/>
        <v>45239</v>
      </c>
      <c r="I76" s="119">
        <f ca="1">HLOOKUP($H$5,'Met Data'!$A$2:$F$368,G76,FALSE)</f>
        <v>14.37</v>
      </c>
      <c r="J76" s="119">
        <f ca="1">HLOOKUP($H$5,'Met Data'!$H$2:$M$368,G76,FALSE)*L76</f>
        <v>3.5433333333333299</v>
      </c>
      <c r="K76" s="96">
        <f ca="1">HLOOKUP($H$5,'Met Data'!$O$2:$T$368,G76,FALSE)</f>
        <v>3.5998767062500399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45299</v>
      </c>
      <c r="Q76">
        <f ca="1"/>
        <v>38.401136379736656</v>
      </c>
      <c r="R76">
        <f ca="1"/>
        <v>1.0480733791160084</v>
      </c>
      <c r="S76">
        <f ca="1"/>
        <v>1.5250704286565053E-2</v>
      </c>
      <c r="T76">
        <f ca="1"/>
        <v>0.25060981842639735</v>
      </c>
      <c r="U76">
        <f ca="1"/>
        <v>0</v>
      </c>
      <c r="V76">
        <f ca="1"/>
        <v>27.701287598840441</v>
      </c>
      <c r="W76">
        <f ca="1"/>
        <v>21.605461079875553</v>
      </c>
      <c r="X76">
        <f ca="1"/>
        <v>0</v>
      </c>
      <c r="Y76">
        <f ca="1"/>
        <v>0.45405693449520212</v>
      </c>
      <c r="Z76">
        <f ca="1"/>
        <v>0</v>
      </c>
      <c r="AA76">
        <f ca="1"/>
        <v>0</v>
      </c>
      <c r="AB76">
        <f ca="1"/>
        <v>0.94460942381191038</v>
      </c>
      <c r="AD76" s="2">
        <f t="shared" ca="1" si="12"/>
        <v>45299</v>
      </c>
      <c r="AE76">
        <f t="shared" ca="1" si="13"/>
        <v>0</v>
      </c>
      <c r="AG76" s="63">
        <f t="shared" ca="1" si="17"/>
        <v>39.449209758852668</v>
      </c>
      <c r="AH76" s="63">
        <f t="shared" ca="1" si="18"/>
        <v>39.44920975885266</v>
      </c>
      <c r="AI76" s="3">
        <f t="shared" ca="1" si="19"/>
        <v>0</v>
      </c>
    </row>
    <row r="77" spans="7:35">
      <c r="G77" s="3">
        <f t="shared" ca="1" si="14"/>
        <v>315</v>
      </c>
      <c r="H77" s="95">
        <f t="shared" ca="1" si="16"/>
        <v>45240</v>
      </c>
      <c r="I77" s="119">
        <f ca="1">HLOOKUP($H$5,'Met Data'!$A$2:$F$368,G77,FALSE)</f>
        <v>14.7216666666666</v>
      </c>
      <c r="J77" s="119">
        <f ca="1">HLOOKUP($H$5,'Met Data'!$H$2:$M$368,G77,FALSE)*L77</f>
        <v>2.9033333333333302</v>
      </c>
      <c r="K77" s="96">
        <f ca="1">HLOOKUP($H$5,'Met Data'!$O$2:$T$368,G77,FALSE)</f>
        <v>3.8854632375309301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45300</v>
      </c>
      <c r="Q77">
        <f ca="1"/>
        <v>37.588078383167726</v>
      </c>
      <c r="R77">
        <f ca="1"/>
        <v>1.0868754695145419</v>
      </c>
      <c r="S77">
        <f ca="1"/>
        <v>1.633849193100545E-2</v>
      </c>
      <c r="T77">
        <f ca="1"/>
        <v>0.2574789810146097</v>
      </c>
      <c r="U77">
        <f ca="1"/>
        <v>0</v>
      </c>
      <c r="V77">
        <f ca="1"/>
        <v>28.788163068354983</v>
      </c>
      <c r="W77">
        <f ca="1"/>
        <v>22.453163395931462</v>
      </c>
      <c r="X77">
        <f ca="1"/>
        <v>0</v>
      </c>
      <c r="Y77">
        <f ca="1"/>
        <v>0.46249119149602907</v>
      </c>
      <c r="Z77">
        <f ca="1"/>
        <v>0</v>
      </c>
      <c r="AA77">
        <f ca="1"/>
        <v>0</v>
      </c>
      <c r="AB77">
        <f ca="1"/>
        <v>0.94548832755669721</v>
      </c>
      <c r="AD77" s="2">
        <f t="shared" ca="1" si="12"/>
        <v>45300</v>
      </c>
      <c r="AE77">
        <f t="shared" ca="1" si="13"/>
        <v>0</v>
      </c>
      <c r="AG77" s="63">
        <f t="shared" ca="1" si="17"/>
        <v>38.674953852682272</v>
      </c>
      <c r="AH77" s="63">
        <f t="shared" ca="1" si="18"/>
        <v>38.674953852682265</v>
      </c>
      <c r="AI77" s="3">
        <f t="shared" ca="1" si="19"/>
        <v>0</v>
      </c>
    </row>
    <row r="78" spans="7:35">
      <c r="G78" s="3">
        <f t="shared" ca="1" si="14"/>
        <v>316</v>
      </c>
      <c r="H78" s="95">
        <f t="shared" ca="1" si="16"/>
        <v>45241</v>
      </c>
      <c r="I78" s="119">
        <f ca="1">HLOOKUP($H$5,'Met Data'!$A$2:$F$368,G78,FALSE)</f>
        <v>14.816666666666601</v>
      </c>
      <c r="J78" s="119">
        <f ca="1">HLOOKUP($H$5,'Met Data'!$H$2:$M$368,G78,FALSE)*L78</f>
        <v>1.5433333333333299</v>
      </c>
      <c r="K78" s="96">
        <f ca="1">HLOOKUP($H$5,'Met Data'!$O$2:$T$368,G78,FALSE)</f>
        <v>3.4766729681443</v>
      </c>
      <c r="L78">
        <f t="shared" ca="1" si="10"/>
        <v>1</v>
      </c>
      <c r="N78" t="b">
        <f t="shared" ca="1" si="15"/>
        <v>0</v>
      </c>
      <c r="O78" t="b">
        <f t="shared" ca="1" si="11"/>
        <v>1</v>
      </c>
      <c r="P78" s="2">
        <f ca="1"/>
        <v>45301</v>
      </c>
      <c r="Q78">
        <f ca="1"/>
        <v>36.755489653068054</v>
      </c>
      <c r="R78">
        <f ca="1"/>
        <v>1.0948278768261694</v>
      </c>
      <c r="S78">
        <f ca="1"/>
        <v>1.5772757921594049E-2</v>
      </c>
      <c r="T78">
        <f ca="1"/>
        <v>0.2464663888049049</v>
      </c>
      <c r="U78">
        <f ca="1"/>
        <v>0</v>
      </c>
      <c r="V78">
        <f ca="1"/>
        <v>29.882990945181152</v>
      </c>
      <c r="W78">
        <f ca="1"/>
        <v>23.307068146659393</v>
      </c>
      <c r="X78">
        <f ca="1"/>
        <v>0</v>
      </c>
      <c r="Y78">
        <f ca="1"/>
        <v>0.43766032279939598</v>
      </c>
      <c r="Z78">
        <f ca="1"/>
        <v>0</v>
      </c>
      <c r="AA78">
        <f ca="1"/>
        <v>0</v>
      </c>
      <c r="AB78">
        <f ca="1"/>
        <v>0.94621673976952447</v>
      </c>
      <c r="AD78" s="2">
        <f t="shared" ca="1" si="12"/>
        <v>45301</v>
      </c>
      <c r="AE78">
        <f t="shared" ca="1" si="13"/>
        <v>0</v>
      </c>
      <c r="AG78" s="63">
        <f t="shared" ca="1" si="17"/>
        <v>37.850317529894227</v>
      </c>
      <c r="AH78" s="63">
        <f t="shared" ca="1" si="18"/>
        <v>37.850317529894227</v>
      </c>
      <c r="AI78" s="3">
        <f t="shared" ca="1" si="19"/>
        <v>0</v>
      </c>
    </row>
    <row r="79" spans="7:35">
      <c r="G79" s="3">
        <f t="shared" ca="1" si="14"/>
        <v>317</v>
      </c>
      <c r="H79" s="95">
        <f t="shared" ca="1" si="16"/>
        <v>45242</v>
      </c>
      <c r="I79" s="119">
        <f ca="1">HLOOKUP($H$5,'Met Data'!$A$2:$F$368,G79,FALSE)</f>
        <v>14.7883333333333</v>
      </c>
      <c r="J79" s="119">
        <f ca="1">HLOOKUP($H$5,'Met Data'!$H$2:$M$368,G79,FALSE)*L79</f>
        <v>3.6066666666666598</v>
      </c>
      <c r="K79" s="96">
        <f ca="1">HLOOKUP($H$5,'Met Data'!$O$2:$T$368,G79,FALSE)</f>
        <v>3.49823939059966</v>
      </c>
      <c r="L79">
        <f t="shared" ca="1" si="10"/>
        <v>1</v>
      </c>
      <c r="N79" t="b">
        <f t="shared" ca="1" si="15"/>
        <v>0</v>
      </c>
      <c r="O79" t="b">
        <f t="shared" ca="1" si="11"/>
        <v>0</v>
      </c>
      <c r="P79" s="2">
        <f ca="1"/>
        <v>45302</v>
      </c>
      <c r="Q79">
        <f ca="1"/>
        <v>37.234089135081049</v>
      </c>
      <c r="R79">
        <f ca="1"/>
        <v>0</v>
      </c>
      <c r="S79">
        <f ca="1"/>
        <v>0.24064440959898903</v>
      </c>
      <c r="T79">
        <f ca="1"/>
        <v>0.23795507241400646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0.42578280537686558</v>
      </c>
      <c r="Z79">
        <f ca="1"/>
        <v>0</v>
      </c>
      <c r="AA79">
        <f ca="1"/>
        <v>0</v>
      </c>
      <c r="AB79">
        <f ca="1"/>
        <v>0</v>
      </c>
      <c r="AD79" s="2">
        <f t="shared" ca="1" si="12"/>
        <v>45302</v>
      </c>
      <c r="AE79">
        <f t="shared" ca="1" si="13"/>
        <v>0</v>
      </c>
      <c r="AG79" s="63">
        <f t="shared" ca="1" si="17"/>
        <v>37.234089135081042</v>
      </c>
      <c r="AH79" s="63">
        <f t="shared" ca="1" si="18"/>
        <v>37.234089135081049</v>
      </c>
      <c r="AI79" s="3">
        <f t="shared" ca="1" si="19"/>
        <v>0</v>
      </c>
    </row>
    <row r="80" spans="7:35">
      <c r="G80" s="3">
        <f t="shared" ca="1" si="14"/>
        <v>318</v>
      </c>
      <c r="H80" s="95">
        <f t="shared" ca="1" si="16"/>
        <v>45243</v>
      </c>
      <c r="I80" s="119">
        <f ca="1">HLOOKUP($H$5,'Met Data'!$A$2:$F$368,G80,FALSE)</f>
        <v>14.5583333333333</v>
      </c>
      <c r="J80" s="119">
        <f ca="1">HLOOKUP($H$5,'Met Data'!$H$2:$M$368,G80,FALSE)*L80</f>
        <v>3.0633333333333299</v>
      </c>
      <c r="K80" s="96">
        <f ca="1">HLOOKUP($H$5,'Met Data'!$O$2:$T$368,G80,FALSE)</f>
        <v>3.8424324154218401</v>
      </c>
      <c r="L80">
        <f t="shared" ca="1" si="10"/>
        <v>1</v>
      </c>
      <c r="N80" t="b">
        <f t="shared" ca="1" si="15"/>
        <v>0</v>
      </c>
      <c r="O80" t="b">
        <f t="shared" ca="1" si="11"/>
        <v>0</v>
      </c>
      <c r="P80" s="2">
        <f ca="1"/>
        <v>45303</v>
      </c>
      <c r="Q80">
        <f ca="1"/>
        <v>37.685680793236259</v>
      </c>
      <c r="R80">
        <f ca="1"/>
        <v>0</v>
      </c>
      <c r="S80">
        <f ca="1"/>
        <v>0.21580564964492854</v>
      </c>
      <c r="T80">
        <f ca="1"/>
        <v>0.23578600851028231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0.41103066590623644</v>
      </c>
      <c r="Z80">
        <f ca="1"/>
        <v>0</v>
      </c>
      <c r="AA80">
        <f ca="1"/>
        <v>0</v>
      </c>
      <c r="AB80">
        <f ca="1"/>
        <v>0</v>
      </c>
      <c r="AD80" s="2">
        <f t="shared" ca="1" si="12"/>
        <v>45303</v>
      </c>
      <c r="AE80">
        <f t="shared" ca="1" si="13"/>
        <v>0</v>
      </c>
      <c r="AG80" s="63">
        <f t="shared" ca="1" si="17"/>
        <v>37.685680793236259</v>
      </c>
      <c r="AH80" s="63">
        <f t="shared" ca="1" si="18"/>
        <v>37.685680793236259</v>
      </c>
      <c r="AI80" s="3">
        <f t="shared" ca="1" si="19"/>
        <v>0</v>
      </c>
    </row>
    <row r="81" spans="7:35">
      <c r="G81" s="3">
        <f t="shared" ca="1" si="14"/>
        <v>319</v>
      </c>
      <c r="H81" s="95">
        <f t="shared" ca="1" si="16"/>
        <v>45244</v>
      </c>
      <c r="I81" s="119">
        <f ca="1">HLOOKUP($H$5,'Met Data'!$A$2:$F$368,G81,FALSE)</f>
        <v>14.5066666666666</v>
      </c>
      <c r="J81" s="119">
        <f ca="1">HLOOKUP($H$5,'Met Data'!$H$2:$M$368,G81,FALSE)*L81</f>
        <v>3.2933333333333299</v>
      </c>
      <c r="K81" s="96">
        <f ca="1">HLOOKUP($H$5,'Met Data'!$O$2:$T$368,G81,FALSE)</f>
        <v>3.93837814578281</v>
      </c>
      <c r="L81">
        <f t="shared" ca="1" si="10"/>
        <v>1</v>
      </c>
      <c r="N81" t="b">
        <f t="shared" ca="1" si="15"/>
        <v>0</v>
      </c>
      <c r="O81" t="b">
        <f t="shared" ca="1" si="11"/>
        <v>0</v>
      </c>
      <c r="P81" s="2">
        <f ca="1"/>
        <v>45304</v>
      </c>
      <c r="Q81">
        <f ca="1"/>
        <v>38.153140728069701</v>
      </c>
      <c r="R81">
        <f ca="1"/>
        <v>0</v>
      </c>
      <c r="S81">
        <f ca="1"/>
        <v>0.2177116253315301</v>
      </c>
      <c r="T81">
        <f ca="1"/>
        <v>0.24974830950191018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0.44678381227542396</v>
      </c>
      <c r="Z81">
        <f ca="1"/>
        <v>0</v>
      </c>
      <c r="AA81">
        <f ca="1"/>
        <v>0</v>
      </c>
      <c r="AB81">
        <f ca="1"/>
        <v>0</v>
      </c>
      <c r="AD81" s="2">
        <f t="shared" ca="1" si="12"/>
        <v>45304</v>
      </c>
      <c r="AE81">
        <f t="shared" ca="1" si="13"/>
        <v>0</v>
      </c>
      <c r="AG81" s="63">
        <f t="shared" ca="1" si="17"/>
        <v>38.153140728069701</v>
      </c>
      <c r="AH81" s="63">
        <f t="shared" ca="1" si="18"/>
        <v>38.153140728069701</v>
      </c>
      <c r="AI81" s="3">
        <f t="shared" ca="1" si="19"/>
        <v>0</v>
      </c>
    </row>
    <row r="82" spans="7:35">
      <c r="G82" s="3">
        <f t="shared" ca="1" si="14"/>
        <v>320</v>
      </c>
      <c r="H82" s="95">
        <f t="shared" ca="1" si="16"/>
        <v>45245</v>
      </c>
      <c r="I82" s="119">
        <f ca="1">HLOOKUP($H$5,'Met Data'!$A$2:$F$368,G82,FALSE)</f>
        <v>14.8633333333333</v>
      </c>
      <c r="J82" s="119">
        <f ca="1">HLOOKUP($H$5,'Met Data'!$H$2:$M$368,G82,FALSE)*L82</f>
        <v>2.0666666666666602</v>
      </c>
      <c r="K82" s="96">
        <f ca="1">HLOOKUP($H$5,'Met Data'!$O$2:$T$368,G82,FALSE)</f>
        <v>3.82063419166102</v>
      </c>
      <c r="L82">
        <f t="shared" ca="1" si="10"/>
        <v>1</v>
      </c>
      <c r="N82" t="b">
        <f t="shared" ca="1" si="15"/>
        <v>0</v>
      </c>
      <c r="O82" t="b">
        <f t="shared" ca="1" si="11"/>
        <v>0</v>
      </c>
      <c r="P82" s="2">
        <f ca="1"/>
        <v>45305</v>
      </c>
      <c r="Q82">
        <f ca="1"/>
        <v>38.611978962048504</v>
      </c>
      <c r="R82">
        <f ca="1"/>
        <v>0</v>
      </c>
      <c r="S82">
        <f ca="1"/>
        <v>0.20372094288149345</v>
      </c>
      <c r="T82">
        <f ca="1"/>
        <v>0.25511729109730469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0.451132748061714</v>
      </c>
      <c r="Z82">
        <f ca="1"/>
        <v>0</v>
      </c>
      <c r="AA82">
        <f ca="1"/>
        <v>0</v>
      </c>
      <c r="AB82">
        <f ca="1"/>
        <v>0</v>
      </c>
      <c r="AD82" s="2">
        <f t="shared" ca="1" si="12"/>
        <v>45305</v>
      </c>
      <c r="AE82">
        <f t="shared" ca="1" si="13"/>
        <v>0</v>
      </c>
      <c r="AG82" s="63">
        <f t="shared" ca="1" si="17"/>
        <v>38.611978962048504</v>
      </c>
      <c r="AH82" s="63">
        <f t="shared" ca="1" si="18"/>
        <v>38.611978962048504</v>
      </c>
      <c r="AI82" s="3">
        <f t="shared" ca="1" si="19"/>
        <v>0</v>
      </c>
    </row>
    <row r="83" spans="7:35">
      <c r="G83" s="3">
        <f t="shared" ca="1" si="14"/>
        <v>321</v>
      </c>
      <c r="H83" s="95">
        <f t="shared" ca="1" si="16"/>
        <v>45246</v>
      </c>
      <c r="I83" s="119">
        <f ca="1">HLOOKUP($H$5,'Met Data'!$A$2:$F$368,G83,FALSE)</f>
        <v>15.191666666666601</v>
      </c>
      <c r="J83" s="119">
        <f ca="1">HLOOKUP($H$5,'Met Data'!$H$2:$M$368,G83,FALSE)*L83</f>
        <v>4.1233333333333304</v>
      </c>
      <c r="K83" s="96">
        <f ca="1">HLOOKUP($H$5,'Met Data'!$O$2:$T$368,G83,FALSE)</f>
        <v>3.4660928584042798</v>
      </c>
      <c r="L83">
        <f t="shared" ca="1" si="10"/>
        <v>1</v>
      </c>
      <c r="N83" t="b">
        <f t="shared" ca="1" si="15"/>
        <v>0</v>
      </c>
      <c r="O83" t="b">
        <f t="shared" ca="1" si="11"/>
        <v>0</v>
      </c>
      <c r="P83" s="2">
        <f ca="1"/>
        <v>45306</v>
      </c>
      <c r="Q83">
        <f ca="1"/>
        <v>39.042130338594376</v>
      </c>
      <c r="R83">
        <f ca="1"/>
        <v>0</v>
      </c>
      <c r="S83">
        <f ca="1"/>
        <v>0.18004309023820753</v>
      </c>
      <c r="T83">
        <f ca="1"/>
        <v>0.25010828630766507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0.43708620372187279</v>
      </c>
      <c r="Z83">
        <f ca="1"/>
        <v>0</v>
      </c>
      <c r="AA83">
        <f ca="1"/>
        <v>0</v>
      </c>
      <c r="AB83">
        <f ca="1"/>
        <v>0</v>
      </c>
      <c r="AD83" s="2">
        <f t="shared" ca="1" si="12"/>
        <v>45306</v>
      </c>
      <c r="AE83">
        <f t="shared" ca="1" si="13"/>
        <v>0</v>
      </c>
      <c r="AG83" s="63">
        <f t="shared" ca="1" si="17"/>
        <v>39.042130338594376</v>
      </c>
      <c r="AH83" s="63">
        <f t="shared" ca="1" si="18"/>
        <v>39.042130338594376</v>
      </c>
      <c r="AI83" s="3">
        <f t="shared" ca="1" si="19"/>
        <v>0</v>
      </c>
    </row>
    <row r="84" spans="7:35">
      <c r="G84" s="3">
        <f t="shared" ca="1" si="14"/>
        <v>322</v>
      </c>
      <c r="H84" s="95">
        <f t="shared" ca="1" si="16"/>
        <v>45247</v>
      </c>
      <c r="I84" s="119">
        <f ca="1">HLOOKUP($H$5,'Met Data'!$A$2:$F$368,G84,FALSE)</f>
        <v>14.805</v>
      </c>
      <c r="J84" s="119">
        <f ca="1">HLOOKUP($H$5,'Met Data'!$H$2:$M$368,G84,FALSE)*L84</f>
        <v>2.0999999999999899</v>
      </c>
      <c r="K84" s="96">
        <f ca="1">HLOOKUP($H$5,'Met Data'!$O$2:$T$368,G84,FALSE)</f>
        <v>3.7178898330930501</v>
      </c>
      <c r="L84">
        <f t="shared" ca="1" si="10"/>
        <v>1</v>
      </c>
      <c r="N84" t="b">
        <f t="shared" ca="1" si="15"/>
        <v>0</v>
      </c>
      <c r="O84" t="b">
        <f t="shared" ca="1" si="11"/>
        <v>0</v>
      </c>
      <c r="P84" s="2">
        <f ca="1"/>
        <v>45307</v>
      </c>
      <c r="Q84">
        <f ca="1"/>
        <v>39.469920396914283</v>
      </c>
      <c r="R84">
        <f ca="1"/>
        <v>0</v>
      </c>
      <c r="S84">
        <f ca="1"/>
        <v>0.17165474295318539</v>
      </c>
      <c r="T84">
        <f ca="1"/>
        <v>0.25613531536671724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0.45696175686423279</v>
      </c>
      <c r="Z84">
        <f ca="1"/>
        <v>0</v>
      </c>
      <c r="AA84">
        <f ca="1"/>
        <v>0</v>
      </c>
      <c r="AB84">
        <f ca="1"/>
        <v>0</v>
      </c>
      <c r="AD84" s="2">
        <f t="shared" ca="1" si="12"/>
        <v>45307</v>
      </c>
      <c r="AE84">
        <f t="shared" ca="1" si="13"/>
        <v>0</v>
      </c>
      <c r="AG84" s="63">
        <f t="shared" ca="1" si="17"/>
        <v>39.469920396914283</v>
      </c>
      <c r="AH84" s="63">
        <f t="shared" ca="1" si="18"/>
        <v>39.469920396914283</v>
      </c>
      <c r="AI84" s="3">
        <f t="shared" ca="1" si="19"/>
        <v>0</v>
      </c>
    </row>
    <row r="85" spans="7:35">
      <c r="G85" s="3">
        <f t="shared" ca="1" si="14"/>
        <v>323</v>
      </c>
      <c r="H85" s="95">
        <f t="shared" ca="1" si="16"/>
        <v>45248</v>
      </c>
      <c r="I85" s="119">
        <f ca="1">HLOOKUP($H$5,'Met Data'!$A$2:$F$368,G85,FALSE)</f>
        <v>14.4366666666666</v>
      </c>
      <c r="J85" s="119">
        <f ca="1">HLOOKUP($H$5,'Met Data'!$H$2:$M$368,G85,FALSE)*L85</f>
        <v>2.25</v>
      </c>
      <c r="K85" s="96">
        <f ca="1">HLOOKUP($H$5,'Met Data'!$O$2:$T$368,G85,FALSE)</f>
        <v>3.8903759726723899</v>
      </c>
      <c r="L85">
        <f t="shared" ca="1" si="10"/>
        <v>1</v>
      </c>
      <c r="N85" t="b">
        <f t="shared" ca="1" si="15"/>
        <v>0</v>
      </c>
      <c r="O85" t="b">
        <f t="shared" ca="1" si="11"/>
        <v>0</v>
      </c>
      <c r="P85" s="2">
        <f ca="1"/>
        <v>45308</v>
      </c>
      <c r="Q85">
        <f ca="1"/>
        <v>39.887408722239982</v>
      </c>
      <c r="R85">
        <f ca="1"/>
        <v>0</v>
      </c>
      <c r="S85">
        <f ca="1"/>
        <v>0.15978985350591657</v>
      </c>
      <c r="T85">
        <f ca="1"/>
        <v>0.25769847181977668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0.47378769227983508</v>
      </c>
      <c r="Z85">
        <f ca="1"/>
        <v>0</v>
      </c>
      <c r="AA85">
        <f ca="1"/>
        <v>0</v>
      </c>
      <c r="AB85">
        <f ca="1"/>
        <v>0</v>
      </c>
      <c r="AD85" s="2">
        <f t="shared" ca="1" si="12"/>
        <v>45308</v>
      </c>
      <c r="AE85">
        <f t="shared" ca="1" si="13"/>
        <v>0</v>
      </c>
      <c r="AG85" s="63">
        <f t="shared" ca="1" si="17"/>
        <v>39.887408722239982</v>
      </c>
      <c r="AH85" s="63">
        <f t="shared" ca="1" si="18"/>
        <v>39.887408722239982</v>
      </c>
      <c r="AI85" s="3">
        <f t="shared" ca="1" si="19"/>
        <v>0</v>
      </c>
    </row>
    <row r="86" spans="7:35">
      <c r="G86" s="3">
        <f t="shared" ca="1" si="14"/>
        <v>324</v>
      </c>
      <c r="H86" s="95">
        <f t="shared" ca="1" si="16"/>
        <v>45249</v>
      </c>
      <c r="I86" s="119">
        <f ca="1">HLOOKUP($H$5,'Met Data'!$A$2:$F$368,G86,FALSE)</f>
        <v>14.4133333333333</v>
      </c>
      <c r="J86" s="119">
        <f ca="1">HLOOKUP($H$5,'Met Data'!$H$2:$M$368,G86,FALSE)*L86</f>
        <v>1.6566666666666601</v>
      </c>
      <c r="K86" s="96">
        <f ca="1">HLOOKUP($H$5,'Met Data'!$O$2:$T$368,G86,FALSE)</f>
        <v>3.9105195639997401</v>
      </c>
      <c r="L86">
        <f t="shared" ca="1" si="10"/>
        <v>1</v>
      </c>
      <c r="N86" t="b">
        <f t="shared" ca="1" si="15"/>
        <v>0</v>
      </c>
      <c r="O86" t="b">
        <f t="shared" ca="1" si="11"/>
        <v>0</v>
      </c>
      <c r="P86" s="2">
        <f ca="1"/>
        <v>45309</v>
      </c>
      <c r="Q86">
        <f ca="1"/>
        <v>40.292744214360269</v>
      </c>
      <c r="R86">
        <f ca="1"/>
        <v>0</v>
      </c>
      <c r="S86">
        <f ca="1"/>
        <v>0.14634936646792607</v>
      </c>
      <c r="T86">
        <f ca="1"/>
        <v>0.25898612565236384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0.4751417682041873</v>
      </c>
      <c r="Z86">
        <f ca="1"/>
        <v>0</v>
      </c>
      <c r="AA86">
        <f ca="1"/>
        <v>0</v>
      </c>
      <c r="AB86">
        <f ca="1"/>
        <v>0</v>
      </c>
      <c r="AD86" s="2">
        <f t="shared" ca="1" si="12"/>
        <v>45309</v>
      </c>
      <c r="AE86">
        <f t="shared" ca="1" si="13"/>
        <v>0</v>
      </c>
      <c r="AG86" s="63">
        <f t="shared" ca="1" si="17"/>
        <v>40.292744214360269</v>
      </c>
      <c r="AH86" s="63">
        <f t="shared" ca="1" si="18"/>
        <v>40.292744214360269</v>
      </c>
      <c r="AI86" s="3">
        <f t="shared" ca="1" si="19"/>
        <v>0</v>
      </c>
    </row>
    <row r="87" spans="7:35">
      <c r="G87" s="3">
        <f t="shared" ca="1" si="14"/>
        <v>325</v>
      </c>
      <c r="H87" s="95">
        <f t="shared" ca="1" si="16"/>
        <v>45250</v>
      </c>
      <c r="I87" s="119">
        <f ca="1">HLOOKUP($H$5,'Met Data'!$A$2:$F$368,G87,FALSE)</f>
        <v>14.8266666666666</v>
      </c>
      <c r="J87" s="119">
        <f ca="1">HLOOKUP($H$5,'Met Data'!$H$2:$M$368,G87,FALSE)*L87</f>
        <v>2.4166666666666599</v>
      </c>
      <c r="K87" s="96">
        <f ca="1">HLOOKUP($H$5,'Met Data'!$O$2:$T$368,G87,FALSE)</f>
        <v>3.75734672122165</v>
      </c>
      <c r="L87">
        <f t="shared" ca="1" si="10"/>
        <v>1</v>
      </c>
      <c r="N87" t="b">
        <f t="shared" ca="1" si="15"/>
        <v>0</v>
      </c>
      <c r="O87" t="b">
        <f t="shared" ca="1" si="11"/>
        <v>0</v>
      </c>
      <c r="P87" s="2">
        <f ca="1"/>
        <v>45310</v>
      </c>
      <c r="Q87">
        <f ca="1"/>
        <v>40.693835842613069</v>
      </c>
      <c r="R87">
        <f ca="1"/>
        <v>0</v>
      </c>
      <c r="S87">
        <f ca="1"/>
        <v>0.13616784207321153</v>
      </c>
      <c r="T87">
        <f ca="1"/>
        <v>0.26492378617958606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0.4761903581003103</v>
      </c>
      <c r="Z87">
        <f ca="1"/>
        <v>0</v>
      </c>
      <c r="AA87">
        <f ca="1"/>
        <v>0</v>
      </c>
      <c r="AB87">
        <f ca="1"/>
        <v>0</v>
      </c>
      <c r="AD87" s="2">
        <f t="shared" ca="1" si="12"/>
        <v>45310</v>
      </c>
      <c r="AE87">
        <f t="shared" ca="1" si="13"/>
        <v>0</v>
      </c>
      <c r="AG87" s="63">
        <f t="shared" ca="1" si="17"/>
        <v>40.693835842613069</v>
      </c>
      <c r="AH87" s="63">
        <f t="shared" ca="1" si="18"/>
        <v>40.693835842613069</v>
      </c>
      <c r="AI87" s="3">
        <f t="shared" ca="1" si="19"/>
        <v>0</v>
      </c>
    </row>
    <row r="88" spans="7:35">
      <c r="G88" s="3">
        <f t="shared" ca="1" si="14"/>
        <v>326</v>
      </c>
      <c r="H88" s="95">
        <f t="shared" ca="1" si="16"/>
        <v>45251</v>
      </c>
      <c r="I88" s="119">
        <f ca="1">HLOOKUP($H$5,'Met Data'!$A$2:$F$368,G88,FALSE)</f>
        <v>14.899999999999901</v>
      </c>
      <c r="J88" s="119">
        <f ca="1">HLOOKUP($H$5,'Met Data'!$H$2:$M$368,G88,FALSE)*L88</f>
        <v>2.8366666666666598</v>
      </c>
      <c r="K88" s="96">
        <f ca="1">HLOOKUP($H$5,'Met Data'!$O$2:$T$368,G88,FALSE)</f>
        <v>3.5492721007612098</v>
      </c>
      <c r="L88">
        <f t="shared" ca="1" si="10"/>
        <v>1</v>
      </c>
      <c r="N88" t="b">
        <f t="shared" ca="1" si="15"/>
        <v>0</v>
      </c>
      <c r="O88" t="b">
        <f t="shared" ca="1" si="11"/>
        <v>0</v>
      </c>
      <c r="P88" s="2">
        <f ca="1"/>
        <v>45311</v>
      </c>
      <c r="Q88">
        <f ca="1"/>
        <v>41.070195869280269</v>
      </c>
      <c r="R88">
        <f ca="1"/>
        <v>0</v>
      </c>
      <c r="S88">
        <f ca="1"/>
        <v>0.11885293230047278</v>
      </c>
      <c r="T88">
        <f ca="1"/>
        <v>0.2575070943667318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0.45785836713423156</v>
      </c>
      <c r="Z88">
        <f ca="1"/>
        <v>0</v>
      </c>
      <c r="AA88">
        <f ca="1"/>
        <v>0</v>
      </c>
      <c r="AB88">
        <f ca="1"/>
        <v>0</v>
      </c>
      <c r="AD88" s="2">
        <f t="shared" ca="1" si="12"/>
        <v>45311</v>
      </c>
      <c r="AE88">
        <f t="shared" ca="1" si="13"/>
        <v>0</v>
      </c>
      <c r="AG88" s="63">
        <f t="shared" ca="1" si="17"/>
        <v>41.070195869280269</v>
      </c>
      <c r="AH88" s="63">
        <f t="shared" ca="1" si="18"/>
        <v>41.070195869280269</v>
      </c>
      <c r="AI88" s="3">
        <f t="shared" ca="1" si="19"/>
        <v>0</v>
      </c>
    </row>
    <row r="89" spans="7:35">
      <c r="G89" s="3">
        <f t="shared" ca="1" si="14"/>
        <v>327</v>
      </c>
      <c r="H89" s="95">
        <f t="shared" ca="1" si="16"/>
        <v>45252</v>
      </c>
      <c r="I89" s="119">
        <f ca="1">HLOOKUP($H$5,'Met Data'!$A$2:$F$368,G89,FALSE)</f>
        <v>15.125</v>
      </c>
      <c r="J89" s="119">
        <f ca="1">HLOOKUP($H$5,'Met Data'!$H$2:$M$368,G89,FALSE)*L89</f>
        <v>4.0966666666666596</v>
      </c>
      <c r="K89" s="96">
        <f ca="1">HLOOKUP($H$5,'Met Data'!$O$2:$T$368,G89,FALSE)</f>
        <v>3.6984174874033999</v>
      </c>
      <c r="L89">
        <f t="shared" ca="1" si="10"/>
        <v>1</v>
      </c>
      <c r="N89" t="b">
        <f t="shared" ca="1" si="15"/>
        <v>0</v>
      </c>
      <c r="O89" t="b">
        <f t="shared" ca="1" si="11"/>
        <v>0</v>
      </c>
      <c r="P89" s="2">
        <f ca="1"/>
        <v>45312</v>
      </c>
      <c r="Q89">
        <f ca="1"/>
        <v>41.496666863874964</v>
      </c>
      <c r="R89">
        <f ca="1"/>
        <v>0</v>
      </c>
      <c r="S89">
        <f ca="1"/>
        <v>0.11995928954195811</v>
      </c>
      <c r="T89">
        <f ca="1"/>
        <v>0.30651170505273762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0.57762204981939747</v>
      </c>
      <c r="Z89">
        <f ca="1"/>
        <v>0</v>
      </c>
      <c r="AA89">
        <f ca="1"/>
        <v>0</v>
      </c>
      <c r="AB89">
        <f ca="1"/>
        <v>0</v>
      </c>
      <c r="AD89" s="2">
        <f t="shared" ca="1" si="12"/>
        <v>45312</v>
      </c>
      <c r="AE89">
        <f t="shared" ca="1" si="13"/>
        <v>0</v>
      </c>
      <c r="AG89" s="63">
        <f t="shared" ca="1" si="17"/>
        <v>41.496666863874964</v>
      </c>
      <c r="AH89" s="63">
        <f t="shared" ca="1" si="18"/>
        <v>41.496666863874964</v>
      </c>
      <c r="AI89" s="3">
        <f t="shared" ca="1" si="19"/>
        <v>0</v>
      </c>
    </row>
    <row r="90" spans="7:35">
      <c r="G90" s="3">
        <f t="shared" ca="1" si="14"/>
        <v>328</v>
      </c>
      <c r="H90" s="95">
        <f t="shared" ca="1" si="16"/>
        <v>45253</v>
      </c>
      <c r="I90" s="119">
        <f ca="1">HLOOKUP($H$5,'Met Data'!$A$2:$F$368,G90,FALSE)</f>
        <v>15.358333333333301</v>
      </c>
      <c r="J90" s="119">
        <f ca="1">HLOOKUP($H$5,'Met Data'!$H$2:$M$368,G90,FALSE)*L90</f>
        <v>3.04</v>
      </c>
      <c r="K90" s="96">
        <f ca="1">HLOOKUP($H$5,'Met Data'!$O$2:$T$368,G90,FALSE)</f>
        <v>3.9426742076693699</v>
      </c>
      <c r="L90">
        <f t="shared" ca="1" si="10"/>
        <v>1</v>
      </c>
      <c r="N90" t="b">
        <f t="shared" ca="1" si="15"/>
        <v>0</v>
      </c>
      <c r="O90" t="b">
        <f t="shared" ca="1" si="11"/>
        <v>0</v>
      </c>
      <c r="P90" s="2">
        <f ca="1"/>
        <v>45313</v>
      </c>
      <c r="Q90">
        <f ca="1"/>
        <v>41.925787299077413</v>
      </c>
      <c r="R90">
        <f ca="1"/>
        <v>0</v>
      </c>
      <c r="S90">
        <f ca="1"/>
        <v>0.10950462457409849</v>
      </c>
      <c r="T90">
        <f ca="1"/>
        <v>0.31961581062834904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0.60363033776223685</v>
      </c>
      <c r="Z90">
        <f ca="1"/>
        <v>0</v>
      </c>
      <c r="AA90">
        <f ca="1"/>
        <v>0</v>
      </c>
      <c r="AB90">
        <f ca="1"/>
        <v>0</v>
      </c>
      <c r="AD90" s="2">
        <f t="shared" ca="1" si="12"/>
        <v>45313</v>
      </c>
      <c r="AE90">
        <f t="shared" ca="1" si="13"/>
        <v>0</v>
      </c>
      <c r="AG90" s="63">
        <f t="shared" ca="1" si="17"/>
        <v>41.925787299077413</v>
      </c>
      <c r="AH90" s="63">
        <f t="shared" ca="1" si="18"/>
        <v>41.925787299077413</v>
      </c>
      <c r="AI90" s="3">
        <f t="shared" ca="1" si="19"/>
        <v>0</v>
      </c>
    </row>
    <row r="91" spans="7:35">
      <c r="G91" s="3">
        <f t="shared" ca="1" si="14"/>
        <v>329</v>
      </c>
      <c r="H91" s="95">
        <f t="shared" ca="1" si="16"/>
        <v>45254</v>
      </c>
      <c r="I91" s="119">
        <f ca="1">HLOOKUP($H$5,'Met Data'!$A$2:$F$368,G91,FALSE)</f>
        <v>15.2051724137931</v>
      </c>
      <c r="J91" s="119">
        <f ca="1">HLOOKUP($H$5,'Met Data'!$H$2:$M$368,G91,FALSE)*L91</f>
        <v>2.4655172413793101</v>
      </c>
      <c r="K91" s="96">
        <f ca="1">HLOOKUP($H$5,'Met Data'!$O$2:$T$368,G91,FALSE)</f>
        <v>3.7475647250722499</v>
      </c>
      <c r="L91">
        <f t="shared" ca="1" si="10"/>
        <v>1</v>
      </c>
      <c r="N91" t="b">
        <f t="shared" ca="1" si="15"/>
        <v>0</v>
      </c>
      <c r="O91" t="b">
        <f t="shared" ca="1" si="11"/>
        <v>0</v>
      </c>
      <c r="P91" s="2">
        <f ca="1"/>
        <v>45314</v>
      </c>
      <c r="Q91">
        <f ca="1"/>
        <v>42.34364137069926</v>
      </c>
      <c r="R91">
        <f ca="1"/>
        <v>0</v>
      </c>
      <c r="S91">
        <f ca="1"/>
        <v>9.9526887169773204E-2</v>
      </c>
      <c r="T91">
        <f ca="1"/>
        <v>0.31832718445207214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0.59969073813285212</v>
      </c>
      <c r="Z91">
        <f ca="1"/>
        <v>0</v>
      </c>
      <c r="AA91">
        <f ca="1"/>
        <v>0</v>
      </c>
      <c r="AB91">
        <f ca="1"/>
        <v>0</v>
      </c>
      <c r="AD91" s="2">
        <f t="shared" ca="1" si="12"/>
        <v>45314</v>
      </c>
      <c r="AE91">
        <f t="shared" ca="1" si="13"/>
        <v>0</v>
      </c>
      <c r="AG91" s="63">
        <f t="shared" ca="1" si="17"/>
        <v>42.34364137069926</v>
      </c>
      <c r="AH91" s="63">
        <f t="shared" ca="1" si="18"/>
        <v>42.34364137069926</v>
      </c>
      <c r="AI91" s="3">
        <f t="shared" ca="1" si="19"/>
        <v>0</v>
      </c>
    </row>
    <row r="92" spans="7:35">
      <c r="G92" s="3">
        <f t="shared" ca="1" si="14"/>
        <v>330</v>
      </c>
      <c r="H92" s="95">
        <f t="shared" ca="1" si="16"/>
        <v>45255</v>
      </c>
      <c r="I92" s="119">
        <f ca="1">HLOOKUP($H$5,'Met Data'!$A$2:$F$368,G92,FALSE)</f>
        <v>15.834482758620601</v>
      </c>
      <c r="J92" s="119">
        <f ca="1">HLOOKUP($H$5,'Met Data'!$H$2:$M$368,G92,FALSE)*L92</f>
        <v>2.7965517241379301</v>
      </c>
      <c r="K92" s="96">
        <f ca="1">HLOOKUP($H$5,'Met Data'!$O$2:$T$368,G92,FALSE)</f>
        <v>4.1132182691665697</v>
      </c>
      <c r="L92">
        <f t="shared" ca="1" si="10"/>
        <v>1</v>
      </c>
      <c r="N92" t="b">
        <f t="shared" ca="1" si="15"/>
        <v>0</v>
      </c>
      <c r="O92" t="b">
        <f t="shared" ca="1" si="11"/>
        <v>0</v>
      </c>
      <c r="P92" s="2">
        <f ca="1"/>
        <v>45315</v>
      </c>
      <c r="Q92">
        <f ca="1"/>
        <v>42.760855731086366</v>
      </c>
      <c r="R92">
        <f ca="1"/>
        <v>0</v>
      </c>
      <c r="S92">
        <f ca="1"/>
        <v>9.0763600706550207E-2</v>
      </c>
      <c r="T92">
        <f ca="1"/>
        <v>0.32645075968055215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0.61639297397474468</v>
      </c>
      <c r="Z92">
        <f ca="1"/>
        <v>0</v>
      </c>
      <c r="AA92">
        <f ca="1"/>
        <v>0</v>
      </c>
      <c r="AB92">
        <f ca="1"/>
        <v>0</v>
      </c>
      <c r="AD92" s="2">
        <f t="shared" ca="1" si="12"/>
        <v>45315</v>
      </c>
      <c r="AE92">
        <f t="shared" ca="1" si="13"/>
        <v>0</v>
      </c>
      <c r="AG92" s="63">
        <f t="shared" ca="1" si="17"/>
        <v>42.760855731086366</v>
      </c>
      <c r="AH92" s="63">
        <f t="shared" ca="1" si="18"/>
        <v>42.760855731086366</v>
      </c>
      <c r="AI92" s="3">
        <f t="shared" ca="1" si="19"/>
        <v>0</v>
      </c>
    </row>
    <row r="93" spans="7:35">
      <c r="G93" s="3">
        <f t="shared" ca="1" si="14"/>
        <v>331</v>
      </c>
      <c r="H93" s="95">
        <f t="shared" ca="1" si="16"/>
        <v>45256</v>
      </c>
      <c r="I93" s="119">
        <f ca="1">HLOOKUP($H$5,'Met Data'!$A$2:$F$368,G93,FALSE)</f>
        <v>15.876666666666599</v>
      </c>
      <c r="J93" s="119">
        <f ca="1">HLOOKUP($H$5,'Met Data'!$H$2:$M$368,G93,FALSE)*L93</f>
        <v>2.2666666666666599</v>
      </c>
      <c r="K93" s="96">
        <f ca="1">HLOOKUP($H$5,'Met Data'!$O$2:$T$368,G93,FALSE)</f>
        <v>4.0838977840275996</v>
      </c>
      <c r="L93">
        <f t="shared" ca="1" si="10"/>
        <v>1</v>
      </c>
      <c r="N93" t="b">
        <f t="shared" ca="1" si="15"/>
        <v>0</v>
      </c>
      <c r="O93" t="b">
        <f t="shared" ca="1" si="11"/>
        <v>0</v>
      </c>
      <c r="P93" s="2">
        <f ca="1"/>
        <v>45316</v>
      </c>
      <c r="Q93">
        <f ca="1"/>
        <v>43.183797647327673</v>
      </c>
      <c r="R93">
        <f ca="1"/>
        <v>0</v>
      </c>
      <c r="S93">
        <f ca="1"/>
        <v>8.3979859367216747E-2</v>
      </c>
      <c r="T93">
        <f ca="1"/>
        <v>0.33896205687409153</v>
      </c>
      <c r="U93">
        <f ca="1"/>
        <v>0</v>
      </c>
      <c r="V93">
        <f ca="1"/>
        <v>3.4157513190582245</v>
      </c>
      <c r="W93">
        <f ca="1"/>
        <v>3.1247799103977094</v>
      </c>
      <c r="X93">
        <f ca="1"/>
        <v>0</v>
      </c>
      <c r="Y93">
        <f ca="1"/>
        <v>0.63206956780462431</v>
      </c>
      <c r="Z93">
        <f ca="1"/>
        <v>0</v>
      </c>
      <c r="AA93">
        <f ca="1"/>
        <v>0</v>
      </c>
      <c r="AB93">
        <f ca="1"/>
        <v>7.9281412427403535E-3</v>
      </c>
      <c r="AD93" s="2">
        <f t="shared" ca="1" si="12"/>
        <v>45316</v>
      </c>
      <c r="AE93">
        <f t="shared" ca="1" si="13"/>
        <v>0</v>
      </c>
      <c r="AG93" s="63">
        <f t="shared" ca="1" si="17"/>
        <v>43.183797647327673</v>
      </c>
      <c r="AH93" s="63">
        <f t="shared" ca="1" si="18"/>
        <v>43.183797647327673</v>
      </c>
      <c r="AI93" s="3">
        <f t="shared" ca="1" si="19"/>
        <v>0</v>
      </c>
    </row>
    <row r="94" spans="7:35">
      <c r="G94" s="3">
        <f t="shared" ca="1" si="14"/>
        <v>332</v>
      </c>
      <c r="H94" s="95">
        <f t="shared" ca="1" si="16"/>
        <v>45257</v>
      </c>
      <c r="I94" s="119">
        <f ca="1">HLOOKUP($H$5,'Met Data'!$A$2:$F$368,G94,FALSE)</f>
        <v>15.52</v>
      </c>
      <c r="J94" s="119">
        <f ca="1">HLOOKUP($H$5,'Met Data'!$H$2:$M$368,G94,FALSE)*L94</f>
        <v>3.6933333333333298</v>
      </c>
      <c r="K94" s="96">
        <f ca="1">HLOOKUP($H$5,'Met Data'!$O$2:$T$368,G94,FALSE)</f>
        <v>4.2967341086411999</v>
      </c>
      <c r="L94">
        <f t="shared" ca="1" si="10"/>
        <v>1</v>
      </c>
      <c r="N94" t="b">
        <f t="shared" ca="1" si="15"/>
        <v>0</v>
      </c>
      <c r="O94" t="b">
        <f t="shared" ca="1" si="11"/>
        <v>0</v>
      </c>
      <c r="P94" s="2">
        <f ca="1"/>
        <v>45317</v>
      </c>
      <c r="Q94">
        <f ca="1"/>
        <v>43.400420684952024</v>
      </c>
      <c r="R94">
        <f ca="1"/>
        <v>0.18944159592943022</v>
      </c>
      <c r="S94">
        <f ca="1"/>
        <v>7.7207694815130345E-2</v>
      </c>
      <c r="T94">
        <f ca="1"/>
        <v>0.3288569387386564</v>
      </c>
      <c r="U94">
        <f ca="1"/>
        <v>0</v>
      </c>
      <c r="V94">
        <f ca="1"/>
        <v>3.6051929149876547</v>
      </c>
      <c r="W94">
        <f ca="1"/>
        <v>3.2980838888961141</v>
      </c>
      <c r="X94">
        <f ca="1"/>
        <v>0</v>
      </c>
      <c r="Y94">
        <f ca="1"/>
        <v>0.60298449649596508</v>
      </c>
      <c r="Z94">
        <f ca="1"/>
        <v>0</v>
      </c>
      <c r="AA94">
        <f ca="1"/>
        <v>0</v>
      </c>
      <c r="AB94">
        <f ca="1"/>
        <v>9.402413753434832E-3</v>
      </c>
      <c r="AD94" s="2">
        <f t="shared" ca="1" si="12"/>
        <v>45317</v>
      </c>
      <c r="AE94">
        <f t="shared" ca="1" si="13"/>
        <v>0</v>
      </c>
      <c r="AG94" s="63">
        <f t="shared" ca="1" si="17"/>
        <v>43.589862280881455</v>
      </c>
      <c r="AH94" s="63">
        <f t="shared" ca="1" si="18"/>
        <v>43.589862280881455</v>
      </c>
      <c r="AI94" s="3">
        <f t="shared" ca="1" si="19"/>
        <v>0</v>
      </c>
    </row>
    <row r="95" spans="7:35">
      <c r="G95" s="3">
        <f t="shared" ca="1" si="14"/>
        <v>333</v>
      </c>
      <c r="H95" s="95">
        <f t="shared" ca="1" si="16"/>
        <v>45258</v>
      </c>
      <c r="I95" s="119">
        <f ca="1">HLOOKUP($H$5,'Met Data'!$A$2:$F$368,G95,FALSE)</f>
        <v>15.438333333333301</v>
      </c>
      <c r="J95" s="119">
        <f ca="1">HLOOKUP($H$5,'Met Data'!$H$2:$M$368,G95,FALSE)*L95</f>
        <v>4.5933333333333302</v>
      </c>
      <c r="K95" s="96">
        <f ca="1">HLOOKUP($H$5,'Met Data'!$O$2:$T$368,G95,FALSE)</f>
        <v>3.7863185649490698</v>
      </c>
      <c r="L95">
        <f t="shared" ca="1" si="10"/>
        <v>1</v>
      </c>
      <c r="N95" t="b">
        <f t="shared" ca="1" si="15"/>
        <v>0</v>
      </c>
      <c r="O95" t="b">
        <f t="shared" ca="1" si="11"/>
        <v>0</v>
      </c>
      <c r="P95" s="2">
        <f ca="1"/>
        <v>45318</v>
      </c>
      <c r="Q95">
        <f ca="1"/>
        <v>43.593912253932992</v>
      </c>
      <c r="R95">
        <f ca="1"/>
        <v>0.19500822025494768</v>
      </c>
      <c r="S95">
        <f ca="1"/>
        <v>6.9032257859086954E-2</v>
      </c>
      <c r="T95">
        <f ca="1"/>
        <v>0.31946753137682721</v>
      </c>
      <c r="U95">
        <f ca="1"/>
        <v>0</v>
      </c>
      <c r="V95">
        <f ca="1"/>
        <v>3.8002011352426024</v>
      </c>
      <c r="W95">
        <f ca="1"/>
        <v>3.4764802977960105</v>
      </c>
      <c r="X95">
        <f ca="1"/>
        <v>0</v>
      </c>
      <c r="Y95">
        <f ca="1"/>
        <v>0.59927647101252013</v>
      </c>
      <c r="Z95">
        <f ca="1"/>
        <v>0</v>
      </c>
      <c r="AA95">
        <f ca="1"/>
        <v>0</v>
      </c>
      <c r="AB95">
        <f ca="1"/>
        <v>1.1104213736833572E-2</v>
      </c>
      <c r="AD95" s="2">
        <f t="shared" ca="1" si="12"/>
        <v>45318</v>
      </c>
      <c r="AE95">
        <f t="shared" ca="1" si="13"/>
        <v>0</v>
      </c>
      <c r="AG95" s="63">
        <f t="shared" ca="1" si="17"/>
        <v>43.78892047418794</v>
      </c>
      <c r="AH95" s="63">
        <f t="shared" ca="1" si="18"/>
        <v>43.78892047418794</v>
      </c>
      <c r="AI95" s="3">
        <f t="shared" ca="1" si="19"/>
        <v>0</v>
      </c>
    </row>
    <row r="96" spans="7:35">
      <c r="G96" s="3">
        <f t="shared" ca="1" si="14"/>
        <v>334</v>
      </c>
      <c r="H96" s="95">
        <f t="shared" ca="1" si="16"/>
        <v>45259</v>
      </c>
      <c r="I96" s="119">
        <f ca="1">HLOOKUP($H$5,'Met Data'!$A$2:$F$368,G96,FALSE)</f>
        <v>15.551724137931</v>
      </c>
      <c r="J96" s="119">
        <f ca="1">HLOOKUP($H$5,'Met Data'!$H$2:$M$368,G96,FALSE)*L96</f>
        <v>2.63448275862069</v>
      </c>
      <c r="K96" s="96">
        <f ca="1">HLOOKUP($H$5,'Met Data'!$O$2:$T$368,G96,FALSE)</f>
        <v>3.91369181219603</v>
      </c>
      <c r="L96">
        <f t="shared" ca="1" si="10"/>
        <v>1</v>
      </c>
      <c r="N96" t="b">
        <f t="shared" ca="1" si="15"/>
        <v>0</v>
      </c>
      <c r="O96" t="b">
        <f t="shared" ca="1" si="11"/>
        <v>0</v>
      </c>
      <c r="P96" s="2">
        <f ca="1"/>
        <v>45319</v>
      </c>
      <c r="Q96">
        <f ca="1"/>
        <v>43.764898846819491</v>
      </c>
      <c r="R96">
        <f ca="1"/>
        <v>0.20773503318529141</v>
      </c>
      <c r="S96">
        <f ca="1"/>
        <v>6.4088988322201779E-2</v>
      </c>
      <c r="T96">
        <f ca="1"/>
        <v>0.31463263774958788</v>
      </c>
      <c r="U96">
        <f ca="1"/>
        <v>0</v>
      </c>
      <c r="V96">
        <f ca="1"/>
        <v>4.0079361684278938</v>
      </c>
      <c r="W96">
        <f ca="1"/>
        <v>3.6665193837099626</v>
      </c>
      <c r="X96">
        <f ca="1"/>
        <v>0</v>
      </c>
      <c r="Y96">
        <f ca="1"/>
        <v>0.57903424530223924</v>
      </c>
      <c r="Z96">
        <f ca="1"/>
        <v>0</v>
      </c>
      <c r="AA96">
        <f ca="1"/>
        <v>0</v>
      </c>
      <c r="AB96">
        <f ca="1"/>
        <v>1.3134936835788679E-2</v>
      </c>
      <c r="AD96" s="2">
        <f t="shared" ca="1" si="12"/>
        <v>45319</v>
      </c>
      <c r="AE96">
        <f t="shared" ca="1" si="13"/>
        <v>0</v>
      </c>
      <c r="AG96" s="63">
        <f t="shared" ca="1" si="17"/>
        <v>43.972633880004786</v>
      </c>
      <c r="AH96" s="63">
        <f t="shared" ca="1" si="18"/>
        <v>43.972633880004786</v>
      </c>
      <c r="AI96" s="3">
        <f t="shared" ca="1" si="19"/>
        <v>0</v>
      </c>
    </row>
    <row r="97" spans="7:35">
      <c r="G97" s="3">
        <f t="shared" ca="1" si="14"/>
        <v>335</v>
      </c>
      <c r="H97" s="95">
        <f t="shared" ca="1" si="16"/>
        <v>45260</v>
      </c>
      <c r="I97" s="119">
        <f ca="1">HLOOKUP($H$5,'Met Data'!$A$2:$F$368,G97,FALSE)</f>
        <v>15.832758620689599</v>
      </c>
      <c r="J97" s="119">
        <f ca="1">HLOOKUP($H$5,'Met Data'!$H$2:$M$368,G97,FALSE)*L97</f>
        <v>2.4931034482758601</v>
      </c>
      <c r="K97" s="96">
        <f ca="1">HLOOKUP($H$5,'Met Data'!$O$2:$T$368,G97,FALSE)</f>
        <v>3.5204814386258598</v>
      </c>
      <c r="L97">
        <f t="shared" ca="1" si="10"/>
        <v>1</v>
      </c>
      <c r="N97" t="b">
        <f t="shared" ca="1" si="15"/>
        <v>0</v>
      </c>
      <c r="O97" t="b">
        <f t="shared" ca="1" si="11"/>
        <v>0</v>
      </c>
      <c r="P97" s="2">
        <f ca="1"/>
        <v>45320</v>
      </c>
      <c r="Q97">
        <f ca="1"/>
        <v>43.916769254462331</v>
      </c>
      <c r="R97">
        <f ca="1"/>
        <v>0.22257591563999135</v>
      </c>
      <c r="S97">
        <f ca="1"/>
        <v>5.993199952519479E-2</v>
      </c>
      <c r="T97">
        <f ca="1"/>
        <v>0.31451432375763155</v>
      </c>
      <c r="U97">
        <f ca="1"/>
        <v>0</v>
      </c>
      <c r="V97">
        <f ca="1"/>
        <v>4.2305120840678851</v>
      </c>
      <c r="W97">
        <f ca="1"/>
        <v>3.8701351287583989</v>
      </c>
      <c r="X97">
        <f ca="1"/>
        <v>0</v>
      </c>
      <c r="Y97">
        <f ca="1"/>
        <v>0.56583613173983116</v>
      </c>
      <c r="Z97">
        <f ca="1"/>
        <v>0</v>
      </c>
      <c r="AA97">
        <f ca="1"/>
        <v>0</v>
      </c>
      <c r="AB97">
        <f ca="1"/>
        <v>1.5574743416630041E-2</v>
      </c>
      <c r="AD97" s="2">
        <f t="shared" ca="1" si="12"/>
        <v>45320</v>
      </c>
      <c r="AE97">
        <f t="shared" ca="1" si="13"/>
        <v>0</v>
      </c>
      <c r="AG97" s="63">
        <f t="shared" ca="1" si="17"/>
        <v>44.139345170102324</v>
      </c>
      <c r="AH97" s="63">
        <f t="shared" ca="1" si="18"/>
        <v>44.139345170102324</v>
      </c>
      <c r="AI97" s="3">
        <f t="shared" ca="1" si="19"/>
        <v>0</v>
      </c>
    </row>
    <row r="98" spans="7:35">
      <c r="G98" s="3">
        <f t="shared" ca="1" si="14"/>
        <v>336</v>
      </c>
      <c r="H98" s="95">
        <f t="shared" ca="1" si="16"/>
        <v>45261</v>
      </c>
      <c r="I98" s="119">
        <f ca="1">HLOOKUP($H$5,'Met Data'!$A$2:$F$368,G98,FALSE)</f>
        <v>16.082758620689599</v>
      </c>
      <c r="J98" s="119">
        <f ca="1">HLOOKUP($H$5,'Met Data'!$H$2:$M$368,G98,FALSE)*L98</f>
        <v>1.7689655172413701</v>
      </c>
      <c r="K98" s="96">
        <f ca="1">HLOOKUP($H$5,'Met Data'!$O$2:$T$368,G98,FALSE)</f>
        <v>4.0516623269738101</v>
      </c>
      <c r="L98">
        <f t="shared" ca="1" si="10"/>
        <v>1</v>
      </c>
      <c r="N98" t="b">
        <f t="shared" ca="1" si="15"/>
        <v>0</v>
      </c>
      <c r="O98" t="b">
        <f t="shared" ca="1" si="11"/>
        <v>0</v>
      </c>
      <c r="P98" s="2">
        <f ca="1"/>
        <v>45321</v>
      </c>
      <c r="Q98">
        <f ca="1"/>
        <v>44.058570897115914</v>
      </c>
      <c r="R98">
        <f ca="1"/>
        <v>0.23858694780086598</v>
      </c>
      <c r="S98">
        <f ca="1"/>
        <v>5.6156904282968156E-2</v>
      </c>
      <c r="T98">
        <f ca="1"/>
        <v>0.32423168617148185</v>
      </c>
      <c r="U98">
        <f ca="1"/>
        <v>0</v>
      </c>
      <c r="V98">
        <f ca="1"/>
        <v>4.4690990318687511</v>
      </c>
      <c r="W98">
        <f ca="1"/>
        <v>4.0883980032280807</v>
      </c>
      <c r="X98">
        <f ca="1"/>
        <v>0</v>
      </c>
      <c r="Y98">
        <f ca="1"/>
        <v>0.57586433812177606</v>
      </c>
      <c r="Z98">
        <f ca="1"/>
        <v>0</v>
      </c>
      <c r="AA98">
        <f ca="1"/>
        <v>0</v>
      </c>
      <c r="AB98">
        <f ca="1"/>
        <v>1.8510860227676732E-2</v>
      </c>
      <c r="AD98" s="2">
        <f t="shared" ca="1" si="12"/>
        <v>45321</v>
      </c>
      <c r="AE98">
        <f t="shared" ca="1" si="13"/>
        <v>0</v>
      </c>
      <c r="AG98" s="63">
        <f t="shared" ca="1" si="17"/>
        <v>44.297157844916775</v>
      </c>
      <c r="AH98" s="63">
        <f t="shared" ca="1" si="18"/>
        <v>44.297157844916782</v>
      </c>
      <c r="AI98" s="3">
        <f t="shared" ca="1" si="19"/>
        <v>0</v>
      </c>
    </row>
    <row r="99" spans="7:35">
      <c r="G99" s="3">
        <f t="shared" ca="1" si="14"/>
        <v>337</v>
      </c>
      <c r="H99" s="95">
        <f t="shared" ca="1" si="16"/>
        <v>45262</v>
      </c>
      <c r="I99" s="119">
        <f ca="1">HLOOKUP($H$5,'Met Data'!$A$2:$F$368,G99,FALSE)</f>
        <v>16.4931034482758</v>
      </c>
      <c r="J99" s="119">
        <f ca="1">HLOOKUP($H$5,'Met Data'!$H$2:$M$368,G99,FALSE)*L99</f>
        <v>5.1137931034482698</v>
      </c>
      <c r="K99" s="96">
        <f ca="1">HLOOKUP($H$5,'Met Data'!$O$2:$T$368,G99,FALSE)</f>
        <v>3.5036176940509298</v>
      </c>
      <c r="L99">
        <f t="shared" ca="1" si="10"/>
        <v>1</v>
      </c>
      <c r="N99" t="b">
        <f t="shared" ca="1" si="15"/>
        <v>0</v>
      </c>
      <c r="O99" t="b">
        <f t="shared" ca="1" si="11"/>
        <v>0</v>
      </c>
      <c r="P99" s="2">
        <f ca="1"/>
        <v>45322</v>
      </c>
      <c r="Q99">
        <f ca="1"/>
        <v>44.184939011272149</v>
      </c>
      <c r="R99">
        <f ca="1"/>
        <v>0.25071582354826916</v>
      </c>
      <c r="S99">
        <f ca="1"/>
        <v>5.1719223940213332E-2</v>
      </c>
      <c r="T99">
        <f ca="1"/>
        <v>0.32536471376429321</v>
      </c>
      <c r="U99">
        <f ca="1"/>
        <v>0</v>
      </c>
      <c r="V99">
        <f ca="1"/>
        <v>4.7198148554170203</v>
      </c>
      <c r="W99">
        <f ca="1"/>
        <v>4.3177565529185333</v>
      </c>
      <c r="X99">
        <f ca="1"/>
        <v>0</v>
      </c>
      <c r="Y99">
        <f ca="1"/>
        <v>0.5814315452795723</v>
      </c>
      <c r="Z99">
        <f ca="1"/>
        <v>0</v>
      </c>
      <c r="AA99">
        <f ca="1"/>
        <v>0</v>
      </c>
      <c r="AB99">
        <f ca="1"/>
        <v>2.197401635755817E-2</v>
      </c>
      <c r="AD99" s="2">
        <f t="shared" ca="1" si="12"/>
        <v>45322</v>
      </c>
      <c r="AE99">
        <f t="shared" ca="1" si="13"/>
        <v>0</v>
      </c>
      <c r="AG99" s="63">
        <f t="shared" ca="1" si="17"/>
        <v>44.435654834820419</v>
      </c>
      <c r="AH99" s="63">
        <f t="shared" ca="1" si="18"/>
        <v>44.435654834820419</v>
      </c>
      <c r="AI99" s="3">
        <f t="shared" ca="1" si="19"/>
        <v>0</v>
      </c>
    </row>
    <row r="100" spans="7:35">
      <c r="G100" s="3">
        <f t="shared" ca="1" si="14"/>
        <v>338</v>
      </c>
      <c r="H100" s="95">
        <f t="shared" ca="1" si="16"/>
        <v>45263</v>
      </c>
      <c r="I100" s="119">
        <f ca="1">HLOOKUP($H$5,'Met Data'!$A$2:$F$368,G100,FALSE)</f>
        <v>16.78</v>
      </c>
      <c r="J100" s="119">
        <f ca="1">HLOOKUP($H$5,'Met Data'!$H$2:$M$368,G100,FALSE)*L100</f>
        <v>1.71</v>
      </c>
      <c r="K100" s="96">
        <f ca="1">HLOOKUP($H$5,'Met Data'!$O$2:$T$368,G100,FALSE)</f>
        <v>3.8786861346319301</v>
      </c>
      <c r="L100">
        <f t="shared" ca="1" si="10"/>
        <v>1</v>
      </c>
      <c r="N100" t="b">
        <f t="shared" ca="1" si="15"/>
        <v>0</v>
      </c>
      <c r="O100" t="b">
        <f t="shared" ca="1" si="11"/>
        <v>0</v>
      </c>
      <c r="P100" s="2">
        <f ca="1"/>
        <v>45323</v>
      </c>
      <c r="Q100">
        <f ca="1"/>
        <v>44.282007284964251</v>
      </c>
      <c r="R100">
        <f ca="1"/>
        <v>0.26624500650248439</v>
      </c>
      <c r="S100">
        <f ca="1"/>
        <v>4.832426984572713E-2</v>
      </c>
      <c r="T100">
        <f ca="1"/>
        <v>0.31498901034886118</v>
      </c>
      <c r="U100">
        <f ca="1"/>
        <v>0</v>
      </c>
      <c r="V100">
        <f ca="1"/>
        <v>4.9860598619195047</v>
      </c>
      <c r="W100">
        <f ca="1"/>
        <v>4.5613214292374726</v>
      </c>
      <c r="X100">
        <f ca="1"/>
        <v>0</v>
      </c>
      <c r="Y100">
        <f ca="1"/>
        <v>0.55167901338746206</v>
      </c>
      <c r="Z100">
        <f ca="1"/>
        <v>0</v>
      </c>
      <c r="AA100">
        <f ca="1"/>
        <v>0</v>
      </c>
      <c r="AB100">
        <f ca="1"/>
        <v>2.6098397316244339E-2</v>
      </c>
      <c r="AD100" s="2">
        <f t="shared" ca="1" si="12"/>
        <v>45323</v>
      </c>
      <c r="AE100">
        <f t="shared" ca="1" si="13"/>
        <v>0</v>
      </c>
      <c r="AG100" s="63">
        <f t="shared" ca="1" si="17"/>
        <v>44.548252291466738</v>
      </c>
      <c r="AH100" s="63">
        <f t="shared" ca="1" si="18"/>
        <v>44.548252291466738</v>
      </c>
      <c r="AI100" s="3">
        <f t="shared" ca="1" si="19"/>
        <v>0</v>
      </c>
    </row>
    <row r="101" spans="7:35">
      <c r="G101" s="3">
        <f t="shared" ca="1" si="14"/>
        <v>339</v>
      </c>
      <c r="H101" s="95">
        <f t="shared" ca="1" si="16"/>
        <v>45264</v>
      </c>
      <c r="I101" s="119">
        <f ca="1">HLOOKUP($H$5,'Met Data'!$A$2:$F$368,G101,FALSE)</f>
        <v>16.8266666666666</v>
      </c>
      <c r="J101" s="119">
        <f ca="1">HLOOKUP($H$5,'Met Data'!$H$2:$M$368,G101,FALSE)*L101</f>
        <v>6.0433333333333303</v>
      </c>
      <c r="K101" s="96">
        <f ca="1">HLOOKUP($H$5,'Met Data'!$O$2:$T$368,G101,FALSE)</f>
        <v>3.6269671816345701</v>
      </c>
      <c r="L101">
        <f t="shared" ca="1" si="10"/>
        <v>1</v>
      </c>
      <c r="N101" t="b">
        <f t="shared" ca="1" si="15"/>
        <v>0</v>
      </c>
      <c r="O101" t="b">
        <f t="shared" ca="1" si="11"/>
        <v>0</v>
      </c>
      <c r="P101" s="2">
        <f ca="1"/>
        <v>45324</v>
      </c>
      <c r="Q101">
        <f ca="1"/>
        <v>44.371021224249326</v>
      </c>
      <c r="R101">
        <f ca="1"/>
        <v>0.27647255290999428</v>
      </c>
      <c r="S101">
        <f ca="1"/>
        <v>4.4333956500493876E-2</v>
      </c>
      <c r="T101">
        <f ca="1"/>
        <v>0.32115253569457031</v>
      </c>
      <c r="U101">
        <f ca="1"/>
        <v>0</v>
      </c>
      <c r="V101">
        <f ca="1"/>
        <v>5.262532414829499</v>
      </c>
      <c r="W101">
        <f ca="1"/>
        <v>4.8142426165292083</v>
      </c>
      <c r="X101">
        <f ca="1"/>
        <v>0</v>
      </c>
      <c r="Y101">
        <f ca="1"/>
        <v>0.57819683962580093</v>
      </c>
      <c r="Z101">
        <f ca="1"/>
        <v>0</v>
      </c>
      <c r="AA101">
        <f ca="1"/>
        <v>0</v>
      </c>
      <c r="AB101">
        <f ca="1"/>
        <v>3.0892834103955113E-2</v>
      </c>
      <c r="AD101" s="2">
        <f t="shared" ca="1" si="12"/>
        <v>45324</v>
      </c>
      <c r="AE101">
        <f t="shared" ca="1" si="13"/>
        <v>0</v>
      </c>
      <c r="AG101" s="63">
        <f t="shared" ca="1" si="17"/>
        <v>44.647493777159319</v>
      </c>
      <c r="AH101" s="63">
        <f t="shared" ca="1" si="18"/>
        <v>44.647493777159319</v>
      </c>
      <c r="AI101" s="3">
        <f t="shared" ca="1" si="19"/>
        <v>0</v>
      </c>
    </row>
    <row r="102" spans="7:35">
      <c r="G102" s="3">
        <f t="shared" ca="1" si="14"/>
        <v>340</v>
      </c>
      <c r="H102" s="95">
        <f t="shared" ca="1" si="16"/>
        <v>45265</v>
      </c>
      <c r="I102" s="119">
        <f ca="1">HLOOKUP($H$5,'Met Data'!$A$2:$F$368,G102,FALSE)</f>
        <v>16.6516666666666</v>
      </c>
      <c r="J102" s="119">
        <f ca="1">HLOOKUP($H$5,'Met Data'!$H$2:$M$368,G102,FALSE)*L102</f>
        <v>4.9033333333333298</v>
      </c>
      <c r="K102" s="96">
        <f ca="1">HLOOKUP($H$5,'Met Data'!$O$2:$T$368,G102,FALSE)</f>
        <v>3.8159631078200702</v>
      </c>
      <c r="L102">
        <f t="shared" ca="1" si="10"/>
        <v>1</v>
      </c>
      <c r="N102" t="b">
        <f t="shared" ca="1" si="15"/>
        <v>0</v>
      </c>
      <c r="O102" t="b">
        <f t="shared" ca="1" si="11"/>
        <v>0</v>
      </c>
      <c r="P102" s="2">
        <f ca="1"/>
        <v>45325</v>
      </c>
      <c r="Q102">
        <f ca="1"/>
        <v>44.429551455978512</v>
      </c>
      <c r="R102">
        <f ca="1"/>
        <v>0.28674720223934624</v>
      </c>
      <c r="S102">
        <f ca="1"/>
        <v>4.0870598981056716E-2</v>
      </c>
      <c r="T102">
        <f ca="1"/>
        <v>0.30440683498747484</v>
      </c>
      <c r="U102">
        <f ca="1"/>
        <v>0</v>
      </c>
      <c r="V102">
        <f ca="1"/>
        <v>5.5492796170688452</v>
      </c>
      <c r="W102">
        <f ca="1"/>
        <v>5.0765632052444616</v>
      </c>
      <c r="X102">
        <f ca="1"/>
        <v>0</v>
      </c>
      <c r="Y102">
        <f ca="1"/>
        <v>0.54998815308019977</v>
      </c>
      <c r="Z102">
        <f ca="1"/>
        <v>0</v>
      </c>
      <c r="AA102">
        <f ca="1"/>
        <v>0</v>
      </c>
      <c r="AB102">
        <f ca="1"/>
        <v>3.6441698939089703E-2</v>
      </c>
      <c r="AD102" s="2">
        <f t="shared" ca="1" si="12"/>
        <v>45325</v>
      </c>
      <c r="AE102">
        <f t="shared" ca="1" si="13"/>
        <v>0</v>
      </c>
      <c r="AG102" s="63">
        <f t="shared" ca="1" si="17"/>
        <v>44.716298658217859</v>
      </c>
      <c r="AH102" s="63">
        <f t="shared" ca="1" si="18"/>
        <v>44.716298658217859</v>
      </c>
      <c r="AI102" s="3">
        <f t="shared" ca="1" si="19"/>
        <v>0</v>
      </c>
    </row>
    <row r="103" spans="7:35">
      <c r="G103" s="3">
        <f t="shared" ca="1" si="14"/>
        <v>341</v>
      </c>
      <c r="H103" s="95">
        <f t="shared" ca="1" si="16"/>
        <v>45266</v>
      </c>
      <c r="I103" s="119">
        <f ca="1">HLOOKUP($H$5,'Met Data'!$A$2:$F$368,G103,FALSE)</f>
        <v>16.68</v>
      </c>
      <c r="J103" s="119">
        <f ca="1">HLOOKUP($H$5,'Met Data'!$H$2:$M$368,G103,FALSE)*L103</f>
        <v>3.7299999999999902</v>
      </c>
      <c r="K103" s="96">
        <f ca="1">HLOOKUP($H$5,'Met Data'!$O$2:$T$368,G103,FALSE)</f>
        <v>3.9805130657979602</v>
      </c>
      <c r="L103">
        <f t="shared" ca="1" si="10"/>
        <v>1</v>
      </c>
      <c r="N103" t="b">
        <f t="shared" ca="1" si="15"/>
        <v>0</v>
      </c>
      <c r="O103" t="b">
        <f t="shared" ca="1" si="11"/>
        <v>0</v>
      </c>
      <c r="P103" s="2">
        <f ca="1"/>
        <v>45326</v>
      </c>
      <c r="Q103">
        <f ca="1"/>
        <v>44.488700442407314</v>
      </c>
      <c r="R103">
        <f ca="1"/>
        <v>0.28859629312574242</v>
      </c>
      <c r="S103">
        <f ca="1"/>
        <v>3.6869149014663982E-2</v>
      </c>
      <c r="T103">
        <f ca="1"/>
        <v>0.31087613053988256</v>
      </c>
      <c r="U103">
        <f ca="1"/>
        <v>0</v>
      </c>
      <c r="V103">
        <f ca="1"/>
        <v>5.8378759101945876</v>
      </c>
      <c r="W103">
        <f ca="1"/>
        <v>5.3405753696965306</v>
      </c>
      <c r="X103">
        <f ca="1"/>
        <v>0</v>
      </c>
      <c r="Y103">
        <f ca="1"/>
        <v>0.59939995723929584</v>
      </c>
      <c r="Z103">
        <f ca="1"/>
        <v>0</v>
      </c>
      <c r="AA103">
        <f ca="1"/>
        <v>0</v>
      </c>
      <c r="AB103">
        <f ca="1"/>
        <v>4.2643081245398111E-2</v>
      </c>
      <c r="AD103" s="2">
        <f t="shared" ca="1" si="12"/>
        <v>45326</v>
      </c>
      <c r="AE103">
        <f t="shared" ca="1" si="13"/>
        <v>0</v>
      </c>
      <c r="AG103" s="63">
        <f t="shared" ca="1" si="17"/>
        <v>44.777296735533056</v>
      </c>
      <c r="AH103" s="63">
        <f t="shared" ca="1" si="18"/>
        <v>44.777296735533056</v>
      </c>
      <c r="AI103" s="3">
        <f t="shared" ca="1" si="19"/>
        <v>0</v>
      </c>
    </row>
    <row r="104" spans="7:35">
      <c r="G104" s="3">
        <f t="shared" ca="1" si="14"/>
        <v>342</v>
      </c>
      <c r="H104" s="95">
        <f t="shared" ca="1" si="16"/>
        <v>45267</v>
      </c>
      <c r="I104" s="119">
        <f ca="1">HLOOKUP($H$5,'Met Data'!$A$2:$F$368,G104,FALSE)</f>
        <v>16.158333333333299</v>
      </c>
      <c r="J104" s="119">
        <f ca="1">HLOOKUP($H$5,'Met Data'!$H$2:$M$368,G104,FALSE)*L104</f>
        <v>3.96999999999999</v>
      </c>
      <c r="K104" s="96">
        <f ca="1">HLOOKUP($H$5,'Met Data'!$O$2:$T$368,G104,FALSE)</f>
        <v>3.9985245379954399</v>
      </c>
      <c r="L104">
        <f t="shared" ca="1" si="10"/>
        <v>1</v>
      </c>
      <c r="N104" t="b">
        <f t="shared" ca="1" si="15"/>
        <v>0</v>
      </c>
      <c r="O104" t="b">
        <f t="shared" ca="1" si="11"/>
        <v>0</v>
      </c>
      <c r="P104" s="2">
        <f ca="1"/>
        <v>45327</v>
      </c>
      <c r="Q104">
        <f ca="1"/>
        <v>44.530977652961752</v>
      </c>
      <c r="R104">
        <f ca="1"/>
        <v>0.3136450118858285</v>
      </c>
      <c r="S104">
        <f ca="1"/>
        <v>3.5982311195626338E-2</v>
      </c>
      <c r="T104">
        <f ca="1"/>
        <v>0.31993991124463622</v>
      </c>
      <c r="U104">
        <f ca="1"/>
        <v>0</v>
      </c>
      <c r="V104">
        <f ca="1"/>
        <v>6.1515209220804161</v>
      </c>
      <c r="W104">
        <f ca="1"/>
        <v>5.6275024731624548</v>
      </c>
      <c r="X104">
        <f ca="1"/>
        <v>0</v>
      </c>
      <c r="Y104">
        <f ca="1"/>
        <v>0.59538865808584662</v>
      </c>
      <c r="Z104">
        <f ca="1"/>
        <v>0</v>
      </c>
      <c r="AA104">
        <f ca="1"/>
        <v>0</v>
      </c>
      <c r="AB104">
        <f ca="1"/>
        <v>5.0109321350951877E-2</v>
      </c>
      <c r="AD104" s="2">
        <f t="shared" ca="1" si="12"/>
        <v>45327</v>
      </c>
      <c r="AE104">
        <f t="shared" ca="1" si="13"/>
        <v>0</v>
      </c>
      <c r="AG104" s="63">
        <f t="shared" ca="1" si="17"/>
        <v>44.844622664847577</v>
      </c>
      <c r="AH104" s="63">
        <f t="shared" ca="1" si="18"/>
        <v>44.844622664847577</v>
      </c>
      <c r="AI104" s="3">
        <f t="shared" ca="1" si="19"/>
        <v>0</v>
      </c>
    </row>
    <row r="105" spans="7:35">
      <c r="G105" s="3">
        <f t="shared" ca="1" si="14"/>
        <v>343</v>
      </c>
      <c r="H105" s="95">
        <f t="shared" ca="1" si="16"/>
        <v>45268</v>
      </c>
      <c r="I105" s="119">
        <f ca="1">HLOOKUP($H$5,'Met Data'!$A$2:$F$368,G105,FALSE)</f>
        <v>16.105</v>
      </c>
      <c r="J105" s="119">
        <f ca="1">HLOOKUP($H$5,'Met Data'!$H$2:$M$368,G105,FALSE)*L105</f>
        <v>2.43333333333333</v>
      </c>
      <c r="K105" s="96">
        <f ca="1">HLOOKUP($H$5,'Met Data'!$O$2:$T$368,G105,FALSE)</f>
        <v>4.0668482894046898</v>
      </c>
      <c r="L105">
        <f t="shared" ca="1" si="10"/>
        <v>1</v>
      </c>
      <c r="N105" t="b">
        <f t="shared" ca="1" si="15"/>
        <v>0</v>
      </c>
      <c r="O105" t="b">
        <f t="shared" ca="1" si="11"/>
        <v>0</v>
      </c>
      <c r="P105" s="2">
        <f ca="1"/>
        <v>45328</v>
      </c>
      <c r="Q105">
        <f ca="1"/>
        <v>44.536071609560956</v>
      </c>
      <c r="R105">
        <f ca="1"/>
        <v>0.32712591203222274</v>
      </c>
      <c r="S105">
        <f ca="1"/>
        <v>3.3822873729260294E-2</v>
      </c>
      <c r="T105">
        <f ca="1"/>
        <v>0.29839699490216692</v>
      </c>
      <c r="U105">
        <f ca="1"/>
        <v>0</v>
      </c>
      <c r="V105">
        <f ca="1"/>
        <v>6.4786468341126389</v>
      </c>
      <c r="W105">
        <f ca="1"/>
        <v>5.9267621037993408</v>
      </c>
      <c r="X105">
        <f ca="1"/>
        <v>0</v>
      </c>
      <c r="Y105">
        <f ca="1"/>
        <v>0.54931572478452451</v>
      </c>
      <c r="Z105">
        <f ca="1"/>
        <v>0</v>
      </c>
      <c r="AA105">
        <f ca="1"/>
        <v>0</v>
      </c>
      <c r="AB105">
        <f ca="1"/>
        <v>5.8726613505435871E-2</v>
      </c>
      <c r="AD105" s="2">
        <f t="shared" ca="1" si="12"/>
        <v>45328</v>
      </c>
      <c r="AE105">
        <f t="shared" ca="1" si="13"/>
        <v>0</v>
      </c>
      <c r="AG105" s="63">
        <f t="shared" ca="1" si="17"/>
        <v>44.863197521593186</v>
      </c>
      <c r="AH105" s="63">
        <f t="shared" ca="1" si="18"/>
        <v>44.863197521593179</v>
      </c>
      <c r="AI105" s="3">
        <f t="shared" ca="1" si="19"/>
        <v>0</v>
      </c>
    </row>
    <row r="106" spans="7:35">
      <c r="G106" s="3">
        <f t="shared" ca="1" si="14"/>
        <v>344</v>
      </c>
      <c r="H106" s="95">
        <f t="shared" ca="1" si="16"/>
        <v>45269</v>
      </c>
      <c r="I106" s="119">
        <f ca="1">HLOOKUP($H$5,'Met Data'!$A$2:$F$368,G106,FALSE)</f>
        <v>16.565000000000001</v>
      </c>
      <c r="J106" s="119">
        <f ca="1">HLOOKUP($H$5,'Met Data'!$H$2:$M$368,G106,FALSE)*L106</f>
        <v>1.57666666666666</v>
      </c>
      <c r="K106" s="96">
        <f ca="1">HLOOKUP($H$5,'Met Data'!$O$2:$T$368,G106,FALSE)</f>
        <v>4.3303303245888296</v>
      </c>
      <c r="L106">
        <f t="shared" ca="1" si="10"/>
        <v>1</v>
      </c>
      <c r="N106" t="b">
        <f t="shared" ca="1" si="15"/>
        <v>0</v>
      </c>
      <c r="O106" t="b">
        <f t="shared" ca="1" si="11"/>
        <v>0</v>
      </c>
      <c r="P106" s="2">
        <f ca="1"/>
        <v>45329</v>
      </c>
      <c r="Q106">
        <f ca="1"/>
        <v>44.510544049578399</v>
      </c>
      <c r="R106">
        <f ca="1"/>
        <v>0.34638756146681615</v>
      </c>
      <c r="S106">
        <f ca="1"/>
        <v>3.2384514561154099E-2</v>
      </c>
      <c r="T106">
        <f ca="1"/>
        <v>0.28847548692310154</v>
      </c>
      <c r="U106">
        <f ca="1"/>
        <v>0</v>
      </c>
      <c r="V106">
        <f ca="1"/>
        <v>6.825034395579455</v>
      </c>
      <c r="W106">
        <f ca="1"/>
        <v>6.2436425766967609</v>
      </c>
      <c r="X106">
        <f ca="1"/>
        <v>0</v>
      </c>
      <c r="Y106">
        <f ca="1"/>
        <v>0.51821071131789631</v>
      </c>
      <c r="Z106">
        <f ca="1"/>
        <v>0</v>
      </c>
      <c r="AA106">
        <f ca="1"/>
        <v>0</v>
      </c>
      <c r="AB106">
        <f ca="1"/>
        <v>6.8796284565700777E-2</v>
      </c>
      <c r="AD106" s="2">
        <f t="shared" ca="1" si="12"/>
        <v>45329</v>
      </c>
      <c r="AE106">
        <f t="shared" ca="1" si="13"/>
        <v>0</v>
      </c>
      <c r="AG106" s="63">
        <f t="shared" ca="1" si="17"/>
        <v>44.856931611045212</v>
      </c>
      <c r="AH106" s="63">
        <f t="shared" ca="1" si="18"/>
        <v>44.856931611045212</v>
      </c>
      <c r="AI106" s="3">
        <f t="shared" ca="1" si="19"/>
        <v>0</v>
      </c>
    </row>
    <row r="107" spans="7:35">
      <c r="G107" s="3">
        <f t="shared" ca="1" si="14"/>
        <v>345</v>
      </c>
      <c r="H107" s="95">
        <f t="shared" ca="1" si="16"/>
        <v>45270</v>
      </c>
      <c r="I107" s="119">
        <f ca="1">HLOOKUP($H$5,'Met Data'!$A$2:$F$368,G107,FALSE)</f>
        <v>16.483333333333299</v>
      </c>
      <c r="J107" s="119">
        <f ca="1">HLOOKUP($H$5,'Met Data'!$H$2:$M$368,G107,FALSE)*L107</f>
        <v>2.9733333333333301</v>
      </c>
      <c r="K107" s="96">
        <f ca="1">HLOOKUP($H$5,'Met Data'!$O$2:$T$368,G107,FALSE)</f>
        <v>4.0534379567104599</v>
      </c>
      <c r="L107">
        <f t="shared" ca="1" si="10"/>
        <v>1</v>
      </c>
      <c r="N107" t="b">
        <f t="shared" ca="1" si="15"/>
        <v>0</v>
      </c>
      <c r="O107" t="b">
        <f t="shared" ca="1" si="11"/>
        <v>0</v>
      </c>
      <c r="P107" s="2">
        <f ca="1"/>
        <v>45330</v>
      </c>
      <c r="Q107">
        <f ca="1"/>
        <v>44.46465808204146</v>
      </c>
      <c r="R107">
        <f ca="1"/>
        <v>0.36361318863872327</v>
      </c>
      <c r="S107">
        <f ca="1"/>
        <v>3.0843241492918061E-2</v>
      </c>
      <c r="T107">
        <f ca="1"/>
        <v>0.28688397960886702</v>
      </c>
      <c r="U107">
        <f ca="1"/>
        <v>0</v>
      </c>
      <c r="V107">
        <f ca="1"/>
        <v>7.1886475842181783</v>
      </c>
      <c r="W107">
        <f ca="1"/>
        <v>6.5762813085255178</v>
      </c>
      <c r="X107">
        <f ca="1"/>
        <v>0</v>
      </c>
      <c r="Y107">
        <f ca="1"/>
        <v>0.51512128196768081</v>
      </c>
      <c r="Z107">
        <f ca="1"/>
        <v>0</v>
      </c>
      <c r="AA107">
        <f ca="1"/>
        <v>0</v>
      </c>
      <c r="AB107">
        <f ca="1"/>
        <v>8.0427356706891134E-2</v>
      </c>
      <c r="AD107" s="2">
        <f t="shared" ca="1" si="12"/>
        <v>45330</v>
      </c>
      <c r="AE107">
        <f t="shared" ca="1" si="13"/>
        <v>0</v>
      </c>
      <c r="AG107" s="63">
        <f t="shared" ca="1" si="17"/>
        <v>44.828271270680183</v>
      </c>
      <c r="AH107" s="63">
        <f t="shared" ca="1" si="18"/>
        <v>44.828271270680183</v>
      </c>
      <c r="AI107" s="3">
        <f t="shared" ca="1" si="19"/>
        <v>0</v>
      </c>
    </row>
    <row r="108" spans="7:35">
      <c r="G108" s="3">
        <f t="shared" ca="1" si="14"/>
        <v>346</v>
      </c>
      <c r="H108" s="95">
        <f t="shared" ca="1" si="16"/>
        <v>45271</v>
      </c>
      <c r="I108" s="119">
        <f ca="1">HLOOKUP($H$5,'Met Data'!$A$2:$F$368,G108,FALSE)</f>
        <v>17.015000000000001</v>
      </c>
      <c r="J108" s="119">
        <f ca="1">HLOOKUP($H$5,'Met Data'!$H$2:$M$368,G108,FALSE)*L108</f>
        <v>1.12666666666666</v>
      </c>
      <c r="K108" s="96">
        <f ca="1">HLOOKUP($H$5,'Met Data'!$O$2:$T$368,G108,FALSE)</f>
        <v>4.1505313677650202</v>
      </c>
      <c r="L108">
        <f t="shared" ca="1" si="10"/>
        <v>1</v>
      </c>
      <c r="N108" t="b">
        <f t="shared" ca="1" si="15"/>
        <v>0</v>
      </c>
      <c r="O108" t="b">
        <f t="shared" ca="1" si="11"/>
        <v>0</v>
      </c>
      <c r="P108" s="2">
        <f ca="1"/>
        <v>45331</v>
      </c>
      <c r="Q108">
        <f ca="1"/>
        <v>44.388957403785177</v>
      </c>
      <c r="R108">
        <f ca="1"/>
        <v>0.38587739177614822</v>
      </c>
      <c r="S108">
        <f ca="1"/>
        <v>2.9292441858247642E-2</v>
      </c>
      <c r="T108">
        <f ca="1"/>
        <v>0.28088427166161906</v>
      </c>
      <c r="U108">
        <f ca="1"/>
        <v>0</v>
      </c>
      <c r="V108">
        <f ca="1"/>
        <v>7.5745249759943265</v>
      </c>
      <c r="W108">
        <f ca="1"/>
        <v>6.9292876632244393</v>
      </c>
      <c r="X108">
        <f ca="1"/>
        <v>0</v>
      </c>
      <c r="Y108">
        <f ca="1"/>
        <v>0.49162532208919851</v>
      </c>
      <c r="Z108">
        <f ca="1"/>
        <v>0</v>
      </c>
      <c r="AA108">
        <f ca="1"/>
        <v>0</v>
      </c>
      <c r="AB108">
        <f ca="1"/>
        <v>9.3963751238460111E-2</v>
      </c>
      <c r="AD108" s="2">
        <f t="shared" ca="1" si="12"/>
        <v>45331</v>
      </c>
      <c r="AE108">
        <f t="shared" ca="1" si="13"/>
        <v>0</v>
      </c>
      <c r="AG108" s="63">
        <f t="shared" ca="1" si="17"/>
        <v>44.774834795561326</v>
      </c>
      <c r="AH108" s="63">
        <f t="shared" ca="1" si="18"/>
        <v>44.774834795561326</v>
      </c>
      <c r="AI108" s="3">
        <f t="shared" ca="1" si="19"/>
        <v>0</v>
      </c>
    </row>
    <row r="109" spans="7:35">
      <c r="G109" s="3">
        <f t="shared" ca="1" si="14"/>
        <v>347</v>
      </c>
      <c r="H109" s="95">
        <f t="shared" ca="1" si="16"/>
        <v>45272</v>
      </c>
      <c r="I109" s="119">
        <f ca="1">HLOOKUP($H$5,'Met Data'!$A$2:$F$368,G109,FALSE)</f>
        <v>17.483333333333299</v>
      </c>
      <c r="J109" s="119">
        <f ca="1">HLOOKUP($H$5,'Met Data'!$H$2:$M$368,G109,FALSE)*L109</f>
        <v>1.9166666666666601</v>
      </c>
      <c r="K109" s="96">
        <f ca="1">HLOOKUP($H$5,'Met Data'!$O$2:$T$368,G109,FALSE)</f>
        <v>3.8850422651579102</v>
      </c>
      <c r="L109">
        <f t="shared" ca="1" si="10"/>
        <v>1</v>
      </c>
      <c r="N109" t="b">
        <f t="shared" ca="1" si="15"/>
        <v>0</v>
      </c>
      <c r="O109" t="b">
        <f t="shared" ca="1" si="11"/>
        <v>0</v>
      </c>
      <c r="P109" s="2">
        <f ca="1"/>
        <v>45332</v>
      </c>
      <c r="Q109">
        <f ca="1"/>
        <v>44.285129572976111</v>
      </c>
      <c r="R109">
        <f ca="1"/>
        <v>0.41651226052432033</v>
      </c>
      <c r="S109">
        <f ca="1"/>
        <v>2.8216519324796963E-2</v>
      </c>
      <c r="T109">
        <f ca="1"/>
        <v>0.28446791039045743</v>
      </c>
      <c r="U109">
        <f ca="1"/>
        <v>0</v>
      </c>
      <c r="V109">
        <f ca="1"/>
        <v>7.9910372365186468</v>
      </c>
      <c r="W109">
        <f ca="1"/>
        <v>7.3103192497040954</v>
      </c>
      <c r="X109">
        <f ca="1"/>
        <v>0</v>
      </c>
      <c r="Y109">
        <f ca="1"/>
        <v>0.48079642572036091</v>
      </c>
      <c r="Z109">
        <f ca="1"/>
        <v>0</v>
      </c>
      <c r="AA109">
        <f ca="1"/>
        <v>0</v>
      </c>
      <c r="AB109">
        <f ca="1"/>
        <v>0.10994223230914364</v>
      </c>
      <c r="AD109" s="2">
        <f t="shared" ca="1" si="12"/>
        <v>45332</v>
      </c>
      <c r="AE109">
        <f t="shared" ca="1" si="13"/>
        <v>0</v>
      </c>
      <c r="AG109" s="63">
        <f t="shared" ca="1" si="17"/>
        <v>44.701641833500425</v>
      </c>
      <c r="AH109" s="63">
        <f t="shared" ca="1" si="18"/>
        <v>44.701641833500432</v>
      </c>
      <c r="AI109" s="3">
        <f t="shared" ca="1" si="19"/>
        <v>0</v>
      </c>
    </row>
    <row r="110" spans="7:35">
      <c r="G110" s="3">
        <f t="shared" ca="1" si="14"/>
        <v>348</v>
      </c>
      <c r="H110" s="95">
        <f t="shared" ca="1" si="16"/>
        <v>45273</v>
      </c>
      <c r="I110" s="119">
        <f ca="1">HLOOKUP($H$5,'Met Data'!$A$2:$F$368,G110,FALSE)</f>
        <v>17.251666666666601</v>
      </c>
      <c r="J110" s="119">
        <f ca="1">HLOOKUP($H$5,'Met Data'!$H$2:$M$368,G110,FALSE)*L110</f>
        <v>1.93333333333333</v>
      </c>
      <c r="K110" s="96">
        <f ca="1">HLOOKUP($H$5,'Met Data'!$O$2:$T$368,G110,FALSE)</f>
        <v>4.3816384015384404</v>
      </c>
      <c r="L110">
        <f t="shared" ca="1" si="10"/>
        <v>1</v>
      </c>
      <c r="N110" t="b">
        <f t="shared" ca="1" si="15"/>
        <v>0</v>
      </c>
      <c r="O110" t="b">
        <f t="shared" ca="1" si="11"/>
        <v>0</v>
      </c>
      <c r="P110" s="2">
        <f ca="1"/>
        <v>45333</v>
      </c>
      <c r="Q110">
        <f ca="1"/>
        <v>44.159498031100519</v>
      </c>
      <c r="R110">
        <f ca="1"/>
        <v>0.4441265780923942</v>
      </c>
      <c r="S110">
        <f ca="1"/>
        <v>2.7848948122363382E-2</v>
      </c>
      <c r="T110">
        <f ca="1"/>
        <v>0.29064608809444098</v>
      </c>
      <c r="U110">
        <f ca="1"/>
        <v>0</v>
      </c>
      <c r="V110">
        <f ca="1"/>
        <v>8.435163814611041</v>
      </c>
      <c r="W110">
        <f ca="1"/>
        <v>7.7166128229960265</v>
      </c>
      <c r="X110">
        <f ca="1"/>
        <v>0</v>
      </c>
      <c r="Y110">
        <f ca="1"/>
        <v>0.48685669770662521</v>
      </c>
      <c r="Z110">
        <f ca="1"/>
        <v>0</v>
      </c>
      <c r="AA110">
        <f ca="1"/>
        <v>0</v>
      </c>
      <c r="AB110">
        <f ca="1"/>
        <v>0.12850689976090438</v>
      </c>
      <c r="AD110" s="2">
        <f t="shared" ca="1" si="12"/>
        <v>45333</v>
      </c>
      <c r="AE110">
        <f t="shared" ca="1" si="13"/>
        <v>0</v>
      </c>
      <c r="AG110" s="63">
        <f t="shared" ca="1" si="17"/>
        <v>44.603624609192913</v>
      </c>
      <c r="AH110" s="63">
        <f t="shared" ca="1" si="18"/>
        <v>44.603624609192913</v>
      </c>
      <c r="AI110" s="3">
        <f t="shared" ca="1" si="19"/>
        <v>0</v>
      </c>
    </row>
    <row r="111" spans="7:35">
      <c r="G111" s="3">
        <f t="shared" ca="1" si="14"/>
        <v>349</v>
      </c>
      <c r="H111" s="95">
        <f t="shared" ca="1" si="16"/>
        <v>45274</v>
      </c>
      <c r="I111" s="119">
        <f ca="1">HLOOKUP($H$5,'Met Data'!$A$2:$F$368,G111,FALSE)</f>
        <v>17.1733333333333</v>
      </c>
      <c r="J111" s="119">
        <f ca="1">HLOOKUP($H$5,'Met Data'!$H$2:$M$368,G111,FALSE)*L111</f>
        <v>4.1233333333333304</v>
      </c>
      <c r="K111" s="96">
        <f ca="1">HLOOKUP($H$5,'Met Data'!$O$2:$T$368,G111,FALSE)</f>
        <v>4.03321434314394</v>
      </c>
      <c r="L111">
        <f t="shared" ca="1" si="10"/>
        <v>1</v>
      </c>
      <c r="N111" t="b">
        <f t="shared" ca="1" si="15"/>
        <v>0</v>
      </c>
      <c r="O111" t="b">
        <f t="shared" ca="1" si="11"/>
        <v>0</v>
      </c>
      <c r="P111" s="2">
        <f ca="1"/>
        <v>45334</v>
      </c>
      <c r="Q111">
        <f ca="1"/>
        <v>44.014400972755546</v>
      </c>
      <c r="R111">
        <f ca="1"/>
        <v>0.46507447716832928</v>
      </c>
      <c r="S111">
        <f ca="1"/>
        <v>2.7227705444096362E-2</v>
      </c>
      <c r="T111">
        <f ca="1"/>
        <v>0.29274971337925604</v>
      </c>
      <c r="U111">
        <f ca="1"/>
        <v>0</v>
      </c>
      <c r="V111">
        <f ca="1"/>
        <v>8.9002382917793703</v>
      </c>
      <c r="W111">
        <f ca="1"/>
        <v>8.1420698447018669</v>
      </c>
      <c r="X111">
        <f ca="1"/>
        <v>0</v>
      </c>
      <c r="Y111">
        <f ca="1"/>
        <v>0.49648359408538573</v>
      </c>
      <c r="Z111">
        <f ca="1"/>
        <v>0</v>
      </c>
      <c r="AA111">
        <f ca="1"/>
        <v>0</v>
      </c>
      <c r="AB111">
        <f ca="1"/>
        <v>0.1495636768919672</v>
      </c>
      <c r="AD111" s="2">
        <f t="shared" ca="1" si="12"/>
        <v>45334</v>
      </c>
      <c r="AE111">
        <f t="shared" ca="1" si="13"/>
        <v>0</v>
      </c>
      <c r="AG111" s="63">
        <f t="shared" ca="1" si="17"/>
        <v>44.479475449923875</v>
      </c>
      <c r="AH111" s="63">
        <f t="shared" ca="1" si="18"/>
        <v>44.479475449923875</v>
      </c>
      <c r="AI111" s="3">
        <f t="shared" ca="1" si="19"/>
        <v>0</v>
      </c>
    </row>
    <row r="112" spans="7:35">
      <c r="G112" s="3">
        <f t="shared" ca="1" si="14"/>
        <v>350</v>
      </c>
      <c r="H112" s="95">
        <f t="shared" ca="1" si="16"/>
        <v>45275</v>
      </c>
      <c r="I112" s="119">
        <f ca="1">HLOOKUP($H$5,'Met Data'!$A$2:$F$368,G112,FALSE)</f>
        <v>17.0068965517241</v>
      </c>
      <c r="J112" s="119">
        <f ca="1">HLOOKUP($H$5,'Met Data'!$H$2:$M$368,G112,FALSE)*L112</f>
        <v>2.5793103448275798</v>
      </c>
      <c r="K112" s="96">
        <f ca="1">HLOOKUP($H$5,'Met Data'!$O$2:$T$368,G112,FALSE)</f>
        <v>4.1838965938969297</v>
      </c>
      <c r="L112">
        <f t="shared" ca="1" si="10"/>
        <v>1</v>
      </c>
      <c r="N112" t="b">
        <f t="shared" ca="1" si="15"/>
        <v>0</v>
      </c>
      <c r="O112" t="b">
        <f t="shared" ca="1" si="11"/>
        <v>0</v>
      </c>
      <c r="P112" s="2">
        <f ca="1"/>
        <v>45335</v>
      </c>
      <c r="Q112">
        <f ca="1"/>
        <v>43.832476039939344</v>
      </c>
      <c r="R112">
        <f ca="1"/>
        <v>0.48251932205723591</v>
      </c>
      <c r="S112">
        <f ca="1"/>
        <v>2.4240108179349296E-2</v>
      </c>
      <c r="T112">
        <f ca="1"/>
        <v>0.27635428106168292</v>
      </c>
      <c r="U112">
        <f ca="1"/>
        <v>0</v>
      </c>
      <c r="V112">
        <f ca="1"/>
        <v>9.3827576138366062</v>
      </c>
      <c r="W112">
        <f ca="1"/>
        <v>8.5834856689542285</v>
      </c>
      <c r="X112">
        <f ca="1"/>
        <v>0</v>
      </c>
      <c r="Y112">
        <f ca="1"/>
        <v>0.46333094883263076</v>
      </c>
      <c r="Z112">
        <f ca="1"/>
        <v>0</v>
      </c>
      <c r="AA112">
        <f ca="1"/>
        <v>0</v>
      </c>
      <c r="AB112">
        <f ca="1"/>
        <v>0.17304256849003916</v>
      </c>
      <c r="AD112" s="2">
        <f t="shared" ca="1" si="12"/>
        <v>45335</v>
      </c>
      <c r="AE112">
        <f t="shared" ca="1" si="13"/>
        <v>0</v>
      </c>
      <c r="AG112" s="63">
        <f t="shared" ca="1" si="17"/>
        <v>44.31499536199658</v>
      </c>
      <c r="AH112" s="63">
        <f t="shared" ca="1" si="18"/>
        <v>44.31499536199658</v>
      </c>
      <c r="AI112" s="3">
        <f t="shared" ca="1" si="19"/>
        <v>0</v>
      </c>
    </row>
    <row r="113" spans="7:35">
      <c r="G113" s="3">
        <f t="shared" ca="1" si="14"/>
        <v>351</v>
      </c>
      <c r="H113" s="95">
        <f t="shared" ca="1" si="16"/>
        <v>45276</v>
      </c>
      <c r="I113" s="119">
        <f ca="1">HLOOKUP($H$5,'Met Data'!$A$2:$F$368,G113,FALSE)</f>
        <v>17.105172413793099</v>
      </c>
      <c r="J113" s="119">
        <f ca="1">HLOOKUP($H$5,'Met Data'!$H$2:$M$368,G113,FALSE)*L113</f>
        <v>5.3551724137930998</v>
      </c>
      <c r="K113" s="96">
        <f ca="1">HLOOKUP($H$5,'Met Data'!$O$2:$T$368,G113,FALSE)</f>
        <v>3.9954599380242</v>
      </c>
      <c r="L113">
        <f t="shared" ca="1" si="10"/>
        <v>1</v>
      </c>
      <c r="N113" t="b">
        <f t="shared" ca="1" si="15"/>
        <v>0</v>
      </c>
      <c r="O113" t="b">
        <f t="shared" ca="1" si="11"/>
        <v>0</v>
      </c>
      <c r="P113" s="2">
        <f ca="1"/>
        <v>45336</v>
      </c>
      <c r="Q113">
        <f ca="1"/>
        <v>43.621434253605187</v>
      </c>
      <c r="R113">
        <f ca="1"/>
        <v>0.50801709630371406</v>
      </c>
      <c r="S113">
        <f ca="1"/>
        <v>2.3146018511927657E-2</v>
      </c>
      <c r="T113">
        <f ca="1"/>
        <v>0.27382929145762669</v>
      </c>
      <c r="U113">
        <f ca="1"/>
        <v>0</v>
      </c>
      <c r="V113">
        <f ca="1"/>
        <v>9.8907747101403203</v>
      </c>
      <c r="W113">
        <f ca="1"/>
        <v>9.0482272348320709</v>
      </c>
      <c r="X113">
        <f ca="1"/>
        <v>0</v>
      </c>
      <c r="Y113">
        <f ca="1"/>
        <v>0.45493941295671259</v>
      </c>
      <c r="Z113">
        <f ca="1"/>
        <v>0</v>
      </c>
      <c r="AA113">
        <f ca="1"/>
        <v>0</v>
      </c>
      <c r="AB113">
        <f ca="1"/>
        <v>0.19938867145980374</v>
      </c>
      <c r="AD113" s="2">
        <f t="shared" ca="1" si="12"/>
        <v>45336</v>
      </c>
      <c r="AE113">
        <f t="shared" ca="1" si="13"/>
        <v>0</v>
      </c>
      <c r="AG113" s="63">
        <f t="shared" ca="1" si="17"/>
        <v>44.129451349908898</v>
      </c>
      <c r="AH113" s="63">
        <f t="shared" ca="1" si="18"/>
        <v>44.129451349908905</v>
      </c>
      <c r="AI113" s="3">
        <f t="shared" ca="1" si="19"/>
        <v>0</v>
      </c>
    </row>
    <row r="114" spans="7:35">
      <c r="G114" s="3">
        <f t="shared" ca="1" si="14"/>
        <v>352</v>
      </c>
      <c r="H114" s="95">
        <f t="shared" ca="1" si="16"/>
        <v>45277</v>
      </c>
      <c r="I114" s="119">
        <f ca="1">HLOOKUP($H$5,'Met Data'!$A$2:$F$368,G114,FALSE)</f>
        <v>17.153448275862001</v>
      </c>
      <c r="J114" s="119">
        <f ca="1">HLOOKUP($H$5,'Met Data'!$H$2:$M$368,G114,FALSE)*L114</f>
        <v>4.6827586206896497</v>
      </c>
      <c r="K114" s="96">
        <f ca="1">HLOOKUP($H$5,'Met Data'!$O$2:$T$368,G114,FALSE)</f>
        <v>4.0087446707632299</v>
      </c>
      <c r="L114">
        <f t="shared" ca="1" si="10"/>
        <v>1</v>
      </c>
      <c r="N114" t="b">
        <f t="shared" ca="1" si="15"/>
        <v>0</v>
      </c>
      <c r="O114" t="b">
        <f t="shared" ca="1" si="11"/>
        <v>0</v>
      </c>
      <c r="P114" s="2">
        <f ca="1"/>
        <v>45337</v>
      </c>
      <c r="Q114">
        <f ca="1"/>
        <v>43.390761287648971</v>
      </c>
      <c r="R114">
        <f ca="1"/>
        <v>0.52500724277448185</v>
      </c>
      <c r="S114">
        <f ca="1"/>
        <v>2.2513134383785882E-2</v>
      </c>
      <c r="T114">
        <f ca="1"/>
        <v>0.27182114243447908</v>
      </c>
      <c r="U114">
        <f ca="1"/>
        <v>0</v>
      </c>
      <c r="V114">
        <f ca="1"/>
        <v>10.415781952914802</v>
      </c>
      <c r="W114">
        <f ca="1"/>
        <v>9.5285116384072452</v>
      </c>
      <c r="X114">
        <f ca="1"/>
        <v>0</v>
      </c>
      <c r="Y114">
        <f ca="1"/>
        <v>0.46233683770137413</v>
      </c>
      <c r="Z114">
        <f ca="1"/>
        <v>0</v>
      </c>
      <c r="AA114">
        <f ca="1"/>
        <v>0</v>
      </c>
      <c r="AB114">
        <f ca="1"/>
        <v>0.2281413613008704</v>
      </c>
      <c r="AD114" s="2">
        <f t="shared" ca="1" si="12"/>
        <v>45337</v>
      </c>
      <c r="AE114">
        <f t="shared" ca="1" si="13"/>
        <v>0</v>
      </c>
      <c r="AG114" s="63">
        <f t="shared" ca="1" si="17"/>
        <v>43.915768530423449</v>
      </c>
      <c r="AH114" s="63">
        <f t="shared" ca="1" si="18"/>
        <v>43.915768530423449</v>
      </c>
      <c r="AI114" s="3">
        <f t="shared" ca="1" si="19"/>
        <v>0</v>
      </c>
    </row>
    <row r="115" spans="7:35">
      <c r="G115" s="3">
        <f t="shared" ca="1" si="14"/>
        <v>353</v>
      </c>
      <c r="H115" s="95">
        <f t="shared" ca="1" si="16"/>
        <v>45278</v>
      </c>
      <c r="I115" s="119">
        <f ca="1">HLOOKUP($H$5,'Met Data'!$A$2:$F$368,G115,FALSE)</f>
        <v>16.853448275862</v>
      </c>
      <c r="J115" s="119">
        <f ca="1">HLOOKUP($H$5,'Met Data'!$H$2:$M$368,G115,FALSE)*L115</f>
        <v>4.4103448275861998</v>
      </c>
      <c r="K115" s="96">
        <f ca="1">HLOOKUP($H$5,'Met Data'!$O$2:$T$368,G115,FALSE)</f>
        <v>3.8624789224218001</v>
      </c>
      <c r="L115">
        <f t="shared" ca="1" si="10"/>
        <v>1</v>
      </c>
      <c r="N115" t="b">
        <f t="shared" ca="1" si="15"/>
        <v>0</v>
      </c>
      <c r="O115" t="b">
        <f t="shared" ca="1" si="11"/>
        <v>0</v>
      </c>
      <c r="P115" s="2">
        <f ca="1"/>
        <v>45338</v>
      </c>
      <c r="Q115">
        <f ca="1"/>
        <v>43.131452495781573</v>
      </c>
      <c r="R115">
        <f ca="1"/>
        <v>0.54728714290066094</v>
      </c>
      <c r="S115">
        <f ca="1"/>
        <v>2.1351048698189157E-2</v>
      </c>
      <c r="T115">
        <f ca="1"/>
        <v>0.2666273023350717</v>
      </c>
      <c r="U115">
        <f ca="1"/>
        <v>0</v>
      </c>
      <c r="V115">
        <f ca="1"/>
        <v>10.963069095815463</v>
      </c>
      <c r="W115">
        <f ca="1"/>
        <v>10.029178024690442</v>
      </c>
      <c r="X115">
        <f ca="1"/>
        <v>0</v>
      </c>
      <c r="Y115">
        <f ca="1"/>
        <v>0.45283495670816598</v>
      </c>
      <c r="Z115">
        <f ca="1"/>
        <v>0</v>
      </c>
      <c r="AA115">
        <f ca="1"/>
        <v>0</v>
      </c>
      <c r="AB115">
        <f ca="1"/>
        <v>0.25947424551042747</v>
      </c>
      <c r="AD115" s="2">
        <f t="shared" ca="1" si="12"/>
        <v>45338</v>
      </c>
      <c r="AE115">
        <f t="shared" ca="1" si="13"/>
        <v>0</v>
      </c>
      <c r="AG115" s="63">
        <f t="shared" ca="1" si="17"/>
        <v>43.678739638682231</v>
      </c>
      <c r="AH115" s="63">
        <f t="shared" ca="1" si="18"/>
        <v>43.678739638682231</v>
      </c>
      <c r="AI115" s="3">
        <f t="shared" ca="1" si="19"/>
        <v>0</v>
      </c>
    </row>
    <row r="116" spans="7:35">
      <c r="G116" s="3">
        <f t="shared" ca="1" si="14"/>
        <v>354</v>
      </c>
      <c r="H116" s="95">
        <f t="shared" ca="1" si="16"/>
        <v>45279</v>
      </c>
      <c r="I116" s="119">
        <f ca="1">HLOOKUP($H$5,'Met Data'!$A$2:$F$368,G116,FALSE)</f>
        <v>17.030357142857099</v>
      </c>
      <c r="J116" s="119">
        <f ca="1">HLOOKUP($H$5,'Met Data'!$H$2:$M$368,G116,FALSE)*L116</f>
        <v>4.3285714285714203</v>
      </c>
      <c r="K116" s="96">
        <f ca="1">HLOOKUP($H$5,'Met Data'!$O$2:$T$368,G116,FALSE)</f>
        <v>4.1713118658622399</v>
      </c>
      <c r="L116">
        <f t="shared" ca="1" si="10"/>
        <v>1</v>
      </c>
      <c r="N116" t="b">
        <f t="shared" ca="1" si="15"/>
        <v>0</v>
      </c>
      <c r="O116" t="b">
        <f t="shared" ca="1" si="11"/>
        <v>0</v>
      </c>
      <c r="P116" s="2">
        <f ca="1"/>
        <v>45339</v>
      </c>
      <c r="Q116">
        <f ca="1"/>
        <v>42.860753946413915</v>
      </c>
      <c r="R116">
        <f ca="1"/>
        <v>0.5751410078934871</v>
      </c>
      <c r="S116">
        <f ca="1"/>
        <v>2.2742107761398955E-2</v>
      </c>
      <c r="T116">
        <f ca="1"/>
        <v>0.28170035076442851</v>
      </c>
      <c r="U116">
        <f ca="1"/>
        <v>0</v>
      </c>
      <c r="V116">
        <f ca="1"/>
        <v>11.53821010370895</v>
      </c>
      <c r="W116">
        <f ca="1"/>
        <v>10.555325539318929</v>
      </c>
      <c r="X116">
        <f ca="1"/>
        <v>0</v>
      </c>
      <c r="Y116">
        <f ca="1"/>
        <v>0.49358882409663507</v>
      </c>
      <c r="Z116">
        <f ca="1"/>
        <v>0</v>
      </c>
      <c r="AA116">
        <f ca="1"/>
        <v>0</v>
      </c>
      <c r="AB116">
        <f ca="1"/>
        <v>0.29353743440469893</v>
      </c>
      <c r="AD116" s="2">
        <f t="shared" ca="1" si="12"/>
        <v>45339</v>
      </c>
      <c r="AE116">
        <f t="shared" ca="1" si="13"/>
        <v>0</v>
      </c>
      <c r="AG116" s="63">
        <f t="shared" ca="1" si="17"/>
        <v>43.435894954307408</v>
      </c>
      <c r="AH116" s="63">
        <f t="shared" ca="1" si="18"/>
        <v>43.4358949543074</v>
      </c>
      <c r="AI116" s="3">
        <f t="shared" ca="1" si="19"/>
        <v>0</v>
      </c>
    </row>
    <row r="117" spans="7:35">
      <c r="G117" s="3">
        <f t="shared" ca="1" si="14"/>
        <v>355</v>
      </c>
      <c r="H117" s="95">
        <f t="shared" ca="1" si="16"/>
        <v>45280</v>
      </c>
      <c r="I117" s="119">
        <f ca="1">HLOOKUP($H$5,'Met Data'!$A$2:$F$368,G117,FALSE)</f>
        <v>17.3086206896551</v>
      </c>
      <c r="J117" s="119">
        <f ca="1">HLOOKUP($H$5,'Met Data'!$H$2:$M$368,G117,FALSE)*L117</f>
        <v>1.38620689655172</v>
      </c>
      <c r="K117" s="96">
        <f ca="1">HLOOKUP($H$5,'Met Data'!$O$2:$T$368,G117,FALSE)</f>
        <v>4.2492728260034598</v>
      </c>
      <c r="L117">
        <f t="shared" ca="1" si="10"/>
        <v>1</v>
      </c>
      <c r="N117" t="b">
        <f t="shared" ca="1" si="15"/>
        <v>0</v>
      </c>
      <c r="O117" t="b">
        <f t="shared" ca="1" si="11"/>
        <v>0</v>
      </c>
      <c r="P117" s="2">
        <f ca="1"/>
        <v>45340</v>
      </c>
      <c r="Q117">
        <f ca="1"/>
        <v>42.549892716602628</v>
      </c>
      <c r="R117">
        <f ca="1"/>
        <v>0.60881256529329164</v>
      </c>
      <c r="S117">
        <f ca="1"/>
        <v>2.1431830913393402E-2</v>
      </c>
      <c r="T117">
        <f ca="1"/>
        <v>0.27651950456861207</v>
      </c>
      <c r="U117">
        <f ca="1"/>
        <v>0</v>
      </c>
      <c r="V117">
        <f ca="1"/>
        <v>12.147022669002242</v>
      </c>
      <c r="W117">
        <f ca="1"/>
        <v>11.112276293494642</v>
      </c>
      <c r="X117">
        <f ca="1"/>
        <v>0</v>
      </c>
      <c r="Y117">
        <f ca="1"/>
        <v>0.47217021895200773</v>
      </c>
      <c r="Z117">
        <f ca="1"/>
        <v>0</v>
      </c>
      <c r="AA117">
        <f ca="1"/>
        <v>0</v>
      </c>
      <c r="AB117">
        <f ca="1"/>
        <v>0.33042496101938451</v>
      </c>
      <c r="AD117" s="2">
        <f t="shared" ca="1" si="12"/>
        <v>45340</v>
      </c>
      <c r="AE117">
        <f t="shared" ca="1" si="13"/>
        <v>0</v>
      </c>
      <c r="AG117" s="63">
        <f t="shared" ca="1" si="17"/>
        <v>43.158705281895919</v>
      </c>
      <c r="AH117" s="63">
        <f t="shared" ca="1" si="18"/>
        <v>43.158705281895919</v>
      </c>
      <c r="AI117" s="3">
        <f t="shared" ca="1" si="19"/>
        <v>0</v>
      </c>
    </row>
    <row r="118" spans="7:35">
      <c r="G118" s="3">
        <f t="shared" ca="1" si="14"/>
        <v>356</v>
      </c>
      <c r="H118" s="95">
        <f t="shared" ca="1" si="16"/>
        <v>45281</v>
      </c>
      <c r="I118" s="119">
        <f ca="1">HLOOKUP($H$5,'Met Data'!$A$2:$F$368,G118,FALSE)</f>
        <v>17.3086206896551</v>
      </c>
      <c r="J118" s="119">
        <f ca="1">HLOOKUP($H$5,'Met Data'!$H$2:$M$368,G118,FALSE)*L118</f>
        <v>3.66206896551724</v>
      </c>
      <c r="K118" s="96">
        <f ca="1">HLOOKUP($H$5,'Met Data'!$O$2:$T$368,G118,FALSE)</f>
        <v>3.9108587200843599</v>
      </c>
      <c r="L118">
        <f t="shared" ca="1" si="10"/>
        <v>1</v>
      </c>
      <c r="N118" t="b">
        <f t="shared" ca="1" si="15"/>
        <v>0</v>
      </c>
      <c r="O118" t="b">
        <f t="shared" ca="1" si="11"/>
        <v>0</v>
      </c>
      <c r="P118" s="2">
        <f ca="1"/>
        <v>45341</v>
      </c>
      <c r="Q118">
        <f ca="1"/>
        <v>42.20181164727942</v>
      </c>
      <c r="R118">
        <f ca="1"/>
        <v>0.63865481296420334</v>
      </c>
      <c r="S118">
        <f ca="1"/>
        <v>2.0195083145557291E-2</v>
      </c>
      <c r="T118">
        <f ca="1"/>
        <v>0.2703786604954373</v>
      </c>
      <c r="U118">
        <f ca="1"/>
        <v>0</v>
      </c>
      <c r="V118">
        <f ca="1"/>
        <v>12.785677481966445</v>
      </c>
      <c r="W118">
        <f ca="1"/>
        <v>11.696527177947083</v>
      </c>
      <c r="X118">
        <f ca="1"/>
        <v>0</v>
      </c>
      <c r="Y118">
        <f ca="1"/>
        <v>0.45469788330185079</v>
      </c>
      <c r="Z118">
        <f ca="1"/>
        <v>0</v>
      </c>
      <c r="AA118">
        <f ca="1"/>
        <v>0</v>
      </c>
      <c r="AB118">
        <f ca="1"/>
        <v>0.36953291671818711</v>
      </c>
      <c r="AD118" s="2">
        <f t="shared" ca="1" si="12"/>
        <v>45341</v>
      </c>
      <c r="AE118">
        <f t="shared" ca="1" si="13"/>
        <v>0</v>
      </c>
      <c r="AG118" s="63">
        <f t="shared" ca="1" si="17"/>
        <v>42.840466460243626</v>
      </c>
      <c r="AH118" s="63">
        <f t="shared" ca="1" si="18"/>
        <v>42.840466460243626</v>
      </c>
      <c r="AI118" s="3">
        <f t="shared" ca="1" si="19"/>
        <v>0</v>
      </c>
    </row>
    <row r="119" spans="7:35">
      <c r="G119" s="3">
        <f t="shared" ca="1" si="14"/>
        <v>357</v>
      </c>
      <c r="H119" s="95">
        <f t="shared" ca="1" si="16"/>
        <v>45282</v>
      </c>
      <c r="I119" s="119">
        <f ca="1">HLOOKUP($H$5,'Met Data'!$A$2:$F$368,G119,FALSE)</f>
        <v>17.474137931034399</v>
      </c>
      <c r="J119" s="119">
        <f ca="1">HLOOKUP($H$5,'Met Data'!$H$2:$M$368,G119,FALSE)*L119</f>
        <v>1.82758620689655</v>
      </c>
      <c r="K119" s="96">
        <f ca="1">HLOOKUP($H$5,'Met Data'!$O$2:$T$368,G119,FALSE)</f>
        <v>4.3560784704810001</v>
      </c>
      <c r="L119">
        <f t="shared" ca="1" si="10"/>
        <v>1</v>
      </c>
      <c r="N119" t="b">
        <f t="shared" ca="1" si="15"/>
        <v>0</v>
      </c>
      <c r="O119" t="b">
        <f t="shared" ca="1" si="11"/>
        <v>0</v>
      </c>
      <c r="P119" s="2">
        <f ca="1"/>
        <v>45342</v>
      </c>
      <c r="Q119">
        <f ca="1"/>
        <v>41.830491879479467</v>
      </c>
      <c r="R119">
        <f ca="1"/>
        <v>0.67372200218042622</v>
      </c>
      <c r="S119">
        <f ca="1"/>
        <v>2.1021681773405909E-2</v>
      </c>
      <c r="T119">
        <f ca="1"/>
        <v>0.28138055260706807</v>
      </c>
      <c r="U119">
        <f ca="1"/>
        <v>0</v>
      </c>
      <c r="V119">
        <f ca="1"/>
        <v>13.459399484146871</v>
      </c>
      <c r="W119">
        <f ca="1"/>
        <v>12.312858046608433</v>
      </c>
      <c r="X119">
        <f ca="1"/>
        <v>0</v>
      </c>
      <c r="Y119">
        <f ca="1"/>
        <v>0.4804808561539427</v>
      </c>
      <c r="Z119">
        <f ca="1"/>
        <v>0</v>
      </c>
      <c r="AA119">
        <f ca="1"/>
        <v>0</v>
      </c>
      <c r="AB119">
        <f ca="1"/>
        <v>0.410686189806376</v>
      </c>
      <c r="AD119" s="2">
        <f t="shared" ca="1" si="12"/>
        <v>45342</v>
      </c>
      <c r="AE119">
        <f t="shared" ca="1" si="13"/>
        <v>0</v>
      </c>
      <c r="AG119" s="63">
        <f t="shared" ca="1" si="17"/>
        <v>42.504213881659894</v>
      </c>
      <c r="AH119" s="63">
        <f t="shared" ca="1" si="18"/>
        <v>42.504213881659894</v>
      </c>
      <c r="AI119" s="3">
        <f t="shared" ca="1" si="19"/>
        <v>0</v>
      </c>
    </row>
    <row r="120" spans="7:35">
      <c r="G120" s="3">
        <f t="shared" ca="1" si="14"/>
        <v>358</v>
      </c>
      <c r="H120" s="95">
        <f t="shared" ca="1" si="16"/>
        <v>45283</v>
      </c>
      <c r="I120" s="119">
        <f ca="1">HLOOKUP($H$5,'Met Data'!$A$2:$F$368,G120,FALSE)</f>
        <v>17.091379310344799</v>
      </c>
      <c r="J120" s="119">
        <f ca="1">HLOOKUP($H$5,'Met Data'!$H$2:$M$368,G120,FALSE)*L120</f>
        <v>2.22413793103448</v>
      </c>
      <c r="K120" s="96">
        <f ca="1">HLOOKUP($H$5,'Met Data'!$O$2:$T$368,G120,FALSE)</f>
        <v>4.1386344294122503</v>
      </c>
      <c r="L120">
        <f t="shared" ca="1" si="10"/>
        <v>1</v>
      </c>
      <c r="N120" t="b">
        <f t="shared" ca="1" si="15"/>
        <v>0</v>
      </c>
      <c r="O120" t="b">
        <f t="shared" ca="1" si="11"/>
        <v>0</v>
      </c>
      <c r="P120" s="2">
        <f ca="1"/>
        <v>45343</v>
      </c>
      <c r="Q120">
        <f ca="1"/>
        <v>41.43057328519324</v>
      </c>
      <c r="R120">
        <f ca="1"/>
        <v>0.70296525734714521</v>
      </c>
      <c r="S120">
        <f ca="1"/>
        <v>2.0753476639502999E-2</v>
      </c>
      <c r="T120">
        <f ca="1"/>
        <v>0.28229318642140999</v>
      </c>
      <c r="U120">
        <f ca="1"/>
        <v>0</v>
      </c>
      <c r="V120">
        <f ca="1"/>
        <v>14.162364741494017</v>
      </c>
      <c r="W120">
        <f ca="1"/>
        <v>12.955941078329712</v>
      </c>
      <c r="X120">
        <f ca="1"/>
        <v>0</v>
      </c>
      <c r="Y120">
        <f ca="1"/>
        <v>0.4865404348791027</v>
      </c>
      <c r="Z120">
        <f ca="1"/>
        <v>0</v>
      </c>
      <c r="AA120">
        <f ca="1"/>
        <v>0</v>
      </c>
      <c r="AB120">
        <f ca="1"/>
        <v>0.45293573278807281</v>
      </c>
      <c r="AD120" s="2">
        <f t="shared" ca="1" si="12"/>
        <v>45343</v>
      </c>
      <c r="AE120">
        <f t="shared" ca="1" si="13"/>
        <v>0</v>
      </c>
      <c r="AG120" s="63">
        <f t="shared" ca="1" si="17"/>
        <v>42.133538542540386</v>
      </c>
      <c r="AH120" s="63">
        <f t="shared" ca="1" si="18"/>
        <v>42.133538542540386</v>
      </c>
      <c r="AI120" s="3">
        <f t="shared" ca="1" si="19"/>
        <v>0</v>
      </c>
    </row>
    <row r="121" spans="7:35">
      <c r="G121" s="3">
        <f t="shared" ca="1" si="14"/>
        <v>359</v>
      </c>
      <c r="H121" s="95">
        <f t="shared" ca="1" si="16"/>
        <v>45284</v>
      </c>
      <c r="I121" s="119">
        <f ca="1">HLOOKUP($H$5,'Met Data'!$A$2:$F$368,G121,FALSE)</f>
        <v>17.2275862068965</v>
      </c>
      <c r="J121" s="119">
        <f ca="1">HLOOKUP($H$5,'Met Data'!$H$2:$M$368,G121,FALSE)*L121</f>
        <v>3.0655172413793101</v>
      </c>
      <c r="K121" s="96">
        <f ca="1">HLOOKUP($H$5,'Met Data'!$O$2:$T$368,G121,FALSE)</f>
        <v>3.7757934515094398</v>
      </c>
      <c r="L121">
        <f t="shared" ca="1" si="10"/>
        <v>1</v>
      </c>
      <c r="N121" t="b">
        <f t="shared" ca="1" si="15"/>
        <v>0</v>
      </c>
      <c r="O121" t="b">
        <f t="shared" ca="1" si="11"/>
        <v>0</v>
      </c>
      <c r="P121" s="2">
        <f ca="1"/>
        <v>45344</v>
      </c>
      <c r="Q121">
        <f ca="1"/>
        <v>40.994710554694038</v>
      </c>
      <c r="R121">
        <f ca="1"/>
        <v>0.72544209115005742</v>
      </c>
      <c r="S121">
        <f ca="1"/>
        <v>1.9179110967409763E-2</v>
      </c>
      <c r="T121">
        <f ca="1"/>
        <v>0.27040024968344806</v>
      </c>
      <c r="U121">
        <f ca="1"/>
        <v>0</v>
      </c>
      <c r="V121">
        <f ca="1"/>
        <v>14.887806832644074</v>
      </c>
      <c r="W121">
        <f ca="1"/>
        <v>13.619586250604023</v>
      </c>
      <c r="X121">
        <f ca="1"/>
        <v>0</v>
      </c>
      <c r="Y121">
        <f ca="1"/>
        <v>0.46518796684534758</v>
      </c>
      <c r="Z121">
        <f ca="1"/>
        <v>0</v>
      </c>
      <c r="AA121">
        <f ca="1"/>
        <v>0</v>
      </c>
      <c r="AB121">
        <f ca="1"/>
        <v>0.49524806739898608</v>
      </c>
      <c r="AD121" s="2">
        <f t="shared" ca="1" si="12"/>
        <v>45344</v>
      </c>
      <c r="AE121">
        <f t="shared" ca="1" si="13"/>
        <v>0</v>
      </c>
      <c r="AG121" s="63">
        <f t="shared" ca="1" si="17"/>
        <v>41.720152645844095</v>
      </c>
      <c r="AH121" s="63">
        <f t="shared" ca="1" si="18"/>
        <v>41.720152645844095</v>
      </c>
      <c r="AI121" s="3">
        <f t="shared" ca="1" si="19"/>
        <v>0</v>
      </c>
    </row>
    <row r="122" spans="7:35">
      <c r="G122" s="3">
        <f t="shared" ca="1" si="14"/>
        <v>360</v>
      </c>
      <c r="H122" s="95">
        <f t="shared" ca="1" si="16"/>
        <v>45285</v>
      </c>
      <c r="I122" s="119">
        <f ca="1">HLOOKUP($H$5,'Met Data'!$A$2:$F$368,G122,FALSE)</f>
        <v>17.475862068965501</v>
      </c>
      <c r="J122" s="119">
        <f ca="1">HLOOKUP($H$5,'Met Data'!$H$2:$M$368,G122,FALSE)*L122</f>
        <v>4.4724137931034402</v>
      </c>
      <c r="K122" s="96">
        <f ca="1">HLOOKUP($H$5,'Met Data'!$O$2:$T$368,G122,FALSE)</f>
        <v>3.82075028631309</v>
      </c>
      <c r="L122">
        <f t="shared" ca="1" si="10"/>
        <v>1</v>
      </c>
      <c r="N122" t="b">
        <f t="shared" ca="1" si="15"/>
        <v>0</v>
      </c>
      <c r="O122" t="b">
        <f t="shared" ca="1" si="11"/>
        <v>0</v>
      </c>
      <c r="P122" s="2">
        <f ca="1"/>
        <v>45345</v>
      </c>
      <c r="Q122">
        <f ca="1"/>
        <v>40.527740870571996</v>
      </c>
      <c r="R122">
        <f ca="1"/>
        <v>0.7584591632220512</v>
      </c>
      <c r="S122">
        <f ca="1"/>
        <v>1.907379992321534E-2</v>
      </c>
      <c r="T122">
        <f ca="1"/>
        <v>0.27241567917679282</v>
      </c>
      <c r="U122">
        <f ca="1"/>
        <v>0</v>
      </c>
      <c r="V122">
        <f ca="1"/>
        <v>15.646265995866125</v>
      </c>
      <c r="W122">
        <f ca="1"/>
        <v>14.313435929551604</v>
      </c>
      <c r="X122">
        <f ca="1"/>
        <v>0</v>
      </c>
      <c r="Y122">
        <f ca="1"/>
        <v>0.47154087660434485</v>
      </c>
      <c r="Z122">
        <f ca="1"/>
        <v>0</v>
      </c>
      <c r="AA122">
        <f ca="1"/>
        <v>0</v>
      </c>
      <c r="AB122">
        <f ca="1"/>
        <v>0.53759397436487255</v>
      </c>
      <c r="AD122" s="2">
        <f t="shared" ca="1" si="12"/>
        <v>45345</v>
      </c>
      <c r="AE122">
        <f t="shared" ca="1" si="13"/>
        <v>0</v>
      </c>
      <c r="AG122" s="63">
        <f t="shared" ca="1" si="17"/>
        <v>41.286200033794046</v>
      </c>
      <c r="AH122" s="63">
        <f t="shared" ca="1" si="18"/>
        <v>41.286200033794046</v>
      </c>
      <c r="AI122" s="3">
        <f t="shared" ca="1" si="19"/>
        <v>0</v>
      </c>
    </row>
    <row r="123" spans="7:35">
      <c r="G123" s="3">
        <f t="shared" ca="1" si="14"/>
        <v>361</v>
      </c>
      <c r="H123" s="95">
        <f t="shared" ca="1" si="16"/>
        <v>45286</v>
      </c>
      <c r="I123" s="119">
        <f ca="1">HLOOKUP($H$5,'Met Data'!$A$2:$F$368,G123,FALSE)</f>
        <v>17.193103448275799</v>
      </c>
      <c r="J123" s="119">
        <f ca="1">HLOOKUP($H$5,'Met Data'!$H$2:$M$368,G123,FALSE)*L123</f>
        <v>1.2034482758620599</v>
      </c>
      <c r="K123" s="96">
        <f ca="1">HLOOKUP($H$5,'Met Data'!$O$2:$T$368,G123,FALSE)</f>
        <v>4.4822943456663404</v>
      </c>
      <c r="L123">
        <f t="shared" ca="1" si="10"/>
        <v>1</v>
      </c>
      <c r="N123" t="b">
        <f t="shared" ca="1" si="15"/>
        <v>0</v>
      </c>
      <c r="O123" t="b">
        <f t="shared" ca="1" si="11"/>
        <v>0</v>
      </c>
      <c r="P123" s="2">
        <f ca="1"/>
        <v>45346</v>
      </c>
      <c r="Q123">
        <f ca="1"/>
        <v>40.031564228414737</v>
      </c>
      <c r="R123">
        <f ca="1"/>
        <v>0.76893263903480324</v>
      </c>
      <c r="S123">
        <f ca="1"/>
        <v>1.7227134250540566E-2</v>
      </c>
      <c r="T123">
        <f ca="1"/>
        <v>0.2555288626270048</v>
      </c>
      <c r="U123">
        <f ca="1"/>
        <v>0</v>
      </c>
      <c r="V123">
        <f ca="1"/>
        <v>16.415198634900928</v>
      </c>
      <c r="W123">
        <f ca="1"/>
        <v>15.016866899335293</v>
      </c>
      <c r="X123">
        <f ca="1"/>
        <v>0</v>
      </c>
      <c r="Y123">
        <f ca="1"/>
        <v>0.44621049367902393</v>
      </c>
      <c r="Z123">
        <f ca="1"/>
        <v>0</v>
      </c>
      <c r="AA123">
        <f ca="1"/>
        <v>0</v>
      </c>
      <c r="AB123">
        <f ca="1"/>
        <v>0.57816325935167878</v>
      </c>
      <c r="AD123" s="2">
        <f t="shared" ca="1" si="12"/>
        <v>45346</v>
      </c>
      <c r="AE123">
        <f t="shared" ca="1" si="13"/>
        <v>0</v>
      </c>
      <c r="AG123" s="63">
        <f t="shared" ca="1" si="17"/>
        <v>40.800496867449539</v>
      </c>
      <c r="AH123" s="63">
        <f t="shared" ca="1" si="18"/>
        <v>40.800496867449539</v>
      </c>
      <c r="AI123" s="3">
        <f t="shared" ca="1" si="19"/>
        <v>0</v>
      </c>
    </row>
    <row r="124" spans="7:35">
      <c r="G124" s="3">
        <f t="shared" ca="1" si="14"/>
        <v>362</v>
      </c>
      <c r="H124" s="95">
        <f t="shared" ca="1" si="16"/>
        <v>45287</v>
      </c>
      <c r="I124" s="119">
        <f ca="1">HLOOKUP($H$5,'Met Data'!$A$2:$F$368,G124,FALSE)</f>
        <v>17.263793103448201</v>
      </c>
      <c r="J124" s="119">
        <f ca="1">HLOOKUP($H$5,'Met Data'!$H$2:$M$368,G124,FALSE)*L124</f>
        <v>1.9379310344827501</v>
      </c>
      <c r="K124" s="96">
        <f ca="1">HLOOKUP($H$5,'Met Data'!$O$2:$T$368,G124,FALSE)</f>
        <v>4.2854150969519402</v>
      </c>
      <c r="L124">
        <f t="shared" ca="1" si="10"/>
        <v>1</v>
      </c>
      <c r="N124" t="b">
        <f t="shared" ca="1" si="15"/>
        <v>0</v>
      </c>
      <c r="O124" t="b">
        <f t="shared" ca="1" si="11"/>
        <v>0</v>
      </c>
      <c r="P124" s="2">
        <f ca="1"/>
        <v>45347</v>
      </c>
      <c r="Q124">
        <f ca="1"/>
        <v>39.508857728163989</v>
      </c>
      <c r="R124">
        <f ca="1"/>
        <v>0.77345545400655524</v>
      </c>
      <c r="S124">
        <f ca="1"/>
        <v>1.5120375137065434E-2</v>
      </c>
      <c r="T124">
        <f ca="1"/>
        <v>0.23562857861874362</v>
      </c>
      <c r="U124">
        <f ca="1"/>
        <v>0</v>
      </c>
      <c r="V124">
        <f ca="1"/>
        <v>17.188654088907484</v>
      </c>
      <c r="W124">
        <f ca="1"/>
        <v>15.724435407259811</v>
      </c>
      <c r="X124">
        <f ca="1"/>
        <v>0</v>
      </c>
      <c r="Y124">
        <f ca="1"/>
        <v>0.41138607874252364</v>
      </c>
      <c r="Z124">
        <f ca="1"/>
        <v>0</v>
      </c>
      <c r="AA124">
        <f ca="1"/>
        <v>0</v>
      </c>
      <c r="AB124">
        <f ca="1"/>
        <v>0.61631334686680739</v>
      </c>
      <c r="AD124" s="2">
        <f t="shared" ca="1" si="12"/>
        <v>45347</v>
      </c>
      <c r="AE124">
        <f t="shared" ca="1" si="13"/>
        <v>0</v>
      </c>
      <c r="AG124" s="63">
        <f t="shared" ca="1" si="17"/>
        <v>40.282313182170547</v>
      </c>
      <c r="AH124" s="63">
        <f t="shared" ca="1" si="18"/>
        <v>40.28231318217054</v>
      </c>
      <c r="AI124" s="3">
        <f t="shared" ca="1" si="19"/>
        <v>0</v>
      </c>
    </row>
    <row r="125" spans="7:35">
      <c r="G125" s="3">
        <f t="shared" ca="1" si="14"/>
        <v>363</v>
      </c>
      <c r="H125" s="95">
        <f t="shared" ca="1" si="16"/>
        <v>45288</v>
      </c>
      <c r="I125" s="119">
        <f ca="1">HLOOKUP($H$5,'Met Data'!$A$2:$F$368,G125,FALSE)</f>
        <v>18.060344827586199</v>
      </c>
      <c r="J125" s="119">
        <f ca="1">HLOOKUP($H$5,'Met Data'!$H$2:$M$368,G125,FALSE)*L125</f>
        <v>0.81379310344827505</v>
      </c>
      <c r="K125" s="96">
        <f ca="1">HLOOKUP($H$5,'Met Data'!$O$2:$T$368,G125,FALSE)</f>
        <v>4.2768570571644897</v>
      </c>
      <c r="L125">
        <f t="shared" ca="1" si="10"/>
        <v>1</v>
      </c>
      <c r="N125" t="b">
        <f t="shared" ca="1" si="15"/>
        <v>0</v>
      </c>
      <c r="O125" t="b">
        <f t="shared" ca="1" si="11"/>
        <v>0</v>
      </c>
      <c r="P125" s="2">
        <f ca="1"/>
        <v>45348</v>
      </c>
      <c r="Q125">
        <f ca="1"/>
        <v>38.943958235015998</v>
      </c>
      <c r="R125">
        <f ca="1"/>
        <v>0.81269368155891897</v>
      </c>
      <c r="S125">
        <f ca="1"/>
        <v>1.4504626073014837E-2</v>
      </c>
      <c r="T125">
        <f ca="1"/>
        <v>0.23328956233791534</v>
      </c>
      <c r="U125">
        <f ca="1"/>
        <v>0</v>
      </c>
      <c r="V125">
        <f ca="1"/>
        <v>18.001347770466403</v>
      </c>
      <c r="W125">
        <f ca="1"/>
        <v>16.467899627056301</v>
      </c>
      <c r="X125">
        <f ca="1"/>
        <v>0</v>
      </c>
      <c r="Y125">
        <f ca="1"/>
        <v>0.39699726478080816</v>
      </c>
      <c r="Z125">
        <f ca="1"/>
        <v>0</v>
      </c>
      <c r="AA125">
        <f ca="1"/>
        <v>0</v>
      </c>
      <c r="AB125">
        <f ca="1"/>
        <v>0.65338076167979975</v>
      </c>
      <c r="AD125" s="2">
        <f t="shared" ca="1" si="12"/>
        <v>45348</v>
      </c>
      <c r="AE125">
        <f t="shared" ca="1" si="13"/>
        <v>0</v>
      </c>
      <c r="AG125" s="63">
        <f t="shared" ca="1" si="17"/>
        <v>39.756651916574917</v>
      </c>
      <c r="AH125" s="63">
        <f t="shared" ca="1" si="18"/>
        <v>39.756651916574917</v>
      </c>
      <c r="AI125" s="3">
        <f t="shared" ca="1" si="19"/>
        <v>0</v>
      </c>
    </row>
    <row r="126" spans="7:35">
      <c r="G126" s="3">
        <f t="shared" ca="1" si="14"/>
        <v>364</v>
      </c>
      <c r="H126" s="95">
        <f t="shared" ca="1" si="16"/>
        <v>45289</v>
      </c>
      <c r="I126" s="119">
        <f ca="1">HLOOKUP($H$5,'Met Data'!$A$2:$F$368,G126,FALSE)</f>
        <v>18.386206896551698</v>
      </c>
      <c r="J126" s="119">
        <f ca="1">HLOOKUP($H$5,'Met Data'!$H$2:$M$368,G126,FALSE)*L126</f>
        <v>3.0068965517241302</v>
      </c>
      <c r="K126" s="96">
        <f ca="1">HLOOKUP($H$5,'Met Data'!$O$2:$T$368,G126,FALSE)</f>
        <v>4.2622812571545499</v>
      </c>
      <c r="L126">
        <f t="shared" ca="1" si="10"/>
        <v>1</v>
      </c>
      <c r="N126" t="b">
        <f t="shared" ca="1" si="15"/>
        <v>0</v>
      </c>
      <c r="O126" t="b">
        <f t="shared" ca="1" si="11"/>
        <v>0</v>
      </c>
      <c r="P126" s="2">
        <f ca="1"/>
        <v>45349</v>
      </c>
      <c r="Q126">
        <f ca="1"/>
        <v>38.333538267616319</v>
      </c>
      <c r="R126">
        <f ca="1"/>
        <v>0.85354373750051948</v>
      </c>
      <c r="S126">
        <f ca="1"/>
        <v>1.3708005475749463E-2</v>
      </c>
      <c r="T126">
        <f ca="1"/>
        <v>0.22941576462508739</v>
      </c>
      <c r="U126">
        <f ca="1"/>
        <v>0</v>
      </c>
      <c r="V126">
        <f ca="1"/>
        <v>18.854891507966922</v>
      </c>
      <c r="W126">
        <f ca="1"/>
        <v>17.248734083214185</v>
      </c>
      <c r="X126">
        <f ca="1"/>
        <v>0</v>
      </c>
      <c r="Y126">
        <f ca="1"/>
        <v>0.37724987569270435</v>
      </c>
      <c r="Z126">
        <f ca="1"/>
        <v>0</v>
      </c>
      <c r="AA126">
        <f ca="1"/>
        <v>0</v>
      </c>
      <c r="AB126">
        <f ca="1"/>
        <v>0.6889488705938196</v>
      </c>
      <c r="AD126" s="2">
        <f t="shared" ca="1" si="12"/>
        <v>45349</v>
      </c>
      <c r="AE126">
        <f t="shared" ca="1" si="13"/>
        <v>0</v>
      </c>
      <c r="AG126" s="63">
        <f t="shared" ca="1" si="17"/>
        <v>39.187082005116835</v>
      </c>
      <c r="AH126" s="63">
        <f t="shared" ca="1" si="18"/>
        <v>39.187082005116835</v>
      </c>
      <c r="AI126" s="3">
        <f t="shared" ca="1" si="19"/>
        <v>0</v>
      </c>
    </row>
    <row r="127" spans="7:35">
      <c r="G127" s="3">
        <f t="shared" ca="1" si="14"/>
        <v>365</v>
      </c>
      <c r="H127" s="95">
        <f t="shared" ca="1" si="16"/>
        <v>45290</v>
      </c>
      <c r="I127" s="119">
        <f ca="1">HLOOKUP($H$5,'Met Data'!$A$2:$F$368,G127,FALSE)</f>
        <v>18.156896551724099</v>
      </c>
      <c r="J127" s="119">
        <f ca="1">HLOOKUP($H$5,'Met Data'!$H$2:$M$368,G127,FALSE)*L127</f>
        <v>4.4172413793103402</v>
      </c>
      <c r="K127" s="96">
        <f ca="1">HLOOKUP($H$5,'Met Data'!$O$2:$T$368,G127,FALSE)</f>
        <v>3.8040621578745699</v>
      </c>
      <c r="L127">
        <f t="shared" ca="1" si="10"/>
        <v>1</v>
      </c>
      <c r="N127" t="b">
        <f t="shared" ca="1" si="15"/>
        <v>0</v>
      </c>
      <c r="O127" t="b">
        <f t="shared" ca="1" si="11"/>
        <v>0</v>
      </c>
      <c r="P127" s="2">
        <f ca="1"/>
        <v>45350</v>
      </c>
      <c r="Q127">
        <f ca="1"/>
        <v>37.706742811615172</v>
      </c>
      <c r="R127">
        <f ca="1"/>
        <v>0.87143138875143578</v>
      </c>
      <c r="S127">
        <f ca="1"/>
        <v>1.3994676738627199E-2</v>
      </c>
      <c r="T127">
        <f ca="1"/>
        <v>0.23064125601166222</v>
      </c>
      <c r="U127">
        <f ca="1"/>
        <v>0</v>
      </c>
      <c r="V127">
        <f ca="1"/>
        <v>19.726322896718358</v>
      </c>
      <c r="W127">
        <f ca="1"/>
        <v>18.045932427738645</v>
      </c>
      <c r="X127">
        <f ca="1"/>
        <v>0</v>
      </c>
      <c r="Y127">
        <f ca="1"/>
        <v>0.39718713249634352</v>
      </c>
      <c r="Z127">
        <f ca="1"/>
        <v>0</v>
      </c>
      <c r="AA127">
        <f ca="1"/>
        <v>0</v>
      </c>
      <c r="AB127">
        <f ca="1"/>
        <v>0.72178782322316848</v>
      </c>
      <c r="AD127" s="2">
        <f t="shared" ca="1" si="12"/>
        <v>45350</v>
      </c>
      <c r="AE127">
        <f t="shared" ca="1" si="13"/>
        <v>0</v>
      </c>
      <c r="AG127" s="63">
        <f t="shared" ca="1" si="17"/>
        <v>38.578174200366611</v>
      </c>
      <c r="AH127" s="63">
        <f t="shared" ca="1" si="18"/>
        <v>38.578174200366604</v>
      </c>
      <c r="AI127" s="3">
        <f t="shared" ca="1" si="19"/>
        <v>0</v>
      </c>
    </row>
    <row r="128" spans="7:35">
      <c r="G128" s="3">
        <f t="shared" ca="1" si="14"/>
        <v>366</v>
      </c>
      <c r="H128" s="95">
        <f t="shared" ca="1" si="16"/>
        <v>45291</v>
      </c>
      <c r="I128" s="119">
        <f ca="1">HLOOKUP($H$5,'Met Data'!$A$2:$F$368,G128,FALSE)</f>
        <v>17.8086206896551</v>
      </c>
      <c r="J128" s="119">
        <f ca="1">HLOOKUP($H$5,'Met Data'!$H$2:$M$368,G128,FALSE)*L128</f>
        <v>8.7896551724137897</v>
      </c>
      <c r="K128" s="96">
        <f ca="1">HLOOKUP($H$5,'Met Data'!$O$2:$T$368,G128,FALSE)</f>
        <v>3.8298931146257198</v>
      </c>
      <c r="L128">
        <f t="shared" ca="1" si="10"/>
        <v>1</v>
      </c>
      <c r="N128" t="b">
        <f t="shared" ca="1" si="15"/>
        <v>0</v>
      </c>
      <c r="O128" t="b">
        <f t="shared" ca="1" si="11"/>
        <v>0</v>
      </c>
      <c r="P128" s="2">
        <f ca="1"/>
        <v>45351</v>
      </c>
      <c r="Q128">
        <f ca="1"/>
        <v>37.051882324727821</v>
      </c>
      <c r="R128">
        <f ca="1"/>
        <v>0.91075093561660481</v>
      </c>
      <c r="S128">
        <f ca="1"/>
        <v>1.4949361381422666E-2</v>
      </c>
      <c r="T128">
        <f ca="1"/>
        <v>0.24094108734782446</v>
      </c>
      <c r="U128">
        <f ca="1"/>
        <v>0</v>
      </c>
      <c r="V128">
        <f ca="1"/>
        <v>20.637073832334963</v>
      </c>
      <c r="W128">
        <f ca="1"/>
        <v>18.879100876247172</v>
      </c>
      <c r="X128">
        <f ca="1"/>
        <v>0</v>
      </c>
      <c r="Y128">
        <f ca="1"/>
        <v>0.42808189480303099</v>
      </c>
      <c r="Z128">
        <f ca="1"/>
        <v>0</v>
      </c>
      <c r="AA128">
        <f ca="1"/>
        <v>0</v>
      </c>
      <c r="AB128">
        <f ca="1"/>
        <v>0.75253961572017747</v>
      </c>
      <c r="AD128" s="2">
        <f t="shared" ca="1" si="12"/>
        <v>45351</v>
      </c>
      <c r="AE128">
        <f t="shared" ca="1" si="13"/>
        <v>0</v>
      </c>
      <c r="AG128" s="63">
        <f t="shared" ca="1" si="17"/>
        <v>37.962633260344425</v>
      </c>
      <c r="AH128" s="63">
        <f t="shared" ca="1" si="18"/>
        <v>37.962633260344425</v>
      </c>
      <c r="AI128" s="3">
        <f t="shared" ca="1" si="19"/>
        <v>0</v>
      </c>
    </row>
    <row r="129" spans="7:35">
      <c r="G129" s="3">
        <f t="shared" ca="1" si="14"/>
        <v>2</v>
      </c>
      <c r="H129" s="95">
        <f t="shared" ca="1" si="16"/>
        <v>45292</v>
      </c>
      <c r="I129" s="119">
        <f ca="1">HLOOKUP($H$5,'Met Data'!$A$2:$F$368,G129,FALSE)</f>
        <v>17.639655172413701</v>
      </c>
      <c r="J129" s="119">
        <f ca="1">HLOOKUP($H$5,'Met Data'!$H$2:$M$368,G129,FALSE)*L129</f>
        <v>2.9862068965517201</v>
      </c>
      <c r="K129" s="96">
        <f ca="1">HLOOKUP($H$5,'Met Data'!$O$2:$T$368,G129,FALSE)</f>
        <v>4.7314305048111098</v>
      </c>
      <c r="L129">
        <f t="shared" ca="1" si="10"/>
        <v>1</v>
      </c>
      <c r="N129" t="b">
        <f t="shared" ca="1" si="15"/>
        <v>0</v>
      </c>
      <c r="O129" t="b">
        <f t="shared" ca="1" si="11"/>
        <v>0</v>
      </c>
      <c r="P129" s="2">
        <f ca="1"/>
        <v>45352</v>
      </c>
      <c r="Q129">
        <f ca="1"/>
        <v>36.338243821152588</v>
      </c>
      <c r="R129">
        <f ca="1"/>
        <v>0.97528917418367556</v>
      </c>
      <c r="S129">
        <f ca="1"/>
        <v>1.5002633370857055E-2</v>
      </c>
      <c r="T129">
        <f ca="1"/>
        <v>0.24664803723759288</v>
      </c>
      <c r="U129">
        <f ca="1"/>
        <v>0</v>
      </c>
      <c r="V129">
        <f ca="1"/>
        <v>21.612363006518638</v>
      </c>
      <c r="W129">
        <f ca="1"/>
        <v>19.771309861518901</v>
      </c>
      <c r="X129">
        <f ca="1"/>
        <v>0</v>
      </c>
      <c r="Y129">
        <f ca="1"/>
        <v>0.42390535583764433</v>
      </c>
      <c r="Z129">
        <f ca="1"/>
        <v>0</v>
      </c>
      <c r="AA129">
        <f ca="1"/>
        <v>0</v>
      </c>
      <c r="AB129">
        <f ca="1"/>
        <v>0.78171484489763732</v>
      </c>
      <c r="AD129" s="2">
        <f t="shared" ca="1" si="12"/>
        <v>45352</v>
      </c>
      <c r="AE129">
        <f t="shared" ca="1" si="13"/>
        <v>0</v>
      </c>
      <c r="AG129" s="63">
        <f t="shared" ca="1" si="17"/>
        <v>37.313532995336267</v>
      </c>
      <c r="AH129" s="63">
        <f t="shared" ca="1" si="18"/>
        <v>37.31353299533626</v>
      </c>
      <c r="AI129" s="3">
        <f t="shared" ca="1" si="19"/>
        <v>0</v>
      </c>
    </row>
    <row r="130" spans="7:35">
      <c r="G130" s="3">
        <f t="shared" ca="1" si="14"/>
        <v>3</v>
      </c>
      <c r="H130" s="95">
        <f t="shared" ca="1" si="16"/>
        <v>45293</v>
      </c>
      <c r="I130" s="119">
        <f ca="1">HLOOKUP($H$5,'Met Data'!$A$2:$F$368,G130,FALSE)</f>
        <v>18.013793103448201</v>
      </c>
      <c r="J130" s="119">
        <f ca="1">HLOOKUP($H$5,'Met Data'!$H$2:$M$368,G130,FALSE)*L130</f>
        <v>1.4517241379310299</v>
      </c>
      <c r="K130" s="96">
        <f ca="1">HLOOKUP($H$5,'Met Data'!$O$2:$T$368,G130,FALSE)</f>
        <v>4.7184733001505199</v>
      </c>
      <c r="L130">
        <f t="shared" ca="1" si="10"/>
        <v>1</v>
      </c>
      <c r="N130" t="b">
        <f t="shared" ca="1" si="15"/>
        <v>0</v>
      </c>
      <c r="O130" t="b">
        <f t="shared" ca="1" si="11"/>
        <v>0</v>
      </c>
      <c r="P130" s="2">
        <f ca="1"/>
        <v>45353</v>
      </c>
      <c r="Q130">
        <f ca="1"/>
        <v>35.587847417965769</v>
      </c>
      <c r="R130">
        <f ca="1"/>
        <v>1.019238307818199</v>
      </c>
      <c r="S130">
        <f ca="1"/>
        <v>1.5474657572168482E-2</v>
      </c>
      <c r="T130">
        <f ca="1"/>
        <v>0.25336724705921054</v>
      </c>
      <c r="U130">
        <f ca="1"/>
        <v>0</v>
      </c>
      <c r="V130">
        <f ca="1"/>
        <v>22.631601314336837</v>
      </c>
      <c r="W130">
        <f ca="1"/>
        <v>20.703724165337771</v>
      </c>
      <c r="X130">
        <f ca="1"/>
        <v>0</v>
      </c>
      <c r="Y130">
        <f ca="1"/>
        <v>0.44152072197564712</v>
      </c>
      <c r="Z130">
        <f ca="1"/>
        <v>0</v>
      </c>
      <c r="AA130">
        <f ca="1"/>
        <v>0</v>
      </c>
      <c r="AB130">
        <f ca="1"/>
        <v>0.80843416742023977</v>
      </c>
      <c r="AD130" s="2">
        <f t="shared" ca="1" si="12"/>
        <v>45353</v>
      </c>
      <c r="AE130">
        <f t="shared" ca="1" si="13"/>
        <v>0</v>
      </c>
      <c r="AG130" s="63">
        <f t="shared" ca="1" si="17"/>
        <v>36.607085725783968</v>
      </c>
      <c r="AH130" s="63">
        <f t="shared" ca="1" si="18"/>
        <v>36.607085725783968</v>
      </c>
      <c r="AI130" s="3">
        <f t="shared" ca="1" si="19"/>
        <v>0</v>
      </c>
    </row>
    <row r="131" spans="7:35">
      <c r="G131" s="3">
        <f t="shared" ca="1" si="14"/>
        <v>4</v>
      </c>
      <c r="H131" s="95">
        <f t="shared" ca="1" si="16"/>
        <v>45294</v>
      </c>
      <c r="I131" s="119">
        <f ca="1">HLOOKUP($H$5,'Met Data'!$A$2:$F$368,G131,FALSE)</f>
        <v>17.827586206896498</v>
      </c>
      <c r="J131" s="119">
        <f ca="1">HLOOKUP($H$5,'Met Data'!$H$2:$M$368,G131,FALSE)*L131</f>
        <v>1.27241379310344</v>
      </c>
      <c r="K131" s="96">
        <f ca="1">HLOOKUP($H$5,'Met Data'!$O$2:$T$368,G131,FALSE)</f>
        <v>4.5153833563593304</v>
      </c>
      <c r="L131">
        <f t="shared" ca="1" si="10"/>
        <v>1</v>
      </c>
      <c r="N131" t="b">
        <f t="shared" ca="1" si="15"/>
        <v>0</v>
      </c>
      <c r="O131" t="b">
        <f t="shared" ca="1" si="11"/>
        <v>0</v>
      </c>
      <c r="P131" s="2">
        <f ca="1"/>
        <v>45354</v>
      </c>
      <c r="Q131">
        <f ca="1"/>
        <v>34.857151992323139</v>
      </c>
      <c r="R131">
        <f ca="1"/>
        <v>1.0030084697260087</v>
      </c>
      <c r="S131">
        <f ca="1"/>
        <v>1.6148117971737541E-2</v>
      </c>
      <c r="T131">
        <f ca="1"/>
        <v>0.25616492611164648</v>
      </c>
      <c r="U131">
        <f ca="1"/>
        <v>0</v>
      </c>
      <c r="V131">
        <f ca="1"/>
        <v>23.634609784062846</v>
      </c>
      <c r="W131">
        <f ca="1"/>
        <v>21.62129117282786</v>
      </c>
      <c r="X131">
        <f ca="1"/>
        <v>0</v>
      </c>
      <c r="Y131">
        <f ca="1"/>
        <v>0.49156987248860373</v>
      </c>
      <c r="Z131">
        <f ca="1"/>
        <v>0</v>
      </c>
      <c r="AA131">
        <f ca="1"/>
        <v>0</v>
      </c>
      <c r="AB131">
        <f ca="1"/>
        <v>0.83136951283007776</v>
      </c>
      <c r="AD131" s="2">
        <f t="shared" ca="1" si="12"/>
        <v>45354</v>
      </c>
      <c r="AE131">
        <f t="shared" ca="1" si="13"/>
        <v>0</v>
      </c>
      <c r="AG131" s="63">
        <f t="shared" ca="1" si="17"/>
        <v>35.860160462049151</v>
      </c>
      <c r="AH131" s="63">
        <f t="shared" ca="1" si="18"/>
        <v>35.860160462049151</v>
      </c>
      <c r="AI131" s="3">
        <f t="shared" ca="1" si="19"/>
        <v>0</v>
      </c>
    </row>
    <row r="132" spans="7:35">
      <c r="G132" s="3">
        <f t="shared" ca="1" si="14"/>
        <v>5</v>
      </c>
      <c r="H132" s="95">
        <f t="shared" ca="1" si="16"/>
        <v>45295</v>
      </c>
      <c r="I132" s="119">
        <f ca="1">HLOOKUP($H$5,'Met Data'!$A$2:$F$368,G132,FALSE)</f>
        <v>18.068965517241299</v>
      </c>
      <c r="J132" s="119">
        <f ca="1">HLOOKUP($H$5,'Met Data'!$H$2:$M$368,G132,FALSE)*L132</f>
        <v>1.3206896551724101</v>
      </c>
      <c r="K132" s="96">
        <f ca="1">HLOOKUP($H$5,'Met Data'!$O$2:$T$368,G132,FALSE)</f>
        <v>4.6266971172714904</v>
      </c>
      <c r="L132">
        <f t="shared" ca="1" si="10"/>
        <v>1</v>
      </c>
      <c r="N132" t="b">
        <f t="shared" ca="1" si="15"/>
        <v>0</v>
      </c>
      <c r="O132" t="b">
        <f t="shared" ca="1" si="11"/>
        <v>0</v>
      </c>
      <c r="P132" s="2">
        <f ca="1"/>
        <v>45355</v>
      </c>
      <c r="Q132">
        <f ca="1"/>
        <v>34.091307572391159</v>
      </c>
      <c r="R132">
        <f ca="1"/>
        <v>1.0338040524871595</v>
      </c>
      <c r="S132">
        <f ca="1"/>
        <v>1.5609287001204564E-2</v>
      </c>
      <c r="T132">
        <f ca="1"/>
        <v>0.25235034555398012</v>
      </c>
      <c r="U132">
        <f ca="1"/>
        <v>0</v>
      </c>
      <c r="V132">
        <f ca="1"/>
        <v>24.668413836550005</v>
      </c>
      <c r="W132">
        <f ca="1"/>
        <v>22.567030435658712</v>
      </c>
      <c r="X132">
        <f ca="1"/>
        <v>0</v>
      </c>
      <c r="Y132">
        <f ca="1"/>
        <v>0.484849065627241</v>
      </c>
      <c r="Z132">
        <f ca="1"/>
        <v>0</v>
      </c>
      <c r="AA132">
        <f ca="1"/>
        <v>0</v>
      </c>
      <c r="AB132">
        <f ca="1"/>
        <v>0.85193764048355014</v>
      </c>
      <c r="AD132" s="2">
        <f t="shared" ca="1" si="12"/>
        <v>45355</v>
      </c>
      <c r="AE132">
        <f t="shared" ca="1" si="13"/>
        <v>0</v>
      </c>
      <c r="AG132" s="63">
        <f t="shared" ca="1" si="17"/>
        <v>35.125111624878322</v>
      </c>
      <c r="AH132" s="63">
        <f t="shared" ca="1" si="18"/>
        <v>35.125111624878315</v>
      </c>
      <c r="AI132" s="3">
        <f t="shared" ca="1" si="19"/>
        <v>0</v>
      </c>
    </row>
    <row r="133" spans="7:35">
      <c r="G133" s="3">
        <f t="shared" ca="1" si="14"/>
        <v>6</v>
      </c>
      <c r="H133" s="95">
        <f t="shared" ca="1" si="16"/>
        <v>45296</v>
      </c>
      <c r="I133" s="119">
        <f ca="1">HLOOKUP($H$5,'Met Data'!$A$2:$F$368,G133,FALSE)</f>
        <v>17.658620689655098</v>
      </c>
      <c r="J133" s="119">
        <f ca="1">HLOOKUP($H$5,'Met Data'!$H$2:$M$368,G133,FALSE)*L133</f>
        <v>1.64137931034482</v>
      </c>
      <c r="K133" s="96">
        <f ca="1">HLOOKUP($H$5,'Met Data'!$O$2:$T$368,G133,FALSE)</f>
        <v>4.7524735832446101</v>
      </c>
      <c r="L133">
        <f t="shared" ca="1" si="10"/>
        <v>1</v>
      </c>
      <c r="N133" t="b">
        <f t="shared" ca="1" si="15"/>
        <v>0</v>
      </c>
      <c r="O133" t="b">
        <f t="shared" ca="1" si="11"/>
        <v>0</v>
      </c>
      <c r="P133" s="2">
        <f ca="1"/>
        <v>45356</v>
      </c>
      <c r="Q133">
        <f ca="1"/>
        <v>33.257397090924044</v>
      </c>
      <c r="R133">
        <f ca="1"/>
        <v>1.1062403167857582</v>
      </c>
      <c r="S133">
        <f ca="1"/>
        <v>1.5502527709859493E-2</v>
      </c>
      <c r="T133">
        <f ca="1"/>
        <v>0.2568273076087772</v>
      </c>
      <c r="U133">
        <f ca="1"/>
        <v>0</v>
      </c>
      <c r="V133">
        <f ca="1"/>
        <v>25.774654153335764</v>
      </c>
      <c r="W133">
        <f ca="1"/>
        <v>23.579035466199755</v>
      </c>
      <c r="X133">
        <f ca="1"/>
        <v>0</v>
      </c>
      <c r="Y133">
        <f ca="1"/>
        <v>0.4747288011083543</v>
      </c>
      <c r="Z133">
        <f ca="1"/>
        <v>0</v>
      </c>
      <c r="AA133">
        <f ca="1"/>
        <v>0</v>
      </c>
      <c r="AB133">
        <f ca="1"/>
        <v>0.87094076508814611</v>
      </c>
      <c r="AD133" s="2">
        <f t="shared" ca="1" si="12"/>
        <v>45356</v>
      </c>
      <c r="AE133">
        <f t="shared" ca="1" si="13"/>
        <v>0</v>
      </c>
      <c r="AG133" s="63">
        <f t="shared" ca="1" si="17"/>
        <v>34.363637407709795</v>
      </c>
      <c r="AH133" s="63">
        <f t="shared" ca="1" si="18"/>
        <v>34.363637407709803</v>
      </c>
      <c r="AI133" s="3">
        <f t="shared" ca="1" si="19"/>
        <v>0</v>
      </c>
    </row>
    <row r="134" spans="7:35">
      <c r="G134" s="3">
        <f t="shared" ca="1" si="14"/>
        <v>7</v>
      </c>
      <c r="H134" s="95">
        <f t="shared" ca="1" si="16"/>
        <v>45297</v>
      </c>
      <c r="I134" s="119">
        <f ca="1">HLOOKUP($H$5,'Met Data'!$A$2:$F$368,G134,FALSE)</f>
        <v>17.7431034482758</v>
      </c>
      <c r="J134" s="119">
        <f ca="1">HLOOKUP($H$5,'Met Data'!$H$2:$M$368,G134,FALSE)*L134</f>
        <v>1.8206896551724101</v>
      </c>
      <c r="K134" s="96">
        <f ca="1">HLOOKUP($H$5,'Met Data'!$O$2:$T$368,G134,FALSE)</f>
        <v>4.5675277776113097</v>
      </c>
      <c r="L134">
        <f t="shared" ca="1" si="10"/>
        <v>1</v>
      </c>
      <c r="N134" t="b">
        <f t="shared" ca="1" si="15"/>
        <v>0</v>
      </c>
      <c r="O134" t="b">
        <f t="shared" ca="1" si="11"/>
        <v>0</v>
      </c>
      <c r="P134" s="2">
        <f ca="1"/>
        <v>45357</v>
      </c>
      <c r="Q134">
        <f ca="1"/>
        <v>32.421652178793529</v>
      </c>
      <c r="R134">
        <f ca="1"/>
        <v>1.0973764699347015</v>
      </c>
      <c r="S134">
        <f ca="1"/>
        <v>1.4771837178584768E-2</v>
      </c>
      <c r="T134">
        <f ca="1"/>
        <v>0.24685972062560346</v>
      </c>
      <c r="U134">
        <f ca="1"/>
        <v>0</v>
      </c>
      <c r="V134">
        <f ca="1"/>
        <v>26.872030623270465</v>
      </c>
      <c r="W134">
        <f ca="1"/>
        <v>24.582931718325202</v>
      </c>
      <c r="X134">
        <f ca="1"/>
        <v>0</v>
      </c>
      <c r="Y134">
        <f ca="1"/>
        <v>0.47725720251458836</v>
      </c>
      <c r="Z134">
        <f ca="1"/>
        <v>0</v>
      </c>
      <c r="AA134">
        <f ca="1"/>
        <v>0</v>
      </c>
      <c r="AB134">
        <f ca="1"/>
        <v>0.88714579361568413</v>
      </c>
      <c r="AD134" s="2">
        <f t="shared" ca="1" si="12"/>
        <v>45357</v>
      </c>
      <c r="AE134">
        <f t="shared" ca="1" si="13"/>
        <v>0</v>
      </c>
      <c r="AG134" s="63">
        <f t="shared" ca="1" si="17"/>
        <v>33.519028648728231</v>
      </c>
      <c r="AH134" s="63">
        <f t="shared" ca="1" si="18"/>
        <v>33.519028648728231</v>
      </c>
      <c r="AI134" s="3">
        <f t="shared" ca="1" si="19"/>
        <v>0</v>
      </c>
    </row>
    <row r="135" spans="7:35">
      <c r="G135" s="3">
        <f t="shared" ca="1" si="14"/>
        <v>8</v>
      </c>
      <c r="H135" s="95">
        <f t="shared" ca="1" si="16"/>
        <v>45298</v>
      </c>
      <c r="I135" s="119">
        <f ca="1">HLOOKUP($H$5,'Met Data'!$A$2:$F$368,G135,FALSE)</f>
        <v>18.181034482758601</v>
      </c>
      <c r="J135" s="119">
        <f ca="1">HLOOKUP($H$5,'Met Data'!$H$2:$M$368,G135,FALSE)*L135</f>
        <v>1.4896551724137901</v>
      </c>
      <c r="K135" s="96">
        <f ca="1">HLOOKUP($H$5,'Met Data'!$O$2:$T$368,G135,FALSE)</f>
        <v>4.0945523595888398</v>
      </c>
      <c r="L135">
        <f t="shared" ref="L135:L198" ca="1" si="20">IF(H135&lt;$B$32,$J$4,$J$5)</f>
        <v>1</v>
      </c>
      <c r="N135" t="b">
        <f t="shared" ca="1" si="15"/>
        <v>0</v>
      </c>
      <c r="O135" t="b">
        <f t="shared" ref="O135:O198" ca="1" si="21">AND(IF(P135&gt;($P$3-1),TRUE,FALSE),IF(P135&lt;($P$4+1),TRUE,FALSE))</f>
        <v>0</v>
      </c>
      <c r="P135" s="2">
        <f ca="1"/>
        <v>45358</v>
      </c>
      <c r="Q135">
        <f ca="1"/>
        <v>31.511486521895588</v>
      </c>
      <c r="R135">
        <f ca="1"/>
        <v>1.1673277055745324</v>
      </c>
      <c r="S135">
        <f ca="1"/>
        <v>1.3938564619070171E-2</v>
      </c>
      <c r="T135">
        <f ca="1"/>
        <v>0.24322348405751995</v>
      </c>
      <c r="U135">
        <f ca="1"/>
        <v>0</v>
      </c>
      <c r="V135">
        <f ca="1"/>
        <v>28.039358328844997</v>
      </c>
      <c r="W135">
        <f ca="1"/>
        <v>25.65082039712857</v>
      </c>
      <c r="X135">
        <f ca="1"/>
        <v>0</v>
      </c>
      <c r="Y135">
        <f ca="1"/>
        <v>0.44545100338345456</v>
      </c>
      <c r="Z135">
        <f ca="1"/>
        <v>0</v>
      </c>
      <c r="AA135">
        <f ca="1"/>
        <v>0</v>
      </c>
      <c r="AB135">
        <f ca="1"/>
        <v>0.90191725607619622</v>
      </c>
      <c r="AD135" s="2">
        <f t="shared" ref="AD135:AD198" ca="1" si="22">IFERROR(P135,$AD$5)</f>
        <v>45358</v>
      </c>
      <c r="AE135">
        <f t="shared" ref="AE135:AE198" ca="1" si="23">IFERROR(U135,0)</f>
        <v>0</v>
      </c>
      <c r="AG135" s="63">
        <f t="shared" ca="1" si="17"/>
        <v>32.67881422747012</v>
      </c>
      <c r="AH135" s="63">
        <f t="shared" ca="1" si="18"/>
        <v>32.67881422747012</v>
      </c>
      <c r="AI135" s="3">
        <f t="shared" ca="1" si="19"/>
        <v>0</v>
      </c>
    </row>
    <row r="136" spans="7:35">
      <c r="G136" s="3">
        <f t="shared" ref="G136:G199" ca="1" si="24">H136-DATE(YEAR(H136),1,0)+1</f>
        <v>9</v>
      </c>
      <c r="H136" s="95">
        <f t="shared" ca="1" si="16"/>
        <v>45299</v>
      </c>
      <c r="I136" s="119">
        <f ca="1">HLOOKUP($H$5,'Met Data'!$A$2:$F$368,G136,FALSE)</f>
        <v>18.393103448275799</v>
      </c>
      <c r="J136" s="119">
        <f ca="1">HLOOKUP($H$5,'Met Data'!$H$2:$M$368,G136,FALSE)*L136</f>
        <v>2.69655172413793</v>
      </c>
      <c r="K136" s="96">
        <f ca="1">HLOOKUP($H$5,'Met Data'!$O$2:$T$368,G136,FALSE)</f>
        <v>4.0360392602952304</v>
      </c>
      <c r="L136">
        <f t="shared" ca="1" si="20"/>
        <v>1</v>
      </c>
      <c r="N136" t="b">
        <f t="shared" ref="N136:N199" ca="1" si="25">IF(P136&lt;$P$4,TRUE,FALSE)</f>
        <v>0</v>
      </c>
      <c r="O136" t="b">
        <f t="shared" ca="1" si="21"/>
        <v>0</v>
      </c>
      <c r="P136" s="2">
        <f ca="1"/>
        <v>45359</v>
      </c>
      <c r="Q136">
        <f ca="1"/>
        <v>30.547089786181189</v>
      </c>
      <c r="R136">
        <f ca="1"/>
        <v>1.2308314128021891</v>
      </c>
      <c r="S136">
        <f ca="1"/>
        <v>1.4410863448020006E-2</v>
      </c>
      <c r="T136">
        <f ca="1"/>
        <v>0.25202381363976883</v>
      </c>
      <c r="U136">
        <f ca="1"/>
        <v>0</v>
      </c>
      <c r="V136">
        <f ca="1"/>
        <v>29.270189741647187</v>
      </c>
      <c r="W136">
        <f ca="1"/>
        <v>26.776803208099459</v>
      </c>
      <c r="X136">
        <f ca="1"/>
        <v>0</v>
      </c>
      <c r="Y136">
        <f ca="1"/>
        <v>0.45905424461759908</v>
      </c>
      <c r="Z136">
        <f ca="1"/>
        <v>0</v>
      </c>
      <c r="AA136">
        <f ca="1"/>
        <v>0</v>
      </c>
      <c r="AB136">
        <f ca="1"/>
        <v>0.91516352157963632</v>
      </c>
      <c r="AD136" s="2">
        <f t="shared" ca="1" si="22"/>
        <v>45359</v>
      </c>
      <c r="AE136">
        <f t="shared" ca="1" si="23"/>
        <v>0</v>
      </c>
      <c r="AG136" s="63">
        <f t="shared" ca="1" si="17"/>
        <v>31.777921198983378</v>
      </c>
      <c r="AH136" s="63">
        <f t="shared" ca="1" si="18"/>
        <v>31.777921198983378</v>
      </c>
      <c r="AI136" s="3">
        <f t="shared" ca="1" si="19"/>
        <v>0</v>
      </c>
    </row>
    <row r="137" spans="7:35">
      <c r="G137" s="3">
        <f t="shared" ca="1" si="24"/>
        <v>10</v>
      </c>
      <c r="H137" s="95">
        <f t="shared" ref="H137:H200" ca="1" si="26">H136+1</f>
        <v>45300</v>
      </c>
      <c r="I137" s="119">
        <f ca="1">HLOOKUP($H$5,'Met Data'!$A$2:$F$368,G137,FALSE)</f>
        <v>18.6103448275862</v>
      </c>
      <c r="J137" s="119">
        <f ca="1">HLOOKUP($H$5,'Met Data'!$H$2:$M$368,G137,FALSE)*L137</f>
        <v>3.0103448275861999</v>
      </c>
      <c r="K137" s="96">
        <f ca="1">HLOOKUP($H$5,'Met Data'!$O$2:$T$368,G137,FALSE)</f>
        <v>4.1608753956650997</v>
      </c>
      <c r="L137">
        <f t="shared" ca="1" si="20"/>
        <v>1</v>
      </c>
      <c r="N137" t="b">
        <f t="shared" ca="1" si="25"/>
        <v>0</v>
      </c>
      <c r="O137" t="b">
        <f t="shared" ca="1" si="21"/>
        <v>0</v>
      </c>
      <c r="P137" s="2">
        <f ca="1"/>
        <v>45360</v>
      </c>
      <c r="Q137">
        <f ca="1"/>
        <v>29.555552201376749</v>
      </c>
      <c r="R137">
        <f ca="1"/>
        <v>1.2467359948211261</v>
      </c>
      <c r="S137">
        <f ca="1"/>
        <v>1.3460369746287615E-2</v>
      </c>
      <c r="T137">
        <f ca="1"/>
        <v>0.24173804027039952</v>
      </c>
      <c r="U137">
        <f ca="1"/>
        <v>0</v>
      </c>
      <c r="V137">
        <f ca="1"/>
        <v>30.516925736468313</v>
      </c>
      <c r="W137">
        <f ca="1"/>
        <v>27.917335766324715</v>
      </c>
      <c r="X137">
        <f ca="1"/>
        <v>0</v>
      </c>
      <c r="Y137">
        <f ca="1"/>
        <v>0.44310679939688702</v>
      </c>
      <c r="Z137">
        <f ca="1"/>
        <v>0</v>
      </c>
      <c r="AA137">
        <f ca="1"/>
        <v>0</v>
      </c>
      <c r="AB137">
        <f ca="1"/>
        <v>0.9265376867035201</v>
      </c>
      <c r="AD137" s="2">
        <f t="shared" ca="1" si="22"/>
        <v>45360</v>
      </c>
      <c r="AE137">
        <f t="shared" ca="1" si="23"/>
        <v>0</v>
      </c>
      <c r="AG137" s="63">
        <f t="shared" ref="AG137:AG200" ca="1" si="27">Q136+S137+T137+U137</f>
        <v>30.802288196197875</v>
      </c>
      <c r="AH137" s="63">
        <f t="shared" ref="AH137:AH200" ca="1" si="28">Q137+R137+X137</f>
        <v>30.802288196197875</v>
      </c>
      <c r="AI137" s="3">
        <f t="shared" ref="AI137:AI200" ca="1" si="29">AH137-AG137</f>
        <v>0</v>
      </c>
    </row>
    <row r="138" spans="7:35">
      <c r="G138" s="3">
        <f t="shared" ca="1" si="24"/>
        <v>11</v>
      </c>
      <c r="H138" s="95">
        <f t="shared" ca="1" si="26"/>
        <v>45301</v>
      </c>
      <c r="I138" s="119">
        <f ca="1">HLOOKUP($H$5,'Met Data'!$A$2:$F$368,G138,FALSE)</f>
        <v>18.453448275862002</v>
      </c>
      <c r="J138" s="119">
        <f ca="1">HLOOKUP($H$5,'Met Data'!$H$2:$M$368,G138,FALSE)*L138</f>
        <v>1.2689655172413701</v>
      </c>
      <c r="K138" s="96">
        <f ca="1">HLOOKUP($H$5,'Met Data'!$O$2:$T$368,G138,FALSE)</f>
        <v>4.5179186785714496</v>
      </c>
      <c r="L138">
        <f t="shared" ca="1" si="20"/>
        <v>1</v>
      </c>
      <c r="N138" t="b">
        <f t="shared" ca="1" si="25"/>
        <v>0</v>
      </c>
      <c r="O138" t="b">
        <f t="shared" ca="1" si="21"/>
        <v>0</v>
      </c>
      <c r="P138" s="2">
        <f ca="1"/>
        <v>45361</v>
      </c>
      <c r="Q138">
        <f ca="1"/>
        <v>28.56447556819926</v>
      </c>
      <c r="R138">
        <f ca="1"/>
        <v>1.271807624638214</v>
      </c>
      <c r="S138">
        <f ca="1"/>
        <v>1.4807650507644432E-2</v>
      </c>
      <c r="T138">
        <f ca="1"/>
        <v>0.26592334095308129</v>
      </c>
      <c r="U138">
        <f ca="1"/>
        <v>0</v>
      </c>
      <c r="V138">
        <f ca="1"/>
        <v>31.788733361106527</v>
      </c>
      <c r="W138">
        <f ca="1"/>
        <v>29.080804222938191</v>
      </c>
      <c r="X138">
        <f ca="1"/>
        <v>0</v>
      </c>
      <c r="Y138">
        <f ca="1"/>
        <v>0.52569016123955337</v>
      </c>
      <c r="Z138">
        <f ca="1"/>
        <v>0</v>
      </c>
      <c r="AA138">
        <f ca="1"/>
        <v>0</v>
      </c>
      <c r="AB138">
        <f ca="1"/>
        <v>0.93637316371292589</v>
      </c>
      <c r="AD138" s="2">
        <f t="shared" ca="1" si="22"/>
        <v>45361</v>
      </c>
      <c r="AE138">
        <f t="shared" ca="1" si="23"/>
        <v>0</v>
      </c>
      <c r="AG138" s="63">
        <f t="shared" ca="1" si="27"/>
        <v>29.836283192837474</v>
      </c>
      <c r="AH138" s="63">
        <f t="shared" ca="1" si="28"/>
        <v>29.836283192837474</v>
      </c>
      <c r="AI138" s="3">
        <f t="shared" ca="1" si="29"/>
        <v>0</v>
      </c>
    </row>
    <row r="139" spans="7:35">
      <c r="G139" s="3">
        <f t="shared" ca="1" si="24"/>
        <v>12</v>
      </c>
      <c r="H139" s="95">
        <f t="shared" ca="1" si="26"/>
        <v>45302</v>
      </c>
      <c r="I139" s="119">
        <f ca="1">HLOOKUP($H$5,'Met Data'!$A$2:$F$368,G139,FALSE)</f>
        <v>18.186206896551699</v>
      </c>
      <c r="J139" s="119">
        <f ca="1">HLOOKUP($H$5,'Met Data'!$H$2:$M$368,G139,FALSE)*L139</f>
        <v>1.3413793103448199</v>
      </c>
      <c r="K139" s="96">
        <f ca="1">HLOOKUP($H$5,'Met Data'!$O$2:$T$368,G139,FALSE)</f>
        <v>4.5303746944186001</v>
      </c>
      <c r="L139">
        <f t="shared" ca="1" si="20"/>
        <v>1</v>
      </c>
      <c r="N139" t="b">
        <f t="shared" ca="1" si="25"/>
        <v>0</v>
      </c>
      <c r="O139" t="b">
        <f t="shared" ca="1" si="21"/>
        <v>0</v>
      </c>
      <c r="P139" s="2">
        <f ca="1"/>
        <v>45362</v>
      </c>
      <c r="Q139">
        <f ca="1"/>
        <v>27.5180367042481</v>
      </c>
      <c r="R139">
        <f ca="1"/>
        <v>1.3314718117351028</v>
      </c>
      <c r="S139">
        <f ca="1"/>
        <v>1.4774610864487059E-2</v>
      </c>
      <c r="T139">
        <f ca="1"/>
        <v>0.27025833691945583</v>
      </c>
      <c r="U139">
        <f ca="1"/>
        <v>0</v>
      </c>
      <c r="V139">
        <f ca="1"/>
        <v>33.120205172841629</v>
      </c>
      <c r="W139">
        <f ca="1"/>
        <v>30.298854361821785</v>
      </c>
      <c r="X139">
        <f ca="1"/>
        <v>0</v>
      </c>
      <c r="Y139">
        <f ca="1"/>
        <v>0.52777077007199558</v>
      </c>
      <c r="Z139">
        <f ca="1"/>
        <v>0</v>
      </c>
      <c r="AA139">
        <f ca="1"/>
        <v>0</v>
      </c>
      <c r="AB139">
        <f ca="1"/>
        <v>0.94508057655457789</v>
      </c>
      <c r="AD139" s="2">
        <f t="shared" ca="1" si="22"/>
        <v>45362</v>
      </c>
      <c r="AE139">
        <f t="shared" ca="1" si="23"/>
        <v>0</v>
      </c>
      <c r="AG139" s="63">
        <f t="shared" ca="1" si="27"/>
        <v>28.849508515983203</v>
      </c>
      <c r="AH139" s="63">
        <f t="shared" ca="1" si="28"/>
        <v>28.849508515983203</v>
      </c>
      <c r="AI139" s="3">
        <f t="shared" ca="1" si="29"/>
        <v>0</v>
      </c>
    </row>
    <row r="140" spans="7:35">
      <c r="G140" s="3">
        <f t="shared" ca="1" si="24"/>
        <v>13</v>
      </c>
      <c r="H140" s="95">
        <f t="shared" ca="1" si="26"/>
        <v>45303</v>
      </c>
      <c r="I140" s="119">
        <f ca="1">HLOOKUP($H$5,'Met Data'!$A$2:$F$368,G140,FALSE)</f>
        <v>18.314999999999898</v>
      </c>
      <c r="J140" s="119">
        <f ca="1">HLOOKUP($H$5,'Met Data'!$H$2:$M$368,G140,FALSE)*L140</f>
        <v>0.95</v>
      </c>
      <c r="K140" s="96">
        <f ca="1">HLOOKUP($H$5,'Met Data'!$O$2:$T$368,G140,FALSE)</f>
        <v>4.1021279144140701</v>
      </c>
      <c r="L140">
        <f t="shared" ca="1" si="20"/>
        <v>1</v>
      </c>
      <c r="N140" t="b">
        <f t="shared" ca="1" si="25"/>
        <v>0</v>
      </c>
      <c r="O140" t="b">
        <f t="shared" ca="1" si="21"/>
        <v>0</v>
      </c>
      <c r="P140" s="2">
        <f ca="1"/>
        <v>45363</v>
      </c>
      <c r="Q140">
        <f ca="1"/>
        <v>26.452342579039232</v>
      </c>
      <c r="R140">
        <f ca="1"/>
        <v>1.3348100235120697</v>
      </c>
      <c r="S140">
        <f ca="1"/>
        <v>1.4192042652359405E-2</v>
      </c>
      <c r="T140">
        <f ca="1"/>
        <v>0.25492385565084191</v>
      </c>
      <c r="U140">
        <f ca="1"/>
        <v>0</v>
      </c>
      <c r="V140">
        <f ca="1"/>
        <v>34.455015196353699</v>
      </c>
      <c r="W140">
        <f ca="1"/>
        <v>31.51995834629394</v>
      </c>
      <c r="X140">
        <f ca="1"/>
        <v>0</v>
      </c>
      <c r="Y140">
        <f ca="1"/>
        <v>0.50471588877231865</v>
      </c>
      <c r="Z140">
        <f ca="1"/>
        <v>0</v>
      </c>
      <c r="AA140">
        <f ca="1"/>
        <v>0</v>
      </c>
      <c r="AB140">
        <f ca="1"/>
        <v>0.95245672067671094</v>
      </c>
      <c r="AD140" s="2">
        <f t="shared" ca="1" si="22"/>
        <v>45363</v>
      </c>
      <c r="AE140">
        <f t="shared" ca="1" si="23"/>
        <v>0</v>
      </c>
      <c r="AG140" s="63">
        <f t="shared" ca="1" si="27"/>
        <v>27.787152602551298</v>
      </c>
      <c r="AH140" s="63">
        <f t="shared" ca="1" si="28"/>
        <v>27.787152602551302</v>
      </c>
      <c r="AI140" s="3">
        <f t="shared" ca="1" si="29"/>
        <v>0</v>
      </c>
    </row>
    <row r="141" spans="7:35">
      <c r="G141" s="3">
        <f t="shared" ca="1" si="24"/>
        <v>14</v>
      </c>
      <c r="H141" s="95">
        <f t="shared" ca="1" si="26"/>
        <v>45304</v>
      </c>
      <c r="I141" s="119">
        <f ca="1">HLOOKUP($H$5,'Met Data'!$A$2:$F$368,G141,FALSE)</f>
        <v>18.473333333333301</v>
      </c>
      <c r="J141" s="119">
        <f ca="1">HLOOKUP($H$5,'Met Data'!$H$2:$M$368,G141,FALSE)*L141</f>
        <v>3.7233333333333301</v>
      </c>
      <c r="K141" s="96">
        <f ca="1">HLOOKUP($H$5,'Met Data'!$O$2:$T$368,G141,FALSE)</f>
        <v>4.3613860913388498</v>
      </c>
      <c r="L141">
        <f t="shared" ca="1" si="20"/>
        <v>1</v>
      </c>
      <c r="N141" t="b">
        <f t="shared" ca="1" si="25"/>
        <v>0</v>
      </c>
      <c r="O141" t="b">
        <f t="shared" ca="1" si="21"/>
        <v>0</v>
      </c>
      <c r="P141" s="2">
        <f ca="1"/>
        <v>45364</v>
      </c>
      <c r="Q141">
        <f ca="1"/>
        <v>25.339213866917575</v>
      </c>
      <c r="R141">
        <f ca="1"/>
        <v>1.3759007343461604</v>
      </c>
      <c r="S141">
        <f ca="1"/>
        <v>1.3632313274538177E-2</v>
      </c>
      <c r="T141">
        <f ca="1"/>
        <v>0.24913970894996321</v>
      </c>
      <c r="U141">
        <f ca="1"/>
        <v>0</v>
      </c>
      <c r="V141">
        <f ca="1"/>
        <v>35.830915930699859</v>
      </c>
      <c r="W141">
        <f ca="1"/>
        <v>32.77865272178839</v>
      </c>
      <c r="X141">
        <f ca="1"/>
        <v>0</v>
      </c>
      <c r="Y141">
        <f ca="1"/>
        <v>0.48702249070652387</v>
      </c>
      <c r="Z141">
        <f ca="1"/>
        <v>0</v>
      </c>
      <c r="AA141">
        <f ca="1"/>
        <v>0</v>
      </c>
      <c r="AB141">
        <f ca="1"/>
        <v>0.95888708034528936</v>
      </c>
      <c r="AD141" s="2">
        <f t="shared" ca="1" si="22"/>
        <v>45364</v>
      </c>
      <c r="AE141">
        <f t="shared" ca="1" si="23"/>
        <v>0</v>
      </c>
      <c r="AG141" s="63">
        <f t="shared" ca="1" si="27"/>
        <v>26.715114601263735</v>
      </c>
      <c r="AH141" s="63">
        <f t="shared" ca="1" si="28"/>
        <v>26.715114601263735</v>
      </c>
      <c r="AI141" s="3">
        <f t="shared" ca="1" si="29"/>
        <v>0</v>
      </c>
    </row>
    <row r="142" spans="7:35">
      <c r="G142" s="3">
        <f t="shared" ca="1" si="24"/>
        <v>15</v>
      </c>
      <c r="H142" s="95">
        <f t="shared" ca="1" si="26"/>
        <v>45305</v>
      </c>
      <c r="I142" s="119">
        <f ca="1">HLOOKUP($H$5,'Met Data'!$A$2:$F$368,G142,FALSE)</f>
        <v>18.684999999999999</v>
      </c>
      <c r="J142" s="119">
        <f ca="1">HLOOKUP($H$5,'Met Data'!$H$2:$M$368,G142,FALSE)*L142</f>
        <v>2.2466666666666599</v>
      </c>
      <c r="K142" s="96">
        <f ca="1">HLOOKUP($H$5,'Met Data'!$O$2:$T$368,G142,FALSE)</f>
        <v>4.5029029229169799</v>
      </c>
      <c r="L142">
        <f t="shared" ca="1" si="20"/>
        <v>1</v>
      </c>
      <c r="N142" t="b">
        <f t="shared" ca="1" si="25"/>
        <v>0</v>
      </c>
      <c r="O142" t="b">
        <f t="shared" ca="1" si="21"/>
        <v>0</v>
      </c>
      <c r="P142" s="2">
        <f ca="1"/>
        <v>45365</v>
      </c>
      <c r="Q142">
        <f ca="1"/>
        <v>24.203189735096423</v>
      </c>
      <c r="R142">
        <f ca="1"/>
        <v>1.3987019907541054</v>
      </c>
      <c r="S142">
        <f ca="1"/>
        <v>1.3545694347270487E-2</v>
      </c>
      <c r="T142">
        <f ca="1"/>
        <v>0.24913216458567999</v>
      </c>
      <c r="U142">
        <f ca="1"/>
        <v>0</v>
      </c>
      <c r="V142">
        <f ca="1"/>
        <v>37.229617921453965</v>
      </c>
      <c r="W142">
        <f ca="1"/>
        <v>34.058206024441219</v>
      </c>
      <c r="X142">
        <f ca="1"/>
        <v>0</v>
      </c>
      <c r="Y142">
        <f ca="1"/>
        <v>0.49629807427709938</v>
      </c>
      <c r="Z142">
        <f ca="1"/>
        <v>0</v>
      </c>
      <c r="AA142">
        <f ca="1"/>
        <v>0</v>
      </c>
      <c r="AB142">
        <f ca="1"/>
        <v>0.96441455015115396</v>
      </c>
      <c r="AD142" s="2">
        <f t="shared" ca="1" si="22"/>
        <v>45365</v>
      </c>
      <c r="AE142">
        <f t="shared" ca="1" si="23"/>
        <v>0</v>
      </c>
      <c r="AG142" s="63">
        <f t="shared" ca="1" si="27"/>
        <v>25.601891725850528</v>
      </c>
      <c r="AH142" s="63">
        <f t="shared" ca="1" si="28"/>
        <v>25.601891725850528</v>
      </c>
      <c r="AI142" s="3">
        <f t="shared" ca="1" si="29"/>
        <v>0</v>
      </c>
    </row>
    <row r="143" spans="7:35">
      <c r="G143" s="3">
        <f t="shared" ca="1" si="24"/>
        <v>16</v>
      </c>
      <c r="H143" s="95">
        <f t="shared" ca="1" si="26"/>
        <v>45306</v>
      </c>
      <c r="I143" s="119">
        <f ca="1">HLOOKUP($H$5,'Met Data'!$A$2:$F$368,G143,FALSE)</f>
        <v>18.661666666666601</v>
      </c>
      <c r="J143" s="119">
        <f ca="1">HLOOKUP($H$5,'Met Data'!$H$2:$M$368,G143,FALSE)*L143</f>
        <v>1.3333333333333299</v>
      </c>
      <c r="K143" s="96">
        <f ca="1">HLOOKUP($H$5,'Met Data'!$O$2:$T$368,G143,FALSE)</f>
        <v>4.6368762557636201</v>
      </c>
      <c r="L143">
        <f t="shared" ca="1" si="20"/>
        <v>1</v>
      </c>
      <c r="N143" t="b">
        <f t="shared" ca="1" si="25"/>
        <v>0</v>
      </c>
      <c r="O143" t="b">
        <f t="shared" ca="1" si="21"/>
        <v>0</v>
      </c>
      <c r="P143" s="2">
        <f ca="1"/>
        <v>45366</v>
      </c>
      <c r="Q143">
        <f ca="1"/>
        <v>23.014998562789131</v>
      </c>
      <c r="R143">
        <f ca="1"/>
        <v>1.4550492389256533</v>
      </c>
      <c r="S143">
        <f ca="1"/>
        <v>1.3584574729776921E-2</v>
      </c>
      <c r="T143">
        <f ca="1"/>
        <v>0.25327349188858511</v>
      </c>
      <c r="U143">
        <f ca="1"/>
        <v>0</v>
      </c>
      <c r="V143">
        <f ca="1"/>
        <v>38.684667160379618</v>
      </c>
      <c r="W143">
        <f ca="1"/>
        <v>35.389306624495433</v>
      </c>
      <c r="X143">
        <f ca="1"/>
        <v>0</v>
      </c>
      <c r="Y143">
        <f ca="1"/>
        <v>0.50065435729913632</v>
      </c>
      <c r="Z143">
        <f ca="1"/>
        <v>0</v>
      </c>
      <c r="AA143">
        <f ca="1"/>
        <v>0</v>
      </c>
      <c r="AB143">
        <f ca="1"/>
        <v>0.96927300639933089</v>
      </c>
      <c r="AD143" s="2">
        <f t="shared" ca="1" si="22"/>
        <v>45366</v>
      </c>
      <c r="AE143">
        <f t="shared" ca="1" si="23"/>
        <v>0</v>
      </c>
      <c r="AG143" s="63">
        <f t="shared" ca="1" si="27"/>
        <v>24.470047801714784</v>
      </c>
      <c r="AH143" s="63">
        <f t="shared" ca="1" si="28"/>
        <v>24.470047801714784</v>
      </c>
      <c r="AI143" s="3">
        <f t="shared" ca="1" si="29"/>
        <v>0</v>
      </c>
    </row>
    <row r="144" spans="7:35">
      <c r="G144" s="3">
        <f t="shared" ca="1" si="24"/>
        <v>17</v>
      </c>
      <c r="H144" s="95">
        <f t="shared" ca="1" si="26"/>
        <v>45307</v>
      </c>
      <c r="I144" s="119">
        <f ca="1">HLOOKUP($H$5,'Met Data'!$A$2:$F$368,G144,FALSE)</f>
        <v>18.636666666666599</v>
      </c>
      <c r="J144" s="119">
        <f ca="1">HLOOKUP($H$5,'Met Data'!$H$2:$M$368,G144,FALSE)*L144</f>
        <v>3.0133333333333301</v>
      </c>
      <c r="K144" s="96">
        <f ca="1">HLOOKUP($H$5,'Met Data'!$O$2:$T$368,G144,FALSE)</f>
        <v>4.4386060395545801</v>
      </c>
      <c r="L144">
        <f t="shared" ca="1" si="20"/>
        <v>1</v>
      </c>
      <c r="N144" t="b">
        <f t="shared" ca="1" si="25"/>
        <v>0</v>
      </c>
      <c r="O144" t="b">
        <f t="shared" ca="1" si="21"/>
        <v>0</v>
      </c>
      <c r="P144" s="2">
        <f ca="1"/>
        <v>45367</v>
      </c>
      <c r="Q144">
        <f ca="1"/>
        <v>21.787443731472734</v>
      </c>
      <c r="R144">
        <f ca="1"/>
        <v>1.4928374646008891</v>
      </c>
      <c r="S144">
        <f ca="1"/>
        <v>1.3316945791754797E-2</v>
      </c>
      <c r="T144">
        <f ca="1"/>
        <v>0.25196568749273712</v>
      </c>
      <c r="U144">
        <f ca="1"/>
        <v>0</v>
      </c>
      <c r="V144">
        <f ca="1"/>
        <v>40.177504624980507</v>
      </c>
      <c r="W144">
        <f ca="1"/>
        <v>36.754976453222909</v>
      </c>
      <c r="X144">
        <f ca="1"/>
        <v>0</v>
      </c>
      <c r="Y144">
        <f ca="1"/>
        <v>0.4982079945091562</v>
      </c>
      <c r="Z144">
        <f ca="1"/>
        <v>0</v>
      </c>
      <c r="AA144">
        <f ca="1"/>
        <v>0</v>
      </c>
      <c r="AB144">
        <f ca="1"/>
        <v>0.9734784289948718</v>
      </c>
      <c r="AD144" s="2">
        <f t="shared" ca="1" si="22"/>
        <v>45367</v>
      </c>
      <c r="AE144">
        <f t="shared" ca="1" si="23"/>
        <v>0</v>
      </c>
      <c r="AG144" s="63">
        <f t="shared" ca="1" si="27"/>
        <v>23.280281196073624</v>
      </c>
      <c r="AH144" s="63">
        <f t="shared" ca="1" si="28"/>
        <v>23.280281196073624</v>
      </c>
      <c r="AI144" s="3">
        <f t="shared" ca="1" si="29"/>
        <v>0</v>
      </c>
    </row>
    <row r="145" spans="7:35">
      <c r="G145" s="3">
        <f t="shared" ca="1" si="24"/>
        <v>18</v>
      </c>
      <c r="H145" s="95">
        <f t="shared" ca="1" si="26"/>
        <v>45308</v>
      </c>
      <c r="I145" s="119">
        <f ca="1">HLOOKUP($H$5,'Met Data'!$A$2:$F$368,G145,FALSE)</f>
        <v>18.4233333333333</v>
      </c>
      <c r="J145" s="119">
        <f ca="1">HLOOKUP($H$5,'Met Data'!$H$2:$M$368,G145,FALSE)*L145</f>
        <v>2.7833333333333301</v>
      </c>
      <c r="K145" s="96">
        <f ca="1">HLOOKUP($H$5,'Met Data'!$O$2:$T$368,G145,FALSE)</f>
        <v>4.10260332014568</v>
      </c>
      <c r="L145">
        <f t="shared" ca="1" si="20"/>
        <v>1</v>
      </c>
      <c r="N145" t="b">
        <f t="shared" ca="1" si="25"/>
        <v>0</v>
      </c>
      <c r="O145" t="b">
        <f t="shared" ca="1" si="21"/>
        <v>0</v>
      </c>
      <c r="P145" s="2">
        <f ca="1"/>
        <v>45368</v>
      </c>
      <c r="Q145">
        <f ca="1"/>
        <v>20.520384756844145</v>
      </c>
      <c r="R145">
        <f ca="1"/>
        <v>1.5238584739500851</v>
      </c>
      <c r="S145">
        <f ca="1"/>
        <v>1.255453014005159E-2</v>
      </c>
      <c r="T145">
        <f ca="1"/>
        <v>0.24424496918144309</v>
      </c>
      <c r="U145">
        <f ca="1"/>
        <v>0</v>
      </c>
      <c r="V145">
        <f ca="1"/>
        <v>41.701363098930592</v>
      </c>
      <c r="W145">
        <f ca="1"/>
        <v>38.149024760873544</v>
      </c>
      <c r="X145">
        <f ca="1"/>
        <v>0</v>
      </c>
      <c r="Y145">
        <f ca="1"/>
        <v>0.47901243426452955</v>
      </c>
      <c r="Z145">
        <f ca="1"/>
        <v>0</v>
      </c>
      <c r="AA145">
        <f ca="1"/>
        <v>0</v>
      </c>
      <c r="AB145">
        <f ca="1"/>
        <v>0.97710096248369416</v>
      </c>
      <c r="AD145" s="2">
        <f t="shared" ca="1" si="22"/>
        <v>45368</v>
      </c>
      <c r="AE145">
        <f t="shared" ca="1" si="23"/>
        <v>0</v>
      </c>
      <c r="AG145" s="63">
        <f t="shared" ca="1" si="27"/>
        <v>22.04424323079423</v>
      </c>
      <c r="AH145" s="63">
        <f t="shared" ca="1" si="28"/>
        <v>22.04424323079423</v>
      </c>
      <c r="AI145" s="3">
        <f t="shared" ca="1" si="29"/>
        <v>0</v>
      </c>
    </row>
    <row r="146" spans="7:35">
      <c r="G146" s="3">
        <f t="shared" ca="1" si="24"/>
        <v>19</v>
      </c>
      <c r="H146" s="95">
        <f t="shared" ca="1" si="26"/>
        <v>45309</v>
      </c>
      <c r="I146" s="119">
        <f ca="1">HLOOKUP($H$5,'Met Data'!$A$2:$F$368,G146,FALSE)</f>
        <v>18.466666666666601</v>
      </c>
      <c r="J146" s="119">
        <f ca="1">HLOOKUP($H$5,'Met Data'!$H$2:$M$368,G146,FALSE)*L146</f>
        <v>2.1566666666666601</v>
      </c>
      <c r="K146" s="96">
        <f ca="1">HLOOKUP($H$5,'Met Data'!$O$2:$T$368,G146,FALSE)</f>
        <v>4.3976375931712202</v>
      </c>
      <c r="L146">
        <f t="shared" ca="1" si="20"/>
        <v>1</v>
      </c>
      <c r="N146" t="b">
        <f t="shared" ca="1" si="25"/>
        <v>0</v>
      </c>
      <c r="O146" t="b">
        <f t="shared" ca="1" si="21"/>
        <v>0</v>
      </c>
      <c r="P146" s="2">
        <f ca="1"/>
        <v>45369</v>
      </c>
      <c r="Q146">
        <f ca="1"/>
        <v>19.254318352373677</v>
      </c>
      <c r="R146">
        <f ca="1"/>
        <v>1.5073278317655721</v>
      </c>
      <c r="S146">
        <f ca="1"/>
        <v>1.1494408379534082E-2</v>
      </c>
      <c r="T146">
        <f ca="1"/>
        <v>0.22976701891556969</v>
      </c>
      <c r="U146">
        <f ca="1"/>
        <v>0</v>
      </c>
      <c r="V146">
        <f ca="1"/>
        <v>43.208690930696164</v>
      </c>
      <c r="W146">
        <f ca="1"/>
        <v>39.527950592155385</v>
      </c>
      <c r="X146">
        <f ca="1"/>
        <v>0</v>
      </c>
      <c r="Y146">
        <f ca="1"/>
        <v>0.45860177569548194</v>
      </c>
      <c r="Z146">
        <f ca="1"/>
        <v>0</v>
      </c>
      <c r="AA146">
        <f ca="1"/>
        <v>0</v>
      </c>
      <c r="AB146">
        <f ca="1"/>
        <v>0.98013446967026563</v>
      </c>
      <c r="AD146" s="2">
        <f t="shared" ca="1" si="22"/>
        <v>45369</v>
      </c>
      <c r="AE146">
        <f t="shared" ca="1" si="23"/>
        <v>0</v>
      </c>
      <c r="AG146" s="63">
        <f t="shared" ca="1" si="27"/>
        <v>20.761646184139249</v>
      </c>
      <c r="AH146" s="63">
        <f t="shared" ca="1" si="28"/>
        <v>20.761646184139249</v>
      </c>
      <c r="AI146" s="3">
        <f t="shared" ca="1" si="29"/>
        <v>0</v>
      </c>
    </row>
    <row r="147" spans="7:35">
      <c r="G147" s="3">
        <f t="shared" ca="1" si="24"/>
        <v>20</v>
      </c>
      <c r="H147" s="95">
        <f t="shared" ca="1" si="26"/>
        <v>45310</v>
      </c>
      <c r="I147" s="119">
        <f ca="1">HLOOKUP($H$5,'Met Data'!$A$2:$F$368,G147,FALSE)</f>
        <v>18.754999999999999</v>
      </c>
      <c r="J147" s="119">
        <f ca="1">HLOOKUP($H$5,'Met Data'!$H$2:$M$368,G147,FALSE)*L147</f>
        <v>2.2333333333333298</v>
      </c>
      <c r="K147" s="96">
        <f ca="1">HLOOKUP($H$5,'Met Data'!$O$2:$T$368,G147,FALSE)</f>
        <v>4.5811789756342201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45370</v>
      </c>
      <c r="Q147">
        <f ca="1"/>
        <v>17.951865795857131</v>
      </c>
      <c r="R147">
        <f ca="1"/>
        <v>1.5510284795235947</v>
      </c>
      <c r="S147">
        <f ca="1"/>
        <v>1.187250225658687E-2</v>
      </c>
      <c r="T147">
        <f ca="1"/>
        <v>0.23670342075046213</v>
      </c>
      <c r="U147">
        <f ca="1"/>
        <v>0</v>
      </c>
      <c r="V147">
        <f ca="1"/>
        <v>44.759719410219759</v>
      </c>
      <c r="W147">
        <f ca="1"/>
        <v>40.946854423423261</v>
      </c>
      <c r="X147">
        <f ca="1"/>
        <v>0</v>
      </c>
      <c r="Y147">
        <f ca="1"/>
        <v>0.47828276344781534</v>
      </c>
      <c r="Z147">
        <f ca="1"/>
        <v>0</v>
      </c>
      <c r="AA147">
        <f ca="1"/>
        <v>0</v>
      </c>
      <c r="AB147">
        <f ca="1"/>
        <v>0.98278397385835392</v>
      </c>
      <c r="AD147" s="2">
        <f t="shared" ca="1" si="22"/>
        <v>45370</v>
      </c>
      <c r="AE147">
        <f t="shared" ca="1" si="23"/>
        <v>0</v>
      </c>
      <c r="AG147" s="63">
        <f t="shared" ca="1" si="27"/>
        <v>19.502894275380726</v>
      </c>
      <c r="AH147" s="63">
        <f t="shared" ca="1" si="28"/>
        <v>19.502894275380726</v>
      </c>
      <c r="AI147" s="3">
        <f t="shared" ca="1" si="29"/>
        <v>0</v>
      </c>
    </row>
    <row r="148" spans="7:35">
      <c r="G148" s="3">
        <f t="shared" ca="1" si="24"/>
        <v>21</v>
      </c>
      <c r="H148" s="95">
        <f t="shared" ca="1" si="26"/>
        <v>45311</v>
      </c>
      <c r="I148" s="119">
        <f ca="1">HLOOKUP($H$5,'Met Data'!$A$2:$F$368,G148,FALSE)</f>
        <v>18.6933333333333</v>
      </c>
      <c r="J148" s="119">
        <f ca="1">HLOOKUP($H$5,'Met Data'!$H$2:$M$368,G148,FALSE)*L148</f>
        <v>1.02666666666666</v>
      </c>
      <c r="K148" s="96">
        <f ca="1">HLOOKUP($H$5,'Met Data'!$O$2:$T$368,G148,FALSE)</f>
        <v>4.23484882575071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45371</v>
      </c>
      <c r="Q148">
        <f ca="1"/>
        <v>16.570506605501151</v>
      </c>
      <c r="R148">
        <f ca="1"/>
        <v>1.6239835683072172</v>
      </c>
      <c r="S148">
        <f ca="1"/>
        <v>1.1108108302943176E-2</v>
      </c>
      <c r="T148">
        <f ca="1"/>
        <v>0.23151626964829691</v>
      </c>
      <c r="U148">
        <f ca="1"/>
        <v>0</v>
      </c>
      <c r="V148">
        <f ca="1"/>
        <v>46.383702978526976</v>
      </c>
      <c r="W148">
        <f ca="1"/>
        <v>42.432498650726529</v>
      </c>
      <c r="X148">
        <f ca="1"/>
        <v>0</v>
      </c>
      <c r="Y148">
        <f ca="1"/>
        <v>0.44495171783046844</v>
      </c>
      <c r="Z148">
        <f ca="1"/>
        <v>0</v>
      </c>
      <c r="AA148">
        <f ca="1"/>
        <v>0</v>
      </c>
      <c r="AB148">
        <f ca="1"/>
        <v>0.98513361686709677</v>
      </c>
      <c r="AD148" s="2">
        <f t="shared" ca="1" si="22"/>
        <v>45371</v>
      </c>
      <c r="AE148">
        <f t="shared" ca="1" si="23"/>
        <v>0</v>
      </c>
      <c r="AG148" s="63">
        <f t="shared" ca="1" si="27"/>
        <v>18.194490173808369</v>
      </c>
      <c r="AH148" s="63">
        <f t="shared" ca="1" si="28"/>
        <v>18.194490173808369</v>
      </c>
      <c r="AI148" s="3">
        <f t="shared" ca="1" si="29"/>
        <v>0</v>
      </c>
    </row>
    <row r="149" spans="7:35">
      <c r="G149" s="3">
        <f t="shared" ca="1" si="24"/>
        <v>22</v>
      </c>
      <c r="H149" s="95">
        <f t="shared" ca="1" si="26"/>
        <v>45312</v>
      </c>
      <c r="I149" s="119">
        <f ca="1">HLOOKUP($H$5,'Met Data'!$A$2:$F$368,G149,FALSE)</f>
        <v>18.914999999999999</v>
      </c>
      <c r="J149" s="119">
        <f ca="1">HLOOKUP($H$5,'Met Data'!$H$2:$M$368,G149,FALSE)*L149</f>
        <v>8.4066666666666592</v>
      </c>
      <c r="K149" s="96">
        <f ca="1">HLOOKUP($H$5,'Met Data'!$O$2:$T$368,G149,FALSE)</f>
        <v>4.2358684276247196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45372</v>
      </c>
      <c r="Q149">
        <f ca="1"/>
        <v>15.166115598525</v>
      </c>
      <c r="R149">
        <f ca="1"/>
        <v>1.6474488375450065</v>
      </c>
      <c r="S149">
        <f ca="1"/>
        <v>1.1075824360846642E-2</v>
      </c>
      <c r="T149">
        <f ca="1"/>
        <v>0.23198200620800533</v>
      </c>
      <c r="U149">
        <f ca="1"/>
        <v>0</v>
      </c>
      <c r="V149">
        <f ca="1"/>
        <v>48.031151816071983</v>
      </c>
      <c r="W149">
        <f ca="1"/>
        <v>43.939609253962146</v>
      </c>
      <c r="X149">
        <f ca="1"/>
        <v>0</v>
      </c>
      <c r="Y149">
        <f ca="1"/>
        <v>0.45291178116464897</v>
      </c>
      <c r="Z149">
        <f ca="1"/>
        <v>0</v>
      </c>
      <c r="AA149">
        <f ca="1"/>
        <v>0</v>
      </c>
      <c r="AB149">
        <f ca="1"/>
        <v>0.9871504312362035</v>
      </c>
      <c r="AD149" s="2">
        <f t="shared" ca="1" si="22"/>
        <v>45372</v>
      </c>
      <c r="AE149">
        <f t="shared" ca="1" si="23"/>
        <v>0</v>
      </c>
      <c r="AG149" s="63">
        <f t="shared" ca="1" si="27"/>
        <v>16.813564436070006</v>
      </c>
      <c r="AH149" s="63">
        <f t="shared" ca="1" si="28"/>
        <v>16.813564436070006</v>
      </c>
      <c r="AI149" s="3">
        <f t="shared" ca="1" si="29"/>
        <v>0</v>
      </c>
    </row>
    <row r="150" spans="7:35">
      <c r="G150" s="3">
        <f t="shared" ca="1" si="24"/>
        <v>23</v>
      </c>
      <c r="H150" s="95">
        <f t="shared" ca="1" si="26"/>
        <v>45313</v>
      </c>
      <c r="I150" s="119">
        <f ca="1">HLOOKUP($H$5,'Met Data'!$A$2:$F$368,G150,FALSE)</f>
        <v>19.0133333333333</v>
      </c>
      <c r="J150" s="119">
        <f ca="1">HLOOKUP($H$5,'Met Data'!$H$2:$M$368,G150,FALSE)*L150</f>
        <v>3.7366666666666601</v>
      </c>
      <c r="K150" s="96">
        <f ca="1">HLOOKUP($H$5,'Met Data'!$O$2:$T$368,G150,FALSE)</f>
        <v>4.0376213451036698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45373</v>
      </c>
      <c r="Q150">
        <f ca="1"/>
        <v>13.768052956596126</v>
      </c>
      <c r="R150">
        <f ca="1"/>
        <v>1.6379046557450394</v>
      </c>
      <c r="S150">
        <f ca="1"/>
        <v>1.0909443625062298E-2</v>
      </c>
      <c r="T150">
        <f ca="1"/>
        <v>0.22893257019110347</v>
      </c>
      <c r="U150">
        <f ca="1"/>
        <v>0</v>
      </c>
      <c r="V150">
        <f ca="1"/>
        <v>49.669056471817022</v>
      </c>
      <c r="W150">
        <f ca="1"/>
        <v>45.437988698291868</v>
      </c>
      <c r="X150">
        <f ca="1"/>
        <v>0</v>
      </c>
      <c r="Y150">
        <f ca="1"/>
        <v>0.46275653374651537</v>
      </c>
      <c r="Z150">
        <f ca="1"/>
        <v>0</v>
      </c>
      <c r="AA150">
        <f ca="1"/>
        <v>0</v>
      </c>
      <c r="AB150">
        <f ca="1"/>
        <v>0.98885248700548323</v>
      </c>
      <c r="AD150" s="2">
        <f t="shared" ca="1" si="22"/>
        <v>45373</v>
      </c>
      <c r="AE150">
        <f t="shared" ca="1" si="23"/>
        <v>0</v>
      </c>
      <c r="AG150" s="63">
        <f t="shared" ca="1" si="27"/>
        <v>15.405957612341165</v>
      </c>
      <c r="AH150" s="63">
        <f t="shared" ca="1" si="28"/>
        <v>15.405957612341165</v>
      </c>
      <c r="AI150" s="3">
        <f t="shared" ca="1" si="29"/>
        <v>0</v>
      </c>
    </row>
    <row r="151" spans="7:35">
      <c r="G151" s="3">
        <f t="shared" ca="1" si="24"/>
        <v>24</v>
      </c>
      <c r="H151" s="95">
        <f t="shared" ca="1" si="26"/>
        <v>45314</v>
      </c>
      <c r="I151" s="119">
        <f ca="1">HLOOKUP($H$5,'Met Data'!$A$2:$F$368,G151,FALSE)</f>
        <v>19.03</v>
      </c>
      <c r="J151" s="119">
        <f ca="1">HLOOKUP($H$5,'Met Data'!$H$2:$M$368,G151,FALSE)*L151</f>
        <v>2.4266666666666601</v>
      </c>
      <c r="K151" s="96">
        <f ca="1">HLOOKUP($H$5,'Met Data'!$O$2:$T$368,G151,FALSE)</f>
        <v>4.3725520099572401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45374</v>
      </c>
      <c r="Q151">
        <f ca="1"/>
        <v>12.341501868020247</v>
      </c>
      <c r="R151">
        <f ca="1"/>
        <v>1.6608207922495311</v>
      </c>
      <c r="S151">
        <f ca="1"/>
        <v>1.0417894651387982E-2</v>
      </c>
      <c r="T151">
        <f ca="1"/>
        <v>0.22385180902226498</v>
      </c>
      <c r="U151">
        <f ca="1"/>
        <v>0</v>
      </c>
      <c r="V151">
        <f ca="1"/>
        <v>51.329877264066553</v>
      </c>
      <c r="W151">
        <f ca="1"/>
        <v>46.957332163794213</v>
      </c>
      <c r="X151">
        <f ca="1"/>
        <v>0</v>
      </c>
      <c r="Y151">
        <f ca="1"/>
        <v>0.45023357584859292</v>
      </c>
      <c r="Z151">
        <f ca="1"/>
        <v>0</v>
      </c>
      <c r="AA151">
        <f ca="1"/>
        <v>0</v>
      </c>
      <c r="AB151">
        <f ca="1"/>
        <v>0.99032215228698439</v>
      </c>
      <c r="AD151" s="2">
        <f t="shared" ca="1" si="22"/>
        <v>45374</v>
      </c>
      <c r="AE151">
        <f t="shared" ca="1" si="23"/>
        <v>0</v>
      </c>
      <c r="AG151" s="63">
        <f t="shared" ca="1" si="27"/>
        <v>14.00232266026978</v>
      </c>
      <c r="AH151" s="63">
        <f t="shared" ca="1" si="28"/>
        <v>14.002322660269778</v>
      </c>
      <c r="AI151" s="3">
        <f t="shared" ca="1" si="29"/>
        <v>0</v>
      </c>
    </row>
    <row r="152" spans="7:35">
      <c r="G152" s="3">
        <f t="shared" ca="1" si="24"/>
        <v>25</v>
      </c>
      <c r="H152" s="95">
        <f t="shared" ca="1" si="26"/>
        <v>45315</v>
      </c>
      <c r="I152" s="119">
        <f ca="1">HLOOKUP($H$5,'Met Data'!$A$2:$F$368,G152,FALSE)</f>
        <v>19.07</v>
      </c>
      <c r="J152" s="119">
        <f ca="1">HLOOKUP($H$5,'Met Data'!$H$2:$M$368,G152,FALSE)*L152</f>
        <v>3.4166666666666599</v>
      </c>
      <c r="K152" s="96">
        <f ca="1">HLOOKUP($H$5,'Met Data'!$O$2:$T$368,G152,FALSE)</f>
        <v>4.19340465226154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45375</v>
      </c>
      <c r="Q152">
        <f ca="1"/>
        <v>10.876550206550309</v>
      </c>
      <c r="R152">
        <f ca="1"/>
        <v>1.6954276591946069</v>
      </c>
      <c r="S152">
        <f ca="1"/>
        <v>1.0007531453216867E-2</v>
      </c>
      <c r="T152">
        <f ca="1"/>
        <v>0.2204684662714512</v>
      </c>
      <c r="U152">
        <f ca="1"/>
        <v>0</v>
      </c>
      <c r="V152">
        <f ca="1"/>
        <v>53.02530492326116</v>
      </c>
      <c r="W152">
        <f ca="1"/>
        <v>48.508334503872234</v>
      </c>
      <c r="X152">
        <f ca="1"/>
        <v>0</v>
      </c>
      <c r="Y152">
        <f ca="1"/>
        <v>0.43771637687614601</v>
      </c>
      <c r="Z152">
        <f ca="1"/>
        <v>0</v>
      </c>
      <c r="AA152">
        <f ca="1"/>
        <v>0</v>
      </c>
      <c r="AB152">
        <f ca="1"/>
        <v>0.99160086532136482</v>
      </c>
      <c r="AD152" s="2">
        <f t="shared" ca="1" si="22"/>
        <v>45375</v>
      </c>
      <c r="AE152">
        <f t="shared" ca="1" si="23"/>
        <v>0</v>
      </c>
      <c r="AG152" s="63">
        <f t="shared" ca="1" si="27"/>
        <v>12.571977865744916</v>
      </c>
      <c r="AH152" s="63">
        <f t="shared" ca="1" si="28"/>
        <v>12.571977865744916</v>
      </c>
      <c r="AI152" s="3">
        <f t="shared" ca="1" si="29"/>
        <v>0</v>
      </c>
    </row>
    <row r="153" spans="7:35">
      <c r="G153" s="3">
        <f t="shared" ca="1" si="24"/>
        <v>26</v>
      </c>
      <c r="H153" s="95">
        <f t="shared" ca="1" si="26"/>
        <v>45316</v>
      </c>
      <c r="I153" s="119">
        <f ca="1">HLOOKUP($H$5,'Met Data'!$A$2:$F$368,G153,FALSE)</f>
        <v>19.3</v>
      </c>
      <c r="J153" s="119">
        <f ca="1">HLOOKUP($H$5,'Met Data'!$H$2:$M$368,G153,FALSE)*L153</f>
        <v>3.70333333333333</v>
      </c>
      <c r="K153" s="96">
        <f ca="1">HLOOKUP($H$5,'Met Data'!$O$2:$T$368,G153,FALSE)</f>
        <v>4.6119458181628401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45376</v>
      </c>
      <c r="Q153">
        <f ca="1"/>
        <v>9.375301377501593</v>
      </c>
      <c r="R153">
        <f ca="1"/>
        <v>1.7391654219467938</v>
      </c>
      <c r="S153">
        <f ca="1"/>
        <v>1.0378950540259613E-2</v>
      </c>
      <c r="T153">
        <f ca="1"/>
        <v>0.22753764235781912</v>
      </c>
      <c r="U153">
        <f ca="1"/>
        <v>0</v>
      </c>
      <c r="V153">
        <f ca="1"/>
        <v>54.764470345207954</v>
      </c>
      <c r="W153">
        <f ca="1"/>
        <v>50.099348797282836</v>
      </c>
      <c r="X153">
        <f ca="1"/>
        <v>0</v>
      </c>
      <c r="Y153">
        <f ca="1"/>
        <v>0.45737945375125844</v>
      </c>
      <c r="Z153">
        <f ca="1"/>
        <v>0</v>
      </c>
      <c r="AA153">
        <f ca="1"/>
        <v>0</v>
      </c>
      <c r="AB153">
        <f ca="1"/>
        <v>0.99271872925845539</v>
      </c>
      <c r="AD153" s="2">
        <f t="shared" ca="1" si="22"/>
        <v>45376</v>
      </c>
      <c r="AE153">
        <f t="shared" ca="1" si="23"/>
        <v>0</v>
      </c>
      <c r="AG153" s="63">
        <f t="shared" ca="1" si="27"/>
        <v>11.114466799448387</v>
      </c>
      <c r="AH153" s="63">
        <f t="shared" ca="1" si="28"/>
        <v>11.114466799448387</v>
      </c>
      <c r="AI153" s="3">
        <f t="shared" ca="1" si="29"/>
        <v>0</v>
      </c>
    </row>
    <row r="154" spans="7:35">
      <c r="G154" s="3">
        <f t="shared" ca="1" si="24"/>
        <v>27</v>
      </c>
      <c r="H154" s="95">
        <f t="shared" ca="1" si="26"/>
        <v>45317</v>
      </c>
      <c r="I154" s="119">
        <f ca="1">HLOOKUP($H$5,'Met Data'!$A$2:$F$368,G154,FALSE)</f>
        <v>19.418333333333301</v>
      </c>
      <c r="J154" s="119">
        <f ca="1">HLOOKUP($H$5,'Met Data'!$H$2:$M$368,G154,FALSE)*L154</f>
        <v>1.2566666666666599</v>
      </c>
      <c r="K154" s="96">
        <f ca="1">HLOOKUP($H$5,'Met Data'!$O$2:$T$368,G154,FALSE)</f>
        <v>4.4486726941054897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45377</v>
      </c>
      <c r="Q154">
        <f ca="1"/>
        <v>7.8149147677033923</v>
      </c>
      <c r="R154">
        <f ca="1"/>
        <v>1.7920659729987491</v>
      </c>
      <c r="S154">
        <f ca="1"/>
        <v>9.7163920597758136E-3</v>
      </c>
      <c r="T154">
        <f ca="1"/>
        <v>0.22196297114077226</v>
      </c>
      <c r="U154">
        <f ca="1"/>
        <v>0</v>
      </c>
      <c r="V154">
        <f ca="1"/>
        <v>56.556536318206703</v>
      </c>
      <c r="W154">
        <f ca="1"/>
        <v>51.738757298507608</v>
      </c>
      <c r="X154">
        <f ca="1"/>
        <v>0</v>
      </c>
      <c r="Y154">
        <f ca="1"/>
        <v>0.42951512305377393</v>
      </c>
      <c r="Z154">
        <f ca="1"/>
        <v>0</v>
      </c>
      <c r="AA154">
        <f ca="1"/>
        <v>0</v>
      </c>
      <c r="AB154">
        <f ca="1"/>
        <v>0.99369949297198346</v>
      </c>
      <c r="AD154" s="2">
        <f t="shared" ca="1" si="22"/>
        <v>45377</v>
      </c>
      <c r="AE154">
        <f t="shared" ca="1" si="23"/>
        <v>0</v>
      </c>
      <c r="AG154" s="63">
        <f t="shared" ca="1" si="27"/>
        <v>9.6069807407021415</v>
      </c>
      <c r="AH154" s="63">
        <f t="shared" ca="1" si="28"/>
        <v>9.6069807407021415</v>
      </c>
      <c r="AI154" s="3">
        <f t="shared" ca="1" si="29"/>
        <v>0</v>
      </c>
    </row>
    <row r="155" spans="7:35">
      <c r="G155" s="3">
        <f t="shared" ca="1" si="24"/>
        <v>28</v>
      </c>
      <c r="H155" s="95">
        <f t="shared" ca="1" si="26"/>
        <v>45318</v>
      </c>
      <c r="I155" s="119">
        <f ca="1">HLOOKUP($H$5,'Met Data'!$A$2:$F$368,G155,FALSE)</f>
        <v>19.086666666666599</v>
      </c>
      <c r="J155" s="119">
        <f ca="1">HLOOKUP($H$5,'Met Data'!$H$2:$M$368,G155,FALSE)*L155</f>
        <v>2.65</v>
      </c>
      <c r="K155" s="96">
        <f ca="1">HLOOKUP($H$5,'Met Data'!$O$2:$T$368,G155,FALSE)</f>
        <v>4.6925683722845504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45378</v>
      </c>
      <c r="Q155">
        <f ca="1"/>
        <v>6.232522397802164</v>
      </c>
      <c r="R155">
        <f ca="1"/>
        <v>1.8133717893626553</v>
      </c>
      <c r="S155">
        <f ca="1"/>
        <v>9.5928786390131471E-3</v>
      </c>
      <c r="T155">
        <f ca="1"/>
        <v>0.22138654082241357</v>
      </c>
      <c r="U155">
        <f ca="1"/>
        <v>0</v>
      </c>
      <c r="V155">
        <f ca="1"/>
        <v>58.369908107569358</v>
      </c>
      <c r="W155">
        <f ca="1"/>
        <v>53.397656676183814</v>
      </c>
      <c r="X155">
        <f ca="1"/>
        <v>0</v>
      </c>
      <c r="Y155">
        <f ca="1"/>
        <v>0.43149000040359398</v>
      </c>
      <c r="Z155">
        <f ca="1"/>
        <v>0</v>
      </c>
      <c r="AA155">
        <f ca="1"/>
        <v>0</v>
      </c>
      <c r="AB155">
        <f ca="1"/>
        <v>0.99454457964918908</v>
      </c>
      <c r="AD155" s="2">
        <f t="shared" ca="1" si="22"/>
        <v>45378</v>
      </c>
      <c r="AE155">
        <f t="shared" ca="1" si="23"/>
        <v>0</v>
      </c>
      <c r="AG155" s="63">
        <f t="shared" ca="1" si="27"/>
        <v>8.0458941871648193</v>
      </c>
      <c r="AH155" s="63">
        <f t="shared" ca="1" si="28"/>
        <v>8.0458941871648193</v>
      </c>
      <c r="AI155" s="3">
        <f t="shared" ca="1" si="29"/>
        <v>0</v>
      </c>
    </row>
    <row r="156" spans="7:35">
      <c r="G156" s="3">
        <f t="shared" ca="1" si="24"/>
        <v>29</v>
      </c>
      <c r="H156" s="95">
        <f t="shared" ca="1" si="26"/>
        <v>45319</v>
      </c>
      <c r="I156" s="119">
        <f ca="1">HLOOKUP($H$5,'Met Data'!$A$2:$F$368,G156,FALSE)</f>
        <v>19.248333333333299</v>
      </c>
      <c r="J156" s="119">
        <f ca="1">HLOOKUP($H$5,'Met Data'!$H$2:$M$368,G156,FALSE)*L156</f>
        <v>1.81</v>
      </c>
      <c r="K156" s="96">
        <f ca="1">HLOOKUP($H$5,'Met Data'!$O$2:$T$368,G156,FALSE)</f>
        <v>4.8021312602016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45379</v>
      </c>
      <c r="Q156">
        <f ca="1"/>
        <v>4.5964434486844361</v>
      </c>
      <c r="R156">
        <f ca="1"/>
        <v>1.8732463408144042</v>
      </c>
      <c r="S156">
        <f ca="1"/>
        <v>9.7975424707414938E-3</v>
      </c>
      <c r="T156">
        <f ca="1"/>
        <v>0.22736984922593417</v>
      </c>
      <c r="U156">
        <f ca="1"/>
        <v>0</v>
      </c>
      <c r="V156">
        <f ca="1"/>
        <v>60.243154448383763</v>
      </c>
      <c r="W156">
        <f ca="1"/>
        <v>55.111330180558475</v>
      </c>
      <c r="X156">
        <f ca="1"/>
        <v>0</v>
      </c>
      <c r="Y156">
        <f ca="1"/>
        <v>0.44044654020246982</v>
      </c>
      <c r="Z156">
        <f ca="1"/>
        <v>0</v>
      </c>
      <c r="AA156">
        <f ca="1"/>
        <v>0</v>
      </c>
      <c r="AB156">
        <f ca="1"/>
        <v>0.99528787167389654</v>
      </c>
      <c r="AD156" s="2">
        <f t="shared" ca="1" si="22"/>
        <v>45379</v>
      </c>
      <c r="AE156">
        <f t="shared" ca="1" si="23"/>
        <v>0</v>
      </c>
      <c r="AG156" s="63">
        <f t="shared" ca="1" si="27"/>
        <v>6.4696897894988394</v>
      </c>
      <c r="AH156" s="63">
        <f t="shared" ca="1" si="28"/>
        <v>6.4696897894988403</v>
      </c>
      <c r="AI156" s="3">
        <f t="shared" ca="1" si="29"/>
        <v>0</v>
      </c>
    </row>
    <row r="157" spans="7:35">
      <c r="G157" s="3">
        <f t="shared" ca="1" si="24"/>
        <v>30</v>
      </c>
      <c r="H157" s="95">
        <f t="shared" ca="1" si="26"/>
        <v>45320</v>
      </c>
      <c r="I157" s="119">
        <f ca="1">HLOOKUP($H$5,'Met Data'!$A$2:$F$368,G157,FALSE)</f>
        <v>19.486666666666601</v>
      </c>
      <c r="J157" s="119">
        <f ca="1">HLOOKUP($H$5,'Met Data'!$H$2:$M$368,G157,FALSE)*L157</f>
        <v>2.1066666666666598</v>
      </c>
      <c r="K157" s="96">
        <f ca="1">HLOOKUP($H$5,'Met Data'!$O$2:$T$368,G157,FALSE)</f>
        <v>4.81456570354226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45380</v>
      </c>
      <c r="Q157">
        <f ca="1"/>
        <v>2.9516555018008379</v>
      </c>
      <c r="R157">
        <f ca="1"/>
        <v>1.8712489530382541</v>
      </c>
      <c r="S157">
        <f ca="1"/>
        <v>9.0436565013942705E-3</v>
      </c>
      <c r="T157">
        <f ca="1"/>
        <v>0.21741734965326184</v>
      </c>
      <c r="U157">
        <f ca="1"/>
        <v>0</v>
      </c>
      <c r="V157">
        <f ca="1"/>
        <v>62.114403401422017</v>
      </c>
      <c r="W157">
        <f ca="1"/>
        <v>56.823176445004592</v>
      </c>
      <c r="X157">
        <f ca="1"/>
        <v>0</v>
      </c>
      <c r="Y157">
        <f ca="1"/>
        <v>0.41765458237077813</v>
      </c>
      <c r="Z157">
        <f ca="1"/>
        <v>0</v>
      </c>
      <c r="AA157">
        <f ca="1"/>
        <v>0</v>
      </c>
      <c r="AB157">
        <f ca="1"/>
        <v>0.99592051912098323</v>
      </c>
      <c r="AD157" s="2">
        <f t="shared" ca="1" si="22"/>
        <v>45380</v>
      </c>
      <c r="AE157">
        <f t="shared" ca="1" si="23"/>
        <v>0</v>
      </c>
      <c r="AG157" s="63">
        <f t="shared" ca="1" si="27"/>
        <v>4.822904454839092</v>
      </c>
      <c r="AH157" s="63">
        <f t="shared" ca="1" si="28"/>
        <v>4.822904454839092</v>
      </c>
      <c r="AI157" s="3">
        <f t="shared" ca="1" si="29"/>
        <v>0</v>
      </c>
    </row>
    <row r="158" spans="7:35">
      <c r="G158" s="3">
        <f t="shared" ca="1" si="24"/>
        <v>31</v>
      </c>
      <c r="H158" s="95">
        <f t="shared" ca="1" si="26"/>
        <v>45321</v>
      </c>
      <c r="I158" s="119">
        <f ca="1">HLOOKUP($H$5,'Met Data'!$A$2:$F$368,G158,FALSE)</f>
        <v>19.725000000000001</v>
      </c>
      <c r="J158" s="119">
        <f ca="1">HLOOKUP($H$5,'Met Data'!$H$2:$M$368,G158,FALSE)*L158</f>
        <v>3.1033333333333299</v>
      </c>
      <c r="K158" s="96">
        <f ca="1">HLOOKUP($H$5,'Met Data'!$O$2:$T$368,G158,FALSE)</f>
        <v>4.4640725934925003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45381</v>
      </c>
      <c r="Q158">
        <f ca="1"/>
        <v>1.3135737375976015</v>
      </c>
      <c r="R158">
        <f ca="1"/>
        <v>1.8646378493423228</v>
      </c>
      <c r="S158">
        <f ca="1"/>
        <v>9.0770581061909716E-3</v>
      </c>
      <c r="T158">
        <f ca="1"/>
        <v>0.21747902703289546</v>
      </c>
      <c r="U158">
        <f ca="1"/>
        <v>0</v>
      </c>
      <c r="V158">
        <f ca="1"/>
        <v>63.97904125076434</v>
      </c>
      <c r="W158">
        <f ca="1"/>
        <v>58.528974773847381</v>
      </c>
      <c r="X158">
        <f ca="1"/>
        <v>0</v>
      </c>
      <c r="Y158">
        <f ca="1"/>
        <v>0.4308730204992684</v>
      </c>
      <c r="Z158">
        <f ca="1"/>
        <v>0</v>
      </c>
      <c r="AA158">
        <f ca="1"/>
        <v>0</v>
      </c>
      <c r="AB158">
        <f ca="1"/>
        <v>0.99645954105579915</v>
      </c>
      <c r="AD158" s="2">
        <f t="shared" ca="1" si="22"/>
        <v>45381</v>
      </c>
      <c r="AE158">
        <f t="shared" ca="1" si="23"/>
        <v>0</v>
      </c>
      <c r="AG158" s="63">
        <f t="shared" ca="1" si="27"/>
        <v>3.1782115869399243</v>
      </c>
      <c r="AH158" s="63">
        <f t="shared" ca="1" si="28"/>
        <v>3.1782115869399243</v>
      </c>
      <c r="AI158" s="3">
        <f t="shared" ca="1" si="29"/>
        <v>0</v>
      </c>
    </row>
    <row r="159" spans="7:35">
      <c r="G159" s="3">
        <f t="shared" ca="1" si="24"/>
        <v>32</v>
      </c>
      <c r="H159" s="95">
        <f t="shared" ca="1" si="26"/>
        <v>45322</v>
      </c>
      <c r="I159" s="119">
        <f ca="1">HLOOKUP($H$5,'Met Data'!$A$2:$F$368,G159,FALSE)</f>
        <v>19.670000000000002</v>
      </c>
      <c r="J159" s="119">
        <f ca="1">HLOOKUP($H$5,'Met Data'!$H$2:$M$368,G159,FALSE)*L159</f>
        <v>2.7466666666666599</v>
      </c>
      <c r="K159" s="96">
        <f ca="1">HLOOKUP($H$5,'Met Data'!$O$2:$T$368,G159,FALSE)</f>
        <v>4.1799437739427896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45382</v>
      </c>
      <c r="Q159">
        <f ca="1"/>
        <v>-0.31083903635154586</v>
      </c>
      <c r="R159">
        <f ca="1"/>
        <v>1.8427146233644294</v>
      </c>
      <c r="S159">
        <f ca="1"/>
        <v>8.5704317956767362E-3</v>
      </c>
      <c r="T159">
        <f ca="1"/>
        <v>0.2097314176196052</v>
      </c>
      <c r="U159">
        <f ca="1"/>
        <v>0</v>
      </c>
      <c r="V159">
        <f ca="1"/>
        <v>65.821755874128769</v>
      </c>
      <c r="W159">
        <f ca="1"/>
        <v>60.214717410777055</v>
      </c>
      <c r="X159">
        <f ca="1"/>
        <v>0</v>
      </c>
      <c r="Y159">
        <f ca="1"/>
        <v>0.42039121827878861</v>
      </c>
      <c r="Z159">
        <f ca="1"/>
        <v>0</v>
      </c>
      <c r="AA159">
        <f ca="1"/>
        <v>0</v>
      </c>
      <c r="AB159">
        <f ca="1"/>
        <v>0.99691685640742922</v>
      </c>
      <c r="AD159" s="2">
        <f t="shared" ca="1" si="22"/>
        <v>45382</v>
      </c>
      <c r="AE159">
        <f t="shared" ca="1" si="23"/>
        <v>0</v>
      </c>
      <c r="AG159" s="63">
        <f t="shared" ca="1" si="27"/>
        <v>1.5318755870128835</v>
      </c>
      <c r="AH159" s="63">
        <f t="shared" ca="1" si="28"/>
        <v>1.5318755870128835</v>
      </c>
      <c r="AI159" s="3">
        <f t="shared" ca="1" si="29"/>
        <v>0</v>
      </c>
    </row>
    <row r="160" spans="7:35">
      <c r="G160" s="3">
        <f t="shared" ca="1" si="24"/>
        <v>33</v>
      </c>
      <c r="H160" s="95">
        <f t="shared" ca="1" si="26"/>
        <v>45323</v>
      </c>
      <c r="I160" s="119">
        <f ca="1">HLOOKUP($H$5,'Met Data'!$A$2:$F$368,G160,FALSE)</f>
        <v>19.770689655172401</v>
      </c>
      <c r="J160" s="119">
        <f ca="1">HLOOKUP($H$5,'Met Data'!$H$2:$M$368,G160,FALSE)*L160</f>
        <v>1.1103448275862</v>
      </c>
      <c r="K160" s="96">
        <f ca="1">HLOOKUP($H$5,'Met Data'!$O$2:$T$368,G160,FALSE)</f>
        <v>4.5867414057587403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45383</v>
      </c>
      <c r="Q160">
        <f ca="1"/>
        <v>-1.9385550007655834</v>
      </c>
      <c r="R160">
        <f ca="1"/>
        <v>1.8499791591807622</v>
      </c>
      <c r="S160">
        <f ca="1"/>
        <v>8.7984954071256283E-3</v>
      </c>
      <c r="T160">
        <f ca="1"/>
        <v>0.21346469935959902</v>
      </c>
      <c r="U160">
        <f ca="1"/>
        <v>0</v>
      </c>
      <c r="V160">
        <f ca="1"/>
        <v>67.671735033309531</v>
      </c>
      <c r="W160">
        <f ca="1"/>
        <v>61.907105752694278</v>
      </c>
      <c r="X160">
        <f ca="1"/>
        <v>0</v>
      </c>
      <c r="Y160">
        <f ca="1"/>
        <v>0.43982807661231621</v>
      </c>
      <c r="Z160">
        <f ca="1"/>
        <v>0</v>
      </c>
      <c r="AA160">
        <f ca="1"/>
        <v>0</v>
      </c>
      <c r="AB160">
        <f ca="1"/>
        <v>0.99731231725076797</v>
      </c>
      <c r="AD160" s="2">
        <f t="shared" ca="1" si="22"/>
        <v>45383</v>
      </c>
      <c r="AE160">
        <f t="shared" ca="1" si="23"/>
        <v>0</v>
      </c>
      <c r="AG160" s="63">
        <f t="shared" ca="1" si="27"/>
        <v>-8.8575841584821208E-2</v>
      </c>
      <c r="AH160" s="63">
        <f t="shared" ca="1" si="28"/>
        <v>-8.8575841584821235E-2</v>
      </c>
      <c r="AI160" s="3">
        <f t="shared" ca="1" si="29"/>
        <v>0</v>
      </c>
    </row>
    <row r="161" spans="7:35">
      <c r="G161" s="3">
        <f t="shared" ca="1" si="24"/>
        <v>34</v>
      </c>
      <c r="H161" s="95">
        <f t="shared" ca="1" si="26"/>
        <v>45324</v>
      </c>
      <c r="I161" s="119">
        <f ca="1">HLOOKUP($H$5,'Met Data'!$A$2:$F$368,G161,FALSE)</f>
        <v>19.548275862068898</v>
      </c>
      <c r="J161" s="119">
        <f ca="1">HLOOKUP($H$5,'Met Data'!$H$2:$M$368,G161,FALSE)*L161</f>
        <v>4.0620689655172404</v>
      </c>
      <c r="K161" s="96">
        <f ca="1">HLOOKUP($H$5,'Met Data'!$O$2:$T$368,G161,FALSE)</f>
        <v>4.65070177511826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45384</v>
      </c>
      <c r="Q161">
        <f ca="1"/>
        <v>-3.6069021525219349</v>
      </c>
      <c r="R161">
        <f ca="1"/>
        <v>1.895591173692921</v>
      </c>
      <c r="S161">
        <f ca="1"/>
        <v>8.936749026980273E-3</v>
      </c>
      <c r="T161">
        <f ca="1"/>
        <v>0.21830727290958915</v>
      </c>
      <c r="U161">
        <f ca="1"/>
        <v>0</v>
      </c>
      <c r="V161">
        <f ca="1"/>
        <v>69.567326207002452</v>
      </c>
      <c r="W161">
        <f ca="1"/>
        <v>63.641220641220755</v>
      </c>
      <c r="X161">
        <f ca="1"/>
        <v>0</v>
      </c>
      <c r="Y161">
        <f ca="1"/>
        <v>0.44776232353905204</v>
      </c>
      <c r="Z161">
        <f ca="1"/>
        <v>0</v>
      </c>
      <c r="AA161">
        <f ca="1"/>
        <v>0</v>
      </c>
      <c r="AB161">
        <f ca="1"/>
        <v>0.99766149685203276</v>
      </c>
      <c r="AD161" s="2">
        <f t="shared" ca="1" si="22"/>
        <v>45384</v>
      </c>
      <c r="AE161">
        <f t="shared" ca="1" si="23"/>
        <v>0</v>
      </c>
      <c r="AG161" s="63">
        <f t="shared" ca="1" si="27"/>
        <v>-1.711310978829014</v>
      </c>
      <c r="AH161" s="63">
        <f t="shared" ca="1" si="28"/>
        <v>-1.711310978829014</v>
      </c>
      <c r="AI161" s="3">
        <f t="shared" ca="1" si="29"/>
        <v>0</v>
      </c>
    </row>
    <row r="162" spans="7:35">
      <c r="G162" s="3">
        <f t="shared" ca="1" si="24"/>
        <v>35</v>
      </c>
      <c r="H162" s="95">
        <f t="shared" ca="1" si="26"/>
        <v>45325</v>
      </c>
      <c r="I162" s="119">
        <f ca="1">HLOOKUP($H$5,'Met Data'!$A$2:$F$368,G162,FALSE)</f>
        <v>19.325862068965499</v>
      </c>
      <c r="J162" s="119">
        <f ca="1">HLOOKUP($H$5,'Met Data'!$H$2:$M$368,G162,FALSE)*L162</f>
        <v>1.00344827586206</v>
      </c>
      <c r="K162" s="96">
        <f ca="1">HLOOKUP($H$5,'Met Data'!$O$2:$T$368,G162,FALSE)</f>
        <v>4.2568283320677196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45385</v>
      </c>
      <c r="Q162">
        <f ca="1"/>
        <v>-5.240622562135945</v>
      </c>
      <c r="R162">
        <f ca="1"/>
        <v>1.8485822835532417</v>
      </c>
      <c r="S162">
        <f ca="1"/>
        <v>8.2345485528407814E-3</v>
      </c>
      <c r="T162">
        <f ca="1"/>
        <v>0.20662732538639034</v>
      </c>
      <c r="U162">
        <f ca="1"/>
        <v>0</v>
      </c>
      <c r="V162">
        <f ca="1"/>
        <v>71.415908490555694</v>
      </c>
      <c r="W162">
        <f ca="1"/>
        <v>65.33233110061947</v>
      </c>
      <c r="X162">
        <f ca="1"/>
        <v>0</v>
      </c>
      <c r="Y162">
        <f ca="1"/>
        <v>0.42975639725587522</v>
      </c>
      <c r="Z162">
        <f ca="1"/>
        <v>0</v>
      </c>
      <c r="AA162">
        <f ca="1"/>
        <v>0</v>
      </c>
      <c r="AB162">
        <f ca="1"/>
        <v>0.99795561480730799</v>
      </c>
      <c r="AD162" s="2">
        <f t="shared" ca="1" si="22"/>
        <v>45385</v>
      </c>
      <c r="AE162">
        <f t="shared" ca="1" si="23"/>
        <v>0</v>
      </c>
      <c r="AG162" s="63">
        <f t="shared" ca="1" si="27"/>
        <v>-3.3920402785827037</v>
      </c>
      <c r="AH162" s="63">
        <f t="shared" ca="1" si="28"/>
        <v>-3.3920402785827033</v>
      </c>
      <c r="AI162" s="3">
        <f t="shared" ca="1" si="29"/>
        <v>0</v>
      </c>
    </row>
    <row r="163" spans="7:35">
      <c r="G163" s="3">
        <f t="shared" ca="1" si="24"/>
        <v>36</v>
      </c>
      <c r="H163" s="95">
        <f t="shared" ca="1" si="26"/>
        <v>45326</v>
      </c>
      <c r="I163" s="119">
        <f ca="1">HLOOKUP($H$5,'Met Data'!$A$2:$F$368,G163,FALSE)</f>
        <v>18.712068965517201</v>
      </c>
      <c r="J163" s="119">
        <f ca="1">HLOOKUP($H$5,'Met Data'!$H$2:$M$368,G163,FALSE)*L163</f>
        <v>4.7586206896551699</v>
      </c>
      <c r="K163" s="96">
        <f ca="1">HLOOKUP($H$5,'Met Data'!$O$2:$T$368,G163,FALSE)</f>
        <v>3.6726350990735899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45386</v>
      </c>
      <c r="Q163">
        <f ca="1"/>
        <v>-6.8927996747050955</v>
      </c>
      <c r="R163">
        <f ca="1"/>
        <v>1.8634488532634208</v>
      </c>
      <c r="S163">
        <f ca="1"/>
        <v>7.9045394924133205E-3</v>
      </c>
      <c r="T163">
        <f ca="1"/>
        <v>0.20336720120185675</v>
      </c>
      <c r="U163">
        <f ca="1"/>
        <v>0</v>
      </c>
      <c r="V163">
        <f ca="1"/>
        <v>73.279357343819115</v>
      </c>
      <c r="W163">
        <f ca="1"/>
        <v>67.037041718234519</v>
      </c>
      <c r="X163">
        <f ca="1"/>
        <v>0</v>
      </c>
      <c r="Y163">
        <f ca="1"/>
        <v>0.41792140267873418</v>
      </c>
      <c r="Z163">
        <f ca="1"/>
        <v>0</v>
      </c>
      <c r="AA163">
        <f ca="1"/>
        <v>0</v>
      </c>
      <c r="AB163">
        <f ca="1"/>
        <v>0.99821259438480925</v>
      </c>
      <c r="AD163" s="2">
        <f t="shared" ca="1" si="22"/>
        <v>45386</v>
      </c>
      <c r="AE163">
        <f t="shared" ca="1" si="23"/>
        <v>0</v>
      </c>
      <c r="AG163" s="63">
        <f t="shared" ca="1" si="27"/>
        <v>-5.0293508214416747</v>
      </c>
      <c r="AH163" s="63">
        <f t="shared" ca="1" si="28"/>
        <v>-5.0293508214416747</v>
      </c>
      <c r="AI163" s="3">
        <f t="shared" ca="1" si="29"/>
        <v>0</v>
      </c>
    </row>
    <row r="164" spans="7:35">
      <c r="G164" s="3">
        <f t="shared" ca="1" si="24"/>
        <v>37</v>
      </c>
      <c r="H164" s="95">
        <f t="shared" ca="1" si="26"/>
        <v>45327</v>
      </c>
      <c r="I164" s="119">
        <f ca="1">HLOOKUP($H$5,'Met Data'!$A$2:$F$368,G164,FALSE)</f>
        <v>19.178333333333299</v>
      </c>
      <c r="J164" s="119">
        <f ca="1">HLOOKUP($H$5,'Met Data'!$H$2:$M$368,G164,FALSE)*L164</f>
        <v>2.2833333333333301</v>
      </c>
      <c r="K164" s="96">
        <f ca="1">HLOOKUP($H$5,'Met Data'!$O$2:$T$368,G164,FALSE)</f>
        <v>4.0355922642947899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45387</v>
      </c>
      <c r="Q164">
        <f ca="1"/>
        <v>-8.5568769132942872</v>
      </c>
      <c r="R164">
        <f ca="1"/>
        <v>1.8798096687275034</v>
      </c>
      <c r="S164">
        <f ca="1"/>
        <v>8.1052678946229584E-3</v>
      </c>
      <c r="T164">
        <f ca="1"/>
        <v>0.20762716224368954</v>
      </c>
      <c r="U164">
        <f ca="1"/>
        <v>0</v>
      </c>
      <c r="V164">
        <f ca="1"/>
        <v>75.159167012546618</v>
      </c>
      <c r="W164">
        <f ca="1"/>
        <v>68.756719452218576</v>
      </c>
      <c r="X164">
        <f ca="1"/>
        <v>0</v>
      </c>
      <c r="Y164">
        <f ca="1"/>
        <v>0.43362582645124842</v>
      </c>
      <c r="Z164">
        <f ca="1"/>
        <v>0</v>
      </c>
      <c r="AA164">
        <f ca="1"/>
        <v>0</v>
      </c>
      <c r="AB164">
        <f ca="1"/>
        <v>0.99843747729358445</v>
      </c>
      <c r="AD164" s="2">
        <f t="shared" ca="1" si="22"/>
        <v>45387</v>
      </c>
      <c r="AE164">
        <f t="shared" ca="1" si="23"/>
        <v>0</v>
      </c>
      <c r="AG164" s="63">
        <f t="shared" ca="1" si="27"/>
        <v>-6.6770672445667838</v>
      </c>
      <c r="AH164" s="63">
        <f t="shared" ca="1" si="28"/>
        <v>-6.6770672445667838</v>
      </c>
      <c r="AI164" s="3">
        <f t="shared" ca="1" si="29"/>
        <v>0</v>
      </c>
    </row>
    <row r="165" spans="7:35">
      <c r="G165" s="3">
        <f t="shared" ca="1" si="24"/>
        <v>38</v>
      </c>
      <c r="H165" s="95">
        <f t="shared" ca="1" si="26"/>
        <v>45328</v>
      </c>
      <c r="I165" s="119">
        <f ca="1">HLOOKUP($H$5,'Met Data'!$A$2:$F$368,G165,FALSE)</f>
        <v>19.063333333333301</v>
      </c>
      <c r="J165" s="119">
        <f ca="1">HLOOKUP($H$5,'Met Data'!$H$2:$M$368,G165,FALSE)*L165</f>
        <v>0.35</v>
      </c>
      <c r="K165" s="96">
        <f ca="1">HLOOKUP($H$5,'Met Data'!$O$2:$T$368,G165,FALSE)</f>
        <v>4.5836031413853302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45388</v>
      </c>
      <c r="Q165">
        <f ca="1"/>
        <v>-10.22849694500982</v>
      </c>
      <c r="R165">
        <f ca="1"/>
        <v>1.8863452641449072</v>
      </c>
      <c r="S165">
        <f ca="1"/>
        <v>7.9672058337552087E-3</v>
      </c>
      <c r="T165">
        <f ca="1"/>
        <v>0.20675802659562045</v>
      </c>
      <c r="U165">
        <f ca="1"/>
        <v>0</v>
      </c>
      <c r="V165">
        <f ca="1"/>
        <v>77.045512276691525</v>
      </c>
      <c r="W165">
        <f ca="1"/>
        <v>70.482376045714091</v>
      </c>
      <c r="X165">
        <f ca="1"/>
        <v>0</v>
      </c>
      <c r="Y165">
        <f ca="1"/>
        <v>0.43288713138061835</v>
      </c>
      <c r="Z165">
        <f ca="1"/>
        <v>0</v>
      </c>
      <c r="AA165">
        <f ca="1"/>
        <v>0</v>
      </c>
      <c r="AB165">
        <f ca="1"/>
        <v>0.9986334405270324</v>
      </c>
      <c r="AD165" s="2">
        <f t="shared" ca="1" si="22"/>
        <v>45388</v>
      </c>
      <c r="AE165">
        <f t="shared" ca="1" si="23"/>
        <v>0</v>
      </c>
      <c r="AG165" s="63">
        <f t="shared" ca="1" si="27"/>
        <v>-8.3421516808649105</v>
      </c>
      <c r="AH165" s="63">
        <f t="shared" ca="1" si="28"/>
        <v>-8.3421516808649123</v>
      </c>
      <c r="AI165" s="3">
        <f t="shared" ca="1" si="29"/>
        <v>0</v>
      </c>
    </row>
    <row r="166" spans="7:35">
      <c r="G166" s="3">
        <f t="shared" ca="1" si="24"/>
        <v>39</v>
      </c>
      <c r="H166" s="95">
        <f t="shared" ca="1" si="26"/>
        <v>45329</v>
      </c>
      <c r="I166" s="119">
        <f ca="1">HLOOKUP($H$5,'Met Data'!$A$2:$F$368,G166,FALSE)</f>
        <v>19.164999999999999</v>
      </c>
      <c r="J166" s="119">
        <f ca="1">HLOOKUP($H$5,'Met Data'!$H$2:$M$368,G166,FALSE)*L166</f>
        <v>0.80666666666666598</v>
      </c>
      <c r="K166" s="96">
        <f ca="1">HLOOKUP($H$5,'Met Data'!$O$2:$T$368,G166,FALSE)</f>
        <v>4.2844164584952198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45389</v>
      </c>
      <c r="Q166">
        <f ca="1"/>
        <v>-11.869341111966921</v>
      </c>
      <c r="R166">
        <f ca="1"/>
        <v>1.854794542769568</v>
      </c>
      <c r="S166">
        <f ca="1"/>
        <v>7.9599910008694152E-3</v>
      </c>
      <c r="T166">
        <f ca="1"/>
        <v>0.20599038481159587</v>
      </c>
      <c r="U166">
        <f ca="1"/>
        <v>0</v>
      </c>
      <c r="V166">
        <f ca="1"/>
        <v>78.900306819461093</v>
      </c>
      <c r="W166">
        <f ca="1"/>
        <v>72.179169571877367</v>
      </c>
      <c r="X166">
        <f ca="1"/>
        <v>0</v>
      </c>
      <c r="Y166">
        <f ca="1"/>
        <v>0.44587075842244051</v>
      </c>
      <c r="Z166">
        <f ca="1"/>
        <v>0</v>
      </c>
      <c r="AA166">
        <f ca="1"/>
        <v>0</v>
      </c>
      <c r="AB166">
        <f ca="1"/>
        <v>0.9988012109268728</v>
      </c>
      <c r="AD166" s="2">
        <f t="shared" ca="1" si="22"/>
        <v>45389</v>
      </c>
      <c r="AE166">
        <f t="shared" ca="1" si="23"/>
        <v>0</v>
      </c>
      <c r="AG166" s="63">
        <f t="shared" ca="1" si="27"/>
        <v>-10.014546569197353</v>
      </c>
      <c r="AH166" s="63">
        <f t="shared" ca="1" si="28"/>
        <v>-10.014546569197353</v>
      </c>
      <c r="AI166" s="3">
        <f t="shared" ca="1" si="29"/>
        <v>0</v>
      </c>
    </row>
    <row r="167" spans="7:35">
      <c r="G167" s="3">
        <f t="shared" ca="1" si="24"/>
        <v>40</v>
      </c>
      <c r="H167" s="95">
        <f t="shared" ca="1" si="26"/>
        <v>45330</v>
      </c>
      <c r="I167" s="119">
        <f ca="1">HLOOKUP($H$5,'Met Data'!$A$2:$F$368,G167,FALSE)</f>
        <v>19.145</v>
      </c>
      <c r="J167" s="119">
        <f ca="1">HLOOKUP($H$5,'Met Data'!$H$2:$M$368,G167,FALSE)*L167</f>
        <v>2.1066666666666598</v>
      </c>
      <c r="K167" s="96">
        <f ca="1">HLOOKUP($H$5,'Met Data'!$O$2:$T$368,G167,FALSE)</f>
        <v>4.0819751344129296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45390</v>
      </c>
      <c r="Q167">
        <f ca="1"/>
        <v>-13.463247970045137</v>
      </c>
      <c r="R167">
        <f ca="1"/>
        <v>1.814790201793727</v>
      </c>
      <c r="S167">
        <f ca="1"/>
        <v>8.4200769193842895E-3</v>
      </c>
      <c r="T167">
        <f ca="1"/>
        <v>0.2124632667961284</v>
      </c>
      <c r="U167">
        <f ca="1"/>
        <v>0</v>
      </c>
      <c r="V167">
        <f ca="1"/>
        <v>80.71509702125482</v>
      </c>
      <c r="W167">
        <f ca="1"/>
        <v>73.839366534259028</v>
      </c>
      <c r="X167">
        <f ca="1"/>
        <v>0</v>
      </c>
      <c r="Y167">
        <f ca="1"/>
        <v>0.48774369032657361</v>
      </c>
      <c r="Z167">
        <f ca="1"/>
        <v>0</v>
      </c>
      <c r="AA167">
        <f ca="1"/>
        <v>0</v>
      </c>
      <c r="AB167">
        <f ca="1"/>
        <v>0.99894474058991167</v>
      </c>
      <c r="AD167" s="2">
        <f t="shared" ca="1" si="22"/>
        <v>45390</v>
      </c>
      <c r="AE167">
        <f t="shared" ca="1" si="23"/>
        <v>0</v>
      </c>
      <c r="AG167" s="63">
        <f t="shared" ca="1" si="27"/>
        <v>-11.64845776825141</v>
      </c>
      <c r="AH167" s="63">
        <f t="shared" ca="1" si="28"/>
        <v>-11.64845776825141</v>
      </c>
      <c r="AI167" s="3">
        <f t="shared" ca="1" si="29"/>
        <v>0</v>
      </c>
    </row>
    <row r="168" spans="7:35">
      <c r="G168" s="3">
        <f t="shared" ca="1" si="24"/>
        <v>41</v>
      </c>
      <c r="H168" s="95">
        <f t="shared" ca="1" si="26"/>
        <v>45331</v>
      </c>
      <c r="I168" s="119">
        <f ca="1">HLOOKUP($H$5,'Met Data'!$A$2:$F$368,G168,FALSE)</f>
        <v>19.28</v>
      </c>
      <c r="J168" s="119">
        <f ca="1">HLOOKUP($H$5,'Met Data'!$H$2:$M$368,G168,FALSE)*L168</f>
        <v>1.1200000000000001</v>
      </c>
      <c r="K168" s="96">
        <f ca="1">HLOOKUP($H$5,'Met Data'!$O$2:$T$368,G168,FALSE)</f>
        <v>4.260490854165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45391</v>
      </c>
      <c r="Q168">
        <f ca="1"/>
        <v>-15.049014362389467</v>
      </c>
      <c r="R168">
        <f ca="1"/>
        <v>1.8065284506567423</v>
      </c>
      <c r="S168">
        <f ca="1"/>
        <v>8.3452104290304696E-3</v>
      </c>
      <c r="T168">
        <f ca="1"/>
        <v>0.2124168478833805</v>
      </c>
      <c r="U168">
        <f ca="1"/>
        <v>0</v>
      </c>
      <c r="V168">
        <f ca="1"/>
        <v>82.521625471911562</v>
      </c>
      <c r="W168">
        <f ca="1"/>
        <v>75.492005524304275</v>
      </c>
      <c r="X168">
        <f ca="1"/>
        <v>0</v>
      </c>
      <c r="Y168">
        <f ca="1"/>
        <v>0.49334997386822033</v>
      </c>
      <c r="Z168">
        <f ca="1"/>
        <v>0</v>
      </c>
      <c r="AA168">
        <f ca="1"/>
        <v>0</v>
      </c>
      <c r="AB168">
        <f ca="1"/>
        <v>0.99907006753324856</v>
      </c>
      <c r="AD168" s="2">
        <f t="shared" ca="1" si="22"/>
        <v>45391</v>
      </c>
      <c r="AE168">
        <f t="shared" ca="1" si="23"/>
        <v>0</v>
      </c>
      <c r="AG168" s="63">
        <f t="shared" ca="1" si="27"/>
        <v>-13.242485911732725</v>
      </c>
      <c r="AH168" s="63">
        <f t="shared" ca="1" si="28"/>
        <v>-13.242485911732725</v>
      </c>
      <c r="AI168" s="3">
        <f t="shared" ca="1" si="29"/>
        <v>0</v>
      </c>
    </row>
    <row r="169" spans="7:35">
      <c r="G169" s="3">
        <f t="shared" ca="1" si="24"/>
        <v>42</v>
      </c>
      <c r="H169" s="95">
        <f t="shared" ca="1" si="26"/>
        <v>45332</v>
      </c>
      <c r="I169" s="119">
        <f ca="1">HLOOKUP($H$5,'Met Data'!$A$2:$F$368,G169,FALSE)</f>
        <v>19.6533333333333</v>
      </c>
      <c r="J169" s="119">
        <f ca="1">HLOOKUP($H$5,'Met Data'!$H$2:$M$368,G169,FALSE)*L169</f>
        <v>1.4866666666666599</v>
      </c>
      <c r="K169" s="96">
        <f ca="1">HLOOKUP($H$5,'Met Data'!$O$2:$T$368,G169,FALSE)</f>
        <v>3.7833097987788902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45392</v>
      </c>
      <c r="Q169">
        <f ca="1"/>
        <v>-16.598054077847671</v>
      </c>
      <c r="R169">
        <f ca="1"/>
        <v>1.766126734652687</v>
      </c>
      <c r="S169">
        <f ca="1"/>
        <v>8.1470083743684363E-3</v>
      </c>
      <c r="T169">
        <f ca="1"/>
        <v>0.20894001082011618</v>
      </c>
      <c r="U169">
        <f ca="1"/>
        <v>0</v>
      </c>
      <c r="V169">
        <f ca="1"/>
        <v>84.287752206564249</v>
      </c>
      <c r="W169">
        <f ca="1"/>
        <v>77.107684426005079</v>
      </c>
      <c r="X169">
        <f ca="1"/>
        <v>0</v>
      </c>
      <c r="Y169">
        <f ca="1"/>
        <v>0.49766393780635121</v>
      </c>
      <c r="Z169">
        <f ca="1"/>
        <v>0</v>
      </c>
      <c r="AA169">
        <f ca="1"/>
        <v>0</v>
      </c>
      <c r="AB169">
        <f ca="1"/>
        <v>0.99917786393360297</v>
      </c>
      <c r="AD169" s="2">
        <f t="shared" ca="1" si="22"/>
        <v>45392</v>
      </c>
      <c r="AE169">
        <f t="shared" ca="1" si="23"/>
        <v>0</v>
      </c>
      <c r="AG169" s="63">
        <f t="shared" ca="1" si="27"/>
        <v>-14.831927343194982</v>
      </c>
      <c r="AH169" s="63">
        <f t="shared" ca="1" si="28"/>
        <v>-14.831927343194984</v>
      </c>
      <c r="AI169" s="3">
        <f t="shared" ca="1" si="29"/>
        <v>0</v>
      </c>
    </row>
    <row r="170" spans="7:35">
      <c r="G170" s="3">
        <f t="shared" ca="1" si="24"/>
        <v>43</v>
      </c>
      <c r="H170" s="95">
        <f t="shared" ca="1" si="26"/>
        <v>45333</v>
      </c>
      <c r="I170" s="119">
        <f ca="1">HLOOKUP($H$5,'Met Data'!$A$2:$F$368,G170,FALSE)</f>
        <v>19.843333333333302</v>
      </c>
      <c r="J170" s="119">
        <f ca="1">HLOOKUP($H$5,'Met Data'!$H$2:$M$368,G170,FALSE)*L170</f>
        <v>2.3199999999999998</v>
      </c>
      <c r="K170" s="96">
        <f ca="1">HLOOKUP($H$5,'Met Data'!$O$2:$T$368,G170,FALSE)</f>
        <v>3.6396000191553801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45393</v>
      </c>
      <c r="Q170">
        <f ca="1"/>
        <v>-18.152320895316741</v>
      </c>
      <c r="R170">
        <f ca="1"/>
        <v>1.7802726515460279</v>
      </c>
      <c r="S170">
        <f ca="1"/>
        <v>8.1035591403786356E-3</v>
      </c>
      <c r="T170">
        <f ca="1"/>
        <v>0.21790227493657557</v>
      </c>
      <c r="U170">
        <f ca="1"/>
        <v>0</v>
      </c>
      <c r="V170">
        <f ca="1"/>
        <v>86.068024858110277</v>
      </c>
      <c r="W170">
        <f ca="1"/>
        <v>78.736304222049029</v>
      </c>
      <c r="X170">
        <f ca="1"/>
        <v>0</v>
      </c>
      <c r="Y170">
        <f ca="1"/>
        <v>0.52599044375918547</v>
      </c>
      <c r="Z170">
        <f ca="1"/>
        <v>0</v>
      </c>
      <c r="AA170">
        <f ca="1"/>
        <v>0</v>
      </c>
      <c r="AB170">
        <f ca="1"/>
        <v>0.99927366472988666</v>
      </c>
      <c r="AD170" s="2">
        <f t="shared" ca="1" si="22"/>
        <v>45393</v>
      </c>
      <c r="AE170">
        <f t="shared" ca="1" si="23"/>
        <v>0</v>
      </c>
      <c r="AG170" s="63">
        <f t="shared" ca="1" si="27"/>
        <v>-16.372048243770713</v>
      </c>
      <c r="AH170" s="63">
        <f t="shared" ca="1" si="28"/>
        <v>-16.372048243770713</v>
      </c>
      <c r="AI170" s="3">
        <f t="shared" ca="1" si="29"/>
        <v>0</v>
      </c>
    </row>
    <row r="171" spans="7:35">
      <c r="G171" s="3">
        <f t="shared" ca="1" si="24"/>
        <v>44</v>
      </c>
      <c r="H171" s="95">
        <f t="shared" ca="1" si="26"/>
        <v>45334</v>
      </c>
      <c r="I171" s="119">
        <f ca="1">HLOOKUP($H$5,'Met Data'!$A$2:$F$368,G171,FALSE)</f>
        <v>19.767241379310299</v>
      </c>
      <c r="J171" s="119">
        <f ca="1">HLOOKUP($H$5,'Met Data'!$H$2:$M$368,G171,FALSE)*L171</f>
        <v>2.6066666666666598</v>
      </c>
      <c r="K171" s="96">
        <f ca="1">HLOOKUP($H$5,'Met Data'!$O$2:$T$368,G171,FALSE)</f>
        <v>3.70262305339519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45394</v>
      </c>
      <c r="Q171">
        <f ca="1"/>
        <v>-19.749030848069619</v>
      </c>
      <c r="R171">
        <f ca="1"/>
        <v>1.8268910613410867</v>
      </c>
      <c r="S171">
        <f ca="1"/>
        <v>8.1309300962422171E-3</v>
      </c>
      <c r="T171">
        <f ca="1"/>
        <v>0.22205017849196476</v>
      </c>
      <c r="U171">
        <f ca="1"/>
        <v>0</v>
      </c>
      <c r="V171">
        <f ca="1"/>
        <v>87.894915919451364</v>
      </c>
      <c r="W171">
        <f ca="1"/>
        <v>80.4075712300166</v>
      </c>
      <c r="X171">
        <f ca="1"/>
        <v>0</v>
      </c>
      <c r="Y171">
        <f ca="1"/>
        <v>0.52463131154376286</v>
      </c>
      <c r="Z171">
        <f ca="1"/>
        <v>0</v>
      </c>
      <c r="AA171">
        <f ca="1"/>
        <v>0</v>
      </c>
      <c r="AB171">
        <f ca="1"/>
        <v>0.9993602460423594</v>
      </c>
      <c r="AD171" s="2">
        <f t="shared" ca="1" si="22"/>
        <v>45394</v>
      </c>
      <c r="AE171">
        <f t="shared" ca="1" si="23"/>
        <v>0</v>
      </c>
      <c r="AG171" s="63">
        <f t="shared" ca="1" si="27"/>
        <v>-17.922139786728533</v>
      </c>
      <c r="AH171" s="63">
        <f t="shared" ca="1" si="28"/>
        <v>-17.922139786728533</v>
      </c>
      <c r="AI171" s="3">
        <f t="shared" ca="1" si="29"/>
        <v>0</v>
      </c>
    </row>
    <row r="172" spans="7:35">
      <c r="G172" s="3">
        <f t="shared" ca="1" si="24"/>
        <v>45</v>
      </c>
      <c r="H172" s="95">
        <f t="shared" ca="1" si="26"/>
        <v>45335</v>
      </c>
      <c r="I172" s="119">
        <f ca="1">HLOOKUP($H$5,'Met Data'!$A$2:$F$368,G172,FALSE)</f>
        <v>19.5672413793103</v>
      </c>
      <c r="J172" s="119">
        <f ca="1">HLOOKUP($H$5,'Met Data'!$H$2:$M$368,G172,FALSE)*L172</f>
        <v>0.59</v>
      </c>
      <c r="K172" s="96">
        <f ca="1">HLOOKUP($H$5,'Met Data'!$O$2:$T$368,G172,FALSE)</f>
        <v>4.0784584132757997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45395</v>
      </c>
      <c r="Q172">
        <f ca="1"/>
        <v>-21.295828373188272</v>
      </c>
      <c r="R172">
        <f ca="1"/>
        <v>1.7768070148743789</v>
      </c>
      <c r="S172">
        <f ca="1"/>
        <v>7.8501891789342082E-3</v>
      </c>
      <c r="T172">
        <f ca="1"/>
        <v>0.22215930057679237</v>
      </c>
      <c r="U172">
        <f ca="1"/>
        <v>0</v>
      </c>
      <c r="V172">
        <f ca="1"/>
        <v>89.671722934325743</v>
      </c>
      <c r="W172">
        <f ca="1"/>
        <v>82.033020610290592</v>
      </c>
      <c r="X172">
        <f ca="1"/>
        <v>0</v>
      </c>
      <c r="Y172">
        <f ca="1"/>
        <v>0.54356408189460959</v>
      </c>
      <c r="Z172">
        <f ca="1"/>
        <v>0</v>
      </c>
      <c r="AA172">
        <f ca="1"/>
        <v>0</v>
      </c>
      <c r="AB172">
        <f ca="1"/>
        <v>0.99943448207106744</v>
      </c>
      <c r="AD172" s="2">
        <f t="shared" ca="1" si="22"/>
        <v>45395</v>
      </c>
      <c r="AE172">
        <f t="shared" ca="1" si="23"/>
        <v>0</v>
      </c>
      <c r="AG172" s="63">
        <f t="shared" ca="1" si="27"/>
        <v>-19.519021358313893</v>
      </c>
      <c r="AH172" s="63">
        <f t="shared" ca="1" si="28"/>
        <v>-19.519021358313893</v>
      </c>
      <c r="AI172" s="3">
        <f t="shared" ca="1" si="29"/>
        <v>0</v>
      </c>
    </row>
    <row r="173" spans="7:35">
      <c r="G173" s="3">
        <f t="shared" ca="1" si="24"/>
        <v>46</v>
      </c>
      <c r="H173" s="95">
        <f t="shared" ca="1" si="26"/>
        <v>45336</v>
      </c>
      <c r="I173" s="119">
        <f ca="1">HLOOKUP($H$5,'Met Data'!$A$2:$F$368,G173,FALSE)</f>
        <v>19.5910714285714</v>
      </c>
      <c r="J173" s="119">
        <f ca="1">HLOOKUP($H$5,'Met Data'!$H$2:$M$368,G173,FALSE)*L173</f>
        <v>1.8724137931034399</v>
      </c>
      <c r="K173" s="96">
        <f ca="1">HLOOKUP($H$5,'Met Data'!$O$2:$T$368,G173,FALSE)</f>
        <v>4.0775156504528702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45396</v>
      </c>
      <c r="Q173">
        <f ca="1"/>
        <v>-22.812379838575783</v>
      </c>
      <c r="R173">
        <f ca="1"/>
        <v>1.7457559983039346</v>
      </c>
      <c r="S173">
        <f ca="1"/>
        <v>7.6435128241354455E-3</v>
      </c>
      <c r="T173">
        <f ca="1"/>
        <v>0.22156102009228823</v>
      </c>
      <c r="U173">
        <f ca="1"/>
        <v>0</v>
      </c>
      <c r="V173">
        <f ca="1"/>
        <v>91.417478932629678</v>
      </c>
      <c r="W173">
        <f ca="1"/>
        <v>83.630064060590854</v>
      </c>
      <c r="X173">
        <f ca="1"/>
        <v>0</v>
      </c>
      <c r="Y173">
        <f ca="1"/>
        <v>0.55281303311528229</v>
      </c>
      <c r="Z173">
        <f ca="1"/>
        <v>0</v>
      </c>
      <c r="AA173">
        <f ca="1"/>
        <v>0</v>
      </c>
      <c r="AB173">
        <f ca="1"/>
        <v>0.9994990204532016</v>
      </c>
      <c r="AD173" s="2">
        <f t="shared" ca="1" si="22"/>
        <v>45396</v>
      </c>
      <c r="AE173">
        <f t="shared" ca="1" si="23"/>
        <v>0</v>
      </c>
      <c r="AG173" s="63">
        <f t="shared" ca="1" si="27"/>
        <v>-21.066623840271848</v>
      </c>
      <c r="AH173" s="63">
        <f t="shared" ca="1" si="28"/>
        <v>-21.066623840271848</v>
      </c>
      <c r="AI173" s="3">
        <f t="shared" ca="1" si="29"/>
        <v>0</v>
      </c>
    </row>
    <row r="174" spans="7:35">
      <c r="G174" s="3">
        <f t="shared" ca="1" si="24"/>
        <v>47</v>
      </c>
      <c r="H174" s="95">
        <f t="shared" ca="1" si="26"/>
        <v>45337</v>
      </c>
      <c r="I174" s="119">
        <f ca="1">HLOOKUP($H$5,'Met Data'!$A$2:$F$368,G174,FALSE)</f>
        <v>19.355357142857098</v>
      </c>
      <c r="J174" s="119">
        <f ca="1">HLOOKUP($H$5,'Met Data'!$H$2:$M$368,G174,FALSE)*L174</f>
        <v>2.8206896551724099</v>
      </c>
      <c r="K174" s="96">
        <f ca="1">HLOOKUP($H$5,'Met Data'!$O$2:$T$368,G174,FALSE)</f>
        <v>4.1796467400508099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45397</v>
      </c>
      <c r="Q174">
        <f ca="1"/>
        <v>-24.395527340669155</v>
      </c>
      <c r="R174">
        <f ca="1"/>
        <v>1.8299353578582611</v>
      </c>
      <c r="S174">
        <f ca="1"/>
        <v>7.7993191278471485E-3</v>
      </c>
      <c r="T174">
        <f ca="1"/>
        <v>0.23898853663704245</v>
      </c>
      <c r="U174">
        <f ca="1"/>
        <v>0</v>
      </c>
      <c r="V174">
        <f ca="1"/>
        <v>93.247414290487939</v>
      </c>
      <c r="W174">
        <f ca="1"/>
        <v>85.304116036113044</v>
      </c>
      <c r="X174">
        <f ca="1"/>
        <v>0</v>
      </c>
      <c r="Y174">
        <f ca="1"/>
        <v>0.57918456012733477</v>
      </c>
      <c r="Z174">
        <f ca="1"/>
        <v>0</v>
      </c>
      <c r="AA174">
        <f ca="1"/>
        <v>0</v>
      </c>
      <c r="AB174">
        <f ca="1"/>
        <v>0.99955881845718408</v>
      </c>
      <c r="AD174" s="2">
        <f t="shared" ca="1" si="22"/>
        <v>45397</v>
      </c>
      <c r="AE174">
        <f t="shared" ca="1" si="23"/>
        <v>0</v>
      </c>
      <c r="AG174" s="63">
        <f t="shared" ca="1" si="27"/>
        <v>-22.565591982810894</v>
      </c>
      <c r="AH174" s="63">
        <f t="shared" ca="1" si="28"/>
        <v>-22.565591982810894</v>
      </c>
      <c r="AI174" s="3">
        <f t="shared" ca="1" si="29"/>
        <v>0</v>
      </c>
    </row>
    <row r="175" spans="7:35">
      <c r="G175" s="3">
        <f t="shared" ca="1" si="24"/>
        <v>48</v>
      </c>
      <c r="H175" s="95">
        <f t="shared" ca="1" si="26"/>
        <v>45338</v>
      </c>
      <c r="I175" s="119">
        <f ca="1">HLOOKUP($H$5,'Met Data'!$A$2:$F$368,G175,FALSE)</f>
        <v>19.258928571428498</v>
      </c>
      <c r="J175" s="119">
        <f ca="1">HLOOKUP($H$5,'Met Data'!$H$2:$M$368,G175,FALSE)*L175</f>
        <v>1.80344827586206</v>
      </c>
      <c r="K175" s="96">
        <f ca="1">HLOOKUP($H$5,'Met Data'!$O$2:$T$368,G175,FALSE)</f>
        <v>3.8490703816040499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45398</v>
      </c>
      <c r="Q175">
        <f ca="1"/>
        <v>-25.934736123461647</v>
      </c>
      <c r="R175">
        <f ca="1"/>
        <v>1.7844320954603177</v>
      </c>
      <c r="S175">
        <f ca="1"/>
        <v>7.555528628428565E-3</v>
      </c>
      <c r="T175">
        <f ca="1"/>
        <v>0.23766778403939631</v>
      </c>
      <c r="U175">
        <f ca="1"/>
        <v>0</v>
      </c>
      <c r="V175">
        <f ca="1"/>
        <v>95.031846385948256</v>
      </c>
      <c r="W175">
        <f ca="1"/>
        <v>86.936540953071187</v>
      </c>
      <c r="X175">
        <f ca="1"/>
        <v>0</v>
      </c>
      <c r="Y175">
        <f ca="1"/>
        <v>0.59030128975542562</v>
      </c>
      <c r="Z175">
        <f ca="1"/>
        <v>0</v>
      </c>
      <c r="AA175">
        <f ca="1"/>
        <v>0</v>
      </c>
      <c r="AB175">
        <f ca="1"/>
        <v>0.99961032141886741</v>
      </c>
      <c r="AD175" s="2">
        <f t="shared" ca="1" si="22"/>
        <v>45398</v>
      </c>
      <c r="AE175">
        <f t="shared" ca="1" si="23"/>
        <v>0</v>
      </c>
      <c r="AG175" s="63">
        <f t="shared" ca="1" si="27"/>
        <v>-24.150304028001329</v>
      </c>
      <c r="AH175" s="63">
        <f t="shared" ca="1" si="28"/>
        <v>-24.150304028001329</v>
      </c>
      <c r="AI175" s="3">
        <f t="shared" ca="1" si="29"/>
        <v>0</v>
      </c>
    </row>
    <row r="176" spans="7:35">
      <c r="G176" s="3">
        <f t="shared" ca="1" si="24"/>
        <v>49</v>
      </c>
      <c r="H176" s="95">
        <f t="shared" ca="1" si="26"/>
        <v>45339</v>
      </c>
      <c r="I176" s="119">
        <f ca="1">HLOOKUP($H$5,'Met Data'!$A$2:$F$368,G176,FALSE)</f>
        <v>19.284482758620602</v>
      </c>
      <c r="J176" s="119">
        <f ca="1">HLOOKUP($H$5,'Met Data'!$H$2:$M$368,G176,FALSE)*L176</f>
        <v>4.5</v>
      </c>
      <c r="K176" s="96">
        <f ca="1">HLOOKUP($H$5,'Met Data'!$O$2:$T$368,G176,FALSE)</f>
        <v>3.7481412243719401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45399</v>
      </c>
      <c r="Q176">
        <f ca="1"/>
        <v>-27.468007853377109</v>
      </c>
      <c r="R176">
        <f ca="1"/>
        <v>1.7826766276353396</v>
      </c>
      <c r="S176">
        <f ca="1"/>
        <v>7.4544716825268864E-3</v>
      </c>
      <c r="T176">
        <f ca="1"/>
        <v>0.24195042603735023</v>
      </c>
      <c r="U176">
        <f ca="1"/>
        <v>0</v>
      </c>
      <c r="V176">
        <f ca="1"/>
        <v>96.814523013583596</v>
      </c>
      <c r="W176">
        <f ca="1"/>
        <v>88.5673599420561</v>
      </c>
      <c r="X176">
        <f ca="1"/>
        <v>0</v>
      </c>
      <c r="Y176">
        <f ca="1"/>
        <v>0.60290004418631427</v>
      </c>
      <c r="Z176">
        <f ca="1"/>
        <v>0</v>
      </c>
      <c r="AA176">
        <f ca="1"/>
        <v>0</v>
      </c>
      <c r="AB176">
        <f ca="1"/>
        <v>0.99965586702941889</v>
      </c>
      <c r="AD176" s="2">
        <f t="shared" ca="1" si="22"/>
        <v>45399</v>
      </c>
      <c r="AE176">
        <f t="shared" ca="1" si="23"/>
        <v>0</v>
      </c>
      <c r="AG176" s="63">
        <f t="shared" ca="1" si="27"/>
        <v>-25.68533122574177</v>
      </c>
      <c r="AH176" s="63">
        <f t="shared" ca="1" si="28"/>
        <v>-25.68533122574177</v>
      </c>
      <c r="AI176" s="3">
        <f t="shared" ca="1" si="29"/>
        <v>0</v>
      </c>
    </row>
    <row r="177" spans="7:35">
      <c r="G177" s="3">
        <f t="shared" ca="1" si="24"/>
        <v>50</v>
      </c>
      <c r="H177" s="95">
        <f t="shared" ca="1" si="26"/>
        <v>45340</v>
      </c>
      <c r="I177" s="119">
        <f ca="1">HLOOKUP($H$5,'Met Data'!$A$2:$F$368,G177,FALSE)</f>
        <v>19.415517241379298</v>
      </c>
      <c r="J177" s="119">
        <f ca="1">HLOOKUP($H$5,'Met Data'!$H$2:$M$368,G177,FALSE)*L177</f>
        <v>1.4</v>
      </c>
      <c r="K177" s="96">
        <f ca="1">HLOOKUP($H$5,'Met Data'!$O$2:$T$368,G177,FALSE)</f>
        <v>3.8682529987421499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45400</v>
      </c>
      <c r="Q177">
        <f ca="1"/>
        <v>-28.961137925972139</v>
      </c>
      <c r="R177">
        <f ca="1"/>
        <v>1.7385949465231363</v>
      </c>
      <c r="S177">
        <f ca="1"/>
        <v>7.2336789920894873E-3</v>
      </c>
      <c r="T177">
        <f ca="1"/>
        <v>0.2382311949360166</v>
      </c>
      <c r="U177">
        <f ca="1"/>
        <v>0</v>
      </c>
      <c r="V177">
        <f ca="1"/>
        <v>98.553117960106732</v>
      </c>
      <c r="W177">
        <f ca="1"/>
        <v>90.157852356097649</v>
      </c>
      <c r="X177">
        <f ca="1"/>
        <v>0</v>
      </c>
      <c r="Y177">
        <f ca="1"/>
        <v>0.60527357355844857</v>
      </c>
      <c r="Z177">
        <f ca="1"/>
        <v>0</v>
      </c>
      <c r="AA177">
        <f ca="1"/>
        <v>0</v>
      </c>
      <c r="AB177">
        <f ca="1"/>
        <v>0.99969526536575104</v>
      </c>
      <c r="AD177" s="2">
        <f t="shared" ca="1" si="22"/>
        <v>45400</v>
      </c>
      <c r="AE177">
        <f t="shared" ca="1" si="23"/>
        <v>0</v>
      </c>
      <c r="AG177" s="63">
        <f t="shared" ca="1" si="27"/>
        <v>-27.222542979449003</v>
      </c>
      <c r="AH177" s="63">
        <f t="shared" ca="1" si="28"/>
        <v>-27.222542979449003</v>
      </c>
      <c r="AI177" s="3">
        <f t="shared" ca="1" si="29"/>
        <v>0</v>
      </c>
    </row>
    <row r="178" spans="7:35">
      <c r="G178" s="3">
        <f t="shared" ca="1" si="24"/>
        <v>51</v>
      </c>
      <c r="H178" s="95">
        <f t="shared" ca="1" si="26"/>
        <v>45341</v>
      </c>
      <c r="I178" s="119">
        <f ca="1">HLOOKUP($H$5,'Met Data'!$A$2:$F$368,G178,FALSE)</f>
        <v>19.4189655172413</v>
      </c>
      <c r="J178" s="119">
        <f ca="1">HLOOKUP($H$5,'Met Data'!$H$2:$M$368,G178,FALSE)*L178</f>
        <v>1.4655172413793101</v>
      </c>
      <c r="K178" s="96">
        <f ca="1">HLOOKUP($H$5,'Met Data'!$O$2:$T$368,G178,FALSE)</f>
        <v>3.6105345286952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45401</v>
      </c>
      <c r="Q178">
        <f ca="1"/>
        <v>-30.483721152207423</v>
      </c>
      <c r="R178">
        <f ca="1"/>
        <v>1.7688247028980726</v>
      </c>
      <c r="S178">
        <f ca="1"/>
        <v>7.2382868937674871E-3</v>
      </c>
      <c r="T178">
        <f ca="1"/>
        <v>0.23900318976902044</v>
      </c>
      <c r="U178">
        <f ca="1"/>
        <v>0</v>
      </c>
      <c r="V178">
        <f ca="1"/>
        <v>100.3219426630048</v>
      </c>
      <c r="W178">
        <f ca="1"/>
        <v>91.7759993991192</v>
      </c>
      <c r="X178">
        <f ca="1"/>
        <v>0</v>
      </c>
      <c r="Y178">
        <f ca="1"/>
        <v>0.59440397552687696</v>
      </c>
      <c r="Z178">
        <f ca="1"/>
        <v>0</v>
      </c>
      <c r="AA178">
        <f ca="1"/>
        <v>0</v>
      </c>
      <c r="AB178">
        <f ca="1"/>
        <v>0.99973084915966814</v>
      </c>
      <c r="AD178" s="2">
        <f t="shared" ca="1" si="22"/>
        <v>45401</v>
      </c>
      <c r="AE178">
        <f t="shared" ca="1" si="23"/>
        <v>0</v>
      </c>
      <c r="AG178" s="63">
        <f t="shared" ca="1" si="27"/>
        <v>-28.71489644930935</v>
      </c>
      <c r="AH178" s="63">
        <f t="shared" ca="1" si="28"/>
        <v>-28.71489644930935</v>
      </c>
      <c r="AI178" s="3">
        <f t="shared" ca="1" si="29"/>
        <v>0</v>
      </c>
    </row>
    <row r="179" spans="7:35">
      <c r="G179" s="3">
        <f t="shared" ca="1" si="24"/>
        <v>52</v>
      </c>
      <c r="H179" s="95">
        <f t="shared" ca="1" si="26"/>
        <v>45342</v>
      </c>
      <c r="I179" s="119">
        <f ca="1">HLOOKUP($H$5,'Met Data'!$A$2:$F$368,G179,FALSE)</f>
        <v>19.5068965517241</v>
      </c>
      <c r="J179" s="119">
        <f ca="1">HLOOKUP($H$5,'Met Data'!$H$2:$M$368,G179,FALSE)*L179</f>
        <v>3.8517241379310301</v>
      </c>
      <c r="K179" s="96">
        <f ca="1">HLOOKUP($H$5,'Met Data'!$O$2:$T$368,G179,FALSE)</f>
        <v>3.6240453059598501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45402</v>
      </c>
      <c r="Q179">
        <f ca="1"/>
        <v>-31.966313229030554</v>
      </c>
      <c r="R179">
        <f ca="1"/>
        <v>1.735807925854715</v>
      </c>
      <c r="S179">
        <f ca="1"/>
        <v>7.0618048596120531E-3</v>
      </c>
      <c r="T179">
        <f ca="1"/>
        <v>0.24615404417197354</v>
      </c>
      <c r="U179">
        <f ca="1"/>
        <v>0</v>
      </c>
      <c r="V179">
        <f ca="1"/>
        <v>102.05775058885952</v>
      </c>
      <c r="W179">
        <f ca="1"/>
        <v>93.363942205364083</v>
      </c>
      <c r="X179">
        <f ca="1"/>
        <v>0</v>
      </c>
      <c r="Y179">
        <f ca="1"/>
        <v>0.62559330530555812</v>
      </c>
      <c r="Z179">
        <f ca="1"/>
        <v>0</v>
      </c>
      <c r="AA179">
        <f ca="1"/>
        <v>0</v>
      </c>
      <c r="AB179">
        <f ca="1"/>
        <v>0.99976185873954071</v>
      </c>
      <c r="AD179" s="2">
        <f t="shared" ca="1" si="22"/>
        <v>45402</v>
      </c>
      <c r="AE179">
        <f t="shared" ca="1" si="23"/>
        <v>0</v>
      </c>
      <c r="AG179" s="63">
        <f t="shared" ca="1" si="27"/>
        <v>-30.230505303175839</v>
      </c>
      <c r="AH179" s="63">
        <f t="shared" ca="1" si="28"/>
        <v>-30.230505303175839</v>
      </c>
      <c r="AI179" s="3">
        <f t="shared" ca="1" si="29"/>
        <v>0</v>
      </c>
    </row>
    <row r="180" spans="7:35">
      <c r="G180" s="3">
        <f t="shared" ca="1" si="24"/>
        <v>53</v>
      </c>
      <c r="H180" s="95">
        <f t="shared" ca="1" si="26"/>
        <v>45343</v>
      </c>
      <c r="I180" s="119">
        <f ca="1">HLOOKUP($H$5,'Met Data'!$A$2:$F$368,G180,FALSE)</f>
        <v>19.441666666666599</v>
      </c>
      <c r="J180" s="119">
        <f ca="1">HLOOKUP($H$5,'Met Data'!$H$2:$M$368,G180,FALSE)*L180</f>
        <v>3</v>
      </c>
      <c r="K180" s="96">
        <f ca="1">HLOOKUP($H$5,'Met Data'!$O$2:$T$368,G180,FALSE)</f>
        <v>3.73403385362748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45403</v>
      </c>
      <c r="Q180">
        <f ca="1"/>
        <v>-33.324153858155491</v>
      </c>
      <c r="R180">
        <f ca="1"/>
        <v>1.6036521491473792</v>
      </c>
      <c r="S180">
        <f ca="1"/>
        <v>6.6182498467406425E-3</v>
      </c>
      <c r="T180">
        <f ca="1"/>
        <v>0.23919327017570091</v>
      </c>
      <c r="U180">
        <f ca="1"/>
        <v>0</v>
      </c>
      <c r="V180">
        <f ca="1"/>
        <v>103.6614027380069</v>
      </c>
      <c r="W180">
        <f ca="1"/>
        <v>94.830986949213724</v>
      </c>
      <c r="X180">
        <f ca="1"/>
        <v>0</v>
      </c>
      <c r="Y180">
        <f ca="1"/>
        <v>0.64980686934583909</v>
      </c>
      <c r="Z180">
        <f ca="1"/>
        <v>0</v>
      </c>
      <c r="AA180">
        <f ca="1"/>
        <v>0</v>
      </c>
      <c r="AB180">
        <f ca="1"/>
        <v>0.999787445045074</v>
      </c>
      <c r="AD180" s="2">
        <f t="shared" ca="1" si="22"/>
        <v>45403</v>
      </c>
      <c r="AE180">
        <f t="shared" ca="1" si="23"/>
        <v>0</v>
      </c>
      <c r="AG180" s="63">
        <f t="shared" ca="1" si="27"/>
        <v>-31.720501709008111</v>
      </c>
      <c r="AH180" s="63">
        <f t="shared" ca="1" si="28"/>
        <v>-31.720501709008111</v>
      </c>
      <c r="AI180" s="3">
        <f t="shared" ca="1" si="29"/>
        <v>0</v>
      </c>
    </row>
    <row r="181" spans="7:35">
      <c r="G181" s="3">
        <f t="shared" ca="1" si="24"/>
        <v>54</v>
      </c>
      <c r="H181" s="95">
        <f t="shared" ca="1" si="26"/>
        <v>45344</v>
      </c>
      <c r="I181" s="119">
        <f ca="1">HLOOKUP($H$5,'Met Data'!$A$2:$F$368,G181,FALSE)</f>
        <v>19.231666666666602</v>
      </c>
      <c r="J181" s="119">
        <f ca="1">HLOOKUP($H$5,'Met Data'!$H$2:$M$368,G181,FALSE)*L181</f>
        <v>1.5333333333333301</v>
      </c>
      <c r="K181" s="96">
        <f ca="1">HLOOKUP($H$5,'Met Data'!$O$2:$T$368,G181,FALSE)</f>
        <v>3.6261565374234999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45404</v>
      </c>
      <c r="Q181">
        <f ca="1"/>
        <v>-34.695230518301734</v>
      </c>
      <c r="R181">
        <f ca="1"/>
        <v>1.6201303855734182</v>
      </c>
      <c r="S181">
        <f ca="1"/>
        <v>6.5965676310097976E-3</v>
      </c>
      <c r="T181">
        <f ca="1"/>
        <v>0.24245715779616744</v>
      </c>
      <c r="U181">
        <f ca="1"/>
        <v>0</v>
      </c>
      <c r="V181">
        <f ca="1"/>
        <v>105.28153312358032</v>
      </c>
      <c r="W181">
        <f ca="1"/>
        <v>96.313106227867934</v>
      </c>
      <c r="X181">
        <f ca="1"/>
        <v>0</v>
      </c>
      <c r="Y181">
        <f ca="1"/>
        <v>0.65042186726259843</v>
      </c>
      <c r="Z181">
        <f ca="1"/>
        <v>0</v>
      </c>
      <c r="AA181">
        <f ca="1"/>
        <v>0</v>
      </c>
      <c r="AB181">
        <f ca="1"/>
        <v>0.99981062577980861</v>
      </c>
      <c r="AD181" s="2">
        <f t="shared" ca="1" si="22"/>
        <v>45404</v>
      </c>
      <c r="AE181">
        <f t="shared" ca="1" si="23"/>
        <v>0</v>
      </c>
      <c r="AG181" s="63">
        <f t="shared" ca="1" si="27"/>
        <v>-33.075100132728316</v>
      </c>
      <c r="AH181" s="63">
        <f t="shared" ca="1" si="28"/>
        <v>-33.075100132728316</v>
      </c>
      <c r="AI181" s="3">
        <f t="shared" ca="1" si="29"/>
        <v>0</v>
      </c>
    </row>
    <row r="182" spans="7:35">
      <c r="G182" s="3">
        <f t="shared" ca="1" si="24"/>
        <v>55</v>
      </c>
      <c r="H182" s="95">
        <f t="shared" ca="1" si="26"/>
        <v>45345</v>
      </c>
      <c r="I182" s="119">
        <f ca="1">HLOOKUP($H$5,'Met Data'!$A$2:$F$368,G182,FALSE)</f>
        <v>19.22</v>
      </c>
      <c r="J182" s="119">
        <f ca="1">HLOOKUP($H$5,'Met Data'!$H$2:$M$368,G182,FALSE)*L182</f>
        <v>3.06</v>
      </c>
      <c r="K182" s="96">
        <f ca="1">HLOOKUP($H$5,'Met Data'!$O$2:$T$368,G182,FALSE)</f>
        <v>3.6095974227769201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45405</v>
      </c>
      <c r="Q182">
        <f ca="1"/>
        <v>-36.016497287957328</v>
      </c>
      <c r="R182">
        <f ca="1"/>
        <v>1.5790514578154387</v>
      </c>
      <c r="S182">
        <f ca="1"/>
        <v>6.4224114693689494E-3</v>
      </c>
      <c r="T182">
        <f ca="1"/>
        <v>0.25136227669047767</v>
      </c>
      <c r="U182">
        <f ca="1"/>
        <v>0</v>
      </c>
      <c r="V182">
        <f ca="1"/>
        <v>106.86058458139576</v>
      </c>
      <c r="W182">
        <f ca="1"/>
        <v>97.757645894832393</v>
      </c>
      <c r="X182">
        <f ca="1"/>
        <v>0</v>
      </c>
      <c r="Y182">
        <f ca="1"/>
        <v>0.68929607750376864</v>
      </c>
      <c r="Z182">
        <f ca="1"/>
        <v>0</v>
      </c>
      <c r="AA182">
        <f ca="1"/>
        <v>0</v>
      </c>
      <c r="AB182">
        <f ca="1"/>
        <v>0.99983090276689068</v>
      </c>
      <c r="AD182" s="2">
        <f t="shared" ca="1" si="22"/>
        <v>45405</v>
      </c>
      <c r="AE182">
        <f t="shared" ca="1" si="23"/>
        <v>0</v>
      </c>
      <c r="AG182" s="63">
        <f t="shared" ca="1" si="27"/>
        <v>-34.43744583014189</v>
      </c>
      <c r="AH182" s="63">
        <f t="shared" ca="1" si="28"/>
        <v>-34.43744583014189</v>
      </c>
      <c r="AI182" s="3">
        <f t="shared" ca="1" si="29"/>
        <v>0</v>
      </c>
    </row>
    <row r="183" spans="7:35">
      <c r="G183" s="3">
        <f t="shared" ca="1" si="24"/>
        <v>56</v>
      </c>
      <c r="H183" s="95">
        <f t="shared" ca="1" si="26"/>
        <v>45346</v>
      </c>
      <c r="I183" s="119">
        <f ca="1">HLOOKUP($H$5,'Met Data'!$A$2:$F$368,G183,FALSE)</f>
        <v>18.793333333333301</v>
      </c>
      <c r="J183" s="119">
        <f ca="1">HLOOKUP($H$5,'Met Data'!$H$2:$M$368,G183,FALSE)*L183</f>
        <v>1.73</v>
      </c>
      <c r="K183" s="96">
        <f ca="1">HLOOKUP($H$5,'Met Data'!$O$2:$T$368,G183,FALSE)</f>
        <v>3.9865323105658801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45406</v>
      </c>
      <c r="Q183">
        <f ca="1"/>
        <v>-37.337582221272527</v>
      </c>
      <c r="R183">
        <f ca="1"/>
        <v>1.614452733716945</v>
      </c>
      <c r="S183">
        <f ca="1"/>
        <v>6.4578833589017393E-3</v>
      </c>
      <c r="T183">
        <f ca="1"/>
        <v>0.28690991704285174</v>
      </c>
      <c r="U183">
        <f ca="1"/>
        <v>0</v>
      </c>
      <c r="V183">
        <f ca="1"/>
        <v>108.4750373151127</v>
      </c>
      <c r="W183">
        <f ca="1"/>
        <v>99.234571173454952</v>
      </c>
      <c r="X183">
        <f ca="1"/>
        <v>0</v>
      </c>
      <c r="Y183">
        <f ca="1"/>
        <v>0.77165052231903553</v>
      </c>
      <c r="Z183">
        <f ca="1"/>
        <v>0</v>
      </c>
      <c r="AA183">
        <f ca="1"/>
        <v>0</v>
      </c>
      <c r="AB183">
        <f ca="1"/>
        <v>0.99984951247521636</v>
      </c>
      <c r="AD183" s="2">
        <f t="shared" ca="1" si="22"/>
        <v>45406</v>
      </c>
      <c r="AE183">
        <f t="shared" ca="1" si="23"/>
        <v>0</v>
      </c>
      <c r="AG183" s="63">
        <f t="shared" ca="1" si="27"/>
        <v>-35.723129487555582</v>
      </c>
      <c r="AH183" s="63">
        <f t="shared" ca="1" si="28"/>
        <v>-35.723129487555582</v>
      </c>
      <c r="AI183" s="3">
        <f t="shared" ca="1" si="29"/>
        <v>0</v>
      </c>
    </row>
    <row r="184" spans="7:35">
      <c r="G184" s="3">
        <f t="shared" ca="1" si="24"/>
        <v>57</v>
      </c>
      <c r="H184" s="95">
        <f t="shared" ca="1" si="26"/>
        <v>45347</v>
      </c>
      <c r="I184" s="119">
        <f ca="1">HLOOKUP($H$5,'Met Data'!$A$2:$F$368,G184,FALSE)</f>
        <v>18.3</v>
      </c>
      <c r="J184" s="119">
        <f ca="1">HLOOKUP($H$5,'Met Data'!$H$2:$M$368,G184,FALSE)*L184</f>
        <v>1.1766666666666601</v>
      </c>
      <c r="K184" s="96">
        <f ca="1">HLOOKUP($H$5,'Met Data'!$O$2:$T$368,G184,FALSE)</f>
        <v>3.88204927928038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45407</v>
      </c>
      <c r="Q184">
        <f ca="1"/>
        <v>-38.67003695517333</v>
      </c>
      <c r="R184">
        <f ca="1"/>
        <v>1.6388656960222505</v>
      </c>
      <c r="S184">
        <f ca="1"/>
        <v>6.467007095998234E-3</v>
      </c>
      <c r="T184">
        <f ca="1"/>
        <v>0.29994395502544569</v>
      </c>
      <c r="U184">
        <f ca="1"/>
        <v>0</v>
      </c>
      <c r="V184">
        <f ca="1"/>
        <v>110.11390301113495</v>
      </c>
      <c r="W184">
        <f ca="1"/>
        <v>100.73382979166789</v>
      </c>
      <c r="X184">
        <f ca="1"/>
        <v>0</v>
      </c>
      <c r="Y184">
        <f ca="1"/>
        <v>0.79129669091238497</v>
      </c>
      <c r="Z184">
        <f ca="1"/>
        <v>0</v>
      </c>
      <c r="AA184">
        <f ca="1"/>
        <v>0</v>
      </c>
      <c r="AB184">
        <f ca="1"/>
        <v>0.99986643340845882</v>
      </c>
      <c r="AD184" s="2">
        <f t="shared" ca="1" si="22"/>
        <v>45407</v>
      </c>
      <c r="AE184">
        <f t="shared" ca="1" si="23"/>
        <v>0</v>
      </c>
      <c r="AG184" s="63">
        <f t="shared" ca="1" si="27"/>
        <v>-37.03117125915108</v>
      </c>
      <c r="AH184" s="63">
        <f t="shared" ca="1" si="28"/>
        <v>-37.03117125915108</v>
      </c>
      <c r="AI184" s="3">
        <f t="shared" ca="1" si="29"/>
        <v>0</v>
      </c>
    </row>
    <row r="185" spans="7:35">
      <c r="G185" s="3">
        <f t="shared" ca="1" si="24"/>
        <v>58</v>
      </c>
      <c r="H185" s="95">
        <f t="shared" ca="1" si="26"/>
        <v>45348</v>
      </c>
      <c r="I185" s="119">
        <f ca="1">HLOOKUP($H$5,'Met Data'!$A$2:$F$368,G185,FALSE)</f>
        <v>18.41</v>
      </c>
      <c r="J185" s="119">
        <f ca="1">HLOOKUP($H$5,'Met Data'!$H$2:$M$368,G185,FALSE)*L185</f>
        <v>2.0233333333333299</v>
      </c>
      <c r="K185" s="96">
        <f ca="1">HLOOKUP($H$5,'Met Data'!$O$2:$T$368,G185,FALSE)</f>
        <v>4.05937925457948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45408</v>
      </c>
      <c r="Q185">
        <f ca="1"/>
        <v>-40.037273352877641</v>
      </c>
      <c r="R185">
        <f ca="1"/>
        <v>1.6891102762396457</v>
      </c>
      <c r="S185">
        <f ca="1"/>
        <v>6.5513773687868593E-3</v>
      </c>
      <c r="T185">
        <f ca="1"/>
        <v>0.31532250116655075</v>
      </c>
      <c r="U185">
        <f ca="1"/>
        <v>0</v>
      </c>
      <c r="V185">
        <f ca="1"/>
        <v>111.8030132873746</v>
      </c>
      <c r="W185">
        <f ca="1"/>
        <v>102.27905289622785</v>
      </c>
      <c r="X185">
        <f ca="1"/>
        <v>0</v>
      </c>
      <c r="Y185">
        <f ca="1"/>
        <v>0.80459369906667877</v>
      </c>
      <c r="Z185">
        <f ca="1"/>
        <v>0</v>
      </c>
      <c r="AA185">
        <f ca="1"/>
        <v>0</v>
      </c>
      <c r="AB185">
        <f ca="1"/>
        <v>0.99988201164891777</v>
      </c>
      <c r="AD185" s="2">
        <f t="shared" ca="1" si="22"/>
        <v>45408</v>
      </c>
      <c r="AE185">
        <f t="shared" ca="1" si="23"/>
        <v>0</v>
      </c>
      <c r="AG185" s="63">
        <f t="shared" ca="1" si="27"/>
        <v>-38.348163076637995</v>
      </c>
      <c r="AH185" s="63">
        <f t="shared" ca="1" si="28"/>
        <v>-38.348163076637995</v>
      </c>
      <c r="AI185" s="3">
        <f t="shared" ca="1" si="29"/>
        <v>0</v>
      </c>
    </row>
    <row r="186" spans="7:35">
      <c r="G186" s="3">
        <f t="shared" ca="1" si="24"/>
        <v>59</v>
      </c>
      <c r="H186" s="95">
        <f t="shared" ca="1" si="26"/>
        <v>45349</v>
      </c>
      <c r="I186" s="119">
        <f ca="1">HLOOKUP($H$5,'Met Data'!$A$2:$F$368,G186,FALSE)</f>
        <v>18.516666666666602</v>
      </c>
      <c r="J186" s="119">
        <f ca="1">HLOOKUP($H$5,'Met Data'!$H$2:$M$368,G186,FALSE)*L186</f>
        <v>1.5499999999999901</v>
      </c>
      <c r="K186" s="96">
        <f ca="1">HLOOKUP($H$5,'Met Data'!$O$2:$T$368,G186,FALSE)</f>
        <v>3.8269283002116601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45409</v>
      </c>
      <c r="Q186">
        <f ca="1"/>
        <v>-41.407935430622352</v>
      </c>
      <c r="R186">
        <f ca="1"/>
        <v>1.7123961359236688</v>
      </c>
      <c r="S186">
        <f ca="1"/>
        <v>6.5656611823694533E-3</v>
      </c>
      <c r="T186">
        <f ca="1"/>
        <v>0.33516839699658613</v>
      </c>
      <c r="U186">
        <f ca="1"/>
        <v>0</v>
      </c>
      <c r="V186">
        <f ca="1"/>
        <v>113.51540942329827</v>
      </c>
      <c r="W186">
        <f ca="1"/>
        <v>103.84557825020249</v>
      </c>
      <c r="X186">
        <f ca="1"/>
        <v>0</v>
      </c>
      <c r="Y186">
        <f ca="1"/>
        <v>0.83617518005501368</v>
      </c>
      <c r="Z186">
        <f ca="1"/>
        <v>0</v>
      </c>
      <c r="AA186">
        <f ca="1"/>
        <v>0</v>
      </c>
      <c r="AB186">
        <f ca="1"/>
        <v>0.99989607906160693</v>
      </c>
      <c r="AD186" s="2">
        <f t="shared" ca="1" si="22"/>
        <v>45409</v>
      </c>
      <c r="AE186">
        <f t="shared" ca="1" si="23"/>
        <v>0</v>
      </c>
      <c r="AG186" s="63">
        <f t="shared" ca="1" si="27"/>
        <v>-39.695539294698683</v>
      </c>
      <c r="AH186" s="63">
        <f t="shared" ca="1" si="28"/>
        <v>-39.695539294698683</v>
      </c>
      <c r="AI186" s="3">
        <f t="shared" ca="1" si="29"/>
        <v>0</v>
      </c>
    </row>
    <row r="187" spans="7:35">
      <c r="G187" s="3">
        <f t="shared" ca="1" si="24"/>
        <v>60</v>
      </c>
      <c r="H187" s="95">
        <f t="shared" ca="1" si="26"/>
        <v>45350</v>
      </c>
      <c r="I187" s="119">
        <f ca="1">HLOOKUP($H$5,'Met Data'!$A$2:$F$368,G187,FALSE)</f>
        <v>18.253571428571401</v>
      </c>
      <c r="J187" s="119">
        <f ca="1">HLOOKUP($H$5,'Met Data'!$H$2:$M$368,G187,FALSE)*L187</f>
        <v>3.4793103448275802</v>
      </c>
      <c r="K187" s="96">
        <f ca="1">HLOOKUP($H$5,'Met Data'!$O$2:$T$368,G187,FALSE)</f>
        <v>3.4828962462929298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45410</v>
      </c>
      <c r="Q187">
        <f ca="1"/>
        <v>-42.632262020054242</v>
      </c>
      <c r="R187">
        <f ca="1"/>
        <v>1.5503791946541696</v>
      </c>
      <c r="S187">
        <f ca="1"/>
        <v>6.0755019705025504E-3</v>
      </c>
      <c r="T187">
        <f ca="1"/>
        <v>0.31997710325178008</v>
      </c>
      <c r="U187">
        <f ca="1"/>
        <v>0</v>
      </c>
      <c r="V187">
        <f ca="1"/>
        <v>115.06578861795244</v>
      </c>
      <c r="W187">
        <f ca="1"/>
        <v>105.26388810605279</v>
      </c>
      <c r="X187">
        <f ca="1"/>
        <v>0</v>
      </c>
      <c r="Y187">
        <f ca="1"/>
        <v>0.85826735366320817</v>
      </c>
      <c r="Z187">
        <f ca="1"/>
        <v>0</v>
      </c>
      <c r="AA187">
        <f ca="1"/>
        <v>0</v>
      </c>
      <c r="AB187">
        <f ca="1"/>
        <v>0.99990747178697492</v>
      </c>
      <c r="AD187" s="2">
        <f t="shared" ca="1" si="22"/>
        <v>45410</v>
      </c>
      <c r="AE187">
        <f t="shared" ca="1" si="23"/>
        <v>0</v>
      </c>
      <c r="AG187" s="63">
        <f t="shared" ca="1" si="27"/>
        <v>-41.081882825400072</v>
      </c>
      <c r="AH187" s="63">
        <f t="shared" ca="1" si="28"/>
        <v>-41.081882825400072</v>
      </c>
      <c r="AI187" s="3">
        <f t="shared" ca="1" si="29"/>
        <v>0</v>
      </c>
    </row>
    <row r="188" spans="7:35">
      <c r="G188" s="3">
        <f t="shared" ca="1" si="24"/>
        <v>61</v>
      </c>
      <c r="H188" s="95">
        <f t="shared" ca="1" si="26"/>
        <v>45351</v>
      </c>
      <c r="I188" s="119">
        <f ca="1">HLOOKUP($H$5,'Met Data'!$A$2:$F$368,G188,FALSE)</f>
        <v>18.313793103448202</v>
      </c>
      <c r="J188" s="119">
        <f ca="1">HLOOKUP($H$5,'Met Data'!$H$2:$M$368,G188,FALSE)*L188</f>
        <v>4.1758620689655102</v>
      </c>
      <c r="K188" s="96">
        <f ca="1">HLOOKUP($H$5,'Met Data'!$O$2:$T$368,G188,FALSE)</f>
        <v>3.6905226687271502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45411</v>
      </c>
      <c r="Q188">
        <f ca="1"/>
        <v>-43.768319968966807</v>
      </c>
      <c r="R188">
        <f ca="1"/>
        <v>1.4716806383188299</v>
      </c>
      <c r="S188">
        <f ca="1"/>
        <v>5.8272796094991364E-3</v>
      </c>
      <c r="T188">
        <f ca="1"/>
        <v>0.32979540979676436</v>
      </c>
      <c r="U188">
        <f ca="1"/>
        <v>0</v>
      </c>
      <c r="V188">
        <f ca="1"/>
        <v>116.53746925627127</v>
      </c>
      <c r="W188">
        <f ca="1"/>
        <v>106.61020335666298</v>
      </c>
      <c r="X188">
        <f ca="1"/>
        <v>0</v>
      </c>
      <c r="Y188">
        <f ca="1"/>
        <v>0.90836489102209672</v>
      </c>
      <c r="Z188">
        <f ca="1"/>
        <v>0</v>
      </c>
      <c r="AA188">
        <f ca="1"/>
        <v>0</v>
      </c>
      <c r="AB188">
        <f ca="1"/>
        <v>0.99991722154393003</v>
      </c>
      <c r="AD188" s="2">
        <f t="shared" ca="1" si="22"/>
        <v>45411</v>
      </c>
      <c r="AE188">
        <f t="shared" ca="1" si="23"/>
        <v>0</v>
      </c>
      <c r="AG188" s="63">
        <f t="shared" ca="1" si="27"/>
        <v>-42.296639330647977</v>
      </c>
      <c r="AH188" s="63">
        <f t="shared" ca="1" si="28"/>
        <v>-42.296639330647977</v>
      </c>
      <c r="AI188" s="3">
        <f t="shared" ca="1" si="29"/>
        <v>0</v>
      </c>
    </row>
    <row r="189" spans="7:35">
      <c r="G189" s="3">
        <f t="shared" ca="1" si="24"/>
        <v>62</v>
      </c>
      <c r="H189" s="95">
        <f t="shared" ca="1" si="26"/>
        <v>45352</v>
      </c>
      <c r="I189" s="119">
        <f ca="1">HLOOKUP($H$5,'Met Data'!$A$2:$F$368,G189,FALSE)</f>
        <v>18.701724137930999</v>
      </c>
      <c r="J189" s="119">
        <f ca="1">HLOOKUP($H$5,'Met Data'!$H$2:$M$368,G189,FALSE)*L189</f>
        <v>2.4379310344827498</v>
      </c>
      <c r="K189" s="96">
        <f ca="1">HLOOKUP($H$5,'Met Data'!$O$2:$T$368,G189,FALSE)</f>
        <v>3.7650592582328399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45412</v>
      </c>
      <c r="Q189">
        <f ca="1"/>
        <v>-44.887569790941946</v>
      </c>
      <c r="R189">
        <f ca="1"/>
        <v>1.4664675752040068</v>
      </c>
      <c r="S189">
        <f ca="1"/>
        <v>5.7732419883560482E-3</v>
      </c>
      <c r="T189">
        <f ca="1"/>
        <v>0.34144451124051228</v>
      </c>
      <c r="U189">
        <f ca="1"/>
        <v>0</v>
      </c>
      <c r="V189">
        <f ca="1"/>
        <v>118.00393683147527</v>
      </c>
      <c r="W189">
        <f ca="1"/>
        <v>107.95174961990514</v>
      </c>
      <c r="X189">
        <f ca="1"/>
        <v>0</v>
      </c>
      <c r="Y189">
        <f ca="1"/>
        <v>0.93149041422796519</v>
      </c>
      <c r="Z189">
        <f ca="1"/>
        <v>0</v>
      </c>
      <c r="AA189">
        <f ca="1"/>
        <v>0</v>
      </c>
      <c r="AB189">
        <f ca="1"/>
        <v>0.99992600190378378</v>
      </c>
      <c r="AD189" s="2">
        <f t="shared" ca="1" si="22"/>
        <v>45412</v>
      </c>
      <c r="AE189">
        <f t="shared" ca="1" si="23"/>
        <v>0</v>
      </c>
      <c r="AG189" s="63">
        <f t="shared" ca="1" si="27"/>
        <v>-43.421102215737939</v>
      </c>
      <c r="AH189" s="63">
        <f t="shared" ca="1" si="28"/>
        <v>-43.421102215737939</v>
      </c>
      <c r="AI189" s="3">
        <f t="shared" ca="1" si="29"/>
        <v>0</v>
      </c>
    </row>
    <row r="190" spans="7:35">
      <c r="G190" s="3">
        <f t="shared" ca="1" si="24"/>
        <v>63</v>
      </c>
      <c r="H190" s="95">
        <f t="shared" ca="1" si="26"/>
        <v>45353</v>
      </c>
      <c r="I190" s="119">
        <f ca="1">HLOOKUP($H$5,'Met Data'!$A$2:$F$368,G190,FALSE)</f>
        <v>18.759999999999899</v>
      </c>
      <c r="J190" s="119">
        <f ca="1">HLOOKUP($H$5,'Met Data'!$H$2:$M$368,G190,FALSE)*L190</f>
        <v>3.53666666666666</v>
      </c>
      <c r="K190" s="96">
        <f ca="1">HLOOKUP($H$5,'Met Data'!$O$2:$T$368,G190,FALSE)</f>
        <v>3.6493457095997699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45413</v>
      </c>
      <c r="Q190">
        <f ca="1"/>
        <v>-45.965460369165818</v>
      </c>
      <c r="R190">
        <f ca="1"/>
        <v>1.4345971769965189</v>
      </c>
      <c r="S190">
        <f ca="1"/>
        <v>5.6537487822723165E-3</v>
      </c>
      <c r="T190">
        <f ca="1"/>
        <v>0.35105284999037378</v>
      </c>
      <c r="U190">
        <f ca="1"/>
        <v>0</v>
      </c>
      <c r="V190">
        <f ca="1"/>
        <v>119.43853400847179</v>
      </c>
      <c r="W190">
        <f ca="1"/>
        <v>109.26414037071308</v>
      </c>
      <c r="X190">
        <f ca="1"/>
        <v>0</v>
      </c>
      <c r="Y190">
        <f ca="1"/>
        <v>1</v>
      </c>
      <c r="Z190">
        <f ca="1"/>
        <v>0.92151619198822488</v>
      </c>
      <c r="AA190">
        <f ca="1"/>
        <v>0</v>
      </c>
      <c r="AB190">
        <f ca="1"/>
        <v>0.99993377074696699</v>
      </c>
      <c r="AD190" s="2">
        <f t="shared" ca="1" si="22"/>
        <v>45413</v>
      </c>
      <c r="AE190">
        <f t="shared" ca="1" si="23"/>
        <v>0</v>
      </c>
      <c r="AG190" s="63">
        <f t="shared" ca="1" si="27"/>
        <v>-44.530863192169299</v>
      </c>
      <c r="AH190" s="63">
        <f t="shared" ca="1" si="28"/>
        <v>-44.530863192169299</v>
      </c>
      <c r="AI190" s="3">
        <f t="shared" ca="1" si="29"/>
        <v>0</v>
      </c>
    </row>
    <row r="191" spans="7:35">
      <c r="G191" s="3">
        <f t="shared" ca="1" si="24"/>
        <v>64</v>
      </c>
      <c r="H191" s="95">
        <f t="shared" ca="1" si="26"/>
        <v>45354</v>
      </c>
      <c r="I191" s="119">
        <f ca="1">HLOOKUP($H$5,'Met Data'!$A$2:$F$368,G191,FALSE)</f>
        <v>18.0322580645161</v>
      </c>
      <c r="J191" s="119">
        <f ca="1">HLOOKUP($H$5,'Met Data'!$H$2:$M$368,G191,FALSE)*L191</f>
        <v>5.3612903225806399</v>
      </c>
      <c r="K191" s="96">
        <f ca="1">HLOOKUP($H$5,'Met Data'!$O$2:$T$368,G191,FALSE)</f>
        <v>3.6858306163975501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45414</v>
      </c>
      <c r="Q191">
        <f ca="1"/>
        <v>-47.01349866323816</v>
      </c>
      <c r="R191">
        <f ca="1"/>
        <v>1.4013592072648748</v>
      </c>
      <c r="S191">
        <f ca="1"/>
        <v>5.5339032163859159E-3</v>
      </c>
      <c r="T191">
        <f ca="1"/>
        <v>0.34778700997614287</v>
      </c>
      <c r="U191">
        <f ca="1"/>
        <v>0</v>
      </c>
      <c r="V191">
        <f ca="1"/>
        <v>120.83989321573667</v>
      </c>
      <c r="W191">
        <f ca="1"/>
        <v>110.54612453439614</v>
      </c>
      <c r="X191">
        <f ca="1"/>
        <v>0</v>
      </c>
      <c r="Y191">
        <f ca="1"/>
        <v>1</v>
      </c>
      <c r="Z191">
        <f ca="1"/>
        <v>0.7250966362746567</v>
      </c>
      <c r="AA191">
        <f ca="1"/>
        <v>0</v>
      </c>
      <c r="AB191">
        <f ca="1"/>
        <v>0.99994064616511802</v>
      </c>
      <c r="AD191" s="2">
        <f t="shared" ca="1" si="22"/>
        <v>45414</v>
      </c>
      <c r="AE191">
        <f t="shared" ca="1" si="23"/>
        <v>0</v>
      </c>
      <c r="AG191" s="63">
        <f t="shared" ca="1" si="27"/>
        <v>-45.612139455973285</v>
      </c>
      <c r="AH191" s="63">
        <f t="shared" ca="1" si="28"/>
        <v>-45.612139455973285</v>
      </c>
      <c r="AI191" s="3">
        <f t="shared" ca="1" si="29"/>
        <v>0</v>
      </c>
    </row>
    <row r="192" spans="7:35">
      <c r="G192" s="3">
        <f t="shared" ca="1" si="24"/>
        <v>65</v>
      </c>
      <c r="H192" s="95">
        <f t="shared" ca="1" si="26"/>
        <v>45355</v>
      </c>
      <c r="I192" s="119">
        <f ca="1">HLOOKUP($H$5,'Met Data'!$A$2:$F$368,G192,FALSE)</f>
        <v>17.95</v>
      </c>
      <c r="J192" s="119">
        <f ca="1">HLOOKUP($H$5,'Met Data'!$H$2:$M$368,G192,FALSE)*L192</f>
        <v>2.5580645161290301</v>
      </c>
      <c r="K192" s="96">
        <f ca="1">HLOOKUP($H$5,'Met Data'!$O$2:$T$368,G192,FALSE)</f>
        <v>3.6617176102227802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45415</v>
      </c>
      <c r="Q192">
        <f ca="1"/>
        <v>-48.011812161794737</v>
      </c>
      <c r="R192">
        <f ca="1"/>
        <v>1.34336191950554</v>
      </c>
      <c r="S192">
        <f ca="1"/>
        <v>5.3556847132432139E-3</v>
      </c>
      <c r="T192">
        <f ca="1"/>
        <v>0.33969273623571883</v>
      </c>
      <c r="U192">
        <f ca="1"/>
        <v>0</v>
      </c>
      <c r="V192">
        <f ca="1"/>
        <v>122.18325513524221</v>
      </c>
      <c r="W192">
        <f ca="1"/>
        <v>111.77505192001787</v>
      </c>
      <c r="X192">
        <f ca="1"/>
        <v>0</v>
      </c>
      <c r="Y192">
        <f ca="1"/>
        <v>1</v>
      </c>
      <c r="Z192">
        <f ca="1"/>
        <v>0.39071867477540678</v>
      </c>
      <c r="AA192">
        <f ca="1"/>
        <v>0</v>
      </c>
      <c r="AB192">
        <f ca="1"/>
        <v>0.99994663281586815</v>
      </c>
      <c r="AD192" s="2">
        <f t="shared" ca="1" si="22"/>
        <v>45415</v>
      </c>
      <c r="AE192">
        <f t="shared" ca="1" si="23"/>
        <v>0</v>
      </c>
      <c r="AG192" s="63">
        <f t="shared" ca="1" si="27"/>
        <v>-46.668450242289197</v>
      </c>
      <c r="AH192" s="63">
        <f t="shared" ca="1" si="28"/>
        <v>-46.668450242289197</v>
      </c>
      <c r="AI192" s="3">
        <f t="shared" ca="1" si="29"/>
        <v>0</v>
      </c>
    </row>
    <row r="193" spans="7:35">
      <c r="G193" s="3">
        <f t="shared" ca="1" si="24"/>
        <v>66</v>
      </c>
      <c r="H193" s="95">
        <f t="shared" ca="1" si="26"/>
        <v>45356</v>
      </c>
      <c r="I193" s="119">
        <f ca="1">HLOOKUP($H$5,'Met Data'!$A$2:$F$368,G193,FALSE)</f>
        <v>18.361290322580601</v>
      </c>
      <c r="J193" s="119">
        <f ca="1">HLOOKUP($H$5,'Met Data'!$H$2:$M$368,G193,FALSE)*L193</f>
        <v>2.3129032258064499</v>
      </c>
      <c r="K193" s="96">
        <f ca="1">HLOOKUP($H$5,'Met Data'!$O$2:$T$368,G193,FALSE)</f>
        <v>3.8548213926682098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45416</v>
      </c>
      <c r="Q193">
        <f ca="1"/>
        <v>-49.004059975851114</v>
      </c>
      <c r="R193">
        <f ca="1"/>
        <v>1.3397523940838454</v>
      </c>
      <c r="S193">
        <f ca="1"/>
        <v>5.3147818806493774E-3</v>
      </c>
      <c r="T193">
        <f ca="1"/>
        <v>0.34218979814681644</v>
      </c>
      <c r="U193">
        <f ca="1"/>
        <v>0</v>
      </c>
      <c r="V193">
        <f ca="1"/>
        <v>123.52300752932605</v>
      </c>
      <c r="W193">
        <f ca="1"/>
        <v>113.00067725830939</v>
      </c>
      <c r="X193">
        <f ca="1"/>
        <v>0</v>
      </c>
      <c r="Y193">
        <f ca="1"/>
        <v>1</v>
      </c>
      <c r="Z193">
        <f ca="1"/>
        <v>1.2734649378683613</v>
      </c>
      <c r="AA193">
        <f ca="1"/>
        <v>0</v>
      </c>
      <c r="AB193">
        <f ca="1"/>
        <v>0.99995206451313601</v>
      </c>
      <c r="AD193" s="2">
        <f t="shared" ca="1" si="22"/>
        <v>45416</v>
      </c>
      <c r="AE193">
        <f t="shared" ca="1" si="23"/>
        <v>0</v>
      </c>
      <c r="AG193" s="63">
        <f t="shared" ca="1" si="27"/>
        <v>-47.664307581767268</v>
      </c>
      <c r="AH193" s="63">
        <f t="shared" ca="1" si="28"/>
        <v>-47.664307581767268</v>
      </c>
      <c r="AI193" s="3">
        <f t="shared" ca="1" si="29"/>
        <v>0</v>
      </c>
    </row>
    <row r="194" spans="7:35">
      <c r="G194" s="3">
        <f t="shared" ca="1" si="24"/>
        <v>67</v>
      </c>
      <c r="H194" s="95">
        <f t="shared" ca="1" si="26"/>
        <v>45357</v>
      </c>
      <c r="I194" s="119">
        <f ca="1">HLOOKUP($H$5,'Met Data'!$A$2:$F$368,G194,FALSE)</f>
        <v>17.7903225806451</v>
      </c>
      <c r="J194" s="119">
        <f ca="1">HLOOKUP($H$5,'Met Data'!$H$2:$M$368,G194,FALSE)*L194</f>
        <v>2.88709677419354</v>
      </c>
      <c r="K194" s="96">
        <f ca="1">HLOOKUP($H$5,'Met Data'!$O$2:$T$368,G194,FALSE)</f>
        <v>3.4909393601542198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45417</v>
      </c>
      <c r="Q194">
        <f ca="1"/>
        <v>-49.998297209803553</v>
      </c>
      <c r="R194">
        <f ca="1"/>
        <v>1.3465276706902927</v>
      </c>
      <c r="S194">
        <f ca="1"/>
        <v>5.3018815127767738E-3</v>
      </c>
      <c r="T194">
        <f ca="1"/>
        <v>0.34698855522507238</v>
      </c>
      <c r="U194">
        <f ca="1"/>
        <v>0</v>
      </c>
      <c r="V194">
        <f ca="1"/>
        <v>124.86953520001634</v>
      </c>
      <c r="W194">
        <f ca="1"/>
        <v>114.23250072001494</v>
      </c>
      <c r="X194">
        <f ca="1"/>
        <v>0</v>
      </c>
      <c r="Y194">
        <f ca="1"/>
        <v>1</v>
      </c>
      <c r="Z194">
        <f ca="1"/>
        <v>1.6606067766300825</v>
      </c>
      <c r="AA194">
        <f ca="1"/>
        <v>0</v>
      </c>
      <c r="AB194">
        <f ca="1"/>
        <v>0.99995702705735168</v>
      </c>
      <c r="AD194" s="2">
        <f t="shared" ca="1" si="22"/>
        <v>45417</v>
      </c>
      <c r="AE194">
        <f t="shared" ca="1" si="23"/>
        <v>0</v>
      </c>
      <c r="AG194" s="63">
        <f t="shared" ca="1" si="27"/>
        <v>-48.651769539113261</v>
      </c>
      <c r="AH194" s="63">
        <f t="shared" ca="1" si="28"/>
        <v>-48.651769539113261</v>
      </c>
      <c r="AI194" s="3">
        <f t="shared" ca="1" si="29"/>
        <v>0</v>
      </c>
    </row>
    <row r="195" spans="7:35">
      <c r="G195" s="3">
        <f t="shared" ca="1" si="24"/>
        <v>68</v>
      </c>
      <c r="H195" s="95">
        <f t="shared" ca="1" si="26"/>
        <v>45358</v>
      </c>
      <c r="I195" s="119">
        <f ca="1">HLOOKUP($H$5,'Met Data'!$A$2:$F$368,G195,FALSE)</f>
        <v>18.141379310344799</v>
      </c>
      <c r="J195" s="119">
        <f ca="1">HLOOKUP($H$5,'Met Data'!$H$2:$M$368,G195,FALSE)*L195</f>
        <v>1.0379310344827499</v>
      </c>
      <c r="K195" s="96">
        <f ca="1">HLOOKUP($H$5,'Met Data'!$O$2:$T$368,G195,FALSE)</f>
        <v>3.8084649299222599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45418</v>
      </c>
      <c r="Q195">
        <f ca="1"/>
        <v>-50.937957710545305</v>
      </c>
      <c r="R195">
        <f ca="1"/>
        <v>1.2824014351103585</v>
      </c>
      <c r="S195">
        <f ca="1"/>
        <v>5.1153358902413792E-3</v>
      </c>
      <c r="T195">
        <f ca="1"/>
        <v>0.3376255984783687</v>
      </c>
      <c r="U195">
        <f ca="1"/>
        <v>0</v>
      </c>
      <c r="V195">
        <f ca="1"/>
        <v>126.1519366351267</v>
      </c>
      <c r="W195">
        <f ca="1"/>
        <v>115.40566055139369</v>
      </c>
      <c r="X195">
        <f ca="1"/>
        <v>0</v>
      </c>
      <c r="Y195">
        <f ca="1"/>
        <v>0.99927573171967787</v>
      </c>
      <c r="Z195">
        <f ca="1"/>
        <v>0</v>
      </c>
      <c r="AA195">
        <f ca="1"/>
        <v>0</v>
      </c>
      <c r="AB195">
        <f ca="1"/>
        <v>0.99996132880334332</v>
      </c>
      <c r="AD195" s="2">
        <f t="shared" ca="1" si="22"/>
        <v>45418</v>
      </c>
      <c r="AE195">
        <f t="shared" ca="1" si="23"/>
        <v>0</v>
      </c>
      <c r="AG195" s="63">
        <f t="shared" ca="1" si="27"/>
        <v>-49.655556275434947</v>
      </c>
      <c r="AH195" s="63">
        <f t="shared" ca="1" si="28"/>
        <v>-49.655556275434947</v>
      </c>
      <c r="AI195" s="3">
        <f t="shared" ca="1" si="29"/>
        <v>0</v>
      </c>
    </row>
    <row r="196" spans="7:35">
      <c r="G196" s="3">
        <f t="shared" ca="1" si="24"/>
        <v>69</v>
      </c>
      <c r="H196" s="95">
        <f t="shared" ca="1" si="26"/>
        <v>45359</v>
      </c>
      <c r="I196" s="119">
        <f ca="1">HLOOKUP($H$5,'Met Data'!$A$2:$F$368,G196,FALSE)</f>
        <v>18.3816666666666</v>
      </c>
      <c r="J196" s="119">
        <f ca="1">HLOOKUP($H$5,'Met Data'!$H$2:$M$368,G196,FALSE)*L196</f>
        <v>3.2766666666666602</v>
      </c>
      <c r="K196" s="96">
        <f ca="1">HLOOKUP($H$5,'Met Data'!$O$2:$T$368,G196,FALSE)</f>
        <v>3.6161533155938699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45419</v>
      </c>
      <c r="Q196">
        <f ca="1"/>
        <v>-51.830728299788376</v>
      </c>
      <c r="R196">
        <f ca="1"/>
        <v>1.2277615232837036</v>
      </c>
      <c r="S196">
        <f ca="1"/>
        <v>4.9559349668975017E-3</v>
      </c>
      <c r="T196">
        <f ca="1"/>
        <v>0.33003499907373512</v>
      </c>
      <c r="U196">
        <f ca="1"/>
        <v>0</v>
      </c>
      <c r="V196">
        <f ca="1"/>
        <v>127.37969815841041</v>
      </c>
      <c r="W196">
        <f ca="1"/>
        <v>116.52883498195321</v>
      </c>
      <c r="X196">
        <f ca="1"/>
        <v>0</v>
      </c>
      <c r="Y196">
        <f ca="1"/>
        <v>1</v>
      </c>
      <c r="Z196">
        <f ca="1"/>
        <v>1.5175734229943529</v>
      </c>
      <c r="AA196">
        <f ca="1"/>
        <v>0</v>
      </c>
      <c r="AB196">
        <f ca="1"/>
        <v>0.99996509061297978</v>
      </c>
      <c r="AD196" s="2">
        <f t="shared" ca="1" si="22"/>
        <v>45419</v>
      </c>
      <c r="AE196">
        <f t="shared" ca="1" si="23"/>
        <v>0</v>
      </c>
      <c r="AG196" s="63">
        <f t="shared" ca="1" si="27"/>
        <v>-50.602966776504672</v>
      </c>
      <c r="AH196" s="63">
        <f t="shared" ca="1" si="28"/>
        <v>-50.602966776504672</v>
      </c>
      <c r="AI196" s="3">
        <f t="shared" ca="1" si="29"/>
        <v>0</v>
      </c>
    </row>
    <row r="197" spans="7:35">
      <c r="G197" s="3">
        <f t="shared" ca="1" si="24"/>
        <v>70</v>
      </c>
      <c r="H197" s="95">
        <f t="shared" ca="1" si="26"/>
        <v>45360</v>
      </c>
      <c r="I197" s="119">
        <f ca="1">HLOOKUP($H$5,'Met Data'!$A$2:$F$368,G197,FALSE)</f>
        <v>18.100000000000001</v>
      </c>
      <c r="J197" s="119">
        <f ca="1">HLOOKUP($H$5,'Met Data'!$H$2:$M$368,G197,FALSE)*L197</f>
        <v>1.75</v>
      </c>
      <c r="K197" s="96">
        <f ca="1">HLOOKUP($H$5,'Met Data'!$O$2:$T$368,G197,FALSE)</f>
        <v>3.9222011256035199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45420</v>
      </c>
      <c r="Q197">
        <f ca="1"/>
        <v>-52.660543588488956</v>
      </c>
      <c r="R197">
        <f ca="1"/>
        <v>1.1528037200277481</v>
      </c>
      <c r="S197">
        <f ca="1"/>
        <v>4.7521439197013571E-3</v>
      </c>
      <c r="T197">
        <f ca="1"/>
        <v>0.31823628740746873</v>
      </c>
      <c r="U197">
        <f ca="1"/>
        <v>0</v>
      </c>
      <c r="V197">
        <f ca="1"/>
        <v>128.53250187843815</v>
      </c>
      <c r="W197">
        <f ca="1"/>
        <v>117.58343690360824</v>
      </c>
      <c r="X197">
        <f ca="1"/>
        <v>0</v>
      </c>
      <c r="Y197">
        <f ca="1"/>
        <v>1</v>
      </c>
      <c r="Z197">
        <f ca="1"/>
        <v>0.59397336932761391</v>
      </c>
      <c r="AA197">
        <f ca="1"/>
        <v>0</v>
      </c>
      <c r="AB197">
        <f ca="1"/>
        <v>0.99996832964497306</v>
      </c>
      <c r="AD197" s="2">
        <f t="shared" ca="1" si="22"/>
        <v>45420</v>
      </c>
      <c r="AE197">
        <f t="shared" ca="1" si="23"/>
        <v>0</v>
      </c>
      <c r="AG197" s="63">
        <f t="shared" ca="1" si="27"/>
        <v>-51.507739868461208</v>
      </c>
      <c r="AH197" s="63">
        <f t="shared" ca="1" si="28"/>
        <v>-51.507739868461208</v>
      </c>
      <c r="AI197" s="3">
        <f t="shared" ca="1" si="29"/>
        <v>0</v>
      </c>
    </row>
    <row r="198" spans="7:35">
      <c r="G198" s="3">
        <f t="shared" ca="1" si="24"/>
        <v>71</v>
      </c>
      <c r="H198" s="95">
        <f t="shared" ca="1" si="26"/>
        <v>45361</v>
      </c>
      <c r="I198" s="119">
        <f ca="1">HLOOKUP($H$5,'Met Data'!$A$2:$F$368,G198,FALSE)</f>
        <v>17.931666666666601</v>
      </c>
      <c r="J198" s="119">
        <f ca="1">HLOOKUP($H$5,'Met Data'!$H$2:$M$368,G198,FALSE)*L198</f>
        <v>6.9499999999999904</v>
      </c>
      <c r="K198" s="96">
        <f ca="1">HLOOKUP($H$5,'Met Data'!$O$2:$T$368,G198,FALSE)</f>
        <v>3.4661109817168501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45421</v>
      </c>
      <c r="Q198">
        <f ca="1"/>
        <v>-53.489509158214204</v>
      </c>
      <c r="R198">
        <f ca="1"/>
        <v>1.1556109208314069</v>
      </c>
      <c r="S198">
        <f ca="1"/>
        <v>4.7332600034106775E-3</v>
      </c>
      <c r="T198">
        <f ca="1"/>
        <v>0.32191209110274677</v>
      </c>
      <c r="U198">
        <f ca="1"/>
        <v>0</v>
      </c>
      <c r="V198">
        <f ca="1"/>
        <v>129.68811279926956</v>
      </c>
      <c r="W198">
        <f ca="1"/>
        <v>118.64060689414659</v>
      </c>
      <c r="X198">
        <f ca="1"/>
        <v>0</v>
      </c>
      <c r="Y198">
        <f ca="1"/>
        <v>1</v>
      </c>
      <c r="Z198">
        <f ca="1"/>
        <v>1.5077961298284706</v>
      </c>
      <c r="AA198">
        <f ca="1"/>
        <v>0</v>
      </c>
      <c r="AB198">
        <f ca="1"/>
        <v>0.99997131290681496</v>
      </c>
      <c r="AD198" s="2">
        <f t="shared" ca="1" si="22"/>
        <v>45421</v>
      </c>
      <c r="AE198">
        <f t="shared" ca="1" si="23"/>
        <v>0</v>
      </c>
      <c r="AG198" s="63">
        <f t="shared" ca="1" si="27"/>
        <v>-52.333898237382797</v>
      </c>
      <c r="AH198" s="63">
        <f t="shared" ca="1" si="28"/>
        <v>-52.333898237382797</v>
      </c>
      <c r="AI198" s="3">
        <f t="shared" ca="1" si="29"/>
        <v>0</v>
      </c>
    </row>
    <row r="199" spans="7:35">
      <c r="G199" s="3">
        <f t="shared" ca="1" si="24"/>
        <v>72</v>
      </c>
      <c r="H199" s="95">
        <f t="shared" ca="1" si="26"/>
        <v>45362</v>
      </c>
      <c r="I199" s="119">
        <f ca="1">HLOOKUP($H$5,'Met Data'!$A$2:$F$368,G199,FALSE)</f>
        <v>18.11</v>
      </c>
      <c r="J199" s="119">
        <f ca="1">HLOOKUP($H$5,'Met Data'!$H$2:$M$368,G199,FALSE)*L199</f>
        <v>3.0533333333333301</v>
      </c>
      <c r="K199" s="96">
        <f ca="1">HLOOKUP($H$5,'Met Data'!$O$2:$T$368,G199,FALSE)</f>
        <v>3.54178935257598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45422</v>
      </c>
      <c r="Q199">
        <f ca="1"/>
        <v>-54.333247082087645</v>
      </c>
      <c r="R199">
        <f ca="1"/>
        <v>1.1785372349963268</v>
      </c>
      <c r="S199">
        <f ca="1"/>
        <v>4.7643120491556168E-3</v>
      </c>
      <c r="T199">
        <f ca="1"/>
        <v>0.33003499907373512</v>
      </c>
      <c r="U199">
        <f ca="1"/>
        <v>0</v>
      </c>
      <c r="V199">
        <f ca="1"/>
        <v>130.86665003426589</v>
      </c>
      <c r="W199">
        <f ca="1"/>
        <v>119.71875021653213</v>
      </c>
      <c r="X199">
        <f ca="1"/>
        <v>0</v>
      </c>
      <c r="Y199">
        <f ca="1"/>
        <v>1</v>
      </c>
      <c r="Z199">
        <f ca="1"/>
        <v>0.59917358401661147</v>
      </c>
      <c r="AA199">
        <f ca="1"/>
        <v>0</v>
      </c>
      <c r="AB199">
        <f ca="1"/>
        <v>0.99997410352012872</v>
      </c>
      <c r="AD199" s="2">
        <f t="shared" ref="AD199:AD262" ca="1" si="32">IFERROR(P199,$AD$5)</f>
        <v>45422</v>
      </c>
      <c r="AE199">
        <f t="shared" ref="AE199:AE262" ca="1" si="33">IFERROR(U199,0)</f>
        <v>0</v>
      </c>
      <c r="AG199" s="63">
        <f t="shared" ca="1" si="27"/>
        <v>-53.154709847091318</v>
      </c>
      <c r="AH199" s="63">
        <f t="shared" ca="1" si="28"/>
        <v>-53.154709847091318</v>
      </c>
      <c r="AI199" s="3">
        <f t="shared" ca="1" si="29"/>
        <v>0</v>
      </c>
    </row>
    <row r="200" spans="7:35">
      <c r="G200" s="3">
        <f t="shared" ref="G200:G263" ca="1" si="34">H200-DATE(YEAR(H200),1,0)+1</f>
        <v>73</v>
      </c>
      <c r="H200" s="95">
        <f t="shared" ca="1" si="26"/>
        <v>45363</v>
      </c>
      <c r="I200" s="119">
        <f ca="1">HLOOKUP($H$5,'Met Data'!$A$2:$F$368,G200,FALSE)</f>
        <v>17.7392857142857</v>
      </c>
      <c r="J200" s="119">
        <f ca="1">HLOOKUP($H$5,'Met Data'!$H$2:$M$368,G200,FALSE)*L200</f>
        <v>1.6892857142857101</v>
      </c>
      <c r="K200" s="96">
        <f ca="1">HLOOKUP($H$5,'Met Data'!$O$2:$T$368,G200,FALSE)</f>
        <v>3.3591305391228099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45423</v>
      </c>
      <c r="Q200">
        <f ca="1"/>
        <v>-55.193376498894146</v>
      </c>
      <c r="R200">
        <f ca="1"/>
        <v>1.2042516511965005</v>
      </c>
      <c r="S200">
        <f ca="1"/>
        <v>4.8059155681490218E-3</v>
      </c>
      <c r="T200">
        <f ca="1"/>
        <v>0.33931631882185215</v>
      </c>
      <c r="U200">
        <f ca="1"/>
        <v>0</v>
      </c>
      <c r="V200">
        <f ca="1"/>
        <v>132.07090168546239</v>
      </c>
      <c r="W200">
        <f ca="1"/>
        <v>120.82041746781189</v>
      </c>
      <c r="X200">
        <f ca="1"/>
        <v>0</v>
      </c>
      <c r="Y200">
        <f ca="1"/>
        <v>1</v>
      </c>
      <c r="Z200">
        <f ca="1"/>
        <v>1.9788298361560948</v>
      </c>
      <c r="AA200">
        <f ca="1"/>
        <v>0</v>
      </c>
      <c r="AB200">
        <f ca="1"/>
        <v>0.99997671202995897</v>
      </c>
      <c r="AD200" s="2">
        <f t="shared" ca="1" si="32"/>
        <v>45423</v>
      </c>
      <c r="AE200">
        <f t="shared" ca="1" si="33"/>
        <v>0</v>
      </c>
      <c r="AG200" s="63">
        <f t="shared" ca="1" si="27"/>
        <v>-53.989124847697646</v>
      </c>
      <c r="AH200" s="63">
        <f t="shared" ca="1" si="28"/>
        <v>-53.989124847697646</v>
      </c>
      <c r="AI200" s="3">
        <f t="shared" ca="1" si="29"/>
        <v>0</v>
      </c>
    </row>
    <row r="201" spans="7:35">
      <c r="G201" s="3">
        <f t="shared" ca="1" si="34"/>
        <v>74</v>
      </c>
      <c r="H201" s="95">
        <f t="shared" ref="H201:H264" ca="1" si="36">H200+1</f>
        <v>45364</v>
      </c>
      <c r="I201" s="119">
        <f ca="1">HLOOKUP($H$5,'Met Data'!$A$2:$F$368,G201,FALSE)</f>
        <v>17.7431034482758</v>
      </c>
      <c r="J201" s="119">
        <f ca="1">HLOOKUP($H$5,'Met Data'!$H$2:$M$368,G201,FALSE)*L201</f>
        <v>1.84</v>
      </c>
      <c r="K201" s="96">
        <f ca="1">HLOOKUP($H$5,'Met Data'!$O$2:$T$368,G201,FALSE)</f>
        <v>3.37236322021164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45424</v>
      </c>
      <c r="Q201">
        <f ca="1"/>
        <v>-56.026480806858693</v>
      </c>
      <c r="R201">
        <f ca="1"/>
        <v>1.1748353125715312</v>
      </c>
      <c r="S201">
        <f ca="1"/>
        <v>4.7146743808044178E-3</v>
      </c>
      <c r="T201">
        <f ca="1"/>
        <v>0.33701633022618044</v>
      </c>
      <c r="U201">
        <f ca="1"/>
        <v>0</v>
      </c>
      <c r="V201">
        <f ca="1"/>
        <v>133.24573699803392</v>
      </c>
      <c r="W201">
        <f ca="1"/>
        <v>121.89517421671992</v>
      </c>
      <c r="X201">
        <f ca="1"/>
        <v>0</v>
      </c>
      <c r="Y201">
        <f ca="1"/>
        <v>1</v>
      </c>
      <c r="Z201">
        <f ca="1"/>
        <v>1.6257506441505427</v>
      </c>
      <c r="AA201">
        <f ca="1"/>
        <v>0</v>
      </c>
      <c r="AB201">
        <f ca="1"/>
        <v>0.99997903803724075</v>
      </c>
      <c r="AD201" s="2">
        <f t="shared" ca="1" si="32"/>
        <v>45424</v>
      </c>
      <c r="AE201">
        <f t="shared" ca="1" si="33"/>
        <v>0</v>
      </c>
      <c r="AG201" s="63">
        <f ca="1">Q200+S201+T201+U201</f>
        <v>-54.851645494287162</v>
      </c>
      <c r="AH201" s="63">
        <f ca="1">Q201+R201+X201</f>
        <v>-54.851645494287162</v>
      </c>
      <c r="AI201" s="3">
        <f ca="1">AH201-AG201</f>
        <v>0</v>
      </c>
    </row>
    <row r="202" spans="7:35">
      <c r="G202" s="3">
        <f t="shared" ca="1" si="34"/>
        <v>75</v>
      </c>
      <c r="H202" s="95">
        <f t="shared" ca="1" si="36"/>
        <v>45365</v>
      </c>
      <c r="I202" s="119">
        <f ca="1">HLOOKUP($H$5,'Met Data'!$A$2:$F$368,G202,FALSE)</f>
        <v>17.582758620689599</v>
      </c>
      <c r="J202" s="119">
        <f ca="1">HLOOKUP($H$5,'Met Data'!$H$2:$M$368,G202,FALSE)*L202</f>
        <v>3.1862068965517198</v>
      </c>
      <c r="K202" s="96">
        <f ca="1">HLOOKUP($H$5,'Met Data'!$O$2:$T$368,G202,FALSE)</f>
        <v>3.1968269295082399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45425</v>
      </c>
      <c r="Q202">
        <f ca="1"/>
        <v>-56.807551991492886</v>
      </c>
      <c r="R202">
        <f ca="1"/>
        <v>1.1131519893992277</v>
      </c>
      <c r="S202">
        <f ca="1"/>
        <v>4.5463775615433022E-3</v>
      </c>
      <c r="T202">
        <f ca="1"/>
        <v>0.32753442720349046</v>
      </c>
      <c r="U202">
        <f ca="1"/>
        <v>0</v>
      </c>
      <c r="V202">
        <f ca="1"/>
        <v>134.35888898743315</v>
      </c>
      <c r="W202">
        <f ca="1"/>
        <v>122.91350214776293</v>
      </c>
      <c r="X202">
        <f ca="1"/>
        <v>0</v>
      </c>
      <c r="Y202">
        <f ca="1"/>
        <v>1</v>
      </c>
      <c r="Z202">
        <f ca="1"/>
        <v>1.2119786820522123</v>
      </c>
      <c r="AA202">
        <f ca="1"/>
        <v>0</v>
      </c>
      <c r="AB202">
        <f ca="1"/>
        <v>0.99998105743460131</v>
      </c>
      <c r="AD202" s="2">
        <f t="shared" ca="1" si="32"/>
        <v>45425</v>
      </c>
      <c r="AE202">
        <f t="shared" ca="1" si="33"/>
        <v>0</v>
      </c>
      <c r="AG202" s="63">
        <f ca="1">Q201+S202+T202+U202</f>
        <v>-55.694400002093658</v>
      </c>
      <c r="AH202" s="63">
        <f ca="1">Q202+R202+X202</f>
        <v>-55.694400002093658</v>
      </c>
      <c r="AI202" s="3">
        <f ca="1">AH202-AG202</f>
        <v>0</v>
      </c>
    </row>
    <row r="203" spans="7:35">
      <c r="G203" s="3">
        <f t="shared" ca="1" si="34"/>
        <v>76</v>
      </c>
      <c r="H203" s="95">
        <f t="shared" ca="1" si="36"/>
        <v>45366</v>
      </c>
      <c r="I203" s="119">
        <f ca="1">HLOOKUP($H$5,'Met Data'!$A$2:$F$368,G203,FALSE)</f>
        <v>17.724137931034399</v>
      </c>
      <c r="J203" s="119">
        <f ca="1">HLOOKUP($H$5,'Met Data'!$H$2:$M$368,G203,FALSE)*L203</f>
        <v>2.9633333333333298</v>
      </c>
      <c r="K203" s="96">
        <f ca="1">HLOOKUP($H$5,'Met Data'!$O$2:$T$368,G203,FALSE)</f>
        <v>3.15313078143424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45426</v>
      </c>
      <c r="Q203">
        <f ca="1"/>
        <v>-57.562911758207299</v>
      </c>
      <c r="R203">
        <f ca="1"/>
        <v>1.085021770936919</v>
      </c>
      <c r="S203">
        <f ca="1"/>
        <v>4.460689415107133E-3</v>
      </c>
      <c r="T203">
        <f ca="1"/>
        <v>0.325201314807398</v>
      </c>
      <c r="U203">
        <f ca="1"/>
        <v>0</v>
      </c>
      <c r="V203">
        <f ca="1"/>
        <v>135.44391075837007</v>
      </c>
      <c r="W203">
        <f ca="1"/>
        <v>123.90609613821263</v>
      </c>
      <c r="X203">
        <f ca="1"/>
        <v>0</v>
      </c>
      <c r="Y203">
        <f ca="1"/>
        <v>1</v>
      </c>
      <c r="Z203">
        <f ca="1"/>
        <v>2.336981287492307</v>
      </c>
      <c r="AA203">
        <f ca="1"/>
        <v>0</v>
      </c>
      <c r="AB203">
        <f ca="1"/>
        <v>0.99998286555142835</v>
      </c>
      <c r="AD203" s="2">
        <f t="shared" ca="1" si="32"/>
        <v>45426</v>
      </c>
      <c r="AE203">
        <f t="shared" ca="1" si="33"/>
        <v>0</v>
      </c>
      <c r="AG203" s="63">
        <f ca="1">Q202+S203+T203+U203</f>
        <v>-56.47788998727038</v>
      </c>
      <c r="AH203" s="63">
        <f ca="1">Q203+R203+X203</f>
        <v>-56.47788998727038</v>
      </c>
      <c r="AI203" s="3">
        <f ca="1">AH203-AG203</f>
        <v>0</v>
      </c>
    </row>
    <row r="204" spans="7:35">
      <c r="G204" s="3">
        <f t="shared" ca="1" si="34"/>
        <v>77</v>
      </c>
      <c r="H204" s="95">
        <f t="shared" ca="1" si="36"/>
        <v>45367</v>
      </c>
      <c r="I204" s="119">
        <f ca="1">HLOOKUP($H$5,'Met Data'!$A$2:$F$368,G204,FALSE)</f>
        <v>17.698333333333299</v>
      </c>
      <c r="J204" s="119">
        <f ca="1">HLOOKUP($H$5,'Met Data'!$H$2:$M$368,G204,FALSE)*L204</f>
        <v>2.61666666666666</v>
      </c>
      <c r="K204" s="96">
        <f ca="1">HLOOKUP($H$5,'Met Data'!$O$2:$T$368,G204,FALSE)</f>
        <v>3.4068572568745799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45427</v>
      </c>
      <c r="Q204">
        <f ca="1"/>
        <v>-58.301982812439924</v>
      </c>
      <c r="R204">
        <f ca="1"/>
        <v>1.0689982981330957</v>
      </c>
      <c r="S204">
        <f ca="1"/>
        <v>4.4050460468385566E-3</v>
      </c>
      <c r="T204">
        <f ca="1"/>
        <v>0.32552219785362968</v>
      </c>
      <c r="U204">
        <f ca="1"/>
        <v>0</v>
      </c>
      <c r="V204">
        <f ca="1"/>
        <v>136.51290905650316</v>
      </c>
      <c r="W204">
        <f ca="1"/>
        <v>124.88403161835659</v>
      </c>
      <c r="X204">
        <f ca="1"/>
        <v>0</v>
      </c>
      <c r="Y204">
        <f ca="1"/>
        <v>1</v>
      </c>
      <c r="Z204">
        <f ca="1"/>
        <v>2.3412689420328903</v>
      </c>
      <c r="AA204">
        <f ca="1"/>
        <v>0</v>
      </c>
      <c r="AB204">
        <f ca="1"/>
        <v>0.99998450316923182</v>
      </c>
      <c r="AD204" s="2">
        <f t="shared" ca="1" si="32"/>
        <v>45427</v>
      </c>
      <c r="AE204">
        <f t="shared" ca="1" si="33"/>
        <v>0</v>
      </c>
      <c r="AG204" s="63">
        <f t="shared" ref="AG204:AG267" ca="1" si="37">Q203+S204+T204+U204</f>
        <v>-57.232984514306828</v>
      </c>
      <c r="AH204" s="63">
        <f t="shared" ref="AH204:AH267" ca="1" si="38">Q204+R204+X204</f>
        <v>-57.232984514306828</v>
      </c>
      <c r="AI204" s="3">
        <f t="shared" ref="AI204:AI267" ca="1" si="39">AH204-AG204</f>
        <v>0</v>
      </c>
    </row>
    <row r="205" spans="7:35">
      <c r="G205" s="3">
        <f t="shared" ca="1" si="34"/>
        <v>78</v>
      </c>
      <c r="H205" s="95">
        <f t="shared" ca="1" si="36"/>
        <v>45368</v>
      </c>
      <c r="I205" s="119">
        <f ca="1">HLOOKUP($H$5,'Met Data'!$A$2:$F$368,G205,FALSE)</f>
        <v>17.62</v>
      </c>
      <c r="J205" s="119">
        <f ca="1">HLOOKUP($H$5,'Met Data'!$H$2:$M$368,G205,FALSE)*L205</f>
        <v>1.69</v>
      </c>
      <c r="K205" s="96">
        <f ca="1">HLOOKUP($H$5,'Met Data'!$O$2:$T$368,G205,FALSE)</f>
        <v>3.17632774581707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45428</v>
      </c>
      <c r="Q205">
        <f ca="1"/>
        <v>-58.985162891721494</v>
      </c>
      <c r="R205">
        <f ca="1"/>
        <v>1.0016355127954739</v>
      </c>
      <c r="S205">
        <f ca="1"/>
        <v>4.2280307597386546E-3</v>
      </c>
      <c r="T205">
        <f ca="1"/>
        <v>0.31422740275416272</v>
      </c>
      <c r="U205">
        <f ca="1"/>
        <v>0</v>
      </c>
      <c r="V205">
        <f ca="1"/>
        <v>137.51454456929864</v>
      </c>
      <c r="W205">
        <f ca="1"/>
        <v>125.80034262450653</v>
      </c>
      <c r="X205">
        <f ca="1"/>
        <v>0</v>
      </c>
      <c r="Y205">
        <f ca="1"/>
        <v>1</v>
      </c>
      <c r="Z205">
        <f ca="1"/>
        <v>2.1851901968618748</v>
      </c>
      <c r="AA205">
        <f ca="1"/>
        <v>0</v>
      </c>
      <c r="AB205">
        <f ca="1"/>
        <v>0.99998591695215511</v>
      </c>
      <c r="AD205" s="2">
        <f t="shared" ca="1" si="32"/>
        <v>45428</v>
      </c>
      <c r="AE205">
        <f t="shared" ca="1" si="33"/>
        <v>0</v>
      </c>
      <c r="AG205" s="63">
        <f t="shared" ca="1" si="37"/>
        <v>-57.98352737892602</v>
      </c>
      <c r="AH205" s="63">
        <f t="shared" ca="1" si="38"/>
        <v>-57.98352737892602</v>
      </c>
      <c r="AI205" s="3">
        <f t="shared" ca="1" si="39"/>
        <v>0</v>
      </c>
    </row>
    <row r="206" spans="7:35">
      <c r="G206" s="3">
        <f t="shared" ca="1" si="34"/>
        <v>79</v>
      </c>
      <c r="H206" s="95">
        <f t="shared" ca="1" si="36"/>
        <v>45369</v>
      </c>
      <c r="I206" s="119">
        <f ca="1">HLOOKUP($H$5,'Met Data'!$A$2:$F$368,G206,FALSE)</f>
        <v>17.170000000000002</v>
      </c>
      <c r="J206" s="119">
        <f ca="1">HLOOKUP($H$5,'Met Data'!$H$2:$M$368,G206,FALSE)*L206</f>
        <v>1.5166666666666599</v>
      </c>
      <c r="K206" s="96">
        <f ca="1">HLOOKUP($H$5,'Met Data'!$O$2:$T$368,G206,FALSE)</f>
        <v>3.38121466442426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45429</v>
      </c>
      <c r="Q206">
        <f ca="1"/>
        <v>-59.63915848059716</v>
      </c>
      <c r="R206">
        <f ca="1"/>
        <v>0.9684677144046816</v>
      </c>
      <c r="S206">
        <f ca="1"/>
        <v>4.1332407930529946E-3</v>
      </c>
      <c r="T206">
        <f ca="1"/>
        <v>0.31033888473596166</v>
      </c>
      <c r="U206">
        <f ca="1"/>
        <v>0</v>
      </c>
      <c r="V206">
        <f ca="1"/>
        <v>138.48301228370332</v>
      </c>
      <c r="W206">
        <f ca="1"/>
        <v>126.68631123731377</v>
      </c>
      <c r="X206">
        <f ca="1"/>
        <v>0</v>
      </c>
      <c r="Y206">
        <f ca="1"/>
        <v>1</v>
      </c>
      <c r="Z206">
        <f ca="1"/>
        <v>2.032063936865498</v>
      </c>
      <c r="AA206">
        <f ca="1"/>
        <v>0</v>
      </c>
      <c r="AB206">
        <f ca="1"/>
        <v>0.99998718031109468</v>
      </c>
      <c r="AD206" s="2">
        <f t="shared" ca="1" si="32"/>
        <v>45429</v>
      </c>
      <c r="AE206">
        <f t="shared" ca="1" si="33"/>
        <v>0</v>
      </c>
      <c r="AG206" s="63">
        <f t="shared" ca="1" si="37"/>
        <v>-58.670690766192479</v>
      </c>
      <c r="AH206" s="63">
        <f t="shared" ca="1" si="38"/>
        <v>-58.670690766192479</v>
      </c>
      <c r="AI206" s="3">
        <f t="shared" ca="1" si="39"/>
        <v>0</v>
      </c>
    </row>
    <row r="207" spans="7:35">
      <c r="G207" s="3">
        <f t="shared" ca="1" si="34"/>
        <v>80</v>
      </c>
      <c r="H207" s="95">
        <f t="shared" ca="1" si="36"/>
        <v>45370</v>
      </c>
      <c r="I207" s="119">
        <f ca="1">HLOOKUP($H$5,'Met Data'!$A$2:$F$368,G207,FALSE)</f>
        <v>17.223333333333301</v>
      </c>
      <c r="J207" s="119">
        <f ca="1">HLOOKUP($H$5,'Met Data'!$H$2:$M$368,G207,FALSE)*L207</f>
        <v>3.56451612903225</v>
      </c>
      <c r="K207" s="96">
        <f ca="1">HLOOKUP($H$5,'Met Data'!$O$2:$T$368,G207,FALSE)</f>
        <v>3.2035769560803802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45430</v>
      </c>
      <c r="Q207">
        <f ca="1"/>
        <v>-60.32214005223581</v>
      </c>
      <c r="R207">
        <f ca="1"/>
        <v>1.0111202659199989</v>
      </c>
      <c r="S207">
        <f ca="1"/>
        <v>4.2189664435419161E-3</v>
      </c>
      <c r="T207">
        <f ca="1"/>
        <v>0.3239197278378067</v>
      </c>
      <c r="U207">
        <f ca="1"/>
        <v>0</v>
      </c>
      <c r="V207">
        <f ca="1"/>
        <v>139.49413254962332</v>
      </c>
      <c r="W207">
        <f ca="1"/>
        <v>127.61129903613688</v>
      </c>
      <c r="X207">
        <f ca="1"/>
        <v>0</v>
      </c>
      <c r="Y207">
        <f ca="1"/>
        <v>0.99309578519490127</v>
      </c>
      <c r="Z207">
        <f ca="1"/>
        <v>0</v>
      </c>
      <c r="AA207">
        <f ca="1"/>
        <v>0</v>
      </c>
      <c r="AB207">
        <f ca="1"/>
        <v>0.99998839774018899</v>
      </c>
      <c r="AD207" s="2">
        <f t="shared" ca="1" si="32"/>
        <v>45430</v>
      </c>
      <c r="AE207">
        <f t="shared" ca="1" si="33"/>
        <v>0</v>
      </c>
      <c r="AG207" s="63">
        <f t="shared" ca="1" si="37"/>
        <v>-59.311019786315811</v>
      </c>
      <c r="AH207" s="63">
        <f t="shared" ca="1" si="38"/>
        <v>-59.311019786315811</v>
      </c>
      <c r="AI207" s="3">
        <f t="shared" ca="1" si="39"/>
        <v>0</v>
      </c>
    </row>
    <row r="208" spans="7:35">
      <c r="G208" s="3">
        <f t="shared" ca="1" si="34"/>
        <v>81</v>
      </c>
      <c r="H208" s="95">
        <f t="shared" ca="1" si="36"/>
        <v>45371</v>
      </c>
      <c r="I208" s="119">
        <f ca="1">HLOOKUP($H$5,'Met Data'!$A$2:$F$368,G208,FALSE)</f>
        <v>17.498333333333299</v>
      </c>
      <c r="J208" s="119">
        <f ca="1">HLOOKUP($H$5,'Met Data'!$H$2:$M$368,G208,FALSE)*L208</f>
        <v>0.80645161290322498</v>
      </c>
      <c r="K208" s="96">
        <f ca="1">HLOOKUP($H$5,'Met Data'!$O$2:$T$368,G208,FALSE)</f>
        <v>3.31927458571925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45431</v>
      </c>
      <c r="Q208">
        <f ca="1"/>
        <v>-60.983264337172336</v>
      </c>
      <c r="R208">
        <f ca="1"/>
        <v>0.98782345835905971</v>
      </c>
      <c r="S208">
        <f ca="1"/>
        <v>4.1491218869413871E-3</v>
      </c>
      <c r="T208">
        <f ca="1"/>
        <v>0.32255005153559602</v>
      </c>
      <c r="U208">
        <f ca="1"/>
        <v>0</v>
      </c>
      <c r="V208">
        <f ca="1"/>
        <v>140.48195600798238</v>
      </c>
      <c r="W208">
        <f ca="1"/>
        <v>128.51497457026534</v>
      </c>
      <c r="X208">
        <f ca="1"/>
        <v>0</v>
      </c>
      <c r="Y208">
        <f ca="1"/>
        <v>1</v>
      </c>
      <c r="Z208">
        <f ca="1"/>
        <v>3.3866176880744376</v>
      </c>
      <c r="AA208">
        <f ca="1"/>
        <v>0</v>
      </c>
      <c r="AB208">
        <f ca="1"/>
        <v>0.99998949349263888</v>
      </c>
      <c r="AD208" s="2">
        <f t="shared" ca="1" si="32"/>
        <v>45431</v>
      </c>
      <c r="AE208">
        <f t="shared" ca="1" si="33"/>
        <v>0</v>
      </c>
      <c r="AG208" s="63">
        <f t="shared" ca="1" si="37"/>
        <v>-59.995440878813277</v>
      </c>
      <c r="AH208" s="63">
        <f t="shared" ca="1" si="38"/>
        <v>-59.995440878813277</v>
      </c>
      <c r="AI208" s="3">
        <f t="shared" ca="1" si="39"/>
        <v>0</v>
      </c>
    </row>
    <row r="209" spans="7:35">
      <c r="G209" s="3">
        <f t="shared" ca="1" si="34"/>
        <v>82</v>
      </c>
      <c r="H209" s="95">
        <f t="shared" ca="1" si="36"/>
        <v>45372</v>
      </c>
      <c r="I209" s="119">
        <f ca="1">HLOOKUP($H$5,'Met Data'!$A$2:$F$368,G209,FALSE)</f>
        <v>17.390322580645101</v>
      </c>
      <c r="J209" s="119">
        <f ca="1">HLOOKUP($H$5,'Met Data'!$H$2:$M$368,G209,FALSE)*L209</f>
        <v>2.8516129032258002</v>
      </c>
      <c r="K209" s="96">
        <f ca="1">HLOOKUP($H$5,'Met Data'!$O$2:$T$368,G209,FALSE)</f>
        <v>3.3284502448926401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45432</v>
      </c>
      <c r="Q209">
        <f ca="1"/>
        <v>-61.651665825589099</v>
      </c>
      <c r="R209">
        <f ca="1"/>
        <v>1.0032129583951246</v>
      </c>
      <c r="S209">
        <f ca="1"/>
        <v>4.1749661419796524E-3</v>
      </c>
      <c r="T209">
        <f ca="1"/>
        <v>0.33063650383638249</v>
      </c>
      <c r="U209">
        <f ca="1"/>
        <v>0</v>
      </c>
      <c r="V209">
        <f ca="1"/>
        <v>141.4851689663775</v>
      </c>
      <c r="W209">
        <f ca="1"/>
        <v>129.43272864701942</v>
      </c>
      <c r="X209">
        <f ca="1"/>
        <v>0</v>
      </c>
      <c r="Y209">
        <f ca="1"/>
        <v>1</v>
      </c>
      <c r="Z209">
        <f ca="1"/>
        <v>3.6573517089452068</v>
      </c>
      <c r="AA209">
        <f ca="1"/>
        <v>0</v>
      </c>
      <c r="AB209">
        <f ca="1"/>
        <v>0.99999051793037297</v>
      </c>
      <c r="AD209" s="2">
        <f t="shared" ca="1" si="32"/>
        <v>45432</v>
      </c>
      <c r="AE209">
        <f t="shared" ca="1" si="33"/>
        <v>0</v>
      </c>
      <c r="AG209" s="63">
        <f t="shared" ca="1" si="37"/>
        <v>-60.648452867193974</v>
      </c>
      <c r="AH209" s="63">
        <f t="shared" ca="1" si="38"/>
        <v>-60.648452867193974</v>
      </c>
      <c r="AI209" s="3">
        <f t="shared" ca="1" si="39"/>
        <v>0</v>
      </c>
    </row>
    <row r="210" spans="7:35">
      <c r="G210" s="3">
        <f t="shared" ca="1" si="34"/>
        <v>83</v>
      </c>
      <c r="H210" s="95">
        <f t="shared" ca="1" si="36"/>
        <v>45373</v>
      </c>
      <c r="I210" s="119">
        <f ca="1">HLOOKUP($H$5,'Met Data'!$A$2:$F$368,G210,FALSE)</f>
        <v>17.053333333333299</v>
      </c>
      <c r="J210" s="119">
        <f ca="1">HLOOKUP($H$5,'Met Data'!$H$2:$M$368,G210,FALSE)*L210</f>
        <v>2.9933333333333301</v>
      </c>
      <c r="K210" s="96">
        <f ca="1">HLOOKUP($H$5,'Met Data'!$O$2:$T$368,G210,FALSE)</f>
        <v>3.1676733133647299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45433</v>
      </c>
      <c r="Q210">
        <f ca="1"/>
        <v>-62.256954243056761</v>
      </c>
      <c r="R210">
        <f ca="1"/>
        <v>0.9250611141768843</v>
      </c>
      <c r="S210">
        <f ca="1"/>
        <v>3.9725062521691612E-3</v>
      </c>
      <c r="T210">
        <f ca="1"/>
        <v>0.31580019045705682</v>
      </c>
      <c r="U210">
        <f ca="1"/>
        <v>0</v>
      </c>
      <c r="V210">
        <f ca="1"/>
        <v>142.41023008055438</v>
      </c>
      <c r="W210">
        <f ca="1"/>
        <v>130.27898825887752</v>
      </c>
      <c r="X210">
        <f ca="1"/>
        <v>0</v>
      </c>
      <c r="Y210">
        <f ca="1"/>
        <v>1</v>
      </c>
      <c r="Z210">
        <f ca="1"/>
        <v>3.3251396957355013</v>
      </c>
      <c r="AA210">
        <f ca="1"/>
        <v>0</v>
      </c>
      <c r="AB210">
        <f ca="1"/>
        <v>0.99999138879072236</v>
      </c>
      <c r="AD210" s="2">
        <f t="shared" ca="1" si="32"/>
        <v>45433</v>
      </c>
      <c r="AE210">
        <f t="shared" ca="1" si="33"/>
        <v>0</v>
      </c>
      <c r="AG210" s="63">
        <f t="shared" ca="1" si="37"/>
        <v>-61.331893128879877</v>
      </c>
      <c r="AH210" s="63">
        <f t="shared" ca="1" si="38"/>
        <v>-61.331893128879877</v>
      </c>
      <c r="AI210" s="3">
        <f t="shared" ca="1" si="39"/>
        <v>0</v>
      </c>
    </row>
    <row r="211" spans="7:35">
      <c r="G211" s="3">
        <f t="shared" ca="1" si="34"/>
        <v>84</v>
      </c>
      <c r="H211" s="95">
        <f t="shared" ca="1" si="36"/>
        <v>45374</v>
      </c>
      <c r="I211" s="119">
        <f ca="1">HLOOKUP($H$5,'Met Data'!$A$2:$F$368,G211,FALSE)</f>
        <v>16.973333333333301</v>
      </c>
      <c r="J211" s="119">
        <f ca="1">HLOOKUP($H$5,'Met Data'!$H$2:$M$368,G211,FALSE)*L211</f>
        <v>1.83666666666666</v>
      </c>
      <c r="K211" s="96">
        <f ca="1">HLOOKUP($H$5,'Met Data'!$O$2:$T$368,G211,FALSE)</f>
        <v>3.1307694102164598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45434</v>
      </c>
      <c r="Q211">
        <f ca="1"/>
        <v>-62.825756419095811</v>
      </c>
      <c r="R211">
        <f ca="1"/>
        <v>0.88179662826505023</v>
      </c>
      <c r="S211">
        <f ca="1"/>
        <v>3.8562691086969636E-3</v>
      </c>
      <c r="T211">
        <f ca="1"/>
        <v>0.30913818311730618</v>
      </c>
      <c r="U211">
        <f ca="1"/>
        <v>0</v>
      </c>
      <c r="V211">
        <f ca="1"/>
        <v>143.29202670881944</v>
      </c>
      <c r="W211">
        <f ca="1"/>
        <v>131.08566887806816</v>
      </c>
      <c r="X211">
        <f ca="1"/>
        <v>0</v>
      </c>
      <c r="Y211">
        <f ca="1"/>
        <v>1</v>
      </c>
      <c r="Z211">
        <f ca="1"/>
        <v>6.3600079202861934</v>
      </c>
      <c r="AA211">
        <f ca="1"/>
        <v>0</v>
      </c>
      <c r="AB211">
        <f ca="1"/>
        <v>0.9999921572129612</v>
      </c>
      <c r="AD211" s="2">
        <f t="shared" ca="1" si="32"/>
        <v>45434</v>
      </c>
      <c r="AE211">
        <f t="shared" ca="1" si="33"/>
        <v>0</v>
      </c>
      <c r="AG211" s="63">
        <f t="shared" ca="1" si="37"/>
        <v>-61.94395979083076</v>
      </c>
      <c r="AH211" s="63">
        <f t="shared" ca="1" si="38"/>
        <v>-61.94395979083076</v>
      </c>
      <c r="AI211" s="3">
        <f t="shared" ca="1" si="39"/>
        <v>0</v>
      </c>
    </row>
    <row r="212" spans="7:35">
      <c r="G212" s="3">
        <f t="shared" ca="1" si="34"/>
        <v>85</v>
      </c>
      <c r="H212" s="95">
        <f t="shared" ca="1" si="36"/>
        <v>45375</v>
      </c>
      <c r="I212" s="119">
        <f ca="1">HLOOKUP($H$5,'Met Data'!$A$2:$F$368,G212,FALSE)</f>
        <v>16.984999999999999</v>
      </c>
      <c r="J212" s="119">
        <f ca="1">HLOOKUP($H$5,'Met Data'!$H$2:$M$368,G212,FALSE)*L212</f>
        <v>1.7666666666666599</v>
      </c>
      <c r="K212" s="96">
        <f ca="1">HLOOKUP($H$5,'Met Data'!$O$2:$T$368,G212,FALSE)</f>
        <v>2.9971927749729499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45435</v>
      </c>
      <c r="Q212">
        <f ca="1"/>
        <v>-63.373187075869573</v>
      </c>
      <c r="R212">
        <f ca="1"/>
        <v>0.85836175345039578</v>
      </c>
      <c r="S212">
        <f ca="1"/>
        <v>3.7876888726708913E-3</v>
      </c>
      <c r="T212">
        <f ca="1"/>
        <v>0.3071434078039601</v>
      </c>
      <c r="U212">
        <f ca="1"/>
        <v>0</v>
      </c>
      <c r="V212">
        <f ca="1"/>
        <v>144.15038846226983</v>
      </c>
      <c r="W212">
        <f ca="1"/>
        <v>131.870910926595</v>
      </c>
      <c r="X212">
        <f ca="1"/>
        <v>0</v>
      </c>
      <c r="Y212">
        <f ca="1"/>
        <v>1</v>
      </c>
      <c r="Z212">
        <f ca="1"/>
        <v>3.8288114340229527</v>
      </c>
      <c r="AA212">
        <f ca="1"/>
        <v>0</v>
      </c>
      <c r="AB212">
        <f ca="1"/>
        <v>0.99999285087696144</v>
      </c>
      <c r="AD212" s="2">
        <f t="shared" ca="1" si="32"/>
        <v>45435</v>
      </c>
      <c r="AE212">
        <f t="shared" ca="1" si="33"/>
        <v>0</v>
      </c>
      <c r="AG212" s="63">
        <f t="shared" ca="1" si="37"/>
        <v>-62.514825322419178</v>
      </c>
      <c r="AH212" s="63">
        <f t="shared" ca="1" si="38"/>
        <v>-62.514825322419178</v>
      </c>
      <c r="AI212" s="3">
        <f t="shared" ca="1" si="39"/>
        <v>0</v>
      </c>
    </row>
    <row r="213" spans="7:35">
      <c r="G213" s="3">
        <f t="shared" ca="1" si="34"/>
        <v>86</v>
      </c>
      <c r="H213" s="95">
        <f t="shared" ca="1" si="36"/>
        <v>45376</v>
      </c>
      <c r="I213" s="119">
        <f ca="1">HLOOKUP($H$5,'Met Data'!$A$2:$F$368,G213,FALSE)</f>
        <v>17.064516129032199</v>
      </c>
      <c r="J213" s="119">
        <f ca="1">HLOOKUP($H$5,'Met Data'!$H$2:$M$368,G213,FALSE)*L213</f>
        <v>3.4354838709677402</v>
      </c>
      <c r="K213" s="96">
        <f ca="1">HLOOKUP($H$5,'Met Data'!$O$2:$T$368,G213,FALSE)</f>
        <v>3.1405308327099699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45436</v>
      </c>
      <c r="Q213">
        <f ca="1"/>
        <v>-63.927719832625691</v>
      </c>
      <c r="R213">
        <f ca="1"/>
        <v>0.87319132608544692</v>
      </c>
      <c r="S213">
        <f ca="1"/>
        <v>3.8116175379583339E-3</v>
      </c>
      <c r="T213">
        <f ca="1"/>
        <v>0.31484695179137334</v>
      </c>
      <c r="U213">
        <f ca="1"/>
        <v>0</v>
      </c>
      <c r="V213">
        <f ca="1"/>
        <v>145.02357978835528</v>
      </c>
      <c r="W213">
        <f ca="1"/>
        <v>132.66971928786575</v>
      </c>
      <c r="X213">
        <f ca="1"/>
        <v>0</v>
      </c>
      <c r="Y213">
        <f ca="1"/>
        <v>1</v>
      </c>
      <c r="Z213">
        <f ca="1"/>
        <v>4.4719561770488312</v>
      </c>
      <c r="AA213">
        <f ca="1"/>
        <v>0</v>
      </c>
      <c r="AB213">
        <f ca="1"/>
        <v>0.99999350482483917</v>
      </c>
      <c r="AD213" s="2">
        <f t="shared" ca="1" si="32"/>
        <v>45436</v>
      </c>
      <c r="AE213">
        <f t="shared" ca="1" si="33"/>
        <v>0</v>
      </c>
      <c r="AG213" s="63">
        <f t="shared" ca="1" si="37"/>
        <v>-63.054528506540244</v>
      </c>
      <c r="AH213" s="63">
        <f t="shared" ca="1" si="38"/>
        <v>-63.054528506540244</v>
      </c>
      <c r="AI213" s="3">
        <f t="shared" ca="1" si="39"/>
        <v>0</v>
      </c>
    </row>
    <row r="214" spans="7:35">
      <c r="G214" s="3">
        <f t="shared" ca="1" si="34"/>
        <v>87</v>
      </c>
      <c r="H214" s="95">
        <f t="shared" ca="1" si="36"/>
        <v>45377</v>
      </c>
      <c r="I214" s="119">
        <f ca="1">HLOOKUP($H$5,'Met Data'!$A$2:$F$368,G214,FALSE)</f>
        <v>17.208064516128999</v>
      </c>
      <c r="J214" s="119">
        <f ca="1">HLOOKUP($H$5,'Met Data'!$H$2:$M$368,G214,FALSE)*L214</f>
        <v>0.97419354838709604</v>
      </c>
      <c r="K214" s="96">
        <f ca="1">HLOOKUP($H$5,'Met Data'!$O$2:$T$368,G214,FALSE)</f>
        <v>3.1295018555019598</v>
      </c>
      <c r="L214">
        <f t="shared" ca="1" si="30"/>
        <v>1</v>
      </c>
      <c r="N214" t="e">
        <f t="shared" ca="1" si="35"/>
        <v>#N/A</v>
      </c>
      <c r="O214" t="e">
        <f t="shared" ca="1" si="31"/>
        <v>#N/A</v>
      </c>
      <c r="P214" s="2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W214" t="e">
        <f ca="1"/>
        <v>#N/A</v>
      </c>
      <c r="X214" t="e">
        <f ca="1"/>
        <v>#N/A</v>
      </c>
      <c r="Y214" t="e">
        <f ca="1"/>
        <v>#N/A</v>
      </c>
      <c r="Z214" t="e">
        <f ca="1"/>
        <v>#N/A</v>
      </c>
      <c r="AA214" t="e">
        <f ca="1"/>
        <v>#N/A</v>
      </c>
      <c r="AB214" t="e">
        <f ca="1"/>
        <v>#N/A</v>
      </c>
      <c r="AD214" s="2">
        <f t="shared" ca="1" si="32"/>
        <v>0</v>
      </c>
      <c r="AE214">
        <f t="shared" ca="1" si="33"/>
        <v>0</v>
      </c>
      <c r="AG214" s="63" t="e">
        <f t="shared" ca="1" si="37"/>
        <v>#N/A</v>
      </c>
      <c r="AH214" s="63" t="e">
        <f t="shared" ca="1" si="38"/>
        <v>#N/A</v>
      </c>
      <c r="AI214" s="3" t="e">
        <f t="shared" ca="1" si="39"/>
        <v>#N/A</v>
      </c>
    </row>
    <row r="215" spans="7:35">
      <c r="G215" s="3">
        <f t="shared" ca="1" si="34"/>
        <v>88</v>
      </c>
      <c r="H215" s="95">
        <f t="shared" ca="1" si="36"/>
        <v>45378</v>
      </c>
      <c r="I215" s="119">
        <f ca="1">HLOOKUP($H$5,'Met Data'!$A$2:$F$368,G215,FALSE)</f>
        <v>17.141666666666602</v>
      </c>
      <c r="J215" s="119">
        <f ca="1">HLOOKUP($H$5,'Met Data'!$H$2:$M$368,G215,FALSE)*L215</f>
        <v>2.43225806451612</v>
      </c>
      <c r="K215" s="96">
        <f ca="1">HLOOKUP($H$5,'Met Data'!$O$2:$T$368,G215,FALSE)</f>
        <v>2.6600638405747499</v>
      </c>
      <c r="L215">
        <f t="shared" ca="1" si="30"/>
        <v>1</v>
      </c>
      <c r="N215" t="e">
        <f t="shared" ca="1" si="35"/>
        <v>#N/A</v>
      </c>
      <c r="O215" t="e">
        <f t="shared" ca="1" si="31"/>
        <v>#N/A</v>
      </c>
      <c r="P215" s="2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W215" t="e">
        <f ca="1"/>
        <v>#N/A</v>
      </c>
      <c r="X215" t="e">
        <f ca="1"/>
        <v>#N/A</v>
      </c>
      <c r="Y215" t="e">
        <f ca="1"/>
        <v>#N/A</v>
      </c>
      <c r="Z215" t="e">
        <f ca="1"/>
        <v>#N/A</v>
      </c>
      <c r="AA215" t="e">
        <f ca="1"/>
        <v>#N/A</v>
      </c>
      <c r="AB215" t="e">
        <f ca="1"/>
        <v>#N/A</v>
      </c>
      <c r="AD215" s="2">
        <f t="shared" ca="1" si="32"/>
        <v>0</v>
      </c>
      <c r="AE215">
        <f t="shared" ca="1" si="33"/>
        <v>0</v>
      </c>
      <c r="AG215" s="63" t="e">
        <f t="shared" ca="1" si="37"/>
        <v>#N/A</v>
      </c>
      <c r="AH215" s="63" t="e">
        <f t="shared" ca="1" si="38"/>
        <v>#N/A</v>
      </c>
      <c r="AI215" s="3" t="e">
        <f t="shared" ca="1" si="39"/>
        <v>#N/A</v>
      </c>
    </row>
    <row r="216" spans="7:35">
      <c r="G216" s="3">
        <f t="shared" ca="1" si="34"/>
        <v>89</v>
      </c>
      <c r="H216" s="95">
        <f t="shared" ca="1" si="36"/>
        <v>45379</v>
      </c>
      <c r="I216" s="119">
        <f ca="1">HLOOKUP($H$5,'Met Data'!$A$2:$F$368,G216,FALSE)</f>
        <v>17.338333333333299</v>
      </c>
      <c r="J216" s="119">
        <f ca="1">HLOOKUP($H$5,'Met Data'!$H$2:$M$368,G216,FALSE)*L216</f>
        <v>2.8193548387096699</v>
      </c>
      <c r="K216" s="96">
        <f ca="1">HLOOKUP($H$5,'Met Data'!$O$2:$T$368,G216,FALSE)</f>
        <v>2.7816184084358899</v>
      </c>
      <c r="L216">
        <f t="shared" ca="1" si="30"/>
        <v>1</v>
      </c>
      <c r="N216" t="e">
        <f t="shared" ca="1" si="35"/>
        <v>#N/A</v>
      </c>
      <c r="O216" t="e">
        <f t="shared" ca="1" si="31"/>
        <v>#N/A</v>
      </c>
      <c r="P216" s="2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W216" t="e">
        <f ca="1"/>
        <v>#N/A</v>
      </c>
      <c r="X216" t="e">
        <f ca="1"/>
        <v>#N/A</v>
      </c>
      <c r="Y216" t="e">
        <f ca="1"/>
        <v>#N/A</v>
      </c>
      <c r="Z216" t="e">
        <f ca="1"/>
        <v>#N/A</v>
      </c>
      <c r="AA216" t="e">
        <f ca="1"/>
        <v>#N/A</v>
      </c>
      <c r="AB216" t="e">
        <f ca="1"/>
        <v>#N/A</v>
      </c>
      <c r="AD216" s="2">
        <f t="shared" ca="1" si="32"/>
        <v>0</v>
      </c>
      <c r="AE216">
        <f t="shared" ca="1" si="33"/>
        <v>0</v>
      </c>
      <c r="AG216" s="63" t="e">
        <f t="shared" ca="1" si="37"/>
        <v>#N/A</v>
      </c>
      <c r="AH216" s="63" t="e">
        <f t="shared" ca="1" si="38"/>
        <v>#N/A</v>
      </c>
      <c r="AI216" s="3" t="e">
        <f t="shared" ca="1" si="39"/>
        <v>#N/A</v>
      </c>
    </row>
    <row r="217" spans="7:35">
      <c r="G217" s="3">
        <f t="shared" ca="1" si="34"/>
        <v>90</v>
      </c>
      <c r="H217" s="95">
        <f t="shared" ca="1" si="36"/>
        <v>45380</v>
      </c>
      <c r="I217" s="119">
        <f ca="1">HLOOKUP($H$5,'Met Data'!$A$2:$F$368,G217,FALSE)</f>
        <v>17.136206896551698</v>
      </c>
      <c r="J217" s="119">
        <f ca="1">HLOOKUP($H$5,'Met Data'!$H$2:$M$368,G217,FALSE)*L217</f>
        <v>1.15333333333333</v>
      </c>
      <c r="K217" s="96">
        <f ca="1">HLOOKUP($H$5,'Met Data'!$O$2:$T$368,G217,FALSE)</f>
        <v>3.16549451986696</v>
      </c>
      <c r="L217">
        <f t="shared" ca="1" si="30"/>
        <v>1</v>
      </c>
      <c r="N217" t="e">
        <f t="shared" ca="1" si="35"/>
        <v>#N/A</v>
      </c>
      <c r="O217" t="e">
        <f t="shared" ca="1" si="31"/>
        <v>#N/A</v>
      </c>
      <c r="P217" s="2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W217" t="e">
        <f ca="1"/>
        <v>#N/A</v>
      </c>
      <c r="X217" t="e">
        <f ca="1"/>
        <v>#N/A</v>
      </c>
      <c r="Y217" t="e">
        <f ca="1"/>
        <v>#N/A</v>
      </c>
      <c r="Z217" t="e">
        <f ca="1"/>
        <v>#N/A</v>
      </c>
      <c r="AA217" t="e">
        <f ca="1"/>
        <v>#N/A</v>
      </c>
      <c r="AB217" t="e">
        <f ca="1"/>
        <v>#N/A</v>
      </c>
      <c r="AD217" s="2">
        <f t="shared" ca="1" si="32"/>
        <v>0</v>
      </c>
      <c r="AE217">
        <f t="shared" ca="1" si="33"/>
        <v>0</v>
      </c>
      <c r="AG217" s="63" t="e">
        <f t="shared" ca="1" si="37"/>
        <v>#N/A</v>
      </c>
      <c r="AH217" s="63" t="e">
        <f t="shared" ca="1" si="38"/>
        <v>#N/A</v>
      </c>
      <c r="AI217" s="3" t="e">
        <f t="shared" ca="1" si="39"/>
        <v>#N/A</v>
      </c>
    </row>
    <row r="218" spans="7:35">
      <c r="G218" s="3">
        <f t="shared" ca="1" si="34"/>
        <v>91</v>
      </c>
      <c r="H218" s="95">
        <f t="shared" ca="1" si="36"/>
        <v>45381</v>
      </c>
      <c r="I218" s="119">
        <f ca="1">HLOOKUP($H$5,'Met Data'!$A$2:$F$368,G218,FALSE)</f>
        <v>16.922413793103399</v>
      </c>
      <c r="J218" s="119">
        <f ca="1">HLOOKUP($H$5,'Met Data'!$H$2:$M$368,G218,FALSE)*L218</f>
        <v>2.9733333333333301</v>
      </c>
      <c r="K218" s="96">
        <f ca="1">HLOOKUP($H$5,'Met Data'!$O$2:$T$368,G218,FALSE)</f>
        <v>2.84233525233393</v>
      </c>
      <c r="L218">
        <f t="shared" ca="1" si="30"/>
        <v>1</v>
      </c>
      <c r="N218" t="e">
        <f t="shared" ca="1" si="35"/>
        <v>#N/A</v>
      </c>
      <c r="O218" t="e">
        <f t="shared" ca="1" si="31"/>
        <v>#N/A</v>
      </c>
      <c r="P218" s="2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W218" t="e">
        <f ca="1"/>
        <v>#N/A</v>
      </c>
      <c r="X218" t="e">
        <f ca="1"/>
        <v>#N/A</v>
      </c>
      <c r="Y218" t="e">
        <f ca="1"/>
        <v>#N/A</v>
      </c>
      <c r="Z218" t="e">
        <f ca="1"/>
        <v>#N/A</v>
      </c>
      <c r="AA218" t="e">
        <f ca="1"/>
        <v>#N/A</v>
      </c>
      <c r="AB218" t="e">
        <f ca="1"/>
        <v>#N/A</v>
      </c>
      <c r="AD218" s="2">
        <f t="shared" ca="1" si="32"/>
        <v>0</v>
      </c>
      <c r="AE218">
        <f t="shared" ca="1" si="33"/>
        <v>0</v>
      </c>
      <c r="AG218" s="63" t="e">
        <f t="shared" ca="1" si="37"/>
        <v>#N/A</v>
      </c>
      <c r="AH218" s="63" t="e">
        <f t="shared" ca="1" si="38"/>
        <v>#N/A</v>
      </c>
      <c r="AI218" s="3" t="e">
        <f t="shared" ca="1" si="39"/>
        <v>#N/A</v>
      </c>
    </row>
    <row r="219" spans="7:35">
      <c r="G219" s="3">
        <f t="shared" ca="1" si="34"/>
        <v>92</v>
      </c>
      <c r="H219" s="95">
        <f t="shared" ca="1" si="36"/>
        <v>45382</v>
      </c>
      <c r="I219" s="119">
        <f ca="1">HLOOKUP($H$5,'Met Data'!$A$2:$F$368,G219,FALSE)</f>
        <v>16.63</v>
      </c>
      <c r="J219" s="119">
        <f ca="1">HLOOKUP($H$5,'Met Data'!$H$2:$M$368,G219,FALSE)*L219</f>
        <v>1.76451612903225</v>
      </c>
      <c r="K219" s="96">
        <f ca="1">HLOOKUP($H$5,'Met Data'!$O$2:$T$368,G219,FALSE)</f>
        <v>2.8748972399291501</v>
      </c>
      <c r="L219">
        <f t="shared" ca="1" si="30"/>
        <v>1</v>
      </c>
      <c r="N219" t="e">
        <f t="shared" ca="1" si="35"/>
        <v>#N/A</v>
      </c>
      <c r="O219" t="e">
        <f t="shared" ca="1" si="31"/>
        <v>#N/A</v>
      </c>
      <c r="P219" s="2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W219" t="e">
        <f ca="1"/>
        <v>#N/A</v>
      </c>
      <c r="X219" t="e">
        <f ca="1"/>
        <v>#N/A</v>
      </c>
      <c r="Y219" t="e">
        <f ca="1"/>
        <v>#N/A</v>
      </c>
      <c r="Z219" t="e">
        <f ca="1"/>
        <v>#N/A</v>
      </c>
      <c r="AA219" t="e">
        <f ca="1"/>
        <v>#N/A</v>
      </c>
      <c r="AB219" t="e">
        <f ca="1"/>
        <v>#N/A</v>
      </c>
      <c r="AD219" s="2">
        <f t="shared" ca="1" si="32"/>
        <v>0</v>
      </c>
      <c r="AE219">
        <f t="shared" ca="1" si="33"/>
        <v>0</v>
      </c>
      <c r="AG219" s="63" t="e">
        <f t="shared" ca="1" si="37"/>
        <v>#N/A</v>
      </c>
      <c r="AH219" s="63" t="e">
        <f t="shared" ca="1" si="38"/>
        <v>#N/A</v>
      </c>
      <c r="AI219" s="3" t="e">
        <f t="shared" ca="1" si="39"/>
        <v>#N/A</v>
      </c>
    </row>
    <row r="220" spans="7:35">
      <c r="G220" s="3">
        <f t="shared" ca="1" si="34"/>
        <v>93</v>
      </c>
      <c r="H220" s="95">
        <f t="shared" ca="1" si="36"/>
        <v>45383</v>
      </c>
      <c r="I220" s="119">
        <f ca="1">HLOOKUP($H$5,'Met Data'!$A$2:$F$368,G220,FALSE)</f>
        <v>16.5379310344827</v>
      </c>
      <c r="J220" s="119">
        <f ca="1">HLOOKUP($H$5,'Met Data'!$H$2:$M$368,G220,FALSE)*L220</f>
        <v>3.32258064516129</v>
      </c>
      <c r="K220" s="96">
        <f ca="1">HLOOKUP($H$5,'Met Data'!$O$2:$T$368,G220,FALSE)</f>
        <v>2.5469261916112398</v>
      </c>
      <c r="L220">
        <f t="shared" ca="1" si="30"/>
        <v>1</v>
      </c>
      <c r="N220" t="e">
        <f t="shared" ca="1" si="35"/>
        <v>#N/A</v>
      </c>
      <c r="O220" t="e">
        <f t="shared" ca="1" si="31"/>
        <v>#N/A</v>
      </c>
      <c r="P220" s="2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W220" t="e">
        <f ca="1"/>
        <v>#N/A</v>
      </c>
      <c r="X220" t="e">
        <f ca="1"/>
        <v>#N/A</v>
      </c>
      <c r="Y220" t="e">
        <f ca="1"/>
        <v>#N/A</v>
      </c>
      <c r="Z220" t="e">
        <f ca="1"/>
        <v>#N/A</v>
      </c>
      <c r="AA220" t="e">
        <f ca="1"/>
        <v>#N/A</v>
      </c>
      <c r="AB220" t="e">
        <f ca="1"/>
        <v>#N/A</v>
      </c>
      <c r="AD220" s="2">
        <f t="shared" ca="1" si="32"/>
        <v>0</v>
      </c>
      <c r="AE220">
        <f t="shared" ca="1" si="33"/>
        <v>0</v>
      </c>
      <c r="AG220" s="63" t="e">
        <f t="shared" ca="1" si="37"/>
        <v>#N/A</v>
      </c>
      <c r="AH220" s="63" t="e">
        <f t="shared" ca="1" si="38"/>
        <v>#N/A</v>
      </c>
      <c r="AI220" s="3" t="e">
        <f t="shared" ca="1" si="39"/>
        <v>#N/A</v>
      </c>
    </row>
    <row r="221" spans="7:35">
      <c r="G221" s="3">
        <f t="shared" ca="1" si="34"/>
        <v>94</v>
      </c>
      <c r="H221" s="95">
        <f t="shared" ca="1" si="36"/>
        <v>45384</v>
      </c>
      <c r="I221" s="119">
        <f ca="1">HLOOKUP($H$5,'Met Data'!$A$2:$F$368,G221,FALSE)</f>
        <v>16.693103448275799</v>
      </c>
      <c r="J221" s="119">
        <f ca="1">HLOOKUP($H$5,'Met Data'!$H$2:$M$368,G221,FALSE)*L221</f>
        <v>2.8064516129032202</v>
      </c>
      <c r="K221" s="96">
        <f ca="1">HLOOKUP($H$5,'Met Data'!$O$2:$T$368,G221,FALSE)</f>
        <v>2.8493466745517901</v>
      </c>
      <c r="L221">
        <f t="shared" ca="1" si="30"/>
        <v>1</v>
      </c>
      <c r="N221" t="e">
        <f t="shared" ca="1" si="35"/>
        <v>#N/A</v>
      </c>
      <c r="O221" t="e">
        <f t="shared" ca="1" si="31"/>
        <v>#N/A</v>
      </c>
      <c r="P221" s="2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W221" t="e">
        <f ca="1"/>
        <v>#N/A</v>
      </c>
      <c r="X221" t="e">
        <f ca="1"/>
        <v>#N/A</v>
      </c>
      <c r="Y221" t="e">
        <f ca="1"/>
        <v>#N/A</v>
      </c>
      <c r="Z221" t="e">
        <f ca="1"/>
        <v>#N/A</v>
      </c>
      <c r="AA221" t="e">
        <f ca="1"/>
        <v>#N/A</v>
      </c>
      <c r="AB221" t="e">
        <f ca="1"/>
        <v>#N/A</v>
      </c>
      <c r="AD221" s="2">
        <f t="shared" ca="1" si="32"/>
        <v>0</v>
      </c>
      <c r="AE221">
        <f t="shared" ca="1" si="33"/>
        <v>0</v>
      </c>
      <c r="AG221" s="63" t="e">
        <f t="shared" ca="1" si="37"/>
        <v>#N/A</v>
      </c>
      <c r="AH221" s="63" t="e">
        <f t="shared" ca="1" si="38"/>
        <v>#N/A</v>
      </c>
      <c r="AI221" s="3" t="e">
        <f t="shared" ca="1" si="39"/>
        <v>#N/A</v>
      </c>
    </row>
    <row r="222" spans="7:35">
      <c r="G222" s="3">
        <f t="shared" ca="1" si="34"/>
        <v>95</v>
      </c>
      <c r="H222" s="95">
        <f t="shared" ca="1" si="36"/>
        <v>45385</v>
      </c>
      <c r="I222" s="119">
        <f ca="1">HLOOKUP($H$5,'Met Data'!$A$2:$F$368,G222,FALSE)</f>
        <v>16.29</v>
      </c>
      <c r="J222" s="119">
        <f ca="1">HLOOKUP($H$5,'Met Data'!$H$2:$M$368,G222,FALSE)*L222</f>
        <v>1.4483870967741901</v>
      </c>
      <c r="K222" s="96">
        <f ca="1">HLOOKUP($H$5,'Met Data'!$O$2:$T$368,G222,FALSE)</f>
        <v>3.04847392107171</v>
      </c>
      <c r="L222">
        <f t="shared" ca="1" si="30"/>
        <v>1</v>
      </c>
      <c r="N222" t="e">
        <f t="shared" ca="1" si="35"/>
        <v>#N/A</v>
      </c>
      <c r="O222" t="e">
        <f t="shared" ca="1" si="31"/>
        <v>#N/A</v>
      </c>
      <c r="P222" s="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W222" t="e">
        <f ca="1"/>
        <v>#N/A</v>
      </c>
      <c r="X222" t="e">
        <f ca="1"/>
        <v>#N/A</v>
      </c>
      <c r="Y222" t="e">
        <f ca="1"/>
        <v>#N/A</v>
      </c>
      <c r="Z222" t="e">
        <f ca="1"/>
        <v>#N/A</v>
      </c>
      <c r="AA222" t="e">
        <f ca="1"/>
        <v>#N/A</v>
      </c>
      <c r="AB222" t="e">
        <f ca="1"/>
        <v>#N/A</v>
      </c>
      <c r="AD222" s="2">
        <f t="shared" ca="1" si="32"/>
        <v>0</v>
      </c>
      <c r="AE222">
        <f t="shared" ca="1" si="33"/>
        <v>0</v>
      </c>
      <c r="AG222" s="63" t="e">
        <f t="shared" ca="1" si="37"/>
        <v>#N/A</v>
      </c>
      <c r="AH222" s="63" t="e">
        <f t="shared" ca="1" si="38"/>
        <v>#N/A</v>
      </c>
      <c r="AI222" s="3" t="e">
        <f t="shared" ca="1" si="39"/>
        <v>#N/A</v>
      </c>
    </row>
    <row r="223" spans="7:35">
      <c r="G223" s="3">
        <f t="shared" ca="1" si="34"/>
        <v>96</v>
      </c>
      <c r="H223" s="95">
        <f t="shared" ca="1" si="36"/>
        <v>45386</v>
      </c>
      <c r="I223" s="119">
        <f ca="1">HLOOKUP($H$5,'Met Data'!$A$2:$F$368,G223,FALSE)</f>
        <v>16.28</v>
      </c>
      <c r="J223" s="119">
        <f ca="1">HLOOKUP($H$5,'Met Data'!$H$2:$M$368,G223,FALSE)*L223</f>
        <v>1.6838709677419299</v>
      </c>
      <c r="K223" s="96">
        <f ca="1">HLOOKUP($H$5,'Met Data'!$O$2:$T$368,G223,FALSE)</f>
        <v>2.9631357104845102</v>
      </c>
      <c r="L223">
        <f t="shared" ca="1" si="30"/>
        <v>1</v>
      </c>
      <c r="N223" t="e">
        <f t="shared" ca="1" si="35"/>
        <v>#N/A</v>
      </c>
      <c r="O223" t="e">
        <f t="shared" ca="1" si="31"/>
        <v>#N/A</v>
      </c>
      <c r="P223" s="2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W223" t="e">
        <f ca="1"/>
        <v>#N/A</v>
      </c>
      <c r="X223" t="e">
        <f ca="1"/>
        <v>#N/A</v>
      </c>
      <c r="Y223" t="e">
        <f ca="1"/>
        <v>#N/A</v>
      </c>
      <c r="Z223" t="e">
        <f ca="1"/>
        <v>#N/A</v>
      </c>
      <c r="AA223" t="e">
        <f ca="1"/>
        <v>#N/A</v>
      </c>
      <c r="AB223" t="e">
        <f ca="1"/>
        <v>#N/A</v>
      </c>
      <c r="AD223" s="2">
        <f t="shared" ca="1" si="32"/>
        <v>0</v>
      </c>
      <c r="AE223">
        <f t="shared" ca="1" si="33"/>
        <v>0</v>
      </c>
      <c r="AG223" s="63" t="e">
        <f t="shared" ca="1" si="37"/>
        <v>#N/A</v>
      </c>
      <c r="AH223" s="63" t="e">
        <f t="shared" ca="1" si="38"/>
        <v>#N/A</v>
      </c>
      <c r="AI223" s="3" t="e">
        <f t="shared" ca="1" si="39"/>
        <v>#N/A</v>
      </c>
    </row>
    <row r="224" spans="7:35">
      <c r="G224" s="3">
        <f t="shared" ca="1" si="34"/>
        <v>97</v>
      </c>
      <c r="H224" s="95">
        <f t="shared" ca="1" si="36"/>
        <v>45387</v>
      </c>
      <c r="I224" s="119">
        <f ca="1">HLOOKUP($H$5,'Met Data'!$A$2:$F$368,G224,FALSE)</f>
        <v>16.288333333333298</v>
      </c>
      <c r="J224" s="119">
        <f ca="1">HLOOKUP($H$5,'Met Data'!$H$2:$M$368,G224,FALSE)*L224</f>
        <v>3.1066666666666598</v>
      </c>
      <c r="K224" s="96">
        <f ca="1">HLOOKUP($H$5,'Met Data'!$O$2:$T$368,G224,FALSE)</f>
        <v>2.8364094228266699</v>
      </c>
      <c r="L224">
        <f t="shared" ca="1" si="30"/>
        <v>1</v>
      </c>
      <c r="N224" t="e">
        <f t="shared" ca="1" si="35"/>
        <v>#N/A</v>
      </c>
      <c r="O224" t="e">
        <f t="shared" ca="1" si="31"/>
        <v>#N/A</v>
      </c>
      <c r="P224" s="2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W224" t="e">
        <f ca="1"/>
        <v>#N/A</v>
      </c>
      <c r="X224" t="e">
        <f ca="1"/>
        <v>#N/A</v>
      </c>
      <c r="Y224" t="e">
        <f ca="1"/>
        <v>#N/A</v>
      </c>
      <c r="Z224" t="e">
        <f ca="1"/>
        <v>#N/A</v>
      </c>
      <c r="AA224" t="e">
        <f ca="1"/>
        <v>#N/A</v>
      </c>
      <c r="AB224" t="e">
        <f ca="1"/>
        <v>#N/A</v>
      </c>
      <c r="AD224" s="2">
        <f t="shared" ca="1" si="32"/>
        <v>0</v>
      </c>
      <c r="AE224">
        <f t="shared" ca="1" si="33"/>
        <v>0</v>
      </c>
      <c r="AG224" s="63" t="e">
        <f t="shared" ca="1" si="37"/>
        <v>#N/A</v>
      </c>
      <c r="AH224" s="63" t="e">
        <f t="shared" ca="1" si="38"/>
        <v>#N/A</v>
      </c>
      <c r="AI224" s="3" t="e">
        <f t="shared" ca="1" si="39"/>
        <v>#N/A</v>
      </c>
    </row>
    <row r="225" spans="7:35">
      <c r="G225" s="3">
        <f t="shared" ca="1" si="34"/>
        <v>98</v>
      </c>
      <c r="H225" s="95">
        <f t="shared" ca="1" si="36"/>
        <v>45388</v>
      </c>
      <c r="I225" s="119">
        <f ca="1">HLOOKUP($H$5,'Met Data'!$A$2:$F$368,G225,FALSE)</f>
        <v>16.247502601456802</v>
      </c>
      <c r="J225" s="119">
        <f ca="1">HLOOKUP($H$5,'Met Data'!$H$2:$M$368,G225,FALSE)*L225</f>
        <v>2.3033333333333301</v>
      </c>
      <c r="K225" s="96">
        <f ca="1">HLOOKUP($H$5,'Met Data'!$O$2:$T$368,G225,FALSE)</f>
        <v>2.7733248568186499</v>
      </c>
      <c r="L225">
        <f t="shared" ca="1" si="30"/>
        <v>1</v>
      </c>
      <c r="N225" t="e">
        <f t="shared" ca="1" si="35"/>
        <v>#N/A</v>
      </c>
      <c r="O225" t="e">
        <f t="shared" ca="1" si="31"/>
        <v>#N/A</v>
      </c>
      <c r="P225" s="2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W225" t="e">
        <f ca="1"/>
        <v>#N/A</v>
      </c>
      <c r="X225" t="e">
        <f ca="1"/>
        <v>#N/A</v>
      </c>
      <c r="Y225" t="e">
        <f ca="1"/>
        <v>#N/A</v>
      </c>
      <c r="Z225" t="e">
        <f ca="1"/>
        <v>#N/A</v>
      </c>
      <c r="AA225" t="e">
        <f ca="1"/>
        <v>#N/A</v>
      </c>
      <c r="AB225" t="e">
        <f ca="1"/>
        <v>#N/A</v>
      </c>
      <c r="AD225" s="2">
        <f t="shared" ca="1" si="32"/>
        <v>0</v>
      </c>
      <c r="AE225">
        <f t="shared" ca="1" si="33"/>
        <v>0</v>
      </c>
      <c r="AG225" s="63" t="e">
        <f t="shared" ca="1" si="37"/>
        <v>#N/A</v>
      </c>
      <c r="AH225" s="63" t="e">
        <f t="shared" ca="1" si="38"/>
        <v>#N/A</v>
      </c>
      <c r="AI225" s="3" t="e">
        <f t="shared" ca="1" si="39"/>
        <v>#N/A</v>
      </c>
    </row>
    <row r="226" spans="7:35">
      <c r="G226" s="3">
        <f t="shared" ca="1" si="34"/>
        <v>99</v>
      </c>
      <c r="H226" s="95">
        <f t="shared" ca="1" si="36"/>
        <v>45389</v>
      </c>
      <c r="I226" s="119">
        <f ca="1">HLOOKUP($H$5,'Met Data'!$A$2:$F$368,G226,FALSE)</f>
        <v>15.9919354838709</v>
      </c>
      <c r="J226" s="119">
        <f ca="1">HLOOKUP($H$5,'Met Data'!$H$2:$M$368,G226,FALSE)*L226</f>
        <v>3.04</v>
      </c>
      <c r="K226" s="96">
        <f ca="1">HLOOKUP($H$5,'Met Data'!$O$2:$T$368,G226,FALSE)</f>
        <v>2.4928303491288801</v>
      </c>
      <c r="L226">
        <f t="shared" ca="1" si="30"/>
        <v>1</v>
      </c>
      <c r="N226" t="e">
        <f t="shared" ca="1" si="35"/>
        <v>#N/A</v>
      </c>
      <c r="O226" t="e">
        <f t="shared" ca="1" si="31"/>
        <v>#N/A</v>
      </c>
      <c r="P226" s="2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W226" t="e">
        <f ca="1"/>
        <v>#N/A</v>
      </c>
      <c r="X226" t="e">
        <f ca="1"/>
        <v>#N/A</v>
      </c>
      <c r="Y226" t="e">
        <f ca="1"/>
        <v>#N/A</v>
      </c>
      <c r="Z226" t="e">
        <f ca="1"/>
        <v>#N/A</v>
      </c>
      <c r="AA226" t="e">
        <f ca="1"/>
        <v>#N/A</v>
      </c>
      <c r="AB226" t="e">
        <f ca="1"/>
        <v>#N/A</v>
      </c>
      <c r="AD226" s="2">
        <f t="shared" ca="1" si="32"/>
        <v>0</v>
      </c>
      <c r="AE226">
        <f t="shared" ca="1" si="33"/>
        <v>0</v>
      </c>
      <c r="AG226" s="63" t="e">
        <f t="shared" ca="1" si="37"/>
        <v>#N/A</v>
      </c>
      <c r="AH226" s="63" t="e">
        <f t="shared" ca="1" si="38"/>
        <v>#N/A</v>
      </c>
      <c r="AI226" s="3" t="e">
        <f t="shared" ca="1" si="39"/>
        <v>#N/A</v>
      </c>
    </row>
    <row r="227" spans="7:35">
      <c r="G227" s="3">
        <f t="shared" ca="1" si="34"/>
        <v>100</v>
      </c>
      <c r="H227" s="95">
        <f t="shared" ca="1" si="36"/>
        <v>45390</v>
      </c>
      <c r="I227" s="119">
        <f ca="1">HLOOKUP($H$5,'Met Data'!$A$2:$F$368,G227,FALSE)</f>
        <v>15.7</v>
      </c>
      <c r="J227" s="119">
        <f ca="1">HLOOKUP($H$5,'Met Data'!$H$2:$M$368,G227,FALSE)*L227</f>
        <v>4.67</v>
      </c>
      <c r="K227" s="96">
        <f ca="1">HLOOKUP($H$5,'Met Data'!$O$2:$T$368,G227,FALSE)</f>
        <v>2.4645244256425198</v>
      </c>
      <c r="L227">
        <f t="shared" ca="1" si="30"/>
        <v>1</v>
      </c>
      <c r="N227" t="e">
        <f t="shared" ca="1" si="35"/>
        <v>#N/A</v>
      </c>
      <c r="O227" t="e">
        <f t="shared" ca="1" si="31"/>
        <v>#N/A</v>
      </c>
      <c r="P227" s="2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W227" t="e">
        <f ca="1"/>
        <v>#N/A</v>
      </c>
      <c r="X227" t="e">
        <f ca="1"/>
        <v>#N/A</v>
      </c>
      <c r="Y227" t="e">
        <f ca="1"/>
        <v>#N/A</v>
      </c>
      <c r="Z227" t="e">
        <f ca="1"/>
        <v>#N/A</v>
      </c>
      <c r="AA227" t="e">
        <f ca="1"/>
        <v>#N/A</v>
      </c>
      <c r="AB227" t="e">
        <f ca="1"/>
        <v>#N/A</v>
      </c>
      <c r="AD227" s="2">
        <f t="shared" ca="1" si="32"/>
        <v>0</v>
      </c>
      <c r="AE227">
        <f t="shared" ca="1" si="33"/>
        <v>0</v>
      </c>
      <c r="AG227" s="63" t="e">
        <f t="shared" ca="1" si="37"/>
        <v>#N/A</v>
      </c>
      <c r="AH227" s="63" t="e">
        <f t="shared" ca="1" si="38"/>
        <v>#N/A</v>
      </c>
      <c r="AI227" s="3" t="e">
        <f t="shared" ca="1" si="39"/>
        <v>#N/A</v>
      </c>
    </row>
    <row r="228" spans="7:35">
      <c r="G228" s="3">
        <f t="shared" ca="1" si="34"/>
        <v>101</v>
      </c>
      <c r="H228" s="95">
        <f t="shared" ca="1" si="36"/>
        <v>45391</v>
      </c>
      <c r="I228" s="119">
        <f ca="1">HLOOKUP($H$5,'Met Data'!$A$2:$F$368,G228,FALSE)</f>
        <v>15.6066666666666</v>
      </c>
      <c r="J228" s="119">
        <f ca="1">HLOOKUP($H$5,'Met Data'!$H$2:$M$368,G228,FALSE)*L228</f>
        <v>2.9099999999999899</v>
      </c>
      <c r="K228" s="96">
        <f ca="1">HLOOKUP($H$5,'Met Data'!$O$2:$T$368,G228,FALSE)</f>
        <v>2.6085032852196299</v>
      </c>
      <c r="L228">
        <f t="shared" ca="1" si="30"/>
        <v>1</v>
      </c>
      <c r="N228" t="e">
        <f t="shared" ca="1" si="35"/>
        <v>#N/A</v>
      </c>
      <c r="O228" t="e">
        <f t="shared" ca="1" si="31"/>
        <v>#N/A</v>
      </c>
      <c r="P228" s="2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W228" t="e">
        <f ca="1"/>
        <v>#N/A</v>
      </c>
      <c r="X228" t="e">
        <f ca="1"/>
        <v>#N/A</v>
      </c>
      <c r="Y228" t="e">
        <f ca="1"/>
        <v>#N/A</v>
      </c>
      <c r="Z228" t="e">
        <f ca="1"/>
        <v>#N/A</v>
      </c>
      <c r="AA228" t="e">
        <f ca="1"/>
        <v>#N/A</v>
      </c>
      <c r="AB228" t="e">
        <f ca="1"/>
        <v>#N/A</v>
      </c>
      <c r="AD228" s="2">
        <f t="shared" ca="1" si="32"/>
        <v>0</v>
      </c>
      <c r="AE228">
        <f t="shared" ca="1" si="33"/>
        <v>0</v>
      </c>
      <c r="AG228" s="63" t="e">
        <f t="shared" ca="1" si="37"/>
        <v>#N/A</v>
      </c>
      <c r="AH228" s="63" t="e">
        <f t="shared" ca="1" si="38"/>
        <v>#N/A</v>
      </c>
      <c r="AI228" s="3" t="e">
        <f t="shared" ca="1" si="39"/>
        <v>#N/A</v>
      </c>
    </row>
    <row r="229" spans="7:35">
      <c r="G229" s="3">
        <f t="shared" ca="1" si="34"/>
        <v>102</v>
      </c>
      <c r="H229" s="95">
        <f t="shared" ca="1" si="36"/>
        <v>45392</v>
      </c>
      <c r="I229" s="119">
        <f ca="1">HLOOKUP($H$5,'Met Data'!$A$2:$F$368,G229,FALSE)</f>
        <v>15.335000000000001</v>
      </c>
      <c r="J229" s="119">
        <f ca="1">HLOOKUP($H$5,'Met Data'!$H$2:$M$368,G229,FALSE)*L229</f>
        <v>2.68333333333333</v>
      </c>
      <c r="K229" s="96">
        <f ca="1">HLOOKUP($H$5,'Met Data'!$O$2:$T$368,G229,FALSE)</f>
        <v>2.45140037536581</v>
      </c>
      <c r="L229">
        <f t="shared" ca="1" si="30"/>
        <v>1</v>
      </c>
      <c r="N229" t="e">
        <f t="shared" ca="1" si="35"/>
        <v>#N/A</v>
      </c>
      <c r="O229" t="e">
        <f t="shared" ca="1" si="31"/>
        <v>#N/A</v>
      </c>
      <c r="P229" s="2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W229" t="e">
        <f ca="1"/>
        <v>#N/A</v>
      </c>
      <c r="X229" t="e">
        <f ca="1"/>
        <v>#N/A</v>
      </c>
      <c r="Y229" t="e">
        <f ca="1"/>
        <v>#N/A</v>
      </c>
      <c r="Z229" t="e">
        <f ca="1"/>
        <v>#N/A</v>
      </c>
      <c r="AA229" t="e">
        <f ca="1"/>
        <v>#N/A</v>
      </c>
      <c r="AB229" t="e">
        <f ca="1"/>
        <v>#N/A</v>
      </c>
      <c r="AD229" s="2">
        <f t="shared" ca="1" si="32"/>
        <v>0</v>
      </c>
      <c r="AE229">
        <f t="shared" ca="1" si="33"/>
        <v>0</v>
      </c>
      <c r="AG229" s="63" t="e">
        <f t="shared" ca="1" si="37"/>
        <v>#N/A</v>
      </c>
      <c r="AH229" s="63" t="e">
        <f t="shared" ca="1" si="38"/>
        <v>#N/A</v>
      </c>
      <c r="AI229" s="3" t="e">
        <f t="shared" ca="1" si="39"/>
        <v>#N/A</v>
      </c>
    </row>
    <row r="230" spans="7:35">
      <c r="G230" s="3">
        <f t="shared" ca="1" si="34"/>
        <v>103</v>
      </c>
      <c r="H230" s="95">
        <f t="shared" ca="1" si="36"/>
        <v>45393</v>
      </c>
      <c r="I230" s="119">
        <f ca="1">HLOOKUP($H$5,'Met Data'!$A$2:$F$368,G230,FALSE)</f>
        <v>15.3916666666666</v>
      </c>
      <c r="J230" s="119">
        <f ca="1">HLOOKUP($H$5,'Met Data'!$H$2:$M$368,G230,FALSE)*L230</f>
        <v>4.07</v>
      </c>
      <c r="K230" s="96">
        <f ca="1">HLOOKUP($H$5,'Met Data'!$O$2:$T$368,G230,FALSE)</f>
        <v>2.54129590695179</v>
      </c>
      <c r="L230">
        <f t="shared" ca="1" si="30"/>
        <v>1</v>
      </c>
      <c r="N230" t="e">
        <f t="shared" ca="1" si="35"/>
        <v>#N/A</v>
      </c>
      <c r="O230" t="e">
        <f t="shared" ca="1" si="31"/>
        <v>#N/A</v>
      </c>
      <c r="P230" s="2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W230" t="e">
        <f ca="1"/>
        <v>#N/A</v>
      </c>
      <c r="X230" t="e">
        <f ca="1"/>
        <v>#N/A</v>
      </c>
      <c r="Y230" t="e">
        <f ca="1"/>
        <v>#N/A</v>
      </c>
      <c r="Z230" t="e">
        <f ca="1"/>
        <v>#N/A</v>
      </c>
      <c r="AA230" t="e">
        <f ca="1"/>
        <v>#N/A</v>
      </c>
      <c r="AB230" t="e">
        <f ca="1"/>
        <v>#N/A</v>
      </c>
      <c r="AD230" s="2">
        <f t="shared" ca="1" si="32"/>
        <v>0</v>
      </c>
      <c r="AE230">
        <f t="shared" ca="1" si="33"/>
        <v>0</v>
      </c>
      <c r="AG230" s="63" t="e">
        <f t="shared" ca="1" si="37"/>
        <v>#N/A</v>
      </c>
      <c r="AH230" s="63" t="e">
        <f t="shared" ca="1" si="38"/>
        <v>#N/A</v>
      </c>
      <c r="AI230" s="3" t="e">
        <f t="shared" ca="1" si="39"/>
        <v>#N/A</v>
      </c>
    </row>
    <row r="231" spans="7:35">
      <c r="G231" s="3">
        <f t="shared" ca="1" si="34"/>
        <v>104</v>
      </c>
      <c r="H231" s="95">
        <f t="shared" ca="1" si="36"/>
        <v>45394</v>
      </c>
      <c r="I231" s="119">
        <f ca="1">HLOOKUP($H$5,'Met Data'!$A$2:$F$368,G231,FALSE)</f>
        <v>15.6451612903225</v>
      </c>
      <c r="J231" s="119">
        <f ca="1">HLOOKUP($H$5,'Met Data'!$H$2:$M$368,G231,FALSE)*L231</f>
        <v>2.43333333333333</v>
      </c>
      <c r="K231" s="96">
        <f ca="1">HLOOKUP($H$5,'Met Data'!$O$2:$T$368,G231,FALSE)</f>
        <v>2.5074868670786801</v>
      </c>
      <c r="L231">
        <f t="shared" ca="1" si="30"/>
        <v>1</v>
      </c>
      <c r="N231" t="e">
        <f t="shared" ca="1" si="35"/>
        <v>#N/A</v>
      </c>
      <c r="O231" t="e">
        <f t="shared" ca="1" si="31"/>
        <v>#N/A</v>
      </c>
      <c r="P231" s="2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W231" t="e">
        <f ca="1"/>
        <v>#N/A</v>
      </c>
      <c r="X231" t="e">
        <f ca="1"/>
        <v>#N/A</v>
      </c>
      <c r="Y231" t="e">
        <f ca="1"/>
        <v>#N/A</v>
      </c>
      <c r="Z231" t="e">
        <f ca="1"/>
        <v>#N/A</v>
      </c>
      <c r="AA231" t="e">
        <f ca="1"/>
        <v>#N/A</v>
      </c>
      <c r="AB231" t="e">
        <f ca="1"/>
        <v>#N/A</v>
      </c>
      <c r="AD231" s="2">
        <f t="shared" ca="1" si="32"/>
        <v>0</v>
      </c>
      <c r="AE231">
        <f t="shared" ca="1" si="33"/>
        <v>0</v>
      </c>
      <c r="AG231" s="63" t="e">
        <f t="shared" ca="1" si="37"/>
        <v>#N/A</v>
      </c>
      <c r="AH231" s="63" t="e">
        <f t="shared" ca="1" si="38"/>
        <v>#N/A</v>
      </c>
      <c r="AI231" s="3" t="e">
        <f t="shared" ca="1" si="39"/>
        <v>#N/A</v>
      </c>
    </row>
    <row r="232" spans="7:35">
      <c r="G232" s="3">
        <f t="shared" ca="1" si="34"/>
        <v>105</v>
      </c>
      <c r="H232" s="95">
        <f t="shared" ca="1" si="36"/>
        <v>45395</v>
      </c>
      <c r="I232" s="119">
        <f ca="1">HLOOKUP($H$5,'Met Data'!$A$2:$F$368,G232,FALSE)</f>
        <v>15.3435483870967</v>
      </c>
      <c r="J232" s="119">
        <f ca="1">HLOOKUP($H$5,'Met Data'!$H$2:$M$368,G232,FALSE)*L232</f>
        <v>3.5533333333333301</v>
      </c>
      <c r="K232" s="96">
        <f ca="1">HLOOKUP($H$5,'Met Data'!$O$2:$T$368,G232,FALSE)</f>
        <v>2.53164431510397</v>
      </c>
      <c r="L232">
        <f t="shared" ca="1" si="30"/>
        <v>1</v>
      </c>
      <c r="N232" t="e">
        <f t="shared" ca="1" si="35"/>
        <v>#N/A</v>
      </c>
      <c r="O232" t="e">
        <f t="shared" ca="1" si="31"/>
        <v>#N/A</v>
      </c>
      <c r="P232" s="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W232" t="e">
        <f ca="1"/>
        <v>#N/A</v>
      </c>
      <c r="X232" t="e">
        <f ca="1"/>
        <v>#N/A</v>
      </c>
      <c r="Y232" t="e">
        <f ca="1"/>
        <v>#N/A</v>
      </c>
      <c r="Z232" t="e">
        <f ca="1"/>
        <v>#N/A</v>
      </c>
      <c r="AA232" t="e">
        <f ca="1"/>
        <v>#N/A</v>
      </c>
      <c r="AB232" t="e">
        <f ca="1"/>
        <v>#N/A</v>
      </c>
      <c r="AD232" s="2">
        <f t="shared" ca="1" si="32"/>
        <v>0</v>
      </c>
      <c r="AE232">
        <f t="shared" ca="1" si="33"/>
        <v>0</v>
      </c>
      <c r="AG232" s="63" t="e">
        <f t="shared" ca="1" si="37"/>
        <v>#N/A</v>
      </c>
      <c r="AH232" s="63" t="e">
        <f t="shared" ca="1" si="38"/>
        <v>#N/A</v>
      </c>
      <c r="AI232" s="3" t="e">
        <f t="shared" ca="1" si="39"/>
        <v>#N/A</v>
      </c>
    </row>
    <row r="233" spans="7:35">
      <c r="G233" s="3">
        <f t="shared" ca="1" si="34"/>
        <v>106</v>
      </c>
      <c r="H233" s="95">
        <f t="shared" ca="1" si="36"/>
        <v>45396</v>
      </c>
      <c r="I233" s="119">
        <f ca="1">HLOOKUP($H$5,'Met Data'!$A$2:$F$368,G233,FALSE)</f>
        <v>15.1612903225806</v>
      </c>
      <c r="J233" s="119">
        <f ca="1">HLOOKUP($H$5,'Met Data'!$H$2:$M$368,G233,FALSE)*L233</f>
        <v>2.7451612903225802</v>
      </c>
      <c r="K233" s="96">
        <f ca="1">HLOOKUP($H$5,'Met Data'!$O$2:$T$368,G233,FALSE)</f>
        <v>2.2462315590791202</v>
      </c>
      <c r="L233">
        <f t="shared" ca="1" si="30"/>
        <v>1</v>
      </c>
      <c r="N233" t="e">
        <f t="shared" ca="1" si="35"/>
        <v>#N/A</v>
      </c>
      <c r="O233" t="e">
        <f t="shared" ca="1" si="31"/>
        <v>#N/A</v>
      </c>
      <c r="P233" s="2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W233" t="e">
        <f ca="1"/>
        <v>#N/A</v>
      </c>
      <c r="X233" t="e">
        <f ca="1"/>
        <v>#N/A</v>
      </c>
      <c r="Y233" t="e">
        <f ca="1"/>
        <v>#N/A</v>
      </c>
      <c r="Z233" t="e">
        <f ca="1"/>
        <v>#N/A</v>
      </c>
      <c r="AA233" t="e">
        <f ca="1"/>
        <v>#N/A</v>
      </c>
      <c r="AB233" t="e">
        <f ca="1"/>
        <v>#N/A</v>
      </c>
      <c r="AD233" s="2">
        <f t="shared" ca="1" si="32"/>
        <v>0</v>
      </c>
      <c r="AE233">
        <f t="shared" ca="1" si="33"/>
        <v>0</v>
      </c>
      <c r="AG233" s="63" t="e">
        <f t="shared" ca="1" si="37"/>
        <v>#N/A</v>
      </c>
      <c r="AH233" s="63" t="e">
        <f t="shared" ca="1" si="38"/>
        <v>#N/A</v>
      </c>
      <c r="AI233" s="3" t="e">
        <f t="shared" ca="1" si="39"/>
        <v>#N/A</v>
      </c>
    </row>
    <row r="234" spans="7:35">
      <c r="G234" s="3">
        <f t="shared" ca="1" si="34"/>
        <v>107</v>
      </c>
      <c r="H234" s="95">
        <f t="shared" ca="1" si="36"/>
        <v>45397</v>
      </c>
      <c r="I234" s="119">
        <f ca="1">HLOOKUP($H$5,'Met Data'!$A$2:$F$368,G234,FALSE)</f>
        <v>15.658064516129</v>
      </c>
      <c r="J234" s="119">
        <f ca="1">HLOOKUP($H$5,'Met Data'!$H$2:$M$368,G234,FALSE)*L234</f>
        <v>3.7677419354838699</v>
      </c>
      <c r="K234" s="96">
        <f ca="1">HLOOKUP($H$5,'Met Data'!$O$2:$T$368,G234,FALSE)</f>
        <v>2.3441419540899799</v>
      </c>
      <c r="L234">
        <f t="shared" ca="1" si="30"/>
        <v>1</v>
      </c>
      <c r="N234" t="e">
        <f t="shared" ca="1" si="35"/>
        <v>#N/A</v>
      </c>
      <c r="O234" t="e">
        <f t="shared" ca="1" si="31"/>
        <v>#N/A</v>
      </c>
      <c r="P234" s="2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W234" t="e">
        <f ca="1"/>
        <v>#N/A</v>
      </c>
      <c r="X234" t="e">
        <f ca="1"/>
        <v>#N/A</v>
      </c>
      <c r="Y234" t="e">
        <f ca="1"/>
        <v>#N/A</v>
      </c>
      <c r="Z234" t="e">
        <f ca="1"/>
        <v>#N/A</v>
      </c>
      <c r="AA234" t="e">
        <f ca="1"/>
        <v>#N/A</v>
      </c>
      <c r="AB234" t="e">
        <f ca="1"/>
        <v>#N/A</v>
      </c>
      <c r="AD234" s="2">
        <f t="shared" ca="1" si="32"/>
        <v>0</v>
      </c>
      <c r="AE234">
        <f t="shared" ca="1" si="33"/>
        <v>0</v>
      </c>
      <c r="AG234" s="63" t="e">
        <f t="shared" ca="1" si="37"/>
        <v>#N/A</v>
      </c>
      <c r="AH234" s="63" t="e">
        <f t="shared" ca="1" si="38"/>
        <v>#N/A</v>
      </c>
      <c r="AI234" s="3" t="e">
        <f t="shared" ca="1" si="39"/>
        <v>#N/A</v>
      </c>
    </row>
    <row r="235" spans="7:35">
      <c r="G235" s="3">
        <f t="shared" ca="1" si="34"/>
        <v>108</v>
      </c>
      <c r="H235" s="95">
        <f t="shared" ca="1" si="36"/>
        <v>45398</v>
      </c>
      <c r="I235" s="119">
        <f ca="1">HLOOKUP($H$5,'Met Data'!$A$2:$F$368,G235,FALSE)</f>
        <v>15.408064516129</v>
      </c>
      <c r="J235" s="119">
        <f ca="1">HLOOKUP($H$5,'Met Data'!$H$2:$M$368,G235,FALSE)*L235</f>
        <v>2.6870967741935399</v>
      </c>
      <c r="K235" s="96">
        <f ca="1">HLOOKUP($H$5,'Met Data'!$O$2:$T$368,G235,FALSE)</f>
        <v>2.0871356285448601</v>
      </c>
      <c r="L235">
        <f t="shared" ca="1" si="30"/>
        <v>1</v>
      </c>
      <c r="N235" t="e">
        <f t="shared" ca="1" si="35"/>
        <v>#N/A</v>
      </c>
      <c r="O235" t="e">
        <f t="shared" ca="1" si="31"/>
        <v>#N/A</v>
      </c>
      <c r="P235" s="2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W235" t="e">
        <f ca="1"/>
        <v>#N/A</v>
      </c>
      <c r="X235" t="e">
        <f ca="1"/>
        <v>#N/A</v>
      </c>
      <c r="Y235" t="e">
        <f ca="1"/>
        <v>#N/A</v>
      </c>
      <c r="Z235" t="e">
        <f ca="1"/>
        <v>#N/A</v>
      </c>
      <c r="AA235" t="e">
        <f ca="1"/>
        <v>#N/A</v>
      </c>
      <c r="AB235" t="e">
        <f ca="1"/>
        <v>#N/A</v>
      </c>
      <c r="AD235" s="2">
        <f t="shared" ca="1" si="32"/>
        <v>0</v>
      </c>
      <c r="AE235">
        <f t="shared" ca="1" si="33"/>
        <v>0</v>
      </c>
      <c r="AG235" s="63" t="e">
        <f t="shared" ca="1" si="37"/>
        <v>#N/A</v>
      </c>
      <c r="AH235" s="63" t="e">
        <f t="shared" ca="1" si="38"/>
        <v>#N/A</v>
      </c>
      <c r="AI235" s="3" t="e">
        <f t="shared" ca="1" si="39"/>
        <v>#N/A</v>
      </c>
    </row>
    <row r="236" spans="7:35">
      <c r="G236" s="3">
        <f t="shared" ca="1" si="34"/>
        <v>109</v>
      </c>
      <c r="H236" s="95">
        <f t="shared" ca="1" si="36"/>
        <v>45399</v>
      </c>
      <c r="I236" s="119">
        <f ca="1">HLOOKUP($H$5,'Met Data'!$A$2:$F$368,G236,FALSE)</f>
        <v>15.420967741935399</v>
      </c>
      <c r="J236" s="119">
        <f ca="1">HLOOKUP($H$5,'Met Data'!$H$2:$M$368,G236,FALSE)*L236</f>
        <v>2.8516129032258002</v>
      </c>
      <c r="K236" s="96">
        <f ca="1">HLOOKUP($H$5,'Met Data'!$O$2:$T$368,G236,FALSE)</f>
        <v>2.1715863377271001</v>
      </c>
      <c r="L236">
        <f t="shared" ca="1" si="30"/>
        <v>1</v>
      </c>
      <c r="N236" t="e">
        <f t="shared" ca="1" si="35"/>
        <v>#N/A</v>
      </c>
      <c r="O236" t="e">
        <f t="shared" ca="1" si="31"/>
        <v>#N/A</v>
      </c>
      <c r="P236" s="2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W236" t="e">
        <f ca="1"/>
        <v>#N/A</v>
      </c>
      <c r="X236" t="e">
        <f ca="1"/>
        <v>#N/A</v>
      </c>
      <c r="Y236" t="e">
        <f ca="1"/>
        <v>#N/A</v>
      </c>
      <c r="Z236" t="e">
        <f ca="1"/>
        <v>#N/A</v>
      </c>
      <c r="AA236" t="e">
        <f ca="1"/>
        <v>#N/A</v>
      </c>
      <c r="AB236" t="e">
        <f ca="1"/>
        <v>#N/A</v>
      </c>
      <c r="AD236" s="2">
        <f t="shared" ca="1" si="32"/>
        <v>0</v>
      </c>
      <c r="AE236">
        <f t="shared" ca="1" si="33"/>
        <v>0</v>
      </c>
      <c r="AG236" s="63" t="e">
        <f t="shared" ca="1" si="37"/>
        <v>#N/A</v>
      </c>
      <c r="AH236" s="63" t="e">
        <f t="shared" ca="1" si="38"/>
        <v>#N/A</v>
      </c>
      <c r="AI236" s="3" t="e">
        <f t="shared" ca="1" si="39"/>
        <v>#N/A</v>
      </c>
    </row>
    <row r="237" spans="7:35">
      <c r="G237" s="3">
        <f t="shared" ca="1" si="34"/>
        <v>110</v>
      </c>
      <c r="H237" s="95">
        <f t="shared" ca="1" si="36"/>
        <v>45400</v>
      </c>
      <c r="I237" s="119">
        <f ca="1">HLOOKUP($H$5,'Met Data'!$A$2:$F$368,G237,FALSE)</f>
        <v>15.193548387096699</v>
      </c>
      <c r="J237" s="119">
        <f ca="1">HLOOKUP($H$5,'Met Data'!$H$2:$M$368,G237,FALSE)*L237</f>
        <v>2.4258064516129001</v>
      </c>
      <c r="K237" s="96">
        <f ca="1">HLOOKUP($H$5,'Met Data'!$O$2:$T$368,G237,FALSE)</f>
        <v>2.2979139363353802</v>
      </c>
      <c r="L237">
        <f t="shared" ca="1" si="30"/>
        <v>1</v>
      </c>
      <c r="N237" t="e">
        <f t="shared" ca="1" si="35"/>
        <v>#N/A</v>
      </c>
      <c r="O237" t="e">
        <f t="shared" ca="1" si="31"/>
        <v>#N/A</v>
      </c>
      <c r="P237" s="2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W237" t="e">
        <f ca="1"/>
        <v>#N/A</v>
      </c>
      <c r="X237" t="e">
        <f ca="1"/>
        <v>#N/A</v>
      </c>
      <c r="Y237" t="e">
        <f ca="1"/>
        <v>#N/A</v>
      </c>
      <c r="Z237" t="e">
        <f ca="1"/>
        <v>#N/A</v>
      </c>
      <c r="AA237" t="e">
        <f ca="1"/>
        <v>#N/A</v>
      </c>
      <c r="AB237" t="e">
        <f ca="1"/>
        <v>#N/A</v>
      </c>
      <c r="AD237" s="2">
        <f t="shared" ca="1" si="32"/>
        <v>0</v>
      </c>
      <c r="AE237">
        <f t="shared" ca="1" si="33"/>
        <v>0</v>
      </c>
      <c r="AG237" s="63" t="e">
        <f t="shared" ca="1" si="37"/>
        <v>#N/A</v>
      </c>
      <c r="AH237" s="63" t="e">
        <f t="shared" ca="1" si="38"/>
        <v>#N/A</v>
      </c>
      <c r="AI237" s="3" t="e">
        <f t="shared" ca="1" si="39"/>
        <v>#N/A</v>
      </c>
    </row>
    <row r="238" spans="7:35">
      <c r="G238" s="3">
        <f t="shared" ca="1" si="34"/>
        <v>111</v>
      </c>
      <c r="H238" s="95">
        <f t="shared" ca="1" si="36"/>
        <v>45401</v>
      </c>
      <c r="I238" s="119">
        <f ca="1">HLOOKUP($H$5,'Met Data'!$A$2:$F$368,G238,FALSE)</f>
        <v>15.4096774193548</v>
      </c>
      <c r="J238" s="119">
        <f ca="1">HLOOKUP($H$5,'Met Data'!$H$2:$M$368,G238,FALSE)*L238</f>
        <v>1.7322580645161201</v>
      </c>
      <c r="K238" s="96">
        <f ca="1">HLOOKUP($H$5,'Met Data'!$O$2:$T$368,G238,FALSE)</f>
        <v>2.3194627801487999</v>
      </c>
      <c r="L238">
        <f t="shared" ca="1" si="30"/>
        <v>1</v>
      </c>
      <c r="N238" t="e">
        <f t="shared" ca="1" si="35"/>
        <v>#N/A</v>
      </c>
      <c r="O238" t="e">
        <f t="shared" ca="1" si="31"/>
        <v>#N/A</v>
      </c>
      <c r="P238" s="2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W238" t="e">
        <f ca="1"/>
        <v>#N/A</v>
      </c>
      <c r="X238" t="e">
        <f ca="1"/>
        <v>#N/A</v>
      </c>
      <c r="Y238" t="e">
        <f ca="1"/>
        <v>#N/A</v>
      </c>
      <c r="Z238" t="e">
        <f ca="1"/>
        <v>#N/A</v>
      </c>
      <c r="AA238" t="e">
        <f ca="1"/>
        <v>#N/A</v>
      </c>
      <c r="AB238" t="e">
        <f ca="1"/>
        <v>#N/A</v>
      </c>
      <c r="AD238" s="2">
        <f t="shared" ca="1" si="32"/>
        <v>0</v>
      </c>
      <c r="AE238">
        <f t="shared" ca="1" si="33"/>
        <v>0</v>
      </c>
      <c r="AG238" s="63" t="e">
        <f t="shared" ca="1" si="37"/>
        <v>#N/A</v>
      </c>
      <c r="AH238" s="63" t="e">
        <f t="shared" ca="1" si="38"/>
        <v>#N/A</v>
      </c>
      <c r="AI238" s="3" t="e">
        <f t="shared" ca="1" si="39"/>
        <v>#N/A</v>
      </c>
    </row>
    <row r="239" spans="7:35">
      <c r="G239" s="3">
        <f t="shared" ca="1" si="34"/>
        <v>112</v>
      </c>
      <c r="H239" s="95">
        <f t="shared" ca="1" si="36"/>
        <v>45402</v>
      </c>
      <c r="I239" s="119">
        <f ca="1">HLOOKUP($H$5,'Met Data'!$A$2:$F$368,G239,FALSE)</f>
        <v>15.261666666666599</v>
      </c>
      <c r="J239" s="119">
        <f ca="1">HLOOKUP($H$5,'Met Data'!$H$2:$M$368,G239,FALSE)*L239</f>
        <v>4.0161290322580596</v>
      </c>
      <c r="K239" s="96">
        <f ca="1">HLOOKUP($H$5,'Met Data'!$O$2:$T$368,G239,FALSE)</f>
        <v>2.3321304827068001</v>
      </c>
      <c r="L239">
        <f t="shared" ca="1" si="30"/>
        <v>1</v>
      </c>
      <c r="N239" t="e">
        <f t="shared" ca="1" si="35"/>
        <v>#N/A</v>
      </c>
      <c r="O239" t="e">
        <f t="shared" ca="1" si="31"/>
        <v>#N/A</v>
      </c>
      <c r="P239" s="2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W239" t="e">
        <f ca="1"/>
        <v>#N/A</v>
      </c>
      <c r="X239" t="e">
        <f ca="1"/>
        <v>#N/A</v>
      </c>
      <c r="Y239" t="e">
        <f ca="1"/>
        <v>#N/A</v>
      </c>
      <c r="Z239" t="e">
        <f ca="1"/>
        <v>#N/A</v>
      </c>
      <c r="AA239" t="e">
        <f ca="1"/>
        <v>#N/A</v>
      </c>
      <c r="AB239" t="e">
        <f ca="1"/>
        <v>#N/A</v>
      </c>
      <c r="AD239" s="2">
        <f t="shared" ca="1" si="32"/>
        <v>0</v>
      </c>
      <c r="AE239">
        <f t="shared" ca="1" si="33"/>
        <v>0</v>
      </c>
      <c r="AG239" s="63" t="e">
        <f t="shared" ca="1" si="37"/>
        <v>#N/A</v>
      </c>
      <c r="AH239" s="63" t="e">
        <f t="shared" ca="1" si="38"/>
        <v>#N/A</v>
      </c>
      <c r="AI239" s="3" t="e">
        <f t="shared" ca="1" si="39"/>
        <v>#N/A</v>
      </c>
    </row>
    <row r="240" spans="7:35">
      <c r="G240" s="3">
        <f t="shared" ca="1" si="34"/>
        <v>113</v>
      </c>
      <c r="H240" s="95">
        <f t="shared" ca="1" si="36"/>
        <v>45403</v>
      </c>
      <c r="I240" s="119">
        <f ca="1">HLOOKUP($H$5,'Met Data'!$A$2:$F$368,G240,FALSE)</f>
        <v>14.5283333333333</v>
      </c>
      <c r="J240" s="119">
        <f ca="1">HLOOKUP($H$5,'Met Data'!$H$2:$M$368,G240,FALSE)*L240</f>
        <v>3.5258064516129002</v>
      </c>
      <c r="K240" s="96">
        <f ca="1">HLOOKUP($H$5,'Met Data'!$O$2:$T$368,G240,FALSE)</f>
        <v>2.2184505421646001</v>
      </c>
      <c r="L240">
        <f t="shared" ca="1" si="30"/>
        <v>1</v>
      </c>
      <c r="N240" t="e">
        <f t="shared" ca="1" si="35"/>
        <v>#N/A</v>
      </c>
      <c r="O240" t="e">
        <f t="shared" ca="1" si="31"/>
        <v>#N/A</v>
      </c>
      <c r="P240" s="2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W240" t="e">
        <f ca="1"/>
        <v>#N/A</v>
      </c>
      <c r="X240" t="e">
        <f ca="1"/>
        <v>#N/A</v>
      </c>
      <c r="Y240" t="e">
        <f ca="1"/>
        <v>#N/A</v>
      </c>
      <c r="Z240" t="e">
        <f ca="1"/>
        <v>#N/A</v>
      </c>
      <c r="AA240" t="e">
        <f ca="1"/>
        <v>#N/A</v>
      </c>
      <c r="AB240" t="e">
        <f ca="1"/>
        <v>#N/A</v>
      </c>
      <c r="AD240" s="2">
        <f t="shared" ca="1" si="32"/>
        <v>0</v>
      </c>
      <c r="AE240">
        <f t="shared" ca="1" si="33"/>
        <v>0</v>
      </c>
      <c r="AG240" s="63" t="e">
        <f t="shared" ca="1" si="37"/>
        <v>#N/A</v>
      </c>
      <c r="AH240" s="63" t="e">
        <f t="shared" ca="1" si="38"/>
        <v>#N/A</v>
      </c>
      <c r="AI240" s="3" t="e">
        <f t="shared" ca="1" si="39"/>
        <v>#N/A</v>
      </c>
    </row>
    <row r="241" spans="7:35">
      <c r="G241" s="3">
        <f t="shared" ca="1" si="34"/>
        <v>114</v>
      </c>
      <c r="H241" s="95">
        <f t="shared" ca="1" si="36"/>
        <v>45404</v>
      </c>
      <c r="I241" s="119">
        <f ca="1">HLOOKUP($H$5,'Met Data'!$A$2:$F$368,G241,FALSE)</f>
        <v>14.68</v>
      </c>
      <c r="J241" s="119">
        <f ca="1">HLOOKUP($H$5,'Met Data'!$H$2:$M$368,G241,FALSE)*L241</f>
        <v>2.28709677419354</v>
      </c>
      <c r="K241" s="96">
        <f ca="1">HLOOKUP($H$5,'Met Data'!$O$2:$T$368,G241,FALSE)</f>
        <v>2.2540363688604601</v>
      </c>
      <c r="L241">
        <f t="shared" ca="1" si="30"/>
        <v>1</v>
      </c>
      <c r="N241" t="e">
        <f t="shared" ca="1" si="35"/>
        <v>#N/A</v>
      </c>
      <c r="O241" t="e">
        <f t="shared" ca="1" si="31"/>
        <v>#N/A</v>
      </c>
      <c r="P241" s="2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W241" t="e">
        <f ca="1"/>
        <v>#N/A</v>
      </c>
      <c r="X241" t="e">
        <f ca="1"/>
        <v>#N/A</v>
      </c>
      <c r="Y241" t="e">
        <f ca="1"/>
        <v>#N/A</v>
      </c>
      <c r="Z241" t="e">
        <f ca="1"/>
        <v>#N/A</v>
      </c>
      <c r="AA241" t="e">
        <f ca="1"/>
        <v>#N/A</v>
      </c>
      <c r="AB241" t="e">
        <f ca="1"/>
        <v>#N/A</v>
      </c>
      <c r="AD241" s="2">
        <f t="shared" ca="1" si="32"/>
        <v>0</v>
      </c>
      <c r="AE241">
        <f t="shared" ca="1" si="33"/>
        <v>0</v>
      </c>
      <c r="AG241" s="63" t="e">
        <f t="shared" ca="1" si="37"/>
        <v>#N/A</v>
      </c>
      <c r="AH241" s="63" t="e">
        <f t="shared" ca="1" si="38"/>
        <v>#N/A</v>
      </c>
      <c r="AI241" s="3" t="e">
        <f t="shared" ca="1" si="39"/>
        <v>#N/A</v>
      </c>
    </row>
    <row r="242" spans="7:35">
      <c r="G242" s="3">
        <f t="shared" ca="1" si="34"/>
        <v>115</v>
      </c>
      <c r="H242" s="95">
        <f t="shared" ca="1" si="36"/>
        <v>45405</v>
      </c>
      <c r="I242" s="119">
        <f ca="1">HLOOKUP($H$5,'Met Data'!$A$2:$F$368,G242,FALSE)</f>
        <v>14.4933333333333</v>
      </c>
      <c r="J242" s="119">
        <f ca="1">HLOOKUP($H$5,'Met Data'!$H$2:$M$368,G242,FALSE)*L242</f>
        <v>4.3387096774193497</v>
      </c>
      <c r="K242" s="96">
        <f ca="1">HLOOKUP($H$5,'Met Data'!$O$2:$T$368,G242,FALSE)</f>
        <v>2.2396347152399998</v>
      </c>
      <c r="L242">
        <f t="shared" ca="1" si="30"/>
        <v>1</v>
      </c>
      <c r="N242" t="e">
        <f t="shared" ca="1" si="35"/>
        <v>#N/A</v>
      </c>
      <c r="O242" t="e">
        <f t="shared" ca="1" si="31"/>
        <v>#N/A</v>
      </c>
      <c r="P242" s="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W242" t="e">
        <f ca="1"/>
        <v>#N/A</v>
      </c>
      <c r="X242" t="e">
        <f ca="1"/>
        <v>#N/A</v>
      </c>
      <c r="Y242" t="e">
        <f ca="1"/>
        <v>#N/A</v>
      </c>
      <c r="Z242" t="e">
        <f ca="1"/>
        <v>#N/A</v>
      </c>
      <c r="AA242" t="e">
        <f ca="1"/>
        <v>#N/A</v>
      </c>
      <c r="AB242" t="e">
        <f ca="1"/>
        <v>#N/A</v>
      </c>
      <c r="AD242" s="2">
        <f t="shared" ca="1" si="32"/>
        <v>0</v>
      </c>
      <c r="AE242">
        <f t="shared" ca="1" si="33"/>
        <v>0</v>
      </c>
      <c r="AG242" s="63" t="e">
        <f t="shared" ca="1" si="37"/>
        <v>#N/A</v>
      </c>
      <c r="AH242" s="63" t="e">
        <f t="shared" ca="1" si="38"/>
        <v>#N/A</v>
      </c>
      <c r="AI242" s="3" t="e">
        <f t="shared" ca="1" si="39"/>
        <v>#N/A</v>
      </c>
    </row>
    <row r="243" spans="7:35">
      <c r="G243" s="3">
        <f t="shared" ca="1" si="34"/>
        <v>116</v>
      </c>
      <c r="H243" s="95">
        <f t="shared" ca="1" si="36"/>
        <v>45406</v>
      </c>
      <c r="I243" s="119">
        <f ca="1">HLOOKUP($H$5,'Met Data'!$A$2:$F$368,G243,FALSE)</f>
        <v>14.7733333333333</v>
      </c>
      <c r="J243" s="119">
        <f ca="1">HLOOKUP($H$5,'Met Data'!$H$2:$M$368,G243,FALSE)*L243</f>
        <v>6.4580645161290304</v>
      </c>
      <c r="K243" s="96">
        <f ca="1">HLOOKUP($H$5,'Met Data'!$O$2:$T$368,G243,FALSE)</f>
        <v>2.0110185254269899</v>
      </c>
      <c r="L243">
        <f t="shared" ca="1" si="30"/>
        <v>1</v>
      </c>
      <c r="N243" t="e">
        <f t="shared" ca="1" si="35"/>
        <v>#N/A</v>
      </c>
      <c r="O243" t="e">
        <f t="shared" ca="1" si="31"/>
        <v>#N/A</v>
      </c>
      <c r="P243" s="2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W243" t="e">
        <f ca="1"/>
        <v>#N/A</v>
      </c>
      <c r="X243" t="e">
        <f ca="1"/>
        <v>#N/A</v>
      </c>
      <c r="Y243" t="e">
        <f ca="1"/>
        <v>#N/A</v>
      </c>
      <c r="Z243" t="e">
        <f ca="1"/>
        <v>#N/A</v>
      </c>
      <c r="AA243" t="e">
        <f ca="1"/>
        <v>#N/A</v>
      </c>
      <c r="AB243" t="e">
        <f ca="1"/>
        <v>#N/A</v>
      </c>
      <c r="AD243" s="2">
        <f t="shared" ca="1" si="32"/>
        <v>0</v>
      </c>
      <c r="AE243">
        <f t="shared" ca="1" si="33"/>
        <v>0</v>
      </c>
      <c r="AG243" s="63" t="e">
        <f t="shared" ca="1" si="37"/>
        <v>#N/A</v>
      </c>
      <c r="AH243" s="63" t="e">
        <f t="shared" ca="1" si="38"/>
        <v>#N/A</v>
      </c>
      <c r="AI243" s="3" t="e">
        <f t="shared" ca="1" si="39"/>
        <v>#N/A</v>
      </c>
    </row>
    <row r="244" spans="7:35">
      <c r="G244" s="3">
        <f t="shared" ca="1" si="34"/>
        <v>117</v>
      </c>
      <c r="H244" s="95">
        <f t="shared" ca="1" si="36"/>
        <v>45407</v>
      </c>
      <c r="I244" s="119">
        <f ca="1">HLOOKUP($H$5,'Met Data'!$A$2:$F$368,G244,FALSE)</f>
        <v>14.998333333333299</v>
      </c>
      <c r="J244" s="119">
        <f ca="1">HLOOKUP($H$5,'Met Data'!$H$2:$M$368,G244,FALSE)*L244</f>
        <v>3.1903225806451601</v>
      </c>
      <c r="K244" s="96">
        <f ca="1">HLOOKUP($H$5,'Met Data'!$O$2:$T$368,G244,FALSE)</f>
        <v>2.1294944258891699</v>
      </c>
      <c r="L244">
        <f t="shared" ca="1" si="30"/>
        <v>1</v>
      </c>
      <c r="N244" t="e">
        <f t="shared" ca="1" si="35"/>
        <v>#N/A</v>
      </c>
      <c r="O244" t="e">
        <f t="shared" ca="1" si="31"/>
        <v>#N/A</v>
      </c>
      <c r="P244" s="2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W244" t="e">
        <f ca="1"/>
        <v>#N/A</v>
      </c>
      <c r="X244" t="e">
        <f ca="1"/>
        <v>#N/A</v>
      </c>
      <c r="Y244" t="e">
        <f ca="1"/>
        <v>#N/A</v>
      </c>
      <c r="Z244" t="e">
        <f ca="1"/>
        <v>#N/A</v>
      </c>
      <c r="AA244" t="e">
        <f ca="1"/>
        <v>#N/A</v>
      </c>
      <c r="AB244" t="e">
        <f ca="1"/>
        <v>#N/A</v>
      </c>
      <c r="AD244" s="2">
        <f t="shared" ca="1" si="32"/>
        <v>0</v>
      </c>
      <c r="AE244">
        <f t="shared" ca="1" si="33"/>
        <v>0</v>
      </c>
      <c r="AG244" s="63" t="e">
        <f t="shared" ca="1" si="37"/>
        <v>#N/A</v>
      </c>
      <c r="AH244" s="63" t="e">
        <f t="shared" ca="1" si="38"/>
        <v>#N/A</v>
      </c>
      <c r="AI244" s="3" t="e">
        <f t="shared" ca="1" si="39"/>
        <v>#N/A</v>
      </c>
    </row>
    <row r="245" spans="7:35">
      <c r="G245" s="3">
        <f t="shared" ca="1" si="34"/>
        <v>118</v>
      </c>
      <c r="H245" s="95">
        <f t="shared" ca="1" si="36"/>
        <v>45408</v>
      </c>
      <c r="I245" s="119">
        <f ca="1">HLOOKUP($H$5,'Met Data'!$A$2:$F$368,G245,FALSE)</f>
        <v>15.395</v>
      </c>
      <c r="J245" s="119">
        <f ca="1">HLOOKUP($H$5,'Met Data'!$H$2:$M$368,G245,FALSE)*L245</f>
        <v>2.8516129032258002</v>
      </c>
      <c r="K245" s="96">
        <f ca="1">HLOOKUP($H$5,'Met Data'!$O$2:$T$368,G245,FALSE)</f>
        <v>2.1336270025185899</v>
      </c>
      <c r="L245">
        <f t="shared" ca="1" si="30"/>
        <v>1</v>
      </c>
      <c r="N245" t="e">
        <f t="shared" ca="1" si="35"/>
        <v>#N/A</v>
      </c>
      <c r="O245" t="e">
        <f t="shared" ca="1" si="31"/>
        <v>#N/A</v>
      </c>
      <c r="P245" s="2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W245" t="e">
        <f ca="1"/>
        <v>#N/A</v>
      </c>
      <c r="X245" t="e">
        <f ca="1"/>
        <v>#N/A</v>
      </c>
      <c r="Y245" t="e">
        <f ca="1"/>
        <v>#N/A</v>
      </c>
      <c r="Z245" t="e">
        <f ca="1"/>
        <v>#N/A</v>
      </c>
      <c r="AA245" t="e">
        <f ca="1"/>
        <v>#N/A</v>
      </c>
      <c r="AB245" t="e">
        <f ca="1"/>
        <v>#N/A</v>
      </c>
      <c r="AD245" s="2">
        <f t="shared" ca="1" si="32"/>
        <v>0</v>
      </c>
      <c r="AE245">
        <f t="shared" ca="1" si="33"/>
        <v>0</v>
      </c>
      <c r="AG245" s="63" t="e">
        <f t="shared" ca="1" si="37"/>
        <v>#N/A</v>
      </c>
      <c r="AH245" s="63" t="e">
        <f t="shared" ca="1" si="38"/>
        <v>#N/A</v>
      </c>
      <c r="AI245" s="3" t="e">
        <f t="shared" ca="1" si="39"/>
        <v>#N/A</v>
      </c>
    </row>
    <row r="246" spans="7:35">
      <c r="G246" s="3">
        <f t="shared" ca="1" si="34"/>
        <v>119</v>
      </c>
      <c r="H246" s="95">
        <f t="shared" ca="1" si="36"/>
        <v>45409</v>
      </c>
      <c r="I246" s="119">
        <f ca="1">HLOOKUP($H$5,'Met Data'!$A$2:$F$368,G246,FALSE)</f>
        <v>15.641379310344799</v>
      </c>
      <c r="J246" s="119">
        <f ca="1">HLOOKUP($H$5,'Met Data'!$H$2:$M$368,G246,FALSE)*L246</f>
        <v>3.74193548387096</v>
      </c>
      <c r="K246" s="96">
        <f ca="1">HLOOKUP($H$5,'Met Data'!$O$2:$T$368,G246,FALSE)</f>
        <v>2.0365768668725401</v>
      </c>
      <c r="L246">
        <f t="shared" ca="1" si="30"/>
        <v>1</v>
      </c>
      <c r="N246" t="e">
        <f t="shared" ca="1" si="35"/>
        <v>#N/A</v>
      </c>
      <c r="O246" t="e">
        <f t="shared" ca="1" si="31"/>
        <v>#N/A</v>
      </c>
      <c r="P246" s="2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W246" t="e">
        <f ca="1"/>
        <v>#N/A</v>
      </c>
      <c r="X246" t="e">
        <f ca="1"/>
        <v>#N/A</v>
      </c>
      <c r="Y246" t="e">
        <f ca="1"/>
        <v>#N/A</v>
      </c>
      <c r="Z246" t="e">
        <f ca="1"/>
        <v>#N/A</v>
      </c>
      <c r="AA246" t="e">
        <f ca="1"/>
        <v>#N/A</v>
      </c>
      <c r="AB246" t="e">
        <f ca="1"/>
        <v>#N/A</v>
      </c>
      <c r="AD246" s="2">
        <f t="shared" ca="1" si="32"/>
        <v>0</v>
      </c>
      <c r="AE246">
        <f t="shared" ca="1" si="33"/>
        <v>0</v>
      </c>
      <c r="AG246" s="63" t="e">
        <f t="shared" ca="1" si="37"/>
        <v>#N/A</v>
      </c>
      <c r="AH246" s="63" t="e">
        <f t="shared" ca="1" si="38"/>
        <v>#N/A</v>
      </c>
      <c r="AI246" s="3" t="e">
        <f t="shared" ca="1" si="39"/>
        <v>#N/A</v>
      </c>
    </row>
    <row r="247" spans="7:35">
      <c r="G247" s="3">
        <f t="shared" ca="1" si="34"/>
        <v>120</v>
      </c>
      <c r="H247" s="95">
        <f t="shared" ca="1" si="36"/>
        <v>45410</v>
      </c>
      <c r="I247" s="119">
        <f ca="1">HLOOKUP($H$5,'Met Data'!$A$2:$F$368,G247,FALSE)</f>
        <v>14.7327586206896</v>
      </c>
      <c r="J247" s="119">
        <f ca="1">HLOOKUP($H$5,'Met Data'!$H$2:$M$368,G247,FALSE)*L247</f>
        <v>3.3129032258064499</v>
      </c>
      <c r="K247" s="96">
        <f ca="1">HLOOKUP($H$5,'Met Data'!$O$2:$T$368,G247,FALSE)</f>
        <v>2.1199579861729001</v>
      </c>
      <c r="L247">
        <f t="shared" ca="1" si="30"/>
        <v>1</v>
      </c>
      <c r="N247" t="e">
        <f t="shared" ca="1" si="35"/>
        <v>#N/A</v>
      </c>
      <c r="O247" t="e">
        <f t="shared" ca="1" si="31"/>
        <v>#N/A</v>
      </c>
      <c r="P247" s="2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W247" t="e">
        <f ca="1"/>
        <v>#N/A</v>
      </c>
      <c r="X247" t="e">
        <f ca="1"/>
        <v>#N/A</v>
      </c>
      <c r="Y247" t="e">
        <f ca="1"/>
        <v>#N/A</v>
      </c>
      <c r="Z247" t="e">
        <f ca="1"/>
        <v>#N/A</v>
      </c>
      <c r="AA247" t="e">
        <f ca="1"/>
        <v>#N/A</v>
      </c>
      <c r="AB247" t="e">
        <f ca="1"/>
        <v>#N/A</v>
      </c>
      <c r="AD247" s="2">
        <f t="shared" ca="1" si="32"/>
        <v>0</v>
      </c>
      <c r="AE247">
        <f t="shared" ca="1" si="33"/>
        <v>0</v>
      </c>
      <c r="AG247" s="63" t="e">
        <f t="shared" ca="1" si="37"/>
        <v>#N/A</v>
      </c>
      <c r="AH247" s="63" t="e">
        <f t="shared" ca="1" si="38"/>
        <v>#N/A</v>
      </c>
      <c r="AI247" s="3" t="e">
        <f t="shared" ca="1" si="39"/>
        <v>#N/A</v>
      </c>
    </row>
    <row r="248" spans="7:35">
      <c r="G248" s="3">
        <f t="shared" ca="1" si="34"/>
        <v>121</v>
      </c>
      <c r="H248" s="95">
        <f t="shared" ca="1" si="36"/>
        <v>45411</v>
      </c>
      <c r="I248" s="119">
        <f ca="1">HLOOKUP($H$5,'Met Data'!$A$2:$F$368,G248,FALSE)</f>
        <v>14.332758620689599</v>
      </c>
      <c r="J248" s="119">
        <f ca="1">HLOOKUP($H$5,'Met Data'!$H$2:$M$368,G248,FALSE)*L248</f>
        <v>4.4322580645161196</v>
      </c>
      <c r="K248" s="96">
        <f ca="1">HLOOKUP($H$5,'Met Data'!$O$2:$T$368,G248,FALSE)</f>
        <v>1.7270113091402699</v>
      </c>
      <c r="L248">
        <f t="shared" ca="1" si="30"/>
        <v>1</v>
      </c>
      <c r="N248" t="e">
        <f t="shared" ca="1" si="35"/>
        <v>#N/A</v>
      </c>
      <c r="O248" t="e">
        <f t="shared" ca="1" si="31"/>
        <v>#N/A</v>
      </c>
      <c r="P248" s="2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W248" t="e">
        <f ca="1"/>
        <v>#N/A</v>
      </c>
      <c r="X248" t="e">
        <f ca="1"/>
        <v>#N/A</v>
      </c>
      <c r="Y248" t="e">
        <f ca="1"/>
        <v>#N/A</v>
      </c>
      <c r="Z248" t="e">
        <f ca="1"/>
        <v>#N/A</v>
      </c>
      <c r="AA248" t="e">
        <f ca="1"/>
        <v>#N/A</v>
      </c>
      <c r="AB248" t="e">
        <f ca="1"/>
        <v>#N/A</v>
      </c>
      <c r="AD248" s="2">
        <f t="shared" ca="1" si="32"/>
        <v>0</v>
      </c>
      <c r="AE248">
        <f t="shared" ca="1" si="33"/>
        <v>0</v>
      </c>
      <c r="AG248" s="63" t="e">
        <f t="shared" ca="1" si="37"/>
        <v>#N/A</v>
      </c>
      <c r="AH248" s="63" t="e">
        <f t="shared" ca="1" si="38"/>
        <v>#N/A</v>
      </c>
      <c r="AI248" s="3" t="e">
        <f t="shared" ca="1" si="39"/>
        <v>#N/A</v>
      </c>
    </row>
    <row r="249" spans="7:35">
      <c r="G249" s="3">
        <f t="shared" ca="1" si="34"/>
        <v>122</v>
      </c>
      <c r="H249" s="95">
        <f t="shared" ca="1" si="36"/>
        <v>45412</v>
      </c>
      <c r="I249" s="119">
        <f ca="1">HLOOKUP($H$5,'Met Data'!$A$2:$F$368,G249,FALSE)</f>
        <v>14.3982758620689</v>
      </c>
      <c r="J249" s="119">
        <f ca="1">HLOOKUP($H$5,'Met Data'!$H$2:$M$368,G249,FALSE)*L249</f>
        <v>3.1838709677419299</v>
      </c>
      <c r="K249" s="96">
        <f ca="1">HLOOKUP($H$5,'Met Data'!$O$2:$T$368,G249,FALSE)</f>
        <v>1.93510583623638</v>
      </c>
      <c r="L249">
        <f t="shared" ca="1" si="30"/>
        <v>1</v>
      </c>
      <c r="N249" t="e">
        <f t="shared" ca="1" si="35"/>
        <v>#N/A</v>
      </c>
      <c r="O249" t="e">
        <f t="shared" ca="1" si="31"/>
        <v>#N/A</v>
      </c>
      <c r="P249" s="2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W249" t="e">
        <f ca="1"/>
        <v>#N/A</v>
      </c>
      <c r="X249" t="e">
        <f ca="1"/>
        <v>#N/A</v>
      </c>
      <c r="Y249" t="e">
        <f ca="1"/>
        <v>#N/A</v>
      </c>
      <c r="Z249" t="e">
        <f ca="1"/>
        <v>#N/A</v>
      </c>
      <c r="AA249" t="e">
        <f ca="1"/>
        <v>#N/A</v>
      </c>
      <c r="AB249" t="e">
        <f ca="1"/>
        <v>#N/A</v>
      </c>
      <c r="AD249" s="2">
        <f t="shared" ca="1" si="32"/>
        <v>0</v>
      </c>
      <c r="AE249">
        <f t="shared" ca="1" si="33"/>
        <v>0</v>
      </c>
      <c r="AG249" s="63" t="e">
        <f t="shared" ca="1" si="37"/>
        <v>#N/A</v>
      </c>
      <c r="AH249" s="63" t="e">
        <f t="shared" ca="1" si="38"/>
        <v>#N/A</v>
      </c>
      <c r="AI249" s="3" t="e">
        <f t="shared" ca="1" si="39"/>
        <v>#N/A</v>
      </c>
    </row>
    <row r="250" spans="7:35">
      <c r="G250" s="3">
        <f t="shared" ca="1" si="34"/>
        <v>123</v>
      </c>
      <c r="H250" s="95">
        <f t="shared" ca="1" si="36"/>
        <v>45413</v>
      </c>
      <c r="I250" s="119">
        <f ca="1">HLOOKUP($H$5,'Met Data'!$A$2:$F$368,G250,FALSE)</f>
        <v>14.296666666666599</v>
      </c>
      <c r="J250" s="119">
        <f ca="1">HLOOKUP($H$5,'Met Data'!$H$2:$M$368,G250,FALSE)*L250</f>
        <v>6.4709677419354801</v>
      </c>
      <c r="K250" s="96">
        <f ca="1">HLOOKUP($H$5,'Met Data'!$O$2:$T$368,G250,FALSE)</f>
        <v>1.84994231207221</v>
      </c>
      <c r="L250">
        <f t="shared" ca="1" si="30"/>
        <v>1</v>
      </c>
      <c r="N250" t="e">
        <f t="shared" ca="1" si="35"/>
        <v>#N/A</v>
      </c>
      <c r="O250" t="e">
        <f t="shared" ca="1" si="31"/>
        <v>#N/A</v>
      </c>
      <c r="P250" s="2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W250" t="e">
        <f ca="1"/>
        <v>#N/A</v>
      </c>
      <c r="X250" t="e">
        <f ca="1"/>
        <v>#N/A</v>
      </c>
      <c r="Y250" t="e">
        <f ca="1"/>
        <v>#N/A</v>
      </c>
      <c r="Z250" t="e">
        <f ca="1"/>
        <v>#N/A</v>
      </c>
      <c r="AA250" t="e">
        <f ca="1"/>
        <v>#N/A</v>
      </c>
      <c r="AB250" t="e">
        <f ca="1"/>
        <v>#N/A</v>
      </c>
      <c r="AD250" s="2">
        <f t="shared" ca="1" si="32"/>
        <v>0</v>
      </c>
      <c r="AE250">
        <f t="shared" ca="1" si="33"/>
        <v>0</v>
      </c>
      <c r="AG250" s="63" t="e">
        <f t="shared" ca="1" si="37"/>
        <v>#N/A</v>
      </c>
      <c r="AH250" s="63" t="e">
        <f t="shared" ca="1" si="38"/>
        <v>#N/A</v>
      </c>
      <c r="AI250" s="3" t="e">
        <f t="shared" ca="1" si="39"/>
        <v>#N/A</v>
      </c>
    </row>
    <row r="251" spans="7:35">
      <c r="G251" s="3">
        <f t="shared" ca="1" si="34"/>
        <v>124</v>
      </c>
      <c r="H251" s="95">
        <f t="shared" ca="1" si="36"/>
        <v>45414</v>
      </c>
      <c r="I251" s="119">
        <f ca="1">HLOOKUP($H$5,'Met Data'!$A$2:$F$368,G251,FALSE)</f>
        <v>14.1866666666666</v>
      </c>
      <c r="J251" s="119">
        <f ca="1">HLOOKUP($H$5,'Met Data'!$H$2:$M$368,G251,FALSE)*L251</f>
        <v>2.59032258064516</v>
      </c>
      <c r="K251" s="96">
        <f ca="1">HLOOKUP($H$5,'Met Data'!$O$2:$T$368,G251,FALSE)</f>
        <v>1.8652259443704999</v>
      </c>
      <c r="L251">
        <f t="shared" ca="1" si="30"/>
        <v>1</v>
      </c>
      <c r="N251" t="e">
        <f t="shared" ca="1" si="35"/>
        <v>#N/A</v>
      </c>
      <c r="O251" t="e">
        <f t="shared" ca="1" si="31"/>
        <v>#N/A</v>
      </c>
      <c r="P251" s="2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W251" t="e">
        <f ca="1"/>
        <v>#N/A</v>
      </c>
      <c r="X251" t="e">
        <f ca="1"/>
        <v>#N/A</v>
      </c>
      <c r="Y251" t="e">
        <f ca="1"/>
        <v>#N/A</v>
      </c>
      <c r="Z251" t="e">
        <f ca="1"/>
        <v>#N/A</v>
      </c>
      <c r="AA251" t="e">
        <f ca="1"/>
        <v>#N/A</v>
      </c>
      <c r="AB251" t="e">
        <f ca="1"/>
        <v>#N/A</v>
      </c>
      <c r="AD251" s="2">
        <f t="shared" ca="1" si="32"/>
        <v>0</v>
      </c>
      <c r="AE251">
        <f t="shared" ca="1" si="33"/>
        <v>0</v>
      </c>
      <c r="AG251" s="63" t="e">
        <f t="shared" ca="1" si="37"/>
        <v>#N/A</v>
      </c>
      <c r="AH251" s="63" t="e">
        <f t="shared" ca="1" si="38"/>
        <v>#N/A</v>
      </c>
      <c r="AI251" s="3" t="e">
        <f t="shared" ca="1" si="39"/>
        <v>#N/A</v>
      </c>
    </row>
    <row r="252" spans="7:35">
      <c r="G252" s="3">
        <f t="shared" ca="1" si="34"/>
        <v>125</v>
      </c>
      <c r="H252" s="95">
        <f t="shared" ca="1" si="36"/>
        <v>45415</v>
      </c>
      <c r="I252" s="119">
        <f ca="1">HLOOKUP($H$5,'Met Data'!$A$2:$F$368,G252,FALSE)</f>
        <v>13.9112903225806</v>
      </c>
      <c r="J252" s="119">
        <f ca="1">HLOOKUP($H$5,'Met Data'!$H$2:$M$368,G252,FALSE)*L252</f>
        <v>2.2741935483870899</v>
      </c>
      <c r="K252" s="96">
        <f ca="1">HLOOKUP($H$5,'Met Data'!$O$2:$T$368,G252,FALSE)</f>
        <v>1.88347487361168</v>
      </c>
      <c r="L252">
        <f t="shared" ca="1" si="30"/>
        <v>1</v>
      </c>
      <c r="N252" t="e">
        <f t="shared" ca="1" si="35"/>
        <v>#N/A</v>
      </c>
      <c r="O252" t="e">
        <f t="shared" ca="1" si="31"/>
        <v>#N/A</v>
      </c>
      <c r="P252" s="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W252" t="e">
        <f ca="1"/>
        <v>#N/A</v>
      </c>
      <c r="X252" t="e">
        <f ca="1"/>
        <v>#N/A</v>
      </c>
      <c r="Y252" t="e">
        <f ca="1"/>
        <v>#N/A</v>
      </c>
      <c r="Z252" t="e">
        <f ca="1"/>
        <v>#N/A</v>
      </c>
      <c r="AA252" t="e">
        <f ca="1"/>
        <v>#N/A</v>
      </c>
      <c r="AB252" t="e">
        <f ca="1"/>
        <v>#N/A</v>
      </c>
      <c r="AD252" s="2">
        <f t="shared" ca="1" si="32"/>
        <v>0</v>
      </c>
      <c r="AE252">
        <f t="shared" ca="1" si="33"/>
        <v>0</v>
      </c>
      <c r="AG252" s="63" t="e">
        <f t="shared" ca="1" si="37"/>
        <v>#N/A</v>
      </c>
      <c r="AH252" s="63" t="e">
        <f t="shared" ca="1" si="38"/>
        <v>#N/A</v>
      </c>
      <c r="AI252" s="3" t="e">
        <f t="shared" ca="1" si="39"/>
        <v>#N/A</v>
      </c>
    </row>
    <row r="253" spans="7:35">
      <c r="G253" s="3">
        <f t="shared" ca="1" si="34"/>
        <v>126</v>
      </c>
      <c r="H253" s="95">
        <f t="shared" ca="1" si="36"/>
        <v>45416</v>
      </c>
      <c r="I253" s="119">
        <f ca="1">HLOOKUP($H$5,'Met Data'!$A$2:$F$368,G253,FALSE)</f>
        <v>13.9966666666666</v>
      </c>
      <c r="J253" s="119">
        <f ca="1">HLOOKUP($H$5,'Met Data'!$H$2:$M$368,G253,FALSE)*L253</f>
        <v>3.2548387096774101</v>
      </c>
      <c r="K253" s="96">
        <f ca="1">HLOOKUP($H$5,'Met Data'!$O$2:$T$368,G253,FALSE)</f>
        <v>1.9813737718090501</v>
      </c>
      <c r="L253">
        <f t="shared" ca="1" si="30"/>
        <v>1</v>
      </c>
      <c r="N253" t="e">
        <f t="shared" ca="1" si="35"/>
        <v>#N/A</v>
      </c>
      <c r="O253" t="e">
        <f t="shared" ca="1" si="31"/>
        <v>#N/A</v>
      </c>
      <c r="P253" s="2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W253" t="e">
        <f ca="1"/>
        <v>#N/A</v>
      </c>
      <c r="X253" t="e">
        <f ca="1"/>
        <v>#N/A</v>
      </c>
      <c r="Y253" t="e">
        <f ca="1"/>
        <v>#N/A</v>
      </c>
      <c r="Z253" t="e">
        <f ca="1"/>
        <v>#N/A</v>
      </c>
      <c r="AA253" t="e">
        <f ca="1"/>
        <v>#N/A</v>
      </c>
      <c r="AB253" t="e">
        <f ca="1"/>
        <v>#N/A</v>
      </c>
      <c r="AD253" s="2">
        <f t="shared" ca="1" si="32"/>
        <v>0</v>
      </c>
      <c r="AE253">
        <f t="shared" ca="1" si="33"/>
        <v>0</v>
      </c>
      <c r="AG253" s="63" t="e">
        <f t="shared" ca="1" si="37"/>
        <v>#N/A</v>
      </c>
      <c r="AH253" s="63" t="e">
        <f t="shared" ca="1" si="38"/>
        <v>#N/A</v>
      </c>
      <c r="AI253" s="3" t="e">
        <f t="shared" ca="1" si="39"/>
        <v>#N/A</v>
      </c>
    </row>
    <row r="254" spans="7:35">
      <c r="G254" s="3">
        <f t="shared" ca="1" si="34"/>
        <v>127</v>
      </c>
      <c r="H254" s="95">
        <f t="shared" ca="1" si="36"/>
        <v>45417</v>
      </c>
      <c r="I254" s="119">
        <f ca="1">HLOOKUP($H$5,'Met Data'!$A$2:$F$368,G254,FALSE)</f>
        <v>14.1596774193548</v>
      </c>
      <c r="J254" s="119">
        <f ca="1">HLOOKUP($H$5,'Met Data'!$H$2:$M$368,G254,FALSE)*L254</f>
        <v>3.4483870967741899</v>
      </c>
      <c r="K254" s="96">
        <f ca="1">HLOOKUP($H$5,'Met Data'!$O$2:$T$368,G254,FALSE)</f>
        <v>1.78778032014411</v>
      </c>
      <c r="L254">
        <f t="shared" ca="1" si="30"/>
        <v>1</v>
      </c>
      <c r="N254" t="e">
        <f t="shared" ca="1" si="35"/>
        <v>#N/A</v>
      </c>
      <c r="O254" t="e">
        <f t="shared" ca="1" si="31"/>
        <v>#N/A</v>
      </c>
      <c r="P254" s="2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W254" t="e">
        <f ca="1"/>
        <v>#N/A</v>
      </c>
      <c r="X254" t="e">
        <f ca="1"/>
        <v>#N/A</v>
      </c>
      <c r="Y254" t="e">
        <f ca="1"/>
        <v>#N/A</v>
      </c>
      <c r="Z254" t="e">
        <f ca="1"/>
        <v>#N/A</v>
      </c>
      <c r="AA254" t="e">
        <f ca="1"/>
        <v>#N/A</v>
      </c>
      <c r="AB254" t="e">
        <f ca="1"/>
        <v>#N/A</v>
      </c>
      <c r="AD254" s="2">
        <f t="shared" ca="1" si="32"/>
        <v>0</v>
      </c>
      <c r="AE254">
        <f t="shared" ca="1" si="33"/>
        <v>0</v>
      </c>
      <c r="AG254" s="63" t="e">
        <f t="shared" ca="1" si="37"/>
        <v>#N/A</v>
      </c>
      <c r="AH254" s="63" t="e">
        <f t="shared" ca="1" si="38"/>
        <v>#N/A</v>
      </c>
      <c r="AI254" s="3" t="e">
        <f t="shared" ca="1" si="39"/>
        <v>#N/A</v>
      </c>
    </row>
    <row r="255" spans="7:35">
      <c r="G255" s="3">
        <f t="shared" ca="1" si="34"/>
        <v>128</v>
      </c>
      <c r="H255" s="95">
        <f t="shared" ca="1" si="36"/>
        <v>45418</v>
      </c>
      <c r="I255" s="119">
        <f ca="1">HLOOKUP($H$5,'Met Data'!$A$2:$F$368,G255,FALSE)</f>
        <v>13.8403225806451</v>
      </c>
      <c r="J255" s="119">
        <f ca="1">HLOOKUP($H$5,'Met Data'!$H$2:$M$368,G255,FALSE)*L255</f>
        <v>1.8387096774193501</v>
      </c>
      <c r="K255" s="96">
        <f ca="1">HLOOKUP($H$5,'Met Data'!$O$2:$T$368,G255,FALSE)</f>
        <v>1.87782016455675</v>
      </c>
      <c r="L255">
        <f t="shared" ca="1" si="30"/>
        <v>1</v>
      </c>
      <c r="N255" t="e">
        <f t="shared" ca="1" si="35"/>
        <v>#N/A</v>
      </c>
      <c r="O255" t="e">
        <f t="shared" ca="1" si="31"/>
        <v>#N/A</v>
      </c>
      <c r="P255" s="2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W255" t="e">
        <f ca="1"/>
        <v>#N/A</v>
      </c>
      <c r="X255" t="e">
        <f ca="1"/>
        <v>#N/A</v>
      </c>
      <c r="Y255" t="e">
        <f ca="1"/>
        <v>#N/A</v>
      </c>
      <c r="Z255" t="e">
        <f ca="1"/>
        <v>#N/A</v>
      </c>
      <c r="AA255" t="e">
        <f ca="1"/>
        <v>#N/A</v>
      </c>
      <c r="AB255" t="e">
        <f ca="1"/>
        <v>#N/A</v>
      </c>
      <c r="AD255" s="2">
        <f t="shared" ca="1" si="32"/>
        <v>0</v>
      </c>
      <c r="AE255">
        <f t="shared" ca="1" si="33"/>
        <v>0</v>
      </c>
      <c r="AG255" s="63" t="e">
        <f t="shared" ca="1" si="37"/>
        <v>#N/A</v>
      </c>
      <c r="AH255" s="63" t="e">
        <f t="shared" ca="1" si="38"/>
        <v>#N/A</v>
      </c>
      <c r="AI255" s="3" t="e">
        <f t="shared" ca="1" si="39"/>
        <v>#N/A</v>
      </c>
    </row>
    <row r="256" spans="7:35">
      <c r="G256" s="3">
        <f t="shared" ca="1" si="34"/>
        <v>129</v>
      </c>
      <c r="H256" s="95">
        <f t="shared" ca="1" si="36"/>
        <v>45419</v>
      </c>
      <c r="I256" s="119">
        <f ca="1">HLOOKUP($H$5,'Met Data'!$A$2:$F$368,G256,FALSE)</f>
        <v>13.5774193548387</v>
      </c>
      <c r="J256" s="119">
        <f ca="1">HLOOKUP($H$5,'Met Data'!$H$2:$M$368,G256,FALSE)*L256</f>
        <v>3.4064516129032198</v>
      </c>
      <c r="K256" s="96">
        <f ca="1">HLOOKUP($H$5,'Met Data'!$O$2:$T$368,G256,FALSE)</f>
        <v>1.84976774954056</v>
      </c>
      <c r="L256">
        <f t="shared" ca="1" si="30"/>
        <v>1</v>
      </c>
      <c r="N256" t="e">
        <f t="shared" ca="1" si="35"/>
        <v>#N/A</v>
      </c>
      <c r="O256" t="e">
        <f t="shared" ca="1" si="31"/>
        <v>#N/A</v>
      </c>
      <c r="P256" s="2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W256" t="e">
        <f ca="1"/>
        <v>#N/A</v>
      </c>
      <c r="X256" t="e">
        <f ca="1"/>
        <v>#N/A</v>
      </c>
      <c r="Y256" t="e">
        <f ca="1"/>
        <v>#N/A</v>
      </c>
      <c r="Z256" t="e">
        <f ca="1"/>
        <v>#N/A</v>
      </c>
      <c r="AA256" t="e">
        <f ca="1"/>
        <v>#N/A</v>
      </c>
      <c r="AB256" t="e">
        <f ca="1"/>
        <v>#N/A</v>
      </c>
      <c r="AD256" s="2">
        <f t="shared" ca="1" si="32"/>
        <v>0</v>
      </c>
      <c r="AE256">
        <f t="shared" ca="1" si="33"/>
        <v>0</v>
      </c>
      <c r="AG256" s="63" t="e">
        <f t="shared" ca="1" si="37"/>
        <v>#N/A</v>
      </c>
      <c r="AH256" s="63" t="e">
        <f t="shared" ca="1" si="38"/>
        <v>#N/A</v>
      </c>
      <c r="AI256" s="3" t="e">
        <f t="shared" ca="1" si="39"/>
        <v>#N/A</v>
      </c>
    </row>
    <row r="257" spans="7:35">
      <c r="G257" s="3">
        <f t="shared" ca="1" si="34"/>
        <v>130</v>
      </c>
      <c r="H257" s="95">
        <f t="shared" ca="1" si="36"/>
        <v>45420</v>
      </c>
      <c r="I257" s="119">
        <f ca="1">HLOOKUP($H$5,'Met Data'!$A$2:$F$368,G257,FALSE)</f>
        <v>13.1612903225806</v>
      </c>
      <c r="J257" s="119">
        <f ca="1">HLOOKUP($H$5,'Met Data'!$H$2:$M$368,G257,FALSE)*L257</f>
        <v>2.3258064516129</v>
      </c>
      <c r="K257" s="96">
        <f ca="1">HLOOKUP($H$5,'Met Data'!$O$2:$T$368,G257,FALSE)</f>
        <v>1.7318330822852801</v>
      </c>
      <c r="L257">
        <f t="shared" ca="1" si="30"/>
        <v>1</v>
      </c>
      <c r="N257" t="e">
        <f t="shared" ca="1" si="35"/>
        <v>#N/A</v>
      </c>
      <c r="O257" t="e">
        <f t="shared" ca="1" si="31"/>
        <v>#N/A</v>
      </c>
      <c r="P257" s="2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W257" t="e">
        <f ca="1"/>
        <v>#N/A</v>
      </c>
      <c r="X257" t="e">
        <f ca="1"/>
        <v>#N/A</v>
      </c>
      <c r="Y257" t="e">
        <f ca="1"/>
        <v>#N/A</v>
      </c>
      <c r="Z257" t="e">
        <f ca="1"/>
        <v>#N/A</v>
      </c>
      <c r="AA257" t="e">
        <f ca="1"/>
        <v>#N/A</v>
      </c>
      <c r="AB257" t="e">
        <f ca="1"/>
        <v>#N/A</v>
      </c>
      <c r="AD257" s="2">
        <f t="shared" ca="1" si="32"/>
        <v>0</v>
      </c>
      <c r="AE257">
        <f t="shared" ca="1" si="33"/>
        <v>0</v>
      </c>
      <c r="AG257" s="63" t="e">
        <f t="shared" ca="1" si="37"/>
        <v>#N/A</v>
      </c>
      <c r="AH257" s="63" t="e">
        <f t="shared" ca="1" si="38"/>
        <v>#N/A</v>
      </c>
      <c r="AI257" s="3" t="e">
        <f t="shared" ca="1" si="39"/>
        <v>#N/A</v>
      </c>
    </row>
    <row r="258" spans="7:35">
      <c r="G258" s="3">
        <f t="shared" ca="1" si="34"/>
        <v>131</v>
      </c>
      <c r="H258" s="95">
        <f t="shared" ca="1" si="36"/>
        <v>45421</v>
      </c>
      <c r="I258" s="119">
        <f ca="1">HLOOKUP($H$5,'Met Data'!$A$2:$F$368,G258,FALSE)</f>
        <v>13.291935483870899</v>
      </c>
      <c r="J258" s="119">
        <f ca="1">HLOOKUP($H$5,'Met Data'!$H$2:$M$368,G258,FALSE)*L258</f>
        <v>3.1733333333333298</v>
      </c>
      <c r="K258" s="96">
        <f ca="1">HLOOKUP($H$5,'Met Data'!$O$2:$T$368,G258,FALSE)</f>
        <v>1.6655372035048599</v>
      </c>
      <c r="L258">
        <f t="shared" ca="1" si="30"/>
        <v>1</v>
      </c>
      <c r="N258" t="e">
        <f t="shared" ca="1" si="35"/>
        <v>#N/A</v>
      </c>
      <c r="O258" t="e">
        <f t="shared" ca="1" si="31"/>
        <v>#N/A</v>
      </c>
      <c r="P258" s="2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W258" t="e">
        <f ca="1"/>
        <v>#N/A</v>
      </c>
      <c r="X258" t="e">
        <f ca="1"/>
        <v>#N/A</v>
      </c>
      <c r="Y258" t="e">
        <f ca="1"/>
        <v>#N/A</v>
      </c>
      <c r="Z258" t="e">
        <f ca="1"/>
        <v>#N/A</v>
      </c>
      <c r="AA258" t="e">
        <f ca="1"/>
        <v>#N/A</v>
      </c>
      <c r="AB258" t="e">
        <f ca="1"/>
        <v>#N/A</v>
      </c>
      <c r="AD258" s="2">
        <f t="shared" ca="1" si="32"/>
        <v>0</v>
      </c>
      <c r="AE258">
        <f t="shared" ca="1" si="33"/>
        <v>0</v>
      </c>
      <c r="AG258" s="63" t="e">
        <f t="shared" ca="1" si="37"/>
        <v>#N/A</v>
      </c>
      <c r="AH258" s="63" t="e">
        <f t="shared" ca="1" si="38"/>
        <v>#N/A</v>
      </c>
      <c r="AI258" s="3" t="e">
        <f t="shared" ca="1" si="39"/>
        <v>#N/A</v>
      </c>
    </row>
    <row r="259" spans="7:35">
      <c r="G259" s="3">
        <f t="shared" ca="1" si="34"/>
        <v>132</v>
      </c>
      <c r="H259" s="95">
        <f t="shared" ca="1" si="36"/>
        <v>45422</v>
      </c>
      <c r="I259" s="119">
        <f ca="1">HLOOKUP($H$5,'Met Data'!$A$2:$F$368,G259,FALSE)</f>
        <v>13.5774193548387</v>
      </c>
      <c r="J259" s="119">
        <f ca="1">HLOOKUP($H$5,'Met Data'!$H$2:$M$368,G259,FALSE)*L259</f>
        <v>2.4225806451612901</v>
      </c>
      <c r="K259" s="96">
        <f ca="1">HLOOKUP($H$5,'Met Data'!$O$2:$T$368,G259,FALSE)</f>
        <v>1.82340706114468</v>
      </c>
      <c r="L259">
        <f t="shared" ca="1" si="30"/>
        <v>1</v>
      </c>
      <c r="N259" t="e">
        <f t="shared" ca="1" si="35"/>
        <v>#N/A</v>
      </c>
      <c r="O259" t="e">
        <f t="shared" ca="1" si="31"/>
        <v>#N/A</v>
      </c>
      <c r="P259" s="2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W259" t="e">
        <f ca="1"/>
        <v>#N/A</v>
      </c>
      <c r="X259" t="e">
        <f ca="1"/>
        <v>#N/A</v>
      </c>
      <c r="Y259" t="e">
        <f ca="1"/>
        <v>#N/A</v>
      </c>
      <c r="Z259" t="e">
        <f ca="1"/>
        <v>#N/A</v>
      </c>
      <c r="AA259" t="e">
        <f ca="1"/>
        <v>#N/A</v>
      </c>
      <c r="AB259" t="e">
        <f ca="1"/>
        <v>#N/A</v>
      </c>
      <c r="AD259" s="2">
        <f t="shared" ca="1" si="32"/>
        <v>0</v>
      </c>
      <c r="AE259">
        <f t="shared" ca="1" si="33"/>
        <v>0</v>
      </c>
      <c r="AG259" s="63" t="e">
        <f t="shared" ca="1" si="37"/>
        <v>#N/A</v>
      </c>
      <c r="AH259" s="63" t="e">
        <f t="shared" ca="1" si="38"/>
        <v>#N/A</v>
      </c>
      <c r="AI259" s="3" t="e">
        <f t="shared" ca="1" si="39"/>
        <v>#N/A</v>
      </c>
    </row>
    <row r="260" spans="7:35">
      <c r="G260" s="3">
        <f t="shared" ca="1" si="34"/>
        <v>133</v>
      </c>
      <c r="H260" s="95">
        <f t="shared" ca="1" si="36"/>
        <v>45423</v>
      </c>
      <c r="I260" s="119">
        <f ca="1">HLOOKUP($H$5,'Met Data'!$A$2:$F$368,G260,FALSE)</f>
        <v>13.898387096774099</v>
      </c>
      <c r="J260" s="119">
        <f ca="1">HLOOKUP($H$5,'Met Data'!$H$2:$M$368,G260,FALSE)*L260</f>
        <v>3.56129032258064</v>
      </c>
      <c r="K260" s="96">
        <f ca="1">HLOOKUP($H$5,'Met Data'!$O$2:$T$368,G260,FALSE)</f>
        <v>1.58246048642455</v>
      </c>
      <c r="L260">
        <f t="shared" ca="1" si="30"/>
        <v>1</v>
      </c>
      <c r="N260" t="e">
        <f t="shared" ca="1" si="35"/>
        <v>#N/A</v>
      </c>
      <c r="O260" t="e">
        <f t="shared" ca="1" si="31"/>
        <v>#N/A</v>
      </c>
      <c r="P260" s="2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W260" t="e">
        <f ca="1"/>
        <v>#N/A</v>
      </c>
      <c r="X260" t="e">
        <f ca="1"/>
        <v>#N/A</v>
      </c>
      <c r="Y260" t="e">
        <f ca="1"/>
        <v>#N/A</v>
      </c>
      <c r="Z260" t="e">
        <f ca="1"/>
        <v>#N/A</v>
      </c>
      <c r="AA260" t="e">
        <f ca="1"/>
        <v>#N/A</v>
      </c>
      <c r="AB260" t="e">
        <f ca="1"/>
        <v>#N/A</v>
      </c>
      <c r="AD260" s="2">
        <f t="shared" ca="1" si="32"/>
        <v>0</v>
      </c>
      <c r="AE260">
        <f t="shared" ca="1" si="33"/>
        <v>0</v>
      </c>
      <c r="AG260" s="63" t="e">
        <f t="shared" ca="1" si="37"/>
        <v>#N/A</v>
      </c>
      <c r="AH260" s="63" t="e">
        <f t="shared" ca="1" si="38"/>
        <v>#N/A</v>
      </c>
      <c r="AI260" s="3" t="e">
        <f t="shared" ca="1" si="39"/>
        <v>#N/A</v>
      </c>
    </row>
    <row r="261" spans="7:35">
      <c r="G261" s="3">
        <f t="shared" ca="1" si="34"/>
        <v>134</v>
      </c>
      <c r="H261" s="95">
        <f t="shared" ca="1" si="36"/>
        <v>45424</v>
      </c>
      <c r="I261" s="119">
        <f ca="1">HLOOKUP($H$5,'Met Data'!$A$2:$F$368,G261,FALSE)</f>
        <v>13.8193548387096</v>
      </c>
      <c r="J261" s="119">
        <f ca="1">HLOOKUP($H$5,'Met Data'!$H$2:$M$368,G261,FALSE)*L261</f>
        <v>3.2677419354838699</v>
      </c>
      <c r="K261" s="96">
        <f ca="1">HLOOKUP($H$5,'Met Data'!$O$2:$T$368,G261,FALSE)</f>
        <v>1.6419912913333301</v>
      </c>
      <c r="L261">
        <f t="shared" ca="1" si="30"/>
        <v>1</v>
      </c>
      <c r="N261" t="e">
        <f t="shared" ca="1" si="35"/>
        <v>#N/A</v>
      </c>
      <c r="O261" t="e">
        <f t="shared" ca="1" si="31"/>
        <v>#N/A</v>
      </c>
      <c r="P261" s="2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W261" t="e">
        <f ca="1"/>
        <v>#N/A</v>
      </c>
      <c r="X261" t="e">
        <f ca="1"/>
        <v>#N/A</v>
      </c>
      <c r="Y261" t="e">
        <f ca="1"/>
        <v>#N/A</v>
      </c>
      <c r="Z261" t="e">
        <f ca="1"/>
        <v>#N/A</v>
      </c>
      <c r="AA261" t="e">
        <f ca="1"/>
        <v>#N/A</v>
      </c>
      <c r="AB261" t="e">
        <f ca="1"/>
        <v>#N/A</v>
      </c>
      <c r="AD261" s="2">
        <f t="shared" ca="1" si="32"/>
        <v>0</v>
      </c>
      <c r="AE261">
        <f t="shared" ca="1" si="33"/>
        <v>0</v>
      </c>
      <c r="AG261" s="63" t="e">
        <f t="shared" ca="1" si="37"/>
        <v>#N/A</v>
      </c>
      <c r="AH261" s="63" t="e">
        <f t="shared" ca="1" si="38"/>
        <v>#N/A</v>
      </c>
      <c r="AI261" s="3" t="e">
        <f t="shared" ca="1" si="39"/>
        <v>#N/A</v>
      </c>
    </row>
    <row r="262" spans="7:35">
      <c r="G262" s="3">
        <f t="shared" ca="1" si="34"/>
        <v>135</v>
      </c>
      <c r="H262" s="95">
        <f t="shared" ca="1" si="36"/>
        <v>45425</v>
      </c>
      <c r="I262" s="119">
        <f ca="1">HLOOKUP($H$5,'Met Data'!$A$2:$F$368,G262,FALSE)</f>
        <v>13.49</v>
      </c>
      <c r="J262" s="119">
        <f ca="1">HLOOKUP($H$5,'Met Data'!$H$2:$M$368,G262,FALSE)*L262</f>
        <v>2.96129032258064</v>
      </c>
      <c r="K262" s="96">
        <f ca="1">HLOOKUP($H$5,'Met Data'!$O$2:$T$368,G262,FALSE)</f>
        <v>1.7493116405284199</v>
      </c>
      <c r="L262">
        <f t="shared" ca="1" si="30"/>
        <v>1</v>
      </c>
      <c r="N262" t="e">
        <f t="shared" ca="1" si="35"/>
        <v>#N/A</v>
      </c>
      <c r="O262" t="e">
        <f t="shared" ca="1" si="31"/>
        <v>#N/A</v>
      </c>
      <c r="P262" s="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W262" t="e">
        <f ca="1"/>
        <v>#N/A</v>
      </c>
      <c r="X262" t="e">
        <f ca="1"/>
        <v>#N/A</v>
      </c>
      <c r="Y262" t="e">
        <f ca="1"/>
        <v>#N/A</v>
      </c>
      <c r="Z262" t="e">
        <f ca="1"/>
        <v>#N/A</v>
      </c>
      <c r="AA262" t="e">
        <f ca="1"/>
        <v>#N/A</v>
      </c>
      <c r="AB262" t="e">
        <f ca="1"/>
        <v>#N/A</v>
      </c>
      <c r="AD262" s="2">
        <f t="shared" ca="1" si="32"/>
        <v>0</v>
      </c>
      <c r="AE262">
        <f t="shared" ca="1" si="33"/>
        <v>0</v>
      </c>
      <c r="AG262" s="63" t="e">
        <f t="shared" ca="1" si="37"/>
        <v>#N/A</v>
      </c>
      <c r="AH262" s="63" t="e">
        <f t="shared" ca="1" si="38"/>
        <v>#N/A</v>
      </c>
      <c r="AI262" s="3" t="e">
        <f t="shared" ca="1" si="39"/>
        <v>#N/A</v>
      </c>
    </row>
    <row r="263" spans="7:35">
      <c r="G263" s="3">
        <f t="shared" ca="1" si="34"/>
        <v>136</v>
      </c>
      <c r="H263" s="95">
        <f t="shared" ca="1" si="36"/>
        <v>45426</v>
      </c>
      <c r="I263" s="119">
        <f ca="1">HLOOKUP($H$5,'Met Data'!$A$2:$F$368,G263,FALSE)</f>
        <v>13.408064516129</v>
      </c>
      <c r="J263" s="119">
        <f ca="1">HLOOKUP($H$5,'Met Data'!$H$2:$M$368,G263,FALSE)*L263</f>
        <v>3.9032258064516099</v>
      </c>
      <c r="K263" s="96">
        <f ca="1">HLOOKUP($H$5,'Met Data'!$O$2:$T$368,G263,FALSE)</f>
        <v>1.5662445189592999</v>
      </c>
      <c r="L263">
        <f t="shared" ref="L263:L326" ca="1" si="40">IF(H263&lt;$B$32,$J$4,$J$5)</f>
        <v>1</v>
      </c>
      <c r="N263" t="e">
        <f t="shared" ca="1" si="35"/>
        <v>#N/A</v>
      </c>
      <c r="O263" t="e">
        <f t="shared" ref="O263:O326" ca="1" si="41">AND(IF(P263&gt;($P$3-1),TRUE,FALSE),IF(P263&lt;($P$4+1),TRUE,FALSE))</f>
        <v>#N/A</v>
      </c>
      <c r="P263" s="2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W263" t="e">
        <f ca="1"/>
        <v>#N/A</v>
      </c>
      <c r="X263" t="e">
        <f ca="1"/>
        <v>#N/A</v>
      </c>
      <c r="Y263" t="e">
        <f ca="1"/>
        <v>#N/A</v>
      </c>
      <c r="Z263" t="e">
        <f ca="1"/>
        <v>#N/A</v>
      </c>
      <c r="AA263" t="e">
        <f ca="1"/>
        <v>#N/A</v>
      </c>
      <c r="AB263" t="e">
        <f ca="1"/>
        <v>#N/A</v>
      </c>
      <c r="AD263" s="2">
        <f t="shared" ref="AD263:AD326" ca="1" si="42">IFERROR(P263,$AD$5)</f>
        <v>0</v>
      </c>
      <c r="AE263">
        <f t="shared" ref="AE263:AE326" ca="1" si="43">IFERROR(U263,0)</f>
        <v>0</v>
      </c>
      <c r="AG263" s="63" t="e">
        <f t="shared" ca="1" si="37"/>
        <v>#N/A</v>
      </c>
      <c r="AH263" s="63" t="e">
        <f t="shared" ca="1" si="38"/>
        <v>#N/A</v>
      </c>
      <c r="AI263" s="3" t="e">
        <f t="shared" ca="1" si="39"/>
        <v>#N/A</v>
      </c>
    </row>
    <row r="264" spans="7:35">
      <c r="G264" s="3">
        <f t="shared" ref="G264:G327" ca="1" si="44">H264-DATE(YEAR(H264),1,0)+1</f>
        <v>137</v>
      </c>
      <c r="H264" s="95">
        <f t="shared" ca="1" si="36"/>
        <v>45427</v>
      </c>
      <c r="I264" s="119">
        <f ca="1">HLOOKUP($H$5,'Met Data'!$A$2:$F$368,G264,FALSE)</f>
        <v>13.4193548387096</v>
      </c>
      <c r="J264" s="119">
        <f ca="1">HLOOKUP($H$5,'Met Data'!$H$2:$M$368,G264,FALSE)*L264</f>
        <v>4.1322580645161198</v>
      </c>
      <c r="K264" s="96">
        <f ca="1">HLOOKUP($H$5,'Met Data'!$O$2:$T$368,G264,FALSE)</f>
        <v>1.7909891224832299</v>
      </c>
      <c r="L264">
        <f t="shared" ca="1" si="40"/>
        <v>1</v>
      </c>
      <c r="N264" t="e">
        <f t="shared" ref="N264:N327" ca="1" si="45">IF(P264&lt;$P$4,TRUE,FALSE)</f>
        <v>#N/A</v>
      </c>
      <c r="O264" t="e">
        <f t="shared" ca="1" si="41"/>
        <v>#N/A</v>
      </c>
      <c r="P264" s="2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W264" t="e">
        <f ca="1"/>
        <v>#N/A</v>
      </c>
      <c r="X264" t="e">
        <f ca="1"/>
        <v>#N/A</v>
      </c>
      <c r="Y264" t="e">
        <f ca="1"/>
        <v>#N/A</v>
      </c>
      <c r="Z264" t="e">
        <f ca="1"/>
        <v>#N/A</v>
      </c>
      <c r="AA264" t="e">
        <f ca="1"/>
        <v>#N/A</v>
      </c>
      <c r="AB264" t="e">
        <f ca="1"/>
        <v>#N/A</v>
      </c>
      <c r="AD264" s="2">
        <f t="shared" ca="1" si="42"/>
        <v>0</v>
      </c>
      <c r="AE264">
        <f t="shared" ca="1" si="43"/>
        <v>0</v>
      </c>
      <c r="AG264" s="63" t="e">
        <f t="shared" ca="1" si="37"/>
        <v>#N/A</v>
      </c>
      <c r="AH264" s="63" t="e">
        <f t="shared" ca="1" si="38"/>
        <v>#N/A</v>
      </c>
      <c r="AI264" s="3" t="e">
        <f t="shared" ca="1" si="39"/>
        <v>#N/A</v>
      </c>
    </row>
    <row r="265" spans="7:35">
      <c r="G265" s="3">
        <f t="shared" ca="1" si="44"/>
        <v>138</v>
      </c>
      <c r="H265" s="95">
        <f t="shared" ref="H265:H328" ca="1" si="46">H264+1</f>
        <v>45428</v>
      </c>
      <c r="I265" s="119">
        <f ca="1">HLOOKUP($H$5,'Met Data'!$A$2:$F$368,G265,FALSE)</f>
        <v>13.0177419354838</v>
      </c>
      <c r="J265" s="119">
        <f ca="1">HLOOKUP($H$5,'Met Data'!$H$2:$M$368,G265,FALSE)*L265</f>
        <v>3.8645161290322498</v>
      </c>
      <c r="K265" s="96">
        <f ca="1">HLOOKUP($H$5,'Met Data'!$O$2:$T$368,G265,FALSE)</f>
        <v>1.67932593217038</v>
      </c>
      <c r="L265">
        <f t="shared" ca="1" si="40"/>
        <v>1</v>
      </c>
      <c r="N265" t="e">
        <f t="shared" ca="1" si="45"/>
        <v>#N/A</v>
      </c>
      <c r="O265" t="e">
        <f t="shared" ca="1" si="41"/>
        <v>#N/A</v>
      </c>
      <c r="P265" s="2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W265" t="e">
        <f ca="1"/>
        <v>#N/A</v>
      </c>
      <c r="X265" t="e">
        <f ca="1"/>
        <v>#N/A</v>
      </c>
      <c r="Y265" t="e">
        <f ca="1"/>
        <v>#N/A</v>
      </c>
      <c r="Z265" t="e">
        <f ca="1"/>
        <v>#N/A</v>
      </c>
      <c r="AA265" t="e">
        <f ca="1"/>
        <v>#N/A</v>
      </c>
      <c r="AB265" t="e">
        <f ca="1"/>
        <v>#N/A</v>
      </c>
      <c r="AD265" s="2">
        <f t="shared" ca="1" si="42"/>
        <v>0</v>
      </c>
      <c r="AE265">
        <f t="shared" ca="1" si="43"/>
        <v>0</v>
      </c>
      <c r="AG265" s="63" t="e">
        <f t="shared" ca="1" si="37"/>
        <v>#N/A</v>
      </c>
      <c r="AH265" s="63" t="e">
        <f t="shared" ca="1" si="38"/>
        <v>#N/A</v>
      </c>
      <c r="AI265" s="3" t="e">
        <f t="shared" ca="1" si="39"/>
        <v>#N/A</v>
      </c>
    </row>
    <row r="266" spans="7:35">
      <c r="G266" s="3">
        <f t="shared" ca="1" si="44"/>
        <v>139</v>
      </c>
      <c r="H266" s="95">
        <f t="shared" ca="1" si="46"/>
        <v>45429</v>
      </c>
      <c r="I266" s="119">
        <f ca="1">HLOOKUP($H$5,'Met Data'!$A$2:$F$368,G266,FALSE)</f>
        <v>12.8774193548387</v>
      </c>
      <c r="J266" s="119">
        <f ca="1">HLOOKUP($H$5,'Met Data'!$H$2:$M$368,G266,FALSE)*L266</f>
        <v>3.7967741935483801</v>
      </c>
      <c r="K266" s="96">
        <f ca="1">HLOOKUP($H$5,'Met Data'!$O$2:$T$368,G266,FALSE)</f>
        <v>1.7647102566828801</v>
      </c>
      <c r="L266">
        <f t="shared" ca="1" si="40"/>
        <v>1</v>
      </c>
      <c r="N266" t="e">
        <f t="shared" ca="1" si="45"/>
        <v>#N/A</v>
      </c>
      <c r="O266" t="e">
        <f t="shared" ca="1" si="41"/>
        <v>#N/A</v>
      </c>
      <c r="P266" s="2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W266" t="e">
        <f ca="1"/>
        <v>#N/A</v>
      </c>
      <c r="X266" t="e">
        <f ca="1"/>
        <v>#N/A</v>
      </c>
      <c r="Y266" t="e">
        <f ca="1"/>
        <v>#N/A</v>
      </c>
      <c r="Z266" t="e">
        <f ca="1"/>
        <v>#N/A</v>
      </c>
      <c r="AA266" t="e">
        <f ca="1"/>
        <v>#N/A</v>
      </c>
      <c r="AB266" t="e">
        <f ca="1"/>
        <v>#N/A</v>
      </c>
      <c r="AD266" s="2">
        <f t="shared" ca="1" si="42"/>
        <v>0</v>
      </c>
      <c r="AE266">
        <f t="shared" ca="1" si="43"/>
        <v>0</v>
      </c>
      <c r="AG266" s="63" t="e">
        <f t="shared" ca="1" si="37"/>
        <v>#N/A</v>
      </c>
      <c r="AH266" s="63" t="e">
        <f t="shared" ca="1" si="38"/>
        <v>#N/A</v>
      </c>
      <c r="AI266" s="3" t="e">
        <f t="shared" ca="1" si="39"/>
        <v>#N/A</v>
      </c>
    </row>
    <row r="267" spans="7:35">
      <c r="G267" s="3">
        <f t="shared" ca="1" si="44"/>
        <v>140</v>
      </c>
      <c r="H267" s="95">
        <f t="shared" ca="1" si="46"/>
        <v>45430</v>
      </c>
      <c r="I267" s="119">
        <f ca="1">HLOOKUP($H$5,'Met Data'!$A$2:$F$368,G267,FALSE)</f>
        <v>13.3629032258064</v>
      </c>
      <c r="J267" s="119">
        <f ca="1">HLOOKUP($H$5,'Met Data'!$H$2:$M$368,G267,FALSE)*L267</f>
        <v>1.4774193548387</v>
      </c>
      <c r="K267" s="96">
        <f ca="1">HLOOKUP($H$5,'Met Data'!$O$2:$T$368,G267,FALSE)</f>
        <v>1.8502469543140301</v>
      </c>
      <c r="L267">
        <f t="shared" ca="1" si="40"/>
        <v>1</v>
      </c>
      <c r="N267" t="e">
        <f t="shared" ca="1" si="45"/>
        <v>#N/A</v>
      </c>
      <c r="O267" t="e">
        <f t="shared" ca="1" si="41"/>
        <v>#N/A</v>
      </c>
      <c r="P267" s="2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W267" t="e">
        <f ca="1"/>
        <v>#N/A</v>
      </c>
      <c r="X267" t="e">
        <f ca="1"/>
        <v>#N/A</v>
      </c>
      <c r="Y267" t="e">
        <f ca="1"/>
        <v>#N/A</v>
      </c>
      <c r="Z267" t="e">
        <f ca="1"/>
        <v>#N/A</v>
      </c>
      <c r="AA267" t="e">
        <f ca="1"/>
        <v>#N/A</v>
      </c>
      <c r="AB267" t="e">
        <f ca="1"/>
        <v>#N/A</v>
      </c>
      <c r="AD267" s="2">
        <f t="shared" ca="1" si="42"/>
        <v>0</v>
      </c>
      <c r="AE267">
        <f t="shared" ca="1" si="43"/>
        <v>0</v>
      </c>
      <c r="AG267" s="63" t="e">
        <f t="shared" ca="1" si="37"/>
        <v>#N/A</v>
      </c>
      <c r="AH267" s="63" t="e">
        <f t="shared" ca="1" si="38"/>
        <v>#N/A</v>
      </c>
      <c r="AI267" s="3" t="e">
        <f t="shared" ca="1" si="39"/>
        <v>#N/A</v>
      </c>
    </row>
    <row r="268" spans="7:35">
      <c r="G268" s="3">
        <f t="shared" ca="1" si="44"/>
        <v>141</v>
      </c>
      <c r="H268" s="95">
        <f t="shared" ca="1" si="46"/>
        <v>45431</v>
      </c>
      <c r="I268" s="119">
        <f ca="1">HLOOKUP($H$5,'Met Data'!$A$2:$F$368,G268,FALSE)</f>
        <v>13.314516129032199</v>
      </c>
      <c r="J268" s="119">
        <f ca="1">HLOOKUP($H$5,'Met Data'!$H$2:$M$368,G268,FALSE)*L268</f>
        <v>5.2193548387096698</v>
      </c>
      <c r="K268" s="96">
        <f ca="1">HLOOKUP($H$5,'Met Data'!$O$2:$T$368,G268,FALSE)</f>
        <v>1.4599096570605601</v>
      </c>
      <c r="L268">
        <f t="shared" ca="1" si="40"/>
        <v>1</v>
      </c>
      <c r="N268" t="e">
        <f t="shared" ca="1" si="45"/>
        <v>#N/A</v>
      </c>
      <c r="O268" t="e">
        <f t="shared" ca="1" si="41"/>
        <v>#N/A</v>
      </c>
      <c r="P268" s="2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W268" t="e">
        <f ca="1"/>
        <v>#N/A</v>
      </c>
      <c r="X268" t="e">
        <f ca="1"/>
        <v>#N/A</v>
      </c>
      <c r="Y268" t="e">
        <f ca="1"/>
        <v>#N/A</v>
      </c>
      <c r="Z268" t="e">
        <f ca="1"/>
        <v>#N/A</v>
      </c>
      <c r="AA268" t="e">
        <f ca="1"/>
        <v>#N/A</v>
      </c>
      <c r="AB268" t="e">
        <f ca="1"/>
        <v>#N/A</v>
      </c>
      <c r="AD268" s="2">
        <f t="shared" ca="1" si="42"/>
        <v>0</v>
      </c>
      <c r="AE268">
        <f t="shared" ca="1" si="43"/>
        <v>0</v>
      </c>
      <c r="AG268" s="63" t="e">
        <f t="shared" ref="AG268:AG331" ca="1" si="47">Q267+S268+T268+U268</f>
        <v>#N/A</v>
      </c>
      <c r="AH268" s="63" t="e">
        <f t="shared" ref="AH268:AH331" ca="1" si="48">Q268+R268+X268</f>
        <v>#N/A</v>
      </c>
      <c r="AI268" s="3" t="e">
        <f t="shared" ref="AI268:AI331" ca="1" si="49">AH268-AG268</f>
        <v>#N/A</v>
      </c>
    </row>
    <row r="269" spans="7:35">
      <c r="G269" s="3">
        <f t="shared" ca="1" si="44"/>
        <v>142</v>
      </c>
      <c r="H269" s="95">
        <f t="shared" ca="1" si="46"/>
        <v>45432</v>
      </c>
      <c r="I269" s="119">
        <f ca="1">HLOOKUP($H$5,'Met Data'!$A$2:$F$368,G269,FALSE)</f>
        <v>13.598387096774101</v>
      </c>
      <c r="J269" s="119">
        <f ca="1">HLOOKUP($H$5,'Met Data'!$H$2:$M$368,G269,FALSE)*L269</f>
        <v>5.1451612903225801</v>
      </c>
      <c r="K269" s="96">
        <f ca="1">HLOOKUP($H$5,'Met Data'!$O$2:$T$368,G269,FALSE)</f>
        <v>1.48780958137737</v>
      </c>
      <c r="L269">
        <f t="shared" ca="1" si="40"/>
        <v>1</v>
      </c>
      <c r="N269" t="e">
        <f t="shared" ca="1" si="45"/>
        <v>#N/A</v>
      </c>
      <c r="O269" t="e">
        <f t="shared" ca="1" si="41"/>
        <v>#N/A</v>
      </c>
      <c r="P269" s="2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W269" t="e">
        <f ca="1"/>
        <v>#N/A</v>
      </c>
      <c r="X269" t="e">
        <f ca="1"/>
        <v>#N/A</v>
      </c>
      <c r="Y269" t="e">
        <f ca="1"/>
        <v>#N/A</v>
      </c>
      <c r="Z269" t="e">
        <f ca="1"/>
        <v>#N/A</v>
      </c>
      <c r="AA269" t="e">
        <f ca="1"/>
        <v>#N/A</v>
      </c>
      <c r="AB269" t="e">
        <f ca="1"/>
        <v>#N/A</v>
      </c>
      <c r="AD269" s="2">
        <f t="shared" ca="1" si="42"/>
        <v>0</v>
      </c>
      <c r="AE269">
        <f t="shared" ca="1" si="43"/>
        <v>0</v>
      </c>
      <c r="AG269" s="63" t="e">
        <f t="shared" ca="1" si="47"/>
        <v>#N/A</v>
      </c>
      <c r="AH269" s="63" t="e">
        <f t="shared" ca="1" si="48"/>
        <v>#N/A</v>
      </c>
      <c r="AI269" s="3" t="e">
        <f t="shared" ca="1" si="49"/>
        <v>#N/A</v>
      </c>
    </row>
    <row r="270" spans="7:35">
      <c r="G270" s="3">
        <f t="shared" ca="1" si="44"/>
        <v>143</v>
      </c>
      <c r="H270" s="95">
        <f t="shared" ca="1" si="46"/>
        <v>45433</v>
      </c>
      <c r="I270" s="119">
        <f ca="1">HLOOKUP($H$5,'Met Data'!$A$2:$F$368,G270,FALSE)</f>
        <v>13.074193548387001</v>
      </c>
      <c r="J270" s="119">
        <f ca="1">HLOOKUP($H$5,'Met Data'!$H$2:$M$368,G270,FALSE)*L270</f>
        <v>4.73548387096774</v>
      </c>
      <c r="K270" s="96">
        <f ca="1">HLOOKUP($H$5,'Met Data'!$O$2:$T$368,G270,FALSE)</f>
        <v>1.4103441752322401</v>
      </c>
      <c r="L270">
        <f t="shared" ca="1" si="40"/>
        <v>1</v>
      </c>
      <c r="N270" t="e">
        <f t="shared" ca="1" si="45"/>
        <v>#N/A</v>
      </c>
      <c r="O270" t="e">
        <f t="shared" ca="1" si="41"/>
        <v>#N/A</v>
      </c>
      <c r="P270" s="2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W270" t="e">
        <f ca="1"/>
        <v>#N/A</v>
      </c>
      <c r="X270" t="e">
        <f ca="1"/>
        <v>#N/A</v>
      </c>
      <c r="Y270" t="e">
        <f ca="1"/>
        <v>#N/A</v>
      </c>
      <c r="Z270" t="e">
        <f ca="1"/>
        <v>#N/A</v>
      </c>
      <c r="AA270" t="e">
        <f ca="1"/>
        <v>#N/A</v>
      </c>
      <c r="AB270" t="e">
        <f ca="1"/>
        <v>#N/A</v>
      </c>
      <c r="AD270" s="2">
        <f t="shared" ca="1" si="42"/>
        <v>0</v>
      </c>
      <c r="AE270">
        <f t="shared" ca="1" si="43"/>
        <v>0</v>
      </c>
      <c r="AG270" s="63" t="e">
        <f t="shared" ca="1" si="47"/>
        <v>#N/A</v>
      </c>
      <c r="AH270" s="63" t="e">
        <f t="shared" ca="1" si="48"/>
        <v>#N/A</v>
      </c>
      <c r="AI270" s="3" t="e">
        <f t="shared" ca="1" si="49"/>
        <v>#N/A</v>
      </c>
    </row>
    <row r="271" spans="7:35">
      <c r="G271" s="3">
        <f t="shared" ca="1" si="44"/>
        <v>144</v>
      </c>
      <c r="H271" s="95">
        <f t="shared" ca="1" si="46"/>
        <v>45434</v>
      </c>
      <c r="I271" s="119">
        <f ca="1">HLOOKUP($H$5,'Met Data'!$A$2:$F$368,G271,FALSE)</f>
        <v>12.8338709677419</v>
      </c>
      <c r="J271" s="119">
        <f ca="1">HLOOKUP($H$5,'Met Data'!$H$2:$M$368,G271,FALSE)*L271</f>
        <v>7.7677419354838699</v>
      </c>
      <c r="K271" s="96">
        <f ca="1">HLOOKUP($H$5,'Met Data'!$O$2:$T$368,G271,FALSE)</f>
        <v>1.40773401519768</v>
      </c>
      <c r="L271">
        <f t="shared" ca="1" si="40"/>
        <v>1</v>
      </c>
      <c r="N271" t="e">
        <f t="shared" ca="1" si="45"/>
        <v>#N/A</v>
      </c>
      <c r="O271" t="e">
        <f t="shared" ca="1" si="41"/>
        <v>#N/A</v>
      </c>
      <c r="P271" s="2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W271" t="e">
        <f ca="1"/>
        <v>#N/A</v>
      </c>
      <c r="X271" t="e">
        <f ca="1"/>
        <v>#N/A</v>
      </c>
      <c r="Y271" t="e">
        <f ca="1"/>
        <v>#N/A</v>
      </c>
      <c r="Z271" t="e">
        <f ca="1"/>
        <v>#N/A</v>
      </c>
      <c r="AA271" t="e">
        <f ca="1"/>
        <v>#N/A</v>
      </c>
      <c r="AB271" t="e">
        <f ca="1"/>
        <v>#N/A</v>
      </c>
      <c r="AD271" s="2">
        <f t="shared" ca="1" si="42"/>
        <v>0</v>
      </c>
      <c r="AE271">
        <f t="shared" ca="1" si="43"/>
        <v>0</v>
      </c>
      <c r="AG271" s="63" t="e">
        <f t="shared" ca="1" si="47"/>
        <v>#N/A</v>
      </c>
      <c r="AH271" s="63" t="e">
        <f t="shared" ca="1" si="48"/>
        <v>#N/A</v>
      </c>
      <c r="AI271" s="3" t="e">
        <f t="shared" ca="1" si="49"/>
        <v>#N/A</v>
      </c>
    </row>
    <row r="272" spans="7:35">
      <c r="G272" s="3">
        <f t="shared" ca="1" si="44"/>
        <v>145</v>
      </c>
      <c r="H272" s="95">
        <f t="shared" ca="1" si="46"/>
        <v>45435</v>
      </c>
      <c r="I272" s="119">
        <f ca="1">HLOOKUP($H$5,'Met Data'!$A$2:$F$368,G272,FALSE)</f>
        <v>12.761290322580599</v>
      </c>
      <c r="J272" s="119">
        <f ca="1">HLOOKUP($H$5,'Met Data'!$H$2:$M$368,G272,FALSE)*L272</f>
        <v>5.3612903225806399</v>
      </c>
      <c r="K272" s="96">
        <f ca="1">HLOOKUP($H$5,'Met Data'!$O$2:$T$368,G272,FALSE)</f>
        <v>1.5324788885576901</v>
      </c>
      <c r="L272">
        <f t="shared" ca="1" si="40"/>
        <v>1</v>
      </c>
      <c r="N272" t="e">
        <f t="shared" ca="1" si="45"/>
        <v>#N/A</v>
      </c>
      <c r="O272" t="e">
        <f t="shared" ca="1" si="41"/>
        <v>#N/A</v>
      </c>
      <c r="P272" s="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W272" t="e">
        <f ca="1"/>
        <v>#N/A</v>
      </c>
      <c r="X272" t="e">
        <f ca="1"/>
        <v>#N/A</v>
      </c>
      <c r="Y272" t="e">
        <f ca="1"/>
        <v>#N/A</v>
      </c>
      <c r="Z272" t="e">
        <f ca="1"/>
        <v>#N/A</v>
      </c>
      <c r="AA272" t="e">
        <f ca="1"/>
        <v>#N/A</v>
      </c>
      <c r="AB272" t="e">
        <f ca="1"/>
        <v>#N/A</v>
      </c>
      <c r="AD272" s="2">
        <f t="shared" ca="1" si="42"/>
        <v>0</v>
      </c>
      <c r="AE272">
        <f t="shared" ca="1" si="43"/>
        <v>0</v>
      </c>
      <c r="AG272" s="63" t="e">
        <f t="shared" ca="1" si="47"/>
        <v>#N/A</v>
      </c>
      <c r="AH272" s="63" t="e">
        <f t="shared" ca="1" si="48"/>
        <v>#N/A</v>
      </c>
      <c r="AI272" s="3" t="e">
        <f t="shared" ca="1" si="49"/>
        <v>#N/A</v>
      </c>
    </row>
    <row r="273" spans="7:35">
      <c r="G273" s="3">
        <f t="shared" ca="1" si="44"/>
        <v>146</v>
      </c>
      <c r="H273" s="95">
        <f t="shared" ca="1" si="46"/>
        <v>45436</v>
      </c>
      <c r="I273" s="119">
        <f ca="1">HLOOKUP($H$5,'Met Data'!$A$2:$F$368,G273,FALSE)</f>
        <v>13.04</v>
      </c>
      <c r="J273" s="119">
        <f ca="1">HLOOKUP($H$5,'Met Data'!$H$2:$M$368,G273,FALSE)*L273</f>
        <v>5.8233333333333297</v>
      </c>
      <c r="K273" s="96">
        <f ca="1">HLOOKUP($H$5,'Met Data'!$O$2:$T$368,G273,FALSE)</f>
        <v>1.3513771562845001</v>
      </c>
      <c r="L273">
        <f t="shared" ca="1" si="40"/>
        <v>1</v>
      </c>
      <c r="N273" t="e">
        <f t="shared" ca="1" si="45"/>
        <v>#N/A</v>
      </c>
      <c r="O273" t="e">
        <f t="shared" ca="1" si="41"/>
        <v>#N/A</v>
      </c>
      <c r="P273" s="2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W273" t="e">
        <f ca="1"/>
        <v>#N/A</v>
      </c>
      <c r="X273" t="e">
        <f ca="1"/>
        <v>#N/A</v>
      </c>
      <c r="Y273" t="e">
        <f ca="1"/>
        <v>#N/A</v>
      </c>
      <c r="Z273" t="e">
        <f ca="1"/>
        <v>#N/A</v>
      </c>
      <c r="AA273" t="e">
        <f ca="1"/>
        <v>#N/A</v>
      </c>
      <c r="AB273" t="e">
        <f ca="1"/>
        <v>#N/A</v>
      </c>
      <c r="AD273" s="2">
        <f t="shared" ca="1" si="42"/>
        <v>0</v>
      </c>
      <c r="AE273">
        <f t="shared" ca="1" si="43"/>
        <v>0</v>
      </c>
      <c r="AG273" s="63" t="e">
        <f t="shared" ca="1" si="47"/>
        <v>#N/A</v>
      </c>
      <c r="AH273" s="63" t="e">
        <f t="shared" ca="1" si="48"/>
        <v>#N/A</v>
      </c>
      <c r="AI273" s="3" t="e">
        <f t="shared" ca="1" si="49"/>
        <v>#N/A</v>
      </c>
    </row>
    <row r="274" spans="7:35">
      <c r="G274" s="3">
        <f t="shared" ca="1" si="44"/>
        <v>147</v>
      </c>
      <c r="H274" s="95">
        <f t="shared" ca="1" si="46"/>
        <v>45437</v>
      </c>
      <c r="I274" s="119">
        <f ca="1">HLOOKUP($H$5,'Met Data'!$A$2:$F$368,G274,FALSE)</f>
        <v>13.44</v>
      </c>
      <c r="J274" s="119">
        <f ca="1">HLOOKUP($H$5,'Met Data'!$H$2:$M$368,G274,FALSE)*L274</f>
        <v>6.9099999999999904</v>
      </c>
      <c r="K274" s="96">
        <f ca="1">HLOOKUP($H$5,'Met Data'!$O$2:$T$368,G274,FALSE)</f>
        <v>1.45255211799902</v>
      </c>
      <c r="L274">
        <f t="shared" ca="1" si="40"/>
        <v>1</v>
      </c>
      <c r="N274" t="e">
        <f t="shared" ca="1" si="45"/>
        <v>#N/A</v>
      </c>
      <c r="O274" t="e">
        <f t="shared" ca="1" si="41"/>
        <v>#N/A</v>
      </c>
      <c r="P274" s="2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W274" t="e">
        <f ca="1"/>
        <v>#N/A</v>
      </c>
      <c r="X274" t="e">
        <f ca="1"/>
        <v>#N/A</v>
      </c>
      <c r="Y274" t="e">
        <f ca="1"/>
        <v>#N/A</v>
      </c>
      <c r="Z274" t="e">
        <f ca="1"/>
        <v>#N/A</v>
      </c>
      <c r="AA274" t="e">
        <f ca="1"/>
        <v>#N/A</v>
      </c>
      <c r="AB274" t="e">
        <f ca="1"/>
        <v>#N/A</v>
      </c>
      <c r="AD274" s="2">
        <f t="shared" ca="1" si="42"/>
        <v>0</v>
      </c>
      <c r="AE274">
        <f t="shared" ca="1" si="43"/>
        <v>0</v>
      </c>
      <c r="AG274" s="63" t="e">
        <f t="shared" ca="1" si="47"/>
        <v>#N/A</v>
      </c>
      <c r="AH274" s="63" t="e">
        <f t="shared" ca="1" si="48"/>
        <v>#N/A</v>
      </c>
      <c r="AI274" s="3" t="e">
        <f t="shared" ca="1" si="49"/>
        <v>#N/A</v>
      </c>
    </row>
    <row r="275" spans="7:35">
      <c r="G275" s="3">
        <f t="shared" ca="1" si="44"/>
        <v>148</v>
      </c>
      <c r="H275" s="95">
        <f t="shared" ca="1" si="46"/>
        <v>45438</v>
      </c>
      <c r="I275" s="119">
        <f ca="1">HLOOKUP($H$5,'Met Data'!$A$2:$F$368,G275,FALSE)</f>
        <v>12.8183333333333</v>
      </c>
      <c r="J275" s="119">
        <f ca="1">HLOOKUP($H$5,'Met Data'!$H$2:$M$368,G275,FALSE)*L275</f>
        <v>4.4066666666666601</v>
      </c>
      <c r="K275" s="96">
        <f ca="1">HLOOKUP($H$5,'Met Data'!$O$2:$T$368,G275,FALSE)</f>
        <v>1.5797115913466899</v>
      </c>
      <c r="L275">
        <f t="shared" ca="1" si="40"/>
        <v>1</v>
      </c>
      <c r="N275" t="e">
        <f t="shared" ca="1" si="45"/>
        <v>#N/A</v>
      </c>
      <c r="O275" t="e">
        <f t="shared" ca="1" si="41"/>
        <v>#N/A</v>
      </c>
      <c r="P275" s="2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W275" t="e">
        <f ca="1"/>
        <v>#N/A</v>
      </c>
      <c r="X275" t="e">
        <f ca="1"/>
        <v>#N/A</v>
      </c>
      <c r="Y275" t="e">
        <f ca="1"/>
        <v>#N/A</v>
      </c>
      <c r="Z275" t="e">
        <f ca="1"/>
        <v>#N/A</v>
      </c>
      <c r="AA275" t="e">
        <f ca="1"/>
        <v>#N/A</v>
      </c>
      <c r="AB275" t="e">
        <f ca="1"/>
        <v>#N/A</v>
      </c>
      <c r="AD275" s="2">
        <f t="shared" ca="1" si="42"/>
        <v>0</v>
      </c>
      <c r="AE275">
        <f t="shared" ca="1" si="43"/>
        <v>0</v>
      </c>
      <c r="AG275" s="63" t="e">
        <f t="shared" ca="1" si="47"/>
        <v>#N/A</v>
      </c>
      <c r="AH275" s="63" t="e">
        <f t="shared" ca="1" si="48"/>
        <v>#N/A</v>
      </c>
      <c r="AI275" s="3" t="e">
        <f t="shared" ca="1" si="49"/>
        <v>#N/A</v>
      </c>
    </row>
    <row r="276" spans="7:35">
      <c r="G276" s="3">
        <f t="shared" ca="1" si="44"/>
        <v>149</v>
      </c>
      <c r="H276" s="95">
        <f t="shared" ca="1" si="46"/>
        <v>45439</v>
      </c>
      <c r="I276" s="119">
        <f ca="1">HLOOKUP($H$5,'Met Data'!$A$2:$F$368,G276,FALSE)</f>
        <v>12.088333333333299</v>
      </c>
      <c r="J276" s="119">
        <f ca="1">HLOOKUP($H$5,'Met Data'!$H$2:$M$368,G276,FALSE)*L276</f>
        <v>3.84666666666666</v>
      </c>
      <c r="K276" s="96">
        <f ca="1">HLOOKUP($H$5,'Met Data'!$O$2:$T$368,G276,FALSE)</f>
        <v>1.52168431166894</v>
      </c>
      <c r="L276">
        <f t="shared" ca="1" si="40"/>
        <v>1</v>
      </c>
      <c r="N276" t="e">
        <f t="shared" ca="1" si="45"/>
        <v>#N/A</v>
      </c>
      <c r="O276" t="e">
        <f t="shared" ca="1" si="41"/>
        <v>#N/A</v>
      </c>
      <c r="P276" s="2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W276" t="e">
        <f ca="1"/>
        <v>#N/A</v>
      </c>
      <c r="X276" t="e">
        <f ca="1"/>
        <v>#N/A</v>
      </c>
      <c r="Y276" t="e">
        <f ca="1"/>
        <v>#N/A</v>
      </c>
      <c r="Z276" t="e">
        <f ca="1"/>
        <v>#N/A</v>
      </c>
      <c r="AA276" t="e">
        <f ca="1"/>
        <v>#N/A</v>
      </c>
      <c r="AB276" t="e">
        <f ca="1"/>
        <v>#N/A</v>
      </c>
      <c r="AD276" s="2">
        <f t="shared" ca="1" si="42"/>
        <v>0</v>
      </c>
      <c r="AE276">
        <f t="shared" ca="1" si="43"/>
        <v>0</v>
      </c>
      <c r="AG276" s="63" t="e">
        <f t="shared" ca="1" si="47"/>
        <v>#N/A</v>
      </c>
      <c r="AH276" s="63" t="e">
        <f t="shared" ca="1" si="48"/>
        <v>#N/A</v>
      </c>
      <c r="AI276" s="3" t="e">
        <f t="shared" ca="1" si="49"/>
        <v>#N/A</v>
      </c>
    </row>
    <row r="277" spans="7:35">
      <c r="G277" s="3">
        <f t="shared" ca="1" si="44"/>
        <v>150</v>
      </c>
      <c r="H277" s="95">
        <f t="shared" ca="1" si="46"/>
        <v>45440</v>
      </c>
      <c r="I277" s="119">
        <f ca="1">HLOOKUP($H$5,'Met Data'!$A$2:$F$368,G277,FALSE)</f>
        <v>11.7193548387096</v>
      </c>
      <c r="J277" s="119">
        <f ca="1">HLOOKUP($H$5,'Met Data'!$H$2:$M$368,G277,FALSE)*L277</f>
        <v>4.8161290322580603</v>
      </c>
      <c r="K277" s="96">
        <f ca="1">HLOOKUP($H$5,'Met Data'!$O$2:$T$368,G277,FALSE)</f>
        <v>1.3043403353641301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>
        <f t="shared" ca="1" si="43"/>
        <v>0</v>
      </c>
      <c r="AG277" s="63" t="e">
        <f t="shared" ca="1" si="47"/>
        <v>#N/A</v>
      </c>
      <c r="AH277" s="63" t="e">
        <f t="shared" ca="1" si="48"/>
        <v>#N/A</v>
      </c>
      <c r="AI277" s="3" t="e">
        <f t="shared" ca="1" si="49"/>
        <v>#N/A</v>
      </c>
    </row>
    <row r="278" spans="7:35">
      <c r="G278" s="3">
        <f t="shared" ca="1" si="44"/>
        <v>151</v>
      </c>
      <c r="H278" s="95">
        <f t="shared" ca="1" si="46"/>
        <v>45441</v>
      </c>
      <c r="I278" s="119">
        <f ca="1">HLOOKUP($H$5,'Met Data'!$A$2:$F$368,G278,FALSE)</f>
        <v>12.024193548387</v>
      </c>
      <c r="J278" s="119">
        <f ca="1">HLOOKUP($H$5,'Met Data'!$H$2:$M$368,G278,FALSE)*L278</f>
        <v>5.4032258064516103</v>
      </c>
      <c r="K278" s="96">
        <f ca="1">HLOOKUP($H$5,'Met Data'!$O$2:$T$368,G278,FALSE)</f>
        <v>1.3290261075951599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>
        <f t="shared" ca="1" si="43"/>
        <v>0</v>
      </c>
      <c r="AG278" s="63" t="e">
        <f t="shared" ca="1" si="47"/>
        <v>#N/A</v>
      </c>
      <c r="AH278" s="63" t="e">
        <f t="shared" ca="1" si="48"/>
        <v>#N/A</v>
      </c>
      <c r="AI278" s="3" t="e">
        <f t="shared" ca="1" si="49"/>
        <v>#N/A</v>
      </c>
    </row>
    <row r="279" spans="7:35">
      <c r="G279" s="3">
        <f t="shared" ca="1" si="44"/>
        <v>152</v>
      </c>
      <c r="H279" s="95">
        <f t="shared" ca="1" si="46"/>
        <v>45442</v>
      </c>
      <c r="I279" s="119">
        <f ca="1">HLOOKUP($H$5,'Met Data'!$A$2:$F$368,G279,FALSE)</f>
        <v>11.7258064516129</v>
      </c>
      <c r="J279" s="119">
        <f ca="1">HLOOKUP($H$5,'Met Data'!$H$2:$M$368,G279,FALSE)*L279</f>
        <v>5.6354838709677404</v>
      </c>
      <c r="K279" s="96">
        <f ca="1">HLOOKUP($H$5,'Met Data'!$O$2:$T$368,G279,FALSE)</f>
        <v>1.39784343044145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>
        <f t="shared" ca="1" si="43"/>
        <v>0</v>
      </c>
      <c r="AG279" s="63" t="e">
        <f t="shared" ca="1" si="47"/>
        <v>#N/A</v>
      </c>
      <c r="AH279" s="63" t="e">
        <f t="shared" ca="1" si="48"/>
        <v>#N/A</v>
      </c>
      <c r="AI279" s="3" t="e">
        <f t="shared" ca="1" si="49"/>
        <v>#N/A</v>
      </c>
    </row>
    <row r="280" spans="7:35">
      <c r="G280" s="3">
        <f t="shared" ca="1" si="44"/>
        <v>153</v>
      </c>
      <c r="H280" s="95">
        <f t="shared" ca="1" si="46"/>
        <v>45443</v>
      </c>
      <c r="I280" s="119">
        <f ca="1">HLOOKUP($H$5,'Met Data'!$A$2:$F$368,G280,FALSE)</f>
        <v>11.7564516129032</v>
      </c>
      <c r="J280" s="119">
        <f ca="1">HLOOKUP($H$5,'Met Data'!$H$2:$M$368,G280,FALSE)*L280</f>
        <v>4.3451612903225802</v>
      </c>
      <c r="K280" s="96">
        <f ca="1">HLOOKUP($H$5,'Met Data'!$O$2:$T$368,G280,FALSE)</f>
        <v>1.4712646827298701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>
        <f t="shared" ca="1" si="43"/>
        <v>0</v>
      </c>
      <c r="AG280" s="63" t="e">
        <f t="shared" ca="1" si="47"/>
        <v>#N/A</v>
      </c>
      <c r="AH280" s="63" t="e">
        <f t="shared" ca="1" si="48"/>
        <v>#N/A</v>
      </c>
      <c r="AI280" s="3" t="e">
        <f t="shared" ca="1" si="49"/>
        <v>#N/A</v>
      </c>
    </row>
    <row r="281" spans="7:35">
      <c r="G281" s="3">
        <f t="shared" ca="1" si="44"/>
        <v>154</v>
      </c>
      <c r="H281" s="95">
        <f t="shared" ca="1" si="46"/>
        <v>45444</v>
      </c>
      <c r="I281" s="119">
        <f ca="1">HLOOKUP($H$5,'Met Data'!$A$2:$F$368,G281,FALSE)</f>
        <v>11.6033333333333</v>
      </c>
      <c r="J281" s="119">
        <f ca="1">HLOOKUP($H$5,'Met Data'!$H$2:$M$368,G281,FALSE)*L281</f>
        <v>5.12</v>
      </c>
      <c r="K281" s="96">
        <f ca="1">HLOOKUP($H$5,'Met Data'!$O$2:$T$368,G281,FALSE)</f>
        <v>1.30717057222476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3" t="e">
        <f t="shared" ca="1" si="47"/>
        <v>#N/A</v>
      </c>
      <c r="AH281" s="63" t="e">
        <f t="shared" ca="1" si="48"/>
        <v>#N/A</v>
      </c>
      <c r="AI281" s="3" t="e">
        <f t="shared" ca="1" si="49"/>
        <v>#N/A</v>
      </c>
    </row>
    <row r="282" spans="7:35">
      <c r="G282" s="3">
        <f t="shared" ca="1" si="44"/>
        <v>155</v>
      </c>
      <c r="H282" s="95">
        <f t="shared" ca="1" si="46"/>
        <v>45445</v>
      </c>
      <c r="I282" s="119">
        <f ca="1">HLOOKUP($H$5,'Met Data'!$A$2:$F$368,G282,FALSE)</f>
        <v>11.056666666666599</v>
      </c>
      <c r="J282" s="119">
        <f ca="1">HLOOKUP($H$5,'Met Data'!$H$2:$M$368,G282,FALSE)*L282</f>
        <v>2.78666666666666</v>
      </c>
      <c r="K282" s="96">
        <f ca="1">HLOOKUP($H$5,'Met Data'!$O$2:$T$368,G282,FALSE)</f>
        <v>1.4941006859236099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156</v>
      </c>
      <c r="H283" s="95">
        <f t="shared" ca="1" si="46"/>
        <v>45446</v>
      </c>
      <c r="I283" s="119">
        <f ca="1">HLOOKUP($H$5,'Met Data'!$A$2:$F$368,G283,FALSE)</f>
        <v>11.1733333333333</v>
      </c>
      <c r="J283" s="119">
        <f ca="1">HLOOKUP($H$5,'Met Data'!$H$2:$M$368,G283,FALSE)*L283</f>
        <v>4.3899999999999997</v>
      </c>
      <c r="K283" s="96">
        <f ca="1">HLOOKUP($H$5,'Met Data'!$O$2:$T$368,G283,FALSE)</f>
        <v>1.35454855749501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157</v>
      </c>
      <c r="H284" s="95">
        <f t="shared" ca="1" si="46"/>
        <v>45447</v>
      </c>
      <c r="I284" s="119">
        <f ca="1">HLOOKUP($H$5,'Met Data'!$A$2:$F$368,G284,FALSE)</f>
        <v>11.3016666666666</v>
      </c>
      <c r="J284" s="119">
        <f ca="1">HLOOKUP($H$5,'Met Data'!$H$2:$M$368,G284,FALSE)*L284</f>
        <v>3.3633333333333302</v>
      </c>
      <c r="K284" s="96">
        <f ca="1">HLOOKUP($H$5,'Met Data'!$O$2:$T$368,G284,FALSE)</f>
        <v>1.3233452483653401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158</v>
      </c>
      <c r="H285" s="95">
        <f t="shared" ca="1" si="46"/>
        <v>45448</v>
      </c>
      <c r="I285" s="119">
        <f ca="1">HLOOKUP($H$5,'Met Data'!$A$2:$F$368,G285,FALSE)</f>
        <v>11.2416666666666</v>
      </c>
      <c r="J285" s="119">
        <f ca="1">HLOOKUP($H$5,'Met Data'!$H$2:$M$368,G285,FALSE)*L285</f>
        <v>3.4666666666666601</v>
      </c>
      <c r="K285" s="96">
        <f ca="1">HLOOKUP($H$5,'Met Data'!$O$2:$T$368,G285,FALSE)</f>
        <v>1.31169017597242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159</v>
      </c>
      <c r="H286" s="95">
        <f t="shared" ca="1" si="46"/>
        <v>45449</v>
      </c>
      <c r="I286" s="119">
        <f ca="1">HLOOKUP($H$5,'Met Data'!$A$2:$F$368,G286,FALSE)</f>
        <v>11.3533333333333</v>
      </c>
      <c r="J286" s="119">
        <f ca="1">HLOOKUP($H$5,'Met Data'!$H$2:$M$368,G286,FALSE)*L286</f>
        <v>3.12333333333333</v>
      </c>
      <c r="K286" s="96">
        <f ca="1">HLOOKUP($H$5,'Met Data'!$O$2:$T$368,G286,FALSE)</f>
        <v>1.3774495437093499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160</v>
      </c>
      <c r="H287" s="95">
        <f t="shared" ca="1" si="46"/>
        <v>45450</v>
      </c>
      <c r="I287" s="119">
        <f ca="1">HLOOKUP($H$5,'Met Data'!$A$2:$F$368,G287,FALSE)</f>
        <v>11.6383333333333</v>
      </c>
      <c r="J287" s="119">
        <f ca="1">HLOOKUP($H$5,'Met Data'!$H$2:$M$368,G287,FALSE)*L287</f>
        <v>2.8</v>
      </c>
      <c r="K287" s="96">
        <f ca="1">HLOOKUP($H$5,'Met Data'!$O$2:$T$368,G287,FALSE)</f>
        <v>1.37514607405536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161</v>
      </c>
      <c r="H288" s="95">
        <f t="shared" ca="1" si="46"/>
        <v>45451</v>
      </c>
      <c r="I288" s="119">
        <f ca="1">HLOOKUP($H$5,'Met Data'!$A$2:$F$368,G288,FALSE)</f>
        <v>12.033333333333299</v>
      </c>
      <c r="J288" s="119">
        <f ca="1">HLOOKUP($H$5,'Met Data'!$H$2:$M$368,G288,FALSE)*L288</f>
        <v>5.1033333333333299</v>
      </c>
      <c r="K288" s="96">
        <f ca="1">HLOOKUP($H$5,'Met Data'!$O$2:$T$368,G288,FALSE)</f>
        <v>1.2907055368786999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162</v>
      </c>
      <c r="H289" s="95">
        <f t="shared" ca="1" si="46"/>
        <v>45452</v>
      </c>
      <c r="I289" s="119">
        <f ca="1">HLOOKUP($H$5,'Met Data'!$A$2:$F$368,G289,FALSE)</f>
        <v>12.0483333333333</v>
      </c>
      <c r="J289" s="119">
        <f ca="1">HLOOKUP($H$5,'Met Data'!$H$2:$M$368,G289,FALSE)*L289</f>
        <v>7.0566666666666604</v>
      </c>
      <c r="K289" s="96">
        <f ca="1">HLOOKUP($H$5,'Met Data'!$O$2:$T$368,G289,FALSE)</f>
        <v>1.1704038738008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163</v>
      </c>
      <c r="H290" s="95">
        <f t="shared" ca="1" si="46"/>
        <v>45453</v>
      </c>
      <c r="I290" s="119">
        <f ca="1">HLOOKUP($H$5,'Met Data'!$A$2:$F$368,G290,FALSE)</f>
        <v>12.105</v>
      </c>
      <c r="J290" s="119">
        <f ca="1">HLOOKUP($H$5,'Met Data'!$H$2:$M$368,G290,FALSE)*L290</f>
        <v>4.8199999999999896</v>
      </c>
      <c r="K290" s="96">
        <f ca="1">HLOOKUP($H$5,'Met Data'!$O$2:$T$368,G290,FALSE)</f>
        <v>1.2848931912011301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164</v>
      </c>
      <c r="H291" s="95">
        <f t="shared" ca="1" si="46"/>
        <v>45454</v>
      </c>
      <c r="I291" s="119">
        <f ca="1">HLOOKUP($H$5,'Met Data'!$A$2:$F$368,G291,FALSE)</f>
        <v>11.93</v>
      </c>
      <c r="J291" s="119">
        <f ca="1">HLOOKUP($H$5,'Met Data'!$H$2:$M$368,G291,FALSE)*L291</f>
        <v>4.05</v>
      </c>
      <c r="K291" s="96">
        <f ca="1">HLOOKUP($H$5,'Met Data'!$O$2:$T$368,G291,FALSE)</f>
        <v>1.2113320799843399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165</v>
      </c>
      <c r="H292" s="95">
        <f t="shared" ca="1" si="46"/>
        <v>45455</v>
      </c>
      <c r="I292" s="119">
        <f ca="1">HLOOKUP($H$5,'Met Data'!$A$2:$F$368,G292,FALSE)</f>
        <v>11.734999999999999</v>
      </c>
      <c r="J292" s="119">
        <f ca="1">HLOOKUP($H$5,'Met Data'!$H$2:$M$368,G292,FALSE)*L292</f>
        <v>3.5866666666666598</v>
      </c>
      <c r="K292" s="96">
        <f ca="1">HLOOKUP($H$5,'Met Data'!$O$2:$T$368,G292,FALSE)</f>
        <v>1.4600871377923801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166</v>
      </c>
      <c r="H293" s="95">
        <f t="shared" ca="1" si="46"/>
        <v>45456</v>
      </c>
      <c r="I293" s="119">
        <f ca="1">HLOOKUP($H$5,'Met Data'!$A$2:$F$368,G293,FALSE)</f>
        <v>11.1666666666666</v>
      </c>
      <c r="J293" s="119">
        <f ca="1">HLOOKUP($H$5,'Met Data'!$H$2:$M$368,G293,FALSE)*L293</f>
        <v>3.2966666666666602</v>
      </c>
      <c r="K293" s="96">
        <f ca="1">HLOOKUP($H$5,'Met Data'!$O$2:$T$368,G293,FALSE)</f>
        <v>1.34458805503312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167</v>
      </c>
      <c r="H294" s="95">
        <f t="shared" ca="1" si="46"/>
        <v>45457</v>
      </c>
      <c r="I294" s="119">
        <f ca="1">HLOOKUP($H$5,'Met Data'!$A$2:$F$368,G294,FALSE)</f>
        <v>11.2283333333333</v>
      </c>
      <c r="J294" s="119">
        <f ca="1">HLOOKUP($H$5,'Met Data'!$H$2:$M$368,G294,FALSE)*L294</f>
        <v>6.4733333333333301</v>
      </c>
      <c r="K294" s="96">
        <f ca="1">HLOOKUP($H$5,'Met Data'!$O$2:$T$368,G294,FALSE)</f>
        <v>1.38085812732775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168</v>
      </c>
      <c r="H295" s="95">
        <f t="shared" ca="1" si="46"/>
        <v>45458</v>
      </c>
      <c r="I295" s="119">
        <f ca="1">HLOOKUP($H$5,'Met Data'!$A$2:$F$368,G295,FALSE)</f>
        <v>10.6586206896551</v>
      </c>
      <c r="J295" s="119">
        <f ca="1">HLOOKUP($H$5,'Met Data'!$H$2:$M$368,G295,FALSE)*L295</f>
        <v>4.2733333333333299</v>
      </c>
      <c r="K295" s="96">
        <f ca="1">HLOOKUP($H$5,'Met Data'!$O$2:$T$368,G295,FALSE)</f>
        <v>1.38162675040215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169</v>
      </c>
      <c r="H296" s="95">
        <f t="shared" ca="1" si="46"/>
        <v>45459</v>
      </c>
      <c r="I296" s="119">
        <f ca="1">HLOOKUP($H$5,'Met Data'!$A$2:$F$368,G296,FALSE)</f>
        <v>10.7310344827586</v>
      </c>
      <c r="J296" s="119">
        <f ca="1">HLOOKUP($H$5,'Met Data'!$H$2:$M$368,G296,FALSE)*L296</f>
        <v>4.5699999999999896</v>
      </c>
      <c r="K296" s="96">
        <f ca="1">HLOOKUP($H$5,'Met Data'!$O$2:$T$368,G296,FALSE)</f>
        <v>1.17648432087559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170</v>
      </c>
      <c r="H297" s="95">
        <f t="shared" ca="1" si="46"/>
        <v>45460</v>
      </c>
      <c r="I297" s="119">
        <f ca="1">HLOOKUP($H$5,'Met Data'!$A$2:$F$368,G297,FALSE)</f>
        <v>11.2603448275862</v>
      </c>
      <c r="J297" s="119">
        <f ca="1">HLOOKUP($H$5,'Met Data'!$H$2:$M$368,G297,FALSE)*L297</f>
        <v>4.72</v>
      </c>
      <c r="K297" s="96">
        <f ca="1">HLOOKUP($H$5,'Met Data'!$O$2:$T$368,G297,FALSE)</f>
        <v>1.1014836099696199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171</v>
      </c>
      <c r="H298" s="95">
        <f t="shared" ca="1" si="46"/>
        <v>45461</v>
      </c>
      <c r="I298" s="119">
        <f ca="1">HLOOKUP($H$5,'Met Data'!$A$2:$F$368,G298,FALSE)</f>
        <v>10.906896551724101</v>
      </c>
      <c r="J298" s="119">
        <f ca="1">HLOOKUP($H$5,'Met Data'!$H$2:$M$368,G298,FALSE)*L298</f>
        <v>4.07</v>
      </c>
      <c r="K298" s="96">
        <f ca="1">HLOOKUP($H$5,'Met Data'!$O$2:$T$368,G298,FALSE)</f>
        <v>1.1347149368896201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172</v>
      </c>
      <c r="H299" s="95">
        <f t="shared" ca="1" si="46"/>
        <v>45462</v>
      </c>
      <c r="I299" s="119">
        <f ca="1">HLOOKUP($H$5,'Met Data'!$A$2:$F$368,G299,FALSE)</f>
        <v>11.072413793103401</v>
      </c>
      <c r="J299" s="119">
        <f ca="1">HLOOKUP($H$5,'Met Data'!$H$2:$M$368,G299,FALSE)*L299</f>
        <v>5.89333333333333</v>
      </c>
      <c r="K299" s="96">
        <f ca="1">HLOOKUP($H$5,'Met Data'!$O$2:$T$368,G299,FALSE)</f>
        <v>1.25671546368113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173</v>
      </c>
      <c r="H300" s="95">
        <f t="shared" ca="1" si="46"/>
        <v>45463</v>
      </c>
      <c r="I300" s="119">
        <f ca="1">HLOOKUP($H$5,'Met Data'!$A$2:$F$368,G300,FALSE)</f>
        <v>11.1844827586206</v>
      </c>
      <c r="J300" s="119">
        <f ca="1">HLOOKUP($H$5,'Met Data'!$H$2:$M$368,G300,FALSE)*L300</f>
        <v>2.27</v>
      </c>
      <c r="K300" s="96">
        <f ca="1">HLOOKUP($H$5,'Met Data'!$O$2:$T$368,G300,FALSE)</f>
        <v>1.3590610231009399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174</v>
      </c>
      <c r="H301" s="95">
        <f t="shared" ca="1" si="46"/>
        <v>45464</v>
      </c>
      <c r="I301" s="119">
        <f ca="1">HLOOKUP($H$5,'Met Data'!$A$2:$F$368,G301,FALSE)</f>
        <v>10.84</v>
      </c>
      <c r="J301" s="119">
        <f ca="1">HLOOKUP($H$5,'Met Data'!$H$2:$M$368,G301,FALSE)*L301</f>
        <v>2.2633333333333301</v>
      </c>
      <c r="K301" s="96">
        <f ca="1">HLOOKUP($H$5,'Met Data'!$O$2:$T$368,G301,FALSE)</f>
        <v>1.3770648366319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175</v>
      </c>
      <c r="H302" s="95">
        <f t="shared" ca="1" si="46"/>
        <v>45465</v>
      </c>
      <c r="I302" s="119">
        <f ca="1">HLOOKUP($H$5,'Met Data'!$A$2:$F$368,G302,FALSE)</f>
        <v>10.578333333333299</v>
      </c>
      <c r="J302" s="119">
        <f ca="1">HLOOKUP($H$5,'Met Data'!$H$2:$M$368,G302,FALSE)*L302</f>
        <v>4.8499999999999996</v>
      </c>
      <c r="K302" s="96">
        <f ca="1">HLOOKUP($H$5,'Met Data'!$O$2:$T$368,G302,FALSE)</f>
        <v>1.14995789296724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176</v>
      </c>
      <c r="H303" s="95">
        <f t="shared" ca="1" si="46"/>
        <v>45466</v>
      </c>
      <c r="I303" s="119">
        <f ca="1">HLOOKUP($H$5,'Met Data'!$A$2:$F$368,G303,FALSE)</f>
        <v>10.6928571428571</v>
      </c>
      <c r="J303" s="119">
        <f ca="1">HLOOKUP($H$5,'Met Data'!$H$2:$M$368,G303,FALSE)*L303</f>
        <v>6.4607142857142801</v>
      </c>
      <c r="K303" s="96">
        <f ca="1">HLOOKUP($H$5,'Met Data'!$O$2:$T$368,G303,FALSE)</f>
        <v>1.1771575957217399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177</v>
      </c>
      <c r="H304" s="95">
        <f t="shared" ca="1" si="46"/>
        <v>45467</v>
      </c>
      <c r="I304" s="119">
        <f ca="1">HLOOKUP($H$5,'Met Data'!$A$2:$F$368,G304,FALSE)</f>
        <v>10.8642857142857</v>
      </c>
      <c r="J304" s="119">
        <f ca="1">HLOOKUP($H$5,'Met Data'!$H$2:$M$368,G304,FALSE)*L304</f>
        <v>8.7785714285714196</v>
      </c>
      <c r="K304" s="96">
        <f ca="1">HLOOKUP($H$5,'Met Data'!$O$2:$T$368,G304,FALSE)</f>
        <v>1.3519764431878101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178</v>
      </c>
      <c r="H305" s="95">
        <f t="shared" ca="1" si="46"/>
        <v>45468</v>
      </c>
      <c r="I305" s="119">
        <f ca="1">HLOOKUP($H$5,'Met Data'!$A$2:$F$368,G305,FALSE)</f>
        <v>10.492857142857099</v>
      </c>
      <c r="J305" s="119">
        <f ca="1">HLOOKUP($H$5,'Met Data'!$H$2:$M$368,G305,FALSE)*L305</f>
        <v>3.8</v>
      </c>
      <c r="K305" s="96">
        <f ca="1">HLOOKUP($H$5,'Met Data'!$O$2:$T$368,G305,FALSE)</f>
        <v>1.34392263247945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179</v>
      </c>
      <c r="H306" s="95">
        <f t="shared" ca="1" si="46"/>
        <v>45469</v>
      </c>
      <c r="I306" s="119">
        <f ca="1">HLOOKUP($H$5,'Met Data'!$A$2:$F$368,G306,FALSE)</f>
        <v>10.592857142857101</v>
      </c>
      <c r="J306" s="119">
        <f ca="1">HLOOKUP($H$5,'Met Data'!$H$2:$M$368,G306,FALSE)*L306</f>
        <v>2.81785714285714</v>
      </c>
      <c r="K306" s="96">
        <f ca="1">HLOOKUP($H$5,'Met Data'!$O$2:$T$368,G306,FALSE)</f>
        <v>1.47912334327964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180</v>
      </c>
      <c r="H307" s="95">
        <f t="shared" ca="1" si="46"/>
        <v>45470</v>
      </c>
      <c r="I307" s="119">
        <f ca="1">HLOOKUP($H$5,'Met Data'!$A$2:$F$368,G307,FALSE)</f>
        <v>10.465517241379301</v>
      </c>
      <c r="J307" s="119">
        <f ca="1">HLOOKUP($H$5,'Met Data'!$H$2:$M$368,G307,FALSE)*L307</f>
        <v>5.6517241379310299</v>
      </c>
      <c r="K307" s="96">
        <f ca="1">HLOOKUP($H$5,'Met Data'!$O$2:$T$368,G307,FALSE)</f>
        <v>1.2990420850019999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181</v>
      </c>
      <c r="H308" s="95">
        <f t="shared" ca="1" si="46"/>
        <v>45471</v>
      </c>
      <c r="I308" s="119">
        <f ca="1">HLOOKUP($H$5,'Met Data'!$A$2:$F$368,G308,FALSE)</f>
        <v>10.572413793103401</v>
      </c>
      <c r="J308" s="119">
        <f ca="1">HLOOKUP($H$5,'Met Data'!$H$2:$M$368,G308,FALSE)*L308</f>
        <v>5.2517241379310304</v>
      </c>
      <c r="K308" s="96">
        <f ca="1">HLOOKUP($H$5,'Met Data'!$O$2:$T$368,G308,FALSE)</f>
        <v>1.2839514040086699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182</v>
      </c>
      <c r="H309" s="95">
        <f t="shared" ca="1" si="46"/>
        <v>45472</v>
      </c>
      <c r="I309" s="119">
        <f ca="1">HLOOKUP($H$5,'Met Data'!$A$2:$F$368,G309,FALSE)</f>
        <v>10.655357142857101</v>
      </c>
      <c r="J309" s="119">
        <f ca="1">HLOOKUP($H$5,'Met Data'!$H$2:$M$368,G309,FALSE)*L309</f>
        <v>7.4689655172413696</v>
      </c>
      <c r="K309" s="96">
        <f ca="1">HLOOKUP($H$5,'Met Data'!$O$2:$T$368,G309,FALSE)</f>
        <v>1.3058632096396601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183</v>
      </c>
      <c r="H310" s="95">
        <f t="shared" ca="1" si="46"/>
        <v>45473</v>
      </c>
      <c r="I310" s="119">
        <f ca="1">HLOOKUP($H$5,'Met Data'!$A$2:$F$368,G310,FALSE)</f>
        <v>10.0517857142857</v>
      </c>
      <c r="J310" s="119">
        <f ca="1">HLOOKUP($H$5,'Met Data'!$H$2:$M$368,G310,FALSE)*L310</f>
        <v>3.5392857142857101</v>
      </c>
      <c r="K310" s="96">
        <f ca="1">HLOOKUP($H$5,'Met Data'!$O$2:$T$368,G310,FALSE)</f>
        <v>1.4482050520096601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184</v>
      </c>
      <c r="H311" s="95">
        <f t="shared" ca="1" si="46"/>
        <v>45474</v>
      </c>
      <c r="I311" s="119">
        <f ca="1">HLOOKUP($H$5,'Met Data'!$A$2:$F$368,G311,FALSE)</f>
        <v>9.5678571428571395</v>
      </c>
      <c r="J311" s="119">
        <f ca="1">HLOOKUP($H$5,'Met Data'!$H$2:$M$368,G311,FALSE)*L311</f>
        <v>4.33928571428571</v>
      </c>
      <c r="K311" s="96">
        <f ca="1">HLOOKUP($H$5,'Met Data'!$O$2:$T$368,G311,FALSE)</f>
        <v>1.3964370426983801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185</v>
      </c>
      <c r="H312" s="95">
        <f t="shared" ca="1" si="46"/>
        <v>45475</v>
      </c>
      <c r="I312" s="119">
        <f ca="1">HLOOKUP($H$5,'Met Data'!$A$2:$F$368,G312,FALSE)</f>
        <v>9.7035714285714292</v>
      </c>
      <c r="J312" s="119">
        <f ca="1">HLOOKUP($H$5,'Met Data'!$H$2:$M$368,G312,FALSE)*L312</f>
        <v>3.2666666666666599</v>
      </c>
      <c r="K312" s="96">
        <f ca="1">HLOOKUP($H$5,'Met Data'!$O$2:$T$368,G312,FALSE)</f>
        <v>1.2730824905906899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186</v>
      </c>
      <c r="H313" s="95">
        <f t="shared" ca="1" si="46"/>
        <v>45476</v>
      </c>
      <c r="I313" s="119">
        <f ca="1">HLOOKUP($H$5,'Met Data'!$A$2:$F$368,G313,FALSE)</f>
        <v>10.1785714285714</v>
      </c>
      <c r="J313" s="119">
        <f ca="1">HLOOKUP($H$5,'Met Data'!$H$2:$M$368,G313,FALSE)*L313</f>
        <v>5.2555555555555502</v>
      </c>
      <c r="K313" s="96">
        <f ca="1">HLOOKUP($H$5,'Met Data'!$O$2:$T$368,G313,FALSE)</f>
        <v>1.2896889465411501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187</v>
      </c>
      <c r="H314" s="95">
        <f t="shared" ca="1" si="46"/>
        <v>45477</v>
      </c>
      <c r="I314" s="119">
        <f ca="1">HLOOKUP($H$5,'Met Data'!$A$2:$F$368,G314,FALSE)</f>
        <v>10.675000000000001</v>
      </c>
      <c r="J314" s="119">
        <f ca="1">HLOOKUP($H$5,'Met Data'!$H$2:$M$368,G314,FALSE)*L314</f>
        <v>2.9892857142857099</v>
      </c>
      <c r="K314" s="96">
        <f ca="1">HLOOKUP($H$5,'Met Data'!$O$2:$T$368,G314,FALSE)</f>
        <v>1.4660191910043801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188</v>
      </c>
      <c r="H315" s="95">
        <f t="shared" ca="1" si="46"/>
        <v>45478</v>
      </c>
      <c r="I315" s="119">
        <f ca="1">HLOOKUP($H$5,'Met Data'!$A$2:$F$368,G315,FALSE)</f>
        <v>10.6303571428571</v>
      </c>
      <c r="J315" s="119">
        <f ca="1">HLOOKUP($H$5,'Met Data'!$H$2:$M$368,G315,FALSE)*L315</f>
        <v>4.4413793103448196</v>
      </c>
      <c r="K315" s="96">
        <f ca="1">HLOOKUP($H$5,'Met Data'!$O$2:$T$368,G315,FALSE)</f>
        <v>1.3068901655768601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189</v>
      </c>
      <c r="H316" s="95">
        <f t="shared" ca="1" si="46"/>
        <v>45479</v>
      </c>
      <c r="I316" s="119">
        <f ca="1">HLOOKUP($H$5,'Met Data'!$A$2:$F$368,G316,FALSE)</f>
        <v>10.5714285714285</v>
      </c>
      <c r="J316" s="119">
        <f ca="1">HLOOKUP($H$5,'Met Data'!$H$2:$M$368,G316,FALSE)*L316</f>
        <v>2.8758620689655099</v>
      </c>
      <c r="K316" s="96">
        <f ca="1">HLOOKUP($H$5,'Met Data'!$O$2:$T$368,G316,FALSE)</f>
        <v>1.41669004164846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190</v>
      </c>
      <c r="H317" s="95">
        <f t="shared" ca="1" si="46"/>
        <v>45480</v>
      </c>
      <c r="I317" s="119">
        <f ca="1">HLOOKUP($H$5,'Met Data'!$A$2:$F$368,G317,FALSE)</f>
        <v>10.2685185185185</v>
      </c>
      <c r="J317" s="119">
        <f ca="1">HLOOKUP($H$5,'Met Data'!$H$2:$M$368,G317,FALSE)*L317</f>
        <v>3.7892857142857101</v>
      </c>
      <c r="K317" s="96">
        <f ca="1">HLOOKUP($H$5,'Met Data'!$O$2:$T$368,G317,FALSE)</f>
        <v>1.3370081337281099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191</v>
      </c>
      <c r="H318" s="95">
        <f t="shared" ca="1" si="46"/>
        <v>45481</v>
      </c>
      <c r="I318" s="119">
        <f ca="1">HLOOKUP($H$5,'Met Data'!$A$2:$F$368,G318,FALSE)</f>
        <v>10.4166666666666</v>
      </c>
      <c r="J318" s="119">
        <f ca="1">HLOOKUP($H$5,'Met Data'!$H$2:$M$368,G318,FALSE)*L318</f>
        <v>4.8428571428571399</v>
      </c>
      <c r="K318" s="96">
        <f ca="1">HLOOKUP($H$5,'Met Data'!$O$2:$T$368,G318,FALSE)</f>
        <v>1.6936819221313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192</v>
      </c>
      <c r="H319" s="95">
        <f t="shared" ca="1" si="46"/>
        <v>45482</v>
      </c>
      <c r="I319" s="119">
        <f ca="1">HLOOKUP($H$5,'Met Data'!$A$2:$F$368,G319,FALSE)</f>
        <v>9.7703703703703706</v>
      </c>
      <c r="J319" s="119">
        <f ca="1">HLOOKUP($H$5,'Met Data'!$H$2:$M$368,G319,FALSE)*L319</f>
        <v>2.27857142857142</v>
      </c>
      <c r="K319" s="96">
        <f ca="1">HLOOKUP($H$5,'Met Data'!$O$2:$T$368,G319,FALSE)</f>
        <v>1.4303197134636301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193</v>
      </c>
      <c r="H320" s="95">
        <f t="shared" ca="1" si="46"/>
        <v>45483</v>
      </c>
      <c r="I320" s="119">
        <f ca="1">HLOOKUP($H$5,'Met Data'!$A$2:$F$368,G320,FALSE)</f>
        <v>9.4057692307692307</v>
      </c>
      <c r="J320" s="119">
        <f ca="1">HLOOKUP($H$5,'Met Data'!$H$2:$M$368,G320,FALSE)*L320</f>
        <v>4.05</v>
      </c>
      <c r="K320" s="96">
        <f ca="1">HLOOKUP($H$5,'Met Data'!$O$2:$T$368,G320,FALSE)</f>
        <v>1.34234874078288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194</v>
      </c>
      <c r="H321" s="95">
        <f t="shared" ca="1" si="46"/>
        <v>45484</v>
      </c>
      <c r="I321" s="119">
        <f ca="1">HLOOKUP($H$5,'Met Data'!$A$2:$F$368,G321,FALSE)</f>
        <v>9.7037037037037006</v>
      </c>
      <c r="J321" s="119">
        <f ca="1">HLOOKUP($H$5,'Met Data'!$H$2:$M$368,G321,FALSE)*L321</f>
        <v>7.2038461538461496</v>
      </c>
      <c r="K321" s="96">
        <f ca="1">HLOOKUP($H$5,'Met Data'!$O$2:$T$368,G321,FALSE)</f>
        <v>1.4005767318328199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195</v>
      </c>
      <c r="H322" s="95">
        <f t="shared" ca="1" si="46"/>
        <v>45485</v>
      </c>
      <c r="I322" s="119">
        <f ca="1">HLOOKUP($H$5,'Met Data'!$A$2:$F$368,G322,FALSE)</f>
        <v>9.875</v>
      </c>
      <c r="J322" s="119">
        <f ca="1">HLOOKUP($H$5,'Met Data'!$H$2:$M$368,G322,FALSE)*L322</f>
        <v>2.7366666666666601</v>
      </c>
      <c r="K322" s="96">
        <f ca="1">HLOOKUP($H$5,'Met Data'!$O$2:$T$368,G322,FALSE)</f>
        <v>1.5241946960031101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196</v>
      </c>
      <c r="H323" s="95">
        <f t="shared" ca="1" si="46"/>
        <v>45486</v>
      </c>
      <c r="I323" s="119">
        <f ca="1">HLOOKUP($H$5,'Met Data'!$A$2:$F$368,G323,FALSE)</f>
        <v>9.4732142857142794</v>
      </c>
      <c r="J323" s="119">
        <f ca="1">HLOOKUP($H$5,'Met Data'!$H$2:$M$368,G323,FALSE)*L323</f>
        <v>4.4607142857142801</v>
      </c>
      <c r="K323" s="96">
        <f ca="1">HLOOKUP($H$5,'Met Data'!$O$2:$T$368,G323,FALSE)</f>
        <v>1.1833728950226901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197</v>
      </c>
      <c r="H324" s="95">
        <f t="shared" ca="1" si="46"/>
        <v>45487</v>
      </c>
      <c r="I324" s="119">
        <f ca="1">HLOOKUP($H$5,'Met Data'!$A$2:$F$368,G324,FALSE)</f>
        <v>10.3732142857142</v>
      </c>
      <c r="J324" s="119">
        <f ca="1">HLOOKUP($H$5,'Met Data'!$H$2:$M$368,G324,FALSE)*L324</f>
        <v>6.4071428571428504</v>
      </c>
      <c r="K324" s="96">
        <f ca="1">HLOOKUP($H$5,'Met Data'!$O$2:$T$368,G324,FALSE)</f>
        <v>1.32556972588678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198</v>
      </c>
      <c r="H325" s="95">
        <f t="shared" ca="1" si="46"/>
        <v>45488</v>
      </c>
      <c r="I325" s="119">
        <f ca="1">HLOOKUP($H$5,'Met Data'!$A$2:$F$368,G325,FALSE)</f>
        <v>10.9428571428571</v>
      </c>
      <c r="J325" s="119">
        <f ca="1">HLOOKUP($H$5,'Met Data'!$H$2:$M$368,G325,FALSE)*L325</f>
        <v>5.1392857142857098</v>
      </c>
      <c r="K325" s="96">
        <f ca="1">HLOOKUP($H$5,'Met Data'!$O$2:$T$368,G325,FALSE)</f>
        <v>1.2285245260717499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199</v>
      </c>
      <c r="H326" s="95">
        <f t="shared" ca="1" si="46"/>
        <v>45489</v>
      </c>
      <c r="I326" s="119">
        <f ca="1">HLOOKUP($H$5,'Met Data'!$A$2:$F$368,G326,FALSE)</f>
        <v>10.689655172413699</v>
      </c>
      <c r="J326" s="119">
        <f ca="1">HLOOKUP($H$5,'Met Data'!$H$2:$M$368,G326,FALSE)*L326</f>
        <v>7.5433333333333303</v>
      </c>
      <c r="K326" s="96">
        <f ca="1">HLOOKUP($H$5,'Met Data'!$O$2:$T$368,G326,FALSE)</f>
        <v>1.11837858032715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200</v>
      </c>
      <c r="H327" s="95">
        <f t="shared" ca="1" si="46"/>
        <v>45490</v>
      </c>
      <c r="I327" s="119">
        <f ca="1">HLOOKUP($H$5,'Met Data'!$A$2:$F$368,G327,FALSE)</f>
        <v>10.322413793103401</v>
      </c>
      <c r="J327" s="119">
        <f ca="1">HLOOKUP($H$5,'Met Data'!$H$2:$M$368,G327,FALSE)*L327</f>
        <v>7.7933333333333303</v>
      </c>
      <c r="K327" s="96">
        <f ca="1">HLOOKUP($H$5,'Met Data'!$O$2:$T$368,G327,FALSE)</f>
        <v>1.2757644672773201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201</v>
      </c>
      <c r="H328" s="95">
        <f t="shared" ca="1" si="46"/>
        <v>45491</v>
      </c>
      <c r="I328" s="119">
        <f ca="1">HLOOKUP($H$5,'Met Data'!$A$2:$F$368,G328,FALSE)</f>
        <v>10.189655172413699</v>
      </c>
      <c r="J328" s="119">
        <f ca="1">HLOOKUP($H$5,'Met Data'!$H$2:$M$368,G328,FALSE)*L328</f>
        <v>4.3533333333333299</v>
      </c>
      <c r="K328" s="96">
        <f ca="1">HLOOKUP($H$5,'Met Data'!$O$2:$T$368,G328,FALSE)</f>
        <v>1.3903947480338801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202</v>
      </c>
      <c r="H329" s="95">
        <f t="shared" ref="H329:H392" ca="1" si="56">H328+1</f>
        <v>45492</v>
      </c>
      <c r="I329" s="119">
        <f ca="1">HLOOKUP($H$5,'Met Data'!$A$2:$F$368,G329,FALSE)</f>
        <v>10.668333333333299</v>
      </c>
      <c r="J329" s="119">
        <f ca="1">HLOOKUP($H$5,'Met Data'!$H$2:$M$368,G329,FALSE)*L329</f>
        <v>2.8833333333333302</v>
      </c>
      <c r="K329" s="96">
        <f ca="1">HLOOKUP($H$5,'Met Data'!$O$2:$T$368,G329,FALSE)</f>
        <v>1.4312964730661999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203</v>
      </c>
      <c r="H330" s="95">
        <f t="shared" ca="1" si="56"/>
        <v>45493</v>
      </c>
      <c r="I330" s="119">
        <f ca="1">HLOOKUP($H$5,'Met Data'!$A$2:$F$368,G330,FALSE)</f>
        <v>10.181666666666599</v>
      </c>
      <c r="J330" s="119">
        <f ca="1">HLOOKUP($H$5,'Met Data'!$H$2:$M$368,G330,FALSE)*L330</f>
        <v>4.64333333333333</v>
      </c>
      <c r="K330" s="96">
        <f ca="1">HLOOKUP($H$5,'Met Data'!$O$2:$T$368,G330,FALSE)</f>
        <v>1.23251722447282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204</v>
      </c>
      <c r="H331" s="95">
        <f t="shared" ca="1" si="56"/>
        <v>45494</v>
      </c>
      <c r="I331" s="119">
        <f ca="1">HLOOKUP($H$5,'Met Data'!$A$2:$F$368,G331,FALSE)</f>
        <v>10.761666666666599</v>
      </c>
      <c r="J331" s="119">
        <f ca="1">HLOOKUP($H$5,'Met Data'!$H$2:$M$368,G331,FALSE)*L331</f>
        <v>5.7333333333333298</v>
      </c>
      <c r="K331" s="96">
        <f ca="1">HLOOKUP($H$5,'Met Data'!$O$2:$T$368,G331,FALSE)</f>
        <v>1.55725377410155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205</v>
      </c>
      <c r="H332" s="95">
        <f t="shared" ca="1" si="56"/>
        <v>45495</v>
      </c>
      <c r="I332" s="119">
        <f ca="1">HLOOKUP($H$5,'Met Data'!$A$2:$F$368,G332,FALSE)</f>
        <v>10.623333333333299</v>
      </c>
      <c r="J332" s="119">
        <f ca="1">HLOOKUP($H$5,'Met Data'!$H$2:$M$368,G332,FALSE)*L332</f>
        <v>7.9733333333333301</v>
      </c>
      <c r="K332" s="96">
        <f ca="1">HLOOKUP($H$5,'Met Data'!$O$2:$T$368,G332,FALSE)</f>
        <v>1.24522053814258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206</v>
      </c>
      <c r="H333" s="95">
        <f t="shared" ca="1" si="56"/>
        <v>45496</v>
      </c>
      <c r="I333" s="119">
        <f ca="1">HLOOKUP($H$5,'Met Data'!$A$2:$F$368,G333,FALSE)</f>
        <v>10.654999999999999</v>
      </c>
      <c r="J333" s="119">
        <f ca="1">HLOOKUP($H$5,'Met Data'!$H$2:$M$368,G333,FALSE)*L333</f>
        <v>4.2566666666666597</v>
      </c>
      <c r="K333" s="96">
        <f ca="1">HLOOKUP($H$5,'Met Data'!$O$2:$T$368,G333,FALSE)</f>
        <v>1.3859271813606999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207</v>
      </c>
      <c r="H334" s="95">
        <f t="shared" ca="1" si="56"/>
        <v>45497</v>
      </c>
      <c r="I334" s="119">
        <f ca="1">HLOOKUP($H$5,'Met Data'!$A$2:$F$368,G334,FALSE)</f>
        <v>10.085000000000001</v>
      </c>
      <c r="J334" s="119">
        <f ca="1">HLOOKUP($H$5,'Met Data'!$H$2:$M$368,G334,FALSE)*L334</f>
        <v>4.9833333333333298</v>
      </c>
      <c r="K334" s="96">
        <f ca="1">HLOOKUP($H$5,'Met Data'!$O$2:$T$368,G334,FALSE)</f>
        <v>1.45895733681155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208</v>
      </c>
      <c r="H335" s="95">
        <f t="shared" ca="1" si="56"/>
        <v>45498</v>
      </c>
      <c r="I335" s="119">
        <f ca="1">HLOOKUP($H$5,'Met Data'!$A$2:$F$368,G335,FALSE)</f>
        <v>9.99</v>
      </c>
      <c r="J335" s="119">
        <f ca="1">HLOOKUP($H$5,'Met Data'!$H$2:$M$368,G335,FALSE)*L335</f>
        <v>3.5266666666666602</v>
      </c>
      <c r="K335" s="96">
        <f ca="1">HLOOKUP($H$5,'Met Data'!$O$2:$T$368,G335,FALSE)</f>
        <v>1.3793054622795899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209</v>
      </c>
      <c r="H336" s="95">
        <f t="shared" ca="1" si="56"/>
        <v>45499</v>
      </c>
      <c r="I336" s="119">
        <f ca="1">HLOOKUP($H$5,'Met Data'!$A$2:$F$368,G336,FALSE)</f>
        <v>10.4116666666666</v>
      </c>
      <c r="J336" s="119">
        <f ca="1">HLOOKUP($H$5,'Met Data'!$H$2:$M$368,G336,FALSE)*L336</f>
        <v>5.38</v>
      </c>
      <c r="K336" s="96">
        <f ca="1">HLOOKUP($H$5,'Met Data'!$O$2:$T$368,G336,FALSE)</f>
        <v>1.53088528913385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210</v>
      </c>
      <c r="H337" s="95">
        <f t="shared" ca="1" si="56"/>
        <v>45500</v>
      </c>
      <c r="I337" s="119">
        <f ca="1">HLOOKUP($H$5,'Met Data'!$A$2:$F$368,G337,FALSE)</f>
        <v>10.494999999999999</v>
      </c>
      <c r="J337" s="119">
        <f ca="1">HLOOKUP($H$5,'Met Data'!$H$2:$M$368,G337,FALSE)*L337</f>
        <v>3.6033333333333299</v>
      </c>
      <c r="K337" s="96">
        <f ca="1">HLOOKUP($H$5,'Met Data'!$O$2:$T$368,G337,FALSE)</f>
        <v>1.5836053821317999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211</v>
      </c>
      <c r="H338" s="95">
        <f t="shared" ca="1" si="56"/>
        <v>45501</v>
      </c>
      <c r="I338" s="119">
        <f ca="1">HLOOKUP($H$5,'Met Data'!$A$2:$F$368,G338,FALSE)</f>
        <v>10.685</v>
      </c>
      <c r="J338" s="119">
        <f ca="1">HLOOKUP($H$5,'Met Data'!$H$2:$M$368,G338,FALSE)*L338</f>
        <v>5.83</v>
      </c>
      <c r="K338" s="96">
        <f ca="1">HLOOKUP($H$5,'Met Data'!$O$2:$T$368,G338,FALSE)</f>
        <v>1.6019548518300599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212</v>
      </c>
      <c r="H339" s="95">
        <f t="shared" ca="1" si="56"/>
        <v>45502</v>
      </c>
      <c r="I339" s="119">
        <f ca="1">HLOOKUP($H$5,'Met Data'!$A$2:$F$368,G339,FALSE)</f>
        <v>10.678333333333301</v>
      </c>
      <c r="J339" s="119">
        <f ca="1">HLOOKUP($H$5,'Met Data'!$H$2:$M$368,G339,FALSE)*L339</f>
        <v>2.98</v>
      </c>
      <c r="K339" s="96">
        <f ca="1">HLOOKUP($H$5,'Met Data'!$O$2:$T$368,G339,FALSE)</f>
        <v>1.6077513956073599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213</v>
      </c>
      <c r="H340" s="95">
        <f t="shared" ca="1" si="56"/>
        <v>45503</v>
      </c>
      <c r="I340" s="119">
        <f ca="1">HLOOKUP($H$5,'Met Data'!$A$2:$F$368,G340,FALSE)</f>
        <v>10.767241379310301</v>
      </c>
      <c r="J340" s="119">
        <f ca="1">HLOOKUP($H$5,'Met Data'!$H$2:$M$368,G340,FALSE)*L340</f>
        <v>4.4285714285714199</v>
      </c>
      <c r="K340" s="96">
        <f ca="1">HLOOKUP($H$5,'Met Data'!$O$2:$T$368,G340,FALSE)</f>
        <v>1.4764466109261301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214</v>
      </c>
      <c r="H341" s="95">
        <f t="shared" ca="1" si="56"/>
        <v>45504</v>
      </c>
      <c r="I341" s="119">
        <f ca="1">HLOOKUP($H$5,'Met Data'!$A$2:$F$368,G341,FALSE)</f>
        <v>10.815</v>
      </c>
      <c r="J341" s="119">
        <f ca="1">HLOOKUP($H$5,'Met Data'!$H$2:$M$368,G341,FALSE)*L341</f>
        <v>3.8533333333333299</v>
      </c>
      <c r="K341" s="96">
        <f ca="1">HLOOKUP($H$5,'Met Data'!$O$2:$T$368,G341,FALSE)</f>
        <v>1.4161434812322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215</v>
      </c>
      <c r="H342" s="95">
        <f t="shared" ca="1" si="56"/>
        <v>45505</v>
      </c>
      <c r="I342" s="119">
        <f ca="1">HLOOKUP($H$5,'Met Data'!$A$2:$F$368,G342,FALSE)</f>
        <v>11.156666666666601</v>
      </c>
      <c r="J342" s="119">
        <f ca="1">HLOOKUP($H$5,'Met Data'!$H$2:$M$368,G342,FALSE)*L342</f>
        <v>5.7666666666666604</v>
      </c>
      <c r="K342" s="96">
        <f ca="1">HLOOKUP($H$5,'Met Data'!$O$2:$T$368,G342,FALSE)</f>
        <v>1.4216364054283901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216</v>
      </c>
      <c r="H343" s="95">
        <f t="shared" ca="1" si="56"/>
        <v>45506</v>
      </c>
      <c r="I343" s="119">
        <f ca="1">HLOOKUP($H$5,'Met Data'!$A$2:$F$368,G343,FALSE)</f>
        <v>11.0879310344827</v>
      </c>
      <c r="J343" s="119">
        <f ca="1">HLOOKUP($H$5,'Met Data'!$H$2:$M$368,G343,FALSE)*L343</f>
        <v>3.2896551724137901</v>
      </c>
      <c r="K343" s="96">
        <f ca="1">HLOOKUP($H$5,'Met Data'!$O$2:$T$368,G343,FALSE)</f>
        <v>1.4857250646951901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217</v>
      </c>
      <c r="H344" s="95">
        <f t="shared" ca="1" si="56"/>
        <v>45507</v>
      </c>
      <c r="I344" s="119">
        <f ca="1">HLOOKUP($H$5,'Met Data'!$A$2:$F$368,G344,FALSE)</f>
        <v>10.9965517241379</v>
      </c>
      <c r="J344" s="119">
        <f ca="1">HLOOKUP($H$5,'Met Data'!$H$2:$M$368,G344,FALSE)*L344</f>
        <v>5.08275862068965</v>
      </c>
      <c r="K344" s="96">
        <f ca="1">HLOOKUP($H$5,'Met Data'!$O$2:$T$368,G344,FALSE)</f>
        <v>1.4618721174640501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218</v>
      </c>
      <c r="H345" s="95">
        <f t="shared" ca="1" si="56"/>
        <v>45508</v>
      </c>
      <c r="I345" s="119">
        <f ca="1">HLOOKUP($H$5,'Met Data'!$A$2:$F$368,G345,FALSE)</f>
        <v>10.706395995550601</v>
      </c>
      <c r="J345" s="119">
        <f ca="1">HLOOKUP($H$5,'Met Data'!$H$2:$M$368,G345,FALSE)*L345</f>
        <v>4.8827586206896498</v>
      </c>
      <c r="K345" s="96">
        <f ca="1">HLOOKUP($H$5,'Met Data'!$O$2:$T$368,G345,FALSE)</f>
        <v>1.3278392687764899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219</v>
      </c>
      <c r="H346" s="95">
        <f t="shared" ca="1" si="56"/>
        <v>45509</v>
      </c>
      <c r="I346" s="119">
        <f ca="1">HLOOKUP($H$5,'Met Data'!$A$2:$F$368,G346,FALSE)</f>
        <v>10.6327586206896</v>
      </c>
      <c r="J346" s="119">
        <f ca="1">HLOOKUP($H$5,'Met Data'!$H$2:$M$368,G346,FALSE)*L346</f>
        <v>4.1724137931034404</v>
      </c>
      <c r="K346" s="96">
        <f ca="1">HLOOKUP($H$5,'Met Data'!$O$2:$T$368,G346,FALSE)</f>
        <v>1.47551454127292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220</v>
      </c>
      <c r="H347" s="95">
        <f t="shared" ca="1" si="56"/>
        <v>45510</v>
      </c>
      <c r="I347" s="119">
        <f ca="1">HLOOKUP($H$5,'Met Data'!$A$2:$F$368,G347,FALSE)</f>
        <v>10.7362068965517</v>
      </c>
      <c r="J347" s="119">
        <f ca="1">HLOOKUP($H$5,'Met Data'!$H$2:$M$368,G347,FALSE)*L347</f>
        <v>3.27241379310344</v>
      </c>
      <c r="K347" s="96">
        <f ca="1">HLOOKUP($H$5,'Met Data'!$O$2:$T$368,G347,FALSE)</f>
        <v>1.4915207810797499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221</v>
      </c>
      <c r="H348" s="95">
        <f t="shared" ca="1" si="56"/>
        <v>45511</v>
      </c>
      <c r="I348" s="119">
        <f ca="1">HLOOKUP($H$5,'Met Data'!$A$2:$F$368,G348,FALSE)</f>
        <v>10.733333333333301</v>
      </c>
      <c r="J348" s="119">
        <f ca="1">HLOOKUP($H$5,'Met Data'!$H$2:$M$368,G348,FALSE)*L348</f>
        <v>2.4066666666666601</v>
      </c>
      <c r="K348" s="96">
        <f ca="1">HLOOKUP($H$5,'Met Data'!$O$2:$T$368,G348,FALSE)</f>
        <v>1.7881547154649999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222</v>
      </c>
      <c r="H349" s="95">
        <f t="shared" ca="1" si="56"/>
        <v>45512</v>
      </c>
      <c r="I349" s="119">
        <f ca="1">HLOOKUP($H$5,'Met Data'!$A$2:$F$368,G349,FALSE)</f>
        <v>10.86</v>
      </c>
      <c r="J349" s="119">
        <f ca="1">HLOOKUP($H$5,'Met Data'!$H$2:$M$368,G349,FALSE)*L349</f>
        <v>4.66</v>
      </c>
      <c r="K349" s="96">
        <f ca="1">HLOOKUP($H$5,'Met Data'!$O$2:$T$368,G349,FALSE)</f>
        <v>1.7221488940763401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223</v>
      </c>
      <c r="H350" s="95">
        <f t="shared" ca="1" si="56"/>
        <v>45513</v>
      </c>
      <c r="I350" s="119">
        <f ca="1">HLOOKUP($H$5,'Met Data'!$A$2:$F$368,G350,FALSE)</f>
        <v>10.6416666666666</v>
      </c>
      <c r="J350" s="119">
        <f ca="1">HLOOKUP($H$5,'Met Data'!$H$2:$M$368,G350,FALSE)*L350</f>
        <v>4.53666666666666</v>
      </c>
      <c r="K350" s="96">
        <f ca="1">HLOOKUP($H$5,'Met Data'!$O$2:$T$368,G350,FALSE)</f>
        <v>1.78798041526371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224</v>
      </c>
      <c r="H351" s="95">
        <f t="shared" ca="1" si="56"/>
        <v>45514</v>
      </c>
      <c r="I351" s="119">
        <f ca="1">HLOOKUP($H$5,'Met Data'!$A$2:$F$368,G351,FALSE)</f>
        <v>10.8983333333333</v>
      </c>
      <c r="J351" s="119">
        <f ca="1">HLOOKUP($H$5,'Met Data'!$H$2:$M$368,G351,FALSE)*L351</f>
        <v>5.7266666666666604</v>
      </c>
      <c r="K351" s="96">
        <f ca="1">HLOOKUP($H$5,'Met Data'!$O$2:$T$368,G351,FALSE)</f>
        <v>1.78444613895236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225</v>
      </c>
      <c r="H352" s="95">
        <f t="shared" ca="1" si="56"/>
        <v>45515</v>
      </c>
      <c r="I352" s="119">
        <f ca="1">HLOOKUP($H$5,'Met Data'!$A$2:$F$368,G352,FALSE)</f>
        <v>10.62</v>
      </c>
      <c r="J352" s="119">
        <f ca="1">HLOOKUP($H$5,'Met Data'!$H$2:$M$368,G352,FALSE)*L352</f>
        <v>3.95333333333333</v>
      </c>
      <c r="K352" s="96">
        <f ca="1">HLOOKUP($H$5,'Met Data'!$O$2:$T$368,G352,FALSE)</f>
        <v>1.79702295751458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226</v>
      </c>
      <c r="H353" s="95">
        <f t="shared" ca="1" si="56"/>
        <v>45516</v>
      </c>
      <c r="I353" s="119">
        <f ca="1">HLOOKUP($H$5,'Met Data'!$A$2:$F$368,G353,FALSE)</f>
        <v>10.851666666666601</v>
      </c>
      <c r="J353" s="119">
        <f ca="1">HLOOKUP($H$5,'Met Data'!$H$2:$M$368,G353,FALSE)*L353</f>
        <v>4.43</v>
      </c>
      <c r="K353" s="96">
        <f ca="1">HLOOKUP($H$5,'Met Data'!$O$2:$T$368,G353,FALSE)</f>
        <v>1.75622712343688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227</v>
      </c>
      <c r="H354" s="95">
        <f t="shared" ca="1" si="56"/>
        <v>45517</v>
      </c>
      <c r="I354" s="119">
        <f ca="1">HLOOKUP($H$5,'Met Data'!$A$2:$F$368,G354,FALSE)</f>
        <v>10.715517241379301</v>
      </c>
      <c r="J354" s="119">
        <f ca="1">HLOOKUP($H$5,'Met Data'!$H$2:$M$368,G354,FALSE)*L354</f>
        <v>5.1034482758620596</v>
      </c>
      <c r="K354" s="96">
        <f ca="1">HLOOKUP($H$5,'Met Data'!$O$2:$T$368,G354,FALSE)</f>
        <v>1.8143744354657301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228</v>
      </c>
      <c r="H355" s="95">
        <f t="shared" ca="1" si="56"/>
        <v>45518</v>
      </c>
      <c r="I355" s="119">
        <f ca="1">HLOOKUP($H$5,'Met Data'!$A$2:$F$368,G355,FALSE)</f>
        <v>10.171666666666599</v>
      </c>
      <c r="J355" s="119">
        <f ca="1">HLOOKUP($H$5,'Met Data'!$H$2:$M$368,G355,FALSE)*L355</f>
        <v>5.0933333333333302</v>
      </c>
      <c r="K355" s="96">
        <f ca="1">HLOOKUP($H$5,'Met Data'!$O$2:$T$368,G355,FALSE)</f>
        <v>1.7504322855227901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229</v>
      </c>
      <c r="H356" s="95">
        <f t="shared" ca="1" si="56"/>
        <v>45519</v>
      </c>
      <c r="I356" s="119">
        <f ca="1">HLOOKUP($H$5,'Met Data'!$A$2:$F$368,G356,FALSE)</f>
        <v>10.203333333333299</v>
      </c>
      <c r="J356" s="119">
        <f ca="1">HLOOKUP($H$5,'Met Data'!$H$2:$M$368,G356,FALSE)*L356</f>
        <v>4.3433333333333302</v>
      </c>
      <c r="K356" s="96">
        <f ca="1">HLOOKUP($H$5,'Met Data'!$O$2:$T$368,G356,FALSE)</f>
        <v>1.72694084936311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230</v>
      </c>
      <c r="H357" s="95">
        <f t="shared" ca="1" si="56"/>
        <v>45520</v>
      </c>
      <c r="I357" s="119">
        <f ca="1">HLOOKUP($H$5,'Met Data'!$A$2:$F$368,G357,FALSE)</f>
        <v>10.0833333333333</v>
      </c>
      <c r="J357" s="119">
        <f ca="1">HLOOKUP($H$5,'Met Data'!$H$2:$M$368,G357,FALSE)*L357</f>
        <v>5.3333333333333304</v>
      </c>
      <c r="K357" s="96">
        <f ca="1">HLOOKUP($H$5,'Met Data'!$O$2:$T$368,G357,FALSE)</f>
        <v>1.9911176675537099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231</v>
      </c>
      <c r="H358" s="95">
        <f t="shared" ca="1" si="56"/>
        <v>45521</v>
      </c>
      <c r="I358" s="119">
        <f ca="1">HLOOKUP($H$5,'Met Data'!$A$2:$F$368,G358,FALSE)</f>
        <v>10.0833333333333</v>
      </c>
      <c r="J358" s="119">
        <f ca="1">HLOOKUP($H$5,'Met Data'!$H$2:$M$368,G358,FALSE)*L358</f>
        <v>3.9433333333333298</v>
      </c>
      <c r="K358" s="96">
        <f ca="1">HLOOKUP($H$5,'Met Data'!$O$2:$T$368,G358,FALSE)</f>
        <v>1.888960132222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232</v>
      </c>
      <c r="H359" s="95">
        <f t="shared" ca="1" si="56"/>
        <v>45522</v>
      </c>
      <c r="I359" s="119">
        <f ca="1">HLOOKUP($H$5,'Met Data'!$A$2:$F$368,G359,FALSE)</f>
        <v>10.1383333333333</v>
      </c>
      <c r="J359" s="119">
        <f ca="1">HLOOKUP($H$5,'Met Data'!$H$2:$M$368,G359,FALSE)*L359</f>
        <v>3.5733333333333301</v>
      </c>
      <c r="K359" s="96">
        <f ca="1">HLOOKUP($H$5,'Met Data'!$O$2:$T$368,G359,FALSE)</f>
        <v>1.8335933724759199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233</v>
      </c>
      <c r="H360" s="95">
        <f t="shared" ca="1" si="56"/>
        <v>45523</v>
      </c>
      <c r="I360" s="119">
        <f ca="1">HLOOKUP($H$5,'Met Data'!$A$2:$F$368,G360,FALSE)</f>
        <v>10.421666666666599</v>
      </c>
      <c r="J360" s="119">
        <f ca="1">HLOOKUP($H$5,'Met Data'!$H$2:$M$368,G360,FALSE)*L360</f>
        <v>4.8033333333333301</v>
      </c>
      <c r="K360" s="96">
        <f ca="1">HLOOKUP($H$5,'Met Data'!$O$2:$T$368,G360,FALSE)</f>
        <v>1.7788236818437999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234</v>
      </c>
      <c r="H361" s="95">
        <f t="shared" ca="1" si="56"/>
        <v>45524</v>
      </c>
      <c r="I361" s="119">
        <f ca="1">HLOOKUP($H$5,'Met Data'!$A$2:$F$368,G361,FALSE)</f>
        <v>10.703333333333299</v>
      </c>
      <c r="J361" s="119">
        <f ca="1">HLOOKUP($H$5,'Met Data'!$H$2:$M$368,G361,FALSE)*L361</f>
        <v>3.9833333333333298</v>
      </c>
      <c r="K361" s="96">
        <f ca="1">HLOOKUP($H$5,'Met Data'!$O$2:$T$368,G361,FALSE)</f>
        <v>1.7879198703522201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235</v>
      </c>
      <c r="H362" s="95">
        <f t="shared" ca="1" si="56"/>
        <v>45525</v>
      </c>
      <c r="I362" s="119">
        <f ca="1">HLOOKUP($H$5,'Met Data'!$A$2:$F$368,G362,FALSE)</f>
        <v>10.8266666666666</v>
      </c>
      <c r="J362" s="119">
        <f ca="1">HLOOKUP($H$5,'Met Data'!$H$2:$M$368,G362,FALSE)*L362</f>
        <v>3.93</v>
      </c>
      <c r="K362" s="96">
        <f ca="1">HLOOKUP($H$5,'Met Data'!$O$2:$T$368,G362,FALSE)</f>
        <v>1.8884109943012299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236</v>
      </c>
      <c r="H363" s="95">
        <f t="shared" ca="1" si="56"/>
        <v>45526</v>
      </c>
      <c r="I363" s="119">
        <f ca="1">HLOOKUP($H$5,'Met Data'!$A$2:$F$368,G363,FALSE)</f>
        <v>11.0766666666666</v>
      </c>
      <c r="J363" s="119">
        <f ca="1">HLOOKUP($H$5,'Met Data'!$H$2:$M$368,G363,FALSE)*L363</f>
        <v>3.45</v>
      </c>
      <c r="K363" s="96">
        <f ca="1">HLOOKUP($H$5,'Met Data'!$O$2:$T$368,G363,FALSE)</f>
        <v>2.20927169374758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237</v>
      </c>
      <c r="H364" s="95">
        <f t="shared" ca="1" si="56"/>
        <v>45527</v>
      </c>
      <c r="I364" s="119">
        <f ca="1">HLOOKUP($H$5,'Met Data'!$A$2:$F$368,G364,FALSE)</f>
        <v>11.088333333333299</v>
      </c>
      <c r="J364" s="119">
        <f ca="1">HLOOKUP($H$5,'Met Data'!$H$2:$M$368,G364,FALSE)*L364</f>
        <v>3.2366666666666601</v>
      </c>
      <c r="K364" s="96">
        <f ca="1">HLOOKUP($H$5,'Met Data'!$O$2:$T$368,G364,FALSE)</f>
        <v>1.9660073359530601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238</v>
      </c>
      <c r="H365" s="95">
        <f t="shared" ca="1" si="56"/>
        <v>45528</v>
      </c>
      <c r="I365" s="119">
        <f ca="1">HLOOKUP($H$5,'Met Data'!$A$2:$F$368,G365,FALSE)</f>
        <v>11.283333333333299</v>
      </c>
      <c r="J365" s="119">
        <f ca="1">HLOOKUP($H$5,'Met Data'!$H$2:$M$368,G365,FALSE)*L365</f>
        <v>7.0266666666666602</v>
      </c>
      <c r="K365" s="96">
        <f ca="1">HLOOKUP($H$5,'Met Data'!$O$2:$T$368,G365,FALSE)</f>
        <v>1.72961358813406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239</v>
      </c>
      <c r="H366" s="95">
        <f t="shared" ca="1" si="56"/>
        <v>45529</v>
      </c>
      <c r="I366" s="119">
        <f ca="1">HLOOKUP($H$5,'Met Data'!$A$2:$F$368,G366,FALSE)</f>
        <v>11.1383333333333</v>
      </c>
      <c r="J366" s="119">
        <f ca="1">HLOOKUP($H$5,'Met Data'!$H$2:$M$368,G366,FALSE)*L366</f>
        <v>4.5666666666666602</v>
      </c>
      <c r="K366" s="96">
        <f ca="1">HLOOKUP($H$5,'Met Data'!$O$2:$T$368,G366,FALSE)</f>
        <v>2.0311984249146202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240</v>
      </c>
      <c r="H367" s="95">
        <f t="shared" ca="1" si="56"/>
        <v>45530</v>
      </c>
      <c r="I367" s="119">
        <f ca="1">HLOOKUP($H$5,'Met Data'!$A$2:$F$368,G367,FALSE)</f>
        <v>11.1133333333333</v>
      </c>
      <c r="J367" s="119">
        <f ca="1">HLOOKUP($H$5,'Met Data'!$H$2:$M$368,G367,FALSE)*L367</f>
        <v>2.8866666666666601</v>
      </c>
      <c r="K367" s="96">
        <f ca="1">HLOOKUP($H$5,'Met Data'!$O$2:$T$368,G367,FALSE)</f>
        <v>2.0005217214048798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241</v>
      </c>
      <c r="H368" s="95">
        <f t="shared" ca="1" si="56"/>
        <v>45531</v>
      </c>
      <c r="I368" s="119">
        <f ca="1">HLOOKUP($H$5,'Met Data'!$A$2:$F$368,G368,FALSE)</f>
        <v>10.7724137931034</v>
      </c>
      <c r="J368" s="119">
        <f ca="1">HLOOKUP($H$5,'Met Data'!$H$2:$M$368,G368,FALSE)*L368</f>
        <v>2.4862068965517201</v>
      </c>
      <c r="K368" s="96">
        <f ca="1">HLOOKUP($H$5,'Met Data'!$O$2:$T$368,G368,FALSE)</f>
        <v>2.19808146037672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242</v>
      </c>
      <c r="H369" s="95">
        <f t="shared" ca="1" si="56"/>
        <v>45532</v>
      </c>
      <c r="I369" s="119">
        <f ca="1">HLOOKUP($H$5,'Met Data'!$A$2:$F$368,G369,FALSE)</f>
        <v>10.753448275862</v>
      </c>
      <c r="J369" s="119">
        <f ca="1">HLOOKUP($H$5,'Met Data'!$H$2:$M$368,G369,FALSE)*L369</f>
        <v>2.4068965517241301</v>
      </c>
      <c r="K369" s="96">
        <f ca="1">HLOOKUP($H$5,'Met Data'!$O$2:$T$368,G369,FALSE)</f>
        <v>2.1823268558862501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243</v>
      </c>
      <c r="H370" s="95">
        <f t="shared" ca="1" si="56"/>
        <v>45533</v>
      </c>
      <c r="I370" s="119">
        <f ca="1">HLOOKUP($H$5,'Met Data'!$A$2:$F$368,G370,FALSE)</f>
        <v>10.891379310344799</v>
      </c>
      <c r="J370" s="119">
        <f ca="1">HLOOKUP($H$5,'Met Data'!$H$2:$M$368,G370,FALSE)*L370</f>
        <v>2.9931034482758601</v>
      </c>
      <c r="K370" s="96">
        <f ca="1">HLOOKUP($H$5,'Met Data'!$O$2:$T$368,G370,FALSE)</f>
        <v>1.8307871864441201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244</v>
      </c>
      <c r="H371" s="95">
        <f t="shared" ca="1" si="56"/>
        <v>45534</v>
      </c>
      <c r="I371" s="119">
        <f ca="1">HLOOKUP($H$5,'Met Data'!$A$2:$F$368,G371,FALSE)</f>
        <v>10.953448275862</v>
      </c>
      <c r="J371" s="119">
        <f ca="1">HLOOKUP($H$5,'Met Data'!$H$2:$M$368,G371,FALSE)*L371</f>
        <v>4.8862068965517196</v>
      </c>
      <c r="K371" s="96">
        <f ca="1">HLOOKUP($H$5,'Met Data'!$O$2:$T$368,G371,FALSE)</f>
        <v>2.1498109306225701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245</v>
      </c>
      <c r="H372" s="95">
        <f t="shared" ca="1" si="56"/>
        <v>45535</v>
      </c>
      <c r="I372" s="119">
        <f ca="1">HLOOKUP($H$5,'Met Data'!$A$2:$F$368,G372,FALSE)</f>
        <v>10.803333333333301</v>
      </c>
      <c r="J372" s="119">
        <f ca="1">HLOOKUP($H$5,'Met Data'!$H$2:$M$368,G372,FALSE)*L372</f>
        <v>3.05</v>
      </c>
      <c r="K372" s="96">
        <f ca="1">HLOOKUP($H$5,'Met Data'!$O$2:$T$368,G372,FALSE)</f>
        <v>2.1147026396135802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246</v>
      </c>
      <c r="H373" s="95">
        <f t="shared" ca="1" si="56"/>
        <v>45536</v>
      </c>
      <c r="I373" s="119">
        <f ca="1">HLOOKUP($H$5,'Met Data'!$A$2:$F$368,G373,FALSE)</f>
        <v>10.862068965517199</v>
      </c>
      <c r="J373" s="119">
        <f ca="1">HLOOKUP($H$5,'Met Data'!$H$2:$M$368,G373,FALSE)*L373</f>
        <v>2.8035714285714199</v>
      </c>
      <c r="K373" s="96">
        <f ca="1">HLOOKUP($H$5,'Met Data'!$O$2:$T$368,G373,FALSE)</f>
        <v>2.04836351360946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247</v>
      </c>
      <c r="H374" s="95">
        <f t="shared" ca="1" si="56"/>
        <v>45537</v>
      </c>
      <c r="I374" s="119">
        <f ca="1">HLOOKUP($H$5,'Met Data'!$A$2:$F$368,G374,FALSE)</f>
        <v>11.4379310344827</v>
      </c>
      <c r="J374" s="119">
        <f ca="1">HLOOKUP($H$5,'Met Data'!$H$2:$M$368,G374,FALSE)*L374</f>
        <v>2.2964285714285699</v>
      </c>
      <c r="K374" s="96">
        <f ca="1">HLOOKUP($H$5,'Met Data'!$O$2:$T$368,G374,FALSE)</f>
        <v>2.1933906940536101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248</v>
      </c>
      <c r="H375" s="95">
        <f t="shared" ca="1" si="56"/>
        <v>45538</v>
      </c>
      <c r="I375" s="119">
        <f ca="1">HLOOKUP($H$5,'Met Data'!$A$2:$F$368,G375,FALSE)</f>
        <v>11.5448275862068</v>
      </c>
      <c r="J375" s="119">
        <f ca="1">HLOOKUP($H$5,'Met Data'!$H$2:$M$368,G375,FALSE)*L375</f>
        <v>3.6892857142857101</v>
      </c>
      <c r="K375" s="96">
        <f ca="1">HLOOKUP($H$5,'Met Data'!$O$2:$T$368,G375,FALSE)</f>
        <v>2.0025541274337399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249</v>
      </c>
      <c r="H376" s="95">
        <f t="shared" ca="1" si="56"/>
        <v>45539</v>
      </c>
      <c r="I376" s="119">
        <f ca="1">HLOOKUP($H$5,'Met Data'!$A$2:$F$368,G376,FALSE)</f>
        <v>11.734482758620601</v>
      </c>
      <c r="J376" s="119">
        <f ca="1">HLOOKUP($H$5,'Met Data'!$H$2:$M$368,G376,FALSE)*L376</f>
        <v>5.6892857142857096</v>
      </c>
      <c r="K376" s="96">
        <f ca="1">HLOOKUP($H$5,'Met Data'!$O$2:$T$368,G376,FALSE)</f>
        <v>2.0261980789565999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250</v>
      </c>
      <c r="H377" s="95">
        <f t="shared" ca="1" si="56"/>
        <v>45540</v>
      </c>
      <c r="I377" s="119">
        <f ca="1">HLOOKUP($H$5,'Met Data'!$A$2:$F$368,G377,FALSE)</f>
        <v>11.682758620689601</v>
      </c>
      <c r="J377" s="119">
        <f ca="1">HLOOKUP($H$5,'Met Data'!$H$2:$M$368,G377,FALSE)*L377</f>
        <v>3.97586206896551</v>
      </c>
      <c r="K377" s="96">
        <f ca="1">HLOOKUP($H$5,'Met Data'!$O$2:$T$368,G377,FALSE)</f>
        <v>2.26836536246158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251</v>
      </c>
      <c r="H378" s="95">
        <f t="shared" ca="1" si="56"/>
        <v>45541</v>
      </c>
      <c r="I378" s="119">
        <f ca="1">HLOOKUP($H$5,'Met Data'!$A$2:$F$368,G378,FALSE)</f>
        <v>11.389655172413701</v>
      </c>
      <c r="J378" s="119">
        <f ca="1">HLOOKUP($H$5,'Met Data'!$H$2:$M$368,G378,FALSE)*L378</f>
        <v>2.6793103448275799</v>
      </c>
      <c r="K378" s="96">
        <f ca="1">HLOOKUP($H$5,'Met Data'!$O$2:$T$368,G378,FALSE)</f>
        <v>2.1403968231495001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252</v>
      </c>
      <c r="H379" s="95">
        <f t="shared" ca="1" si="56"/>
        <v>45542</v>
      </c>
      <c r="I379" s="119">
        <f ca="1">HLOOKUP($H$5,'Met Data'!$A$2:$F$368,G379,FALSE)</f>
        <v>11.834482758620601</v>
      </c>
      <c r="J379" s="119">
        <f ca="1">HLOOKUP($H$5,'Met Data'!$H$2:$M$368,G379,FALSE)*L379</f>
        <v>4.4310344827586201</v>
      </c>
      <c r="K379" s="96">
        <f ca="1">HLOOKUP($H$5,'Met Data'!$O$2:$T$368,G379,FALSE)</f>
        <v>2.4179314095726698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253</v>
      </c>
      <c r="H380" s="95">
        <f t="shared" ca="1" si="56"/>
        <v>45543</v>
      </c>
      <c r="I380" s="119">
        <f ca="1">HLOOKUP($H$5,'Met Data'!$A$2:$F$368,G380,FALSE)</f>
        <v>11.465</v>
      </c>
      <c r="J380" s="119">
        <f ca="1">HLOOKUP($H$5,'Met Data'!$H$2:$M$368,G380,FALSE)*L380</f>
        <v>3.6827586206896501</v>
      </c>
      <c r="K380" s="96">
        <f ca="1">HLOOKUP($H$5,'Met Data'!$O$2:$T$368,G380,FALSE)</f>
        <v>2.2362909221430498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254</v>
      </c>
      <c r="H381" s="95">
        <f t="shared" ca="1" si="56"/>
        <v>45544</v>
      </c>
      <c r="I381" s="119">
        <f ca="1">HLOOKUP($H$5,'Met Data'!$A$2:$F$368,G381,FALSE)</f>
        <v>11.62</v>
      </c>
      <c r="J381" s="119">
        <f ca="1">HLOOKUP($H$5,'Met Data'!$H$2:$M$368,G381,FALSE)*L381</f>
        <v>1.66333333333333</v>
      </c>
      <c r="K381" s="96">
        <f ca="1">HLOOKUP($H$5,'Met Data'!$O$2:$T$368,G381,FALSE)</f>
        <v>2.5120136328346701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255</v>
      </c>
      <c r="H382" s="95">
        <f t="shared" ca="1" si="56"/>
        <v>45545</v>
      </c>
      <c r="I382" s="119">
        <f ca="1">HLOOKUP($H$5,'Met Data'!$A$2:$F$368,G382,FALSE)</f>
        <v>11.7633333333333</v>
      </c>
      <c r="J382" s="119">
        <f ca="1">HLOOKUP($H$5,'Met Data'!$H$2:$M$368,G382,FALSE)*L382</f>
        <v>3.2833333333333301</v>
      </c>
      <c r="K382" s="96">
        <f ca="1">HLOOKUP($H$5,'Met Data'!$O$2:$T$368,G382,FALSE)</f>
        <v>2.3151045080086101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256</v>
      </c>
      <c r="H383" s="95">
        <f t="shared" ca="1" si="56"/>
        <v>45546</v>
      </c>
      <c r="I383" s="119">
        <f ca="1">HLOOKUP($H$5,'Met Data'!$A$2:$F$368,G383,FALSE)</f>
        <v>12.158333333333299</v>
      </c>
      <c r="J383" s="119">
        <f ca="1">HLOOKUP($H$5,'Met Data'!$H$2:$M$368,G383,FALSE)*L383</f>
        <v>3.8833333333333302</v>
      </c>
      <c r="K383" s="96">
        <f ca="1">HLOOKUP($H$5,'Met Data'!$O$2:$T$368,G383,FALSE)</f>
        <v>2.3727724062230302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257</v>
      </c>
      <c r="H384" s="95">
        <f t="shared" ca="1" si="56"/>
        <v>45547</v>
      </c>
      <c r="I384" s="119">
        <f ca="1">HLOOKUP($H$5,'Met Data'!$A$2:$F$368,G384,FALSE)</f>
        <v>11.908333333333299</v>
      </c>
      <c r="J384" s="119">
        <f ca="1">HLOOKUP($H$5,'Met Data'!$H$2:$M$368,G384,FALSE)*L384</f>
        <v>5.26</v>
      </c>
      <c r="K384" s="96">
        <f ca="1">HLOOKUP($H$5,'Met Data'!$O$2:$T$368,G384,FALSE)</f>
        <v>2.4036248389024699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258</v>
      </c>
      <c r="H385" s="95">
        <f t="shared" ca="1" si="56"/>
        <v>45548</v>
      </c>
      <c r="I385" s="119">
        <f ca="1">HLOOKUP($H$5,'Met Data'!$A$2:$F$368,G385,FALSE)</f>
        <v>12.074999999999999</v>
      </c>
      <c r="J385" s="119">
        <f ca="1">HLOOKUP($H$5,'Met Data'!$H$2:$M$368,G385,FALSE)*L385</f>
        <v>3.6933333333333298</v>
      </c>
      <c r="K385" s="96">
        <f ca="1">HLOOKUP($H$5,'Met Data'!$O$2:$T$368,G385,FALSE)</f>
        <v>2.56639010677653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259</v>
      </c>
      <c r="H386" s="95">
        <f t="shared" ca="1" si="56"/>
        <v>45549</v>
      </c>
      <c r="I386" s="119">
        <f ca="1">HLOOKUP($H$5,'Met Data'!$A$2:$F$368,G386,FALSE)</f>
        <v>12.3883333333333</v>
      </c>
      <c r="J386" s="119">
        <f ca="1">HLOOKUP($H$5,'Met Data'!$H$2:$M$368,G386,FALSE)*L386</f>
        <v>3.26</v>
      </c>
      <c r="K386" s="96">
        <f ca="1">HLOOKUP($H$5,'Met Data'!$O$2:$T$368,G386,FALSE)</f>
        <v>2.3157931057843801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260</v>
      </c>
      <c r="H387" s="95">
        <f t="shared" ca="1" si="56"/>
        <v>45550</v>
      </c>
      <c r="I387" s="119">
        <f ca="1">HLOOKUP($H$5,'Met Data'!$A$2:$F$368,G387,FALSE)</f>
        <v>12.5766666666666</v>
      </c>
      <c r="J387" s="119">
        <f ca="1">HLOOKUP($H$5,'Met Data'!$H$2:$M$368,G387,FALSE)*L387</f>
        <v>3.5999999999999899</v>
      </c>
      <c r="K387" s="96">
        <f ca="1">HLOOKUP($H$5,'Met Data'!$O$2:$T$368,G387,FALSE)</f>
        <v>2.2894884287258899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261</v>
      </c>
      <c r="H388" s="95">
        <f t="shared" ca="1" si="56"/>
        <v>45551</v>
      </c>
      <c r="I388" s="119">
        <f ca="1">HLOOKUP($H$5,'Met Data'!$A$2:$F$368,G388,FALSE)</f>
        <v>12.482258064516101</v>
      </c>
      <c r="J388" s="119">
        <f ca="1">HLOOKUP($H$5,'Met Data'!$H$2:$M$368,G388,FALSE)*L388</f>
        <v>2.73870967741935</v>
      </c>
      <c r="K388" s="96">
        <f ca="1">HLOOKUP($H$5,'Met Data'!$O$2:$T$368,G388,FALSE)</f>
        <v>2.42321708135252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262</v>
      </c>
      <c r="H389" s="95">
        <f t="shared" ca="1" si="56"/>
        <v>45552</v>
      </c>
      <c r="I389" s="119">
        <f ca="1">HLOOKUP($H$5,'Met Data'!$A$2:$F$368,G389,FALSE)</f>
        <v>12.261290322580599</v>
      </c>
      <c r="J389" s="119">
        <f ca="1">HLOOKUP($H$5,'Met Data'!$H$2:$M$368,G389,FALSE)*L389</f>
        <v>2.5741935483870901</v>
      </c>
      <c r="K389" s="96">
        <f ca="1">HLOOKUP($H$5,'Met Data'!$O$2:$T$368,G389,FALSE)</f>
        <v>2.45933848636487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263</v>
      </c>
      <c r="H390" s="95">
        <f t="shared" ca="1" si="56"/>
        <v>45553</v>
      </c>
      <c r="I390" s="119">
        <f ca="1">HLOOKUP($H$5,'Met Data'!$A$2:$F$368,G390,FALSE)</f>
        <v>12.1677419354838</v>
      </c>
      <c r="J390" s="119">
        <f ca="1">HLOOKUP($H$5,'Met Data'!$H$2:$M$368,G390,FALSE)*L390</f>
        <v>3.5774193548387001</v>
      </c>
      <c r="K390" s="96">
        <f ca="1">HLOOKUP($H$5,'Met Data'!$O$2:$T$368,G390,FALSE)</f>
        <v>2.2883058912546601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264</v>
      </c>
      <c r="H391" s="95">
        <f t="shared" ca="1" si="56"/>
        <v>45554</v>
      </c>
      <c r="I391" s="119">
        <f ca="1">HLOOKUP($H$5,'Met Data'!$A$2:$F$368,G391,FALSE)</f>
        <v>12.1064516129032</v>
      </c>
      <c r="J391" s="119">
        <f ca="1">HLOOKUP($H$5,'Met Data'!$H$2:$M$368,G391,FALSE)*L391</f>
        <v>2.6774193548387002</v>
      </c>
      <c r="K391" s="96">
        <f ca="1">HLOOKUP($H$5,'Met Data'!$O$2:$T$368,G391,FALSE)</f>
        <v>2.6656714596224198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265</v>
      </c>
      <c r="H392" s="95">
        <f t="shared" ca="1" si="56"/>
        <v>45555</v>
      </c>
      <c r="I392" s="119">
        <f ca="1">HLOOKUP($H$5,'Met Data'!$A$2:$F$368,G392,FALSE)</f>
        <v>12.012903225806401</v>
      </c>
      <c r="J392" s="119">
        <f ca="1">HLOOKUP($H$5,'Met Data'!$H$2:$M$368,G392,FALSE)*L392</f>
        <v>2.8193548387096699</v>
      </c>
      <c r="K392" s="96">
        <f ca="1">HLOOKUP($H$5,'Met Data'!$O$2:$T$368,G392,FALSE)</f>
        <v>2.6640837362866301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266</v>
      </c>
      <c r="H393" s="95">
        <f t="shared" ref="H393:H456" ca="1" si="66">H392+1</f>
        <v>45556</v>
      </c>
      <c r="I393" s="119">
        <f ca="1">HLOOKUP($H$5,'Met Data'!$A$2:$F$368,G393,FALSE)</f>
        <v>12.1612903225806</v>
      </c>
      <c r="J393" s="119">
        <f ca="1">HLOOKUP($H$5,'Met Data'!$H$2:$M$368,G393,FALSE)*L393</f>
        <v>4.2935483870967701</v>
      </c>
      <c r="K393" s="96">
        <f ca="1">HLOOKUP($H$5,'Met Data'!$O$2:$T$368,G393,FALSE)</f>
        <v>2.5405503102234701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267</v>
      </c>
      <c r="H394" s="95">
        <f t="shared" ca="1" si="66"/>
        <v>45557</v>
      </c>
      <c r="I394" s="119">
        <f ca="1">HLOOKUP($H$5,'Met Data'!$A$2:$F$368,G394,FALSE)</f>
        <v>12.285483870967701</v>
      </c>
      <c r="J394" s="119">
        <f ca="1">HLOOKUP($H$5,'Met Data'!$H$2:$M$368,G394,FALSE)*L394</f>
        <v>3.69677419354838</v>
      </c>
      <c r="K394" s="96">
        <f ca="1">HLOOKUP($H$5,'Met Data'!$O$2:$T$368,G394,FALSE)</f>
        <v>2.75659518409562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268</v>
      </c>
      <c r="H395" s="95">
        <f t="shared" ca="1" si="66"/>
        <v>45558</v>
      </c>
      <c r="I395" s="119">
        <f ca="1">HLOOKUP($H$5,'Met Data'!$A$2:$F$368,G395,FALSE)</f>
        <v>12.7274193548387</v>
      </c>
      <c r="J395" s="119">
        <f ca="1">HLOOKUP($H$5,'Met Data'!$H$2:$M$368,G395,FALSE)*L395</f>
        <v>4.4354838709677402</v>
      </c>
      <c r="K395" s="96">
        <f ca="1">HLOOKUP($H$5,'Met Data'!$O$2:$T$368,G395,FALSE)</f>
        <v>2.4043238309259301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269</v>
      </c>
      <c r="H396" s="95">
        <f t="shared" ca="1" si="66"/>
        <v>45559</v>
      </c>
      <c r="I396" s="119">
        <f ca="1">HLOOKUP($H$5,'Met Data'!$A$2:$F$368,G396,FALSE)</f>
        <v>12.4338709677419</v>
      </c>
      <c r="J396" s="119">
        <f ca="1">HLOOKUP($H$5,'Met Data'!$H$2:$M$368,G396,FALSE)*L396</f>
        <v>3.1290322580645098</v>
      </c>
      <c r="K396" s="96">
        <f ca="1">HLOOKUP($H$5,'Met Data'!$O$2:$T$368,G396,FALSE)</f>
        <v>2.32653952570764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270</v>
      </c>
      <c r="H397" s="95">
        <f t="shared" ca="1" si="66"/>
        <v>45560</v>
      </c>
      <c r="I397" s="119">
        <f ca="1">HLOOKUP($H$5,'Met Data'!$A$2:$F$368,G397,FALSE)</f>
        <v>12.341666666666599</v>
      </c>
      <c r="J397" s="119">
        <f ca="1">HLOOKUP($H$5,'Met Data'!$H$2:$M$368,G397,FALSE)*L397</f>
        <v>4.32666666666666</v>
      </c>
      <c r="K397" s="96">
        <f ca="1">HLOOKUP($H$5,'Met Data'!$O$2:$T$368,G397,FALSE)</f>
        <v>2.5198296361703401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271</v>
      </c>
      <c r="H398" s="95">
        <f t="shared" ca="1" si="66"/>
        <v>45561</v>
      </c>
      <c r="I398" s="119">
        <f ca="1">HLOOKUP($H$5,'Met Data'!$A$2:$F$368,G398,FALSE)</f>
        <v>12.7183333333333</v>
      </c>
      <c r="J398" s="119">
        <f ca="1">HLOOKUP($H$5,'Met Data'!$H$2:$M$368,G398,FALSE)*L398</f>
        <v>2.83</v>
      </c>
      <c r="K398" s="96">
        <f ca="1">HLOOKUP($H$5,'Met Data'!$O$2:$T$368,G398,FALSE)</f>
        <v>2.6371707298843199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272</v>
      </c>
      <c r="H399" s="95">
        <f t="shared" ca="1" si="66"/>
        <v>45562</v>
      </c>
      <c r="I399" s="119">
        <f ca="1">HLOOKUP($H$5,'Met Data'!$A$2:$F$368,G399,FALSE)</f>
        <v>13.04</v>
      </c>
      <c r="J399" s="119">
        <f ca="1">HLOOKUP($H$5,'Met Data'!$H$2:$M$368,G399,FALSE)*L399</f>
        <v>4.2233333333333301</v>
      </c>
      <c r="K399" s="96">
        <f ca="1">HLOOKUP($H$5,'Met Data'!$O$2:$T$368,G399,FALSE)</f>
        <v>2.4067153885809098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273</v>
      </c>
      <c r="H400" s="95">
        <f t="shared" ca="1" si="66"/>
        <v>45563</v>
      </c>
      <c r="I400" s="119">
        <f ca="1">HLOOKUP($H$5,'Met Data'!$A$2:$F$368,G400,FALSE)</f>
        <v>13.381034482758601</v>
      </c>
      <c r="J400" s="119">
        <f ca="1">HLOOKUP($H$5,'Met Data'!$H$2:$M$368,G400,FALSE)*L400</f>
        <v>3.7620689655172401</v>
      </c>
      <c r="K400" s="96">
        <f ca="1">HLOOKUP($H$5,'Met Data'!$O$2:$T$368,G400,FALSE)</f>
        <v>2.71659484771267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274</v>
      </c>
      <c r="H401" s="95">
        <f t="shared" ca="1" si="66"/>
        <v>45564</v>
      </c>
      <c r="I401" s="119">
        <f ca="1">HLOOKUP($H$5,'Met Data'!$A$2:$F$368,G401,FALSE)</f>
        <v>13.274137931034399</v>
      </c>
      <c r="J401" s="119">
        <f ca="1">HLOOKUP($H$5,'Met Data'!$H$2:$M$368,G401,FALSE)*L401</f>
        <v>5.4793103448275797</v>
      </c>
      <c r="K401" s="96">
        <f ca="1">HLOOKUP($H$5,'Met Data'!$O$2:$T$368,G401,FALSE)</f>
        <v>2.6496213239398698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275</v>
      </c>
      <c r="H402" s="95">
        <f t="shared" ca="1" si="66"/>
        <v>45565</v>
      </c>
      <c r="I402" s="119">
        <f ca="1">HLOOKUP($H$5,'Met Data'!$A$2:$F$368,G402,FALSE)</f>
        <v>13.0233333333333</v>
      </c>
      <c r="J402" s="119">
        <f ca="1">HLOOKUP($H$5,'Met Data'!$H$2:$M$368,G402,FALSE)*L402</f>
        <v>7.2033333333333296</v>
      </c>
      <c r="K402" s="96">
        <f ca="1">HLOOKUP($H$5,'Met Data'!$O$2:$T$368,G402,FALSE)</f>
        <v>2.7120872842053001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276</v>
      </c>
      <c r="H403" s="95">
        <f t="shared" ca="1" si="66"/>
        <v>45566</v>
      </c>
      <c r="I403" s="119">
        <f ca="1">HLOOKUP($H$5,'Met Data'!$A$2:$F$368,G403,FALSE)</f>
        <v>12.938333333333301</v>
      </c>
      <c r="J403" s="119">
        <f ca="1">HLOOKUP($H$5,'Met Data'!$H$2:$M$368,G403,FALSE)*L403</f>
        <v>4.3633333333333297</v>
      </c>
      <c r="K403" s="96">
        <f ca="1">HLOOKUP($H$5,'Met Data'!$O$2:$T$368,G403,FALSE)</f>
        <v>2.5284096014561799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277</v>
      </c>
      <c r="H404" s="95">
        <f t="shared" ca="1" si="66"/>
        <v>45567</v>
      </c>
      <c r="I404" s="119">
        <f ca="1">HLOOKUP($H$5,'Met Data'!$A$2:$F$368,G404,FALSE)</f>
        <v>13.2433333333333</v>
      </c>
      <c r="J404" s="119">
        <f ca="1">HLOOKUP($H$5,'Met Data'!$H$2:$M$368,G404,FALSE)*L404</f>
        <v>5.1333333333333302</v>
      </c>
      <c r="K404" s="96">
        <f ca="1">HLOOKUP($H$5,'Met Data'!$O$2:$T$368,G404,FALSE)</f>
        <v>2.88480468453885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278</v>
      </c>
      <c r="H405" s="95">
        <f t="shared" ca="1" si="66"/>
        <v>45568</v>
      </c>
      <c r="I405" s="119">
        <f ca="1">HLOOKUP($H$5,'Met Data'!$A$2:$F$368,G405,FALSE)</f>
        <v>12.85</v>
      </c>
      <c r="J405" s="119">
        <f ca="1">HLOOKUP($H$5,'Met Data'!$H$2:$M$368,G405,FALSE)*L405</f>
        <v>2.5033333333333299</v>
      </c>
      <c r="K405" s="96">
        <f ca="1">HLOOKUP($H$5,'Met Data'!$O$2:$T$368,G405,FALSE)</f>
        <v>2.7808067783335901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279</v>
      </c>
      <c r="H406" s="95">
        <f t="shared" ca="1" si="66"/>
        <v>45569</v>
      </c>
      <c r="I406" s="119">
        <f ca="1">HLOOKUP($H$5,'Met Data'!$A$2:$F$368,G406,FALSE)</f>
        <v>12.875806451612901</v>
      </c>
      <c r="J406" s="119">
        <f ca="1">HLOOKUP($H$5,'Met Data'!$H$2:$M$368,G406,FALSE)*L406</f>
        <v>4.1354838709677404</v>
      </c>
      <c r="K406" s="96">
        <f ca="1">HLOOKUP($H$5,'Met Data'!$O$2:$T$368,G406,FALSE)</f>
        <v>3.0772949163384999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280</v>
      </c>
      <c r="H407" s="95">
        <f t="shared" ca="1" si="66"/>
        <v>45570</v>
      </c>
      <c r="I407" s="119">
        <f ca="1">HLOOKUP($H$5,'Met Data'!$A$2:$F$368,G407,FALSE)</f>
        <v>12.9966666666666</v>
      </c>
      <c r="J407" s="119">
        <f ca="1">HLOOKUP($H$5,'Met Data'!$H$2:$M$368,G407,FALSE)*L407</f>
        <v>2.96999999999999</v>
      </c>
      <c r="K407" s="96">
        <f ca="1">HLOOKUP($H$5,'Met Data'!$O$2:$T$368,G407,FALSE)</f>
        <v>3.1690364753373701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281</v>
      </c>
      <c r="H408" s="95">
        <f t="shared" ca="1" si="66"/>
        <v>45571</v>
      </c>
      <c r="I408" s="119">
        <f ca="1">HLOOKUP($H$5,'Met Data'!$A$2:$F$368,G408,FALSE)</f>
        <v>12.7633333333333</v>
      </c>
      <c r="J408" s="119">
        <f ca="1">HLOOKUP($H$5,'Met Data'!$H$2:$M$368,G408,FALSE)*L408</f>
        <v>2.61</v>
      </c>
      <c r="K408" s="96">
        <f ca="1">HLOOKUP($H$5,'Met Data'!$O$2:$T$368,G408,FALSE)</f>
        <v>2.8220150579732999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282</v>
      </c>
      <c r="H409" s="95">
        <f t="shared" ca="1" si="66"/>
        <v>45572</v>
      </c>
      <c r="I409" s="119">
        <f ca="1">HLOOKUP($H$5,'Met Data'!$A$2:$F$368,G409,FALSE)</f>
        <v>13.4816666666666</v>
      </c>
      <c r="J409" s="119">
        <f ca="1">HLOOKUP($H$5,'Met Data'!$H$2:$M$368,G409,FALSE)*L409</f>
        <v>4.0666666666666602</v>
      </c>
      <c r="K409" s="96">
        <f ca="1">HLOOKUP($H$5,'Met Data'!$O$2:$T$368,G409,FALSE)</f>
        <v>2.68549157073894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283</v>
      </c>
      <c r="H410" s="95">
        <f t="shared" ca="1" si="66"/>
        <v>45573</v>
      </c>
      <c r="I410" s="119">
        <f ca="1">HLOOKUP($H$5,'Met Data'!$A$2:$F$368,G410,FALSE)</f>
        <v>13.6933333333333</v>
      </c>
      <c r="J410" s="119">
        <f ca="1">HLOOKUP($H$5,'Met Data'!$H$2:$M$368,G410,FALSE)*L410</f>
        <v>4.22</v>
      </c>
      <c r="K410" s="96">
        <f ca="1">HLOOKUP($H$5,'Met Data'!$O$2:$T$368,G410,FALSE)</f>
        <v>2.6969590648562201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284</v>
      </c>
      <c r="H411" s="95">
        <f t="shared" ca="1" si="66"/>
        <v>45574</v>
      </c>
      <c r="I411" s="119">
        <f ca="1">HLOOKUP($H$5,'Met Data'!$A$2:$F$368,G411,FALSE)</f>
        <v>12.9568965517241</v>
      </c>
      <c r="J411" s="119">
        <f ca="1">HLOOKUP($H$5,'Met Data'!$H$2:$M$368,G411,FALSE)*L411</f>
        <v>4.5966666666666596</v>
      </c>
      <c r="K411" s="96">
        <f ca="1">HLOOKUP($H$5,'Met Data'!$O$2:$T$368,G411,FALSE)</f>
        <v>2.9040985917251398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285</v>
      </c>
      <c r="H412" s="95">
        <f t="shared" ca="1" si="66"/>
        <v>45575</v>
      </c>
      <c r="I412" s="119">
        <f ca="1">HLOOKUP($H$5,'Met Data'!$A$2:$F$368,G412,FALSE)</f>
        <v>13.2293103448275</v>
      </c>
      <c r="J412" s="119">
        <f ca="1">HLOOKUP($H$5,'Met Data'!$H$2:$M$368,G412,FALSE)*L412</f>
        <v>2.3896551724137902</v>
      </c>
      <c r="K412" s="96">
        <f ca="1">HLOOKUP($H$5,'Met Data'!$O$2:$T$368,G412,FALSE)</f>
        <v>2.90858576113735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286</v>
      </c>
      <c r="H413" s="95">
        <f t="shared" ca="1" si="66"/>
        <v>45576</v>
      </c>
      <c r="I413" s="119">
        <f ca="1">HLOOKUP($H$5,'Met Data'!$A$2:$F$368,G413,FALSE)</f>
        <v>13.7431034482758</v>
      </c>
      <c r="J413" s="119">
        <f ca="1">HLOOKUP($H$5,'Met Data'!$H$2:$M$368,G413,FALSE)*L413</f>
        <v>5.39310344827586</v>
      </c>
      <c r="K413" s="96">
        <f ca="1">HLOOKUP($H$5,'Met Data'!$O$2:$T$368,G413,FALSE)</f>
        <v>2.9187130451018599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287</v>
      </c>
      <c r="H414" s="95">
        <f t="shared" ca="1" si="66"/>
        <v>45577</v>
      </c>
      <c r="I414" s="119">
        <f ca="1">HLOOKUP($H$5,'Met Data'!$A$2:$F$368,G414,FALSE)</f>
        <v>13.6551724137931</v>
      </c>
      <c r="J414" s="119">
        <f ca="1">HLOOKUP($H$5,'Met Data'!$H$2:$M$368,G414,FALSE)*L414</f>
        <v>4.9586206896551701</v>
      </c>
      <c r="K414" s="96">
        <f ca="1">HLOOKUP($H$5,'Met Data'!$O$2:$T$368,G414,FALSE)</f>
        <v>2.9944315874670302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288</v>
      </c>
      <c r="H415" s="95">
        <f t="shared" ca="1" si="66"/>
        <v>45578</v>
      </c>
      <c r="I415" s="119">
        <f ca="1">HLOOKUP($H$5,'Met Data'!$A$2:$F$368,G415,FALSE)</f>
        <v>13.334482758620601</v>
      </c>
      <c r="J415" s="119">
        <f ca="1">HLOOKUP($H$5,'Met Data'!$H$2:$M$368,G415,FALSE)*L415</f>
        <v>5.6758620689655102</v>
      </c>
      <c r="K415" s="96">
        <f ca="1">HLOOKUP($H$5,'Met Data'!$O$2:$T$368,G415,FALSE)</f>
        <v>2.9220059834019998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289</v>
      </c>
      <c r="H416" s="95">
        <f t="shared" ca="1" si="66"/>
        <v>45579</v>
      </c>
      <c r="I416" s="119">
        <f ca="1">HLOOKUP($H$5,'Met Data'!$A$2:$F$368,G416,FALSE)</f>
        <v>13.0379310344827</v>
      </c>
      <c r="J416" s="119">
        <f ca="1">HLOOKUP($H$5,'Met Data'!$H$2:$M$368,G416,FALSE)*L416</f>
        <v>5.9344827586206899</v>
      </c>
      <c r="K416" s="96">
        <f ca="1">HLOOKUP($H$5,'Met Data'!$O$2:$T$368,G416,FALSE)</f>
        <v>3.1812494285264998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290</v>
      </c>
      <c r="H417" s="95">
        <f t="shared" ca="1" si="66"/>
        <v>45580</v>
      </c>
      <c r="I417" s="119">
        <f ca="1">HLOOKUP($H$5,'Met Data'!$A$2:$F$368,G417,FALSE)</f>
        <v>13.094827586206801</v>
      </c>
      <c r="J417" s="119">
        <f ca="1">HLOOKUP($H$5,'Met Data'!$H$2:$M$368,G417,FALSE)*L417</f>
        <v>3.2862068965517199</v>
      </c>
      <c r="K417" s="96">
        <f ca="1">HLOOKUP($H$5,'Met Data'!$O$2:$T$368,G417,FALSE)</f>
        <v>3.1846462671739202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291</v>
      </c>
      <c r="H418" s="95">
        <f t="shared" ca="1" si="66"/>
        <v>45581</v>
      </c>
      <c r="I418" s="119">
        <f ca="1">HLOOKUP($H$5,'Met Data'!$A$2:$F$368,G418,FALSE)</f>
        <v>13.6775862068965</v>
      </c>
      <c r="J418" s="119">
        <f ca="1">HLOOKUP($H$5,'Met Data'!$H$2:$M$368,G418,FALSE)*L418</f>
        <v>3.4241379310344802</v>
      </c>
      <c r="K418" s="96">
        <f ca="1">HLOOKUP($H$5,'Met Data'!$O$2:$T$368,G418,FALSE)</f>
        <v>3.2300602691540199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292</v>
      </c>
      <c r="H419" s="95">
        <f t="shared" ca="1" si="66"/>
        <v>45582</v>
      </c>
      <c r="I419" s="119">
        <f ca="1">HLOOKUP($H$5,'Met Data'!$A$2:$F$368,G419,FALSE)</f>
        <v>13.189655172413699</v>
      </c>
      <c r="J419" s="119">
        <f ca="1">HLOOKUP($H$5,'Met Data'!$H$2:$M$368,G419,FALSE)*L419</f>
        <v>3.6586206896551698</v>
      </c>
      <c r="K419" s="96">
        <f ca="1">HLOOKUP($H$5,'Met Data'!$O$2:$T$368,G419,FALSE)</f>
        <v>2.98673361950474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293</v>
      </c>
      <c r="H420" s="95">
        <f t="shared" ca="1" si="66"/>
        <v>45583</v>
      </c>
      <c r="I420" s="119">
        <f ca="1">HLOOKUP($H$5,'Met Data'!$A$2:$F$368,G420,FALSE)</f>
        <v>12.9428571428571</v>
      </c>
      <c r="J420" s="119">
        <f ca="1">HLOOKUP($H$5,'Met Data'!$H$2:$M$368,G420,FALSE)*L420</f>
        <v>2.3892857142857098</v>
      </c>
      <c r="K420" s="96">
        <f ca="1">HLOOKUP($H$5,'Met Data'!$O$2:$T$368,G420,FALSE)</f>
        <v>3.3877860671285598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294</v>
      </c>
      <c r="H421" s="95">
        <f t="shared" ca="1" si="66"/>
        <v>45584</v>
      </c>
      <c r="I421" s="119">
        <f ca="1">HLOOKUP($H$5,'Met Data'!$A$2:$F$368,G421,FALSE)</f>
        <v>12.819642857142799</v>
      </c>
      <c r="J421" s="119">
        <f ca="1">HLOOKUP($H$5,'Met Data'!$H$2:$M$368,G421,FALSE)*L421</f>
        <v>1.6142857142857101</v>
      </c>
      <c r="K421" s="96">
        <f ca="1">HLOOKUP($H$5,'Met Data'!$O$2:$T$368,G421,FALSE)</f>
        <v>3.30175747979975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295</v>
      </c>
      <c r="H422" s="95">
        <f t="shared" ca="1" si="66"/>
        <v>45585</v>
      </c>
      <c r="I422" s="119">
        <f ca="1">HLOOKUP($H$5,'Met Data'!$A$2:$F$368,G422,FALSE)</f>
        <v>13.2785714285714</v>
      </c>
      <c r="J422" s="119">
        <f ca="1">HLOOKUP($H$5,'Met Data'!$H$2:$M$368,G422,FALSE)*L422</f>
        <v>2.9214285714285699</v>
      </c>
      <c r="K422" s="96">
        <f ca="1">HLOOKUP($H$5,'Met Data'!$O$2:$T$368,G422,FALSE)</f>
        <v>2.9372247945615499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296</v>
      </c>
      <c r="H423" s="95">
        <f t="shared" ca="1" si="66"/>
        <v>45586</v>
      </c>
      <c r="I423" s="119">
        <f ca="1">HLOOKUP($H$5,'Met Data'!$A$2:$F$368,G423,FALSE)</f>
        <v>13.5625</v>
      </c>
      <c r="J423" s="119">
        <f ca="1">HLOOKUP($H$5,'Met Data'!$H$2:$M$368,G423,FALSE)*L423</f>
        <v>3.3499999999999899</v>
      </c>
      <c r="K423" s="96">
        <f ca="1">HLOOKUP($H$5,'Met Data'!$O$2:$T$368,G423,FALSE)</f>
        <v>2.9112128548041598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297</v>
      </c>
      <c r="H424" s="95">
        <f t="shared" ca="1" si="66"/>
        <v>45587</v>
      </c>
      <c r="I424" s="119">
        <f ca="1">HLOOKUP($H$5,'Met Data'!$A$2:$F$368,G424,FALSE)</f>
        <v>13.9310344827586</v>
      </c>
      <c r="J424" s="119">
        <f ca="1">HLOOKUP($H$5,'Met Data'!$H$2:$M$368,G424,FALSE)*L424</f>
        <v>4.6137931034482698</v>
      </c>
      <c r="K424" s="96">
        <f ca="1">HLOOKUP($H$5,'Met Data'!$O$2:$T$368,G424,FALSE)</f>
        <v>3.5318790230099002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298</v>
      </c>
      <c r="H425" s="95">
        <f t="shared" ca="1" si="66"/>
        <v>45588</v>
      </c>
      <c r="I425" s="119">
        <f ca="1">HLOOKUP($H$5,'Met Data'!$A$2:$F$368,G425,FALSE)</f>
        <v>13.336206896551699</v>
      </c>
      <c r="J425" s="119">
        <f ca="1">HLOOKUP($H$5,'Met Data'!$H$2:$M$368,G425,FALSE)*L425</f>
        <v>3.30689655172413</v>
      </c>
      <c r="K425" s="96">
        <f ca="1">HLOOKUP($H$5,'Met Data'!$O$2:$T$368,G425,FALSE)</f>
        <v>3.2578637469081699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299</v>
      </c>
      <c r="H426" s="95">
        <f t="shared" ca="1" si="66"/>
        <v>45589</v>
      </c>
      <c r="I426" s="119">
        <f ca="1">HLOOKUP($H$5,'Met Data'!$A$2:$F$368,G426,FALSE)</f>
        <v>13.789655172413701</v>
      </c>
      <c r="J426" s="119">
        <f ca="1">HLOOKUP($H$5,'Met Data'!$H$2:$M$368,G426,FALSE)*L426</f>
        <v>1.8172413793103399</v>
      </c>
      <c r="K426" s="96">
        <f ca="1">HLOOKUP($H$5,'Met Data'!$O$2:$T$368,G426,FALSE)</f>
        <v>3.4101531049699898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300</v>
      </c>
      <c r="H427" s="95">
        <f t="shared" ca="1" si="66"/>
        <v>45590</v>
      </c>
      <c r="I427" s="119">
        <f ca="1">HLOOKUP($H$5,'Met Data'!$A$2:$F$368,G427,FALSE)</f>
        <v>14.0810344827586</v>
      </c>
      <c r="J427" s="119">
        <f ca="1">HLOOKUP($H$5,'Met Data'!$H$2:$M$368,G427,FALSE)*L427</f>
        <v>0.78965517241379302</v>
      </c>
      <c r="K427" s="96">
        <f ca="1">HLOOKUP($H$5,'Met Data'!$O$2:$T$368,G427,FALSE)</f>
        <v>3.2764418127891499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301</v>
      </c>
      <c r="H428" s="95">
        <f t="shared" ca="1" si="66"/>
        <v>45591</v>
      </c>
      <c r="I428" s="119">
        <f ca="1">HLOOKUP($H$5,'Met Data'!$A$2:$F$368,G428,FALSE)</f>
        <v>14.8396551724137</v>
      </c>
      <c r="J428" s="119">
        <f ca="1">HLOOKUP($H$5,'Met Data'!$H$2:$M$368,G428,FALSE)*L428</f>
        <v>3.4241379310344802</v>
      </c>
      <c r="K428" s="96">
        <f ca="1">HLOOKUP($H$5,'Met Data'!$O$2:$T$368,G428,FALSE)</f>
        <v>3.3023555527193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302</v>
      </c>
      <c r="H429" s="95">
        <f t="shared" ca="1" si="66"/>
        <v>45592</v>
      </c>
      <c r="I429" s="119">
        <f ca="1">HLOOKUP($H$5,'Met Data'!$A$2:$F$368,G429,FALSE)</f>
        <v>14.274137931034399</v>
      </c>
      <c r="J429" s="119">
        <f ca="1">HLOOKUP($H$5,'Met Data'!$H$2:$M$368,G429,FALSE)*L429</f>
        <v>4.16206896551724</v>
      </c>
      <c r="K429" s="96">
        <f ca="1">HLOOKUP($H$5,'Met Data'!$O$2:$T$368,G429,FALSE)</f>
        <v>2.9394492851949701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303</v>
      </c>
      <c r="H430" s="95">
        <f t="shared" ca="1" si="66"/>
        <v>45593</v>
      </c>
      <c r="I430" s="119">
        <f ca="1">HLOOKUP($H$5,'Met Data'!$A$2:$F$368,G430,FALSE)</f>
        <v>14.29</v>
      </c>
      <c r="J430" s="119">
        <f ca="1">HLOOKUP($H$5,'Met Data'!$H$2:$M$368,G430,FALSE)*L430</f>
        <v>2.4933333333333301</v>
      </c>
      <c r="K430" s="96">
        <f ca="1">HLOOKUP($H$5,'Met Data'!$O$2:$T$368,G430,FALSE)</f>
        <v>3.1793308523033601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304</v>
      </c>
      <c r="H431" s="95">
        <f t="shared" ca="1" si="66"/>
        <v>45594</v>
      </c>
      <c r="I431" s="119">
        <f ca="1">HLOOKUP($H$5,'Met Data'!$A$2:$F$368,G431,FALSE)</f>
        <v>14.715</v>
      </c>
      <c r="J431" s="119">
        <f ca="1">HLOOKUP($H$5,'Met Data'!$H$2:$M$368,G431,FALSE)*L431</f>
        <v>1.99</v>
      </c>
      <c r="K431" s="96">
        <f ca="1">HLOOKUP($H$5,'Met Data'!$O$2:$T$368,G431,FALSE)</f>
        <v>3.2908149619424898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305</v>
      </c>
      <c r="H432" s="95">
        <f t="shared" ca="1" si="66"/>
        <v>45595</v>
      </c>
      <c r="I432" s="119">
        <f ca="1">HLOOKUP($H$5,'Met Data'!$A$2:$F$368,G432,FALSE)</f>
        <v>14.5266666666666</v>
      </c>
      <c r="J432" s="119">
        <f ca="1">HLOOKUP($H$5,'Met Data'!$H$2:$M$368,G432,FALSE)*L432</f>
        <v>1.75</v>
      </c>
      <c r="K432" s="96">
        <f ca="1">HLOOKUP($H$5,'Met Data'!$O$2:$T$368,G432,FALSE)</f>
        <v>3.7910621493299299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306</v>
      </c>
      <c r="H433" s="95">
        <f t="shared" ca="1" si="66"/>
        <v>45596</v>
      </c>
      <c r="I433" s="119">
        <f ca="1">HLOOKUP($H$5,'Met Data'!$A$2:$F$368,G433,FALSE)</f>
        <v>14.0416666666666</v>
      </c>
      <c r="J433" s="119">
        <f ca="1">HLOOKUP($H$5,'Met Data'!$H$2:$M$368,G433,FALSE)*L433</f>
        <v>2.11666666666666</v>
      </c>
      <c r="K433" s="96">
        <f ca="1">HLOOKUP($H$5,'Met Data'!$O$2:$T$368,G433,FALSE)</f>
        <v>3.7273958064413302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307</v>
      </c>
      <c r="H434" s="95">
        <f t="shared" ca="1" si="66"/>
        <v>45597</v>
      </c>
      <c r="I434" s="119">
        <f ca="1">HLOOKUP($H$5,'Met Data'!$A$2:$F$368,G434,FALSE)</f>
        <v>14.098333333333301</v>
      </c>
      <c r="J434" s="119">
        <f ca="1">HLOOKUP($H$5,'Met Data'!$H$2:$M$368,G434,FALSE)*L434</f>
        <v>0.94</v>
      </c>
      <c r="K434" s="96">
        <f ca="1">HLOOKUP($H$5,'Met Data'!$O$2:$T$368,G434,FALSE)</f>
        <v>3.7508089301659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308</v>
      </c>
      <c r="H435" s="95">
        <f t="shared" ca="1" si="66"/>
        <v>45598</v>
      </c>
      <c r="I435" s="119">
        <f ca="1">HLOOKUP($H$5,'Met Data'!$A$2:$F$368,G435,FALSE)</f>
        <v>13.9933333333333</v>
      </c>
      <c r="J435" s="119">
        <f ca="1">HLOOKUP($H$5,'Met Data'!$H$2:$M$368,G435,FALSE)*L435</f>
        <v>2.42</v>
      </c>
      <c r="K435" s="96">
        <f ca="1">HLOOKUP($H$5,'Met Data'!$O$2:$T$368,G435,FALSE)</f>
        <v>3.2496546498492198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309</v>
      </c>
      <c r="H436" s="95">
        <f t="shared" ca="1" si="66"/>
        <v>45599</v>
      </c>
      <c r="I436" s="119">
        <f ca="1">HLOOKUP($H$5,'Met Data'!$A$2:$F$368,G436,FALSE)</f>
        <v>14.2016666666666</v>
      </c>
      <c r="J436" s="119">
        <f ca="1">HLOOKUP($H$5,'Met Data'!$H$2:$M$368,G436,FALSE)*L436</f>
        <v>3.21999999999999</v>
      </c>
      <c r="K436" s="96">
        <f ca="1">HLOOKUP($H$5,'Met Data'!$O$2:$T$368,G436,FALSE)</f>
        <v>3.3917308243993398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310</v>
      </c>
      <c r="H437" s="95">
        <f t="shared" ca="1" si="66"/>
        <v>45600</v>
      </c>
      <c r="I437" s="119">
        <f ca="1">HLOOKUP($H$5,'Met Data'!$A$2:$F$368,G437,FALSE)</f>
        <v>14.5483333333333</v>
      </c>
      <c r="J437" s="119">
        <f ca="1">HLOOKUP($H$5,'Met Data'!$H$2:$M$368,G437,FALSE)*L437</f>
        <v>6.2166666666666597</v>
      </c>
      <c r="K437" s="96">
        <f ca="1">HLOOKUP($H$5,'Met Data'!$O$2:$T$368,G437,FALSE)</f>
        <v>3.4940085056696999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311</v>
      </c>
      <c r="H438" s="95">
        <f t="shared" ca="1" si="66"/>
        <v>45601</v>
      </c>
      <c r="I438" s="119">
        <f ca="1">HLOOKUP($H$5,'Met Data'!$A$2:$F$368,G438,FALSE)</f>
        <v>14.156666666666601</v>
      </c>
      <c r="J438" s="119">
        <f ca="1">HLOOKUP($H$5,'Met Data'!$H$2:$M$368,G438,FALSE)*L438</f>
        <v>4.1999999999999904</v>
      </c>
      <c r="K438" s="96">
        <f ca="1">HLOOKUP($H$5,'Met Data'!$O$2:$T$368,G438,FALSE)</f>
        <v>3.6290518837480299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312</v>
      </c>
      <c r="H439" s="95">
        <f t="shared" ca="1" si="66"/>
        <v>45602</v>
      </c>
      <c r="I439" s="119">
        <f ca="1">HLOOKUP($H$5,'Met Data'!$A$2:$F$368,G439,FALSE)</f>
        <v>14.466666666666599</v>
      </c>
      <c r="J439" s="119">
        <f ca="1">HLOOKUP($H$5,'Met Data'!$H$2:$M$368,G439,FALSE)*L439</f>
        <v>4.18333333333333</v>
      </c>
      <c r="K439" s="96">
        <f ca="1">HLOOKUP($H$5,'Met Data'!$O$2:$T$368,G439,FALSE)</f>
        <v>3.3196725038188899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313</v>
      </c>
      <c r="H440" s="95">
        <f t="shared" ca="1" si="66"/>
        <v>45603</v>
      </c>
      <c r="I440" s="119">
        <f ca="1">HLOOKUP($H$5,'Met Data'!$A$2:$F$368,G440,FALSE)</f>
        <v>14.7283333333333</v>
      </c>
      <c r="J440" s="119">
        <f ca="1">HLOOKUP($H$5,'Met Data'!$H$2:$M$368,G440,FALSE)*L440</f>
        <v>3.4833333333333298</v>
      </c>
      <c r="K440" s="96">
        <f ca="1">HLOOKUP($H$5,'Met Data'!$O$2:$T$368,G440,FALSE)</f>
        <v>3.5694722560107999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314</v>
      </c>
      <c r="H441" s="95">
        <f t="shared" ca="1" si="66"/>
        <v>45604</v>
      </c>
      <c r="I441" s="119">
        <f ca="1">HLOOKUP($H$5,'Met Data'!$A$2:$F$368,G441,FALSE)</f>
        <v>14.37</v>
      </c>
      <c r="J441" s="119">
        <f ca="1">HLOOKUP($H$5,'Met Data'!$H$2:$M$368,G441,FALSE)*L441</f>
        <v>3.5433333333333299</v>
      </c>
      <c r="K441" s="96">
        <f ca="1">HLOOKUP($H$5,'Met Data'!$O$2:$T$368,G441,FALSE)</f>
        <v>3.5998767062500399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315</v>
      </c>
      <c r="H442" s="95">
        <f t="shared" ca="1" si="66"/>
        <v>45605</v>
      </c>
      <c r="I442" s="119">
        <f ca="1">HLOOKUP($H$5,'Met Data'!$A$2:$F$368,G442,FALSE)</f>
        <v>14.7216666666666</v>
      </c>
      <c r="J442" s="119">
        <f ca="1">HLOOKUP($H$5,'Met Data'!$H$2:$M$368,G442,FALSE)*L442</f>
        <v>2.9033333333333302</v>
      </c>
      <c r="K442" s="96">
        <f ca="1">HLOOKUP($H$5,'Met Data'!$O$2:$T$368,G442,FALSE)</f>
        <v>3.8854632375309301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316</v>
      </c>
      <c r="H443" s="95">
        <f t="shared" ca="1" si="66"/>
        <v>45606</v>
      </c>
      <c r="I443" s="119">
        <f ca="1">HLOOKUP($H$5,'Met Data'!$A$2:$F$368,G443,FALSE)</f>
        <v>14.816666666666601</v>
      </c>
      <c r="J443" s="119">
        <f ca="1">HLOOKUP($H$5,'Met Data'!$H$2:$M$368,G443,FALSE)*L443</f>
        <v>1.5433333333333299</v>
      </c>
      <c r="K443" s="96">
        <f ca="1">HLOOKUP($H$5,'Met Data'!$O$2:$T$368,G443,FALSE)</f>
        <v>3.4766729681443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317</v>
      </c>
      <c r="H444" s="95">
        <f t="shared" ca="1" si="66"/>
        <v>45607</v>
      </c>
      <c r="I444" s="119">
        <f ca="1">HLOOKUP($H$5,'Met Data'!$A$2:$F$368,G444,FALSE)</f>
        <v>14.7883333333333</v>
      </c>
      <c r="J444" s="119">
        <f ca="1">HLOOKUP($H$5,'Met Data'!$H$2:$M$368,G444,FALSE)*L444</f>
        <v>3.6066666666666598</v>
      </c>
      <c r="K444" s="96">
        <f ca="1">HLOOKUP($H$5,'Met Data'!$O$2:$T$368,G444,FALSE)</f>
        <v>3.49823939059966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318</v>
      </c>
      <c r="H445" s="95">
        <f t="shared" ca="1" si="66"/>
        <v>45608</v>
      </c>
      <c r="I445" s="119">
        <f ca="1">HLOOKUP($H$5,'Met Data'!$A$2:$F$368,G445,FALSE)</f>
        <v>14.5583333333333</v>
      </c>
      <c r="J445" s="119">
        <f ca="1">HLOOKUP($H$5,'Met Data'!$H$2:$M$368,G445,FALSE)*L445</f>
        <v>3.0633333333333299</v>
      </c>
      <c r="K445" s="96">
        <f ca="1">HLOOKUP($H$5,'Met Data'!$O$2:$T$368,G445,FALSE)</f>
        <v>3.8424324154218401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319</v>
      </c>
      <c r="H446" s="95">
        <f t="shared" ca="1" si="66"/>
        <v>45609</v>
      </c>
      <c r="I446" s="119">
        <f ca="1">HLOOKUP($H$5,'Met Data'!$A$2:$F$368,G446,FALSE)</f>
        <v>14.5066666666666</v>
      </c>
      <c r="J446" s="119">
        <f ca="1">HLOOKUP($H$5,'Met Data'!$H$2:$M$368,G446,FALSE)*L446</f>
        <v>3.2933333333333299</v>
      </c>
      <c r="K446" s="96">
        <f ca="1">HLOOKUP($H$5,'Met Data'!$O$2:$T$368,G446,FALSE)</f>
        <v>3.93837814578281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320</v>
      </c>
      <c r="H447" s="95">
        <f t="shared" ca="1" si="66"/>
        <v>45610</v>
      </c>
      <c r="I447" s="119">
        <f ca="1">HLOOKUP($H$5,'Met Data'!$A$2:$F$368,G447,FALSE)</f>
        <v>14.8633333333333</v>
      </c>
      <c r="J447" s="119">
        <f ca="1">HLOOKUP($H$5,'Met Data'!$H$2:$M$368,G447,FALSE)*L447</f>
        <v>2.0666666666666602</v>
      </c>
      <c r="K447" s="96">
        <f ca="1">HLOOKUP($H$5,'Met Data'!$O$2:$T$368,G447,FALSE)</f>
        <v>3.82063419166102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321</v>
      </c>
      <c r="H448" s="95">
        <f t="shared" ca="1" si="66"/>
        <v>45611</v>
      </c>
      <c r="I448" s="119">
        <f ca="1">HLOOKUP($H$5,'Met Data'!$A$2:$F$368,G448,FALSE)</f>
        <v>15.191666666666601</v>
      </c>
      <c r="J448" s="119">
        <f ca="1">HLOOKUP($H$5,'Met Data'!$H$2:$M$368,G448,FALSE)*L448</f>
        <v>4.1233333333333304</v>
      </c>
      <c r="K448" s="96">
        <f ca="1">HLOOKUP($H$5,'Met Data'!$O$2:$T$368,G448,FALSE)</f>
        <v>3.4660928584042798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322</v>
      </c>
      <c r="H449" s="95">
        <f t="shared" ca="1" si="66"/>
        <v>45612</v>
      </c>
      <c r="I449" s="119">
        <f ca="1">HLOOKUP($H$5,'Met Data'!$A$2:$F$368,G449,FALSE)</f>
        <v>14.805</v>
      </c>
      <c r="J449" s="119">
        <f ca="1">HLOOKUP($H$5,'Met Data'!$H$2:$M$368,G449,FALSE)*L449</f>
        <v>2.0999999999999899</v>
      </c>
      <c r="K449" s="96">
        <f ca="1">HLOOKUP($H$5,'Met Data'!$O$2:$T$368,G449,FALSE)</f>
        <v>3.7178898330930501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323</v>
      </c>
      <c r="H450" s="95">
        <f t="shared" ca="1" si="66"/>
        <v>45613</v>
      </c>
      <c r="I450" s="119">
        <f ca="1">HLOOKUP($H$5,'Met Data'!$A$2:$F$368,G450,FALSE)</f>
        <v>14.4366666666666</v>
      </c>
      <c r="J450" s="119">
        <f ca="1">HLOOKUP($H$5,'Met Data'!$H$2:$M$368,G450,FALSE)*L450</f>
        <v>2.25</v>
      </c>
      <c r="K450" s="96">
        <f ca="1">HLOOKUP($H$5,'Met Data'!$O$2:$T$368,G450,FALSE)</f>
        <v>3.8903759726723899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324</v>
      </c>
      <c r="H451" s="95">
        <f t="shared" ca="1" si="66"/>
        <v>45614</v>
      </c>
      <c r="I451" s="119">
        <f ca="1">HLOOKUP($H$5,'Met Data'!$A$2:$F$368,G451,FALSE)</f>
        <v>14.4133333333333</v>
      </c>
      <c r="J451" s="119">
        <f ca="1">HLOOKUP($H$5,'Met Data'!$H$2:$M$368,G451,FALSE)*L451</f>
        <v>1.6566666666666601</v>
      </c>
      <c r="K451" s="96">
        <f ca="1">HLOOKUP($H$5,'Met Data'!$O$2:$T$368,G451,FALSE)</f>
        <v>3.9105195639997401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325</v>
      </c>
      <c r="H452" s="95">
        <f t="shared" ca="1" si="66"/>
        <v>45615</v>
      </c>
      <c r="I452" s="119">
        <f ca="1">HLOOKUP($H$5,'Met Data'!$A$2:$F$368,G452,FALSE)</f>
        <v>14.8266666666666</v>
      </c>
      <c r="J452" s="119">
        <f ca="1">HLOOKUP($H$5,'Met Data'!$H$2:$M$368,G452,FALSE)*L452</f>
        <v>2.4166666666666599</v>
      </c>
      <c r="K452" s="96">
        <f ca="1">HLOOKUP($H$5,'Met Data'!$O$2:$T$368,G452,FALSE)</f>
        <v>3.75734672122165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326</v>
      </c>
      <c r="H453" s="95">
        <f t="shared" ca="1" si="66"/>
        <v>45616</v>
      </c>
      <c r="I453" s="119">
        <f ca="1">HLOOKUP($H$5,'Met Data'!$A$2:$F$368,G453,FALSE)</f>
        <v>14.899999999999901</v>
      </c>
      <c r="J453" s="119">
        <f ca="1">HLOOKUP($H$5,'Met Data'!$H$2:$M$368,G453,FALSE)*L453</f>
        <v>2.8366666666666598</v>
      </c>
      <c r="K453" s="96">
        <f ca="1">HLOOKUP($H$5,'Met Data'!$O$2:$T$368,G453,FALSE)</f>
        <v>3.5492721007612098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327</v>
      </c>
      <c r="H454" s="95">
        <f t="shared" ca="1" si="66"/>
        <v>45617</v>
      </c>
      <c r="I454" s="119">
        <f ca="1">HLOOKUP($H$5,'Met Data'!$A$2:$F$368,G454,FALSE)</f>
        <v>15.125</v>
      </c>
      <c r="J454" s="119">
        <f ca="1">HLOOKUP($H$5,'Met Data'!$H$2:$M$368,G454,FALSE)*L454</f>
        <v>4.0966666666666596</v>
      </c>
      <c r="K454" s="96">
        <f ca="1">HLOOKUP($H$5,'Met Data'!$O$2:$T$368,G454,FALSE)</f>
        <v>3.6984174874033999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328</v>
      </c>
      <c r="H455" s="95">
        <f t="shared" ca="1" si="66"/>
        <v>45618</v>
      </c>
      <c r="I455" s="119">
        <f ca="1">HLOOKUP($H$5,'Met Data'!$A$2:$F$368,G455,FALSE)</f>
        <v>15.358333333333301</v>
      </c>
      <c r="J455" s="119">
        <f ca="1">HLOOKUP($H$5,'Met Data'!$H$2:$M$368,G455,FALSE)*L455</f>
        <v>3.04</v>
      </c>
      <c r="K455" s="96">
        <f ca="1">HLOOKUP($H$5,'Met Data'!$O$2:$T$368,G455,FALSE)</f>
        <v>3.9426742076693699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329</v>
      </c>
      <c r="H456" s="95">
        <f t="shared" ca="1" si="66"/>
        <v>45619</v>
      </c>
      <c r="I456" s="119">
        <f ca="1">HLOOKUP($H$5,'Met Data'!$A$2:$F$368,G456,FALSE)</f>
        <v>15.2051724137931</v>
      </c>
      <c r="J456" s="119">
        <f ca="1">HLOOKUP($H$5,'Met Data'!$H$2:$M$368,G456,FALSE)*L456</f>
        <v>2.4655172413793101</v>
      </c>
      <c r="K456" s="96">
        <f ca="1">HLOOKUP($H$5,'Met Data'!$O$2:$T$368,G456,FALSE)</f>
        <v>3.7475647250722499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330</v>
      </c>
      <c r="H457" s="95">
        <f t="shared" ref="H457:H520" ca="1" si="76">H456+1</f>
        <v>45620</v>
      </c>
      <c r="I457" s="119">
        <f ca="1">HLOOKUP($H$5,'Met Data'!$A$2:$F$368,G457,FALSE)</f>
        <v>15.834482758620601</v>
      </c>
      <c r="J457" s="119">
        <f ca="1">HLOOKUP($H$5,'Met Data'!$H$2:$M$368,G457,FALSE)*L457</f>
        <v>2.7965517241379301</v>
      </c>
      <c r="K457" s="96">
        <f ca="1">HLOOKUP($H$5,'Met Data'!$O$2:$T$368,G457,FALSE)</f>
        <v>4.1132182691665697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331</v>
      </c>
      <c r="H458" s="95">
        <f t="shared" ca="1" si="76"/>
        <v>45621</v>
      </c>
      <c r="I458" s="119">
        <f ca="1">HLOOKUP($H$5,'Met Data'!$A$2:$F$368,G458,FALSE)</f>
        <v>15.876666666666599</v>
      </c>
      <c r="J458" s="119">
        <f ca="1">HLOOKUP($H$5,'Met Data'!$H$2:$M$368,G458,FALSE)*L458</f>
        <v>2.2666666666666599</v>
      </c>
      <c r="K458" s="96">
        <f ca="1">HLOOKUP($H$5,'Met Data'!$O$2:$T$368,G458,FALSE)</f>
        <v>4.0838977840275996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332</v>
      </c>
      <c r="H459" s="95">
        <f t="shared" ca="1" si="76"/>
        <v>45622</v>
      </c>
      <c r="I459" s="119">
        <f ca="1">HLOOKUP($H$5,'Met Data'!$A$2:$F$368,G459,FALSE)</f>
        <v>15.52</v>
      </c>
      <c r="J459" s="119">
        <f ca="1">HLOOKUP($H$5,'Met Data'!$H$2:$M$368,G459,FALSE)*L459</f>
        <v>3.6933333333333298</v>
      </c>
      <c r="K459" s="96">
        <f ca="1">HLOOKUP($H$5,'Met Data'!$O$2:$T$368,G459,FALSE)</f>
        <v>4.2967341086411999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333</v>
      </c>
      <c r="H460" s="95">
        <f t="shared" ca="1" si="76"/>
        <v>45623</v>
      </c>
      <c r="I460" s="119">
        <f ca="1">HLOOKUP($H$5,'Met Data'!$A$2:$F$368,G460,FALSE)</f>
        <v>15.438333333333301</v>
      </c>
      <c r="J460" s="119">
        <f ca="1">HLOOKUP($H$5,'Met Data'!$H$2:$M$368,G460,FALSE)*L460</f>
        <v>4.5933333333333302</v>
      </c>
      <c r="K460" s="96">
        <f ca="1">HLOOKUP($H$5,'Met Data'!$O$2:$T$368,G460,FALSE)</f>
        <v>3.7863185649490698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334</v>
      </c>
      <c r="H461" s="95">
        <f t="shared" ca="1" si="76"/>
        <v>45624</v>
      </c>
      <c r="I461" s="119">
        <f ca="1">HLOOKUP($H$5,'Met Data'!$A$2:$F$368,G461,FALSE)</f>
        <v>15.551724137931</v>
      </c>
      <c r="J461" s="119">
        <f ca="1">HLOOKUP($H$5,'Met Data'!$H$2:$M$368,G461,FALSE)*L461</f>
        <v>2.63448275862069</v>
      </c>
      <c r="K461" s="96">
        <f ca="1">HLOOKUP($H$5,'Met Data'!$O$2:$T$368,G461,FALSE)</f>
        <v>3.91369181219603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335</v>
      </c>
      <c r="H462" s="95">
        <f t="shared" ca="1" si="76"/>
        <v>45625</v>
      </c>
      <c r="I462" s="119">
        <f ca="1">HLOOKUP($H$5,'Met Data'!$A$2:$F$368,G462,FALSE)</f>
        <v>15.832758620689599</v>
      </c>
      <c r="J462" s="119">
        <f ca="1">HLOOKUP($H$5,'Met Data'!$H$2:$M$368,G462,FALSE)*L462</f>
        <v>2.4931034482758601</v>
      </c>
      <c r="K462" s="96">
        <f ca="1">HLOOKUP($H$5,'Met Data'!$O$2:$T$368,G462,FALSE)</f>
        <v>3.5204814386258598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336</v>
      </c>
      <c r="H463" s="95">
        <f t="shared" ca="1" si="76"/>
        <v>45626</v>
      </c>
      <c r="I463" s="119">
        <f ca="1">HLOOKUP($H$5,'Met Data'!$A$2:$F$368,G463,FALSE)</f>
        <v>16.082758620689599</v>
      </c>
      <c r="J463" s="119">
        <f ca="1">HLOOKUP($H$5,'Met Data'!$H$2:$M$368,G463,FALSE)*L463</f>
        <v>1.7689655172413701</v>
      </c>
      <c r="K463" s="96">
        <f ca="1">HLOOKUP($H$5,'Met Data'!$O$2:$T$368,G463,FALSE)</f>
        <v>4.0516623269738101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337</v>
      </c>
      <c r="H464" s="95">
        <f t="shared" ca="1" si="76"/>
        <v>45627</v>
      </c>
      <c r="I464" s="119">
        <f ca="1">HLOOKUP($H$5,'Met Data'!$A$2:$F$368,G464,FALSE)</f>
        <v>16.4931034482758</v>
      </c>
      <c r="J464" s="119">
        <f ca="1">HLOOKUP($H$5,'Met Data'!$H$2:$M$368,G464,FALSE)*L464</f>
        <v>5.1137931034482698</v>
      </c>
      <c r="K464" s="96">
        <f ca="1">HLOOKUP($H$5,'Met Data'!$O$2:$T$368,G464,FALSE)</f>
        <v>3.5036176940509298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338</v>
      </c>
      <c r="H465" s="95">
        <f t="shared" ca="1" si="76"/>
        <v>45628</v>
      </c>
      <c r="I465" s="119">
        <f ca="1">HLOOKUP($H$5,'Met Data'!$A$2:$F$368,G465,FALSE)</f>
        <v>16.78</v>
      </c>
      <c r="J465" s="119">
        <f ca="1">HLOOKUP($H$5,'Met Data'!$H$2:$M$368,G465,FALSE)*L465</f>
        <v>1.71</v>
      </c>
      <c r="K465" s="96">
        <f ca="1">HLOOKUP($H$5,'Met Data'!$O$2:$T$368,G465,FALSE)</f>
        <v>3.8786861346319301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339</v>
      </c>
      <c r="H466" s="95">
        <f t="shared" ca="1" si="76"/>
        <v>45629</v>
      </c>
      <c r="I466" s="119">
        <f ca="1">HLOOKUP($H$5,'Met Data'!$A$2:$F$368,G466,FALSE)</f>
        <v>16.8266666666666</v>
      </c>
      <c r="J466" s="119">
        <f ca="1">HLOOKUP($H$5,'Met Data'!$H$2:$M$368,G466,FALSE)*L466</f>
        <v>6.0433333333333303</v>
      </c>
      <c r="K466" s="96">
        <f ca="1">HLOOKUP($H$5,'Met Data'!$O$2:$T$368,G466,FALSE)</f>
        <v>3.6269671816345701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340</v>
      </c>
      <c r="H467" s="95">
        <f t="shared" ca="1" si="76"/>
        <v>45630</v>
      </c>
      <c r="I467" s="119">
        <f ca="1">HLOOKUP($H$5,'Met Data'!$A$2:$F$368,G467,FALSE)</f>
        <v>16.6516666666666</v>
      </c>
      <c r="J467" s="119">
        <f ca="1">HLOOKUP($H$5,'Met Data'!$H$2:$M$368,G467,FALSE)*L467</f>
        <v>4.9033333333333298</v>
      </c>
      <c r="K467" s="96">
        <f ca="1">HLOOKUP($H$5,'Met Data'!$O$2:$T$368,G467,FALSE)</f>
        <v>3.8159631078200702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341</v>
      </c>
      <c r="H468" s="95">
        <f t="shared" ca="1" si="76"/>
        <v>45631</v>
      </c>
      <c r="I468" s="119">
        <f ca="1">HLOOKUP($H$5,'Met Data'!$A$2:$F$368,G468,FALSE)</f>
        <v>16.68</v>
      </c>
      <c r="J468" s="119">
        <f ca="1">HLOOKUP($H$5,'Met Data'!$H$2:$M$368,G468,FALSE)*L468</f>
        <v>3.7299999999999902</v>
      </c>
      <c r="K468" s="96">
        <f ca="1">HLOOKUP($H$5,'Met Data'!$O$2:$T$368,G468,FALSE)</f>
        <v>3.9805130657979602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342</v>
      </c>
      <c r="H469" s="95">
        <f t="shared" ca="1" si="76"/>
        <v>45632</v>
      </c>
      <c r="I469" s="119">
        <f ca="1">HLOOKUP($H$5,'Met Data'!$A$2:$F$368,G469,FALSE)</f>
        <v>16.158333333333299</v>
      </c>
      <c r="J469" s="119">
        <f ca="1">HLOOKUP($H$5,'Met Data'!$H$2:$M$368,G469,FALSE)*L469</f>
        <v>3.96999999999999</v>
      </c>
      <c r="K469" s="96">
        <f ca="1">HLOOKUP($H$5,'Met Data'!$O$2:$T$368,G469,FALSE)</f>
        <v>3.9985245379954399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343</v>
      </c>
      <c r="H470" s="95">
        <f t="shared" ca="1" si="76"/>
        <v>45633</v>
      </c>
      <c r="I470" s="119">
        <f ca="1">HLOOKUP($H$5,'Met Data'!$A$2:$F$368,G470,FALSE)</f>
        <v>16.105</v>
      </c>
      <c r="J470" s="119">
        <f ca="1">HLOOKUP($H$5,'Met Data'!$H$2:$M$368,G470,FALSE)*L470</f>
        <v>2.43333333333333</v>
      </c>
      <c r="K470" s="96">
        <f ca="1">HLOOKUP($H$5,'Met Data'!$O$2:$T$368,G470,FALSE)</f>
        <v>4.0668482894046898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344</v>
      </c>
      <c r="H471" s="95">
        <f t="shared" ca="1" si="76"/>
        <v>45634</v>
      </c>
      <c r="I471" s="119">
        <f ca="1">HLOOKUP($H$5,'Met Data'!$A$2:$F$368,G471,FALSE)</f>
        <v>16.565000000000001</v>
      </c>
      <c r="J471" s="119">
        <f ca="1">HLOOKUP($H$5,'Met Data'!$H$2:$M$368,G471,FALSE)*L471</f>
        <v>1.57666666666666</v>
      </c>
      <c r="K471" s="96">
        <f ca="1">HLOOKUP($H$5,'Met Data'!$O$2:$T$368,G471,FALSE)</f>
        <v>4.3303303245888296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345</v>
      </c>
      <c r="H472" s="95">
        <f t="shared" ca="1" si="76"/>
        <v>45635</v>
      </c>
      <c r="I472" s="119">
        <f ca="1">HLOOKUP($H$5,'Met Data'!$A$2:$F$368,G472,FALSE)</f>
        <v>16.483333333333299</v>
      </c>
      <c r="J472" s="119">
        <f ca="1">HLOOKUP($H$5,'Met Data'!$H$2:$M$368,G472,FALSE)*L472</f>
        <v>2.9733333333333301</v>
      </c>
      <c r="K472" s="96">
        <f ca="1">HLOOKUP($H$5,'Met Data'!$O$2:$T$368,G472,FALSE)</f>
        <v>4.0534379567104599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346</v>
      </c>
      <c r="H473" s="95">
        <f t="shared" ca="1" si="76"/>
        <v>45636</v>
      </c>
      <c r="I473" s="119">
        <f ca="1">HLOOKUP($H$5,'Met Data'!$A$2:$F$368,G473,FALSE)</f>
        <v>17.015000000000001</v>
      </c>
      <c r="J473" s="119">
        <f ca="1">HLOOKUP($H$5,'Met Data'!$H$2:$M$368,G473,FALSE)*L473</f>
        <v>1.12666666666666</v>
      </c>
      <c r="K473" s="96">
        <f ca="1">HLOOKUP($H$5,'Met Data'!$O$2:$T$368,G473,FALSE)</f>
        <v>4.1505313677650202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347</v>
      </c>
      <c r="H474" s="95">
        <f t="shared" ca="1" si="76"/>
        <v>45637</v>
      </c>
      <c r="I474" s="119">
        <f ca="1">HLOOKUP($H$5,'Met Data'!$A$2:$F$368,G474,FALSE)</f>
        <v>17.483333333333299</v>
      </c>
      <c r="J474" s="119">
        <f ca="1">HLOOKUP($H$5,'Met Data'!$H$2:$M$368,G474,FALSE)*L474</f>
        <v>1.9166666666666601</v>
      </c>
      <c r="K474" s="96">
        <f ca="1">HLOOKUP($H$5,'Met Data'!$O$2:$T$368,G474,FALSE)</f>
        <v>3.8850422651579102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348</v>
      </c>
      <c r="H475" s="95">
        <f t="shared" ca="1" si="76"/>
        <v>45638</v>
      </c>
      <c r="I475" s="119">
        <f ca="1">HLOOKUP($H$5,'Met Data'!$A$2:$F$368,G475,FALSE)</f>
        <v>17.251666666666601</v>
      </c>
      <c r="J475" s="119">
        <f ca="1">HLOOKUP($H$5,'Met Data'!$H$2:$M$368,G475,FALSE)*L475</f>
        <v>1.93333333333333</v>
      </c>
      <c r="K475" s="96">
        <f ca="1">HLOOKUP($H$5,'Met Data'!$O$2:$T$368,G475,FALSE)</f>
        <v>4.3816384015384404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349</v>
      </c>
      <c r="H476" s="95">
        <f t="shared" ca="1" si="76"/>
        <v>45639</v>
      </c>
      <c r="I476" s="119">
        <f ca="1">HLOOKUP($H$5,'Met Data'!$A$2:$F$368,G476,FALSE)</f>
        <v>17.1733333333333</v>
      </c>
      <c r="J476" s="119">
        <f ca="1">HLOOKUP($H$5,'Met Data'!$H$2:$M$368,G476,FALSE)*L476</f>
        <v>4.1233333333333304</v>
      </c>
      <c r="K476" s="96">
        <f ca="1">HLOOKUP($H$5,'Met Data'!$O$2:$T$368,G476,FALSE)</f>
        <v>4.03321434314394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350</v>
      </c>
      <c r="H477" s="95">
        <f t="shared" ca="1" si="76"/>
        <v>45640</v>
      </c>
      <c r="I477" s="119">
        <f ca="1">HLOOKUP($H$5,'Met Data'!$A$2:$F$368,G477,FALSE)</f>
        <v>17.0068965517241</v>
      </c>
      <c r="J477" s="119">
        <f ca="1">HLOOKUP($H$5,'Met Data'!$H$2:$M$368,G477,FALSE)*L477</f>
        <v>2.5793103448275798</v>
      </c>
      <c r="K477" s="96">
        <f ca="1">HLOOKUP($H$5,'Met Data'!$O$2:$T$368,G477,FALSE)</f>
        <v>4.1838965938969297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351</v>
      </c>
      <c r="H478" s="95">
        <f t="shared" ca="1" si="76"/>
        <v>45641</v>
      </c>
      <c r="I478" s="119">
        <f ca="1">HLOOKUP($H$5,'Met Data'!$A$2:$F$368,G478,FALSE)</f>
        <v>17.105172413793099</v>
      </c>
      <c r="J478" s="119">
        <f ca="1">HLOOKUP($H$5,'Met Data'!$H$2:$M$368,G478,FALSE)*L478</f>
        <v>5.3551724137930998</v>
      </c>
      <c r="K478" s="96">
        <f ca="1">HLOOKUP($H$5,'Met Data'!$O$2:$T$368,G478,FALSE)</f>
        <v>3.9954599380242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352</v>
      </c>
      <c r="H479" s="95">
        <f t="shared" ca="1" si="76"/>
        <v>45642</v>
      </c>
      <c r="I479" s="119">
        <f ca="1">HLOOKUP($H$5,'Met Data'!$A$2:$F$368,G479,FALSE)</f>
        <v>17.153448275862001</v>
      </c>
      <c r="J479" s="119">
        <f ca="1">HLOOKUP($H$5,'Met Data'!$H$2:$M$368,G479,FALSE)*L479</f>
        <v>4.6827586206896497</v>
      </c>
      <c r="K479" s="96">
        <f ca="1">HLOOKUP($H$5,'Met Data'!$O$2:$T$368,G479,FALSE)</f>
        <v>4.0087446707632299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353</v>
      </c>
      <c r="H480" s="95">
        <f t="shared" ca="1" si="76"/>
        <v>45643</v>
      </c>
      <c r="I480" s="119">
        <f ca="1">HLOOKUP($H$5,'Met Data'!$A$2:$F$368,G480,FALSE)</f>
        <v>16.853448275862</v>
      </c>
      <c r="J480" s="119">
        <f ca="1">HLOOKUP($H$5,'Met Data'!$H$2:$M$368,G480,FALSE)*L480</f>
        <v>4.4103448275861998</v>
      </c>
      <c r="K480" s="96">
        <f ca="1">HLOOKUP($H$5,'Met Data'!$O$2:$T$368,G480,FALSE)</f>
        <v>3.8624789224218001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354</v>
      </c>
      <c r="H481" s="95">
        <f t="shared" ca="1" si="76"/>
        <v>45644</v>
      </c>
      <c r="I481" s="119">
        <f ca="1">HLOOKUP($H$5,'Met Data'!$A$2:$F$368,G481,FALSE)</f>
        <v>17.030357142857099</v>
      </c>
      <c r="J481" s="119">
        <f ca="1">HLOOKUP($H$5,'Met Data'!$H$2:$M$368,G481,FALSE)*L481</f>
        <v>4.3285714285714203</v>
      </c>
      <c r="K481" s="96">
        <f ca="1">HLOOKUP($H$5,'Met Data'!$O$2:$T$368,G481,FALSE)</f>
        <v>4.1713118658622399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355</v>
      </c>
      <c r="H482" s="95">
        <f t="shared" ca="1" si="76"/>
        <v>45645</v>
      </c>
      <c r="I482" s="119">
        <f ca="1">HLOOKUP($H$5,'Met Data'!$A$2:$F$368,G482,FALSE)</f>
        <v>17.3086206896551</v>
      </c>
      <c r="J482" s="119">
        <f ca="1">HLOOKUP($H$5,'Met Data'!$H$2:$M$368,G482,FALSE)*L482</f>
        <v>1.38620689655172</v>
      </c>
      <c r="K482" s="96">
        <f ca="1">HLOOKUP($H$5,'Met Data'!$O$2:$T$368,G482,FALSE)</f>
        <v>4.2492728260034598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356</v>
      </c>
      <c r="H483" s="95">
        <f t="shared" ca="1" si="76"/>
        <v>45646</v>
      </c>
      <c r="I483" s="119">
        <f ca="1">HLOOKUP($H$5,'Met Data'!$A$2:$F$368,G483,FALSE)</f>
        <v>17.3086206896551</v>
      </c>
      <c r="J483" s="119">
        <f ca="1">HLOOKUP($H$5,'Met Data'!$H$2:$M$368,G483,FALSE)*L483</f>
        <v>3.66206896551724</v>
      </c>
      <c r="K483" s="96">
        <f ca="1">HLOOKUP($H$5,'Met Data'!$O$2:$T$368,G483,FALSE)</f>
        <v>3.9108587200843599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357</v>
      </c>
      <c r="H484" s="95">
        <f t="shared" ca="1" si="76"/>
        <v>45647</v>
      </c>
      <c r="I484" s="119">
        <f ca="1">HLOOKUP($H$5,'Met Data'!$A$2:$F$368,G484,FALSE)</f>
        <v>17.474137931034399</v>
      </c>
      <c r="J484" s="119">
        <f ca="1">HLOOKUP($H$5,'Met Data'!$H$2:$M$368,G484,FALSE)*L484</f>
        <v>1.82758620689655</v>
      </c>
      <c r="K484" s="96">
        <f ca="1">HLOOKUP($H$5,'Met Data'!$O$2:$T$368,G484,FALSE)</f>
        <v>4.3560784704810001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358</v>
      </c>
      <c r="H485" s="95">
        <f t="shared" ca="1" si="76"/>
        <v>45648</v>
      </c>
      <c r="I485" s="119">
        <f ca="1">HLOOKUP($H$5,'Met Data'!$A$2:$F$368,G485,FALSE)</f>
        <v>17.091379310344799</v>
      </c>
      <c r="J485" s="119">
        <f ca="1">HLOOKUP($H$5,'Met Data'!$H$2:$M$368,G485,FALSE)*L485</f>
        <v>2.22413793103448</v>
      </c>
      <c r="K485" s="96">
        <f ca="1">HLOOKUP($H$5,'Met Data'!$O$2:$T$368,G485,FALSE)</f>
        <v>4.1386344294122503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359</v>
      </c>
      <c r="H486" s="95">
        <f t="shared" ca="1" si="76"/>
        <v>45649</v>
      </c>
      <c r="I486" s="119">
        <f ca="1">HLOOKUP($H$5,'Met Data'!$A$2:$F$368,G486,FALSE)</f>
        <v>17.2275862068965</v>
      </c>
      <c r="J486" s="119">
        <f ca="1">HLOOKUP($H$5,'Met Data'!$H$2:$M$368,G486,FALSE)*L486</f>
        <v>3.0655172413793101</v>
      </c>
      <c r="K486" s="96">
        <f ca="1">HLOOKUP($H$5,'Met Data'!$O$2:$T$368,G486,FALSE)</f>
        <v>3.7757934515094398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360</v>
      </c>
      <c r="H487" s="95">
        <f t="shared" ca="1" si="76"/>
        <v>45650</v>
      </c>
      <c r="I487" s="119">
        <f ca="1">HLOOKUP($H$5,'Met Data'!$A$2:$F$368,G487,FALSE)</f>
        <v>17.475862068965501</v>
      </c>
      <c r="J487" s="119">
        <f ca="1">HLOOKUP($H$5,'Met Data'!$H$2:$M$368,G487,FALSE)*L487</f>
        <v>4.4724137931034402</v>
      </c>
      <c r="K487" s="96">
        <f ca="1">HLOOKUP($H$5,'Met Data'!$O$2:$T$368,G487,FALSE)</f>
        <v>3.82075028631309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361</v>
      </c>
      <c r="H488" s="95">
        <f t="shared" ca="1" si="76"/>
        <v>45651</v>
      </c>
      <c r="I488" s="119">
        <f ca="1">HLOOKUP($H$5,'Met Data'!$A$2:$F$368,G488,FALSE)</f>
        <v>17.193103448275799</v>
      </c>
      <c r="J488" s="119">
        <f ca="1">HLOOKUP($H$5,'Met Data'!$H$2:$M$368,G488,FALSE)*L488</f>
        <v>1.2034482758620599</v>
      </c>
      <c r="K488" s="96">
        <f ca="1">HLOOKUP($H$5,'Met Data'!$O$2:$T$368,G488,FALSE)</f>
        <v>4.4822943456663404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362</v>
      </c>
      <c r="H489" s="95">
        <f t="shared" ca="1" si="76"/>
        <v>45652</v>
      </c>
      <c r="I489" s="119">
        <f ca="1">HLOOKUP($H$5,'Met Data'!$A$2:$F$368,G489,FALSE)</f>
        <v>17.263793103448201</v>
      </c>
      <c r="J489" s="119">
        <f ca="1">HLOOKUP($H$5,'Met Data'!$H$2:$M$368,G489,FALSE)*L489</f>
        <v>1.9379310344827501</v>
      </c>
      <c r="K489" s="96">
        <f ca="1">HLOOKUP($H$5,'Met Data'!$O$2:$T$368,G489,FALSE)</f>
        <v>4.2854150969519402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363</v>
      </c>
      <c r="H490" s="95">
        <f t="shared" ca="1" si="76"/>
        <v>45653</v>
      </c>
      <c r="I490" s="119">
        <f ca="1">HLOOKUP($H$5,'Met Data'!$A$2:$F$368,G490,FALSE)</f>
        <v>18.060344827586199</v>
      </c>
      <c r="J490" s="119">
        <f ca="1">HLOOKUP($H$5,'Met Data'!$H$2:$M$368,G490,FALSE)*L490</f>
        <v>0.81379310344827505</v>
      </c>
      <c r="K490" s="96">
        <f ca="1">HLOOKUP($H$5,'Met Data'!$O$2:$T$368,G490,FALSE)</f>
        <v>4.2768570571644897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364</v>
      </c>
      <c r="H491" s="95">
        <f t="shared" ca="1" si="76"/>
        <v>45654</v>
      </c>
      <c r="I491" s="119">
        <f ca="1">HLOOKUP($H$5,'Met Data'!$A$2:$F$368,G491,FALSE)</f>
        <v>18.386206896551698</v>
      </c>
      <c r="J491" s="119">
        <f ca="1">HLOOKUP($H$5,'Met Data'!$H$2:$M$368,G491,FALSE)*L491</f>
        <v>3.0068965517241302</v>
      </c>
      <c r="K491" s="96">
        <f ca="1">HLOOKUP($H$5,'Met Data'!$O$2:$T$368,G491,FALSE)</f>
        <v>4.2622812571545499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365</v>
      </c>
      <c r="H492" s="95">
        <f t="shared" ca="1" si="76"/>
        <v>45655</v>
      </c>
      <c r="I492" s="119">
        <f ca="1">HLOOKUP($H$5,'Met Data'!$A$2:$F$368,G492,FALSE)</f>
        <v>18.156896551724099</v>
      </c>
      <c r="J492" s="119">
        <f ca="1">HLOOKUP($H$5,'Met Data'!$H$2:$M$368,G492,FALSE)*L492</f>
        <v>4.4172413793103402</v>
      </c>
      <c r="K492" s="96">
        <f ca="1">HLOOKUP($H$5,'Met Data'!$O$2:$T$368,G492,FALSE)</f>
        <v>3.8040621578745699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366</v>
      </c>
      <c r="H493" s="95">
        <f t="shared" ca="1" si="76"/>
        <v>45656</v>
      </c>
      <c r="I493" s="119">
        <f ca="1">HLOOKUP($H$5,'Met Data'!$A$2:$F$368,G493,FALSE)</f>
        <v>17.8086206896551</v>
      </c>
      <c r="J493" s="119">
        <f ca="1">HLOOKUP($H$5,'Met Data'!$H$2:$M$368,G493,FALSE)*L493</f>
        <v>8.7896551724137897</v>
      </c>
      <c r="K493" s="96">
        <f ca="1">HLOOKUP($H$5,'Met Data'!$O$2:$T$368,G493,FALSE)</f>
        <v>3.8298931146257198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367</v>
      </c>
      <c r="H494" s="95">
        <f t="shared" ca="1" si="76"/>
        <v>45657</v>
      </c>
      <c r="I494" s="119">
        <f ca="1">HLOOKUP($H$5,'Met Data'!$A$2:$F$368,G494,FALSE)</f>
        <v>17.691666666666599</v>
      </c>
      <c r="J494" s="119">
        <f ca="1">HLOOKUP($H$5,'Met Data'!$H$2:$M$368,G494,FALSE)*L494</f>
        <v>2.4166666666666599</v>
      </c>
      <c r="K494" s="96">
        <f ca="1">HLOOKUP($H$5,'Met Data'!$O$2:$T$368,G494,FALSE)</f>
        <v>4.2176739505731602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2</v>
      </c>
      <c r="H495" s="95">
        <f t="shared" ca="1" si="76"/>
        <v>45658</v>
      </c>
      <c r="I495" s="119">
        <f ca="1">HLOOKUP($H$5,'Met Data'!$A$2:$F$368,G495,FALSE)</f>
        <v>17.639655172413701</v>
      </c>
      <c r="J495" s="119">
        <f ca="1">HLOOKUP($H$5,'Met Data'!$H$2:$M$368,G495,FALSE)*L495</f>
        <v>2.9862068965517201</v>
      </c>
      <c r="K495" s="96">
        <f ca="1">HLOOKUP($H$5,'Met Data'!$O$2:$T$368,G495,FALSE)</f>
        <v>4.7314305048111098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ca="1" si="74"/>
        <v>3</v>
      </c>
      <c r="H496" s="97">
        <f t="shared" ca="1" si="76"/>
        <v>45659</v>
      </c>
      <c r="I496" s="121">
        <f ca="1">HLOOKUP($H$5,'Met Data'!$A$2:$F$368,G496,FALSE)</f>
        <v>18.013793103448201</v>
      </c>
      <c r="J496" s="119">
        <f ca="1">HLOOKUP($H$5,'Met Data'!$H$2:$M$368,G496,FALSE)*L496</f>
        <v>1.4517241379310299</v>
      </c>
      <c r="K496" s="98">
        <f ca="1">HLOOKUP($H$5,'Met Data'!$O$2:$T$368,G496,FALSE)</f>
        <v>4.7184733001505199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ca="1" si="80">H497-DATE(YEAR(H497),1,0)+1</f>
        <v>4</v>
      </c>
      <c r="H497" s="97">
        <f t="shared" ca="1" si="76"/>
        <v>45660</v>
      </c>
      <c r="I497" s="121">
        <f ca="1">HLOOKUP($H$5,'Met Data'!$A$2:$F$368,G497,FALSE)</f>
        <v>17.827586206896498</v>
      </c>
      <c r="J497" s="119">
        <f ca="1">HLOOKUP($H$5,'Met Data'!$H$2:$M$368,G497,FALSE)*L497</f>
        <v>1.27241379310344</v>
      </c>
      <c r="K497" s="98">
        <f ca="1">HLOOKUP($H$5,'Met Data'!$O$2:$T$368,G497,FALSE)</f>
        <v>4.5153833563593304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ca="1" si="80"/>
        <v>5</v>
      </c>
      <c r="H498" s="97">
        <f t="shared" ca="1" si="76"/>
        <v>45661</v>
      </c>
      <c r="I498" s="121">
        <f ca="1">HLOOKUP($H$5,'Met Data'!$A$2:$F$368,G498,FALSE)</f>
        <v>18.068965517241299</v>
      </c>
      <c r="J498" s="119">
        <f ca="1">HLOOKUP($H$5,'Met Data'!$H$2:$M$368,G498,FALSE)*L498</f>
        <v>1.3206896551724101</v>
      </c>
      <c r="K498" s="98">
        <f ca="1">HLOOKUP($H$5,'Met Data'!$O$2:$T$368,G498,FALSE)</f>
        <v>4.6266971172714904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6</v>
      </c>
      <c r="H499" s="97">
        <f t="shared" ca="1" si="76"/>
        <v>45662</v>
      </c>
      <c r="I499" s="121">
        <f ca="1">HLOOKUP($H$5,'Met Data'!$A$2:$F$368,G499,FALSE)</f>
        <v>17.658620689655098</v>
      </c>
      <c r="J499" s="119">
        <f ca="1">HLOOKUP($H$5,'Met Data'!$H$2:$M$368,G499,FALSE)*L499</f>
        <v>1.64137931034482</v>
      </c>
      <c r="K499" s="98">
        <f ca="1">HLOOKUP($H$5,'Met Data'!$O$2:$T$368,G499,FALSE)</f>
        <v>4.7524735832446101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7</v>
      </c>
      <c r="H500" s="97">
        <f t="shared" ca="1" si="76"/>
        <v>45663</v>
      </c>
      <c r="I500" s="121">
        <f ca="1">HLOOKUP($H$5,'Met Data'!$A$2:$F$368,G500,FALSE)</f>
        <v>17.7431034482758</v>
      </c>
      <c r="J500" s="119">
        <f ca="1">HLOOKUP($H$5,'Met Data'!$H$2:$M$368,G500,FALSE)*L500</f>
        <v>1.8206896551724101</v>
      </c>
      <c r="K500" s="98">
        <f ca="1">HLOOKUP($H$5,'Met Data'!$O$2:$T$368,G500,FALSE)</f>
        <v>4.5675277776113097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8</v>
      </c>
      <c r="H501" s="97">
        <f t="shared" ca="1" si="76"/>
        <v>45664</v>
      </c>
      <c r="I501" s="121">
        <f ca="1">HLOOKUP($H$5,'Met Data'!$A$2:$F$368,G501,FALSE)</f>
        <v>18.181034482758601</v>
      </c>
      <c r="J501" s="119">
        <f ca="1">HLOOKUP($H$5,'Met Data'!$H$2:$M$368,G501,FALSE)*L501</f>
        <v>1.4896551724137901</v>
      </c>
      <c r="K501" s="98">
        <f ca="1">HLOOKUP($H$5,'Met Data'!$O$2:$T$368,G501,FALSE)</f>
        <v>4.0945523595888398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9</v>
      </c>
      <c r="H502" s="97">
        <f t="shared" ca="1" si="76"/>
        <v>45665</v>
      </c>
      <c r="I502" s="121">
        <f ca="1">HLOOKUP($H$5,'Met Data'!$A$2:$F$368,G502,FALSE)</f>
        <v>18.393103448275799</v>
      </c>
      <c r="J502" s="119">
        <f ca="1">HLOOKUP($H$5,'Met Data'!$H$2:$M$368,G502,FALSE)*L502</f>
        <v>2.69655172413793</v>
      </c>
      <c r="K502" s="98">
        <f ca="1">HLOOKUP($H$5,'Met Data'!$O$2:$T$368,G502,FALSE)</f>
        <v>4.0360392602952304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10</v>
      </c>
      <c r="H503" s="97">
        <f t="shared" ca="1" si="76"/>
        <v>45666</v>
      </c>
      <c r="I503" s="121">
        <f ca="1">HLOOKUP($H$5,'Met Data'!$A$2:$F$368,G503,FALSE)</f>
        <v>18.6103448275862</v>
      </c>
      <c r="J503" s="119">
        <f ca="1">HLOOKUP($H$5,'Met Data'!$H$2:$M$368,G503,FALSE)*L503</f>
        <v>3.0103448275861999</v>
      </c>
      <c r="K503" s="98">
        <f ca="1">HLOOKUP($H$5,'Met Data'!$O$2:$T$368,G503,FALSE)</f>
        <v>4.1608753956650997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11</v>
      </c>
      <c r="H504" s="97">
        <f t="shared" ca="1" si="76"/>
        <v>45667</v>
      </c>
      <c r="I504" s="121">
        <f ca="1">HLOOKUP($H$5,'Met Data'!$A$2:$F$368,G504,FALSE)</f>
        <v>18.453448275862002</v>
      </c>
      <c r="J504" s="119">
        <f ca="1">HLOOKUP($H$5,'Met Data'!$H$2:$M$368,G504,FALSE)*L504</f>
        <v>1.2689655172413701</v>
      </c>
      <c r="K504" s="98">
        <f ca="1">HLOOKUP($H$5,'Met Data'!$O$2:$T$368,G504,FALSE)</f>
        <v>4.5179186785714496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12</v>
      </c>
      <c r="H505" s="97">
        <f t="shared" ca="1" si="76"/>
        <v>45668</v>
      </c>
      <c r="I505" s="121">
        <f ca="1">HLOOKUP($H$5,'Met Data'!$A$2:$F$368,G505,FALSE)</f>
        <v>18.186206896551699</v>
      </c>
      <c r="J505" s="119">
        <f ca="1">HLOOKUP($H$5,'Met Data'!$H$2:$M$368,G505,FALSE)*L505</f>
        <v>1.3413793103448199</v>
      </c>
      <c r="K505" s="98">
        <f ca="1">HLOOKUP($H$5,'Met Data'!$O$2:$T$368,G505,FALSE)</f>
        <v>4.5303746944186001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13</v>
      </c>
      <c r="H506" s="97">
        <f t="shared" ca="1" si="76"/>
        <v>45669</v>
      </c>
      <c r="I506" s="121">
        <f ca="1">HLOOKUP($H$5,'Met Data'!$A$2:$F$368,G506,FALSE)</f>
        <v>18.314999999999898</v>
      </c>
      <c r="J506" s="119">
        <f ca="1">HLOOKUP($H$5,'Met Data'!$H$2:$M$368,G506,FALSE)*L506</f>
        <v>0.95</v>
      </c>
      <c r="K506" s="98">
        <f ca="1">HLOOKUP($H$5,'Met Data'!$O$2:$T$368,G506,FALSE)</f>
        <v>4.1021279144140701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14</v>
      </c>
      <c r="H507" s="97">
        <f t="shared" ca="1" si="76"/>
        <v>45670</v>
      </c>
      <c r="I507" s="121">
        <f ca="1">HLOOKUP($H$5,'Met Data'!$A$2:$F$368,G507,FALSE)</f>
        <v>18.473333333333301</v>
      </c>
      <c r="J507" s="119">
        <f ca="1">HLOOKUP($H$5,'Met Data'!$H$2:$M$368,G507,FALSE)*L507</f>
        <v>3.7233333333333301</v>
      </c>
      <c r="K507" s="98">
        <f ca="1">HLOOKUP($H$5,'Met Data'!$O$2:$T$368,G507,FALSE)</f>
        <v>4.3613860913388498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15</v>
      </c>
      <c r="H508" s="97">
        <f t="shared" ca="1" si="76"/>
        <v>45671</v>
      </c>
      <c r="I508" s="121">
        <f ca="1">HLOOKUP($H$5,'Met Data'!$A$2:$F$368,G508,FALSE)</f>
        <v>18.684999999999999</v>
      </c>
      <c r="J508" s="119">
        <f ca="1">HLOOKUP($H$5,'Met Data'!$H$2:$M$368,G508,FALSE)*L508</f>
        <v>2.2466666666666599</v>
      </c>
      <c r="K508" s="98">
        <f ca="1">HLOOKUP($H$5,'Met Data'!$O$2:$T$368,G508,FALSE)</f>
        <v>4.5029029229169799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</v>
      </c>
      <c r="H509" s="97">
        <f t="shared" ca="1" si="76"/>
        <v>45672</v>
      </c>
      <c r="I509" s="121">
        <f ca="1">HLOOKUP($H$5,'Met Data'!$A$2:$F$368,G509,FALSE)</f>
        <v>18.661666666666601</v>
      </c>
      <c r="J509" s="119">
        <f ca="1">HLOOKUP($H$5,'Met Data'!$H$2:$M$368,G509,FALSE)*L509</f>
        <v>1.3333333333333299</v>
      </c>
      <c r="K509" s="98">
        <f ca="1">HLOOKUP($H$5,'Met Data'!$O$2:$T$368,G509,FALSE)</f>
        <v>4.6368762557636201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17</v>
      </c>
      <c r="H510" s="97">
        <f t="shared" ca="1" si="76"/>
        <v>45673</v>
      </c>
      <c r="I510" s="121">
        <f ca="1">HLOOKUP($H$5,'Met Data'!$A$2:$F$368,G510,FALSE)</f>
        <v>18.636666666666599</v>
      </c>
      <c r="J510" s="119">
        <f ca="1">HLOOKUP($H$5,'Met Data'!$H$2:$M$368,G510,FALSE)*L510</f>
        <v>3.0133333333333301</v>
      </c>
      <c r="K510" s="98">
        <f ca="1">HLOOKUP($H$5,'Met Data'!$O$2:$T$368,G510,FALSE)</f>
        <v>4.4386060395545801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18</v>
      </c>
      <c r="H511" s="97">
        <f t="shared" ca="1" si="76"/>
        <v>45674</v>
      </c>
      <c r="I511" s="121">
        <f ca="1">HLOOKUP($H$5,'Met Data'!$A$2:$F$368,G511,FALSE)</f>
        <v>18.4233333333333</v>
      </c>
      <c r="J511" s="119">
        <f ca="1">HLOOKUP($H$5,'Met Data'!$H$2:$M$368,G511,FALSE)*L511</f>
        <v>2.7833333333333301</v>
      </c>
      <c r="K511" s="98">
        <f ca="1">HLOOKUP($H$5,'Met Data'!$O$2:$T$368,G511,FALSE)</f>
        <v>4.10260332014568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19</v>
      </c>
      <c r="H512" s="97">
        <f t="shared" ca="1" si="76"/>
        <v>45675</v>
      </c>
      <c r="I512" s="121">
        <f ca="1">HLOOKUP($H$5,'Met Data'!$A$2:$F$368,G512,FALSE)</f>
        <v>18.466666666666601</v>
      </c>
      <c r="J512" s="119">
        <f ca="1">HLOOKUP($H$5,'Met Data'!$H$2:$M$368,G512,FALSE)*L512</f>
        <v>2.1566666666666601</v>
      </c>
      <c r="K512" s="98">
        <f ca="1">HLOOKUP($H$5,'Met Data'!$O$2:$T$368,G512,FALSE)</f>
        <v>4.3976375931712202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20</v>
      </c>
      <c r="H513" s="97">
        <f t="shared" ca="1" si="76"/>
        <v>45676</v>
      </c>
      <c r="I513" s="121">
        <f ca="1">HLOOKUP($H$5,'Met Data'!$A$2:$F$368,G513,FALSE)</f>
        <v>18.754999999999999</v>
      </c>
      <c r="J513" s="119">
        <f ca="1">HLOOKUP($H$5,'Met Data'!$H$2:$M$368,G513,FALSE)*L513</f>
        <v>2.2333333333333298</v>
      </c>
      <c r="K513" s="98">
        <f ca="1">HLOOKUP($H$5,'Met Data'!$O$2:$T$368,G513,FALSE)</f>
        <v>4.5811789756342201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21</v>
      </c>
      <c r="H514" s="97">
        <f t="shared" ca="1" si="76"/>
        <v>45677</v>
      </c>
      <c r="I514" s="121">
        <f ca="1">HLOOKUP($H$5,'Met Data'!$A$2:$F$368,G514,FALSE)</f>
        <v>18.6933333333333</v>
      </c>
      <c r="J514" s="119">
        <f ca="1">HLOOKUP($H$5,'Met Data'!$H$2:$M$368,G514,FALSE)*L514</f>
        <v>1.02666666666666</v>
      </c>
      <c r="K514" s="98">
        <f ca="1">HLOOKUP($H$5,'Met Data'!$O$2:$T$368,G514,FALSE)</f>
        <v>4.23484882575071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22</v>
      </c>
      <c r="H515" s="97">
        <f t="shared" ca="1" si="76"/>
        <v>45678</v>
      </c>
      <c r="I515" s="121">
        <f ca="1">HLOOKUP($H$5,'Met Data'!$A$2:$F$368,G515,FALSE)</f>
        <v>18.914999999999999</v>
      </c>
      <c r="J515" s="119">
        <f ca="1">HLOOKUP($H$5,'Met Data'!$H$2:$M$368,G515,FALSE)*L515</f>
        <v>8.4066666666666592</v>
      </c>
      <c r="K515" s="98">
        <f ca="1">HLOOKUP($H$5,'Met Data'!$O$2:$T$368,G515,FALSE)</f>
        <v>4.2358684276247196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23</v>
      </c>
      <c r="H516" s="97">
        <f t="shared" ca="1" si="76"/>
        <v>45679</v>
      </c>
      <c r="I516" s="121">
        <f ca="1">HLOOKUP($H$5,'Met Data'!$A$2:$F$368,G516,FALSE)</f>
        <v>19.0133333333333</v>
      </c>
      <c r="J516" s="119">
        <f ca="1">HLOOKUP($H$5,'Met Data'!$H$2:$M$368,G516,FALSE)*L516</f>
        <v>3.7366666666666601</v>
      </c>
      <c r="K516" s="98">
        <f ca="1">HLOOKUP($H$5,'Met Data'!$O$2:$T$368,G516,FALSE)</f>
        <v>4.0376213451036698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24</v>
      </c>
      <c r="H517" s="97">
        <f t="shared" ca="1" si="76"/>
        <v>45680</v>
      </c>
      <c r="I517" s="121">
        <f ca="1">HLOOKUP($H$5,'Met Data'!$A$2:$F$368,G517,FALSE)</f>
        <v>19.03</v>
      </c>
      <c r="J517" s="119">
        <f ca="1">HLOOKUP($H$5,'Met Data'!$H$2:$M$368,G517,FALSE)*L517</f>
        <v>2.4266666666666601</v>
      </c>
      <c r="K517" s="98">
        <f ca="1">HLOOKUP($H$5,'Met Data'!$O$2:$T$368,G517,FALSE)</f>
        <v>4.3725520099572401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25</v>
      </c>
      <c r="H518" s="97">
        <f t="shared" ca="1" si="76"/>
        <v>45681</v>
      </c>
      <c r="I518" s="121">
        <f ca="1">HLOOKUP($H$5,'Met Data'!$A$2:$F$368,G518,FALSE)</f>
        <v>19.07</v>
      </c>
      <c r="J518" s="119">
        <f ca="1">HLOOKUP($H$5,'Met Data'!$H$2:$M$368,G518,FALSE)*L518</f>
        <v>3.4166666666666599</v>
      </c>
      <c r="K518" s="98">
        <f ca="1">HLOOKUP($H$5,'Met Data'!$O$2:$T$368,G518,FALSE)</f>
        <v>4.19340465226154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26</v>
      </c>
      <c r="H519" s="97">
        <f t="shared" ca="1" si="76"/>
        <v>45682</v>
      </c>
      <c r="I519" s="121">
        <f ca="1">HLOOKUP($H$5,'Met Data'!$A$2:$F$368,G519,FALSE)</f>
        <v>19.3</v>
      </c>
      <c r="J519" s="119">
        <f ca="1">HLOOKUP($H$5,'Met Data'!$H$2:$M$368,G519,FALSE)*L519</f>
        <v>3.70333333333333</v>
      </c>
      <c r="K519" s="98">
        <f ca="1">HLOOKUP($H$5,'Met Data'!$O$2:$T$368,G519,FALSE)</f>
        <v>4.6119458181628401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27</v>
      </c>
      <c r="H520" s="97">
        <f t="shared" ca="1" si="76"/>
        <v>45683</v>
      </c>
      <c r="I520" s="121">
        <f ca="1">HLOOKUP($H$5,'Met Data'!$A$2:$F$368,G520,FALSE)</f>
        <v>19.418333333333301</v>
      </c>
      <c r="J520" s="119">
        <f ca="1">HLOOKUP($H$5,'Met Data'!$H$2:$M$368,G520,FALSE)*L520</f>
        <v>1.2566666666666599</v>
      </c>
      <c r="K520" s="98">
        <f ca="1">HLOOKUP($H$5,'Met Data'!$O$2:$T$368,G520,FALSE)</f>
        <v>4.4486726941054897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28</v>
      </c>
      <c r="H521" s="97">
        <f t="shared" ref="H521:H584" ca="1" si="89">H520+1</f>
        <v>45684</v>
      </c>
      <c r="I521" s="121">
        <f ca="1">HLOOKUP($H$5,'Met Data'!$A$2:$F$368,G521,FALSE)</f>
        <v>19.086666666666599</v>
      </c>
      <c r="J521" s="119">
        <f ca="1">HLOOKUP($H$5,'Met Data'!$H$2:$M$368,G521,FALSE)*L521</f>
        <v>2.65</v>
      </c>
      <c r="K521" s="98">
        <f ca="1">HLOOKUP($H$5,'Met Data'!$O$2:$T$368,G521,FALSE)</f>
        <v>4.6925683722845504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29</v>
      </c>
      <c r="H522" s="97">
        <f t="shared" ca="1" si="89"/>
        <v>45685</v>
      </c>
      <c r="I522" s="121">
        <f ca="1">HLOOKUP($H$5,'Met Data'!$A$2:$F$368,G522,FALSE)</f>
        <v>19.248333333333299</v>
      </c>
      <c r="J522" s="119">
        <f ca="1">HLOOKUP($H$5,'Met Data'!$H$2:$M$368,G522,FALSE)*L522</f>
        <v>1.81</v>
      </c>
      <c r="K522" s="98">
        <f ca="1">HLOOKUP($H$5,'Met Data'!$O$2:$T$368,G522,FALSE)</f>
        <v>4.8021312602016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30</v>
      </c>
      <c r="H523" s="97">
        <f t="shared" ca="1" si="89"/>
        <v>45686</v>
      </c>
      <c r="I523" s="121">
        <f ca="1">HLOOKUP($H$5,'Met Data'!$A$2:$F$368,G523,FALSE)</f>
        <v>19.486666666666601</v>
      </c>
      <c r="J523" s="119">
        <f ca="1">HLOOKUP($H$5,'Met Data'!$H$2:$M$368,G523,FALSE)*L523</f>
        <v>2.1066666666666598</v>
      </c>
      <c r="K523" s="98">
        <f ca="1">HLOOKUP($H$5,'Met Data'!$O$2:$T$368,G523,FALSE)</f>
        <v>4.81456570354226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31</v>
      </c>
      <c r="H524" s="97">
        <f t="shared" ca="1" si="89"/>
        <v>45687</v>
      </c>
      <c r="I524" s="121">
        <f ca="1">HLOOKUP($H$5,'Met Data'!$A$2:$F$368,G524,FALSE)</f>
        <v>19.725000000000001</v>
      </c>
      <c r="J524" s="119">
        <f ca="1">HLOOKUP($H$5,'Met Data'!$H$2:$M$368,G524,FALSE)*L524</f>
        <v>3.1033333333333299</v>
      </c>
      <c r="K524" s="98">
        <f ca="1">HLOOKUP($H$5,'Met Data'!$O$2:$T$368,G524,FALSE)</f>
        <v>4.4640725934925003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32</v>
      </c>
      <c r="H525" s="97">
        <f t="shared" ca="1" si="89"/>
        <v>45688</v>
      </c>
      <c r="I525" s="121">
        <f ca="1">HLOOKUP($H$5,'Met Data'!$A$2:$F$368,G525,FALSE)</f>
        <v>19.670000000000002</v>
      </c>
      <c r="J525" s="119">
        <f ca="1">HLOOKUP($H$5,'Met Data'!$H$2:$M$368,G525,FALSE)*L525</f>
        <v>2.7466666666666599</v>
      </c>
      <c r="K525" s="98">
        <f ca="1">HLOOKUP($H$5,'Met Data'!$O$2:$T$368,G525,FALSE)</f>
        <v>4.1799437739427896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33</v>
      </c>
      <c r="H526" s="97">
        <f t="shared" ca="1" si="89"/>
        <v>45689</v>
      </c>
      <c r="I526" s="121">
        <f ca="1">HLOOKUP($H$5,'Met Data'!$A$2:$F$368,G526,FALSE)</f>
        <v>19.770689655172401</v>
      </c>
      <c r="J526" s="119">
        <f ca="1">HLOOKUP($H$5,'Met Data'!$H$2:$M$368,G526,FALSE)*L526</f>
        <v>1.1103448275862</v>
      </c>
      <c r="K526" s="98">
        <f ca="1">HLOOKUP($H$5,'Met Data'!$O$2:$T$368,G526,FALSE)</f>
        <v>4.5867414057587403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34</v>
      </c>
      <c r="H527" s="97">
        <f t="shared" ca="1" si="89"/>
        <v>45690</v>
      </c>
      <c r="I527" s="121">
        <f ca="1">HLOOKUP($H$5,'Met Data'!$A$2:$F$368,G527,FALSE)</f>
        <v>19.548275862068898</v>
      </c>
      <c r="J527" s="119">
        <f ca="1">HLOOKUP($H$5,'Met Data'!$H$2:$M$368,G527,FALSE)*L527</f>
        <v>4.0620689655172404</v>
      </c>
      <c r="K527" s="98">
        <f ca="1">HLOOKUP($H$5,'Met Data'!$O$2:$T$368,G527,FALSE)</f>
        <v>4.65070177511826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35</v>
      </c>
      <c r="H528" s="97">
        <f t="shared" ca="1" si="89"/>
        <v>45691</v>
      </c>
      <c r="I528" s="121">
        <f ca="1">HLOOKUP($H$5,'Met Data'!$A$2:$F$368,G528,FALSE)</f>
        <v>19.325862068965499</v>
      </c>
      <c r="J528" s="119">
        <f ca="1">HLOOKUP($H$5,'Met Data'!$H$2:$M$368,G528,FALSE)*L528</f>
        <v>1.00344827586206</v>
      </c>
      <c r="K528" s="98">
        <f ca="1">HLOOKUP($H$5,'Met Data'!$O$2:$T$368,G528,FALSE)</f>
        <v>4.2568283320677196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36</v>
      </c>
      <c r="H529" s="97">
        <f t="shared" ca="1" si="89"/>
        <v>45692</v>
      </c>
      <c r="I529" s="121">
        <f ca="1">HLOOKUP($H$5,'Met Data'!$A$2:$F$368,G529,FALSE)</f>
        <v>18.712068965517201</v>
      </c>
      <c r="J529" s="119">
        <f ca="1">HLOOKUP($H$5,'Met Data'!$H$2:$M$368,G529,FALSE)*L529</f>
        <v>4.7586206896551699</v>
      </c>
      <c r="K529" s="98">
        <f ca="1">HLOOKUP($H$5,'Met Data'!$O$2:$T$368,G529,FALSE)</f>
        <v>3.6726350990735899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37</v>
      </c>
      <c r="H530" s="97">
        <f t="shared" ca="1" si="89"/>
        <v>45693</v>
      </c>
      <c r="I530" s="121">
        <f ca="1">HLOOKUP($H$5,'Met Data'!$A$2:$F$368,G530,FALSE)</f>
        <v>19.178333333333299</v>
      </c>
      <c r="J530" s="119">
        <f ca="1">HLOOKUP($H$5,'Met Data'!$H$2:$M$368,G530,FALSE)*L530</f>
        <v>2.2833333333333301</v>
      </c>
      <c r="K530" s="98">
        <f ca="1">HLOOKUP($H$5,'Met Data'!$O$2:$T$368,G530,FALSE)</f>
        <v>4.0355922642947899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38</v>
      </c>
      <c r="H531" s="97">
        <f t="shared" ca="1" si="89"/>
        <v>45694</v>
      </c>
      <c r="I531" s="121">
        <f ca="1">HLOOKUP($H$5,'Met Data'!$A$2:$F$368,G531,FALSE)</f>
        <v>19.063333333333301</v>
      </c>
      <c r="J531" s="119">
        <f ca="1">HLOOKUP($H$5,'Met Data'!$H$2:$M$368,G531,FALSE)*L531</f>
        <v>0.35</v>
      </c>
      <c r="K531" s="98">
        <f ca="1">HLOOKUP($H$5,'Met Data'!$O$2:$T$368,G531,FALSE)</f>
        <v>4.5836031413853302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39</v>
      </c>
      <c r="H532" s="97">
        <f t="shared" ca="1" si="89"/>
        <v>45695</v>
      </c>
      <c r="I532" s="121">
        <f ca="1">HLOOKUP($H$5,'Met Data'!$A$2:$F$368,G532,FALSE)</f>
        <v>19.164999999999999</v>
      </c>
      <c r="J532" s="119">
        <f ca="1">HLOOKUP($H$5,'Met Data'!$H$2:$M$368,G532,FALSE)*L532</f>
        <v>0.80666666666666598</v>
      </c>
      <c r="K532" s="98">
        <f ca="1">HLOOKUP($H$5,'Met Data'!$O$2:$T$368,G532,FALSE)</f>
        <v>4.2844164584952198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40</v>
      </c>
      <c r="H533" s="97">
        <f t="shared" ca="1" si="89"/>
        <v>45696</v>
      </c>
      <c r="I533" s="121">
        <f ca="1">HLOOKUP($H$5,'Met Data'!$A$2:$F$368,G533,FALSE)</f>
        <v>19.145</v>
      </c>
      <c r="J533" s="119">
        <f ca="1">HLOOKUP($H$5,'Met Data'!$H$2:$M$368,G533,FALSE)*L533</f>
        <v>2.1066666666666598</v>
      </c>
      <c r="K533" s="98">
        <f ca="1">HLOOKUP($H$5,'Met Data'!$O$2:$T$368,G533,FALSE)</f>
        <v>4.0819751344129296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41</v>
      </c>
      <c r="H534" s="97">
        <f t="shared" ca="1" si="89"/>
        <v>45697</v>
      </c>
      <c r="I534" s="121">
        <f ca="1">HLOOKUP($H$5,'Met Data'!$A$2:$F$368,G534,FALSE)</f>
        <v>19.28</v>
      </c>
      <c r="J534" s="119">
        <f ca="1">HLOOKUP($H$5,'Met Data'!$H$2:$M$368,G534,FALSE)*L534</f>
        <v>1.1200000000000001</v>
      </c>
      <c r="K534" s="98">
        <f ca="1">HLOOKUP($H$5,'Met Data'!$O$2:$T$368,G534,FALSE)</f>
        <v>4.260490854165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42</v>
      </c>
      <c r="H535" s="97">
        <f t="shared" ca="1" si="89"/>
        <v>45698</v>
      </c>
      <c r="I535" s="121">
        <f ca="1">HLOOKUP($H$5,'Met Data'!$A$2:$F$368,G535,FALSE)</f>
        <v>19.6533333333333</v>
      </c>
      <c r="J535" s="119">
        <f ca="1">HLOOKUP($H$5,'Met Data'!$H$2:$M$368,G535,FALSE)*L535</f>
        <v>1.4866666666666599</v>
      </c>
      <c r="K535" s="98">
        <f ca="1">HLOOKUP($H$5,'Met Data'!$O$2:$T$368,G535,FALSE)</f>
        <v>3.7833097987788902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43</v>
      </c>
      <c r="H536" s="97">
        <f t="shared" ca="1" si="89"/>
        <v>45699</v>
      </c>
      <c r="I536" s="121">
        <f ca="1">HLOOKUP($H$5,'Met Data'!$A$2:$F$368,G536,FALSE)</f>
        <v>19.843333333333302</v>
      </c>
      <c r="J536" s="119">
        <f ca="1">HLOOKUP($H$5,'Met Data'!$H$2:$M$368,G536,FALSE)*L536</f>
        <v>2.3199999999999998</v>
      </c>
      <c r="K536" s="98">
        <f ca="1">HLOOKUP($H$5,'Met Data'!$O$2:$T$368,G536,FALSE)</f>
        <v>3.6396000191553801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44</v>
      </c>
      <c r="H537" s="97">
        <f t="shared" ca="1" si="89"/>
        <v>45700</v>
      </c>
      <c r="I537" s="121">
        <f ca="1">HLOOKUP($H$5,'Met Data'!$A$2:$F$368,G537,FALSE)</f>
        <v>19.767241379310299</v>
      </c>
      <c r="J537" s="119">
        <f ca="1">HLOOKUP($H$5,'Met Data'!$H$2:$M$368,G537,FALSE)*L537</f>
        <v>2.6066666666666598</v>
      </c>
      <c r="K537" s="98">
        <f ca="1">HLOOKUP($H$5,'Met Data'!$O$2:$T$368,G537,FALSE)</f>
        <v>3.70262305339519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45</v>
      </c>
      <c r="H538" s="97">
        <f t="shared" ca="1" si="89"/>
        <v>45701</v>
      </c>
      <c r="I538" s="121">
        <f ca="1">HLOOKUP($H$5,'Met Data'!$A$2:$F$368,G538,FALSE)</f>
        <v>19.5672413793103</v>
      </c>
      <c r="J538" s="119">
        <f ca="1">HLOOKUP($H$5,'Met Data'!$H$2:$M$368,G538,FALSE)*L538</f>
        <v>0.59</v>
      </c>
      <c r="K538" s="98">
        <f ca="1">HLOOKUP($H$5,'Met Data'!$O$2:$T$368,G538,FALSE)</f>
        <v>4.0784584132757997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46</v>
      </c>
      <c r="H539" s="97">
        <f t="shared" ca="1" si="89"/>
        <v>45702</v>
      </c>
      <c r="I539" s="121">
        <f ca="1">HLOOKUP($H$5,'Met Data'!$A$2:$F$368,G539,FALSE)</f>
        <v>19.5910714285714</v>
      </c>
      <c r="J539" s="119">
        <f ca="1">HLOOKUP($H$5,'Met Data'!$H$2:$M$368,G539,FALSE)*L539</f>
        <v>1.8724137931034399</v>
      </c>
      <c r="K539" s="98">
        <f ca="1">HLOOKUP($H$5,'Met Data'!$O$2:$T$368,G539,FALSE)</f>
        <v>4.0775156504528702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47</v>
      </c>
      <c r="H540" s="97">
        <f t="shared" ca="1" si="89"/>
        <v>45703</v>
      </c>
      <c r="I540" s="121">
        <f ca="1">HLOOKUP($H$5,'Met Data'!$A$2:$F$368,G540,FALSE)</f>
        <v>19.355357142857098</v>
      </c>
      <c r="J540" s="119">
        <f ca="1">HLOOKUP($H$5,'Met Data'!$H$2:$M$368,G540,FALSE)*L540</f>
        <v>2.8206896551724099</v>
      </c>
      <c r="K540" s="98">
        <f ca="1">HLOOKUP($H$5,'Met Data'!$O$2:$T$368,G540,FALSE)</f>
        <v>4.1796467400508099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48</v>
      </c>
      <c r="H541" s="97">
        <f t="shared" ca="1" si="89"/>
        <v>45704</v>
      </c>
      <c r="I541" s="121">
        <f ca="1">HLOOKUP($H$5,'Met Data'!$A$2:$F$368,G541,FALSE)</f>
        <v>19.258928571428498</v>
      </c>
      <c r="J541" s="119">
        <f ca="1">HLOOKUP($H$5,'Met Data'!$H$2:$M$368,G541,FALSE)*L541</f>
        <v>1.80344827586206</v>
      </c>
      <c r="K541" s="98">
        <f ca="1">HLOOKUP($H$5,'Met Data'!$O$2:$T$368,G541,FALSE)</f>
        <v>3.8490703816040499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49</v>
      </c>
      <c r="H542" s="97">
        <f t="shared" ca="1" si="89"/>
        <v>45705</v>
      </c>
      <c r="I542" s="121">
        <f ca="1">HLOOKUP($H$5,'Met Data'!$A$2:$F$368,G542,FALSE)</f>
        <v>19.284482758620602</v>
      </c>
      <c r="J542" s="119">
        <f ca="1">HLOOKUP($H$5,'Met Data'!$H$2:$M$368,G542,FALSE)*L542</f>
        <v>4.5</v>
      </c>
      <c r="K542" s="98">
        <f ca="1">HLOOKUP($H$5,'Met Data'!$O$2:$T$368,G542,FALSE)</f>
        <v>3.7481412243719401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50</v>
      </c>
      <c r="H543" s="97">
        <f t="shared" ca="1" si="89"/>
        <v>45706</v>
      </c>
      <c r="I543" s="121">
        <f ca="1">HLOOKUP($H$5,'Met Data'!$A$2:$F$368,G543,FALSE)</f>
        <v>19.415517241379298</v>
      </c>
      <c r="J543" s="119">
        <f ca="1">HLOOKUP($H$5,'Met Data'!$H$2:$M$368,G543,FALSE)*L543</f>
        <v>1.4</v>
      </c>
      <c r="K543" s="98">
        <f ca="1">HLOOKUP($H$5,'Met Data'!$O$2:$T$368,G543,FALSE)</f>
        <v>3.8682529987421499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51</v>
      </c>
      <c r="H544" s="97">
        <f t="shared" ca="1" si="89"/>
        <v>45707</v>
      </c>
      <c r="I544" s="121">
        <f ca="1">HLOOKUP($H$5,'Met Data'!$A$2:$F$368,G544,FALSE)</f>
        <v>19.4189655172413</v>
      </c>
      <c r="J544" s="119">
        <f ca="1">HLOOKUP($H$5,'Met Data'!$H$2:$M$368,G544,FALSE)*L544</f>
        <v>1.4655172413793101</v>
      </c>
      <c r="K544" s="98">
        <f ca="1">HLOOKUP($H$5,'Met Data'!$O$2:$T$368,G544,FALSE)</f>
        <v>3.6105345286952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52</v>
      </c>
      <c r="H545" s="97">
        <f t="shared" ca="1" si="89"/>
        <v>45708</v>
      </c>
      <c r="I545" s="121">
        <f ca="1">HLOOKUP($H$5,'Met Data'!$A$2:$F$368,G545,FALSE)</f>
        <v>19.5068965517241</v>
      </c>
      <c r="J545" s="119">
        <f ca="1">HLOOKUP($H$5,'Met Data'!$H$2:$M$368,G545,FALSE)*L545</f>
        <v>3.8517241379310301</v>
      </c>
      <c r="K545" s="98">
        <f ca="1">HLOOKUP($H$5,'Met Data'!$O$2:$T$368,G545,FALSE)</f>
        <v>3.6240453059598501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53</v>
      </c>
      <c r="H546" s="97">
        <f t="shared" ca="1" si="89"/>
        <v>45709</v>
      </c>
      <c r="I546" s="121">
        <f ca="1">HLOOKUP($H$5,'Met Data'!$A$2:$F$368,G546,FALSE)</f>
        <v>19.441666666666599</v>
      </c>
      <c r="J546" s="119">
        <f ca="1">HLOOKUP($H$5,'Met Data'!$H$2:$M$368,G546,FALSE)*L546</f>
        <v>3</v>
      </c>
      <c r="K546" s="98">
        <f ca="1">HLOOKUP($H$5,'Met Data'!$O$2:$T$368,G546,FALSE)</f>
        <v>3.73403385362748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54</v>
      </c>
      <c r="H547" s="97">
        <f t="shared" ca="1" si="89"/>
        <v>45710</v>
      </c>
      <c r="I547" s="121">
        <f ca="1">HLOOKUP($H$5,'Met Data'!$A$2:$F$368,G547,FALSE)</f>
        <v>19.231666666666602</v>
      </c>
      <c r="J547" s="119">
        <f ca="1">HLOOKUP($H$5,'Met Data'!$H$2:$M$368,G547,FALSE)*L547</f>
        <v>1.5333333333333301</v>
      </c>
      <c r="K547" s="98">
        <f ca="1">HLOOKUP($H$5,'Met Data'!$O$2:$T$368,G547,FALSE)</f>
        <v>3.6261565374234999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55</v>
      </c>
      <c r="H548" s="97">
        <f t="shared" ca="1" si="89"/>
        <v>45711</v>
      </c>
      <c r="I548" s="121">
        <f ca="1">HLOOKUP($H$5,'Met Data'!$A$2:$F$368,G548,FALSE)</f>
        <v>19.22</v>
      </c>
      <c r="J548" s="119">
        <f ca="1">HLOOKUP($H$5,'Met Data'!$H$2:$M$368,G548,FALSE)*L548</f>
        <v>3.06</v>
      </c>
      <c r="K548" s="98">
        <f ca="1">HLOOKUP($H$5,'Met Data'!$O$2:$T$368,G548,FALSE)</f>
        <v>3.6095974227769201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56</v>
      </c>
      <c r="H549" s="97">
        <f t="shared" ca="1" si="89"/>
        <v>45712</v>
      </c>
      <c r="I549" s="121">
        <f ca="1">HLOOKUP($H$5,'Met Data'!$A$2:$F$368,G549,FALSE)</f>
        <v>18.793333333333301</v>
      </c>
      <c r="J549" s="119">
        <f ca="1">HLOOKUP($H$5,'Met Data'!$H$2:$M$368,G549,FALSE)*L549</f>
        <v>1.73</v>
      </c>
      <c r="K549" s="98">
        <f ca="1">HLOOKUP($H$5,'Met Data'!$O$2:$T$368,G549,FALSE)</f>
        <v>3.9865323105658801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57</v>
      </c>
      <c r="H550" s="97">
        <f t="shared" ca="1" si="89"/>
        <v>45713</v>
      </c>
      <c r="I550" s="121">
        <f ca="1">HLOOKUP($H$5,'Met Data'!$A$2:$F$368,G550,FALSE)</f>
        <v>18.3</v>
      </c>
      <c r="J550" s="119">
        <f ca="1">HLOOKUP($H$5,'Met Data'!$H$2:$M$368,G550,FALSE)*L550</f>
        <v>1.1766666666666601</v>
      </c>
      <c r="K550" s="98">
        <f ca="1">HLOOKUP($H$5,'Met Data'!$O$2:$T$368,G550,FALSE)</f>
        <v>3.88204927928038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58</v>
      </c>
      <c r="H551" s="97">
        <f t="shared" ca="1" si="89"/>
        <v>45714</v>
      </c>
      <c r="I551" s="121">
        <f ca="1">HLOOKUP($H$5,'Met Data'!$A$2:$F$368,G551,FALSE)</f>
        <v>18.41</v>
      </c>
      <c r="J551" s="119">
        <f ca="1">HLOOKUP($H$5,'Met Data'!$H$2:$M$368,G551,FALSE)*L551</f>
        <v>2.0233333333333299</v>
      </c>
      <c r="K551" s="98">
        <f ca="1">HLOOKUP($H$5,'Met Data'!$O$2:$T$368,G551,FALSE)</f>
        <v>4.05937925457948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59</v>
      </c>
      <c r="H552" s="97">
        <f t="shared" ca="1" si="89"/>
        <v>45715</v>
      </c>
      <c r="I552" s="121">
        <f ca="1">HLOOKUP($H$5,'Met Data'!$A$2:$F$368,G552,FALSE)</f>
        <v>18.516666666666602</v>
      </c>
      <c r="J552" s="119">
        <f ca="1">HLOOKUP($H$5,'Met Data'!$H$2:$M$368,G552,FALSE)*L552</f>
        <v>1.5499999999999901</v>
      </c>
      <c r="K552" s="98">
        <f ca="1">HLOOKUP($H$5,'Met Data'!$O$2:$T$368,G552,FALSE)</f>
        <v>3.8269283002116601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60</v>
      </c>
      <c r="H553" s="97">
        <f t="shared" ca="1" si="89"/>
        <v>45716</v>
      </c>
      <c r="I553" s="121">
        <f ca="1">HLOOKUP($H$5,'Met Data'!$A$2:$F$368,G553,FALSE)</f>
        <v>18.253571428571401</v>
      </c>
      <c r="J553" s="119">
        <f ca="1">HLOOKUP($H$5,'Met Data'!$H$2:$M$368,G553,FALSE)*L553</f>
        <v>3.4793103448275802</v>
      </c>
      <c r="K553" s="98">
        <f ca="1">HLOOKUP($H$5,'Met Data'!$O$2:$T$368,G553,FALSE)</f>
        <v>3.4828962462929298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61</v>
      </c>
      <c r="H554" s="97">
        <f t="shared" ca="1" si="89"/>
        <v>45717</v>
      </c>
      <c r="I554" s="121">
        <f ca="1">HLOOKUP($H$5,'Met Data'!$A$2:$F$368,G554,FALSE)</f>
        <v>18.313793103448202</v>
      </c>
      <c r="J554" s="119">
        <f ca="1">HLOOKUP($H$5,'Met Data'!$H$2:$M$368,G554,FALSE)*L554</f>
        <v>4.1758620689655102</v>
      </c>
      <c r="K554" s="98">
        <f ca="1">HLOOKUP($H$5,'Met Data'!$O$2:$T$368,G554,FALSE)</f>
        <v>3.6905226687271502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62</v>
      </c>
      <c r="H555" s="97">
        <f t="shared" ca="1" si="89"/>
        <v>45718</v>
      </c>
      <c r="I555" s="121">
        <f ca="1">HLOOKUP($H$5,'Met Data'!$A$2:$F$368,G555,FALSE)</f>
        <v>18.701724137930999</v>
      </c>
      <c r="J555" s="119">
        <f ca="1">HLOOKUP($H$5,'Met Data'!$H$2:$M$368,G555,FALSE)*L555</f>
        <v>2.4379310344827498</v>
      </c>
      <c r="K555" s="98">
        <f ca="1">HLOOKUP($H$5,'Met Data'!$O$2:$T$368,G555,FALSE)</f>
        <v>3.7650592582328399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63</v>
      </c>
      <c r="H556" s="97">
        <f t="shared" ca="1" si="89"/>
        <v>45719</v>
      </c>
      <c r="I556" s="121">
        <f ca="1">HLOOKUP($H$5,'Met Data'!$A$2:$F$368,G556,FALSE)</f>
        <v>18.759999999999899</v>
      </c>
      <c r="J556" s="119">
        <f ca="1">HLOOKUP($H$5,'Met Data'!$H$2:$M$368,G556,FALSE)*L556</f>
        <v>3.53666666666666</v>
      </c>
      <c r="K556" s="98">
        <f ca="1">HLOOKUP($H$5,'Met Data'!$O$2:$T$368,G556,FALSE)</f>
        <v>3.6493457095997699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64</v>
      </c>
      <c r="H557" s="97">
        <f t="shared" ca="1" si="89"/>
        <v>45720</v>
      </c>
      <c r="I557" s="121">
        <f ca="1">HLOOKUP($H$5,'Met Data'!$A$2:$F$368,G557,FALSE)</f>
        <v>18.0322580645161</v>
      </c>
      <c r="J557" s="119">
        <f ca="1">HLOOKUP($H$5,'Met Data'!$H$2:$M$368,G557,FALSE)*L557</f>
        <v>5.3612903225806399</v>
      </c>
      <c r="K557" s="98">
        <f ca="1">HLOOKUP($H$5,'Met Data'!$O$2:$T$368,G557,FALSE)</f>
        <v>3.6858306163975501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65</v>
      </c>
      <c r="H558" s="97">
        <f t="shared" ca="1" si="89"/>
        <v>45721</v>
      </c>
      <c r="I558" s="121">
        <f ca="1">HLOOKUP($H$5,'Met Data'!$A$2:$F$368,G558,FALSE)</f>
        <v>17.95</v>
      </c>
      <c r="J558" s="119">
        <f ca="1">HLOOKUP($H$5,'Met Data'!$H$2:$M$368,G558,FALSE)*L558</f>
        <v>2.5580645161290301</v>
      </c>
      <c r="K558" s="98">
        <f ca="1">HLOOKUP($H$5,'Met Data'!$O$2:$T$368,G558,FALSE)</f>
        <v>3.6617176102227802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66</v>
      </c>
      <c r="H559" s="97">
        <f t="shared" ca="1" si="89"/>
        <v>45722</v>
      </c>
      <c r="I559" s="121">
        <f ca="1">HLOOKUP($H$5,'Met Data'!$A$2:$F$368,G559,FALSE)</f>
        <v>18.361290322580601</v>
      </c>
      <c r="J559" s="119">
        <f ca="1">HLOOKUP($H$5,'Met Data'!$H$2:$M$368,G559,FALSE)*L559</f>
        <v>2.3129032258064499</v>
      </c>
      <c r="K559" s="98">
        <f ca="1">HLOOKUP($H$5,'Met Data'!$O$2:$T$368,G559,FALSE)</f>
        <v>3.8548213926682098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ca="1" si="80"/>
        <v>67</v>
      </c>
      <c r="H560" s="97">
        <f t="shared" ca="1" si="89"/>
        <v>45723</v>
      </c>
      <c r="I560" s="121">
        <f ca="1">HLOOKUP($H$5,'Met Data'!$A$2:$F$368,G560,FALSE)</f>
        <v>17.7903225806451</v>
      </c>
      <c r="J560" s="119">
        <f ca="1">HLOOKUP($H$5,'Met Data'!$H$2:$M$368,G560,FALSE)*L560</f>
        <v>2.88709677419354</v>
      </c>
      <c r="K560" s="98">
        <f ca="1">HLOOKUP($H$5,'Met Data'!$O$2:$T$368,G560,FALSE)</f>
        <v>3.4909393601542198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ca="1" si="90">H561-DATE(YEAR(H561),1,0)+1</f>
        <v>68</v>
      </c>
      <c r="H561" s="97">
        <f t="shared" ca="1" si="89"/>
        <v>45724</v>
      </c>
      <c r="I561" s="121">
        <f ca="1">HLOOKUP($H$5,'Met Data'!$A$2:$F$368,G561,FALSE)</f>
        <v>18.141379310344799</v>
      </c>
      <c r="J561" s="119">
        <f ca="1">HLOOKUP($H$5,'Met Data'!$H$2:$M$368,G561,FALSE)*L561</f>
        <v>1.0379310344827499</v>
      </c>
      <c r="K561" s="98">
        <f ca="1">HLOOKUP($H$5,'Met Data'!$O$2:$T$368,G561,FALSE)</f>
        <v>3.8084649299222599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ca="1" si="90"/>
        <v>69</v>
      </c>
      <c r="H562" s="97">
        <f t="shared" ca="1" si="89"/>
        <v>45725</v>
      </c>
      <c r="I562" s="121">
        <f ca="1">HLOOKUP($H$5,'Met Data'!$A$2:$F$368,G562,FALSE)</f>
        <v>18.3816666666666</v>
      </c>
      <c r="J562" s="119">
        <f ca="1">HLOOKUP($H$5,'Met Data'!$H$2:$M$368,G562,FALSE)*L562</f>
        <v>3.2766666666666602</v>
      </c>
      <c r="K562" s="98">
        <f ca="1">HLOOKUP($H$5,'Met Data'!$O$2:$T$368,G562,FALSE)</f>
        <v>3.6161533155938699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70</v>
      </c>
      <c r="H563" s="97">
        <f t="shared" ca="1" si="89"/>
        <v>45726</v>
      </c>
      <c r="I563" s="121">
        <f ca="1">HLOOKUP($H$5,'Met Data'!$A$2:$F$368,G563,FALSE)</f>
        <v>18.100000000000001</v>
      </c>
      <c r="J563" s="119">
        <f ca="1">HLOOKUP($H$5,'Met Data'!$H$2:$M$368,G563,FALSE)*L563</f>
        <v>1.75</v>
      </c>
      <c r="K563" s="98">
        <f ca="1">HLOOKUP($H$5,'Met Data'!$O$2:$T$368,G563,FALSE)</f>
        <v>3.9222011256035199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71</v>
      </c>
      <c r="H564" s="97">
        <f t="shared" ca="1" si="89"/>
        <v>45727</v>
      </c>
      <c r="I564" s="121">
        <f ca="1">HLOOKUP($H$5,'Met Data'!$A$2:$F$368,G564,FALSE)</f>
        <v>17.931666666666601</v>
      </c>
      <c r="J564" s="119">
        <f ca="1">HLOOKUP($H$5,'Met Data'!$H$2:$M$368,G564,FALSE)*L564</f>
        <v>6.9499999999999904</v>
      </c>
      <c r="K564" s="98">
        <f ca="1">HLOOKUP($H$5,'Met Data'!$O$2:$T$368,G564,FALSE)</f>
        <v>3.4661109817168501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72</v>
      </c>
      <c r="H565" s="97">
        <f t="shared" ca="1" si="89"/>
        <v>45728</v>
      </c>
      <c r="I565" s="121">
        <f ca="1">HLOOKUP($H$5,'Met Data'!$A$2:$F$368,G565,FALSE)</f>
        <v>18.11</v>
      </c>
      <c r="J565" s="119">
        <f ca="1">HLOOKUP($H$5,'Met Data'!$H$2:$M$368,G565,FALSE)*L565</f>
        <v>3.0533333333333301</v>
      </c>
      <c r="K565" s="98">
        <f ca="1">HLOOKUP($H$5,'Met Data'!$O$2:$T$368,G565,FALSE)</f>
        <v>3.54178935257598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73</v>
      </c>
      <c r="H566" s="97">
        <f t="shared" ca="1" si="89"/>
        <v>45729</v>
      </c>
      <c r="I566" s="121">
        <f ca="1">HLOOKUP($H$5,'Met Data'!$A$2:$F$368,G566,FALSE)</f>
        <v>17.7392857142857</v>
      </c>
      <c r="J566" s="119">
        <f ca="1">HLOOKUP($H$5,'Met Data'!$H$2:$M$368,G566,FALSE)*L566</f>
        <v>1.6892857142857101</v>
      </c>
      <c r="K566" s="98">
        <f ca="1">HLOOKUP($H$5,'Met Data'!$O$2:$T$368,G566,FALSE)</f>
        <v>3.3591305391228099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74</v>
      </c>
      <c r="H567" s="97">
        <f t="shared" ca="1" si="89"/>
        <v>45730</v>
      </c>
      <c r="I567" s="121">
        <f ca="1">HLOOKUP($H$5,'Met Data'!$A$2:$F$368,G567,FALSE)</f>
        <v>17.7431034482758</v>
      </c>
      <c r="J567" s="119">
        <f ca="1">HLOOKUP($H$5,'Met Data'!$H$2:$M$368,G567,FALSE)*L567</f>
        <v>1.84</v>
      </c>
      <c r="K567" s="98">
        <f ca="1">HLOOKUP($H$5,'Met Data'!$O$2:$T$368,G567,FALSE)</f>
        <v>3.37236322021164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75</v>
      </c>
      <c r="H568" s="97">
        <f t="shared" ca="1" si="89"/>
        <v>45731</v>
      </c>
      <c r="I568" s="121">
        <f ca="1">HLOOKUP($H$5,'Met Data'!$A$2:$F$368,G568,FALSE)</f>
        <v>17.582758620689599</v>
      </c>
      <c r="J568" s="119">
        <f ca="1">HLOOKUP($H$5,'Met Data'!$H$2:$M$368,G568,FALSE)*L568</f>
        <v>3.1862068965517198</v>
      </c>
      <c r="K568" s="98">
        <f ca="1">HLOOKUP($H$5,'Met Data'!$O$2:$T$368,G568,FALSE)</f>
        <v>3.1968269295082399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76</v>
      </c>
      <c r="H569" s="97">
        <f t="shared" ca="1" si="89"/>
        <v>45732</v>
      </c>
      <c r="I569" s="121">
        <f ca="1">HLOOKUP($H$5,'Met Data'!$A$2:$F$368,G569,FALSE)</f>
        <v>17.724137931034399</v>
      </c>
      <c r="J569" s="119">
        <f ca="1">HLOOKUP($H$5,'Met Data'!$H$2:$M$368,G569,FALSE)*L569</f>
        <v>2.9633333333333298</v>
      </c>
      <c r="K569" s="98">
        <f ca="1">HLOOKUP($H$5,'Met Data'!$O$2:$T$368,G569,FALSE)</f>
        <v>3.15313078143424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77</v>
      </c>
      <c r="H570" s="97">
        <f t="shared" ca="1" si="89"/>
        <v>45733</v>
      </c>
      <c r="I570" s="121">
        <f ca="1">HLOOKUP($H$5,'Met Data'!$A$2:$F$368,G570,FALSE)</f>
        <v>17.698333333333299</v>
      </c>
      <c r="J570" s="119">
        <f ca="1">HLOOKUP($H$5,'Met Data'!$H$2:$M$368,G570,FALSE)*L570</f>
        <v>2.61666666666666</v>
      </c>
      <c r="K570" s="98">
        <f ca="1">HLOOKUP($H$5,'Met Data'!$O$2:$T$368,G570,FALSE)</f>
        <v>3.4068572568745799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78</v>
      </c>
      <c r="H571" s="97">
        <f t="shared" ca="1" si="89"/>
        <v>45734</v>
      </c>
      <c r="I571" s="121">
        <f ca="1">HLOOKUP($H$5,'Met Data'!$A$2:$F$368,G571,FALSE)</f>
        <v>17.62</v>
      </c>
      <c r="J571" s="119">
        <f ca="1">HLOOKUP($H$5,'Met Data'!$H$2:$M$368,G571,FALSE)*L571</f>
        <v>1.69</v>
      </c>
      <c r="K571" s="98">
        <f ca="1">HLOOKUP($H$5,'Met Data'!$O$2:$T$368,G571,FALSE)</f>
        <v>3.17632774581707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79</v>
      </c>
      <c r="H572" s="97">
        <f t="shared" ca="1" si="89"/>
        <v>45735</v>
      </c>
      <c r="I572" s="121">
        <f ca="1">HLOOKUP($H$5,'Met Data'!$A$2:$F$368,G572,FALSE)</f>
        <v>17.170000000000002</v>
      </c>
      <c r="J572" s="119">
        <f ca="1">HLOOKUP($H$5,'Met Data'!$H$2:$M$368,G572,FALSE)*L572</f>
        <v>1.5166666666666599</v>
      </c>
      <c r="K572" s="98">
        <f ca="1">HLOOKUP($H$5,'Met Data'!$O$2:$T$368,G572,FALSE)</f>
        <v>3.38121466442426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80</v>
      </c>
      <c r="H573" s="97">
        <f t="shared" ca="1" si="89"/>
        <v>45736</v>
      </c>
      <c r="I573" s="121">
        <f ca="1">HLOOKUP($H$5,'Met Data'!$A$2:$F$368,G573,FALSE)</f>
        <v>17.223333333333301</v>
      </c>
      <c r="J573" s="119">
        <f ca="1">HLOOKUP($H$5,'Met Data'!$H$2:$M$368,G573,FALSE)*L573</f>
        <v>3.56451612903225</v>
      </c>
      <c r="K573" s="98">
        <f ca="1">HLOOKUP($H$5,'Met Data'!$O$2:$T$368,G573,FALSE)</f>
        <v>3.2035769560803802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81</v>
      </c>
      <c r="H574" s="97">
        <f t="shared" ca="1" si="89"/>
        <v>45737</v>
      </c>
      <c r="I574" s="121">
        <f ca="1">HLOOKUP($H$5,'Met Data'!$A$2:$F$368,G574,FALSE)</f>
        <v>17.498333333333299</v>
      </c>
      <c r="J574" s="119">
        <f ca="1">HLOOKUP($H$5,'Met Data'!$H$2:$M$368,G574,FALSE)*L574</f>
        <v>0.80645161290322498</v>
      </c>
      <c r="K574" s="98">
        <f ca="1">HLOOKUP($H$5,'Met Data'!$O$2:$T$368,G574,FALSE)</f>
        <v>3.31927458571925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82</v>
      </c>
      <c r="H575" s="97">
        <f t="shared" ca="1" si="89"/>
        <v>45738</v>
      </c>
      <c r="I575" s="121">
        <f ca="1">HLOOKUP($H$5,'Met Data'!$A$2:$F$368,G575,FALSE)</f>
        <v>17.390322580645101</v>
      </c>
      <c r="J575" s="119">
        <f ca="1">HLOOKUP($H$5,'Met Data'!$H$2:$M$368,G575,FALSE)*L575</f>
        <v>2.8516129032258002</v>
      </c>
      <c r="K575" s="98">
        <f ca="1">HLOOKUP($H$5,'Met Data'!$O$2:$T$368,G575,FALSE)</f>
        <v>3.3284502448926401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83</v>
      </c>
      <c r="H576" s="97">
        <f t="shared" ca="1" si="89"/>
        <v>45739</v>
      </c>
      <c r="I576" s="121">
        <f ca="1">HLOOKUP($H$5,'Met Data'!$A$2:$F$368,G576,FALSE)</f>
        <v>17.053333333333299</v>
      </c>
      <c r="J576" s="119">
        <f ca="1">HLOOKUP($H$5,'Met Data'!$H$2:$M$368,G576,FALSE)*L576</f>
        <v>2.9933333333333301</v>
      </c>
      <c r="K576" s="98">
        <f ca="1">HLOOKUP($H$5,'Met Data'!$O$2:$T$368,G576,FALSE)</f>
        <v>3.1676733133647299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84</v>
      </c>
      <c r="H577" s="97">
        <f t="shared" ca="1" si="89"/>
        <v>45740</v>
      </c>
      <c r="I577" s="121">
        <f ca="1">HLOOKUP($H$5,'Met Data'!$A$2:$F$368,G577,FALSE)</f>
        <v>16.973333333333301</v>
      </c>
      <c r="J577" s="119">
        <f ca="1">HLOOKUP($H$5,'Met Data'!$H$2:$M$368,G577,FALSE)*L577</f>
        <v>1.83666666666666</v>
      </c>
      <c r="K577" s="98">
        <f ca="1">HLOOKUP($H$5,'Met Data'!$O$2:$T$368,G577,FALSE)</f>
        <v>3.1307694102164598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85</v>
      </c>
      <c r="H578" s="97">
        <f t="shared" ca="1" si="89"/>
        <v>45741</v>
      </c>
      <c r="I578" s="121">
        <f ca="1">HLOOKUP($H$5,'Met Data'!$A$2:$F$368,G578,FALSE)</f>
        <v>16.984999999999999</v>
      </c>
      <c r="J578" s="119">
        <f ca="1">HLOOKUP($H$5,'Met Data'!$H$2:$M$368,G578,FALSE)*L578</f>
        <v>1.7666666666666599</v>
      </c>
      <c r="K578" s="98">
        <f ca="1">HLOOKUP($H$5,'Met Data'!$O$2:$T$368,G578,FALSE)</f>
        <v>2.9971927749729499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86</v>
      </c>
      <c r="H579" s="97">
        <f t="shared" ca="1" si="89"/>
        <v>45742</v>
      </c>
      <c r="I579" s="121">
        <f ca="1">HLOOKUP($H$5,'Met Data'!$A$2:$F$368,G579,FALSE)</f>
        <v>17.064516129032199</v>
      </c>
      <c r="J579" s="119">
        <f ca="1">HLOOKUP($H$5,'Met Data'!$H$2:$M$368,G579,FALSE)*L579</f>
        <v>3.4354838709677402</v>
      </c>
      <c r="K579" s="98">
        <f ca="1">HLOOKUP($H$5,'Met Data'!$O$2:$T$368,G579,FALSE)</f>
        <v>3.1405308327099699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87</v>
      </c>
      <c r="H580" s="97">
        <f t="shared" ca="1" si="89"/>
        <v>45743</v>
      </c>
      <c r="I580" s="121">
        <f ca="1">HLOOKUP($H$5,'Met Data'!$A$2:$F$368,G580,FALSE)</f>
        <v>17.208064516128999</v>
      </c>
      <c r="J580" s="119">
        <f ca="1">HLOOKUP($H$5,'Met Data'!$H$2:$M$368,G580,FALSE)*L580</f>
        <v>0.97419354838709604</v>
      </c>
      <c r="K580" s="98">
        <f ca="1">HLOOKUP($H$5,'Met Data'!$O$2:$T$368,G580,FALSE)</f>
        <v>3.1295018555019598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88</v>
      </c>
      <c r="H581" s="97">
        <f t="shared" ca="1" si="89"/>
        <v>45744</v>
      </c>
      <c r="I581" s="121">
        <f ca="1">HLOOKUP($H$5,'Met Data'!$A$2:$F$368,G581,FALSE)</f>
        <v>17.141666666666602</v>
      </c>
      <c r="J581" s="119">
        <f ca="1">HLOOKUP($H$5,'Met Data'!$H$2:$M$368,G581,FALSE)*L581</f>
        <v>2.43225806451612</v>
      </c>
      <c r="K581" s="98">
        <f ca="1">HLOOKUP($H$5,'Met Data'!$O$2:$T$368,G581,FALSE)</f>
        <v>2.6600638405747499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89</v>
      </c>
      <c r="H582" s="97">
        <f t="shared" ca="1" si="89"/>
        <v>45745</v>
      </c>
      <c r="I582" s="121">
        <f ca="1">HLOOKUP($H$5,'Met Data'!$A$2:$F$368,G582,FALSE)</f>
        <v>17.338333333333299</v>
      </c>
      <c r="J582" s="119">
        <f ca="1">HLOOKUP($H$5,'Met Data'!$H$2:$M$368,G582,FALSE)*L582</f>
        <v>2.8193548387096699</v>
      </c>
      <c r="K582" s="98">
        <f ca="1">HLOOKUP($H$5,'Met Data'!$O$2:$T$368,G582,FALSE)</f>
        <v>2.7816184084358899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90</v>
      </c>
      <c r="H583" s="97">
        <f t="shared" ca="1" si="89"/>
        <v>45746</v>
      </c>
      <c r="I583" s="121">
        <f ca="1">HLOOKUP($H$5,'Met Data'!$A$2:$F$368,G583,FALSE)</f>
        <v>17.136206896551698</v>
      </c>
      <c r="J583" s="119">
        <f ca="1">HLOOKUP($H$5,'Met Data'!$H$2:$M$368,G583,FALSE)*L583</f>
        <v>1.15333333333333</v>
      </c>
      <c r="K583" s="98">
        <f ca="1">HLOOKUP($H$5,'Met Data'!$O$2:$T$368,G583,FALSE)</f>
        <v>3.16549451986696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91</v>
      </c>
      <c r="H584" s="97">
        <f t="shared" ca="1" si="89"/>
        <v>45747</v>
      </c>
      <c r="I584" s="121">
        <f ca="1">HLOOKUP($H$5,'Met Data'!$A$2:$F$368,G584,FALSE)</f>
        <v>16.922413793103399</v>
      </c>
      <c r="J584" s="119">
        <f ca="1">HLOOKUP($H$5,'Met Data'!$H$2:$M$368,G584,FALSE)*L584</f>
        <v>2.9733333333333301</v>
      </c>
      <c r="K584" s="98">
        <f ca="1">HLOOKUP($H$5,'Met Data'!$O$2:$T$368,G584,FALSE)</f>
        <v>2.84233525233393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92</v>
      </c>
      <c r="H585" s="97">
        <f t="shared" ref="H585:H648" ca="1" si="99">H584+1</f>
        <v>45748</v>
      </c>
      <c r="I585" s="121">
        <f ca="1">HLOOKUP($H$5,'Met Data'!$A$2:$F$368,G585,FALSE)</f>
        <v>16.63</v>
      </c>
      <c r="J585" s="119">
        <f ca="1">HLOOKUP($H$5,'Met Data'!$H$2:$M$368,G585,FALSE)*L585</f>
        <v>1.76451612903225</v>
      </c>
      <c r="K585" s="98">
        <f ca="1">HLOOKUP($H$5,'Met Data'!$O$2:$T$368,G585,FALSE)</f>
        <v>2.8748972399291501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93</v>
      </c>
      <c r="H586" s="97">
        <f t="shared" ca="1" si="99"/>
        <v>45749</v>
      </c>
      <c r="I586" s="121">
        <f ca="1">HLOOKUP($H$5,'Met Data'!$A$2:$F$368,G586,FALSE)</f>
        <v>16.5379310344827</v>
      </c>
      <c r="J586" s="119">
        <f ca="1">HLOOKUP($H$5,'Met Data'!$H$2:$M$368,G586,FALSE)*L586</f>
        <v>3.32258064516129</v>
      </c>
      <c r="K586" s="98">
        <f ca="1">HLOOKUP($H$5,'Met Data'!$O$2:$T$368,G586,FALSE)</f>
        <v>2.5469261916112398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94</v>
      </c>
      <c r="H587" s="97">
        <f t="shared" ca="1" si="99"/>
        <v>45750</v>
      </c>
      <c r="I587" s="121">
        <f ca="1">HLOOKUP($H$5,'Met Data'!$A$2:$F$368,G587,FALSE)</f>
        <v>16.693103448275799</v>
      </c>
      <c r="J587" s="119">
        <f ca="1">HLOOKUP($H$5,'Met Data'!$H$2:$M$368,G587,FALSE)*L587</f>
        <v>2.8064516129032202</v>
      </c>
      <c r="K587" s="98">
        <f ca="1">HLOOKUP($H$5,'Met Data'!$O$2:$T$368,G587,FALSE)</f>
        <v>2.8493466745517901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95</v>
      </c>
      <c r="H588" s="97">
        <f t="shared" ca="1" si="99"/>
        <v>45751</v>
      </c>
      <c r="I588" s="121">
        <f ca="1">HLOOKUP($H$5,'Met Data'!$A$2:$F$368,G588,FALSE)</f>
        <v>16.29</v>
      </c>
      <c r="J588" s="119">
        <f ca="1">HLOOKUP($H$5,'Met Data'!$H$2:$M$368,G588,FALSE)*L588</f>
        <v>1.4483870967741901</v>
      </c>
      <c r="K588" s="98">
        <f ca="1">HLOOKUP($H$5,'Met Data'!$O$2:$T$368,G588,FALSE)</f>
        <v>3.04847392107171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96</v>
      </c>
      <c r="H589" s="97">
        <f t="shared" ca="1" si="99"/>
        <v>45752</v>
      </c>
      <c r="I589" s="121">
        <f ca="1">HLOOKUP($H$5,'Met Data'!$A$2:$F$368,G589,FALSE)</f>
        <v>16.28</v>
      </c>
      <c r="J589" s="119">
        <f ca="1">HLOOKUP($H$5,'Met Data'!$H$2:$M$368,G589,FALSE)*L589</f>
        <v>1.6838709677419299</v>
      </c>
      <c r="K589" s="98">
        <f ca="1">HLOOKUP($H$5,'Met Data'!$O$2:$T$368,G589,FALSE)</f>
        <v>2.9631357104845102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97</v>
      </c>
      <c r="H590" s="97">
        <f t="shared" ca="1" si="99"/>
        <v>45753</v>
      </c>
      <c r="I590" s="121">
        <f ca="1">HLOOKUP($H$5,'Met Data'!$A$2:$F$368,G590,FALSE)</f>
        <v>16.288333333333298</v>
      </c>
      <c r="J590" s="119">
        <f ca="1">HLOOKUP($H$5,'Met Data'!$H$2:$M$368,G590,FALSE)*L590</f>
        <v>3.1066666666666598</v>
      </c>
      <c r="K590" s="98">
        <f ca="1">HLOOKUP($H$5,'Met Data'!$O$2:$T$368,G590,FALSE)</f>
        <v>2.8364094228266699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98</v>
      </c>
      <c r="H591" s="97">
        <f t="shared" ca="1" si="99"/>
        <v>45754</v>
      </c>
      <c r="I591" s="121">
        <f ca="1">HLOOKUP($H$5,'Met Data'!$A$2:$F$368,G591,FALSE)</f>
        <v>16.247502601456802</v>
      </c>
      <c r="J591" s="119">
        <f ca="1">HLOOKUP($H$5,'Met Data'!$H$2:$M$368,G591,FALSE)*L591</f>
        <v>2.3033333333333301</v>
      </c>
      <c r="K591" s="98">
        <f ca="1">HLOOKUP($H$5,'Met Data'!$O$2:$T$368,G591,FALSE)</f>
        <v>2.7733248568186499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99</v>
      </c>
      <c r="H592" s="97">
        <f t="shared" ca="1" si="99"/>
        <v>45755</v>
      </c>
      <c r="I592" s="121">
        <f ca="1">HLOOKUP($H$5,'Met Data'!$A$2:$F$368,G592,FALSE)</f>
        <v>15.9919354838709</v>
      </c>
      <c r="J592" s="119">
        <f ca="1">HLOOKUP($H$5,'Met Data'!$H$2:$M$368,G592,FALSE)*L592</f>
        <v>3.04</v>
      </c>
      <c r="K592" s="98">
        <f ca="1">HLOOKUP($H$5,'Met Data'!$O$2:$T$368,G592,FALSE)</f>
        <v>2.4928303491288801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100</v>
      </c>
      <c r="H593" s="97">
        <f t="shared" ca="1" si="99"/>
        <v>45756</v>
      </c>
      <c r="I593" s="121">
        <f ca="1">HLOOKUP($H$5,'Met Data'!$A$2:$F$368,G593,FALSE)</f>
        <v>15.7</v>
      </c>
      <c r="J593" s="119">
        <f ca="1">HLOOKUP($H$5,'Met Data'!$H$2:$M$368,G593,FALSE)*L593</f>
        <v>4.67</v>
      </c>
      <c r="K593" s="98">
        <f ca="1">HLOOKUP($H$5,'Met Data'!$O$2:$T$368,G593,FALSE)</f>
        <v>2.4645244256425198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101</v>
      </c>
      <c r="H594" s="97">
        <f t="shared" ca="1" si="99"/>
        <v>45757</v>
      </c>
      <c r="I594" s="121">
        <f ca="1">HLOOKUP($H$5,'Met Data'!$A$2:$F$368,G594,FALSE)</f>
        <v>15.6066666666666</v>
      </c>
      <c r="J594" s="119">
        <f ca="1">HLOOKUP($H$5,'Met Data'!$H$2:$M$368,G594,FALSE)*L594</f>
        <v>2.9099999999999899</v>
      </c>
      <c r="K594" s="98">
        <f ca="1">HLOOKUP($H$5,'Met Data'!$O$2:$T$368,G594,FALSE)</f>
        <v>2.6085032852196299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102</v>
      </c>
      <c r="H595" s="97">
        <f t="shared" ca="1" si="99"/>
        <v>45758</v>
      </c>
      <c r="I595" s="121">
        <f ca="1">HLOOKUP($H$5,'Met Data'!$A$2:$F$368,G595,FALSE)</f>
        <v>15.335000000000001</v>
      </c>
      <c r="J595" s="119">
        <f ca="1">HLOOKUP($H$5,'Met Data'!$H$2:$M$368,G595,FALSE)*L595</f>
        <v>2.68333333333333</v>
      </c>
      <c r="K595" s="98">
        <f ca="1">HLOOKUP($H$5,'Met Data'!$O$2:$T$368,G595,FALSE)</f>
        <v>2.45140037536581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103</v>
      </c>
      <c r="H596" s="97">
        <f t="shared" ca="1" si="99"/>
        <v>45759</v>
      </c>
      <c r="I596" s="121">
        <f ca="1">HLOOKUP($H$5,'Met Data'!$A$2:$F$368,G596,FALSE)</f>
        <v>15.3916666666666</v>
      </c>
      <c r="J596" s="119">
        <f ca="1">HLOOKUP($H$5,'Met Data'!$H$2:$M$368,G596,FALSE)*L596</f>
        <v>4.07</v>
      </c>
      <c r="K596" s="98">
        <f ca="1">HLOOKUP($H$5,'Met Data'!$O$2:$T$368,G596,FALSE)</f>
        <v>2.54129590695179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104</v>
      </c>
      <c r="H597" s="97">
        <f t="shared" ca="1" si="99"/>
        <v>45760</v>
      </c>
      <c r="I597" s="121">
        <f ca="1">HLOOKUP($H$5,'Met Data'!$A$2:$F$368,G597,FALSE)</f>
        <v>15.6451612903225</v>
      </c>
      <c r="J597" s="119">
        <f ca="1">HLOOKUP($H$5,'Met Data'!$H$2:$M$368,G597,FALSE)*L597</f>
        <v>2.43333333333333</v>
      </c>
      <c r="K597" s="98">
        <f ca="1">HLOOKUP($H$5,'Met Data'!$O$2:$T$368,G597,FALSE)</f>
        <v>2.5074868670786801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105</v>
      </c>
      <c r="H598" s="97">
        <f t="shared" ca="1" si="99"/>
        <v>45761</v>
      </c>
      <c r="I598" s="121">
        <f ca="1">HLOOKUP($H$5,'Met Data'!$A$2:$F$368,G598,FALSE)</f>
        <v>15.3435483870967</v>
      </c>
      <c r="J598" s="119">
        <f ca="1">HLOOKUP($H$5,'Met Data'!$H$2:$M$368,G598,FALSE)*L598</f>
        <v>3.5533333333333301</v>
      </c>
      <c r="K598" s="98">
        <f ca="1">HLOOKUP($H$5,'Met Data'!$O$2:$T$368,G598,FALSE)</f>
        <v>2.53164431510397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106</v>
      </c>
      <c r="H599" s="97">
        <f t="shared" ca="1" si="99"/>
        <v>45762</v>
      </c>
      <c r="I599" s="121">
        <f ca="1">HLOOKUP($H$5,'Met Data'!$A$2:$F$368,G599,FALSE)</f>
        <v>15.1612903225806</v>
      </c>
      <c r="J599" s="119">
        <f ca="1">HLOOKUP($H$5,'Met Data'!$H$2:$M$368,G599,FALSE)*L599</f>
        <v>2.7451612903225802</v>
      </c>
      <c r="K599" s="98">
        <f ca="1">HLOOKUP($H$5,'Met Data'!$O$2:$T$368,G599,FALSE)</f>
        <v>2.2462315590791202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107</v>
      </c>
      <c r="H600" s="97">
        <f t="shared" ca="1" si="99"/>
        <v>45763</v>
      </c>
      <c r="I600" s="121">
        <f ca="1">HLOOKUP($H$5,'Met Data'!$A$2:$F$368,G600,FALSE)</f>
        <v>15.658064516129</v>
      </c>
      <c r="J600" s="119">
        <f ca="1">HLOOKUP($H$5,'Met Data'!$H$2:$M$368,G600,FALSE)*L600</f>
        <v>3.7677419354838699</v>
      </c>
      <c r="K600" s="98">
        <f ca="1">HLOOKUP($H$5,'Met Data'!$O$2:$T$368,G600,FALSE)</f>
        <v>2.3441419540899799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108</v>
      </c>
      <c r="H601" s="97">
        <f t="shared" ca="1" si="99"/>
        <v>45764</v>
      </c>
      <c r="I601" s="121">
        <f ca="1">HLOOKUP($H$5,'Met Data'!$A$2:$F$368,G601,FALSE)</f>
        <v>15.408064516129</v>
      </c>
      <c r="J601" s="119">
        <f ca="1">HLOOKUP($H$5,'Met Data'!$H$2:$M$368,G601,FALSE)*L601</f>
        <v>2.6870967741935399</v>
      </c>
      <c r="K601" s="98">
        <f ca="1">HLOOKUP($H$5,'Met Data'!$O$2:$T$368,G601,FALSE)</f>
        <v>2.0871356285448601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109</v>
      </c>
      <c r="H602" s="97">
        <f t="shared" ca="1" si="99"/>
        <v>45765</v>
      </c>
      <c r="I602" s="121">
        <f ca="1">HLOOKUP($H$5,'Met Data'!$A$2:$F$368,G602,FALSE)</f>
        <v>15.420967741935399</v>
      </c>
      <c r="J602" s="119">
        <f ca="1">HLOOKUP($H$5,'Met Data'!$H$2:$M$368,G602,FALSE)*L602</f>
        <v>2.8516129032258002</v>
      </c>
      <c r="K602" s="98">
        <f ca="1">HLOOKUP($H$5,'Met Data'!$O$2:$T$368,G602,FALSE)</f>
        <v>2.1715863377271001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110</v>
      </c>
      <c r="H603" s="97">
        <f t="shared" ca="1" si="99"/>
        <v>45766</v>
      </c>
      <c r="I603" s="121">
        <f ca="1">HLOOKUP($H$5,'Met Data'!$A$2:$F$368,G603,FALSE)</f>
        <v>15.193548387096699</v>
      </c>
      <c r="J603" s="119">
        <f ca="1">HLOOKUP($H$5,'Met Data'!$H$2:$M$368,G603,FALSE)*L603</f>
        <v>2.4258064516129001</v>
      </c>
      <c r="K603" s="98">
        <f ca="1">HLOOKUP($H$5,'Met Data'!$O$2:$T$368,G603,FALSE)</f>
        <v>2.2979139363353802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111</v>
      </c>
      <c r="H604" s="97">
        <f t="shared" ca="1" si="99"/>
        <v>45767</v>
      </c>
      <c r="I604" s="121">
        <f ca="1">HLOOKUP($H$5,'Met Data'!$A$2:$F$368,G604,FALSE)</f>
        <v>15.4096774193548</v>
      </c>
      <c r="J604" s="119">
        <f ca="1">HLOOKUP($H$5,'Met Data'!$H$2:$M$368,G604,FALSE)*L604</f>
        <v>1.7322580645161201</v>
      </c>
      <c r="K604" s="98">
        <f ca="1">HLOOKUP($H$5,'Met Data'!$O$2:$T$368,G604,FALSE)</f>
        <v>2.3194627801487999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112</v>
      </c>
      <c r="H605" s="97">
        <f t="shared" ca="1" si="99"/>
        <v>45768</v>
      </c>
      <c r="I605" s="121">
        <f ca="1">HLOOKUP($H$5,'Met Data'!$A$2:$F$368,G605,FALSE)</f>
        <v>15.261666666666599</v>
      </c>
      <c r="J605" s="119">
        <f ca="1">HLOOKUP($H$5,'Met Data'!$H$2:$M$368,G605,FALSE)*L605</f>
        <v>4.0161290322580596</v>
      </c>
      <c r="K605" s="98">
        <f ca="1">HLOOKUP($H$5,'Met Data'!$O$2:$T$368,G605,FALSE)</f>
        <v>2.3321304827068001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113</v>
      </c>
      <c r="H606" s="97">
        <f t="shared" ca="1" si="99"/>
        <v>45769</v>
      </c>
      <c r="I606" s="121">
        <f ca="1">HLOOKUP($H$5,'Met Data'!$A$2:$F$368,G606,FALSE)</f>
        <v>14.5283333333333</v>
      </c>
      <c r="J606" s="119">
        <f ca="1">HLOOKUP($H$5,'Met Data'!$H$2:$M$368,G606,FALSE)*L606</f>
        <v>3.5258064516129002</v>
      </c>
      <c r="K606" s="98">
        <f ca="1">HLOOKUP($H$5,'Met Data'!$O$2:$T$368,G606,FALSE)</f>
        <v>2.2184505421646001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114</v>
      </c>
      <c r="H607" s="97">
        <f t="shared" ca="1" si="99"/>
        <v>45770</v>
      </c>
      <c r="I607" s="121">
        <f ca="1">HLOOKUP($H$5,'Met Data'!$A$2:$F$368,G607,FALSE)</f>
        <v>14.68</v>
      </c>
      <c r="J607" s="119">
        <f ca="1">HLOOKUP($H$5,'Met Data'!$H$2:$M$368,G607,FALSE)*L607</f>
        <v>2.28709677419354</v>
      </c>
      <c r="K607" s="98">
        <f ca="1">HLOOKUP($H$5,'Met Data'!$O$2:$T$368,G607,FALSE)</f>
        <v>2.2540363688604601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115</v>
      </c>
      <c r="H608" s="97">
        <f t="shared" ca="1" si="99"/>
        <v>45771</v>
      </c>
      <c r="I608" s="121">
        <f ca="1">HLOOKUP($H$5,'Met Data'!$A$2:$F$368,G608,FALSE)</f>
        <v>14.4933333333333</v>
      </c>
      <c r="J608" s="119">
        <f ca="1">HLOOKUP($H$5,'Met Data'!$H$2:$M$368,G608,FALSE)*L608</f>
        <v>4.3387096774193497</v>
      </c>
      <c r="K608" s="98">
        <f ca="1">HLOOKUP($H$5,'Met Data'!$O$2:$T$368,G608,FALSE)</f>
        <v>2.2396347152399998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116</v>
      </c>
      <c r="H609" s="97">
        <f t="shared" ca="1" si="99"/>
        <v>45772</v>
      </c>
      <c r="I609" s="121">
        <f ca="1">HLOOKUP($H$5,'Met Data'!$A$2:$F$368,G609,FALSE)</f>
        <v>14.7733333333333</v>
      </c>
      <c r="J609" s="119">
        <f ca="1">HLOOKUP($H$5,'Met Data'!$H$2:$M$368,G609,FALSE)*L609</f>
        <v>6.4580645161290304</v>
      </c>
      <c r="K609" s="98">
        <f ca="1">HLOOKUP($H$5,'Met Data'!$O$2:$T$368,G609,FALSE)</f>
        <v>2.0110185254269899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117</v>
      </c>
      <c r="H610" s="97">
        <f t="shared" ca="1" si="99"/>
        <v>45773</v>
      </c>
      <c r="I610" s="121">
        <f ca="1">HLOOKUP($H$5,'Met Data'!$A$2:$F$368,G610,FALSE)</f>
        <v>14.998333333333299</v>
      </c>
      <c r="J610" s="119">
        <f ca="1">HLOOKUP($H$5,'Met Data'!$H$2:$M$368,G610,FALSE)*L610</f>
        <v>3.1903225806451601</v>
      </c>
      <c r="K610" s="98">
        <f ca="1">HLOOKUP($H$5,'Met Data'!$O$2:$T$368,G610,FALSE)</f>
        <v>2.1294944258891699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118</v>
      </c>
      <c r="H611" s="97">
        <f t="shared" ca="1" si="99"/>
        <v>45774</v>
      </c>
      <c r="I611" s="121">
        <f ca="1">HLOOKUP($H$5,'Met Data'!$A$2:$F$368,G611,FALSE)</f>
        <v>15.395</v>
      </c>
      <c r="J611" s="119">
        <f ca="1">HLOOKUP($H$5,'Met Data'!$H$2:$M$368,G611,FALSE)*L611</f>
        <v>2.8516129032258002</v>
      </c>
      <c r="K611" s="98">
        <f ca="1">HLOOKUP($H$5,'Met Data'!$O$2:$T$368,G611,FALSE)</f>
        <v>2.1336270025185899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119</v>
      </c>
      <c r="H612" s="97">
        <f t="shared" ca="1" si="99"/>
        <v>45775</v>
      </c>
      <c r="I612" s="121">
        <f ca="1">HLOOKUP($H$5,'Met Data'!$A$2:$F$368,G612,FALSE)</f>
        <v>15.641379310344799</v>
      </c>
      <c r="J612" s="119">
        <f ca="1">HLOOKUP($H$5,'Met Data'!$H$2:$M$368,G612,FALSE)*L612</f>
        <v>3.74193548387096</v>
      </c>
      <c r="K612" s="98">
        <f ca="1">HLOOKUP($H$5,'Met Data'!$O$2:$T$368,G612,FALSE)</f>
        <v>2.0365768668725401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120</v>
      </c>
      <c r="H613" s="97">
        <f t="shared" ca="1" si="99"/>
        <v>45776</v>
      </c>
      <c r="I613" s="121">
        <f ca="1">HLOOKUP($H$5,'Met Data'!$A$2:$F$368,G613,FALSE)</f>
        <v>14.7327586206896</v>
      </c>
      <c r="J613" s="119">
        <f ca="1">HLOOKUP($H$5,'Met Data'!$H$2:$M$368,G613,FALSE)*L613</f>
        <v>3.3129032258064499</v>
      </c>
      <c r="K613" s="98">
        <f ca="1">HLOOKUP($H$5,'Met Data'!$O$2:$T$368,G613,FALSE)</f>
        <v>2.1199579861729001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121</v>
      </c>
      <c r="H614" s="97">
        <f t="shared" ca="1" si="99"/>
        <v>45777</v>
      </c>
      <c r="I614" s="121">
        <f ca="1">HLOOKUP($H$5,'Met Data'!$A$2:$F$368,G614,FALSE)</f>
        <v>14.332758620689599</v>
      </c>
      <c r="J614" s="119">
        <f ca="1">HLOOKUP($H$5,'Met Data'!$H$2:$M$368,G614,FALSE)*L614</f>
        <v>4.4322580645161196</v>
      </c>
      <c r="K614" s="98">
        <f ca="1">HLOOKUP($H$5,'Met Data'!$O$2:$T$368,G614,FALSE)</f>
        <v>1.7270113091402699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122</v>
      </c>
      <c r="H615" s="97">
        <f t="shared" ca="1" si="99"/>
        <v>45778</v>
      </c>
      <c r="I615" s="121">
        <f ca="1">HLOOKUP($H$5,'Met Data'!$A$2:$F$368,G615,FALSE)</f>
        <v>14.3982758620689</v>
      </c>
      <c r="J615" s="119">
        <f ca="1">HLOOKUP($H$5,'Met Data'!$H$2:$M$368,G615,FALSE)*L615</f>
        <v>3.1838709677419299</v>
      </c>
      <c r="K615" s="98">
        <f ca="1">HLOOKUP($H$5,'Met Data'!$O$2:$T$368,G615,FALSE)</f>
        <v>1.93510583623638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123</v>
      </c>
      <c r="H616" s="97">
        <f t="shared" ca="1" si="99"/>
        <v>45779</v>
      </c>
      <c r="I616" s="121">
        <f ca="1">HLOOKUP($H$5,'Met Data'!$A$2:$F$368,G616,FALSE)</f>
        <v>14.296666666666599</v>
      </c>
      <c r="J616" s="119">
        <f ca="1">HLOOKUP($H$5,'Met Data'!$H$2:$M$368,G616,FALSE)*L616</f>
        <v>6.4709677419354801</v>
      </c>
      <c r="K616" s="98">
        <f ca="1">HLOOKUP($H$5,'Met Data'!$O$2:$T$368,G616,FALSE)</f>
        <v>1.84994231207221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124</v>
      </c>
      <c r="H617" s="97">
        <f t="shared" ca="1" si="99"/>
        <v>45780</v>
      </c>
      <c r="I617" s="121">
        <f ca="1">HLOOKUP($H$5,'Met Data'!$A$2:$F$368,G617,FALSE)</f>
        <v>14.1866666666666</v>
      </c>
      <c r="J617" s="119">
        <f ca="1">HLOOKUP($H$5,'Met Data'!$H$2:$M$368,G617,FALSE)*L617</f>
        <v>2.59032258064516</v>
      </c>
      <c r="K617" s="98">
        <f ca="1">HLOOKUP($H$5,'Met Data'!$O$2:$T$368,G617,FALSE)</f>
        <v>1.8652259443704999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125</v>
      </c>
      <c r="H618" s="97">
        <f t="shared" ca="1" si="99"/>
        <v>45781</v>
      </c>
      <c r="I618" s="121">
        <f ca="1">HLOOKUP($H$5,'Met Data'!$A$2:$F$368,G618,FALSE)</f>
        <v>13.9112903225806</v>
      </c>
      <c r="J618" s="119">
        <f ca="1">HLOOKUP($H$5,'Met Data'!$H$2:$M$368,G618,FALSE)*L618</f>
        <v>2.2741935483870899</v>
      </c>
      <c r="K618" s="98">
        <f ca="1">HLOOKUP($H$5,'Met Data'!$O$2:$T$368,G618,FALSE)</f>
        <v>1.88347487361168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126</v>
      </c>
      <c r="H619" s="97">
        <f t="shared" ca="1" si="99"/>
        <v>45782</v>
      </c>
      <c r="I619" s="121">
        <f ca="1">HLOOKUP($H$5,'Met Data'!$A$2:$F$368,G619,FALSE)</f>
        <v>13.9966666666666</v>
      </c>
      <c r="J619" s="119">
        <f ca="1">HLOOKUP($H$5,'Met Data'!$H$2:$M$368,G619,FALSE)*L619</f>
        <v>3.2548387096774101</v>
      </c>
      <c r="K619" s="98">
        <f ca="1">HLOOKUP($H$5,'Met Data'!$O$2:$T$368,G619,FALSE)</f>
        <v>1.9813737718090501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127</v>
      </c>
      <c r="H620" s="97">
        <f t="shared" ca="1" si="99"/>
        <v>45783</v>
      </c>
      <c r="I620" s="121">
        <f ca="1">HLOOKUP($H$5,'Met Data'!$A$2:$F$368,G620,FALSE)</f>
        <v>14.1596774193548</v>
      </c>
      <c r="J620" s="119">
        <f ca="1">HLOOKUP($H$5,'Met Data'!$H$2:$M$368,G620,FALSE)*L620</f>
        <v>3.4483870967741899</v>
      </c>
      <c r="K620" s="98">
        <f ca="1">HLOOKUP($H$5,'Met Data'!$O$2:$T$368,G620,FALSE)</f>
        <v>1.78778032014411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128</v>
      </c>
      <c r="H621" s="97">
        <f t="shared" ca="1" si="99"/>
        <v>45784</v>
      </c>
      <c r="I621" s="121">
        <f ca="1">HLOOKUP($H$5,'Met Data'!$A$2:$F$368,G621,FALSE)</f>
        <v>13.8403225806451</v>
      </c>
      <c r="J621" s="119">
        <f ca="1">HLOOKUP($H$5,'Met Data'!$H$2:$M$368,G621,FALSE)*L621</f>
        <v>1.8387096774193501</v>
      </c>
      <c r="K621" s="98">
        <f ca="1">HLOOKUP($H$5,'Met Data'!$O$2:$T$368,G621,FALSE)</f>
        <v>1.87782016455675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129</v>
      </c>
      <c r="H622" s="97">
        <f t="shared" ca="1" si="99"/>
        <v>45785</v>
      </c>
      <c r="I622" s="121">
        <f ca="1">HLOOKUP($H$5,'Met Data'!$A$2:$F$368,G622,FALSE)</f>
        <v>13.5774193548387</v>
      </c>
      <c r="J622" s="119">
        <f ca="1">HLOOKUP($H$5,'Met Data'!$H$2:$M$368,G622,FALSE)*L622</f>
        <v>3.4064516129032198</v>
      </c>
      <c r="K622" s="98">
        <f ca="1">HLOOKUP($H$5,'Met Data'!$O$2:$T$368,G622,FALSE)</f>
        <v>1.84976774954056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130</v>
      </c>
      <c r="H623" s="97">
        <f t="shared" ca="1" si="99"/>
        <v>45786</v>
      </c>
      <c r="I623" s="121">
        <f ca="1">HLOOKUP($H$5,'Met Data'!$A$2:$F$368,G623,FALSE)</f>
        <v>13.1612903225806</v>
      </c>
      <c r="J623" s="119">
        <f ca="1">HLOOKUP($H$5,'Met Data'!$H$2:$M$368,G623,FALSE)*L623</f>
        <v>2.3258064516129</v>
      </c>
      <c r="K623" s="98">
        <f ca="1">HLOOKUP($H$5,'Met Data'!$O$2:$T$368,G623,FALSE)</f>
        <v>1.7318330822852801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ca="1" si="90"/>
        <v>131</v>
      </c>
      <c r="H624" s="97">
        <f t="shared" ca="1" si="99"/>
        <v>45787</v>
      </c>
      <c r="I624" s="121">
        <f ca="1">HLOOKUP($H$5,'Met Data'!$A$2:$F$368,G624,FALSE)</f>
        <v>13.291935483870899</v>
      </c>
      <c r="J624" s="119">
        <f ca="1">HLOOKUP($H$5,'Met Data'!$H$2:$M$368,G624,FALSE)*L624</f>
        <v>3.1733333333333298</v>
      </c>
      <c r="K624" s="98">
        <f ca="1">HLOOKUP($H$5,'Met Data'!$O$2:$T$368,G624,FALSE)</f>
        <v>1.6655372035048599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ca="1" si="100">H625-DATE(YEAR(H625),1,0)+1</f>
        <v>132</v>
      </c>
      <c r="H625" s="97">
        <f t="shared" ca="1" si="99"/>
        <v>45788</v>
      </c>
      <c r="I625" s="121">
        <f ca="1">HLOOKUP($H$5,'Met Data'!$A$2:$F$368,G625,FALSE)</f>
        <v>13.5774193548387</v>
      </c>
      <c r="J625" s="119">
        <f ca="1">HLOOKUP($H$5,'Met Data'!$H$2:$M$368,G625,FALSE)*L625</f>
        <v>2.4225806451612901</v>
      </c>
      <c r="K625" s="98">
        <f ca="1">HLOOKUP($H$5,'Met Data'!$O$2:$T$368,G625,FALSE)</f>
        <v>1.82340706114468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ca="1" si="100"/>
        <v>133</v>
      </c>
      <c r="H626" s="97">
        <f t="shared" ca="1" si="99"/>
        <v>45789</v>
      </c>
      <c r="I626" s="121">
        <f ca="1">HLOOKUP($H$5,'Met Data'!$A$2:$F$368,G626,FALSE)</f>
        <v>13.898387096774099</v>
      </c>
      <c r="J626" s="119">
        <f ca="1">HLOOKUP($H$5,'Met Data'!$H$2:$M$368,G626,FALSE)*L626</f>
        <v>3.56129032258064</v>
      </c>
      <c r="K626" s="98">
        <f ca="1">HLOOKUP($H$5,'Met Data'!$O$2:$T$368,G626,FALSE)</f>
        <v>1.58246048642455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134</v>
      </c>
      <c r="H627" s="97">
        <f t="shared" ca="1" si="99"/>
        <v>45790</v>
      </c>
      <c r="I627" s="121">
        <f ca="1">HLOOKUP($H$5,'Met Data'!$A$2:$F$368,G627,FALSE)</f>
        <v>13.8193548387096</v>
      </c>
      <c r="J627" s="119">
        <f ca="1">HLOOKUP($H$5,'Met Data'!$H$2:$M$368,G627,FALSE)*L627</f>
        <v>3.2677419354838699</v>
      </c>
      <c r="K627" s="98">
        <f ca="1">HLOOKUP($H$5,'Met Data'!$O$2:$T$368,G627,FALSE)</f>
        <v>1.6419912913333301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135</v>
      </c>
      <c r="H628" s="97">
        <f t="shared" ca="1" si="99"/>
        <v>45791</v>
      </c>
      <c r="I628" s="121">
        <f ca="1">HLOOKUP($H$5,'Met Data'!$A$2:$F$368,G628,FALSE)</f>
        <v>13.49</v>
      </c>
      <c r="J628" s="119">
        <f ca="1">HLOOKUP($H$5,'Met Data'!$H$2:$M$368,G628,FALSE)*L628</f>
        <v>2.96129032258064</v>
      </c>
      <c r="K628" s="98">
        <f ca="1">HLOOKUP($H$5,'Met Data'!$O$2:$T$368,G628,FALSE)</f>
        <v>1.7493116405284199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136</v>
      </c>
      <c r="H629" s="97">
        <f t="shared" ca="1" si="99"/>
        <v>45792</v>
      </c>
      <c r="I629" s="121">
        <f ca="1">HLOOKUP($H$5,'Met Data'!$A$2:$F$368,G629,FALSE)</f>
        <v>13.408064516129</v>
      </c>
      <c r="J629" s="119">
        <f ca="1">HLOOKUP($H$5,'Met Data'!$H$2:$M$368,G629,FALSE)*L629</f>
        <v>3.9032258064516099</v>
      </c>
      <c r="K629" s="98">
        <f ca="1">HLOOKUP($H$5,'Met Data'!$O$2:$T$368,G629,FALSE)</f>
        <v>1.5662445189592999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137</v>
      </c>
      <c r="H630" s="97">
        <f t="shared" ca="1" si="99"/>
        <v>45793</v>
      </c>
      <c r="I630" s="121">
        <f ca="1">HLOOKUP($H$5,'Met Data'!$A$2:$F$368,G630,FALSE)</f>
        <v>13.4193548387096</v>
      </c>
      <c r="J630" s="119">
        <f ca="1">HLOOKUP($H$5,'Met Data'!$H$2:$M$368,G630,FALSE)*L630</f>
        <v>4.1322580645161198</v>
      </c>
      <c r="K630" s="98">
        <f ca="1">HLOOKUP($H$5,'Met Data'!$O$2:$T$368,G630,FALSE)</f>
        <v>1.7909891224832299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138</v>
      </c>
      <c r="H631" s="97">
        <f t="shared" ca="1" si="99"/>
        <v>45794</v>
      </c>
      <c r="I631" s="121">
        <f ca="1">HLOOKUP($H$5,'Met Data'!$A$2:$F$368,G631,FALSE)</f>
        <v>13.0177419354838</v>
      </c>
      <c r="J631" s="119">
        <f ca="1">HLOOKUP($H$5,'Met Data'!$H$2:$M$368,G631,FALSE)*L631</f>
        <v>3.8645161290322498</v>
      </c>
      <c r="K631" s="98">
        <f ca="1">HLOOKUP($H$5,'Met Data'!$O$2:$T$368,G631,FALSE)</f>
        <v>1.67932593217038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139</v>
      </c>
      <c r="H632" s="97">
        <f t="shared" ca="1" si="99"/>
        <v>45795</v>
      </c>
      <c r="I632" s="121">
        <f ca="1">HLOOKUP($H$5,'Met Data'!$A$2:$F$368,G632,FALSE)</f>
        <v>12.8774193548387</v>
      </c>
      <c r="J632" s="119">
        <f ca="1">HLOOKUP($H$5,'Met Data'!$H$2:$M$368,G632,FALSE)*L632</f>
        <v>3.7967741935483801</v>
      </c>
      <c r="K632" s="98">
        <f ca="1">HLOOKUP($H$5,'Met Data'!$O$2:$T$368,G632,FALSE)</f>
        <v>1.7647102566828801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140</v>
      </c>
      <c r="H633" s="97">
        <f t="shared" ca="1" si="99"/>
        <v>45796</v>
      </c>
      <c r="I633" s="121">
        <f ca="1">HLOOKUP($H$5,'Met Data'!$A$2:$F$368,G633,FALSE)</f>
        <v>13.3629032258064</v>
      </c>
      <c r="J633" s="119">
        <f ca="1">HLOOKUP($H$5,'Met Data'!$H$2:$M$368,G633,FALSE)*L633</f>
        <v>1.4774193548387</v>
      </c>
      <c r="K633" s="98">
        <f ca="1">HLOOKUP($H$5,'Met Data'!$O$2:$T$368,G633,FALSE)</f>
        <v>1.8502469543140301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141</v>
      </c>
      <c r="H634" s="97">
        <f t="shared" ca="1" si="99"/>
        <v>45797</v>
      </c>
      <c r="I634" s="121">
        <f ca="1">HLOOKUP($H$5,'Met Data'!$A$2:$F$368,G634,FALSE)</f>
        <v>13.314516129032199</v>
      </c>
      <c r="J634" s="119">
        <f ca="1">HLOOKUP($H$5,'Met Data'!$H$2:$M$368,G634,FALSE)*L634</f>
        <v>5.2193548387096698</v>
      </c>
      <c r="K634" s="98">
        <f ca="1">HLOOKUP($H$5,'Met Data'!$O$2:$T$368,G634,FALSE)</f>
        <v>1.4599096570605601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142</v>
      </c>
      <c r="H635" s="97">
        <f t="shared" ca="1" si="99"/>
        <v>45798</v>
      </c>
      <c r="I635" s="121">
        <f ca="1">HLOOKUP($H$5,'Met Data'!$A$2:$F$368,G635,FALSE)</f>
        <v>13.598387096774101</v>
      </c>
      <c r="J635" s="119">
        <f ca="1">HLOOKUP($H$5,'Met Data'!$H$2:$M$368,G635,FALSE)*L635</f>
        <v>5.1451612903225801</v>
      </c>
      <c r="K635" s="98">
        <f ca="1">HLOOKUP($H$5,'Met Data'!$O$2:$T$368,G635,FALSE)</f>
        <v>1.48780958137737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143</v>
      </c>
      <c r="H636" s="97">
        <f t="shared" ca="1" si="99"/>
        <v>45799</v>
      </c>
      <c r="I636" s="121">
        <f ca="1">HLOOKUP($H$5,'Met Data'!$A$2:$F$368,G636,FALSE)</f>
        <v>13.074193548387001</v>
      </c>
      <c r="J636" s="119">
        <f ca="1">HLOOKUP($H$5,'Met Data'!$H$2:$M$368,G636,FALSE)*L636</f>
        <v>4.73548387096774</v>
      </c>
      <c r="K636" s="98">
        <f ca="1">HLOOKUP($H$5,'Met Data'!$O$2:$T$368,G636,FALSE)</f>
        <v>1.4103441752322401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144</v>
      </c>
      <c r="H637" s="97">
        <f t="shared" ca="1" si="99"/>
        <v>45800</v>
      </c>
      <c r="I637" s="121">
        <f ca="1">HLOOKUP($H$5,'Met Data'!$A$2:$F$368,G637,FALSE)</f>
        <v>12.8338709677419</v>
      </c>
      <c r="J637" s="119">
        <f ca="1">HLOOKUP($H$5,'Met Data'!$H$2:$M$368,G637,FALSE)*L637</f>
        <v>7.7677419354838699</v>
      </c>
      <c r="K637" s="98">
        <f ca="1">HLOOKUP($H$5,'Met Data'!$O$2:$T$368,G637,FALSE)</f>
        <v>1.40773401519768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145</v>
      </c>
      <c r="H638" s="97">
        <f t="shared" ca="1" si="99"/>
        <v>45801</v>
      </c>
      <c r="I638" s="121">
        <f ca="1">HLOOKUP($H$5,'Met Data'!$A$2:$F$368,G638,FALSE)</f>
        <v>12.761290322580599</v>
      </c>
      <c r="J638" s="119">
        <f ca="1">HLOOKUP($H$5,'Met Data'!$H$2:$M$368,G638,FALSE)*L638</f>
        <v>5.3612903225806399</v>
      </c>
      <c r="K638" s="98">
        <f ca="1">HLOOKUP($H$5,'Met Data'!$O$2:$T$368,G638,FALSE)</f>
        <v>1.5324788885576901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146</v>
      </c>
      <c r="H639" s="97">
        <f t="shared" ca="1" si="99"/>
        <v>45802</v>
      </c>
      <c r="I639" s="121">
        <f ca="1">HLOOKUP($H$5,'Met Data'!$A$2:$F$368,G639,FALSE)</f>
        <v>13.04</v>
      </c>
      <c r="J639" s="119">
        <f ca="1">HLOOKUP($H$5,'Met Data'!$H$2:$M$368,G639,FALSE)*L639</f>
        <v>5.8233333333333297</v>
      </c>
      <c r="K639" s="98">
        <f ca="1">HLOOKUP($H$5,'Met Data'!$O$2:$T$368,G639,FALSE)</f>
        <v>1.3513771562845001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147</v>
      </c>
      <c r="H640" s="97">
        <f t="shared" ca="1" si="99"/>
        <v>45803</v>
      </c>
      <c r="I640" s="121">
        <f ca="1">HLOOKUP($H$5,'Met Data'!$A$2:$F$368,G640,FALSE)</f>
        <v>13.44</v>
      </c>
      <c r="J640" s="119">
        <f ca="1">HLOOKUP($H$5,'Met Data'!$H$2:$M$368,G640,FALSE)*L640</f>
        <v>6.9099999999999904</v>
      </c>
      <c r="K640" s="98">
        <f ca="1">HLOOKUP($H$5,'Met Data'!$O$2:$T$368,G640,FALSE)</f>
        <v>1.45255211799902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148</v>
      </c>
      <c r="H641" s="97">
        <f t="shared" ca="1" si="99"/>
        <v>45804</v>
      </c>
      <c r="I641" s="121">
        <f ca="1">HLOOKUP($H$5,'Met Data'!$A$2:$F$368,G641,FALSE)</f>
        <v>12.8183333333333</v>
      </c>
      <c r="J641" s="119">
        <f ca="1">HLOOKUP($H$5,'Met Data'!$H$2:$M$368,G641,FALSE)*L641</f>
        <v>4.4066666666666601</v>
      </c>
      <c r="K641" s="98">
        <f ca="1">HLOOKUP($H$5,'Met Data'!$O$2:$T$368,G641,FALSE)</f>
        <v>1.5797115913466899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149</v>
      </c>
      <c r="H642" s="97">
        <f t="shared" ca="1" si="99"/>
        <v>45805</v>
      </c>
      <c r="I642" s="121">
        <f ca="1">HLOOKUP($H$5,'Met Data'!$A$2:$F$368,G642,FALSE)</f>
        <v>12.088333333333299</v>
      </c>
      <c r="J642" s="119">
        <f ca="1">HLOOKUP($H$5,'Met Data'!$H$2:$M$368,G642,FALSE)*L642</f>
        <v>3.84666666666666</v>
      </c>
      <c r="K642" s="98">
        <f ca="1">HLOOKUP($H$5,'Met Data'!$O$2:$T$368,G642,FALSE)</f>
        <v>1.52168431166894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150</v>
      </c>
      <c r="H643" s="97">
        <f t="shared" ca="1" si="99"/>
        <v>45806</v>
      </c>
      <c r="I643" s="121">
        <f ca="1">HLOOKUP($H$5,'Met Data'!$A$2:$F$368,G643,FALSE)</f>
        <v>11.7193548387096</v>
      </c>
      <c r="J643" s="119">
        <f ca="1">HLOOKUP($H$5,'Met Data'!$H$2:$M$368,G643,FALSE)*L643</f>
        <v>4.8161290322580603</v>
      </c>
      <c r="K643" s="98">
        <f ca="1">HLOOKUP($H$5,'Met Data'!$O$2:$T$368,G643,FALSE)</f>
        <v>1.3043403353641301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151</v>
      </c>
      <c r="H644" s="97">
        <f t="shared" ca="1" si="99"/>
        <v>45807</v>
      </c>
      <c r="I644" s="121">
        <f ca="1">HLOOKUP($H$5,'Met Data'!$A$2:$F$368,G644,FALSE)</f>
        <v>12.024193548387</v>
      </c>
      <c r="J644" s="119">
        <f ca="1">HLOOKUP($H$5,'Met Data'!$H$2:$M$368,G644,FALSE)*L644</f>
        <v>5.4032258064516103</v>
      </c>
      <c r="K644" s="98">
        <f ca="1">HLOOKUP($H$5,'Met Data'!$O$2:$T$368,G644,FALSE)</f>
        <v>1.3290261075951599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152</v>
      </c>
      <c r="H645" s="97">
        <f t="shared" ca="1" si="99"/>
        <v>45808</v>
      </c>
      <c r="I645" s="121">
        <f ca="1">HLOOKUP($H$5,'Met Data'!$A$2:$F$368,G645,FALSE)</f>
        <v>11.7258064516129</v>
      </c>
      <c r="J645" s="119">
        <f ca="1">HLOOKUP($H$5,'Met Data'!$H$2:$M$368,G645,FALSE)*L645</f>
        <v>5.6354838709677404</v>
      </c>
      <c r="K645" s="98">
        <f ca="1">HLOOKUP($H$5,'Met Data'!$O$2:$T$368,G645,FALSE)</f>
        <v>1.39784343044145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153</v>
      </c>
      <c r="H646" s="97">
        <f t="shared" ca="1" si="99"/>
        <v>45809</v>
      </c>
      <c r="I646" s="121">
        <f ca="1">HLOOKUP($H$5,'Met Data'!$A$2:$F$368,G646,FALSE)</f>
        <v>11.7564516129032</v>
      </c>
      <c r="J646" s="119">
        <f ca="1">HLOOKUP($H$5,'Met Data'!$H$2:$M$368,G646,FALSE)*L646</f>
        <v>4.3451612903225802</v>
      </c>
      <c r="K646" s="98">
        <f ca="1">HLOOKUP($H$5,'Met Data'!$O$2:$T$368,G646,FALSE)</f>
        <v>1.4712646827298701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154</v>
      </c>
      <c r="H647" s="97">
        <f t="shared" ca="1" si="99"/>
        <v>45810</v>
      </c>
      <c r="I647" s="121">
        <f ca="1">HLOOKUP($H$5,'Met Data'!$A$2:$F$368,G647,FALSE)</f>
        <v>11.6033333333333</v>
      </c>
      <c r="J647" s="119">
        <f ca="1">HLOOKUP($H$5,'Met Data'!$H$2:$M$368,G647,FALSE)*L647</f>
        <v>5.12</v>
      </c>
      <c r="K647" s="98">
        <f ca="1">HLOOKUP($H$5,'Met Data'!$O$2:$T$368,G647,FALSE)</f>
        <v>1.30717057222476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155</v>
      </c>
      <c r="H648" s="97">
        <f t="shared" ca="1" si="99"/>
        <v>45811</v>
      </c>
      <c r="I648" s="121">
        <f ca="1">HLOOKUP($H$5,'Met Data'!$A$2:$F$368,G648,FALSE)</f>
        <v>11.056666666666599</v>
      </c>
      <c r="J648" s="119">
        <f ca="1">HLOOKUP($H$5,'Met Data'!$H$2:$M$368,G648,FALSE)*L648</f>
        <v>2.78666666666666</v>
      </c>
      <c r="K648" s="98">
        <f ca="1">HLOOKUP($H$5,'Met Data'!$O$2:$T$368,G648,FALSE)</f>
        <v>1.4941006859236099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156</v>
      </c>
      <c r="H649" s="97">
        <f t="shared" ref="H649:H712" ca="1" si="109">H648+1</f>
        <v>45812</v>
      </c>
      <c r="I649" s="121">
        <f ca="1">HLOOKUP($H$5,'Met Data'!$A$2:$F$368,G649,FALSE)</f>
        <v>11.1733333333333</v>
      </c>
      <c r="J649" s="119">
        <f ca="1">HLOOKUP($H$5,'Met Data'!$H$2:$M$368,G649,FALSE)*L649</f>
        <v>4.3899999999999997</v>
      </c>
      <c r="K649" s="98">
        <f ca="1">HLOOKUP($H$5,'Met Data'!$O$2:$T$368,G649,FALSE)</f>
        <v>1.35454855749501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157</v>
      </c>
      <c r="H650" s="97">
        <f t="shared" ca="1" si="109"/>
        <v>45813</v>
      </c>
      <c r="I650" s="121">
        <f ca="1">HLOOKUP($H$5,'Met Data'!$A$2:$F$368,G650,FALSE)</f>
        <v>11.3016666666666</v>
      </c>
      <c r="J650" s="119">
        <f ca="1">HLOOKUP($H$5,'Met Data'!$H$2:$M$368,G650,FALSE)*L650</f>
        <v>3.3633333333333302</v>
      </c>
      <c r="K650" s="98">
        <f ca="1">HLOOKUP($H$5,'Met Data'!$O$2:$T$368,G650,FALSE)</f>
        <v>1.3233452483653401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158</v>
      </c>
      <c r="H651" s="97">
        <f t="shared" ca="1" si="109"/>
        <v>45814</v>
      </c>
      <c r="I651" s="121">
        <f ca="1">HLOOKUP($H$5,'Met Data'!$A$2:$F$368,G651,FALSE)</f>
        <v>11.2416666666666</v>
      </c>
      <c r="J651" s="119">
        <f ca="1">HLOOKUP($H$5,'Met Data'!$H$2:$M$368,G651,FALSE)*L651</f>
        <v>3.4666666666666601</v>
      </c>
      <c r="K651" s="98">
        <f ca="1">HLOOKUP($H$5,'Met Data'!$O$2:$T$368,G651,FALSE)</f>
        <v>1.31169017597242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159</v>
      </c>
      <c r="H652" s="97">
        <f t="shared" ca="1" si="109"/>
        <v>45815</v>
      </c>
      <c r="I652" s="121">
        <f ca="1">HLOOKUP($H$5,'Met Data'!$A$2:$F$368,G652,FALSE)</f>
        <v>11.3533333333333</v>
      </c>
      <c r="J652" s="119">
        <f ca="1">HLOOKUP($H$5,'Met Data'!$H$2:$M$368,G652,FALSE)*L652</f>
        <v>3.12333333333333</v>
      </c>
      <c r="K652" s="98">
        <f ca="1">HLOOKUP($H$5,'Met Data'!$O$2:$T$368,G652,FALSE)</f>
        <v>1.3774495437093499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160</v>
      </c>
      <c r="H653" s="97">
        <f t="shared" ca="1" si="109"/>
        <v>45816</v>
      </c>
      <c r="I653" s="121">
        <f ca="1">HLOOKUP($H$5,'Met Data'!$A$2:$F$368,G653,FALSE)</f>
        <v>11.6383333333333</v>
      </c>
      <c r="J653" s="119">
        <f ca="1">HLOOKUP($H$5,'Met Data'!$H$2:$M$368,G653,FALSE)*L653</f>
        <v>2.8</v>
      </c>
      <c r="K653" s="98">
        <f ca="1">HLOOKUP($H$5,'Met Data'!$O$2:$T$368,G653,FALSE)</f>
        <v>1.37514607405536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161</v>
      </c>
      <c r="H654" s="97">
        <f t="shared" ca="1" si="109"/>
        <v>45817</v>
      </c>
      <c r="I654" s="121">
        <f ca="1">HLOOKUP($H$5,'Met Data'!$A$2:$F$368,G654,FALSE)</f>
        <v>12.033333333333299</v>
      </c>
      <c r="J654" s="119">
        <f ca="1">HLOOKUP($H$5,'Met Data'!$H$2:$M$368,G654,FALSE)*L654</f>
        <v>5.1033333333333299</v>
      </c>
      <c r="K654" s="98">
        <f ca="1">HLOOKUP($H$5,'Met Data'!$O$2:$T$368,G654,FALSE)</f>
        <v>1.2907055368786999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162</v>
      </c>
      <c r="H655" s="97">
        <f t="shared" ca="1" si="109"/>
        <v>45818</v>
      </c>
      <c r="I655" s="121">
        <f ca="1">HLOOKUP($H$5,'Met Data'!$A$2:$F$368,G655,FALSE)</f>
        <v>12.0483333333333</v>
      </c>
      <c r="J655" s="119">
        <f ca="1">HLOOKUP($H$5,'Met Data'!$H$2:$M$368,G655,FALSE)*L655</f>
        <v>7.0566666666666604</v>
      </c>
      <c r="K655" s="98">
        <f ca="1">HLOOKUP($H$5,'Met Data'!$O$2:$T$368,G655,FALSE)</f>
        <v>1.1704038738008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163</v>
      </c>
      <c r="H656" s="97">
        <f t="shared" ca="1" si="109"/>
        <v>45819</v>
      </c>
      <c r="I656" s="121">
        <f ca="1">HLOOKUP($H$5,'Met Data'!$A$2:$F$368,G656,FALSE)</f>
        <v>12.105</v>
      </c>
      <c r="J656" s="119">
        <f ca="1">HLOOKUP($H$5,'Met Data'!$H$2:$M$368,G656,FALSE)*L656</f>
        <v>4.8199999999999896</v>
      </c>
      <c r="K656" s="98">
        <f ca="1">HLOOKUP($H$5,'Met Data'!$O$2:$T$368,G656,FALSE)</f>
        <v>1.2848931912011301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164</v>
      </c>
      <c r="H657" s="97">
        <f t="shared" ca="1" si="109"/>
        <v>45820</v>
      </c>
      <c r="I657" s="121">
        <f ca="1">HLOOKUP($H$5,'Met Data'!$A$2:$F$368,G657,FALSE)</f>
        <v>11.93</v>
      </c>
      <c r="J657" s="119">
        <f ca="1">HLOOKUP($H$5,'Met Data'!$H$2:$M$368,G657,FALSE)*L657</f>
        <v>4.05</v>
      </c>
      <c r="K657" s="98">
        <f ca="1">HLOOKUP($H$5,'Met Data'!$O$2:$T$368,G657,FALSE)</f>
        <v>1.2113320799843399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165</v>
      </c>
      <c r="H658" s="97">
        <f t="shared" ca="1" si="109"/>
        <v>45821</v>
      </c>
      <c r="I658" s="121">
        <f ca="1">HLOOKUP($H$5,'Met Data'!$A$2:$F$368,G658,FALSE)</f>
        <v>11.734999999999999</v>
      </c>
      <c r="J658" s="119">
        <f ca="1">HLOOKUP($H$5,'Met Data'!$H$2:$M$368,G658,FALSE)*L658</f>
        <v>3.5866666666666598</v>
      </c>
      <c r="K658" s="98">
        <f ca="1">HLOOKUP($H$5,'Met Data'!$O$2:$T$368,G658,FALSE)</f>
        <v>1.4600871377923801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166</v>
      </c>
      <c r="H659" s="97">
        <f t="shared" ca="1" si="109"/>
        <v>45822</v>
      </c>
      <c r="I659" s="121">
        <f ca="1">HLOOKUP($H$5,'Met Data'!$A$2:$F$368,G659,FALSE)</f>
        <v>11.1666666666666</v>
      </c>
      <c r="J659" s="119">
        <f ca="1">HLOOKUP($H$5,'Met Data'!$H$2:$M$368,G659,FALSE)*L659</f>
        <v>3.2966666666666602</v>
      </c>
      <c r="K659" s="98">
        <f ca="1">HLOOKUP($H$5,'Met Data'!$O$2:$T$368,G659,FALSE)</f>
        <v>1.34458805503312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167</v>
      </c>
      <c r="H660" s="97">
        <f t="shared" ca="1" si="109"/>
        <v>45823</v>
      </c>
      <c r="I660" s="121">
        <f ca="1">HLOOKUP($H$5,'Met Data'!$A$2:$F$368,G660,FALSE)</f>
        <v>11.2283333333333</v>
      </c>
      <c r="J660" s="119">
        <f ca="1">HLOOKUP($H$5,'Met Data'!$H$2:$M$368,G660,FALSE)*L660</f>
        <v>6.4733333333333301</v>
      </c>
      <c r="K660" s="98">
        <f ca="1">HLOOKUP($H$5,'Met Data'!$O$2:$T$368,G660,FALSE)</f>
        <v>1.38085812732775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168</v>
      </c>
      <c r="H661" s="97">
        <f t="shared" ca="1" si="109"/>
        <v>45824</v>
      </c>
      <c r="I661" s="121">
        <f ca="1">HLOOKUP($H$5,'Met Data'!$A$2:$F$368,G661,FALSE)</f>
        <v>10.6586206896551</v>
      </c>
      <c r="J661" s="119">
        <f ca="1">HLOOKUP($H$5,'Met Data'!$H$2:$M$368,G661,FALSE)*L661</f>
        <v>4.2733333333333299</v>
      </c>
      <c r="K661" s="98">
        <f ca="1">HLOOKUP($H$5,'Met Data'!$O$2:$T$368,G661,FALSE)</f>
        <v>1.38162675040215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169</v>
      </c>
      <c r="H662" s="97">
        <f t="shared" ca="1" si="109"/>
        <v>45825</v>
      </c>
      <c r="I662" s="121">
        <f ca="1">HLOOKUP($H$5,'Met Data'!$A$2:$F$368,G662,FALSE)</f>
        <v>10.7310344827586</v>
      </c>
      <c r="J662" s="119">
        <f ca="1">HLOOKUP($H$5,'Met Data'!$H$2:$M$368,G662,FALSE)*L662</f>
        <v>4.5699999999999896</v>
      </c>
      <c r="K662" s="98">
        <f ca="1">HLOOKUP($H$5,'Met Data'!$O$2:$T$368,G662,FALSE)</f>
        <v>1.17648432087559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170</v>
      </c>
      <c r="H663" s="97">
        <f t="shared" ca="1" si="109"/>
        <v>45826</v>
      </c>
      <c r="I663" s="121">
        <f ca="1">HLOOKUP($H$5,'Met Data'!$A$2:$F$368,G663,FALSE)</f>
        <v>11.2603448275862</v>
      </c>
      <c r="J663" s="119">
        <f ca="1">HLOOKUP($H$5,'Met Data'!$H$2:$M$368,G663,FALSE)*L663</f>
        <v>4.72</v>
      </c>
      <c r="K663" s="98">
        <f ca="1">HLOOKUP($H$5,'Met Data'!$O$2:$T$368,G663,FALSE)</f>
        <v>1.1014836099696199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171</v>
      </c>
      <c r="H664" s="97">
        <f t="shared" ca="1" si="109"/>
        <v>45827</v>
      </c>
      <c r="I664" s="121">
        <f ca="1">HLOOKUP($H$5,'Met Data'!$A$2:$F$368,G664,FALSE)</f>
        <v>10.906896551724101</v>
      </c>
      <c r="J664" s="119">
        <f ca="1">HLOOKUP($H$5,'Met Data'!$H$2:$M$368,G664,FALSE)*L664</f>
        <v>4.07</v>
      </c>
      <c r="K664" s="98">
        <f ca="1">HLOOKUP($H$5,'Met Data'!$O$2:$T$368,G664,FALSE)</f>
        <v>1.1347149368896201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172</v>
      </c>
      <c r="H665" s="97">
        <f t="shared" ca="1" si="109"/>
        <v>45828</v>
      </c>
      <c r="I665" s="121">
        <f ca="1">HLOOKUP($H$5,'Met Data'!$A$2:$F$368,G665,FALSE)</f>
        <v>11.072413793103401</v>
      </c>
      <c r="J665" s="119">
        <f ca="1">HLOOKUP($H$5,'Met Data'!$H$2:$M$368,G665,FALSE)*L665</f>
        <v>5.89333333333333</v>
      </c>
      <c r="K665" s="98">
        <f ca="1">HLOOKUP($H$5,'Met Data'!$O$2:$T$368,G665,FALSE)</f>
        <v>1.25671546368113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173</v>
      </c>
      <c r="H666" s="97">
        <f t="shared" ca="1" si="109"/>
        <v>45829</v>
      </c>
      <c r="I666" s="121">
        <f ca="1">HLOOKUP($H$5,'Met Data'!$A$2:$F$368,G666,FALSE)</f>
        <v>11.1844827586206</v>
      </c>
      <c r="J666" s="119">
        <f ca="1">HLOOKUP($H$5,'Met Data'!$H$2:$M$368,G666,FALSE)*L666</f>
        <v>2.27</v>
      </c>
      <c r="K666" s="98">
        <f ca="1">HLOOKUP($H$5,'Met Data'!$O$2:$T$368,G666,FALSE)</f>
        <v>1.3590610231009399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174</v>
      </c>
      <c r="H667" s="97">
        <f t="shared" ca="1" si="109"/>
        <v>45830</v>
      </c>
      <c r="I667" s="121">
        <f ca="1">HLOOKUP($H$5,'Met Data'!$A$2:$F$368,G667,FALSE)</f>
        <v>10.84</v>
      </c>
      <c r="J667" s="119">
        <f ca="1">HLOOKUP($H$5,'Met Data'!$H$2:$M$368,G667,FALSE)*L667</f>
        <v>2.2633333333333301</v>
      </c>
      <c r="K667" s="98">
        <f ca="1">HLOOKUP($H$5,'Met Data'!$O$2:$T$368,G667,FALSE)</f>
        <v>1.3770648366319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175</v>
      </c>
      <c r="H668" s="97">
        <f t="shared" ca="1" si="109"/>
        <v>45831</v>
      </c>
      <c r="I668" s="121">
        <f ca="1">HLOOKUP($H$5,'Met Data'!$A$2:$F$368,G668,FALSE)</f>
        <v>10.578333333333299</v>
      </c>
      <c r="J668" s="119">
        <f ca="1">HLOOKUP($H$5,'Met Data'!$H$2:$M$368,G668,FALSE)*L668</f>
        <v>4.8499999999999996</v>
      </c>
      <c r="K668" s="98">
        <f ca="1">HLOOKUP($H$5,'Met Data'!$O$2:$T$368,G668,FALSE)</f>
        <v>1.14995789296724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176</v>
      </c>
      <c r="H669" s="97">
        <f t="shared" ca="1" si="109"/>
        <v>45832</v>
      </c>
      <c r="I669" s="121">
        <f ca="1">HLOOKUP($H$5,'Met Data'!$A$2:$F$368,G669,FALSE)</f>
        <v>10.6928571428571</v>
      </c>
      <c r="J669" s="119">
        <f ca="1">HLOOKUP($H$5,'Met Data'!$H$2:$M$368,G669,FALSE)*L669</f>
        <v>6.4607142857142801</v>
      </c>
      <c r="K669" s="98">
        <f ca="1">HLOOKUP($H$5,'Met Data'!$O$2:$T$368,G669,FALSE)</f>
        <v>1.1771575957217399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177</v>
      </c>
      <c r="H670" s="97">
        <f t="shared" ca="1" si="109"/>
        <v>45833</v>
      </c>
      <c r="I670" s="121">
        <f ca="1">HLOOKUP($H$5,'Met Data'!$A$2:$F$368,G670,FALSE)</f>
        <v>10.8642857142857</v>
      </c>
      <c r="J670" s="119">
        <f ca="1">HLOOKUP($H$5,'Met Data'!$H$2:$M$368,G670,FALSE)*L670</f>
        <v>8.7785714285714196</v>
      </c>
      <c r="K670" s="98">
        <f ca="1">HLOOKUP($H$5,'Met Data'!$O$2:$T$368,G670,FALSE)</f>
        <v>1.3519764431878101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178</v>
      </c>
      <c r="H671" s="97">
        <f t="shared" ca="1" si="109"/>
        <v>45834</v>
      </c>
      <c r="I671" s="121">
        <f ca="1">HLOOKUP($H$5,'Met Data'!$A$2:$F$368,G671,FALSE)</f>
        <v>10.492857142857099</v>
      </c>
      <c r="J671" s="119">
        <f ca="1">HLOOKUP($H$5,'Met Data'!$H$2:$M$368,G671,FALSE)*L671</f>
        <v>3.8</v>
      </c>
      <c r="K671" s="98">
        <f ca="1">HLOOKUP($H$5,'Met Data'!$O$2:$T$368,G671,FALSE)</f>
        <v>1.34392263247945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179</v>
      </c>
      <c r="H672" s="97">
        <f t="shared" ca="1" si="109"/>
        <v>45835</v>
      </c>
      <c r="I672" s="121">
        <f ca="1">HLOOKUP($H$5,'Met Data'!$A$2:$F$368,G672,FALSE)</f>
        <v>10.592857142857101</v>
      </c>
      <c r="J672" s="119">
        <f ca="1">HLOOKUP($H$5,'Met Data'!$H$2:$M$368,G672,FALSE)*L672</f>
        <v>2.81785714285714</v>
      </c>
      <c r="K672" s="98">
        <f ca="1">HLOOKUP($H$5,'Met Data'!$O$2:$T$368,G672,FALSE)</f>
        <v>1.47912334327964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180</v>
      </c>
      <c r="H673" s="97">
        <f t="shared" ca="1" si="109"/>
        <v>45836</v>
      </c>
      <c r="I673" s="121">
        <f ca="1">HLOOKUP($H$5,'Met Data'!$A$2:$F$368,G673,FALSE)</f>
        <v>10.465517241379301</v>
      </c>
      <c r="J673" s="119">
        <f ca="1">HLOOKUP($H$5,'Met Data'!$H$2:$M$368,G673,FALSE)*L673</f>
        <v>5.6517241379310299</v>
      </c>
      <c r="K673" s="98">
        <f ca="1">HLOOKUP($H$5,'Met Data'!$O$2:$T$368,G673,FALSE)</f>
        <v>1.2990420850019999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181</v>
      </c>
      <c r="H674" s="97">
        <f t="shared" ca="1" si="109"/>
        <v>45837</v>
      </c>
      <c r="I674" s="121">
        <f ca="1">HLOOKUP($H$5,'Met Data'!$A$2:$F$368,G674,FALSE)</f>
        <v>10.572413793103401</v>
      </c>
      <c r="J674" s="119">
        <f ca="1">HLOOKUP($H$5,'Met Data'!$H$2:$M$368,G674,FALSE)*L674</f>
        <v>5.2517241379310304</v>
      </c>
      <c r="K674" s="98">
        <f ca="1">HLOOKUP($H$5,'Met Data'!$O$2:$T$368,G674,FALSE)</f>
        <v>1.2839514040086699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182</v>
      </c>
      <c r="H675" s="97">
        <f t="shared" ca="1" si="109"/>
        <v>45838</v>
      </c>
      <c r="I675" s="121">
        <f ca="1">HLOOKUP($H$5,'Met Data'!$A$2:$F$368,G675,FALSE)</f>
        <v>10.655357142857101</v>
      </c>
      <c r="J675" s="119">
        <f ca="1">HLOOKUP($H$5,'Met Data'!$H$2:$M$368,G675,FALSE)*L675</f>
        <v>7.4689655172413696</v>
      </c>
      <c r="K675" s="98">
        <f ca="1">HLOOKUP($H$5,'Met Data'!$O$2:$T$368,G675,FALSE)</f>
        <v>1.3058632096396601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183</v>
      </c>
      <c r="H676" s="97">
        <f t="shared" ca="1" si="109"/>
        <v>45839</v>
      </c>
      <c r="I676" s="121">
        <f ca="1">HLOOKUP($H$5,'Met Data'!$A$2:$F$368,G676,FALSE)</f>
        <v>10.0517857142857</v>
      </c>
      <c r="J676" s="119">
        <f ca="1">HLOOKUP($H$5,'Met Data'!$H$2:$M$368,G676,FALSE)*L676</f>
        <v>3.5392857142857101</v>
      </c>
      <c r="K676" s="98">
        <f ca="1">HLOOKUP($H$5,'Met Data'!$O$2:$T$368,G676,FALSE)</f>
        <v>1.4482050520096601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184</v>
      </c>
      <c r="H677" s="97">
        <f t="shared" ca="1" si="109"/>
        <v>45840</v>
      </c>
      <c r="I677" s="121">
        <f ca="1">HLOOKUP($H$5,'Met Data'!$A$2:$F$368,G677,FALSE)</f>
        <v>9.5678571428571395</v>
      </c>
      <c r="J677" s="119">
        <f ca="1">HLOOKUP($H$5,'Met Data'!$H$2:$M$368,G677,FALSE)*L677</f>
        <v>4.33928571428571</v>
      </c>
      <c r="K677" s="98">
        <f ca="1">HLOOKUP($H$5,'Met Data'!$O$2:$T$368,G677,FALSE)</f>
        <v>1.3964370426983801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185</v>
      </c>
      <c r="H678" s="97">
        <f t="shared" ca="1" si="109"/>
        <v>45841</v>
      </c>
      <c r="I678" s="121">
        <f ca="1">HLOOKUP($H$5,'Met Data'!$A$2:$F$368,G678,FALSE)</f>
        <v>9.7035714285714292</v>
      </c>
      <c r="J678" s="119">
        <f ca="1">HLOOKUP($H$5,'Met Data'!$H$2:$M$368,G678,FALSE)*L678</f>
        <v>3.2666666666666599</v>
      </c>
      <c r="K678" s="98">
        <f ca="1">HLOOKUP($H$5,'Met Data'!$O$2:$T$368,G678,FALSE)</f>
        <v>1.2730824905906899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186</v>
      </c>
      <c r="H679" s="97">
        <f t="shared" ca="1" si="109"/>
        <v>45842</v>
      </c>
      <c r="I679" s="121">
        <f ca="1">HLOOKUP($H$5,'Met Data'!$A$2:$F$368,G679,FALSE)</f>
        <v>10.1785714285714</v>
      </c>
      <c r="J679" s="119">
        <f ca="1">HLOOKUP($H$5,'Met Data'!$H$2:$M$368,G679,FALSE)*L679</f>
        <v>5.2555555555555502</v>
      </c>
      <c r="K679" s="98">
        <f ca="1">HLOOKUP($H$5,'Met Data'!$O$2:$T$368,G679,FALSE)</f>
        <v>1.2896889465411501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187</v>
      </c>
      <c r="H680" s="97">
        <f t="shared" ca="1" si="109"/>
        <v>45843</v>
      </c>
      <c r="I680" s="121">
        <f ca="1">HLOOKUP($H$5,'Met Data'!$A$2:$F$368,G680,FALSE)</f>
        <v>10.675000000000001</v>
      </c>
      <c r="J680" s="119">
        <f ca="1">HLOOKUP($H$5,'Met Data'!$H$2:$M$368,G680,FALSE)*L680</f>
        <v>2.9892857142857099</v>
      </c>
      <c r="K680" s="98">
        <f ca="1">HLOOKUP($H$5,'Met Data'!$O$2:$T$368,G680,FALSE)</f>
        <v>1.4660191910043801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188</v>
      </c>
      <c r="H681" s="97">
        <f t="shared" ca="1" si="109"/>
        <v>45844</v>
      </c>
      <c r="I681" s="121">
        <f ca="1">HLOOKUP($H$5,'Met Data'!$A$2:$F$368,G681,FALSE)</f>
        <v>10.6303571428571</v>
      </c>
      <c r="J681" s="119">
        <f ca="1">HLOOKUP($H$5,'Met Data'!$H$2:$M$368,G681,FALSE)*L681</f>
        <v>4.4413793103448196</v>
      </c>
      <c r="K681" s="98">
        <f ca="1">HLOOKUP($H$5,'Met Data'!$O$2:$T$368,G681,FALSE)</f>
        <v>1.3068901655768601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189</v>
      </c>
      <c r="H682" s="97">
        <f t="shared" ca="1" si="109"/>
        <v>45845</v>
      </c>
      <c r="I682" s="121">
        <f ca="1">HLOOKUP($H$5,'Met Data'!$A$2:$F$368,G682,FALSE)</f>
        <v>10.5714285714285</v>
      </c>
      <c r="J682" s="119">
        <f ca="1">HLOOKUP($H$5,'Met Data'!$H$2:$M$368,G682,FALSE)*L682</f>
        <v>2.8758620689655099</v>
      </c>
      <c r="K682" s="98">
        <f ca="1">HLOOKUP($H$5,'Met Data'!$O$2:$T$368,G682,FALSE)</f>
        <v>1.41669004164846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190</v>
      </c>
      <c r="H683" s="97">
        <f t="shared" ca="1" si="109"/>
        <v>45846</v>
      </c>
      <c r="I683" s="121">
        <f ca="1">HLOOKUP($H$5,'Met Data'!$A$2:$F$368,G683,FALSE)</f>
        <v>10.2685185185185</v>
      </c>
      <c r="J683" s="119">
        <f ca="1">HLOOKUP($H$5,'Met Data'!$H$2:$M$368,G683,FALSE)*L683</f>
        <v>3.7892857142857101</v>
      </c>
      <c r="K683" s="98">
        <f ca="1">HLOOKUP($H$5,'Met Data'!$O$2:$T$368,G683,FALSE)</f>
        <v>1.3370081337281099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191</v>
      </c>
      <c r="H684" s="97">
        <f t="shared" ca="1" si="109"/>
        <v>45847</v>
      </c>
      <c r="I684" s="121">
        <f ca="1">HLOOKUP($H$5,'Met Data'!$A$2:$F$368,G684,FALSE)</f>
        <v>10.4166666666666</v>
      </c>
      <c r="J684" s="119">
        <f ca="1">HLOOKUP($H$5,'Met Data'!$H$2:$M$368,G684,FALSE)*L684</f>
        <v>4.8428571428571399</v>
      </c>
      <c r="K684" s="98">
        <f ca="1">HLOOKUP($H$5,'Met Data'!$O$2:$T$368,G684,FALSE)</f>
        <v>1.6936819221313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192</v>
      </c>
      <c r="H685" s="97">
        <f t="shared" ca="1" si="109"/>
        <v>45848</v>
      </c>
      <c r="I685" s="121">
        <f ca="1">HLOOKUP($H$5,'Met Data'!$A$2:$F$368,G685,FALSE)</f>
        <v>9.7703703703703706</v>
      </c>
      <c r="J685" s="119">
        <f ca="1">HLOOKUP($H$5,'Met Data'!$H$2:$M$368,G685,FALSE)*L685</f>
        <v>2.27857142857142</v>
      </c>
      <c r="K685" s="98">
        <f ca="1">HLOOKUP($H$5,'Met Data'!$O$2:$T$368,G685,FALSE)</f>
        <v>1.4303197134636301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193</v>
      </c>
      <c r="H686" s="97">
        <f t="shared" ca="1" si="109"/>
        <v>45849</v>
      </c>
      <c r="I686" s="121">
        <f ca="1">HLOOKUP($H$5,'Met Data'!$A$2:$F$368,G686,FALSE)</f>
        <v>9.4057692307692307</v>
      </c>
      <c r="J686" s="119">
        <f ca="1">HLOOKUP($H$5,'Met Data'!$H$2:$M$368,G686,FALSE)*L686</f>
        <v>4.05</v>
      </c>
      <c r="K686" s="98">
        <f ca="1">HLOOKUP($H$5,'Met Data'!$O$2:$T$368,G686,FALSE)</f>
        <v>1.34234874078288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194</v>
      </c>
      <c r="H687" s="97">
        <f t="shared" ca="1" si="109"/>
        <v>45850</v>
      </c>
      <c r="I687" s="121">
        <f ca="1">HLOOKUP($H$5,'Met Data'!$A$2:$F$368,G687,FALSE)</f>
        <v>9.7037037037037006</v>
      </c>
      <c r="J687" s="119">
        <f ca="1">HLOOKUP($H$5,'Met Data'!$H$2:$M$368,G687,FALSE)*L687</f>
        <v>7.2038461538461496</v>
      </c>
      <c r="K687" s="98">
        <f ca="1">HLOOKUP($H$5,'Met Data'!$O$2:$T$368,G687,FALSE)</f>
        <v>1.4005767318328199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ca="1" si="100"/>
        <v>195</v>
      </c>
      <c r="H688" s="97">
        <f t="shared" ca="1" si="109"/>
        <v>45851</v>
      </c>
      <c r="I688" s="121">
        <f ca="1">HLOOKUP($H$5,'Met Data'!$A$2:$F$368,G688,FALSE)</f>
        <v>9.875</v>
      </c>
      <c r="J688" s="119">
        <f ca="1">HLOOKUP($H$5,'Met Data'!$H$2:$M$368,G688,FALSE)*L688</f>
        <v>2.7366666666666601</v>
      </c>
      <c r="K688" s="98">
        <f ca="1">HLOOKUP($H$5,'Met Data'!$O$2:$T$368,G688,FALSE)</f>
        <v>1.5241946960031101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ca="1" si="110">H689-DATE(YEAR(H689),1,0)+1</f>
        <v>196</v>
      </c>
      <c r="H689" s="97">
        <f t="shared" ca="1" si="109"/>
        <v>45852</v>
      </c>
      <c r="I689" s="121">
        <f ca="1">HLOOKUP($H$5,'Met Data'!$A$2:$F$368,G689,FALSE)</f>
        <v>9.4732142857142794</v>
      </c>
      <c r="J689" s="119">
        <f ca="1">HLOOKUP($H$5,'Met Data'!$H$2:$M$368,G689,FALSE)*L689</f>
        <v>4.4607142857142801</v>
      </c>
      <c r="K689" s="98">
        <f ca="1">HLOOKUP($H$5,'Met Data'!$O$2:$T$368,G689,FALSE)</f>
        <v>1.1833728950226901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ca="1" si="110"/>
        <v>197</v>
      </c>
      <c r="H690" s="97">
        <f t="shared" ca="1" si="109"/>
        <v>45853</v>
      </c>
      <c r="I690" s="121">
        <f ca="1">HLOOKUP($H$5,'Met Data'!$A$2:$F$368,G690,FALSE)</f>
        <v>10.3732142857142</v>
      </c>
      <c r="J690" s="119">
        <f ca="1">HLOOKUP($H$5,'Met Data'!$H$2:$M$368,G690,FALSE)*L690</f>
        <v>6.4071428571428504</v>
      </c>
      <c r="K690" s="98">
        <f ca="1">HLOOKUP($H$5,'Met Data'!$O$2:$T$368,G690,FALSE)</f>
        <v>1.32556972588678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198</v>
      </c>
      <c r="H691" s="97">
        <f t="shared" ca="1" si="109"/>
        <v>45854</v>
      </c>
      <c r="I691" s="121">
        <f ca="1">HLOOKUP($H$5,'Met Data'!$A$2:$F$368,G691,FALSE)</f>
        <v>10.9428571428571</v>
      </c>
      <c r="J691" s="119">
        <f ca="1">HLOOKUP($H$5,'Met Data'!$H$2:$M$368,G691,FALSE)*L691</f>
        <v>5.1392857142857098</v>
      </c>
      <c r="K691" s="98">
        <f ca="1">HLOOKUP($H$5,'Met Data'!$O$2:$T$368,G691,FALSE)</f>
        <v>1.2285245260717499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199</v>
      </c>
      <c r="H692" s="97">
        <f t="shared" ca="1" si="109"/>
        <v>45855</v>
      </c>
      <c r="I692" s="121">
        <f ca="1">HLOOKUP($H$5,'Met Data'!$A$2:$F$368,G692,FALSE)</f>
        <v>10.689655172413699</v>
      </c>
      <c r="J692" s="119">
        <f ca="1">HLOOKUP($H$5,'Met Data'!$H$2:$M$368,G692,FALSE)*L692</f>
        <v>7.5433333333333303</v>
      </c>
      <c r="K692" s="98">
        <f ca="1">HLOOKUP($H$5,'Met Data'!$O$2:$T$368,G692,FALSE)</f>
        <v>1.11837858032715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200</v>
      </c>
      <c r="H693" s="97">
        <f t="shared" ca="1" si="109"/>
        <v>45856</v>
      </c>
      <c r="I693" s="121">
        <f ca="1">HLOOKUP($H$5,'Met Data'!$A$2:$F$368,G693,FALSE)</f>
        <v>10.322413793103401</v>
      </c>
      <c r="J693" s="119">
        <f ca="1">HLOOKUP($H$5,'Met Data'!$H$2:$M$368,G693,FALSE)*L693</f>
        <v>7.7933333333333303</v>
      </c>
      <c r="K693" s="98">
        <f ca="1">HLOOKUP($H$5,'Met Data'!$O$2:$T$368,G693,FALSE)</f>
        <v>1.2757644672773201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201</v>
      </c>
      <c r="H694" s="97">
        <f t="shared" ca="1" si="109"/>
        <v>45857</v>
      </c>
      <c r="I694" s="121">
        <f ca="1">HLOOKUP($H$5,'Met Data'!$A$2:$F$368,G694,FALSE)</f>
        <v>10.189655172413699</v>
      </c>
      <c r="J694" s="119">
        <f ca="1">HLOOKUP($H$5,'Met Data'!$H$2:$M$368,G694,FALSE)*L694</f>
        <v>4.3533333333333299</v>
      </c>
      <c r="K694" s="98">
        <f ca="1">HLOOKUP($H$5,'Met Data'!$O$2:$T$368,G694,FALSE)</f>
        <v>1.3903947480338801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202</v>
      </c>
      <c r="H695" s="97">
        <f t="shared" ca="1" si="109"/>
        <v>45858</v>
      </c>
      <c r="I695" s="121">
        <f ca="1">HLOOKUP($H$5,'Met Data'!$A$2:$F$368,G695,FALSE)</f>
        <v>10.668333333333299</v>
      </c>
      <c r="J695" s="119">
        <f ca="1">HLOOKUP($H$5,'Met Data'!$H$2:$M$368,G695,FALSE)*L695</f>
        <v>2.8833333333333302</v>
      </c>
      <c r="K695" s="98">
        <f ca="1">HLOOKUP($H$5,'Met Data'!$O$2:$T$368,G695,FALSE)</f>
        <v>1.4312964730661999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203</v>
      </c>
      <c r="H696" s="97">
        <f t="shared" ca="1" si="109"/>
        <v>45859</v>
      </c>
      <c r="I696" s="121">
        <f ca="1">HLOOKUP($H$5,'Met Data'!$A$2:$F$368,G696,FALSE)</f>
        <v>10.181666666666599</v>
      </c>
      <c r="J696" s="119">
        <f ca="1">HLOOKUP($H$5,'Met Data'!$H$2:$M$368,G696,FALSE)*L696</f>
        <v>4.64333333333333</v>
      </c>
      <c r="K696" s="98">
        <f ca="1">HLOOKUP($H$5,'Met Data'!$O$2:$T$368,G696,FALSE)</f>
        <v>1.23251722447282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204</v>
      </c>
      <c r="H697" s="97">
        <f t="shared" ca="1" si="109"/>
        <v>45860</v>
      </c>
      <c r="I697" s="121">
        <f ca="1">HLOOKUP($H$5,'Met Data'!$A$2:$F$368,G697,FALSE)</f>
        <v>10.761666666666599</v>
      </c>
      <c r="J697" s="119">
        <f ca="1">HLOOKUP($H$5,'Met Data'!$H$2:$M$368,G697,FALSE)*L697</f>
        <v>5.7333333333333298</v>
      </c>
      <c r="K697" s="98">
        <f ca="1">HLOOKUP($H$5,'Met Data'!$O$2:$T$368,G697,FALSE)</f>
        <v>1.55725377410155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205</v>
      </c>
      <c r="H698" s="97">
        <f t="shared" ca="1" si="109"/>
        <v>45861</v>
      </c>
      <c r="I698" s="121">
        <f ca="1">HLOOKUP($H$5,'Met Data'!$A$2:$F$368,G698,FALSE)</f>
        <v>10.623333333333299</v>
      </c>
      <c r="J698" s="119">
        <f ca="1">HLOOKUP($H$5,'Met Data'!$H$2:$M$368,G698,FALSE)*L698</f>
        <v>7.9733333333333301</v>
      </c>
      <c r="K698" s="98">
        <f ca="1">HLOOKUP($H$5,'Met Data'!$O$2:$T$368,G698,FALSE)</f>
        <v>1.24522053814258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206</v>
      </c>
      <c r="H699" s="97">
        <f t="shared" ca="1" si="109"/>
        <v>45862</v>
      </c>
      <c r="I699" s="121">
        <f ca="1">HLOOKUP($H$5,'Met Data'!$A$2:$F$368,G699,FALSE)</f>
        <v>10.654999999999999</v>
      </c>
      <c r="J699" s="119">
        <f ca="1">HLOOKUP($H$5,'Met Data'!$H$2:$M$368,G699,FALSE)*L699</f>
        <v>4.2566666666666597</v>
      </c>
      <c r="K699" s="98">
        <f ca="1">HLOOKUP($H$5,'Met Data'!$O$2:$T$368,G699,FALSE)</f>
        <v>1.3859271813606999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207</v>
      </c>
      <c r="H700" s="97">
        <f t="shared" ca="1" si="109"/>
        <v>45863</v>
      </c>
      <c r="I700" s="121">
        <f ca="1">HLOOKUP($H$5,'Met Data'!$A$2:$F$368,G700,FALSE)</f>
        <v>10.085000000000001</v>
      </c>
      <c r="J700" s="119">
        <f ca="1">HLOOKUP($H$5,'Met Data'!$H$2:$M$368,G700,FALSE)*L700</f>
        <v>4.9833333333333298</v>
      </c>
      <c r="K700" s="98">
        <f ca="1">HLOOKUP($H$5,'Met Data'!$O$2:$T$368,G700,FALSE)</f>
        <v>1.45895733681155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208</v>
      </c>
      <c r="H701" s="97">
        <f t="shared" ca="1" si="109"/>
        <v>45864</v>
      </c>
      <c r="I701" s="121">
        <f ca="1">HLOOKUP($H$5,'Met Data'!$A$2:$F$368,G701,FALSE)</f>
        <v>9.99</v>
      </c>
      <c r="J701" s="119">
        <f ca="1">HLOOKUP($H$5,'Met Data'!$H$2:$M$368,G701,FALSE)*L701</f>
        <v>3.5266666666666602</v>
      </c>
      <c r="K701" s="98">
        <f ca="1">HLOOKUP($H$5,'Met Data'!$O$2:$T$368,G701,FALSE)</f>
        <v>1.3793054622795899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209</v>
      </c>
      <c r="H702" s="97">
        <f t="shared" ca="1" si="109"/>
        <v>45865</v>
      </c>
      <c r="I702" s="121">
        <f ca="1">HLOOKUP($H$5,'Met Data'!$A$2:$F$368,G702,FALSE)</f>
        <v>10.4116666666666</v>
      </c>
      <c r="J702" s="119">
        <f ca="1">HLOOKUP($H$5,'Met Data'!$H$2:$M$368,G702,FALSE)*L702</f>
        <v>5.38</v>
      </c>
      <c r="K702" s="98">
        <f ca="1">HLOOKUP($H$5,'Met Data'!$O$2:$T$368,G702,FALSE)</f>
        <v>1.53088528913385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210</v>
      </c>
      <c r="H703" s="97">
        <f t="shared" ca="1" si="109"/>
        <v>45866</v>
      </c>
      <c r="I703" s="121">
        <f ca="1">HLOOKUP($H$5,'Met Data'!$A$2:$F$368,G703,FALSE)</f>
        <v>10.494999999999999</v>
      </c>
      <c r="J703" s="119">
        <f ca="1">HLOOKUP($H$5,'Met Data'!$H$2:$M$368,G703,FALSE)*L703</f>
        <v>3.6033333333333299</v>
      </c>
      <c r="K703" s="98">
        <f ca="1">HLOOKUP($H$5,'Met Data'!$O$2:$T$368,G703,FALSE)</f>
        <v>1.5836053821317999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211</v>
      </c>
      <c r="H704" s="97">
        <f t="shared" ca="1" si="109"/>
        <v>45867</v>
      </c>
      <c r="I704" s="121">
        <f ca="1">HLOOKUP($H$5,'Met Data'!$A$2:$F$368,G704,FALSE)</f>
        <v>10.685</v>
      </c>
      <c r="J704" s="119">
        <f ca="1">HLOOKUP($H$5,'Met Data'!$H$2:$M$368,G704,FALSE)*L704</f>
        <v>5.83</v>
      </c>
      <c r="K704" s="98">
        <f ca="1">HLOOKUP($H$5,'Met Data'!$O$2:$T$368,G704,FALSE)</f>
        <v>1.6019548518300599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212</v>
      </c>
      <c r="H705" s="97">
        <f t="shared" ca="1" si="109"/>
        <v>45868</v>
      </c>
      <c r="I705" s="121">
        <f ca="1">HLOOKUP($H$5,'Met Data'!$A$2:$F$368,G705,FALSE)</f>
        <v>10.678333333333301</v>
      </c>
      <c r="J705" s="119">
        <f ca="1">HLOOKUP($H$5,'Met Data'!$H$2:$M$368,G705,FALSE)*L705</f>
        <v>2.98</v>
      </c>
      <c r="K705" s="98">
        <f ca="1">HLOOKUP($H$5,'Met Data'!$O$2:$T$368,G705,FALSE)</f>
        <v>1.6077513956073599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213</v>
      </c>
      <c r="H706" s="97">
        <f t="shared" ca="1" si="109"/>
        <v>45869</v>
      </c>
      <c r="I706" s="121">
        <f ca="1">HLOOKUP($H$5,'Met Data'!$A$2:$F$368,G706,FALSE)</f>
        <v>10.767241379310301</v>
      </c>
      <c r="J706" s="119">
        <f ca="1">HLOOKUP($H$5,'Met Data'!$H$2:$M$368,G706,FALSE)*L706</f>
        <v>4.4285714285714199</v>
      </c>
      <c r="K706" s="98">
        <f ca="1">HLOOKUP($H$5,'Met Data'!$O$2:$T$368,G706,FALSE)</f>
        <v>1.4764466109261301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214</v>
      </c>
      <c r="H707" s="97">
        <f t="shared" ca="1" si="109"/>
        <v>45870</v>
      </c>
      <c r="I707" s="121">
        <f ca="1">HLOOKUP($H$5,'Met Data'!$A$2:$F$368,G707,FALSE)</f>
        <v>10.815</v>
      </c>
      <c r="J707" s="119">
        <f ca="1">HLOOKUP($H$5,'Met Data'!$H$2:$M$368,G707,FALSE)*L707</f>
        <v>3.8533333333333299</v>
      </c>
      <c r="K707" s="98">
        <f ca="1">HLOOKUP($H$5,'Met Data'!$O$2:$T$368,G707,FALSE)</f>
        <v>1.4161434812322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215</v>
      </c>
      <c r="H708" s="97">
        <f t="shared" ca="1" si="109"/>
        <v>45871</v>
      </c>
      <c r="I708" s="121">
        <f ca="1">HLOOKUP($H$5,'Met Data'!$A$2:$F$368,G708,FALSE)</f>
        <v>11.156666666666601</v>
      </c>
      <c r="J708" s="119">
        <f ca="1">HLOOKUP($H$5,'Met Data'!$H$2:$M$368,G708,FALSE)*L708</f>
        <v>5.7666666666666604</v>
      </c>
      <c r="K708" s="98">
        <f ca="1">HLOOKUP($H$5,'Met Data'!$O$2:$T$368,G708,FALSE)</f>
        <v>1.4216364054283901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216</v>
      </c>
      <c r="H709" s="97">
        <f t="shared" ca="1" si="109"/>
        <v>45872</v>
      </c>
      <c r="I709" s="121">
        <f ca="1">HLOOKUP($H$5,'Met Data'!$A$2:$F$368,G709,FALSE)</f>
        <v>11.0879310344827</v>
      </c>
      <c r="J709" s="119">
        <f ca="1">HLOOKUP($H$5,'Met Data'!$H$2:$M$368,G709,FALSE)*L709</f>
        <v>3.2896551724137901</v>
      </c>
      <c r="K709" s="98">
        <f ca="1">HLOOKUP($H$5,'Met Data'!$O$2:$T$368,G709,FALSE)</f>
        <v>1.4857250646951901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217</v>
      </c>
      <c r="H710" s="97">
        <f t="shared" ca="1" si="109"/>
        <v>45873</v>
      </c>
      <c r="I710" s="121">
        <f ca="1">HLOOKUP($H$5,'Met Data'!$A$2:$F$368,G710,FALSE)</f>
        <v>10.9965517241379</v>
      </c>
      <c r="J710" s="119">
        <f ca="1">HLOOKUP($H$5,'Met Data'!$H$2:$M$368,G710,FALSE)*L710</f>
        <v>5.08275862068965</v>
      </c>
      <c r="K710" s="98">
        <f ca="1">HLOOKUP($H$5,'Met Data'!$O$2:$T$368,G710,FALSE)</f>
        <v>1.4618721174640501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218</v>
      </c>
      <c r="H711" s="97">
        <f t="shared" ca="1" si="109"/>
        <v>45874</v>
      </c>
      <c r="I711" s="121">
        <f ca="1">HLOOKUP($H$5,'Met Data'!$A$2:$F$368,G711,FALSE)</f>
        <v>10.706395995550601</v>
      </c>
      <c r="J711" s="119">
        <f ca="1">HLOOKUP($H$5,'Met Data'!$H$2:$M$368,G711,FALSE)*L711</f>
        <v>4.8827586206896498</v>
      </c>
      <c r="K711" s="98">
        <f ca="1">HLOOKUP($H$5,'Met Data'!$O$2:$T$368,G711,FALSE)</f>
        <v>1.3278392687764899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219</v>
      </c>
      <c r="H712" s="97">
        <f t="shared" ca="1" si="109"/>
        <v>45875</v>
      </c>
      <c r="I712" s="121">
        <f ca="1">HLOOKUP($H$5,'Met Data'!$A$2:$F$368,G712,FALSE)</f>
        <v>10.6327586206896</v>
      </c>
      <c r="J712" s="119">
        <f ca="1">HLOOKUP($H$5,'Met Data'!$H$2:$M$368,G712,FALSE)*L712</f>
        <v>4.1724137931034404</v>
      </c>
      <c r="K712" s="98">
        <f ca="1">HLOOKUP($H$5,'Met Data'!$O$2:$T$368,G712,FALSE)</f>
        <v>1.47551454127292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220</v>
      </c>
      <c r="H713" s="97">
        <f t="shared" ref="H713:H776" ca="1" si="119">H712+1</f>
        <v>45876</v>
      </c>
      <c r="I713" s="121">
        <f ca="1">HLOOKUP($H$5,'Met Data'!$A$2:$F$368,G713,FALSE)</f>
        <v>10.7362068965517</v>
      </c>
      <c r="J713" s="119">
        <f ca="1">HLOOKUP($H$5,'Met Data'!$H$2:$M$368,G713,FALSE)*L713</f>
        <v>3.27241379310344</v>
      </c>
      <c r="K713" s="98">
        <f ca="1">HLOOKUP($H$5,'Met Data'!$O$2:$T$368,G713,FALSE)</f>
        <v>1.4915207810797499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221</v>
      </c>
      <c r="H714" s="97">
        <f t="shared" ca="1" si="119"/>
        <v>45877</v>
      </c>
      <c r="I714" s="121">
        <f ca="1">HLOOKUP($H$5,'Met Data'!$A$2:$F$368,G714,FALSE)</f>
        <v>10.733333333333301</v>
      </c>
      <c r="J714" s="119">
        <f ca="1">HLOOKUP($H$5,'Met Data'!$H$2:$M$368,G714,FALSE)*L714</f>
        <v>2.4066666666666601</v>
      </c>
      <c r="K714" s="98">
        <f ca="1">HLOOKUP($H$5,'Met Data'!$O$2:$T$368,G714,FALSE)</f>
        <v>1.7881547154649999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222</v>
      </c>
      <c r="H715" s="97">
        <f t="shared" ca="1" si="119"/>
        <v>45878</v>
      </c>
      <c r="I715" s="121">
        <f ca="1">HLOOKUP($H$5,'Met Data'!$A$2:$F$368,G715,FALSE)</f>
        <v>10.86</v>
      </c>
      <c r="J715" s="119">
        <f ca="1">HLOOKUP($H$5,'Met Data'!$H$2:$M$368,G715,FALSE)*L715</f>
        <v>4.66</v>
      </c>
      <c r="K715" s="98">
        <f ca="1">HLOOKUP($H$5,'Met Data'!$O$2:$T$368,G715,FALSE)</f>
        <v>1.7221488940763401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223</v>
      </c>
      <c r="H716" s="97">
        <f t="shared" ca="1" si="119"/>
        <v>45879</v>
      </c>
      <c r="I716" s="121">
        <f ca="1">HLOOKUP($H$5,'Met Data'!$A$2:$F$368,G716,FALSE)</f>
        <v>10.6416666666666</v>
      </c>
      <c r="J716" s="119">
        <f ca="1">HLOOKUP($H$5,'Met Data'!$H$2:$M$368,G716,FALSE)*L716</f>
        <v>4.53666666666666</v>
      </c>
      <c r="K716" s="98">
        <f ca="1">HLOOKUP($H$5,'Met Data'!$O$2:$T$368,G716,FALSE)</f>
        <v>1.78798041526371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224</v>
      </c>
      <c r="H717" s="97">
        <f t="shared" ca="1" si="119"/>
        <v>45880</v>
      </c>
      <c r="I717" s="121">
        <f ca="1">HLOOKUP($H$5,'Met Data'!$A$2:$F$368,G717,FALSE)</f>
        <v>10.8983333333333</v>
      </c>
      <c r="J717" s="119">
        <f ca="1">HLOOKUP($H$5,'Met Data'!$H$2:$M$368,G717,FALSE)*L717</f>
        <v>5.7266666666666604</v>
      </c>
      <c r="K717" s="98">
        <f ca="1">HLOOKUP($H$5,'Met Data'!$O$2:$T$368,G717,FALSE)</f>
        <v>1.78444613895236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225</v>
      </c>
      <c r="H718" s="97">
        <f t="shared" ca="1" si="119"/>
        <v>45881</v>
      </c>
      <c r="I718" s="121">
        <f ca="1">HLOOKUP($H$5,'Met Data'!$A$2:$F$368,G718,FALSE)</f>
        <v>10.62</v>
      </c>
      <c r="J718" s="119">
        <f ca="1">HLOOKUP($H$5,'Met Data'!$H$2:$M$368,G718,FALSE)*L718</f>
        <v>3.95333333333333</v>
      </c>
      <c r="K718" s="98">
        <f ca="1">HLOOKUP($H$5,'Met Data'!$O$2:$T$368,G718,FALSE)</f>
        <v>1.79702295751458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226</v>
      </c>
      <c r="H719" s="97">
        <f t="shared" ca="1" si="119"/>
        <v>45882</v>
      </c>
      <c r="I719" s="121">
        <f ca="1">HLOOKUP($H$5,'Met Data'!$A$2:$F$368,G719,FALSE)</f>
        <v>10.851666666666601</v>
      </c>
      <c r="J719" s="119">
        <f ca="1">HLOOKUP($H$5,'Met Data'!$H$2:$M$368,G719,FALSE)*L719</f>
        <v>4.43</v>
      </c>
      <c r="K719" s="98">
        <f ca="1">HLOOKUP($H$5,'Met Data'!$O$2:$T$368,G719,FALSE)</f>
        <v>1.75622712343688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227</v>
      </c>
      <c r="H720" s="97">
        <f t="shared" ca="1" si="119"/>
        <v>45883</v>
      </c>
      <c r="I720" s="121">
        <f ca="1">HLOOKUP($H$5,'Met Data'!$A$2:$F$368,G720,FALSE)</f>
        <v>10.715517241379301</v>
      </c>
      <c r="J720" s="119">
        <f ca="1">HLOOKUP($H$5,'Met Data'!$H$2:$M$368,G720,FALSE)*L720</f>
        <v>5.1034482758620596</v>
      </c>
      <c r="K720" s="98">
        <f ca="1">HLOOKUP($H$5,'Met Data'!$O$2:$T$368,G720,FALSE)</f>
        <v>1.8143744354657301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228</v>
      </c>
      <c r="H721" s="97">
        <f t="shared" ca="1" si="119"/>
        <v>45884</v>
      </c>
      <c r="I721" s="121">
        <f ca="1">HLOOKUP($H$5,'Met Data'!$A$2:$F$368,G721,FALSE)</f>
        <v>10.171666666666599</v>
      </c>
      <c r="J721" s="119">
        <f ca="1">HLOOKUP($H$5,'Met Data'!$H$2:$M$368,G721,FALSE)*L721</f>
        <v>5.0933333333333302</v>
      </c>
      <c r="K721" s="98">
        <f ca="1">HLOOKUP($H$5,'Met Data'!$O$2:$T$368,G721,FALSE)</f>
        <v>1.7504322855227901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229</v>
      </c>
      <c r="H722" s="97">
        <f t="shared" ca="1" si="119"/>
        <v>45885</v>
      </c>
      <c r="I722" s="121">
        <f ca="1">HLOOKUP($H$5,'Met Data'!$A$2:$F$368,G722,FALSE)</f>
        <v>10.203333333333299</v>
      </c>
      <c r="J722" s="119">
        <f ca="1">HLOOKUP($H$5,'Met Data'!$H$2:$M$368,G722,FALSE)*L722</f>
        <v>4.3433333333333302</v>
      </c>
      <c r="K722" s="98">
        <f ca="1">HLOOKUP($H$5,'Met Data'!$O$2:$T$368,G722,FALSE)</f>
        <v>1.72694084936311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230</v>
      </c>
      <c r="H723" s="97">
        <f t="shared" ca="1" si="119"/>
        <v>45886</v>
      </c>
      <c r="I723" s="121">
        <f ca="1">HLOOKUP($H$5,'Met Data'!$A$2:$F$368,G723,FALSE)</f>
        <v>10.0833333333333</v>
      </c>
      <c r="J723" s="119">
        <f ca="1">HLOOKUP($H$5,'Met Data'!$H$2:$M$368,G723,FALSE)*L723</f>
        <v>5.3333333333333304</v>
      </c>
      <c r="K723" s="98">
        <f ca="1">HLOOKUP($H$5,'Met Data'!$O$2:$T$368,G723,FALSE)</f>
        <v>1.9911176675537099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231</v>
      </c>
      <c r="H724" s="97">
        <f t="shared" ca="1" si="119"/>
        <v>45887</v>
      </c>
      <c r="I724" s="121">
        <f ca="1">HLOOKUP($H$5,'Met Data'!$A$2:$F$368,G724,FALSE)</f>
        <v>10.0833333333333</v>
      </c>
      <c r="J724" s="119">
        <f ca="1">HLOOKUP($H$5,'Met Data'!$H$2:$M$368,G724,FALSE)*L724</f>
        <v>3.9433333333333298</v>
      </c>
      <c r="K724" s="98">
        <f ca="1">HLOOKUP($H$5,'Met Data'!$O$2:$T$368,G724,FALSE)</f>
        <v>1.888960132222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232</v>
      </c>
      <c r="H725" s="97">
        <f t="shared" ca="1" si="119"/>
        <v>45888</v>
      </c>
      <c r="I725" s="121">
        <f ca="1">HLOOKUP($H$5,'Met Data'!$A$2:$F$368,G725,FALSE)</f>
        <v>10.1383333333333</v>
      </c>
      <c r="J725" s="119">
        <f ca="1">HLOOKUP($H$5,'Met Data'!$H$2:$M$368,G725,FALSE)*L725</f>
        <v>3.5733333333333301</v>
      </c>
      <c r="K725" s="98">
        <f ca="1">HLOOKUP($H$5,'Met Data'!$O$2:$T$368,G725,FALSE)</f>
        <v>1.8335933724759199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233</v>
      </c>
      <c r="H726" s="97">
        <f t="shared" ca="1" si="119"/>
        <v>45889</v>
      </c>
      <c r="I726" s="121">
        <f ca="1">HLOOKUP($H$5,'Met Data'!$A$2:$F$368,G726,FALSE)</f>
        <v>10.421666666666599</v>
      </c>
      <c r="J726" s="119">
        <f ca="1">HLOOKUP($H$5,'Met Data'!$H$2:$M$368,G726,FALSE)*L726</f>
        <v>4.8033333333333301</v>
      </c>
      <c r="K726" s="98">
        <f ca="1">HLOOKUP($H$5,'Met Data'!$O$2:$T$368,G726,FALSE)</f>
        <v>1.7788236818437999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234</v>
      </c>
      <c r="H727" s="97">
        <f t="shared" ca="1" si="119"/>
        <v>45890</v>
      </c>
      <c r="I727" s="121">
        <f ca="1">HLOOKUP($H$5,'Met Data'!$A$2:$F$368,G727,FALSE)</f>
        <v>10.703333333333299</v>
      </c>
      <c r="J727" s="119">
        <f ca="1">HLOOKUP($H$5,'Met Data'!$H$2:$M$368,G727,FALSE)*L727</f>
        <v>3.9833333333333298</v>
      </c>
      <c r="K727" s="98">
        <f ca="1">HLOOKUP($H$5,'Met Data'!$O$2:$T$368,G727,FALSE)</f>
        <v>1.7879198703522201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235</v>
      </c>
      <c r="H728" s="97">
        <f t="shared" ca="1" si="119"/>
        <v>45891</v>
      </c>
      <c r="I728" s="121">
        <f ca="1">HLOOKUP($H$5,'Met Data'!$A$2:$F$368,G728,FALSE)</f>
        <v>10.8266666666666</v>
      </c>
      <c r="J728" s="119">
        <f ca="1">HLOOKUP($H$5,'Met Data'!$H$2:$M$368,G728,FALSE)*L728</f>
        <v>3.93</v>
      </c>
      <c r="K728" s="98">
        <f ca="1">HLOOKUP($H$5,'Met Data'!$O$2:$T$368,G728,FALSE)</f>
        <v>1.8884109943012299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236</v>
      </c>
      <c r="H729" s="97">
        <f t="shared" ca="1" si="119"/>
        <v>45892</v>
      </c>
      <c r="I729" s="121">
        <f ca="1">HLOOKUP($H$5,'Met Data'!$A$2:$F$368,G729,FALSE)</f>
        <v>11.0766666666666</v>
      </c>
      <c r="J729" s="119">
        <f ca="1">HLOOKUP($H$5,'Met Data'!$H$2:$M$368,G729,FALSE)*L729</f>
        <v>3.45</v>
      </c>
      <c r="K729" s="98">
        <f ca="1">HLOOKUP($H$5,'Met Data'!$O$2:$T$368,G729,FALSE)</f>
        <v>2.20927169374758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237</v>
      </c>
      <c r="H730" s="97">
        <f t="shared" ca="1" si="119"/>
        <v>45893</v>
      </c>
      <c r="I730" s="121">
        <f ca="1">HLOOKUP($H$5,'Met Data'!$A$2:$F$368,G730,FALSE)</f>
        <v>11.088333333333299</v>
      </c>
      <c r="J730" s="119">
        <f ca="1">HLOOKUP($H$5,'Met Data'!$H$2:$M$368,G730,FALSE)*L730</f>
        <v>3.2366666666666601</v>
      </c>
      <c r="K730" s="98">
        <f ca="1">HLOOKUP($H$5,'Met Data'!$O$2:$T$368,G730,FALSE)</f>
        <v>1.9660073359530601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238</v>
      </c>
      <c r="H731" s="97">
        <f t="shared" ca="1" si="119"/>
        <v>45894</v>
      </c>
      <c r="I731" s="121">
        <f ca="1">HLOOKUP($H$5,'Met Data'!$A$2:$F$368,G731,FALSE)</f>
        <v>11.283333333333299</v>
      </c>
      <c r="J731" s="119">
        <f ca="1">HLOOKUP($H$5,'Met Data'!$H$2:$M$368,G731,FALSE)*L731</f>
        <v>7.0266666666666602</v>
      </c>
      <c r="K731" s="98">
        <f ca="1">HLOOKUP($H$5,'Met Data'!$O$2:$T$368,G731,FALSE)</f>
        <v>1.72961358813406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239</v>
      </c>
      <c r="H732" s="97">
        <f t="shared" ca="1" si="119"/>
        <v>45895</v>
      </c>
      <c r="I732" s="121">
        <f ca="1">HLOOKUP($H$5,'Met Data'!$A$2:$F$368,G732,FALSE)</f>
        <v>11.1383333333333</v>
      </c>
      <c r="J732" s="119">
        <f ca="1">HLOOKUP($H$5,'Met Data'!$H$2:$M$368,G732,FALSE)*L732</f>
        <v>4.5666666666666602</v>
      </c>
      <c r="K732" s="98">
        <f ca="1">HLOOKUP($H$5,'Met Data'!$O$2:$T$368,G732,FALSE)</f>
        <v>2.0311984249146202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240</v>
      </c>
      <c r="H733" s="97">
        <f t="shared" ca="1" si="119"/>
        <v>45896</v>
      </c>
      <c r="I733" s="121">
        <f ca="1">HLOOKUP($H$5,'Met Data'!$A$2:$F$368,G733,FALSE)</f>
        <v>11.1133333333333</v>
      </c>
      <c r="J733" s="119">
        <f ca="1">HLOOKUP($H$5,'Met Data'!$H$2:$M$368,G733,FALSE)*L733</f>
        <v>2.8866666666666601</v>
      </c>
      <c r="K733" s="98">
        <f ca="1">HLOOKUP($H$5,'Met Data'!$O$2:$T$368,G733,FALSE)</f>
        <v>2.0005217214048798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241</v>
      </c>
      <c r="H734" s="97">
        <f t="shared" ca="1" si="119"/>
        <v>45897</v>
      </c>
      <c r="I734" s="121">
        <f ca="1">HLOOKUP($H$5,'Met Data'!$A$2:$F$368,G734,FALSE)</f>
        <v>10.7724137931034</v>
      </c>
      <c r="J734" s="119">
        <f ca="1">HLOOKUP($H$5,'Met Data'!$H$2:$M$368,G734,FALSE)*L734</f>
        <v>2.4862068965517201</v>
      </c>
      <c r="K734" s="98">
        <f ca="1">HLOOKUP($H$5,'Met Data'!$O$2:$T$368,G734,FALSE)</f>
        <v>2.19808146037672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242</v>
      </c>
      <c r="H735" s="97">
        <f t="shared" ca="1" si="119"/>
        <v>45898</v>
      </c>
      <c r="I735" s="121">
        <f ca="1">HLOOKUP($H$5,'Met Data'!$A$2:$F$368,G735,FALSE)</f>
        <v>10.753448275862</v>
      </c>
      <c r="J735" s="119">
        <f ca="1">HLOOKUP($H$5,'Met Data'!$H$2:$M$368,G735,FALSE)*L735</f>
        <v>2.4068965517241301</v>
      </c>
      <c r="K735" s="98">
        <f ca="1">HLOOKUP($H$5,'Met Data'!$O$2:$T$368,G735,FALSE)</f>
        <v>2.1823268558862501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243</v>
      </c>
      <c r="H736" s="97">
        <f t="shared" ca="1" si="119"/>
        <v>45899</v>
      </c>
      <c r="I736" s="121">
        <f ca="1">HLOOKUP($H$5,'Met Data'!$A$2:$F$368,G736,FALSE)</f>
        <v>10.891379310344799</v>
      </c>
      <c r="J736" s="119">
        <f ca="1">HLOOKUP($H$5,'Met Data'!$H$2:$M$368,G736,FALSE)*L736</f>
        <v>2.9931034482758601</v>
      </c>
      <c r="K736" s="98">
        <f ca="1">HLOOKUP($H$5,'Met Data'!$O$2:$T$368,G736,FALSE)</f>
        <v>1.8307871864441201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244</v>
      </c>
      <c r="H737" s="97">
        <f t="shared" ca="1" si="119"/>
        <v>45900</v>
      </c>
      <c r="I737" s="121">
        <f ca="1">HLOOKUP($H$5,'Met Data'!$A$2:$F$368,G737,FALSE)</f>
        <v>10.953448275862</v>
      </c>
      <c r="J737" s="119">
        <f ca="1">HLOOKUP($H$5,'Met Data'!$H$2:$M$368,G737,FALSE)*L737</f>
        <v>4.8862068965517196</v>
      </c>
      <c r="K737" s="98">
        <f ca="1">HLOOKUP($H$5,'Met Data'!$O$2:$T$368,G737,FALSE)</f>
        <v>2.1498109306225701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245</v>
      </c>
      <c r="H738" s="97">
        <f t="shared" ca="1" si="119"/>
        <v>45901</v>
      </c>
      <c r="I738" s="121">
        <f ca="1">HLOOKUP($H$5,'Met Data'!$A$2:$F$368,G738,FALSE)</f>
        <v>10.803333333333301</v>
      </c>
      <c r="J738" s="119">
        <f ca="1">HLOOKUP($H$5,'Met Data'!$H$2:$M$368,G738,FALSE)*L738</f>
        <v>3.05</v>
      </c>
      <c r="K738" s="98">
        <f ca="1">HLOOKUP($H$5,'Met Data'!$O$2:$T$368,G738,FALSE)</f>
        <v>2.1147026396135802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246</v>
      </c>
      <c r="H739" s="97">
        <f t="shared" ca="1" si="119"/>
        <v>45902</v>
      </c>
      <c r="I739" s="121">
        <f ca="1">HLOOKUP($H$5,'Met Data'!$A$2:$F$368,G739,FALSE)</f>
        <v>10.862068965517199</v>
      </c>
      <c r="J739" s="119">
        <f ca="1">HLOOKUP($H$5,'Met Data'!$H$2:$M$368,G739,FALSE)*L739</f>
        <v>2.8035714285714199</v>
      </c>
      <c r="K739" s="98">
        <f ca="1">HLOOKUP($H$5,'Met Data'!$O$2:$T$368,G739,FALSE)</f>
        <v>2.04836351360946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247</v>
      </c>
      <c r="H740" s="97">
        <f t="shared" ca="1" si="119"/>
        <v>45903</v>
      </c>
      <c r="I740" s="121">
        <f ca="1">HLOOKUP($H$5,'Met Data'!$A$2:$F$368,G740,FALSE)</f>
        <v>11.4379310344827</v>
      </c>
      <c r="J740" s="119">
        <f ca="1">HLOOKUP($H$5,'Met Data'!$H$2:$M$368,G740,FALSE)*L740</f>
        <v>2.2964285714285699</v>
      </c>
      <c r="K740" s="98">
        <f ca="1">HLOOKUP($H$5,'Met Data'!$O$2:$T$368,G740,FALSE)</f>
        <v>2.1933906940536101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248</v>
      </c>
      <c r="H741" s="97">
        <f t="shared" ca="1" si="119"/>
        <v>45904</v>
      </c>
      <c r="I741" s="121">
        <f ca="1">HLOOKUP($H$5,'Met Data'!$A$2:$F$368,G741,FALSE)</f>
        <v>11.5448275862068</v>
      </c>
      <c r="J741" s="119">
        <f ca="1">HLOOKUP($H$5,'Met Data'!$H$2:$M$368,G741,FALSE)*L741</f>
        <v>3.6892857142857101</v>
      </c>
      <c r="K741" s="98">
        <f ca="1">HLOOKUP($H$5,'Met Data'!$O$2:$T$368,G741,FALSE)</f>
        <v>2.0025541274337399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249</v>
      </c>
      <c r="H742" s="97">
        <f t="shared" ca="1" si="119"/>
        <v>45905</v>
      </c>
      <c r="I742" s="121">
        <f ca="1">HLOOKUP($H$5,'Met Data'!$A$2:$F$368,G742,FALSE)</f>
        <v>11.734482758620601</v>
      </c>
      <c r="J742" s="119">
        <f ca="1">HLOOKUP($H$5,'Met Data'!$H$2:$M$368,G742,FALSE)*L742</f>
        <v>5.6892857142857096</v>
      </c>
      <c r="K742" s="98">
        <f ca="1">HLOOKUP($H$5,'Met Data'!$O$2:$T$368,G742,FALSE)</f>
        <v>2.0261980789565999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250</v>
      </c>
      <c r="H743" s="97">
        <f t="shared" ca="1" si="119"/>
        <v>45906</v>
      </c>
      <c r="I743" s="121">
        <f ca="1">HLOOKUP($H$5,'Met Data'!$A$2:$F$368,G743,FALSE)</f>
        <v>11.682758620689601</v>
      </c>
      <c r="J743" s="119">
        <f ca="1">HLOOKUP($H$5,'Met Data'!$H$2:$M$368,G743,FALSE)*L743</f>
        <v>3.97586206896551</v>
      </c>
      <c r="K743" s="98">
        <f ca="1">HLOOKUP($H$5,'Met Data'!$O$2:$T$368,G743,FALSE)</f>
        <v>2.26836536246158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251</v>
      </c>
      <c r="H744" s="97">
        <f t="shared" ca="1" si="119"/>
        <v>45907</v>
      </c>
      <c r="I744" s="121">
        <f ca="1">HLOOKUP($H$5,'Met Data'!$A$2:$F$368,G744,FALSE)</f>
        <v>11.389655172413701</v>
      </c>
      <c r="J744" s="119">
        <f ca="1">HLOOKUP($H$5,'Met Data'!$H$2:$M$368,G744,FALSE)*L744</f>
        <v>2.6793103448275799</v>
      </c>
      <c r="K744" s="98">
        <f ca="1">HLOOKUP($H$5,'Met Data'!$O$2:$T$368,G744,FALSE)</f>
        <v>2.1403968231495001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252</v>
      </c>
      <c r="H745" s="97">
        <f t="shared" ca="1" si="119"/>
        <v>45908</v>
      </c>
      <c r="I745" s="121">
        <f ca="1">HLOOKUP($H$5,'Met Data'!$A$2:$F$368,G745,FALSE)</f>
        <v>11.834482758620601</v>
      </c>
      <c r="J745" s="119">
        <f ca="1">HLOOKUP($H$5,'Met Data'!$H$2:$M$368,G745,FALSE)*L745</f>
        <v>4.4310344827586201</v>
      </c>
      <c r="K745" s="98">
        <f ca="1">HLOOKUP($H$5,'Met Data'!$O$2:$T$368,G745,FALSE)</f>
        <v>2.4179314095726698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253</v>
      </c>
      <c r="H746" s="97">
        <f t="shared" ca="1" si="119"/>
        <v>45909</v>
      </c>
      <c r="I746" s="121">
        <f ca="1">HLOOKUP($H$5,'Met Data'!$A$2:$F$368,G746,FALSE)</f>
        <v>11.465</v>
      </c>
      <c r="J746" s="119">
        <f ca="1">HLOOKUP($H$5,'Met Data'!$H$2:$M$368,G746,FALSE)*L746</f>
        <v>3.6827586206896501</v>
      </c>
      <c r="K746" s="98">
        <f ca="1">HLOOKUP($H$5,'Met Data'!$O$2:$T$368,G746,FALSE)</f>
        <v>2.2362909221430498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254</v>
      </c>
      <c r="H747" s="97">
        <f t="shared" ca="1" si="119"/>
        <v>45910</v>
      </c>
      <c r="I747" s="121">
        <f ca="1">HLOOKUP($H$5,'Met Data'!$A$2:$F$368,G747,FALSE)</f>
        <v>11.62</v>
      </c>
      <c r="J747" s="119">
        <f ca="1">HLOOKUP($H$5,'Met Data'!$H$2:$M$368,G747,FALSE)*L747</f>
        <v>1.66333333333333</v>
      </c>
      <c r="K747" s="98">
        <f ca="1">HLOOKUP($H$5,'Met Data'!$O$2:$T$368,G747,FALSE)</f>
        <v>2.5120136328346701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255</v>
      </c>
      <c r="H748" s="97">
        <f t="shared" ca="1" si="119"/>
        <v>45911</v>
      </c>
      <c r="I748" s="121">
        <f ca="1">HLOOKUP($H$5,'Met Data'!$A$2:$F$368,G748,FALSE)</f>
        <v>11.7633333333333</v>
      </c>
      <c r="J748" s="119">
        <f ca="1">HLOOKUP($H$5,'Met Data'!$H$2:$M$368,G748,FALSE)*L748</f>
        <v>3.2833333333333301</v>
      </c>
      <c r="K748" s="98">
        <f ca="1">HLOOKUP($H$5,'Met Data'!$O$2:$T$368,G748,FALSE)</f>
        <v>2.3151045080086101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256</v>
      </c>
      <c r="H749" s="97">
        <f t="shared" ca="1" si="119"/>
        <v>45912</v>
      </c>
      <c r="I749" s="121">
        <f ca="1">HLOOKUP($H$5,'Met Data'!$A$2:$F$368,G749,FALSE)</f>
        <v>12.158333333333299</v>
      </c>
      <c r="J749" s="119">
        <f ca="1">HLOOKUP($H$5,'Met Data'!$H$2:$M$368,G749,FALSE)*L749</f>
        <v>3.8833333333333302</v>
      </c>
      <c r="K749" s="98">
        <f ca="1">HLOOKUP($H$5,'Met Data'!$O$2:$T$368,G749,FALSE)</f>
        <v>2.3727724062230302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257</v>
      </c>
      <c r="H750" s="97">
        <f t="shared" ca="1" si="119"/>
        <v>45913</v>
      </c>
      <c r="I750" s="121">
        <f ca="1">HLOOKUP($H$5,'Met Data'!$A$2:$F$368,G750,FALSE)</f>
        <v>11.908333333333299</v>
      </c>
      <c r="J750" s="119">
        <f ca="1">HLOOKUP($H$5,'Met Data'!$H$2:$M$368,G750,FALSE)*L750</f>
        <v>5.26</v>
      </c>
      <c r="K750" s="98">
        <f ca="1">HLOOKUP($H$5,'Met Data'!$O$2:$T$368,G750,FALSE)</f>
        <v>2.4036248389024699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258</v>
      </c>
      <c r="H751" s="97">
        <f t="shared" ca="1" si="119"/>
        <v>45914</v>
      </c>
      <c r="I751" s="121">
        <f ca="1">HLOOKUP($H$5,'Met Data'!$A$2:$F$368,G751,FALSE)</f>
        <v>12.074999999999999</v>
      </c>
      <c r="J751" s="119">
        <f ca="1">HLOOKUP($H$5,'Met Data'!$H$2:$M$368,G751,FALSE)*L751</f>
        <v>3.6933333333333298</v>
      </c>
      <c r="K751" s="98">
        <f ca="1">HLOOKUP($H$5,'Met Data'!$O$2:$T$368,G751,FALSE)</f>
        <v>2.56639010677653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ca="1" si="110"/>
        <v>259</v>
      </c>
      <c r="H752" s="97">
        <f t="shared" ca="1" si="119"/>
        <v>45915</v>
      </c>
      <c r="I752" s="121">
        <f ca="1">HLOOKUP($H$5,'Met Data'!$A$2:$F$368,G752,FALSE)</f>
        <v>12.3883333333333</v>
      </c>
      <c r="J752" s="119">
        <f ca="1">HLOOKUP($H$5,'Met Data'!$H$2:$M$368,G752,FALSE)*L752</f>
        <v>3.26</v>
      </c>
      <c r="K752" s="98">
        <f ca="1">HLOOKUP($H$5,'Met Data'!$O$2:$T$368,G752,FALSE)</f>
        <v>2.3157931057843801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ca="1" si="120">H753-DATE(YEAR(H753),1,0)+1</f>
        <v>260</v>
      </c>
      <c r="H753" s="97">
        <f t="shared" ca="1" si="119"/>
        <v>45916</v>
      </c>
      <c r="I753" s="121">
        <f ca="1">HLOOKUP($H$5,'Met Data'!$A$2:$F$368,G753,FALSE)</f>
        <v>12.5766666666666</v>
      </c>
      <c r="J753" s="119">
        <f ca="1">HLOOKUP($H$5,'Met Data'!$H$2:$M$368,G753,FALSE)*L753</f>
        <v>3.5999999999999899</v>
      </c>
      <c r="K753" s="98">
        <f ca="1">HLOOKUP($H$5,'Met Data'!$O$2:$T$368,G753,FALSE)</f>
        <v>2.2894884287258899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ca="1" si="120"/>
        <v>261</v>
      </c>
      <c r="H754" s="97">
        <f t="shared" ca="1" si="119"/>
        <v>45917</v>
      </c>
      <c r="I754" s="121">
        <f ca="1">HLOOKUP($H$5,'Met Data'!$A$2:$F$368,G754,FALSE)</f>
        <v>12.482258064516101</v>
      </c>
      <c r="J754" s="119">
        <f ca="1">HLOOKUP($H$5,'Met Data'!$H$2:$M$368,G754,FALSE)*L754</f>
        <v>2.73870967741935</v>
      </c>
      <c r="K754" s="98">
        <f ca="1">HLOOKUP($H$5,'Met Data'!$O$2:$T$368,G754,FALSE)</f>
        <v>2.42321708135252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262</v>
      </c>
      <c r="H755" s="97">
        <f t="shared" ca="1" si="119"/>
        <v>45918</v>
      </c>
      <c r="I755" s="121">
        <f ca="1">HLOOKUP($H$5,'Met Data'!$A$2:$F$368,G755,FALSE)</f>
        <v>12.261290322580599</v>
      </c>
      <c r="J755" s="119">
        <f ca="1">HLOOKUP($H$5,'Met Data'!$H$2:$M$368,G755,FALSE)*L755</f>
        <v>2.5741935483870901</v>
      </c>
      <c r="K755" s="98">
        <f ca="1">HLOOKUP($H$5,'Met Data'!$O$2:$T$368,G755,FALSE)</f>
        <v>2.45933848636487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263</v>
      </c>
      <c r="H756" s="97">
        <f t="shared" ca="1" si="119"/>
        <v>45919</v>
      </c>
      <c r="I756" s="121">
        <f ca="1">HLOOKUP($H$5,'Met Data'!$A$2:$F$368,G756,FALSE)</f>
        <v>12.1677419354838</v>
      </c>
      <c r="J756" s="119">
        <f ca="1">HLOOKUP($H$5,'Met Data'!$H$2:$M$368,G756,FALSE)*L756</f>
        <v>3.5774193548387001</v>
      </c>
      <c r="K756" s="98">
        <f ca="1">HLOOKUP($H$5,'Met Data'!$O$2:$T$368,G756,FALSE)</f>
        <v>2.2883058912546601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264</v>
      </c>
      <c r="H757" s="97">
        <f t="shared" ca="1" si="119"/>
        <v>45920</v>
      </c>
      <c r="I757" s="121">
        <f ca="1">HLOOKUP($H$5,'Met Data'!$A$2:$F$368,G757,FALSE)</f>
        <v>12.1064516129032</v>
      </c>
      <c r="J757" s="119">
        <f ca="1">HLOOKUP($H$5,'Met Data'!$H$2:$M$368,G757,FALSE)*L757</f>
        <v>2.6774193548387002</v>
      </c>
      <c r="K757" s="98">
        <f ca="1">HLOOKUP($H$5,'Met Data'!$O$2:$T$368,G757,FALSE)</f>
        <v>2.6656714596224198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265</v>
      </c>
      <c r="H758" s="97">
        <f t="shared" ca="1" si="119"/>
        <v>45921</v>
      </c>
      <c r="I758" s="121">
        <f ca="1">HLOOKUP($H$5,'Met Data'!$A$2:$F$368,G758,FALSE)</f>
        <v>12.012903225806401</v>
      </c>
      <c r="J758" s="119">
        <f ca="1">HLOOKUP($H$5,'Met Data'!$H$2:$M$368,G758,FALSE)*L758</f>
        <v>2.8193548387096699</v>
      </c>
      <c r="K758" s="98">
        <f ca="1">HLOOKUP($H$5,'Met Data'!$O$2:$T$368,G758,FALSE)</f>
        <v>2.6640837362866301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266</v>
      </c>
      <c r="H759" s="97">
        <f t="shared" ca="1" si="119"/>
        <v>45922</v>
      </c>
      <c r="I759" s="121">
        <f ca="1">HLOOKUP($H$5,'Met Data'!$A$2:$F$368,G759,FALSE)</f>
        <v>12.1612903225806</v>
      </c>
      <c r="J759" s="119">
        <f ca="1">HLOOKUP($H$5,'Met Data'!$H$2:$M$368,G759,FALSE)*L759</f>
        <v>4.2935483870967701</v>
      </c>
      <c r="K759" s="98">
        <f ca="1">HLOOKUP($H$5,'Met Data'!$O$2:$T$368,G759,FALSE)</f>
        <v>2.5405503102234701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267</v>
      </c>
      <c r="H760" s="97">
        <f t="shared" ca="1" si="119"/>
        <v>45923</v>
      </c>
      <c r="I760" s="121">
        <f ca="1">HLOOKUP($H$5,'Met Data'!$A$2:$F$368,G760,FALSE)</f>
        <v>12.285483870967701</v>
      </c>
      <c r="J760" s="119">
        <f ca="1">HLOOKUP($H$5,'Met Data'!$H$2:$M$368,G760,FALSE)*L760</f>
        <v>3.69677419354838</v>
      </c>
      <c r="K760" s="98">
        <f ca="1">HLOOKUP($H$5,'Met Data'!$O$2:$T$368,G760,FALSE)</f>
        <v>2.75659518409562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268</v>
      </c>
      <c r="H761" s="97">
        <f t="shared" ca="1" si="119"/>
        <v>45924</v>
      </c>
      <c r="I761" s="121">
        <f ca="1">HLOOKUP($H$5,'Met Data'!$A$2:$F$368,G761,FALSE)</f>
        <v>12.7274193548387</v>
      </c>
      <c r="J761" s="119">
        <f ca="1">HLOOKUP($H$5,'Met Data'!$H$2:$M$368,G761,FALSE)*L761</f>
        <v>4.4354838709677402</v>
      </c>
      <c r="K761" s="98">
        <f ca="1">HLOOKUP($H$5,'Met Data'!$O$2:$T$368,G761,FALSE)</f>
        <v>2.4043238309259301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269</v>
      </c>
      <c r="H762" s="97">
        <f t="shared" ca="1" si="119"/>
        <v>45925</v>
      </c>
      <c r="I762" s="121">
        <f ca="1">HLOOKUP($H$5,'Met Data'!$A$2:$F$368,G762,FALSE)</f>
        <v>12.4338709677419</v>
      </c>
      <c r="J762" s="119">
        <f ca="1">HLOOKUP($H$5,'Met Data'!$H$2:$M$368,G762,FALSE)*L762</f>
        <v>3.1290322580645098</v>
      </c>
      <c r="K762" s="98">
        <f ca="1">HLOOKUP($H$5,'Met Data'!$O$2:$T$368,G762,FALSE)</f>
        <v>2.32653952570764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270</v>
      </c>
      <c r="H763" s="97">
        <f t="shared" ca="1" si="119"/>
        <v>45926</v>
      </c>
      <c r="I763" s="121">
        <f ca="1">HLOOKUP($H$5,'Met Data'!$A$2:$F$368,G763,FALSE)</f>
        <v>12.341666666666599</v>
      </c>
      <c r="J763" s="119">
        <f ca="1">HLOOKUP($H$5,'Met Data'!$H$2:$M$368,G763,FALSE)*L763</f>
        <v>4.32666666666666</v>
      </c>
      <c r="K763" s="98">
        <f ca="1">HLOOKUP($H$5,'Met Data'!$O$2:$T$368,G763,FALSE)</f>
        <v>2.5198296361703401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271</v>
      </c>
      <c r="H764" s="97">
        <f t="shared" ca="1" si="119"/>
        <v>45927</v>
      </c>
      <c r="I764" s="121">
        <f ca="1">HLOOKUP($H$5,'Met Data'!$A$2:$F$368,G764,FALSE)</f>
        <v>12.7183333333333</v>
      </c>
      <c r="J764" s="119">
        <f ca="1">HLOOKUP($H$5,'Met Data'!$H$2:$M$368,G764,FALSE)*L764</f>
        <v>2.83</v>
      </c>
      <c r="K764" s="98">
        <f ca="1">HLOOKUP($H$5,'Met Data'!$O$2:$T$368,G764,FALSE)</f>
        <v>2.6371707298843199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272</v>
      </c>
      <c r="H765" s="97">
        <f t="shared" ca="1" si="119"/>
        <v>45928</v>
      </c>
      <c r="I765" s="121">
        <f ca="1">HLOOKUP($H$5,'Met Data'!$A$2:$F$368,G765,FALSE)</f>
        <v>13.04</v>
      </c>
      <c r="J765" s="119">
        <f ca="1">HLOOKUP($H$5,'Met Data'!$H$2:$M$368,G765,FALSE)*L765</f>
        <v>4.2233333333333301</v>
      </c>
      <c r="K765" s="98">
        <f ca="1">HLOOKUP($H$5,'Met Data'!$O$2:$T$368,G765,FALSE)</f>
        <v>2.4067153885809098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273</v>
      </c>
      <c r="H766" s="97">
        <f t="shared" ca="1" si="119"/>
        <v>45929</v>
      </c>
      <c r="I766" s="121">
        <f ca="1">HLOOKUP($H$5,'Met Data'!$A$2:$F$368,G766,FALSE)</f>
        <v>13.381034482758601</v>
      </c>
      <c r="J766" s="119">
        <f ca="1">HLOOKUP($H$5,'Met Data'!$H$2:$M$368,G766,FALSE)*L766</f>
        <v>3.7620689655172401</v>
      </c>
      <c r="K766" s="98">
        <f ca="1">HLOOKUP($H$5,'Met Data'!$O$2:$T$368,G766,FALSE)</f>
        <v>2.71659484771267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274</v>
      </c>
      <c r="H767" s="97">
        <f t="shared" ca="1" si="119"/>
        <v>45930</v>
      </c>
      <c r="I767" s="121">
        <f ca="1">HLOOKUP($H$5,'Met Data'!$A$2:$F$368,G767,FALSE)</f>
        <v>13.274137931034399</v>
      </c>
      <c r="J767" s="119">
        <f ca="1">HLOOKUP($H$5,'Met Data'!$H$2:$M$368,G767,FALSE)*L767</f>
        <v>5.4793103448275797</v>
      </c>
      <c r="K767" s="98">
        <f ca="1">HLOOKUP($H$5,'Met Data'!$O$2:$T$368,G767,FALSE)</f>
        <v>2.6496213239398698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275</v>
      </c>
      <c r="H768" s="97">
        <f t="shared" ca="1" si="119"/>
        <v>45931</v>
      </c>
      <c r="I768" s="121">
        <f ca="1">HLOOKUP($H$5,'Met Data'!$A$2:$F$368,G768,FALSE)</f>
        <v>13.0233333333333</v>
      </c>
      <c r="J768" s="119">
        <f ca="1">HLOOKUP($H$5,'Met Data'!$H$2:$M$368,G768,FALSE)*L768</f>
        <v>7.2033333333333296</v>
      </c>
      <c r="K768" s="98">
        <f ca="1">HLOOKUP($H$5,'Met Data'!$O$2:$T$368,G768,FALSE)</f>
        <v>2.7120872842053001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276</v>
      </c>
      <c r="H769" s="97">
        <f t="shared" ca="1" si="119"/>
        <v>45932</v>
      </c>
      <c r="I769" s="121">
        <f ca="1">HLOOKUP($H$5,'Met Data'!$A$2:$F$368,G769,FALSE)</f>
        <v>12.938333333333301</v>
      </c>
      <c r="J769" s="119">
        <f ca="1">HLOOKUP($H$5,'Met Data'!$H$2:$M$368,G769,FALSE)*L769</f>
        <v>4.3633333333333297</v>
      </c>
      <c r="K769" s="98">
        <f ca="1">HLOOKUP($H$5,'Met Data'!$O$2:$T$368,G769,FALSE)</f>
        <v>2.5284096014561799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277</v>
      </c>
      <c r="H770" s="97">
        <f t="shared" ca="1" si="119"/>
        <v>45933</v>
      </c>
      <c r="I770" s="121">
        <f ca="1">HLOOKUP($H$5,'Met Data'!$A$2:$F$368,G770,FALSE)</f>
        <v>13.2433333333333</v>
      </c>
      <c r="J770" s="119">
        <f ca="1">HLOOKUP($H$5,'Met Data'!$H$2:$M$368,G770,FALSE)*L770</f>
        <v>5.1333333333333302</v>
      </c>
      <c r="K770" s="98">
        <f ca="1">HLOOKUP($H$5,'Met Data'!$O$2:$T$368,G770,FALSE)</f>
        <v>2.88480468453885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278</v>
      </c>
      <c r="H771" s="97">
        <f t="shared" ca="1" si="119"/>
        <v>45934</v>
      </c>
      <c r="I771" s="121">
        <f ca="1">HLOOKUP($H$5,'Met Data'!$A$2:$F$368,G771,FALSE)</f>
        <v>12.85</v>
      </c>
      <c r="J771" s="119">
        <f ca="1">HLOOKUP($H$5,'Met Data'!$H$2:$M$368,G771,FALSE)*L771</f>
        <v>2.5033333333333299</v>
      </c>
      <c r="K771" s="98">
        <f ca="1">HLOOKUP($H$5,'Met Data'!$O$2:$T$368,G771,FALSE)</f>
        <v>2.7808067783335901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279</v>
      </c>
      <c r="H772" s="97">
        <f t="shared" ca="1" si="119"/>
        <v>45935</v>
      </c>
      <c r="I772" s="121">
        <f ca="1">HLOOKUP($H$5,'Met Data'!$A$2:$F$368,G772,FALSE)</f>
        <v>12.875806451612901</v>
      </c>
      <c r="J772" s="119">
        <f ca="1">HLOOKUP($H$5,'Met Data'!$H$2:$M$368,G772,FALSE)*L772</f>
        <v>4.1354838709677404</v>
      </c>
      <c r="K772" s="98">
        <f ca="1">HLOOKUP($H$5,'Met Data'!$O$2:$T$368,G772,FALSE)</f>
        <v>3.0772949163384999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280</v>
      </c>
      <c r="H773" s="97">
        <f t="shared" ca="1" si="119"/>
        <v>45936</v>
      </c>
      <c r="I773" s="121">
        <f ca="1">HLOOKUP($H$5,'Met Data'!$A$2:$F$368,G773,FALSE)</f>
        <v>12.9966666666666</v>
      </c>
      <c r="J773" s="119">
        <f ca="1">HLOOKUP($H$5,'Met Data'!$H$2:$M$368,G773,FALSE)*L773</f>
        <v>2.96999999999999</v>
      </c>
      <c r="K773" s="98">
        <f ca="1">HLOOKUP($H$5,'Met Data'!$O$2:$T$368,G773,FALSE)</f>
        <v>3.1690364753373701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281</v>
      </c>
      <c r="H774" s="97">
        <f t="shared" ca="1" si="119"/>
        <v>45937</v>
      </c>
      <c r="I774" s="121">
        <f ca="1">HLOOKUP($H$5,'Met Data'!$A$2:$F$368,G774,FALSE)</f>
        <v>12.7633333333333</v>
      </c>
      <c r="J774" s="119">
        <f ca="1">HLOOKUP($H$5,'Met Data'!$H$2:$M$368,G774,FALSE)*L774</f>
        <v>2.61</v>
      </c>
      <c r="K774" s="98">
        <f ca="1">HLOOKUP($H$5,'Met Data'!$O$2:$T$368,G774,FALSE)</f>
        <v>2.8220150579732999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282</v>
      </c>
      <c r="H775" s="97">
        <f t="shared" ca="1" si="119"/>
        <v>45938</v>
      </c>
      <c r="I775" s="121">
        <f ca="1">HLOOKUP($H$5,'Met Data'!$A$2:$F$368,G775,FALSE)</f>
        <v>13.4816666666666</v>
      </c>
      <c r="J775" s="119">
        <f ca="1">HLOOKUP($H$5,'Met Data'!$H$2:$M$368,G775,FALSE)*L775</f>
        <v>4.0666666666666602</v>
      </c>
      <c r="K775" s="98">
        <f ca="1">HLOOKUP($H$5,'Met Data'!$O$2:$T$368,G775,FALSE)</f>
        <v>2.68549157073894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283</v>
      </c>
      <c r="H776" s="97">
        <f t="shared" ca="1" si="119"/>
        <v>45939</v>
      </c>
      <c r="I776" s="121">
        <f ca="1">HLOOKUP($H$5,'Met Data'!$A$2:$F$368,G776,FALSE)</f>
        <v>13.6933333333333</v>
      </c>
      <c r="J776" s="119">
        <f ca="1">HLOOKUP($H$5,'Met Data'!$H$2:$M$368,G776,FALSE)*L776</f>
        <v>4.22</v>
      </c>
      <c r="K776" s="98">
        <f ca="1">HLOOKUP($H$5,'Met Data'!$O$2:$T$368,G776,FALSE)</f>
        <v>2.6969590648562201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284</v>
      </c>
      <c r="H777" s="97">
        <f t="shared" ref="H777:H840" ca="1" si="129">H776+1</f>
        <v>45940</v>
      </c>
      <c r="I777" s="121">
        <f ca="1">HLOOKUP($H$5,'Met Data'!$A$2:$F$368,G777,FALSE)</f>
        <v>12.9568965517241</v>
      </c>
      <c r="J777" s="119">
        <f ca="1">HLOOKUP($H$5,'Met Data'!$H$2:$M$368,G777,FALSE)*L777</f>
        <v>4.5966666666666596</v>
      </c>
      <c r="K777" s="98">
        <f ca="1">HLOOKUP($H$5,'Met Data'!$O$2:$T$368,G777,FALSE)</f>
        <v>2.9040985917251398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285</v>
      </c>
      <c r="H778" s="97">
        <f t="shared" ca="1" si="129"/>
        <v>45941</v>
      </c>
      <c r="I778" s="121">
        <f ca="1">HLOOKUP($H$5,'Met Data'!$A$2:$F$368,G778,FALSE)</f>
        <v>13.2293103448275</v>
      </c>
      <c r="J778" s="119">
        <f ca="1">HLOOKUP($H$5,'Met Data'!$H$2:$M$368,G778,FALSE)*L778</f>
        <v>2.3896551724137902</v>
      </c>
      <c r="K778" s="98">
        <f ca="1">HLOOKUP($H$5,'Met Data'!$O$2:$T$368,G778,FALSE)</f>
        <v>2.90858576113735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286</v>
      </c>
      <c r="H779" s="97">
        <f t="shared" ca="1" si="129"/>
        <v>45942</v>
      </c>
      <c r="I779" s="121">
        <f ca="1">HLOOKUP($H$5,'Met Data'!$A$2:$F$368,G779,FALSE)</f>
        <v>13.7431034482758</v>
      </c>
      <c r="J779" s="119">
        <f ca="1">HLOOKUP($H$5,'Met Data'!$H$2:$M$368,G779,FALSE)*L779</f>
        <v>5.39310344827586</v>
      </c>
      <c r="K779" s="98">
        <f ca="1">HLOOKUP($H$5,'Met Data'!$O$2:$T$368,G779,FALSE)</f>
        <v>2.9187130451018599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287</v>
      </c>
      <c r="H780" s="97">
        <f t="shared" ca="1" si="129"/>
        <v>45943</v>
      </c>
      <c r="I780" s="121">
        <f ca="1">HLOOKUP($H$5,'Met Data'!$A$2:$F$368,G780,FALSE)</f>
        <v>13.6551724137931</v>
      </c>
      <c r="J780" s="119">
        <f ca="1">HLOOKUP($H$5,'Met Data'!$H$2:$M$368,G780,FALSE)*L780</f>
        <v>4.9586206896551701</v>
      </c>
      <c r="K780" s="98">
        <f ca="1">HLOOKUP($H$5,'Met Data'!$O$2:$T$368,G780,FALSE)</f>
        <v>2.9944315874670302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288</v>
      </c>
      <c r="H781" s="97">
        <f t="shared" ca="1" si="129"/>
        <v>45944</v>
      </c>
      <c r="I781" s="121">
        <f ca="1">HLOOKUP($H$5,'Met Data'!$A$2:$F$368,G781,FALSE)</f>
        <v>13.334482758620601</v>
      </c>
      <c r="J781" s="119">
        <f ca="1">HLOOKUP($H$5,'Met Data'!$H$2:$M$368,G781,FALSE)*L781</f>
        <v>5.6758620689655102</v>
      </c>
      <c r="K781" s="98">
        <f ca="1">HLOOKUP($H$5,'Met Data'!$O$2:$T$368,G781,FALSE)</f>
        <v>2.9220059834019998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289</v>
      </c>
      <c r="H782" s="97">
        <f t="shared" ca="1" si="129"/>
        <v>45945</v>
      </c>
      <c r="I782" s="121">
        <f ca="1">HLOOKUP($H$5,'Met Data'!$A$2:$F$368,G782,FALSE)</f>
        <v>13.0379310344827</v>
      </c>
      <c r="J782" s="119">
        <f ca="1">HLOOKUP($H$5,'Met Data'!$H$2:$M$368,G782,FALSE)*L782</f>
        <v>5.9344827586206899</v>
      </c>
      <c r="K782" s="98">
        <f ca="1">HLOOKUP($H$5,'Met Data'!$O$2:$T$368,G782,FALSE)</f>
        <v>3.1812494285264998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290</v>
      </c>
      <c r="H783" s="97">
        <f t="shared" ca="1" si="129"/>
        <v>45946</v>
      </c>
      <c r="I783" s="121">
        <f ca="1">HLOOKUP($H$5,'Met Data'!$A$2:$F$368,G783,FALSE)</f>
        <v>13.094827586206801</v>
      </c>
      <c r="J783" s="119">
        <f ca="1">HLOOKUP($H$5,'Met Data'!$H$2:$M$368,G783,FALSE)*L783</f>
        <v>3.2862068965517199</v>
      </c>
      <c r="K783" s="98">
        <f ca="1">HLOOKUP($H$5,'Met Data'!$O$2:$T$368,G783,FALSE)</f>
        <v>3.1846462671739202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291</v>
      </c>
      <c r="H784" s="97">
        <f t="shared" ca="1" si="129"/>
        <v>45947</v>
      </c>
      <c r="I784" s="121">
        <f ca="1">HLOOKUP($H$5,'Met Data'!$A$2:$F$368,G784,FALSE)</f>
        <v>13.6775862068965</v>
      </c>
      <c r="J784" s="119">
        <f ca="1">HLOOKUP($H$5,'Met Data'!$H$2:$M$368,G784,FALSE)*L784</f>
        <v>3.4241379310344802</v>
      </c>
      <c r="K784" s="98">
        <f ca="1">HLOOKUP($H$5,'Met Data'!$O$2:$T$368,G784,FALSE)</f>
        <v>3.2300602691540199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292</v>
      </c>
      <c r="H785" s="97">
        <f t="shared" ca="1" si="129"/>
        <v>45948</v>
      </c>
      <c r="I785" s="121">
        <f ca="1">HLOOKUP($H$5,'Met Data'!$A$2:$F$368,G785,FALSE)</f>
        <v>13.189655172413699</v>
      </c>
      <c r="J785" s="119">
        <f ca="1">HLOOKUP($H$5,'Met Data'!$H$2:$M$368,G785,FALSE)*L785</f>
        <v>3.6586206896551698</v>
      </c>
      <c r="K785" s="98">
        <f ca="1">HLOOKUP($H$5,'Met Data'!$O$2:$T$368,G785,FALSE)</f>
        <v>2.98673361950474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293</v>
      </c>
      <c r="H786" s="97">
        <f t="shared" ca="1" si="129"/>
        <v>45949</v>
      </c>
      <c r="I786" s="121">
        <f ca="1">HLOOKUP($H$5,'Met Data'!$A$2:$F$368,G786,FALSE)</f>
        <v>12.9428571428571</v>
      </c>
      <c r="J786" s="119">
        <f ca="1">HLOOKUP($H$5,'Met Data'!$H$2:$M$368,G786,FALSE)*L786</f>
        <v>2.3892857142857098</v>
      </c>
      <c r="K786" s="98">
        <f ca="1">HLOOKUP($H$5,'Met Data'!$O$2:$T$368,G786,FALSE)</f>
        <v>3.3877860671285598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294</v>
      </c>
      <c r="H787" s="97">
        <f t="shared" ca="1" si="129"/>
        <v>45950</v>
      </c>
      <c r="I787" s="121">
        <f ca="1">HLOOKUP($H$5,'Met Data'!$A$2:$F$368,G787,FALSE)</f>
        <v>12.819642857142799</v>
      </c>
      <c r="J787" s="119">
        <f ca="1">HLOOKUP($H$5,'Met Data'!$H$2:$M$368,G787,FALSE)*L787</f>
        <v>1.6142857142857101</v>
      </c>
      <c r="K787" s="98">
        <f ca="1">HLOOKUP($H$5,'Met Data'!$O$2:$T$368,G787,FALSE)</f>
        <v>3.30175747979975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295</v>
      </c>
      <c r="H788" s="97">
        <f t="shared" ca="1" si="129"/>
        <v>45951</v>
      </c>
      <c r="I788" s="121">
        <f ca="1">HLOOKUP($H$5,'Met Data'!$A$2:$F$368,G788,FALSE)</f>
        <v>13.2785714285714</v>
      </c>
      <c r="J788" s="119">
        <f ca="1">HLOOKUP($H$5,'Met Data'!$H$2:$M$368,G788,FALSE)*L788</f>
        <v>2.9214285714285699</v>
      </c>
      <c r="K788" s="98">
        <f ca="1">HLOOKUP($H$5,'Met Data'!$O$2:$T$368,G788,FALSE)</f>
        <v>2.9372247945615499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296</v>
      </c>
      <c r="H789" s="97">
        <f t="shared" ca="1" si="129"/>
        <v>45952</v>
      </c>
      <c r="I789" s="121">
        <f ca="1">HLOOKUP($H$5,'Met Data'!$A$2:$F$368,G789,FALSE)</f>
        <v>13.5625</v>
      </c>
      <c r="J789" s="119">
        <f ca="1">HLOOKUP($H$5,'Met Data'!$H$2:$M$368,G789,FALSE)*L789</f>
        <v>3.3499999999999899</v>
      </c>
      <c r="K789" s="98">
        <f ca="1">HLOOKUP($H$5,'Met Data'!$O$2:$T$368,G789,FALSE)</f>
        <v>2.9112128548041598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297</v>
      </c>
      <c r="H790" s="97">
        <f t="shared" ca="1" si="129"/>
        <v>45953</v>
      </c>
      <c r="I790" s="121">
        <f ca="1">HLOOKUP($H$5,'Met Data'!$A$2:$F$368,G790,FALSE)</f>
        <v>13.9310344827586</v>
      </c>
      <c r="J790" s="119">
        <f ca="1">HLOOKUP($H$5,'Met Data'!$H$2:$M$368,G790,FALSE)*L790</f>
        <v>4.6137931034482698</v>
      </c>
      <c r="K790" s="98">
        <f ca="1">HLOOKUP($H$5,'Met Data'!$O$2:$T$368,G790,FALSE)</f>
        <v>3.5318790230099002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298</v>
      </c>
      <c r="H791" s="97">
        <f t="shared" ca="1" si="129"/>
        <v>45954</v>
      </c>
      <c r="I791" s="121">
        <f ca="1">HLOOKUP($H$5,'Met Data'!$A$2:$F$368,G791,FALSE)</f>
        <v>13.336206896551699</v>
      </c>
      <c r="J791" s="119">
        <f ca="1">HLOOKUP($H$5,'Met Data'!$H$2:$M$368,G791,FALSE)*L791</f>
        <v>3.30689655172413</v>
      </c>
      <c r="K791" s="98">
        <f ca="1">HLOOKUP($H$5,'Met Data'!$O$2:$T$368,G791,FALSE)</f>
        <v>3.2578637469081699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299</v>
      </c>
      <c r="H792" s="97">
        <f t="shared" ca="1" si="129"/>
        <v>45955</v>
      </c>
      <c r="I792" s="121">
        <f ca="1">HLOOKUP($H$5,'Met Data'!$A$2:$F$368,G792,FALSE)</f>
        <v>13.789655172413701</v>
      </c>
      <c r="J792" s="119">
        <f ca="1">HLOOKUP($H$5,'Met Data'!$H$2:$M$368,G792,FALSE)*L792</f>
        <v>1.8172413793103399</v>
      </c>
      <c r="K792" s="98">
        <f ca="1">HLOOKUP($H$5,'Met Data'!$O$2:$T$368,G792,FALSE)</f>
        <v>3.4101531049699898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300</v>
      </c>
      <c r="H793" s="97">
        <f t="shared" ca="1" si="129"/>
        <v>45956</v>
      </c>
      <c r="I793" s="121">
        <f ca="1">HLOOKUP($H$5,'Met Data'!$A$2:$F$368,G793,FALSE)</f>
        <v>14.0810344827586</v>
      </c>
      <c r="J793" s="119">
        <f ca="1">HLOOKUP($H$5,'Met Data'!$H$2:$M$368,G793,FALSE)*L793</f>
        <v>0.78965517241379302</v>
      </c>
      <c r="K793" s="98">
        <f ca="1">HLOOKUP($H$5,'Met Data'!$O$2:$T$368,G793,FALSE)</f>
        <v>3.2764418127891499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301</v>
      </c>
      <c r="H794" s="97">
        <f t="shared" ca="1" si="129"/>
        <v>45957</v>
      </c>
      <c r="I794" s="121">
        <f ca="1">HLOOKUP($H$5,'Met Data'!$A$2:$F$368,G794,FALSE)</f>
        <v>14.8396551724137</v>
      </c>
      <c r="J794" s="119">
        <f ca="1">HLOOKUP($H$5,'Met Data'!$H$2:$M$368,G794,FALSE)*L794</f>
        <v>3.4241379310344802</v>
      </c>
      <c r="K794" s="98">
        <f ca="1">HLOOKUP($H$5,'Met Data'!$O$2:$T$368,G794,FALSE)</f>
        <v>3.3023555527193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302</v>
      </c>
      <c r="H795" s="97">
        <f t="shared" ca="1" si="129"/>
        <v>45958</v>
      </c>
      <c r="I795" s="121">
        <f ca="1">HLOOKUP($H$5,'Met Data'!$A$2:$F$368,G795,FALSE)</f>
        <v>14.274137931034399</v>
      </c>
      <c r="J795" s="119">
        <f ca="1">HLOOKUP($H$5,'Met Data'!$H$2:$M$368,G795,FALSE)*L795</f>
        <v>4.16206896551724</v>
      </c>
      <c r="K795" s="98">
        <f ca="1">HLOOKUP($H$5,'Met Data'!$O$2:$T$368,G795,FALSE)</f>
        <v>2.9394492851949701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303</v>
      </c>
      <c r="H796" s="97">
        <f t="shared" ca="1" si="129"/>
        <v>45959</v>
      </c>
      <c r="I796" s="121">
        <f ca="1">HLOOKUP($H$5,'Met Data'!$A$2:$F$368,G796,FALSE)</f>
        <v>14.29</v>
      </c>
      <c r="J796" s="119">
        <f ca="1">HLOOKUP($H$5,'Met Data'!$H$2:$M$368,G796,FALSE)*L796</f>
        <v>2.4933333333333301</v>
      </c>
      <c r="K796" s="98">
        <f ca="1">HLOOKUP($H$5,'Met Data'!$O$2:$T$368,G796,FALSE)</f>
        <v>3.1793308523033601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304</v>
      </c>
      <c r="H797" s="97">
        <f t="shared" ca="1" si="129"/>
        <v>45960</v>
      </c>
      <c r="I797" s="121">
        <f ca="1">HLOOKUP($H$5,'Met Data'!$A$2:$F$368,G797,FALSE)</f>
        <v>14.715</v>
      </c>
      <c r="J797" s="119">
        <f ca="1">HLOOKUP($H$5,'Met Data'!$H$2:$M$368,G797,FALSE)*L797</f>
        <v>1.99</v>
      </c>
      <c r="K797" s="98">
        <f ca="1">HLOOKUP($H$5,'Met Data'!$O$2:$T$368,G797,FALSE)</f>
        <v>3.2908149619424898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305</v>
      </c>
      <c r="H798" s="97">
        <f t="shared" ca="1" si="129"/>
        <v>45961</v>
      </c>
      <c r="I798" s="121">
        <f ca="1">HLOOKUP($H$5,'Met Data'!$A$2:$F$368,G798,FALSE)</f>
        <v>14.5266666666666</v>
      </c>
      <c r="J798" s="119">
        <f ca="1">HLOOKUP($H$5,'Met Data'!$H$2:$M$368,G798,FALSE)*L798</f>
        <v>1.75</v>
      </c>
      <c r="K798" s="98">
        <f ca="1">HLOOKUP($H$5,'Met Data'!$O$2:$T$368,G798,FALSE)</f>
        <v>3.7910621493299299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306</v>
      </c>
      <c r="H799" s="97">
        <f t="shared" ca="1" si="129"/>
        <v>45962</v>
      </c>
      <c r="I799" s="121">
        <f ca="1">HLOOKUP($H$5,'Met Data'!$A$2:$F$368,G799,FALSE)</f>
        <v>14.0416666666666</v>
      </c>
      <c r="J799" s="119">
        <f ca="1">HLOOKUP($H$5,'Met Data'!$H$2:$M$368,G799,FALSE)*L799</f>
        <v>2.11666666666666</v>
      </c>
      <c r="K799" s="98">
        <f ca="1">HLOOKUP($H$5,'Met Data'!$O$2:$T$368,G799,FALSE)</f>
        <v>3.7273958064413302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307</v>
      </c>
      <c r="H800" s="97">
        <f t="shared" ca="1" si="129"/>
        <v>45963</v>
      </c>
      <c r="I800" s="121">
        <f ca="1">HLOOKUP($H$5,'Met Data'!$A$2:$F$368,G800,FALSE)</f>
        <v>14.098333333333301</v>
      </c>
      <c r="J800" s="119">
        <f ca="1">HLOOKUP($H$5,'Met Data'!$H$2:$M$368,G800,FALSE)*L800</f>
        <v>0.94</v>
      </c>
      <c r="K800" s="98">
        <f ca="1">HLOOKUP($H$5,'Met Data'!$O$2:$T$368,G800,FALSE)</f>
        <v>3.7508089301659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308</v>
      </c>
      <c r="H801" s="97">
        <f t="shared" ca="1" si="129"/>
        <v>45964</v>
      </c>
      <c r="I801" s="121">
        <f ca="1">HLOOKUP($H$5,'Met Data'!$A$2:$F$368,G801,FALSE)</f>
        <v>13.9933333333333</v>
      </c>
      <c r="J801" s="119">
        <f ca="1">HLOOKUP($H$5,'Met Data'!$H$2:$M$368,G801,FALSE)*L801</f>
        <v>2.42</v>
      </c>
      <c r="K801" s="98">
        <f ca="1">HLOOKUP($H$5,'Met Data'!$O$2:$T$368,G801,FALSE)</f>
        <v>3.2496546498492198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309</v>
      </c>
      <c r="H802" s="97">
        <f t="shared" ca="1" si="129"/>
        <v>45965</v>
      </c>
      <c r="I802" s="121">
        <f ca="1">HLOOKUP($H$5,'Met Data'!$A$2:$F$368,G802,FALSE)</f>
        <v>14.2016666666666</v>
      </c>
      <c r="J802" s="119">
        <f ca="1">HLOOKUP($H$5,'Met Data'!$H$2:$M$368,G802,FALSE)*L802</f>
        <v>3.21999999999999</v>
      </c>
      <c r="K802" s="98">
        <f ca="1">HLOOKUP($H$5,'Met Data'!$O$2:$T$368,G802,FALSE)</f>
        <v>3.3917308243993398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310</v>
      </c>
      <c r="H803" s="97">
        <f t="shared" ca="1" si="129"/>
        <v>45966</v>
      </c>
      <c r="I803" s="121">
        <f ca="1">HLOOKUP($H$5,'Met Data'!$A$2:$F$368,G803,FALSE)</f>
        <v>14.5483333333333</v>
      </c>
      <c r="J803" s="119">
        <f ca="1">HLOOKUP($H$5,'Met Data'!$H$2:$M$368,G803,FALSE)*L803</f>
        <v>6.2166666666666597</v>
      </c>
      <c r="K803" s="98">
        <f ca="1">HLOOKUP($H$5,'Met Data'!$O$2:$T$368,G803,FALSE)</f>
        <v>3.4940085056696999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311</v>
      </c>
      <c r="H804" s="97">
        <f t="shared" ca="1" si="129"/>
        <v>45967</v>
      </c>
      <c r="I804" s="121">
        <f ca="1">HLOOKUP($H$5,'Met Data'!$A$2:$F$368,G804,FALSE)</f>
        <v>14.156666666666601</v>
      </c>
      <c r="J804" s="119">
        <f ca="1">HLOOKUP($H$5,'Met Data'!$H$2:$M$368,G804,FALSE)*L804</f>
        <v>4.1999999999999904</v>
      </c>
      <c r="K804" s="98">
        <f ca="1">HLOOKUP($H$5,'Met Data'!$O$2:$T$368,G804,FALSE)</f>
        <v>3.6290518837480299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312</v>
      </c>
      <c r="H805" s="97">
        <f t="shared" ca="1" si="129"/>
        <v>45968</v>
      </c>
      <c r="I805" s="121">
        <f ca="1">HLOOKUP($H$5,'Met Data'!$A$2:$F$368,G805,FALSE)</f>
        <v>14.466666666666599</v>
      </c>
      <c r="J805" s="119">
        <f ca="1">HLOOKUP($H$5,'Met Data'!$H$2:$M$368,G805,FALSE)*L805</f>
        <v>4.18333333333333</v>
      </c>
      <c r="K805" s="98">
        <f ca="1">HLOOKUP($H$5,'Met Data'!$O$2:$T$368,G805,FALSE)</f>
        <v>3.3196725038188899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313</v>
      </c>
      <c r="H806" s="97">
        <f t="shared" ca="1" si="129"/>
        <v>45969</v>
      </c>
      <c r="I806" s="121">
        <f ca="1">HLOOKUP($H$5,'Met Data'!$A$2:$F$368,G806,FALSE)</f>
        <v>14.7283333333333</v>
      </c>
      <c r="J806" s="119">
        <f ca="1">HLOOKUP($H$5,'Met Data'!$H$2:$M$368,G806,FALSE)*L806</f>
        <v>3.4833333333333298</v>
      </c>
      <c r="K806" s="98">
        <f ca="1">HLOOKUP($H$5,'Met Data'!$O$2:$T$368,G806,FALSE)</f>
        <v>3.5694722560107999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314</v>
      </c>
      <c r="H807" s="97">
        <f t="shared" ca="1" si="129"/>
        <v>45970</v>
      </c>
      <c r="I807" s="121">
        <f ca="1">HLOOKUP($H$5,'Met Data'!$A$2:$F$368,G807,FALSE)</f>
        <v>14.37</v>
      </c>
      <c r="J807" s="119">
        <f ca="1">HLOOKUP($H$5,'Met Data'!$H$2:$M$368,G807,FALSE)*L807</f>
        <v>3.5433333333333299</v>
      </c>
      <c r="K807" s="98">
        <f ca="1">HLOOKUP($H$5,'Met Data'!$O$2:$T$368,G807,FALSE)</f>
        <v>3.5998767062500399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315</v>
      </c>
      <c r="H808" s="97">
        <f t="shared" ca="1" si="129"/>
        <v>45971</v>
      </c>
      <c r="I808" s="121">
        <f ca="1">HLOOKUP($H$5,'Met Data'!$A$2:$F$368,G808,FALSE)</f>
        <v>14.7216666666666</v>
      </c>
      <c r="J808" s="119">
        <f ca="1">HLOOKUP($H$5,'Met Data'!$H$2:$M$368,G808,FALSE)*L808</f>
        <v>2.9033333333333302</v>
      </c>
      <c r="K808" s="98">
        <f ca="1">HLOOKUP($H$5,'Met Data'!$O$2:$T$368,G808,FALSE)</f>
        <v>3.8854632375309301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316</v>
      </c>
      <c r="H809" s="97">
        <f t="shared" ca="1" si="129"/>
        <v>45972</v>
      </c>
      <c r="I809" s="121">
        <f ca="1">HLOOKUP($H$5,'Met Data'!$A$2:$F$368,G809,FALSE)</f>
        <v>14.816666666666601</v>
      </c>
      <c r="J809" s="119">
        <f ca="1">HLOOKUP($H$5,'Met Data'!$H$2:$M$368,G809,FALSE)*L809</f>
        <v>1.5433333333333299</v>
      </c>
      <c r="K809" s="98">
        <f ca="1">HLOOKUP($H$5,'Met Data'!$O$2:$T$368,G809,FALSE)</f>
        <v>3.4766729681443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317</v>
      </c>
      <c r="H810" s="97">
        <f t="shared" ca="1" si="129"/>
        <v>45973</v>
      </c>
      <c r="I810" s="121">
        <f ca="1">HLOOKUP($H$5,'Met Data'!$A$2:$F$368,G810,FALSE)</f>
        <v>14.7883333333333</v>
      </c>
      <c r="J810" s="119">
        <f ca="1">HLOOKUP($H$5,'Met Data'!$H$2:$M$368,G810,FALSE)*L810</f>
        <v>3.6066666666666598</v>
      </c>
      <c r="K810" s="98">
        <f ca="1">HLOOKUP($H$5,'Met Data'!$O$2:$T$368,G810,FALSE)</f>
        <v>3.49823939059966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318</v>
      </c>
      <c r="H811" s="97">
        <f t="shared" ca="1" si="129"/>
        <v>45974</v>
      </c>
      <c r="I811" s="121">
        <f ca="1">HLOOKUP($H$5,'Met Data'!$A$2:$F$368,G811,FALSE)</f>
        <v>14.5583333333333</v>
      </c>
      <c r="J811" s="119">
        <f ca="1">HLOOKUP($H$5,'Met Data'!$H$2:$M$368,G811,FALSE)*L811</f>
        <v>3.0633333333333299</v>
      </c>
      <c r="K811" s="98">
        <f ca="1">HLOOKUP($H$5,'Met Data'!$O$2:$T$368,G811,FALSE)</f>
        <v>3.8424324154218401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319</v>
      </c>
      <c r="H812" s="97">
        <f t="shared" ca="1" si="129"/>
        <v>45975</v>
      </c>
      <c r="I812" s="121">
        <f ca="1">HLOOKUP($H$5,'Met Data'!$A$2:$F$368,G812,FALSE)</f>
        <v>14.5066666666666</v>
      </c>
      <c r="J812" s="119">
        <f ca="1">HLOOKUP($H$5,'Met Data'!$H$2:$M$368,G812,FALSE)*L812</f>
        <v>3.2933333333333299</v>
      </c>
      <c r="K812" s="98">
        <f ca="1">HLOOKUP($H$5,'Met Data'!$O$2:$T$368,G812,FALSE)</f>
        <v>3.93837814578281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320</v>
      </c>
      <c r="H813" s="97">
        <f t="shared" ca="1" si="129"/>
        <v>45976</v>
      </c>
      <c r="I813" s="121">
        <f ca="1">HLOOKUP($H$5,'Met Data'!$A$2:$F$368,G813,FALSE)</f>
        <v>14.8633333333333</v>
      </c>
      <c r="J813" s="119">
        <f ca="1">HLOOKUP($H$5,'Met Data'!$H$2:$M$368,G813,FALSE)*L813</f>
        <v>2.0666666666666602</v>
      </c>
      <c r="K813" s="98">
        <f ca="1">HLOOKUP($H$5,'Met Data'!$O$2:$T$368,G813,FALSE)</f>
        <v>3.82063419166102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321</v>
      </c>
      <c r="H814" s="97">
        <f t="shared" ca="1" si="129"/>
        <v>45977</v>
      </c>
      <c r="I814" s="121">
        <f ca="1">HLOOKUP($H$5,'Met Data'!$A$2:$F$368,G814,FALSE)</f>
        <v>15.191666666666601</v>
      </c>
      <c r="J814" s="119">
        <f ca="1">HLOOKUP($H$5,'Met Data'!$H$2:$M$368,G814,FALSE)*L814</f>
        <v>4.1233333333333304</v>
      </c>
      <c r="K814" s="98">
        <f ca="1">HLOOKUP($H$5,'Met Data'!$O$2:$T$368,G814,FALSE)</f>
        <v>3.4660928584042798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322</v>
      </c>
      <c r="H815" s="97">
        <f t="shared" ca="1" si="129"/>
        <v>45978</v>
      </c>
      <c r="I815" s="121">
        <f ca="1">HLOOKUP($H$5,'Met Data'!$A$2:$F$368,G815,FALSE)</f>
        <v>14.805</v>
      </c>
      <c r="J815" s="119">
        <f ca="1">HLOOKUP($H$5,'Met Data'!$H$2:$M$368,G815,FALSE)*L815</f>
        <v>2.0999999999999899</v>
      </c>
      <c r="K815" s="98">
        <f ca="1">HLOOKUP($H$5,'Met Data'!$O$2:$T$368,G815,FALSE)</f>
        <v>3.7178898330930501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ca="1" si="120"/>
        <v>323</v>
      </c>
      <c r="H816" s="97">
        <f t="shared" ca="1" si="129"/>
        <v>45979</v>
      </c>
      <c r="I816" s="121">
        <f ca="1">HLOOKUP($H$5,'Met Data'!$A$2:$F$368,G816,FALSE)</f>
        <v>14.4366666666666</v>
      </c>
      <c r="J816" s="119">
        <f ca="1">HLOOKUP($H$5,'Met Data'!$H$2:$M$368,G816,FALSE)*L816</f>
        <v>2.25</v>
      </c>
      <c r="K816" s="98">
        <f ca="1">HLOOKUP($H$5,'Met Data'!$O$2:$T$368,G816,FALSE)</f>
        <v>3.8903759726723899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ca="1" si="130">H817-DATE(YEAR(H817),1,0)+1</f>
        <v>324</v>
      </c>
      <c r="H817" s="97">
        <f t="shared" ca="1" si="129"/>
        <v>45980</v>
      </c>
      <c r="I817" s="121">
        <f ca="1">HLOOKUP($H$5,'Met Data'!$A$2:$F$368,G817,FALSE)</f>
        <v>14.4133333333333</v>
      </c>
      <c r="J817" s="119">
        <f ca="1">HLOOKUP($H$5,'Met Data'!$H$2:$M$368,G817,FALSE)*L817</f>
        <v>1.6566666666666601</v>
      </c>
      <c r="K817" s="98">
        <f ca="1">HLOOKUP($H$5,'Met Data'!$O$2:$T$368,G817,FALSE)</f>
        <v>3.9105195639997401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ca="1" si="130"/>
        <v>325</v>
      </c>
      <c r="H818" s="97">
        <f t="shared" ca="1" si="129"/>
        <v>45981</v>
      </c>
      <c r="I818" s="121">
        <f ca="1">HLOOKUP($H$5,'Met Data'!$A$2:$F$368,G818,FALSE)</f>
        <v>14.8266666666666</v>
      </c>
      <c r="J818" s="119">
        <f ca="1">HLOOKUP($H$5,'Met Data'!$H$2:$M$368,G818,FALSE)*L818</f>
        <v>2.4166666666666599</v>
      </c>
      <c r="K818" s="98">
        <f ca="1">HLOOKUP($H$5,'Met Data'!$O$2:$T$368,G818,FALSE)</f>
        <v>3.75734672122165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326</v>
      </c>
      <c r="H819" s="97">
        <f t="shared" ca="1" si="129"/>
        <v>45982</v>
      </c>
      <c r="I819" s="121">
        <f ca="1">HLOOKUP($H$5,'Met Data'!$A$2:$F$368,G819,FALSE)</f>
        <v>14.899999999999901</v>
      </c>
      <c r="J819" s="119">
        <f ca="1">HLOOKUP($H$5,'Met Data'!$H$2:$M$368,G819,FALSE)*L819</f>
        <v>2.8366666666666598</v>
      </c>
      <c r="K819" s="98">
        <f ca="1">HLOOKUP($H$5,'Met Data'!$O$2:$T$368,G819,FALSE)</f>
        <v>3.5492721007612098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327</v>
      </c>
      <c r="H820" s="97">
        <f t="shared" ca="1" si="129"/>
        <v>45983</v>
      </c>
      <c r="I820" s="121">
        <f ca="1">HLOOKUP($H$5,'Met Data'!$A$2:$F$368,G820,FALSE)</f>
        <v>15.125</v>
      </c>
      <c r="J820" s="119">
        <f ca="1">HLOOKUP($H$5,'Met Data'!$H$2:$M$368,G820,FALSE)*L820</f>
        <v>4.0966666666666596</v>
      </c>
      <c r="K820" s="98">
        <f ca="1">HLOOKUP($H$5,'Met Data'!$O$2:$T$368,G820,FALSE)</f>
        <v>3.6984174874033999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328</v>
      </c>
      <c r="H821" s="97">
        <f t="shared" ca="1" si="129"/>
        <v>45984</v>
      </c>
      <c r="I821" s="121">
        <f ca="1">HLOOKUP($H$5,'Met Data'!$A$2:$F$368,G821,FALSE)</f>
        <v>15.358333333333301</v>
      </c>
      <c r="J821" s="119">
        <f ca="1">HLOOKUP($H$5,'Met Data'!$H$2:$M$368,G821,FALSE)*L821</f>
        <v>3.04</v>
      </c>
      <c r="K821" s="98">
        <f ca="1">HLOOKUP($H$5,'Met Data'!$O$2:$T$368,G821,FALSE)</f>
        <v>3.9426742076693699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329</v>
      </c>
      <c r="H822" s="97">
        <f t="shared" ca="1" si="129"/>
        <v>45985</v>
      </c>
      <c r="I822" s="121">
        <f ca="1">HLOOKUP($H$5,'Met Data'!$A$2:$F$368,G822,FALSE)</f>
        <v>15.2051724137931</v>
      </c>
      <c r="J822" s="119">
        <f ca="1">HLOOKUP($H$5,'Met Data'!$H$2:$M$368,G822,FALSE)*L822</f>
        <v>2.4655172413793101</v>
      </c>
      <c r="K822" s="98">
        <f ca="1">HLOOKUP($H$5,'Met Data'!$O$2:$T$368,G822,FALSE)</f>
        <v>3.7475647250722499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330</v>
      </c>
      <c r="H823" s="97">
        <f t="shared" ca="1" si="129"/>
        <v>45986</v>
      </c>
      <c r="I823" s="121">
        <f ca="1">HLOOKUP($H$5,'Met Data'!$A$2:$F$368,G823,FALSE)</f>
        <v>15.834482758620601</v>
      </c>
      <c r="J823" s="119">
        <f ca="1">HLOOKUP($H$5,'Met Data'!$H$2:$M$368,G823,FALSE)*L823</f>
        <v>2.7965517241379301</v>
      </c>
      <c r="K823" s="98">
        <f ca="1">HLOOKUP($H$5,'Met Data'!$O$2:$T$368,G823,FALSE)</f>
        <v>4.1132182691665697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331</v>
      </c>
      <c r="H824" s="97">
        <f t="shared" ca="1" si="129"/>
        <v>45987</v>
      </c>
      <c r="I824" s="121">
        <f ca="1">HLOOKUP($H$5,'Met Data'!$A$2:$F$368,G824,FALSE)</f>
        <v>15.876666666666599</v>
      </c>
      <c r="J824" s="119">
        <f ca="1">HLOOKUP($H$5,'Met Data'!$H$2:$M$368,G824,FALSE)*L824</f>
        <v>2.2666666666666599</v>
      </c>
      <c r="K824" s="98">
        <f ca="1">HLOOKUP($H$5,'Met Data'!$O$2:$T$368,G824,FALSE)</f>
        <v>4.0838977840275996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332</v>
      </c>
      <c r="H825" s="97">
        <f t="shared" ca="1" si="129"/>
        <v>45988</v>
      </c>
      <c r="I825" s="121">
        <f ca="1">HLOOKUP($H$5,'Met Data'!$A$2:$F$368,G825,FALSE)</f>
        <v>15.52</v>
      </c>
      <c r="J825" s="119">
        <f ca="1">HLOOKUP($H$5,'Met Data'!$H$2:$M$368,G825,FALSE)*L825</f>
        <v>3.6933333333333298</v>
      </c>
      <c r="K825" s="98">
        <f ca="1">HLOOKUP($H$5,'Met Data'!$O$2:$T$368,G825,FALSE)</f>
        <v>4.2967341086411999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333</v>
      </c>
      <c r="H826" s="97">
        <f t="shared" ca="1" si="129"/>
        <v>45989</v>
      </c>
      <c r="I826" s="121">
        <f ca="1">HLOOKUP($H$5,'Met Data'!$A$2:$F$368,G826,FALSE)</f>
        <v>15.438333333333301</v>
      </c>
      <c r="J826" s="119">
        <f ca="1">HLOOKUP($H$5,'Met Data'!$H$2:$M$368,G826,FALSE)*L826</f>
        <v>4.5933333333333302</v>
      </c>
      <c r="K826" s="98">
        <f ca="1">HLOOKUP($H$5,'Met Data'!$O$2:$T$368,G826,FALSE)</f>
        <v>3.7863185649490698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334</v>
      </c>
      <c r="H827" s="97">
        <f t="shared" ca="1" si="129"/>
        <v>45990</v>
      </c>
      <c r="I827" s="121">
        <f ca="1">HLOOKUP($H$5,'Met Data'!$A$2:$F$368,G827,FALSE)</f>
        <v>15.551724137931</v>
      </c>
      <c r="J827" s="119">
        <f ca="1">HLOOKUP($H$5,'Met Data'!$H$2:$M$368,G827,FALSE)*L827</f>
        <v>2.63448275862069</v>
      </c>
      <c r="K827" s="98">
        <f ca="1">HLOOKUP($H$5,'Met Data'!$O$2:$T$368,G827,FALSE)</f>
        <v>3.91369181219603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335</v>
      </c>
      <c r="H828" s="97">
        <f t="shared" ca="1" si="129"/>
        <v>45991</v>
      </c>
      <c r="I828" s="121">
        <f ca="1">HLOOKUP($H$5,'Met Data'!$A$2:$F$368,G828,FALSE)</f>
        <v>15.832758620689599</v>
      </c>
      <c r="J828" s="119">
        <f ca="1">HLOOKUP($H$5,'Met Data'!$H$2:$M$368,G828,FALSE)*L828</f>
        <v>2.4931034482758601</v>
      </c>
      <c r="K828" s="98">
        <f ca="1">HLOOKUP($H$5,'Met Data'!$O$2:$T$368,G828,FALSE)</f>
        <v>3.5204814386258598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336</v>
      </c>
      <c r="H829" s="97">
        <f t="shared" ca="1" si="129"/>
        <v>45992</v>
      </c>
      <c r="I829" s="121">
        <f ca="1">HLOOKUP($H$5,'Met Data'!$A$2:$F$368,G829,FALSE)</f>
        <v>16.082758620689599</v>
      </c>
      <c r="J829" s="119">
        <f ca="1">HLOOKUP($H$5,'Met Data'!$H$2:$M$368,G829,FALSE)*L829</f>
        <v>1.7689655172413701</v>
      </c>
      <c r="K829" s="98">
        <f ca="1">HLOOKUP($H$5,'Met Data'!$O$2:$T$368,G829,FALSE)</f>
        <v>4.0516623269738101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337</v>
      </c>
      <c r="H830" s="97">
        <f t="shared" ca="1" si="129"/>
        <v>45993</v>
      </c>
      <c r="I830" s="121">
        <f ca="1">HLOOKUP($H$5,'Met Data'!$A$2:$F$368,G830,FALSE)</f>
        <v>16.4931034482758</v>
      </c>
      <c r="J830" s="119">
        <f ca="1">HLOOKUP($H$5,'Met Data'!$H$2:$M$368,G830,FALSE)*L830</f>
        <v>5.1137931034482698</v>
      </c>
      <c r="K830" s="98">
        <f ca="1">HLOOKUP($H$5,'Met Data'!$O$2:$T$368,G830,FALSE)</f>
        <v>3.5036176940509298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338</v>
      </c>
      <c r="H831" s="97">
        <f t="shared" ca="1" si="129"/>
        <v>45994</v>
      </c>
      <c r="I831" s="121">
        <f ca="1">HLOOKUP($H$5,'Met Data'!$A$2:$F$368,G831,FALSE)</f>
        <v>16.78</v>
      </c>
      <c r="J831" s="119">
        <f ca="1">HLOOKUP($H$5,'Met Data'!$H$2:$M$368,G831,FALSE)*L831</f>
        <v>1.71</v>
      </c>
      <c r="K831" s="98">
        <f ca="1">HLOOKUP($H$5,'Met Data'!$O$2:$T$368,G831,FALSE)</f>
        <v>3.8786861346319301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339</v>
      </c>
      <c r="H832" s="97">
        <f t="shared" ca="1" si="129"/>
        <v>45995</v>
      </c>
      <c r="I832" s="121">
        <f ca="1">HLOOKUP($H$5,'Met Data'!$A$2:$F$368,G832,FALSE)</f>
        <v>16.8266666666666</v>
      </c>
      <c r="J832" s="119">
        <f ca="1">HLOOKUP($H$5,'Met Data'!$H$2:$M$368,G832,FALSE)*L832</f>
        <v>6.0433333333333303</v>
      </c>
      <c r="K832" s="98">
        <f ca="1">HLOOKUP($H$5,'Met Data'!$O$2:$T$368,G832,FALSE)</f>
        <v>3.6269671816345701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340</v>
      </c>
      <c r="H833" s="97">
        <f t="shared" ca="1" si="129"/>
        <v>45996</v>
      </c>
      <c r="I833" s="121">
        <f ca="1">HLOOKUP($H$5,'Met Data'!$A$2:$F$368,G833,FALSE)</f>
        <v>16.6516666666666</v>
      </c>
      <c r="J833" s="119">
        <f ca="1">HLOOKUP($H$5,'Met Data'!$H$2:$M$368,G833,FALSE)*L833</f>
        <v>4.9033333333333298</v>
      </c>
      <c r="K833" s="98">
        <f ca="1">HLOOKUP($H$5,'Met Data'!$O$2:$T$368,G833,FALSE)</f>
        <v>3.8159631078200702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341</v>
      </c>
      <c r="H834" s="97">
        <f t="shared" ca="1" si="129"/>
        <v>45997</v>
      </c>
      <c r="I834" s="121">
        <f ca="1">HLOOKUP($H$5,'Met Data'!$A$2:$F$368,G834,FALSE)</f>
        <v>16.68</v>
      </c>
      <c r="J834" s="119">
        <f ca="1">HLOOKUP($H$5,'Met Data'!$H$2:$M$368,G834,FALSE)*L834</f>
        <v>3.7299999999999902</v>
      </c>
      <c r="K834" s="98">
        <f ca="1">HLOOKUP($H$5,'Met Data'!$O$2:$T$368,G834,FALSE)</f>
        <v>3.9805130657979602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342</v>
      </c>
      <c r="H835" s="97">
        <f t="shared" ca="1" si="129"/>
        <v>45998</v>
      </c>
      <c r="I835" s="121">
        <f ca="1">HLOOKUP($H$5,'Met Data'!$A$2:$F$368,G835,FALSE)</f>
        <v>16.158333333333299</v>
      </c>
      <c r="J835" s="119">
        <f ca="1">HLOOKUP($H$5,'Met Data'!$H$2:$M$368,G835,FALSE)*L835</f>
        <v>3.96999999999999</v>
      </c>
      <c r="K835" s="98">
        <f ca="1">HLOOKUP($H$5,'Met Data'!$O$2:$T$368,G835,FALSE)</f>
        <v>3.9985245379954399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343</v>
      </c>
      <c r="H836" s="97">
        <f t="shared" ca="1" si="129"/>
        <v>45999</v>
      </c>
      <c r="I836" s="121">
        <f ca="1">HLOOKUP($H$5,'Met Data'!$A$2:$F$368,G836,FALSE)</f>
        <v>16.105</v>
      </c>
      <c r="J836" s="119">
        <f ca="1">HLOOKUP($H$5,'Met Data'!$H$2:$M$368,G836,FALSE)*L836</f>
        <v>2.43333333333333</v>
      </c>
      <c r="K836" s="98">
        <f ca="1">HLOOKUP($H$5,'Met Data'!$O$2:$T$368,G836,FALSE)</f>
        <v>4.0668482894046898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344</v>
      </c>
      <c r="H837" s="97">
        <f t="shared" ca="1" si="129"/>
        <v>46000</v>
      </c>
      <c r="I837" s="121">
        <f ca="1">HLOOKUP($H$5,'Met Data'!$A$2:$F$368,G837,FALSE)</f>
        <v>16.565000000000001</v>
      </c>
      <c r="J837" s="119">
        <f ca="1">HLOOKUP($H$5,'Met Data'!$H$2:$M$368,G837,FALSE)*L837</f>
        <v>1.57666666666666</v>
      </c>
      <c r="K837" s="98">
        <f ca="1">HLOOKUP($H$5,'Met Data'!$O$2:$T$368,G837,FALSE)</f>
        <v>4.3303303245888296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345</v>
      </c>
      <c r="H838" s="97">
        <f t="shared" ca="1" si="129"/>
        <v>46001</v>
      </c>
      <c r="I838" s="121">
        <f ca="1">HLOOKUP($H$5,'Met Data'!$A$2:$F$368,G838,FALSE)</f>
        <v>16.483333333333299</v>
      </c>
      <c r="J838" s="119">
        <f ca="1">HLOOKUP($H$5,'Met Data'!$H$2:$M$368,G838,FALSE)*L838</f>
        <v>2.9733333333333301</v>
      </c>
      <c r="K838" s="98">
        <f ca="1">HLOOKUP($H$5,'Met Data'!$O$2:$T$368,G838,FALSE)</f>
        <v>4.0534379567104599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346</v>
      </c>
      <c r="H839" s="97">
        <f t="shared" ca="1" si="129"/>
        <v>46002</v>
      </c>
      <c r="I839" s="121">
        <f ca="1">HLOOKUP($H$5,'Met Data'!$A$2:$F$368,G839,FALSE)</f>
        <v>17.015000000000001</v>
      </c>
      <c r="J839" s="119">
        <f ca="1">HLOOKUP($H$5,'Met Data'!$H$2:$M$368,G839,FALSE)*L839</f>
        <v>1.12666666666666</v>
      </c>
      <c r="K839" s="98">
        <f ca="1">HLOOKUP($H$5,'Met Data'!$O$2:$T$368,G839,FALSE)</f>
        <v>4.1505313677650202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347</v>
      </c>
      <c r="H840" s="97">
        <f t="shared" ca="1" si="129"/>
        <v>46003</v>
      </c>
      <c r="I840" s="121">
        <f ca="1">HLOOKUP($H$5,'Met Data'!$A$2:$F$368,G840,FALSE)</f>
        <v>17.483333333333299</v>
      </c>
      <c r="J840" s="119">
        <f ca="1">HLOOKUP($H$5,'Met Data'!$H$2:$M$368,G840,FALSE)*L840</f>
        <v>1.9166666666666601</v>
      </c>
      <c r="K840" s="98">
        <f ca="1">HLOOKUP($H$5,'Met Data'!$O$2:$T$368,G840,FALSE)</f>
        <v>3.8850422651579102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348</v>
      </c>
      <c r="H841" s="97">
        <f t="shared" ref="H841:H904" ca="1" si="139">H840+1</f>
        <v>46004</v>
      </c>
      <c r="I841" s="121">
        <f ca="1">HLOOKUP($H$5,'Met Data'!$A$2:$F$368,G841,FALSE)</f>
        <v>17.251666666666601</v>
      </c>
      <c r="J841" s="119">
        <f ca="1">HLOOKUP($H$5,'Met Data'!$H$2:$M$368,G841,FALSE)*L841</f>
        <v>1.93333333333333</v>
      </c>
      <c r="K841" s="98">
        <f ca="1">HLOOKUP($H$5,'Met Data'!$O$2:$T$368,G841,FALSE)</f>
        <v>4.3816384015384404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349</v>
      </c>
      <c r="H842" s="97">
        <f t="shared" ca="1" si="139"/>
        <v>46005</v>
      </c>
      <c r="I842" s="121">
        <f ca="1">HLOOKUP($H$5,'Met Data'!$A$2:$F$368,G842,FALSE)</f>
        <v>17.1733333333333</v>
      </c>
      <c r="J842" s="119">
        <f ca="1">HLOOKUP($H$5,'Met Data'!$H$2:$M$368,G842,FALSE)*L842</f>
        <v>4.1233333333333304</v>
      </c>
      <c r="K842" s="98">
        <f ca="1">HLOOKUP($H$5,'Met Data'!$O$2:$T$368,G842,FALSE)</f>
        <v>4.03321434314394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350</v>
      </c>
      <c r="H843" s="97">
        <f t="shared" ca="1" si="139"/>
        <v>46006</v>
      </c>
      <c r="I843" s="121">
        <f ca="1">HLOOKUP($H$5,'Met Data'!$A$2:$F$368,G843,FALSE)</f>
        <v>17.0068965517241</v>
      </c>
      <c r="J843" s="119">
        <f ca="1">HLOOKUP($H$5,'Met Data'!$H$2:$M$368,G843,FALSE)*L843</f>
        <v>2.5793103448275798</v>
      </c>
      <c r="K843" s="98">
        <f ca="1">HLOOKUP($H$5,'Met Data'!$O$2:$T$368,G843,FALSE)</f>
        <v>4.1838965938969297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351</v>
      </c>
      <c r="H844" s="97">
        <f t="shared" ca="1" si="139"/>
        <v>46007</v>
      </c>
      <c r="I844" s="121">
        <f ca="1">HLOOKUP($H$5,'Met Data'!$A$2:$F$368,G844,FALSE)</f>
        <v>17.105172413793099</v>
      </c>
      <c r="J844" s="119">
        <f ca="1">HLOOKUP($H$5,'Met Data'!$H$2:$M$368,G844,FALSE)*L844</f>
        <v>5.3551724137930998</v>
      </c>
      <c r="K844" s="98">
        <f ca="1">HLOOKUP($H$5,'Met Data'!$O$2:$T$368,G844,FALSE)</f>
        <v>3.9954599380242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352</v>
      </c>
      <c r="H845" s="97">
        <f t="shared" ca="1" si="139"/>
        <v>46008</v>
      </c>
      <c r="I845" s="121">
        <f ca="1">HLOOKUP($H$5,'Met Data'!$A$2:$F$368,G845,FALSE)</f>
        <v>17.153448275862001</v>
      </c>
      <c r="J845" s="119">
        <f ca="1">HLOOKUP($H$5,'Met Data'!$H$2:$M$368,G845,FALSE)*L845</f>
        <v>4.6827586206896497</v>
      </c>
      <c r="K845" s="98">
        <f ca="1">HLOOKUP($H$5,'Met Data'!$O$2:$T$368,G845,FALSE)</f>
        <v>4.0087446707632299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353</v>
      </c>
      <c r="H846" s="97">
        <f t="shared" ca="1" si="139"/>
        <v>46009</v>
      </c>
      <c r="I846" s="121">
        <f ca="1">HLOOKUP($H$5,'Met Data'!$A$2:$F$368,G846,FALSE)</f>
        <v>16.853448275862</v>
      </c>
      <c r="J846" s="119">
        <f ca="1">HLOOKUP($H$5,'Met Data'!$H$2:$M$368,G846,FALSE)*L846</f>
        <v>4.4103448275861998</v>
      </c>
      <c r="K846" s="98">
        <f ca="1">HLOOKUP($H$5,'Met Data'!$O$2:$T$368,G846,FALSE)</f>
        <v>3.8624789224218001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354</v>
      </c>
      <c r="H847" s="97">
        <f t="shared" ca="1" si="139"/>
        <v>46010</v>
      </c>
      <c r="I847" s="121">
        <f ca="1">HLOOKUP($H$5,'Met Data'!$A$2:$F$368,G847,FALSE)</f>
        <v>17.030357142857099</v>
      </c>
      <c r="J847" s="119">
        <f ca="1">HLOOKUP($H$5,'Met Data'!$H$2:$M$368,G847,FALSE)*L847</f>
        <v>4.3285714285714203</v>
      </c>
      <c r="K847" s="98">
        <f ca="1">HLOOKUP($H$5,'Met Data'!$O$2:$T$368,G847,FALSE)</f>
        <v>4.1713118658622399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355</v>
      </c>
      <c r="H848" s="97">
        <f t="shared" ca="1" si="139"/>
        <v>46011</v>
      </c>
      <c r="I848" s="121">
        <f ca="1">HLOOKUP($H$5,'Met Data'!$A$2:$F$368,G848,FALSE)</f>
        <v>17.3086206896551</v>
      </c>
      <c r="J848" s="119">
        <f ca="1">HLOOKUP($H$5,'Met Data'!$H$2:$M$368,G848,FALSE)*L848</f>
        <v>1.38620689655172</v>
      </c>
      <c r="K848" s="98">
        <f ca="1">HLOOKUP($H$5,'Met Data'!$O$2:$T$368,G848,FALSE)</f>
        <v>4.2492728260034598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356</v>
      </c>
      <c r="H849" s="97">
        <f t="shared" ca="1" si="139"/>
        <v>46012</v>
      </c>
      <c r="I849" s="121">
        <f ca="1">HLOOKUP($H$5,'Met Data'!$A$2:$F$368,G849,FALSE)</f>
        <v>17.3086206896551</v>
      </c>
      <c r="J849" s="119">
        <f ca="1">HLOOKUP($H$5,'Met Data'!$H$2:$M$368,G849,FALSE)*L849</f>
        <v>3.66206896551724</v>
      </c>
      <c r="K849" s="98">
        <f ca="1">HLOOKUP($H$5,'Met Data'!$O$2:$T$368,G849,FALSE)</f>
        <v>3.9108587200843599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357</v>
      </c>
      <c r="H850" s="97">
        <f t="shared" ca="1" si="139"/>
        <v>46013</v>
      </c>
      <c r="I850" s="121">
        <f ca="1">HLOOKUP($H$5,'Met Data'!$A$2:$F$368,G850,FALSE)</f>
        <v>17.474137931034399</v>
      </c>
      <c r="J850" s="119">
        <f ca="1">HLOOKUP($H$5,'Met Data'!$H$2:$M$368,G850,FALSE)*L850</f>
        <v>1.82758620689655</v>
      </c>
      <c r="K850" s="98">
        <f ca="1">HLOOKUP($H$5,'Met Data'!$O$2:$T$368,G850,FALSE)</f>
        <v>4.3560784704810001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358</v>
      </c>
      <c r="H851" s="97">
        <f t="shared" ca="1" si="139"/>
        <v>46014</v>
      </c>
      <c r="I851" s="121">
        <f ca="1">HLOOKUP($H$5,'Met Data'!$A$2:$F$368,G851,FALSE)</f>
        <v>17.091379310344799</v>
      </c>
      <c r="J851" s="119">
        <f ca="1">HLOOKUP($H$5,'Met Data'!$H$2:$M$368,G851,FALSE)*L851</f>
        <v>2.22413793103448</v>
      </c>
      <c r="K851" s="98">
        <f ca="1">HLOOKUP($H$5,'Met Data'!$O$2:$T$368,G851,FALSE)</f>
        <v>4.1386344294122503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359</v>
      </c>
      <c r="H852" s="97">
        <f t="shared" ca="1" si="139"/>
        <v>46015</v>
      </c>
      <c r="I852" s="121">
        <f ca="1">HLOOKUP($H$5,'Met Data'!$A$2:$F$368,G852,FALSE)</f>
        <v>17.2275862068965</v>
      </c>
      <c r="J852" s="119">
        <f ca="1">HLOOKUP($H$5,'Met Data'!$H$2:$M$368,G852,FALSE)*L852</f>
        <v>3.0655172413793101</v>
      </c>
      <c r="K852" s="98">
        <f ca="1">HLOOKUP($H$5,'Met Data'!$O$2:$T$368,G852,FALSE)</f>
        <v>3.7757934515094398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360</v>
      </c>
      <c r="H853" s="97">
        <f t="shared" ca="1" si="139"/>
        <v>46016</v>
      </c>
      <c r="I853" s="121">
        <f ca="1">HLOOKUP($H$5,'Met Data'!$A$2:$F$368,G853,FALSE)</f>
        <v>17.475862068965501</v>
      </c>
      <c r="J853" s="119">
        <f ca="1">HLOOKUP($H$5,'Met Data'!$H$2:$M$368,G853,FALSE)*L853</f>
        <v>4.4724137931034402</v>
      </c>
      <c r="K853" s="98">
        <f ca="1">HLOOKUP($H$5,'Met Data'!$O$2:$T$368,G853,FALSE)</f>
        <v>3.82075028631309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361</v>
      </c>
      <c r="H854" s="97">
        <f t="shared" ca="1" si="139"/>
        <v>46017</v>
      </c>
      <c r="I854" s="121">
        <f ca="1">HLOOKUP($H$5,'Met Data'!$A$2:$F$368,G854,FALSE)</f>
        <v>17.193103448275799</v>
      </c>
      <c r="J854" s="119">
        <f ca="1">HLOOKUP($H$5,'Met Data'!$H$2:$M$368,G854,FALSE)*L854</f>
        <v>1.2034482758620599</v>
      </c>
      <c r="K854" s="98">
        <f ca="1">HLOOKUP($H$5,'Met Data'!$O$2:$T$368,G854,FALSE)</f>
        <v>4.4822943456663404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362</v>
      </c>
      <c r="H855" s="97">
        <f t="shared" ca="1" si="139"/>
        <v>46018</v>
      </c>
      <c r="I855" s="121">
        <f ca="1">HLOOKUP($H$5,'Met Data'!$A$2:$F$368,G855,FALSE)</f>
        <v>17.263793103448201</v>
      </c>
      <c r="J855" s="119">
        <f ca="1">HLOOKUP($H$5,'Met Data'!$H$2:$M$368,G855,FALSE)*L855</f>
        <v>1.9379310344827501</v>
      </c>
      <c r="K855" s="98">
        <f ca="1">HLOOKUP($H$5,'Met Data'!$O$2:$T$368,G855,FALSE)</f>
        <v>4.2854150969519402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363</v>
      </c>
      <c r="H856" s="97">
        <f t="shared" ca="1" si="139"/>
        <v>46019</v>
      </c>
      <c r="I856" s="121">
        <f ca="1">HLOOKUP($H$5,'Met Data'!$A$2:$F$368,G856,FALSE)</f>
        <v>18.060344827586199</v>
      </c>
      <c r="J856" s="119">
        <f ca="1">HLOOKUP($H$5,'Met Data'!$H$2:$M$368,G856,FALSE)*L856</f>
        <v>0.81379310344827505</v>
      </c>
      <c r="K856" s="98">
        <f ca="1">HLOOKUP($H$5,'Met Data'!$O$2:$T$368,G856,FALSE)</f>
        <v>4.2768570571644897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364</v>
      </c>
      <c r="H857" s="97">
        <f t="shared" ca="1" si="139"/>
        <v>46020</v>
      </c>
      <c r="I857" s="121">
        <f ca="1">HLOOKUP($H$5,'Met Data'!$A$2:$F$368,G857,FALSE)</f>
        <v>18.386206896551698</v>
      </c>
      <c r="J857" s="119">
        <f ca="1">HLOOKUP($H$5,'Met Data'!$H$2:$M$368,G857,FALSE)*L857</f>
        <v>3.0068965517241302</v>
      </c>
      <c r="K857" s="98">
        <f ca="1">HLOOKUP($H$5,'Met Data'!$O$2:$T$368,G857,FALSE)</f>
        <v>4.2622812571545499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365</v>
      </c>
      <c r="H858" s="97">
        <f t="shared" ca="1" si="139"/>
        <v>46021</v>
      </c>
      <c r="I858" s="121">
        <f ca="1">HLOOKUP($H$5,'Met Data'!$A$2:$F$368,G858,FALSE)</f>
        <v>18.156896551724099</v>
      </c>
      <c r="J858" s="119">
        <f ca="1">HLOOKUP($H$5,'Met Data'!$H$2:$M$368,G858,FALSE)*L858</f>
        <v>4.4172413793103402</v>
      </c>
      <c r="K858" s="98">
        <f ca="1">HLOOKUP($H$5,'Met Data'!$O$2:$T$368,G858,FALSE)</f>
        <v>3.8040621578745699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366</v>
      </c>
      <c r="H859" s="97">
        <f t="shared" ca="1" si="139"/>
        <v>46022</v>
      </c>
      <c r="I859" s="121">
        <f ca="1">HLOOKUP($H$5,'Met Data'!$A$2:$F$368,G859,FALSE)</f>
        <v>17.8086206896551</v>
      </c>
      <c r="J859" s="119">
        <f ca="1">HLOOKUP($H$5,'Met Data'!$H$2:$M$368,G859,FALSE)*L859</f>
        <v>8.7896551724137897</v>
      </c>
      <c r="K859" s="98">
        <f ca="1">HLOOKUP($H$5,'Met Data'!$O$2:$T$368,G859,FALSE)</f>
        <v>3.8298931146257198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2</v>
      </c>
      <c r="H860" s="97">
        <f t="shared" ca="1" si="139"/>
        <v>46023</v>
      </c>
      <c r="I860" s="121">
        <f ca="1">HLOOKUP($H$5,'Met Data'!$A$2:$F$368,G860,FALSE)</f>
        <v>17.639655172413701</v>
      </c>
      <c r="J860" s="119">
        <f ca="1">HLOOKUP($H$5,'Met Data'!$H$2:$M$368,G860,FALSE)*L860</f>
        <v>2.9862068965517201</v>
      </c>
      <c r="K860" s="98">
        <f ca="1">HLOOKUP($H$5,'Met Data'!$O$2:$T$368,G860,FALSE)</f>
        <v>4.7314305048111098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3</v>
      </c>
      <c r="H861" s="97">
        <f t="shared" ca="1" si="139"/>
        <v>46024</v>
      </c>
      <c r="I861" s="121">
        <f ca="1">HLOOKUP($H$5,'Met Data'!$A$2:$F$368,G861,FALSE)</f>
        <v>18.013793103448201</v>
      </c>
      <c r="J861" s="119">
        <f ca="1">HLOOKUP($H$5,'Met Data'!$H$2:$M$368,G861,FALSE)*L861</f>
        <v>1.4517241379310299</v>
      </c>
      <c r="K861" s="98">
        <f ca="1">HLOOKUP($H$5,'Met Data'!$O$2:$T$368,G861,FALSE)</f>
        <v>4.7184733001505199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4</v>
      </c>
      <c r="H862" s="97">
        <f t="shared" ca="1" si="139"/>
        <v>46025</v>
      </c>
      <c r="I862" s="121">
        <f ca="1">HLOOKUP($H$5,'Met Data'!$A$2:$F$368,G862,FALSE)</f>
        <v>17.827586206896498</v>
      </c>
      <c r="J862" s="119">
        <f ca="1">HLOOKUP($H$5,'Met Data'!$H$2:$M$368,G862,FALSE)*L862</f>
        <v>1.27241379310344</v>
      </c>
      <c r="K862" s="98">
        <f ca="1">HLOOKUP($H$5,'Met Data'!$O$2:$T$368,G862,FALSE)</f>
        <v>4.5153833563593304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5</v>
      </c>
      <c r="H863" s="97">
        <f t="shared" ca="1" si="139"/>
        <v>46026</v>
      </c>
      <c r="I863" s="121">
        <f ca="1">HLOOKUP($H$5,'Met Data'!$A$2:$F$368,G863,FALSE)</f>
        <v>18.068965517241299</v>
      </c>
      <c r="J863" s="119">
        <f ca="1">HLOOKUP($H$5,'Met Data'!$H$2:$M$368,G863,FALSE)*L863</f>
        <v>1.3206896551724101</v>
      </c>
      <c r="K863" s="98">
        <f ca="1">HLOOKUP($H$5,'Met Data'!$O$2:$T$368,G863,FALSE)</f>
        <v>4.6266971172714904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6</v>
      </c>
      <c r="H864" s="97">
        <f t="shared" ca="1" si="139"/>
        <v>46027</v>
      </c>
      <c r="I864" s="121">
        <f ca="1">HLOOKUP($H$5,'Met Data'!$A$2:$F$368,G864,FALSE)</f>
        <v>17.658620689655098</v>
      </c>
      <c r="J864" s="119">
        <f ca="1">HLOOKUP($H$5,'Met Data'!$H$2:$M$368,G864,FALSE)*L864</f>
        <v>1.64137931034482</v>
      </c>
      <c r="K864" s="98">
        <f ca="1">HLOOKUP($H$5,'Met Data'!$O$2:$T$368,G864,FALSE)</f>
        <v>4.7524735832446101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7</v>
      </c>
      <c r="H865" s="97">
        <f t="shared" ca="1" si="139"/>
        <v>46028</v>
      </c>
      <c r="I865" s="121">
        <f ca="1">HLOOKUP($H$5,'Met Data'!$A$2:$F$368,G865,FALSE)</f>
        <v>17.7431034482758</v>
      </c>
      <c r="J865" s="119">
        <f ca="1">HLOOKUP($H$5,'Met Data'!$H$2:$M$368,G865,FALSE)*L865</f>
        <v>1.8206896551724101</v>
      </c>
      <c r="K865" s="98">
        <f ca="1">HLOOKUP($H$5,'Met Data'!$O$2:$T$368,G865,FALSE)</f>
        <v>4.5675277776113097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8</v>
      </c>
      <c r="H866" s="97">
        <f t="shared" ca="1" si="139"/>
        <v>46029</v>
      </c>
      <c r="I866" s="121">
        <f ca="1">HLOOKUP($H$5,'Met Data'!$A$2:$F$368,G866,FALSE)</f>
        <v>18.181034482758601</v>
      </c>
      <c r="J866" s="119">
        <f ca="1">HLOOKUP($H$5,'Met Data'!$H$2:$M$368,G866,FALSE)*L866</f>
        <v>1.4896551724137901</v>
      </c>
      <c r="K866" s="98">
        <f ca="1">HLOOKUP($H$5,'Met Data'!$O$2:$T$368,G866,FALSE)</f>
        <v>4.0945523595888398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9</v>
      </c>
      <c r="H867" s="97">
        <f t="shared" ca="1" si="139"/>
        <v>46030</v>
      </c>
      <c r="I867" s="121">
        <f ca="1">HLOOKUP($H$5,'Met Data'!$A$2:$F$368,G867,FALSE)</f>
        <v>18.393103448275799</v>
      </c>
      <c r="J867" s="119">
        <f ca="1">HLOOKUP($H$5,'Met Data'!$H$2:$M$368,G867,FALSE)*L867</f>
        <v>2.69655172413793</v>
      </c>
      <c r="K867" s="98">
        <f ca="1">HLOOKUP($H$5,'Met Data'!$O$2:$T$368,G867,FALSE)</f>
        <v>4.0360392602952304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10</v>
      </c>
      <c r="H868" s="97">
        <f t="shared" ca="1" si="139"/>
        <v>46031</v>
      </c>
      <c r="I868" s="121">
        <f ca="1">HLOOKUP($H$5,'Met Data'!$A$2:$F$368,G868,FALSE)</f>
        <v>18.6103448275862</v>
      </c>
      <c r="J868" s="119">
        <f ca="1">HLOOKUP($H$5,'Met Data'!$H$2:$M$368,G868,FALSE)*L868</f>
        <v>3.0103448275861999</v>
      </c>
      <c r="K868" s="98">
        <f ca="1">HLOOKUP($H$5,'Met Data'!$O$2:$T$368,G868,FALSE)</f>
        <v>4.1608753956650997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11</v>
      </c>
      <c r="H869" s="97">
        <f t="shared" ca="1" si="139"/>
        <v>46032</v>
      </c>
      <c r="I869" s="121">
        <f ca="1">HLOOKUP($H$5,'Met Data'!$A$2:$F$368,G869,FALSE)</f>
        <v>18.453448275862002</v>
      </c>
      <c r="J869" s="119">
        <f ca="1">HLOOKUP($H$5,'Met Data'!$H$2:$M$368,G869,FALSE)*L869</f>
        <v>1.2689655172413701</v>
      </c>
      <c r="K869" s="98">
        <f ca="1">HLOOKUP($H$5,'Met Data'!$O$2:$T$368,G869,FALSE)</f>
        <v>4.5179186785714496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12</v>
      </c>
      <c r="H870" s="97">
        <f t="shared" ca="1" si="139"/>
        <v>46033</v>
      </c>
      <c r="I870" s="121">
        <f ca="1">HLOOKUP($H$5,'Met Data'!$A$2:$F$368,G870,FALSE)</f>
        <v>18.186206896551699</v>
      </c>
      <c r="J870" s="119">
        <f ca="1">HLOOKUP($H$5,'Met Data'!$H$2:$M$368,G870,FALSE)*L870</f>
        <v>1.3413793103448199</v>
      </c>
      <c r="K870" s="98">
        <f ca="1">HLOOKUP($H$5,'Met Data'!$O$2:$T$368,G870,FALSE)</f>
        <v>4.5303746944186001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13</v>
      </c>
      <c r="H871" s="97">
        <f t="shared" ca="1" si="139"/>
        <v>46034</v>
      </c>
      <c r="I871" s="121">
        <f ca="1">HLOOKUP($H$5,'Met Data'!$A$2:$F$368,G871,FALSE)</f>
        <v>18.314999999999898</v>
      </c>
      <c r="J871" s="119">
        <f ca="1">HLOOKUP($H$5,'Met Data'!$H$2:$M$368,G871,FALSE)*L871</f>
        <v>0.95</v>
      </c>
      <c r="K871" s="98">
        <f ca="1">HLOOKUP($H$5,'Met Data'!$O$2:$T$368,G871,FALSE)</f>
        <v>4.1021279144140701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14</v>
      </c>
      <c r="H872" s="97">
        <f t="shared" ca="1" si="139"/>
        <v>46035</v>
      </c>
      <c r="I872" s="121">
        <f ca="1">HLOOKUP($H$5,'Met Data'!$A$2:$F$368,G872,FALSE)</f>
        <v>18.473333333333301</v>
      </c>
      <c r="J872" s="119">
        <f ca="1">HLOOKUP($H$5,'Met Data'!$H$2:$M$368,G872,FALSE)*L872</f>
        <v>3.7233333333333301</v>
      </c>
      <c r="K872" s="98">
        <f ca="1">HLOOKUP($H$5,'Met Data'!$O$2:$T$368,G872,FALSE)</f>
        <v>4.3613860913388498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15</v>
      </c>
      <c r="H873" s="97">
        <f t="shared" ca="1" si="139"/>
        <v>46036</v>
      </c>
      <c r="I873" s="121">
        <f ca="1">HLOOKUP($H$5,'Met Data'!$A$2:$F$368,G873,FALSE)</f>
        <v>18.684999999999999</v>
      </c>
      <c r="J873" s="119">
        <f ca="1">HLOOKUP($H$5,'Met Data'!$H$2:$M$368,G873,FALSE)*L873</f>
        <v>2.2466666666666599</v>
      </c>
      <c r="K873" s="98">
        <f ca="1">HLOOKUP($H$5,'Met Data'!$O$2:$T$368,G873,FALSE)</f>
        <v>4.5029029229169799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</v>
      </c>
      <c r="H874" s="97">
        <f t="shared" ca="1" si="139"/>
        <v>46037</v>
      </c>
      <c r="I874" s="121">
        <f ca="1">HLOOKUP($H$5,'Met Data'!$A$2:$F$368,G874,FALSE)</f>
        <v>18.661666666666601</v>
      </c>
      <c r="J874" s="119">
        <f ca="1">HLOOKUP($H$5,'Met Data'!$H$2:$M$368,G874,FALSE)*L874</f>
        <v>1.3333333333333299</v>
      </c>
      <c r="K874" s="98">
        <f ca="1">HLOOKUP($H$5,'Met Data'!$O$2:$T$368,G874,FALSE)</f>
        <v>4.6368762557636201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17</v>
      </c>
      <c r="H875" s="97">
        <f t="shared" ca="1" si="139"/>
        <v>46038</v>
      </c>
      <c r="I875" s="121">
        <f ca="1">HLOOKUP($H$5,'Met Data'!$A$2:$F$368,G875,FALSE)</f>
        <v>18.636666666666599</v>
      </c>
      <c r="J875" s="119">
        <f ca="1">HLOOKUP($H$5,'Met Data'!$H$2:$M$368,G875,FALSE)*L875</f>
        <v>3.0133333333333301</v>
      </c>
      <c r="K875" s="98">
        <f ca="1">HLOOKUP($H$5,'Met Data'!$O$2:$T$368,G875,FALSE)</f>
        <v>4.4386060395545801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18</v>
      </c>
      <c r="H876" s="97">
        <f t="shared" ca="1" si="139"/>
        <v>46039</v>
      </c>
      <c r="I876" s="121">
        <f ca="1">HLOOKUP($H$5,'Met Data'!$A$2:$F$368,G876,FALSE)</f>
        <v>18.4233333333333</v>
      </c>
      <c r="J876" s="119">
        <f ca="1">HLOOKUP($H$5,'Met Data'!$H$2:$M$368,G876,FALSE)*L876</f>
        <v>2.7833333333333301</v>
      </c>
      <c r="K876" s="98">
        <f ca="1">HLOOKUP($H$5,'Met Data'!$O$2:$T$368,G876,FALSE)</f>
        <v>4.10260332014568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19</v>
      </c>
      <c r="H877" s="97">
        <f t="shared" ca="1" si="139"/>
        <v>46040</v>
      </c>
      <c r="I877" s="121">
        <f ca="1">HLOOKUP($H$5,'Met Data'!$A$2:$F$368,G877,FALSE)</f>
        <v>18.466666666666601</v>
      </c>
      <c r="J877" s="119">
        <f ca="1">HLOOKUP($H$5,'Met Data'!$H$2:$M$368,G877,FALSE)*L877</f>
        <v>2.1566666666666601</v>
      </c>
      <c r="K877" s="98">
        <f ca="1">HLOOKUP($H$5,'Met Data'!$O$2:$T$368,G877,FALSE)</f>
        <v>4.3976375931712202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20</v>
      </c>
      <c r="H878" s="97">
        <f t="shared" ca="1" si="139"/>
        <v>46041</v>
      </c>
      <c r="I878" s="121">
        <f ca="1">HLOOKUP($H$5,'Met Data'!$A$2:$F$368,G878,FALSE)</f>
        <v>18.754999999999999</v>
      </c>
      <c r="J878" s="119">
        <f ca="1">HLOOKUP($H$5,'Met Data'!$H$2:$M$368,G878,FALSE)*L878</f>
        <v>2.2333333333333298</v>
      </c>
      <c r="K878" s="98">
        <f ca="1">HLOOKUP($H$5,'Met Data'!$O$2:$T$368,G878,FALSE)</f>
        <v>4.5811789756342201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21</v>
      </c>
      <c r="H879" s="97">
        <f t="shared" ca="1" si="139"/>
        <v>46042</v>
      </c>
      <c r="I879" s="121">
        <f ca="1">HLOOKUP($H$5,'Met Data'!$A$2:$F$368,G879,FALSE)</f>
        <v>18.6933333333333</v>
      </c>
      <c r="J879" s="119">
        <f ca="1">HLOOKUP($H$5,'Met Data'!$H$2:$M$368,G879,FALSE)*L879</f>
        <v>1.02666666666666</v>
      </c>
      <c r="K879" s="98">
        <f ca="1">HLOOKUP($H$5,'Met Data'!$O$2:$T$368,G879,FALSE)</f>
        <v>4.23484882575071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ca="1" si="130"/>
        <v>22</v>
      </c>
      <c r="H880" s="97">
        <f t="shared" ca="1" si="139"/>
        <v>46043</v>
      </c>
      <c r="I880" s="121">
        <f ca="1">HLOOKUP($H$5,'Met Data'!$A$2:$F$368,G880,FALSE)</f>
        <v>18.914999999999999</v>
      </c>
      <c r="J880" s="119">
        <f ca="1">HLOOKUP($H$5,'Met Data'!$H$2:$M$368,G880,FALSE)*L880</f>
        <v>8.4066666666666592</v>
      </c>
      <c r="K880" s="98">
        <f ca="1">HLOOKUP($H$5,'Met Data'!$O$2:$T$368,G880,FALSE)</f>
        <v>4.2358684276247196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ca="1" si="140">H881-DATE(YEAR(H881),1,0)+1</f>
        <v>23</v>
      </c>
      <c r="H881" s="97">
        <f t="shared" ca="1" si="139"/>
        <v>46044</v>
      </c>
      <c r="I881" s="121">
        <f ca="1">HLOOKUP($H$5,'Met Data'!$A$2:$F$368,G881,FALSE)</f>
        <v>19.0133333333333</v>
      </c>
      <c r="J881" s="119">
        <f ca="1">HLOOKUP($H$5,'Met Data'!$H$2:$M$368,G881,FALSE)*L881</f>
        <v>3.7366666666666601</v>
      </c>
      <c r="K881" s="98">
        <f ca="1">HLOOKUP($H$5,'Met Data'!$O$2:$T$368,G881,FALSE)</f>
        <v>4.0376213451036698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ca="1" si="140"/>
        <v>24</v>
      </c>
      <c r="H882" s="97">
        <f t="shared" ca="1" si="139"/>
        <v>46045</v>
      </c>
      <c r="I882" s="121">
        <f ca="1">HLOOKUP($H$5,'Met Data'!$A$2:$F$368,G882,FALSE)</f>
        <v>19.03</v>
      </c>
      <c r="J882" s="119">
        <f ca="1">HLOOKUP($H$5,'Met Data'!$H$2:$M$368,G882,FALSE)*L882</f>
        <v>2.4266666666666601</v>
      </c>
      <c r="K882" s="98">
        <f ca="1">HLOOKUP($H$5,'Met Data'!$O$2:$T$368,G882,FALSE)</f>
        <v>4.3725520099572401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25</v>
      </c>
      <c r="H883" s="97">
        <f t="shared" ca="1" si="139"/>
        <v>46046</v>
      </c>
      <c r="I883" s="121">
        <f ca="1">HLOOKUP($H$5,'Met Data'!$A$2:$F$368,G883,FALSE)</f>
        <v>19.07</v>
      </c>
      <c r="J883" s="119">
        <f ca="1">HLOOKUP($H$5,'Met Data'!$H$2:$M$368,G883,FALSE)*L883</f>
        <v>3.4166666666666599</v>
      </c>
      <c r="K883" s="98">
        <f ca="1">HLOOKUP($H$5,'Met Data'!$O$2:$T$368,G883,FALSE)</f>
        <v>4.19340465226154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26</v>
      </c>
      <c r="H884" s="97">
        <f t="shared" ca="1" si="139"/>
        <v>46047</v>
      </c>
      <c r="I884" s="121">
        <f ca="1">HLOOKUP($H$5,'Met Data'!$A$2:$F$368,G884,FALSE)</f>
        <v>19.3</v>
      </c>
      <c r="J884" s="119">
        <f ca="1">HLOOKUP($H$5,'Met Data'!$H$2:$M$368,G884,FALSE)*L884</f>
        <v>3.70333333333333</v>
      </c>
      <c r="K884" s="98">
        <f ca="1">HLOOKUP($H$5,'Met Data'!$O$2:$T$368,G884,FALSE)</f>
        <v>4.6119458181628401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27</v>
      </c>
      <c r="H885" s="97">
        <f t="shared" ca="1" si="139"/>
        <v>46048</v>
      </c>
      <c r="I885" s="121">
        <f ca="1">HLOOKUP($H$5,'Met Data'!$A$2:$F$368,G885,FALSE)</f>
        <v>19.418333333333301</v>
      </c>
      <c r="J885" s="119">
        <f ca="1">HLOOKUP($H$5,'Met Data'!$H$2:$M$368,G885,FALSE)*L885</f>
        <v>1.2566666666666599</v>
      </c>
      <c r="K885" s="98">
        <f ca="1">HLOOKUP($H$5,'Met Data'!$O$2:$T$368,G885,FALSE)</f>
        <v>4.4486726941054897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28</v>
      </c>
      <c r="H886" s="97">
        <f t="shared" ca="1" si="139"/>
        <v>46049</v>
      </c>
      <c r="I886" s="121">
        <f ca="1">HLOOKUP($H$5,'Met Data'!$A$2:$F$368,G886,FALSE)</f>
        <v>19.086666666666599</v>
      </c>
      <c r="J886" s="119">
        <f ca="1">HLOOKUP($H$5,'Met Data'!$H$2:$M$368,G886,FALSE)*L886</f>
        <v>2.65</v>
      </c>
      <c r="K886" s="98">
        <f ca="1">HLOOKUP($H$5,'Met Data'!$O$2:$T$368,G886,FALSE)</f>
        <v>4.6925683722845504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29</v>
      </c>
      <c r="H887" s="97">
        <f t="shared" ca="1" si="139"/>
        <v>46050</v>
      </c>
      <c r="I887" s="121">
        <f ca="1">HLOOKUP($H$5,'Met Data'!$A$2:$F$368,G887,FALSE)</f>
        <v>19.248333333333299</v>
      </c>
      <c r="J887" s="119">
        <f ca="1">HLOOKUP($H$5,'Met Data'!$H$2:$M$368,G887,FALSE)*L887</f>
        <v>1.81</v>
      </c>
      <c r="K887" s="98">
        <f ca="1">HLOOKUP($H$5,'Met Data'!$O$2:$T$368,G887,FALSE)</f>
        <v>4.8021312602016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30</v>
      </c>
      <c r="H888" s="97">
        <f t="shared" ca="1" si="139"/>
        <v>46051</v>
      </c>
      <c r="I888" s="121">
        <f ca="1">HLOOKUP($H$5,'Met Data'!$A$2:$F$368,G888,FALSE)</f>
        <v>19.486666666666601</v>
      </c>
      <c r="J888" s="119">
        <f ca="1">HLOOKUP($H$5,'Met Data'!$H$2:$M$368,G888,FALSE)*L888</f>
        <v>2.1066666666666598</v>
      </c>
      <c r="K888" s="98">
        <f ca="1">HLOOKUP($H$5,'Met Data'!$O$2:$T$368,G888,FALSE)</f>
        <v>4.81456570354226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31</v>
      </c>
      <c r="H889" s="97">
        <f t="shared" ca="1" si="139"/>
        <v>46052</v>
      </c>
      <c r="I889" s="121">
        <f ca="1">HLOOKUP($H$5,'Met Data'!$A$2:$F$368,G889,FALSE)</f>
        <v>19.725000000000001</v>
      </c>
      <c r="J889" s="119">
        <f ca="1">HLOOKUP($H$5,'Met Data'!$H$2:$M$368,G889,FALSE)*L889</f>
        <v>3.1033333333333299</v>
      </c>
      <c r="K889" s="98">
        <f ca="1">HLOOKUP($H$5,'Met Data'!$O$2:$T$368,G889,FALSE)</f>
        <v>4.4640725934925003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32</v>
      </c>
      <c r="H890" s="97">
        <f t="shared" ca="1" si="139"/>
        <v>46053</v>
      </c>
      <c r="I890" s="121">
        <f ca="1">HLOOKUP($H$5,'Met Data'!$A$2:$F$368,G890,FALSE)</f>
        <v>19.670000000000002</v>
      </c>
      <c r="J890" s="119">
        <f ca="1">HLOOKUP($H$5,'Met Data'!$H$2:$M$368,G890,FALSE)*L890</f>
        <v>2.7466666666666599</v>
      </c>
      <c r="K890" s="98">
        <f ca="1">HLOOKUP($H$5,'Met Data'!$O$2:$T$368,G890,FALSE)</f>
        <v>4.1799437739427896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33</v>
      </c>
      <c r="H891" s="97">
        <f t="shared" ca="1" si="139"/>
        <v>46054</v>
      </c>
      <c r="I891" s="121">
        <f ca="1">HLOOKUP($H$5,'Met Data'!$A$2:$F$368,G891,FALSE)</f>
        <v>19.770689655172401</v>
      </c>
      <c r="J891" s="119">
        <f ca="1">HLOOKUP($H$5,'Met Data'!$H$2:$M$368,G891,FALSE)*L891</f>
        <v>1.1103448275862</v>
      </c>
      <c r="K891" s="98">
        <f ca="1">HLOOKUP($H$5,'Met Data'!$O$2:$T$368,G891,FALSE)</f>
        <v>4.5867414057587403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34</v>
      </c>
      <c r="H892" s="97">
        <f t="shared" ca="1" si="139"/>
        <v>46055</v>
      </c>
      <c r="I892" s="121">
        <f ca="1">HLOOKUP($H$5,'Met Data'!$A$2:$F$368,G892,FALSE)</f>
        <v>19.548275862068898</v>
      </c>
      <c r="J892" s="119">
        <f ca="1">HLOOKUP($H$5,'Met Data'!$H$2:$M$368,G892,FALSE)*L892</f>
        <v>4.0620689655172404</v>
      </c>
      <c r="K892" s="98">
        <f ca="1">HLOOKUP($H$5,'Met Data'!$O$2:$T$368,G892,FALSE)</f>
        <v>4.65070177511826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35</v>
      </c>
      <c r="H893" s="97">
        <f t="shared" ca="1" si="139"/>
        <v>46056</v>
      </c>
      <c r="I893" s="121">
        <f ca="1">HLOOKUP($H$5,'Met Data'!$A$2:$F$368,G893,FALSE)</f>
        <v>19.325862068965499</v>
      </c>
      <c r="J893" s="119">
        <f ca="1">HLOOKUP($H$5,'Met Data'!$H$2:$M$368,G893,FALSE)*L893</f>
        <v>1.00344827586206</v>
      </c>
      <c r="K893" s="98">
        <f ca="1">HLOOKUP($H$5,'Met Data'!$O$2:$T$368,G893,FALSE)</f>
        <v>4.2568283320677196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36</v>
      </c>
      <c r="H894" s="97">
        <f t="shared" ca="1" si="139"/>
        <v>46057</v>
      </c>
      <c r="I894" s="121">
        <f ca="1">HLOOKUP($H$5,'Met Data'!$A$2:$F$368,G894,FALSE)</f>
        <v>18.712068965517201</v>
      </c>
      <c r="J894" s="119">
        <f ca="1">HLOOKUP($H$5,'Met Data'!$H$2:$M$368,G894,FALSE)*L894</f>
        <v>4.7586206896551699</v>
      </c>
      <c r="K894" s="98">
        <f ca="1">HLOOKUP($H$5,'Met Data'!$O$2:$T$368,G894,FALSE)</f>
        <v>3.6726350990735899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37</v>
      </c>
      <c r="H895" s="97">
        <f t="shared" ca="1" si="139"/>
        <v>46058</v>
      </c>
      <c r="I895" s="121">
        <f ca="1">HLOOKUP($H$5,'Met Data'!$A$2:$F$368,G895,FALSE)</f>
        <v>19.178333333333299</v>
      </c>
      <c r="J895" s="119">
        <f ca="1">HLOOKUP($H$5,'Met Data'!$H$2:$M$368,G895,FALSE)*L895</f>
        <v>2.2833333333333301</v>
      </c>
      <c r="K895" s="98">
        <f ca="1">HLOOKUP($H$5,'Met Data'!$O$2:$T$368,G895,FALSE)</f>
        <v>4.0355922642947899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38</v>
      </c>
      <c r="H896" s="97">
        <f t="shared" ca="1" si="139"/>
        <v>46059</v>
      </c>
      <c r="I896" s="121">
        <f ca="1">HLOOKUP($H$5,'Met Data'!$A$2:$F$368,G896,FALSE)</f>
        <v>19.063333333333301</v>
      </c>
      <c r="J896" s="119">
        <f ca="1">HLOOKUP($H$5,'Met Data'!$H$2:$M$368,G896,FALSE)*L896</f>
        <v>0.35</v>
      </c>
      <c r="K896" s="98">
        <f ca="1">HLOOKUP($H$5,'Met Data'!$O$2:$T$368,G896,FALSE)</f>
        <v>4.5836031413853302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39</v>
      </c>
      <c r="H897" s="97">
        <f t="shared" ca="1" si="139"/>
        <v>46060</v>
      </c>
      <c r="I897" s="121">
        <f ca="1">HLOOKUP($H$5,'Met Data'!$A$2:$F$368,G897,FALSE)</f>
        <v>19.164999999999999</v>
      </c>
      <c r="J897" s="119">
        <f ca="1">HLOOKUP($H$5,'Met Data'!$H$2:$M$368,G897,FALSE)*L897</f>
        <v>0.80666666666666598</v>
      </c>
      <c r="K897" s="98">
        <f ca="1">HLOOKUP($H$5,'Met Data'!$O$2:$T$368,G897,FALSE)</f>
        <v>4.2844164584952198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40</v>
      </c>
      <c r="H898" s="97">
        <f t="shared" ca="1" si="139"/>
        <v>46061</v>
      </c>
      <c r="I898" s="121">
        <f ca="1">HLOOKUP($H$5,'Met Data'!$A$2:$F$368,G898,FALSE)</f>
        <v>19.145</v>
      </c>
      <c r="J898" s="119">
        <f ca="1">HLOOKUP($H$5,'Met Data'!$H$2:$M$368,G898,FALSE)*L898</f>
        <v>2.1066666666666598</v>
      </c>
      <c r="K898" s="98">
        <f ca="1">HLOOKUP($H$5,'Met Data'!$O$2:$T$368,G898,FALSE)</f>
        <v>4.0819751344129296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41</v>
      </c>
      <c r="H899" s="97">
        <f t="shared" ca="1" si="139"/>
        <v>46062</v>
      </c>
      <c r="I899" s="121">
        <f ca="1">HLOOKUP($H$5,'Met Data'!$A$2:$F$368,G899,FALSE)</f>
        <v>19.28</v>
      </c>
      <c r="J899" s="119">
        <f ca="1">HLOOKUP($H$5,'Met Data'!$H$2:$M$368,G899,FALSE)*L899</f>
        <v>1.1200000000000001</v>
      </c>
      <c r="K899" s="98">
        <f ca="1">HLOOKUP($H$5,'Met Data'!$O$2:$T$368,G899,FALSE)</f>
        <v>4.260490854165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42</v>
      </c>
      <c r="H900" s="97">
        <f t="shared" ca="1" si="139"/>
        <v>46063</v>
      </c>
      <c r="I900" s="121">
        <f ca="1">HLOOKUP($H$5,'Met Data'!$A$2:$F$368,G900,FALSE)</f>
        <v>19.6533333333333</v>
      </c>
      <c r="J900" s="119">
        <f ca="1">HLOOKUP($H$5,'Met Data'!$H$2:$M$368,G900,FALSE)*L900</f>
        <v>1.4866666666666599</v>
      </c>
      <c r="K900" s="98">
        <f ca="1">HLOOKUP($H$5,'Met Data'!$O$2:$T$368,G900,FALSE)</f>
        <v>3.7833097987788902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43</v>
      </c>
      <c r="H901" s="97">
        <f t="shared" ca="1" si="139"/>
        <v>46064</v>
      </c>
      <c r="I901" s="121">
        <f ca="1">HLOOKUP($H$5,'Met Data'!$A$2:$F$368,G901,FALSE)</f>
        <v>19.843333333333302</v>
      </c>
      <c r="J901" s="119">
        <f ca="1">HLOOKUP($H$5,'Met Data'!$H$2:$M$368,G901,FALSE)*L901</f>
        <v>2.3199999999999998</v>
      </c>
      <c r="K901" s="98">
        <f ca="1">HLOOKUP($H$5,'Met Data'!$O$2:$T$368,G901,FALSE)</f>
        <v>3.6396000191553801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44</v>
      </c>
      <c r="H902" s="97">
        <f t="shared" ca="1" si="139"/>
        <v>46065</v>
      </c>
      <c r="I902" s="121">
        <f ca="1">HLOOKUP($H$5,'Met Data'!$A$2:$F$368,G902,FALSE)</f>
        <v>19.767241379310299</v>
      </c>
      <c r="J902" s="119">
        <f ca="1">HLOOKUP($H$5,'Met Data'!$H$2:$M$368,G902,FALSE)*L902</f>
        <v>2.6066666666666598</v>
      </c>
      <c r="K902" s="98">
        <f ca="1">HLOOKUP($H$5,'Met Data'!$O$2:$T$368,G902,FALSE)</f>
        <v>3.70262305339519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45</v>
      </c>
      <c r="H903" s="97">
        <f t="shared" ca="1" si="139"/>
        <v>46066</v>
      </c>
      <c r="I903" s="121">
        <f ca="1">HLOOKUP($H$5,'Met Data'!$A$2:$F$368,G903,FALSE)</f>
        <v>19.5672413793103</v>
      </c>
      <c r="J903" s="119">
        <f ca="1">HLOOKUP($H$5,'Met Data'!$H$2:$M$368,G903,FALSE)*L903</f>
        <v>0.59</v>
      </c>
      <c r="K903" s="98">
        <f ca="1">HLOOKUP($H$5,'Met Data'!$O$2:$T$368,G903,FALSE)</f>
        <v>4.0784584132757997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46</v>
      </c>
      <c r="H904" s="97">
        <f t="shared" ca="1" si="139"/>
        <v>46067</v>
      </c>
      <c r="I904" s="121">
        <f ca="1">HLOOKUP($H$5,'Met Data'!$A$2:$F$368,G904,FALSE)</f>
        <v>19.5910714285714</v>
      </c>
      <c r="J904" s="119">
        <f ca="1">HLOOKUP($H$5,'Met Data'!$H$2:$M$368,G904,FALSE)*L904</f>
        <v>1.8724137931034399</v>
      </c>
      <c r="K904" s="98">
        <f ca="1">HLOOKUP($H$5,'Met Data'!$O$2:$T$368,G904,FALSE)</f>
        <v>4.0775156504528702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47</v>
      </c>
      <c r="H905" s="97">
        <f t="shared" ref="H905:H968" ca="1" si="149">H904+1</f>
        <v>46068</v>
      </c>
      <c r="I905" s="121">
        <f ca="1">HLOOKUP($H$5,'Met Data'!$A$2:$F$368,G905,FALSE)</f>
        <v>19.355357142857098</v>
      </c>
      <c r="J905" s="119">
        <f ca="1">HLOOKUP($H$5,'Met Data'!$H$2:$M$368,G905,FALSE)*L905</f>
        <v>2.8206896551724099</v>
      </c>
      <c r="K905" s="98">
        <f ca="1">HLOOKUP($H$5,'Met Data'!$O$2:$T$368,G905,FALSE)</f>
        <v>4.1796467400508099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48</v>
      </c>
      <c r="H906" s="97">
        <f t="shared" ca="1" si="149"/>
        <v>46069</v>
      </c>
      <c r="I906" s="121">
        <f ca="1">HLOOKUP($H$5,'Met Data'!$A$2:$F$368,G906,FALSE)</f>
        <v>19.258928571428498</v>
      </c>
      <c r="J906" s="119">
        <f ca="1">HLOOKUP($H$5,'Met Data'!$H$2:$M$368,G906,FALSE)*L906</f>
        <v>1.80344827586206</v>
      </c>
      <c r="K906" s="98">
        <f ca="1">HLOOKUP($H$5,'Met Data'!$O$2:$T$368,G906,FALSE)</f>
        <v>3.8490703816040499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49</v>
      </c>
      <c r="H907" s="97">
        <f t="shared" ca="1" si="149"/>
        <v>46070</v>
      </c>
      <c r="I907" s="121">
        <f ca="1">HLOOKUP($H$5,'Met Data'!$A$2:$F$368,G907,FALSE)</f>
        <v>19.284482758620602</v>
      </c>
      <c r="J907" s="119">
        <f ca="1">HLOOKUP($H$5,'Met Data'!$H$2:$M$368,G907,FALSE)*L907</f>
        <v>4.5</v>
      </c>
      <c r="K907" s="98">
        <f ca="1">HLOOKUP($H$5,'Met Data'!$O$2:$T$368,G907,FALSE)</f>
        <v>3.7481412243719401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50</v>
      </c>
      <c r="H908" s="97">
        <f t="shared" ca="1" si="149"/>
        <v>46071</v>
      </c>
      <c r="I908" s="121">
        <f ca="1">HLOOKUP($H$5,'Met Data'!$A$2:$F$368,G908,FALSE)</f>
        <v>19.415517241379298</v>
      </c>
      <c r="J908" s="119">
        <f ca="1">HLOOKUP($H$5,'Met Data'!$H$2:$M$368,G908,FALSE)*L908</f>
        <v>1.4</v>
      </c>
      <c r="K908" s="98">
        <f ca="1">HLOOKUP($H$5,'Met Data'!$O$2:$T$368,G908,FALSE)</f>
        <v>3.8682529987421499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51</v>
      </c>
      <c r="H909" s="97">
        <f t="shared" ca="1" si="149"/>
        <v>46072</v>
      </c>
      <c r="I909" s="121">
        <f ca="1">HLOOKUP($H$5,'Met Data'!$A$2:$F$368,G909,FALSE)</f>
        <v>19.4189655172413</v>
      </c>
      <c r="J909" s="119">
        <f ca="1">HLOOKUP($H$5,'Met Data'!$H$2:$M$368,G909,FALSE)*L909</f>
        <v>1.4655172413793101</v>
      </c>
      <c r="K909" s="98">
        <f ca="1">HLOOKUP($H$5,'Met Data'!$O$2:$T$368,G909,FALSE)</f>
        <v>3.6105345286952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52</v>
      </c>
      <c r="H910" s="97">
        <f t="shared" ca="1" si="149"/>
        <v>46073</v>
      </c>
      <c r="I910" s="121">
        <f ca="1">HLOOKUP($H$5,'Met Data'!$A$2:$F$368,G910,FALSE)</f>
        <v>19.5068965517241</v>
      </c>
      <c r="J910" s="119">
        <f ca="1">HLOOKUP($H$5,'Met Data'!$H$2:$M$368,G910,FALSE)*L910</f>
        <v>3.8517241379310301</v>
      </c>
      <c r="K910" s="98">
        <f ca="1">HLOOKUP($H$5,'Met Data'!$O$2:$T$368,G910,FALSE)</f>
        <v>3.6240453059598501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53</v>
      </c>
      <c r="H911" s="97">
        <f t="shared" ca="1" si="149"/>
        <v>46074</v>
      </c>
      <c r="I911" s="121">
        <f ca="1">HLOOKUP($H$5,'Met Data'!$A$2:$F$368,G911,FALSE)</f>
        <v>19.441666666666599</v>
      </c>
      <c r="J911" s="119">
        <f ca="1">HLOOKUP($H$5,'Met Data'!$H$2:$M$368,G911,FALSE)*L911</f>
        <v>3</v>
      </c>
      <c r="K911" s="98">
        <f ca="1">HLOOKUP($H$5,'Met Data'!$O$2:$T$368,G911,FALSE)</f>
        <v>3.73403385362748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54</v>
      </c>
      <c r="H912" s="97">
        <f t="shared" ca="1" si="149"/>
        <v>46075</v>
      </c>
      <c r="I912" s="121">
        <f ca="1">HLOOKUP($H$5,'Met Data'!$A$2:$F$368,G912,FALSE)</f>
        <v>19.231666666666602</v>
      </c>
      <c r="J912" s="119">
        <f ca="1">HLOOKUP($H$5,'Met Data'!$H$2:$M$368,G912,FALSE)*L912</f>
        <v>1.5333333333333301</v>
      </c>
      <c r="K912" s="98">
        <f ca="1">HLOOKUP($H$5,'Met Data'!$O$2:$T$368,G912,FALSE)</f>
        <v>3.6261565374234999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55</v>
      </c>
      <c r="H913" s="97">
        <f t="shared" ca="1" si="149"/>
        <v>46076</v>
      </c>
      <c r="I913" s="121">
        <f ca="1">HLOOKUP($H$5,'Met Data'!$A$2:$F$368,G913,FALSE)</f>
        <v>19.22</v>
      </c>
      <c r="J913" s="119">
        <f ca="1">HLOOKUP($H$5,'Met Data'!$H$2:$M$368,G913,FALSE)*L913</f>
        <v>3.06</v>
      </c>
      <c r="K913" s="98">
        <f ca="1">HLOOKUP($H$5,'Met Data'!$O$2:$T$368,G913,FALSE)</f>
        <v>3.6095974227769201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56</v>
      </c>
      <c r="H914" s="97">
        <f t="shared" ca="1" si="149"/>
        <v>46077</v>
      </c>
      <c r="I914" s="121">
        <f ca="1">HLOOKUP($H$5,'Met Data'!$A$2:$F$368,G914,FALSE)</f>
        <v>18.793333333333301</v>
      </c>
      <c r="J914" s="119">
        <f ca="1">HLOOKUP($H$5,'Met Data'!$H$2:$M$368,G914,FALSE)*L914</f>
        <v>1.73</v>
      </c>
      <c r="K914" s="98">
        <f ca="1">HLOOKUP($H$5,'Met Data'!$O$2:$T$368,G914,FALSE)</f>
        <v>3.9865323105658801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57</v>
      </c>
      <c r="H915" s="97">
        <f t="shared" ca="1" si="149"/>
        <v>46078</v>
      </c>
      <c r="I915" s="121">
        <f ca="1">HLOOKUP($H$5,'Met Data'!$A$2:$F$368,G915,FALSE)</f>
        <v>18.3</v>
      </c>
      <c r="J915" s="119">
        <f ca="1">HLOOKUP($H$5,'Met Data'!$H$2:$M$368,G915,FALSE)*L915</f>
        <v>1.1766666666666601</v>
      </c>
      <c r="K915" s="98">
        <f ca="1">HLOOKUP($H$5,'Met Data'!$O$2:$T$368,G915,FALSE)</f>
        <v>3.88204927928038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58</v>
      </c>
      <c r="H916" s="97">
        <f t="shared" ca="1" si="149"/>
        <v>46079</v>
      </c>
      <c r="I916" s="121">
        <f ca="1">HLOOKUP($H$5,'Met Data'!$A$2:$F$368,G916,FALSE)</f>
        <v>18.41</v>
      </c>
      <c r="J916" s="119">
        <f ca="1">HLOOKUP($H$5,'Met Data'!$H$2:$M$368,G916,FALSE)*L916</f>
        <v>2.0233333333333299</v>
      </c>
      <c r="K916" s="98">
        <f ca="1">HLOOKUP($H$5,'Met Data'!$O$2:$T$368,G916,FALSE)</f>
        <v>4.05937925457948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59</v>
      </c>
      <c r="H917" s="97">
        <f t="shared" ca="1" si="149"/>
        <v>46080</v>
      </c>
      <c r="I917" s="121">
        <f ca="1">HLOOKUP($H$5,'Met Data'!$A$2:$F$368,G917,FALSE)</f>
        <v>18.516666666666602</v>
      </c>
      <c r="J917" s="119">
        <f ca="1">HLOOKUP($H$5,'Met Data'!$H$2:$M$368,G917,FALSE)*L917</f>
        <v>1.5499999999999901</v>
      </c>
      <c r="K917" s="98">
        <f ca="1">HLOOKUP($H$5,'Met Data'!$O$2:$T$368,G917,FALSE)</f>
        <v>3.8269283002116601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60</v>
      </c>
      <c r="H918" s="97">
        <f t="shared" ca="1" si="149"/>
        <v>46081</v>
      </c>
      <c r="I918" s="121">
        <f ca="1">HLOOKUP($H$5,'Met Data'!$A$2:$F$368,G918,FALSE)</f>
        <v>18.253571428571401</v>
      </c>
      <c r="J918" s="119">
        <f ca="1">HLOOKUP($H$5,'Met Data'!$H$2:$M$368,G918,FALSE)*L918</f>
        <v>3.4793103448275802</v>
      </c>
      <c r="K918" s="98">
        <f ca="1">HLOOKUP($H$5,'Met Data'!$O$2:$T$368,G918,FALSE)</f>
        <v>3.4828962462929298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61</v>
      </c>
      <c r="H919" s="97">
        <f t="shared" ca="1" si="149"/>
        <v>46082</v>
      </c>
      <c r="I919" s="121">
        <f ca="1">HLOOKUP($H$5,'Met Data'!$A$2:$F$368,G919,FALSE)</f>
        <v>18.313793103448202</v>
      </c>
      <c r="J919" s="119">
        <f ca="1">HLOOKUP($H$5,'Met Data'!$H$2:$M$368,G919,FALSE)*L919</f>
        <v>4.1758620689655102</v>
      </c>
      <c r="K919" s="98">
        <f ca="1">HLOOKUP($H$5,'Met Data'!$O$2:$T$368,G919,FALSE)</f>
        <v>3.6905226687271502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62</v>
      </c>
      <c r="H920" s="97">
        <f t="shared" ca="1" si="149"/>
        <v>46083</v>
      </c>
      <c r="I920" s="121">
        <f ca="1">HLOOKUP($H$5,'Met Data'!$A$2:$F$368,G920,FALSE)</f>
        <v>18.701724137930999</v>
      </c>
      <c r="J920" s="119">
        <f ca="1">HLOOKUP($H$5,'Met Data'!$H$2:$M$368,G920,FALSE)*L920</f>
        <v>2.4379310344827498</v>
      </c>
      <c r="K920" s="98">
        <f ca="1">HLOOKUP($H$5,'Met Data'!$O$2:$T$368,G920,FALSE)</f>
        <v>3.7650592582328399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63</v>
      </c>
      <c r="H921" s="97">
        <f t="shared" ca="1" si="149"/>
        <v>46084</v>
      </c>
      <c r="I921" s="121">
        <f ca="1">HLOOKUP($H$5,'Met Data'!$A$2:$F$368,G921,FALSE)</f>
        <v>18.759999999999899</v>
      </c>
      <c r="J921" s="119">
        <f ca="1">HLOOKUP($H$5,'Met Data'!$H$2:$M$368,G921,FALSE)*L921</f>
        <v>3.53666666666666</v>
      </c>
      <c r="K921" s="98">
        <f ca="1">HLOOKUP($H$5,'Met Data'!$O$2:$T$368,G921,FALSE)</f>
        <v>3.6493457095997699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64</v>
      </c>
      <c r="H922" s="97">
        <f t="shared" ca="1" si="149"/>
        <v>46085</v>
      </c>
      <c r="I922" s="121">
        <f ca="1">HLOOKUP($H$5,'Met Data'!$A$2:$F$368,G922,FALSE)</f>
        <v>18.0322580645161</v>
      </c>
      <c r="J922" s="119">
        <f ca="1">HLOOKUP($H$5,'Met Data'!$H$2:$M$368,G922,FALSE)*L922</f>
        <v>5.3612903225806399</v>
      </c>
      <c r="K922" s="98">
        <f ca="1">HLOOKUP($H$5,'Met Data'!$O$2:$T$368,G922,FALSE)</f>
        <v>3.6858306163975501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65</v>
      </c>
      <c r="H923" s="97">
        <f t="shared" ca="1" si="149"/>
        <v>46086</v>
      </c>
      <c r="I923" s="121">
        <f ca="1">HLOOKUP($H$5,'Met Data'!$A$2:$F$368,G923,FALSE)</f>
        <v>17.95</v>
      </c>
      <c r="J923" s="119">
        <f ca="1">HLOOKUP($H$5,'Met Data'!$H$2:$M$368,G923,FALSE)*L923</f>
        <v>2.5580645161290301</v>
      </c>
      <c r="K923" s="98">
        <f ca="1">HLOOKUP($H$5,'Met Data'!$O$2:$T$368,G923,FALSE)</f>
        <v>3.6617176102227802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66</v>
      </c>
      <c r="H924" s="97">
        <f t="shared" ca="1" si="149"/>
        <v>46087</v>
      </c>
      <c r="I924" s="121">
        <f ca="1">HLOOKUP($H$5,'Met Data'!$A$2:$F$368,G924,FALSE)</f>
        <v>18.361290322580601</v>
      </c>
      <c r="J924" s="119">
        <f ca="1">HLOOKUP($H$5,'Met Data'!$H$2:$M$368,G924,FALSE)*L924</f>
        <v>2.3129032258064499</v>
      </c>
      <c r="K924" s="98">
        <f ca="1">HLOOKUP($H$5,'Met Data'!$O$2:$T$368,G924,FALSE)</f>
        <v>3.8548213926682098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67</v>
      </c>
      <c r="H925" s="97">
        <f t="shared" ca="1" si="149"/>
        <v>46088</v>
      </c>
      <c r="I925" s="121">
        <f ca="1">HLOOKUP($H$5,'Met Data'!$A$2:$F$368,G925,FALSE)</f>
        <v>17.7903225806451</v>
      </c>
      <c r="J925" s="119">
        <f ca="1">HLOOKUP($H$5,'Met Data'!$H$2:$M$368,G925,FALSE)*L925</f>
        <v>2.88709677419354</v>
      </c>
      <c r="K925" s="98">
        <f ca="1">HLOOKUP($H$5,'Met Data'!$O$2:$T$368,G925,FALSE)</f>
        <v>3.4909393601542198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68</v>
      </c>
      <c r="H926" s="97">
        <f t="shared" ca="1" si="149"/>
        <v>46089</v>
      </c>
      <c r="I926" s="121">
        <f ca="1">HLOOKUP($H$5,'Met Data'!$A$2:$F$368,G926,FALSE)</f>
        <v>18.141379310344799</v>
      </c>
      <c r="J926" s="119">
        <f ca="1">HLOOKUP($H$5,'Met Data'!$H$2:$M$368,G926,FALSE)*L926</f>
        <v>1.0379310344827499</v>
      </c>
      <c r="K926" s="98">
        <f ca="1">HLOOKUP($H$5,'Met Data'!$O$2:$T$368,G926,FALSE)</f>
        <v>3.8084649299222599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69</v>
      </c>
      <c r="H927" s="97">
        <f t="shared" ca="1" si="149"/>
        <v>46090</v>
      </c>
      <c r="I927" s="121">
        <f ca="1">HLOOKUP($H$5,'Met Data'!$A$2:$F$368,G927,FALSE)</f>
        <v>18.3816666666666</v>
      </c>
      <c r="J927" s="119">
        <f ca="1">HLOOKUP($H$5,'Met Data'!$H$2:$M$368,G927,FALSE)*L927</f>
        <v>3.2766666666666602</v>
      </c>
      <c r="K927" s="98">
        <f ca="1">HLOOKUP($H$5,'Met Data'!$O$2:$T$368,G927,FALSE)</f>
        <v>3.6161533155938699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70</v>
      </c>
      <c r="H928" s="97">
        <f t="shared" ca="1" si="149"/>
        <v>46091</v>
      </c>
      <c r="I928" s="121">
        <f ca="1">HLOOKUP($H$5,'Met Data'!$A$2:$F$368,G928,FALSE)</f>
        <v>18.100000000000001</v>
      </c>
      <c r="J928" s="119">
        <f ca="1">HLOOKUP($H$5,'Met Data'!$H$2:$M$368,G928,FALSE)*L928</f>
        <v>1.75</v>
      </c>
      <c r="K928" s="98">
        <f ca="1">HLOOKUP($H$5,'Met Data'!$O$2:$T$368,G928,FALSE)</f>
        <v>3.9222011256035199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71</v>
      </c>
      <c r="H929" s="97">
        <f t="shared" ca="1" si="149"/>
        <v>46092</v>
      </c>
      <c r="I929" s="121">
        <f ca="1">HLOOKUP($H$5,'Met Data'!$A$2:$F$368,G929,FALSE)</f>
        <v>17.931666666666601</v>
      </c>
      <c r="J929" s="119">
        <f ca="1">HLOOKUP($H$5,'Met Data'!$H$2:$M$368,G929,FALSE)*L929</f>
        <v>6.9499999999999904</v>
      </c>
      <c r="K929" s="98">
        <f ca="1">HLOOKUP($H$5,'Met Data'!$O$2:$T$368,G929,FALSE)</f>
        <v>3.4661109817168501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72</v>
      </c>
      <c r="H930" s="97">
        <f t="shared" ca="1" si="149"/>
        <v>46093</v>
      </c>
      <c r="I930" s="121">
        <f ca="1">HLOOKUP($H$5,'Met Data'!$A$2:$F$368,G930,FALSE)</f>
        <v>18.11</v>
      </c>
      <c r="J930" s="119">
        <f ca="1">HLOOKUP($H$5,'Met Data'!$H$2:$M$368,G930,FALSE)*L930</f>
        <v>3.0533333333333301</v>
      </c>
      <c r="K930" s="98">
        <f ca="1">HLOOKUP($H$5,'Met Data'!$O$2:$T$368,G930,FALSE)</f>
        <v>3.54178935257598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73</v>
      </c>
      <c r="H931" s="97">
        <f t="shared" ca="1" si="149"/>
        <v>46094</v>
      </c>
      <c r="I931" s="121">
        <f ca="1">HLOOKUP($H$5,'Met Data'!$A$2:$F$368,G931,FALSE)</f>
        <v>17.7392857142857</v>
      </c>
      <c r="J931" s="119">
        <f ca="1">HLOOKUP($H$5,'Met Data'!$H$2:$M$368,G931,FALSE)*L931</f>
        <v>1.6892857142857101</v>
      </c>
      <c r="K931" s="98">
        <f ca="1">HLOOKUP($H$5,'Met Data'!$O$2:$T$368,G931,FALSE)</f>
        <v>3.3591305391228099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74</v>
      </c>
      <c r="H932" s="97">
        <f t="shared" ca="1" si="149"/>
        <v>46095</v>
      </c>
      <c r="I932" s="121">
        <f ca="1">HLOOKUP($H$5,'Met Data'!$A$2:$F$368,G932,FALSE)</f>
        <v>17.7431034482758</v>
      </c>
      <c r="J932" s="119">
        <f ca="1">HLOOKUP($H$5,'Met Data'!$H$2:$M$368,G932,FALSE)*L932</f>
        <v>1.84</v>
      </c>
      <c r="K932" s="98">
        <f ca="1">HLOOKUP($H$5,'Met Data'!$O$2:$T$368,G932,FALSE)</f>
        <v>3.37236322021164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75</v>
      </c>
      <c r="H933" s="97">
        <f t="shared" ca="1" si="149"/>
        <v>46096</v>
      </c>
      <c r="I933" s="121">
        <f ca="1">HLOOKUP($H$5,'Met Data'!$A$2:$F$368,G933,FALSE)</f>
        <v>17.582758620689599</v>
      </c>
      <c r="J933" s="119">
        <f ca="1">HLOOKUP($H$5,'Met Data'!$H$2:$M$368,G933,FALSE)*L933</f>
        <v>3.1862068965517198</v>
      </c>
      <c r="K933" s="98">
        <f ca="1">HLOOKUP($H$5,'Met Data'!$O$2:$T$368,G933,FALSE)</f>
        <v>3.1968269295082399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76</v>
      </c>
      <c r="H934" s="97">
        <f t="shared" ca="1" si="149"/>
        <v>46097</v>
      </c>
      <c r="I934" s="121">
        <f ca="1">HLOOKUP($H$5,'Met Data'!$A$2:$F$368,G934,FALSE)</f>
        <v>17.724137931034399</v>
      </c>
      <c r="J934" s="119">
        <f ca="1">HLOOKUP($H$5,'Met Data'!$H$2:$M$368,G934,FALSE)*L934</f>
        <v>2.9633333333333298</v>
      </c>
      <c r="K934" s="98">
        <f ca="1">HLOOKUP($H$5,'Met Data'!$O$2:$T$368,G934,FALSE)</f>
        <v>3.15313078143424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77</v>
      </c>
      <c r="H935" s="97">
        <f t="shared" ca="1" si="149"/>
        <v>46098</v>
      </c>
      <c r="I935" s="121">
        <f ca="1">HLOOKUP($H$5,'Met Data'!$A$2:$F$368,G935,FALSE)</f>
        <v>17.698333333333299</v>
      </c>
      <c r="J935" s="119">
        <f ca="1">HLOOKUP($H$5,'Met Data'!$H$2:$M$368,G935,FALSE)*L935</f>
        <v>2.61666666666666</v>
      </c>
      <c r="K935" s="98">
        <f ca="1">HLOOKUP($H$5,'Met Data'!$O$2:$T$368,G935,FALSE)</f>
        <v>3.4068572568745799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78</v>
      </c>
      <c r="H936" s="97">
        <f t="shared" ca="1" si="149"/>
        <v>46099</v>
      </c>
      <c r="I936" s="121">
        <f ca="1">HLOOKUP($H$5,'Met Data'!$A$2:$F$368,G936,FALSE)</f>
        <v>17.62</v>
      </c>
      <c r="J936" s="119">
        <f ca="1">HLOOKUP($H$5,'Met Data'!$H$2:$M$368,G936,FALSE)*L936</f>
        <v>1.69</v>
      </c>
      <c r="K936" s="98">
        <f ca="1">HLOOKUP($H$5,'Met Data'!$O$2:$T$368,G936,FALSE)</f>
        <v>3.17632774581707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79</v>
      </c>
      <c r="H937" s="97">
        <f t="shared" ca="1" si="149"/>
        <v>46100</v>
      </c>
      <c r="I937" s="121">
        <f ca="1">HLOOKUP($H$5,'Met Data'!$A$2:$F$368,G937,FALSE)</f>
        <v>17.170000000000002</v>
      </c>
      <c r="J937" s="119">
        <f ca="1">HLOOKUP($H$5,'Met Data'!$H$2:$M$368,G937,FALSE)*L937</f>
        <v>1.5166666666666599</v>
      </c>
      <c r="K937" s="98">
        <f ca="1">HLOOKUP($H$5,'Met Data'!$O$2:$T$368,G937,FALSE)</f>
        <v>3.38121466442426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80</v>
      </c>
      <c r="H938" s="97">
        <f t="shared" ca="1" si="149"/>
        <v>46101</v>
      </c>
      <c r="I938" s="121">
        <f ca="1">HLOOKUP($H$5,'Met Data'!$A$2:$F$368,G938,FALSE)</f>
        <v>17.223333333333301</v>
      </c>
      <c r="J938" s="119">
        <f ca="1">HLOOKUP($H$5,'Met Data'!$H$2:$M$368,G938,FALSE)*L938</f>
        <v>3.56451612903225</v>
      </c>
      <c r="K938" s="98">
        <f ca="1">HLOOKUP($H$5,'Met Data'!$O$2:$T$368,G938,FALSE)</f>
        <v>3.2035769560803802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81</v>
      </c>
      <c r="H939" s="97">
        <f t="shared" ca="1" si="149"/>
        <v>46102</v>
      </c>
      <c r="I939" s="121">
        <f ca="1">HLOOKUP($H$5,'Met Data'!$A$2:$F$368,G939,FALSE)</f>
        <v>17.498333333333299</v>
      </c>
      <c r="J939" s="119">
        <f ca="1">HLOOKUP($H$5,'Met Data'!$H$2:$M$368,G939,FALSE)*L939</f>
        <v>0.80645161290322498</v>
      </c>
      <c r="K939" s="98">
        <f ca="1">HLOOKUP($H$5,'Met Data'!$O$2:$T$368,G939,FALSE)</f>
        <v>3.31927458571925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82</v>
      </c>
      <c r="H940" s="97">
        <f t="shared" ca="1" si="149"/>
        <v>46103</v>
      </c>
      <c r="I940" s="121">
        <f ca="1">HLOOKUP($H$5,'Met Data'!$A$2:$F$368,G940,FALSE)</f>
        <v>17.390322580645101</v>
      </c>
      <c r="J940" s="119">
        <f ca="1">HLOOKUP($H$5,'Met Data'!$H$2:$M$368,G940,FALSE)*L940</f>
        <v>2.8516129032258002</v>
      </c>
      <c r="K940" s="98">
        <f ca="1">HLOOKUP($H$5,'Met Data'!$O$2:$T$368,G940,FALSE)</f>
        <v>3.3284502448926401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83</v>
      </c>
      <c r="H941" s="97">
        <f t="shared" ca="1" si="149"/>
        <v>46104</v>
      </c>
      <c r="I941" s="121">
        <f ca="1">HLOOKUP($H$5,'Met Data'!$A$2:$F$368,G941,FALSE)</f>
        <v>17.053333333333299</v>
      </c>
      <c r="J941" s="119">
        <f ca="1">HLOOKUP($H$5,'Met Data'!$H$2:$M$368,G941,FALSE)*L941</f>
        <v>2.9933333333333301</v>
      </c>
      <c r="K941" s="98">
        <f ca="1">HLOOKUP($H$5,'Met Data'!$O$2:$T$368,G941,FALSE)</f>
        <v>3.1676733133647299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84</v>
      </c>
      <c r="H942" s="97">
        <f t="shared" ca="1" si="149"/>
        <v>46105</v>
      </c>
      <c r="I942" s="121">
        <f ca="1">HLOOKUP($H$5,'Met Data'!$A$2:$F$368,G942,FALSE)</f>
        <v>16.973333333333301</v>
      </c>
      <c r="J942" s="119">
        <f ca="1">HLOOKUP($H$5,'Met Data'!$H$2:$M$368,G942,FALSE)*L942</f>
        <v>1.83666666666666</v>
      </c>
      <c r="K942" s="98">
        <f ca="1">HLOOKUP($H$5,'Met Data'!$O$2:$T$368,G942,FALSE)</f>
        <v>3.1307694102164598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85</v>
      </c>
      <c r="H943" s="97">
        <f t="shared" ca="1" si="149"/>
        <v>46106</v>
      </c>
      <c r="I943" s="121">
        <f ca="1">HLOOKUP($H$5,'Met Data'!$A$2:$F$368,G943,FALSE)</f>
        <v>16.984999999999999</v>
      </c>
      <c r="J943" s="119">
        <f ca="1">HLOOKUP($H$5,'Met Data'!$H$2:$M$368,G943,FALSE)*L943</f>
        <v>1.7666666666666599</v>
      </c>
      <c r="K943" s="98">
        <f ca="1">HLOOKUP($H$5,'Met Data'!$O$2:$T$368,G943,FALSE)</f>
        <v>2.9971927749729499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ca="1" si="140"/>
        <v>86</v>
      </c>
      <c r="H944" s="97">
        <f t="shared" ca="1" si="149"/>
        <v>46107</v>
      </c>
      <c r="I944" s="121">
        <f ca="1">HLOOKUP($H$5,'Met Data'!$A$2:$F$368,G944,FALSE)</f>
        <v>17.064516129032199</v>
      </c>
      <c r="J944" s="119">
        <f ca="1">HLOOKUP($H$5,'Met Data'!$H$2:$M$368,G944,FALSE)*L944</f>
        <v>3.4354838709677402</v>
      </c>
      <c r="K944" s="98">
        <f ca="1">HLOOKUP($H$5,'Met Data'!$O$2:$T$368,G944,FALSE)</f>
        <v>3.1405308327099699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ca="1" si="150">H945-DATE(YEAR(H945),1,0)+1</f>
        <v>87</v>
      </c>
      <c r="H945" s="97">
        <f t="shared" ca="1" si="149"/>
        <v>46108</v>
      </c>
      <c r="I945" s="121">
        <f ca="1">HLOOKUP($H$5,'Met Data'!$A$2:$F$368,G945,FALSE)</f>
        <v>17.208064516128999</v>
      </c>
      <c r="J945" s="119">
        <f ca="1">HLOOKUP($H$5,'Met Data'!$H$2:$M$368,G945,FALSE)*L945</f>
        <v>0.97419354838709604</v>
      </c>
      <c r="K945" s="98">
        <f ca="1">HLOOKUP($H$5,'Met Data'!$O$2:$T$368,G945,FALSE)</f>
        <v>3.1295018555019598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ca="1" si="150"/>
        <v>88</v>
      </c>
      <c r="H946" s="97">
        <f t="shared" ca="1" si="149"/>
        <v>46109</v>
      </c>
      <c r="I946" s="121">
        <f ca="1">HLOOKUP($H$5,'Met Data'!$A$2:$F$368,G946,FALSE)</f>
        <v>17.141666666666602</v>
      </c>
      <c r="J946" s="119">
        <f ca="1">HLOOKUP($H$5,'Met Data'!$H$2:$M$368,G946,FALSE)*L946</f>
        <v>2.43225806451612</v>
      </c>
      <c r="K946" s="98">
        <f ca="1">HLOOKUP($H$5,'Met Data'!$O$2:$T$368,G946,FALSE)</f>
        <v>2.6600638405747499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89</v>
      </c>
      <c r="H947" s="97">
        <f t="shared" ca="1" si="149"/>
        <v>46110</v>
      </c>
      <c r="I947" s="121">
        <f ca="1">HLOOKUP($H$5,'Met Data'!$A$2:$F$368,G947,FALSE)</f>
        <v>17.338333333333299</v>
      </c>
      <c r="J947" s="119">
        <f ca="1">HLOOKUP($H$5,'Met Data'!$H$2:$M$368,G947,FALSE)*L947</f>
        <v>2.8193548387096699</v>
      </c>
      <c r="K947" s="98">
        <f ca="1">HLOOKUP($H$5,'Met Data'!$O$2:$T$368,G947,FALSE)</f>
        <v>2.7816184084358899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90</v>
      </c>
      <c r="H948" s="97">
        <f t="shared" ca="1" si="149"/>
        <v>46111</v>
      </c>
      <c r="I948" s="121">
        <f ca="1">HLOOKUP($H$5,'Met Data'!$A$2:$F$368,G948,FALSE)</f>
        <v>17.136206896551698</v>
      </c>
      <c r="J948" s="119">
        <f ca="1">HLOOKUP($H$5,'Met Data'!$H$2:$M$368,G948,FALSE)*L948</f>
        <v>1.15333333333333</v>
      </c>
      <c r="K948" s="98">
        <f ca="1">HLOOKUP($H$5,'Met Data'!$O$2:$T$368,G948,FALSE)</f>
        <v>3.16549451986696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91</v>
      </c>
      <c r="H949" s="97">
        <f t="shared" ca="1" si="149"/>
        <v>46112</v>
      </c>
      <c r="I949" s="121">
        <f ca="1">HLOOKUP($H$5,'Met Data'!$A$2:$F$368,G949,FALSE)</f>
        <v>16.922413793103399</v>
      </c>
      <c r="J949" s="119">
        <f ca="1">HLOOKUP($H$5,'Met Data'!$H$2:$M$368,G949,FALSE)*L949</f>
        <v>2.9733333333333301</v>
      </c>
      <c r="K949" s="98">
        <f ca="1">HLOOKUP($H$5,'Met Data'!$O$2:$T$368,G949,FALSE)</f>
        <v>2.84233525233393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92</v>
      </c>
      <c r="H950" s="97">
        <f t="shared" ca="1" si="149"/>
        <v>46113</v>
      </c>
      <c r="I950" s="121">
        <f ca="1">HLOOKUP($H$5,'Met Data'!$A$2:$F$368,G950,FALSE)</f>
        <v>16.63</v>
      </c>
      <c r="J950" s="119">
        <f ca="1">HLOOKUP($H$5,'Met Data'!$H$2:$M$368,G950,FALSE)*L950</f>
        <v>1.76451612903225</v>
      </c>
      <c r="K950" s="98">
        <f ca="1">HLOOKUP($H$5,'Met Data'!$O$2:$T$368,G950,FALSE)</f>
        <v>2.8748972399291501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93</v>
      </c>
      <c r="H951" s="97">
        <f t="shared" ca="1" si="149"/>
        <v>46114</v>
      </c>
      <c r="I951" s="121">
        <f ca="1">HLOOKUP($H$5,'Met Data'!$A$2:$F$368,G951,FALSE)</f>
        <v>16.5379310344827</v>
      </c>
      <c r="J951" s="119">
        <f ca="1">HLOOKUP($H$5,'Met Data'!$H$2:$M$368,G951,FALSE)*L951</f>
        <v>3.32258064516129</v>
      </c>
      <c r="K951" s="98">
        <f ca="1">HLOOKUP($H$5,'Met Data'!$O$2:$T$368,G951,FALSE)</f>
        <v>2.5469261916112398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94</v>
      </c>
      <c r="H952" s="97">
        <f t="shared" ca="1" si="149"/>
        <v>46115</v>
      </c>
      <c r="I952" s="121">
        <f ca="1">HLOOKUP($H$5,'Met Data'!$A$2:$F$368,G952,FALSE)</f>
        <v>16.693103448275799</v>
      </c>
      <c r="J952" s="119">
        <f ca="1">HLOOKUP($H$5,'Met Data'!$H$2:$M$368,G952,FALSE)*L952</f>
        <v>2.8064516129032202</v>
      </c>
      <c r="K952" s="98">
        <f ca="1">HLOOKUP($H$5,'Met Data'!$O$2:$T$368,G952,FALSE)</f>
        <v>2.8493466745517901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95</v>
      </c>
      <c r="H953" s="97">
        <f t="shared" ca="1" si="149"/>
        <v>46116</v>
      </c>
      <c r="I953" s="121">
        <f ca="1">HLOOKUP($H$5,'Met Data'!$A$2:$F$368,G953,FALSE)</f>
        <v>16.29</v>
      </c>
      <c r="J953" s="119">
        <f ca="1">HLOOKUP($H$5,'Met Data'!$H$2:$M$368,G953,FALSE)*L953</f>
        <v>1.4483870967741901</v>
      </c>
      <c r="K953" s="98">
        <f ca="1">HLOOKUP($H$5,'Met Data'!$O$2:$T$368,G953,FALSE)</f>
        <v>3.04847392107171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96</v>
      </c>
      <c r="H954" s="97">
        <f t="shared" ca="1" si="149"/>
        <v>46117</v>
      </c>
      <c r="I954" s="121">
        <f ca="1">HLOOKUP($H$5,'Met Data'!$A$2:$F$368,G954,FALSE)</f>
        <v>16.28</v>
      </c>
      <c r="J954" s="119">
        <f ca="1">HLOOKUP($H$5,'Met Data'!$H$2:$M$368,G954,FALSE)*L954</f>
        <v>1.6838709677419299</v>
      </c>
      <c r="K954" s="98">
        <f ca="1">HLOOKUP($H$5,'Met Data'!$O$2:$T$368,G954,FALSE)</f>
        <v>2.9631357104845102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97</v>
      </c>
      <c r="H955" s="97">
        <f t="shared" ca="1" si="149"/>
        <v>46118</v>
      </c>
      <c r="I955" s="121">
        <f ca="1">HLOOKUP($H$5,'Met Data'!$A$2:$F$368,G955,FALSE)</f>
        <v>16.288333333333298</v>
      </c>
      <c r="J955" s="119">
        <f ca="1">HLOOKUP($H$5,'Met Data'!$H$2:$M$368,G955,FALSE)*L955</f>
        <v>3.1066666666666598</v>
      </c>
      <c r="K955" s="98">
        <f ca="1">HLOOKUP($H$5,'Met Data'!$O$2:$T$368,G955,FALSE)</f>
        <v>2.8364094228266699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98</v>
      </c>
      <c r="H956" s="97">
        <f t="shared" ca="1" si="149"/>
        <v>46119</v>
      </c>
      <c r="I956" s="121">
        <f ca="1">HLOOKUP($H$5,'Met Data'!$A$2:$F$368,G956,FALSE)</f>
        <v>16.247502601456802</v>
      </c>
      <c r="J956" s="119">
        <f ca="1">HLOOKUP($H$5,'Met Data'!$H$2:$M$368,G956,FALSE)*L956</f>
        <v>2.3033333333333301</v>
      </c>
      <c r="K956" s="98">
        <f ca="1">HLOOKUP($H$5,'Met Data'!$O$2:$T$368,G956,FALSE)</f>
        <v>2.7733248568186499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99</v>
      </c>
      <c r="H957" s="97">
        <f t="shared" ca="1" si="149"/>
        <v>46120</v>
      </c>
      <c r="I957" s="121">
        <f ca="1">HLOOKUP($H$5,'Met Data'!$A$2:$F$368,G957,FALSE)</f>
        <v>15.9919354838709</v>
      </c>
      <c r="J957" s="119">
        <f ca="1">HLOOKUP($H$5,'Met Data'!$H$2:$M$368,G957,FALSE)*L957</f>
        <v>3.04</v>
      </c>
      <c r="K957" s="98">
        <f ca="1">HLOOKUP($H$5,'Met Data'!$O$2:$T$368,G957,FALSE)</f>
        <v>2.4928303491288801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100</v>
      </c>
      <c r="H958" s="97">
        <f t="shared" ca="1" si="149"/>
        <v>46121</v>
      </c>
      <c r="I958" s="121">
        <f ca="1">HLOOKUP($H$5,'Met Data'!$A$2:$F$368,G958,FALSE)</f>
        <v>15.7</v>
      </c>
      <c r="J958" s="119">
        <f ca="1">HLOOKUP($H$5,'Met Data'!$H$2:$M$368,G958,FALSE)*L958</f>
        <v>4.67</v>
      </c>
      <c r="K958" s="98">
        <f ca="1">HLOOKUP($H$5,'Met Data'!$O$2:$T$368,G958,FALSE)</f>
        <v>2.4645244256425198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101</v>
      </c>
      <c r="H959" s="97">
        <f t="shared" ca="1" si="149"/>
        <v>46122</v>
      </c>
      <c r="I959" s="121">
        <f ca="1">HLOOKUP($H$5,'Met Data'!$A$2:$F$368,G959,FALSE)</f>
        <v>15.6066666666666</v>
      </c>
      <c r="J959" s="119">
        <f ca="1">HLOOKUP($H$5,'Met Data'!$H$2:$M$368,G959,FALSE)*L959</f>
        <v>2.9099999999999899</v>
      </c>
      <c r="K959" s="98">
        <f ca="1">HLOOKUP($H$5,'Met Data'!$O$2:$T$368,G959,FALSE)</f>
        <v>2.6085032852196299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102</v>
      </c>
      <c r="H960" s="97">
        <f t="shared" ca="1" si="149"/>
        <v>46123</v>
      </c>
      <c r="I960" s="121">
        <f ca="1">HLOOKUP($H$5,'Met Data'!$A$2:$F$368,G960,FALSE)</f>
        <v>15.335000000000001</v>
      </c>
      <c r="J960" s="119">
        <f ca="1">HLOOKUP($H$5,'Met Data'!$H$2:$M$368,G960,FALSE)*L960</f>
        <v>2.68333333333333</v>
      </c>
      <c r="K960" s="98">
        <f ca="1">HLOOKUP($H$5,'Met Data'!$O$2:$T$368,G960,FALSE)</f>
        <v>2.45140037536581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103</v>
      </c>
      <c r="H961" s="97">
        <f t="shared" ca="1" si="149"/>
        <v>46124</v>
      </c>
      <c r="I961" s="121">
        <f ca="1">HLOOKUP($H$5,'Met Data'!$A$2:$F$368,G961,FALSE)</f>
        <v>15.3916666666666</v>
      </c>
      <c r="J961" s="119">
        <f ca="1">HLOOKUP($H$5,'Met Data'!$H$2:$M$368,G961,FALSE)*L961</f>
        <v>4.07</v>
      </c>
      <c r="K961" s="98">
        <f ca="1">HLOOKUP($H$5,'Met Data'!$O$2:$T$368,G961,FALSE)</f>
        <v>2.54129590695179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104</v>
      </c>
      <c r="H962" s="97">
        <f t="shared" ca="1" si="149"/>
        <v>46125</v>
      </c>
      <c r="I962" s="121">
        <f ca="1">HLOOKUP($H$5,'Met Data'!$A$2:$F$368,G962,FALSE)</f>
        <v>15.6451612903225</v>
      </c>
      <c r="J962" s="119">
        <f ca="1">HLOOKUP($H$5,'Met Data'!$H$2:$M$368,G962,FALSE)*L962</f>
        <v>2.43333333333333</v>
      </c>
      <c r="K962" s="98">
        <f ca="1">HLOOKUP($H$5,'Met Data'!$O$2:$T$368,G962,FALSE)</f>
        <v>2.5074868670786801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105</v>
      </c>
      <c r="H963" s="97">
        <f t="shared" ca="1" si="149"/>
        <v>46126</v>
      </c>
      <c r="I963" s="121">
        <f ca="1">HLOOKUP($H$5,'Met Data'!$A$2:$F$368,G963,FALSE)</f>
        <v>15.3435483870967</v>
      </c>
      <c r="J963" s="119">
        <f ca="1">HLOOKUP($H$5,'Met Data'!$H$2:$M$368,G963,FALSE)*L963</f>
        <v>3.5533333333333301</v>
      </c>
      <c r="K963" s="98">
        <f ca="1">HLOOKUP($H$5,'Met Data'!$O$2:$T$368,G963,FALSE)</f>
        <v>2.53164431510397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106</v>
      </c>
      <c r="H964" s="97">
        <f t="shared" ca="1" si="149"/>
        <v>46127</v>
      </c>
      <c r="I964" s="121">
        <f ca="1">HLOOKUP($H$5,'Met Data'!$A$2:$F$368,G964,FALSE)</f>
        <v>15.1612903225806</v>
      </c>
      <c r="J964" s="119">
        <f ca="1">HLOOKUP($H$5,'Met Data'!$H$2:$M$368,G964,FALSE)*L964</f>
        <v>2.7451612903225802</v>
      </c>
      <c r="K964" s="98">
        <f ca="1">HLOOKUP($H$5,'Met Data'!$O$2:$T$368,G964,FALSE)</f>
        <v>2.2462315590791202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107</v>
      </c>
      <c r="H965" s="97">
        <f t="shared" ca="1" si="149"/>
        <v>46128</v>
      </c>
      <c r="I965" s="121">
        <f ca="1">HLOOKUP($H$5,'Met Data'!$A$2:$F$368,G965,FALSE)</f>
        <v>15.658064516129</v>
      </c>
      <c r="J965" s="119">
        <f ca="1">HLOOKUP($H$5,'Met Data'!$H$2:$M$368,G965,FALSE)*L965</f>
        <v>3.7677419354838699</v>
      </c>
      <c r="K965" s="98">
        <f ca="1">HLOOKUP($H$5,'Met Data'!$O$2:$T$368,G965,FALSE)</f>
        <v>2.3441419540899799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108</v>
      </c>
      <c r="H966" s="97">
        <f t="shared" ca="1" si="149"/>
        <v>46129</v>
      </c>
      <c r="I966" s="121">
        <f ca="1">HLOOKUP($H$5,'Met Data'!$A$2:$F$368,G966,FALSE)</f>
        <v>15.408064516129</v>
      </c>
      <c r="J966" s="119">
        <f ca="1">HLOOKUP($H$5,'Met Data'!$H$2:$M$368,G966,FALSE)*L966</f>
        <v>2.6870967741935399</v>
      </c>
      <c r="K966" s="98">
        <f ca="1">HLOOKUP($H$5,'Met Data'!$O$2:$T$368,G966,FALSE)</f>
        <v>2.0871356285448601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109</v>
      </c>
      <c r="H967" s="97">
        <f t="shared" ca="1" si="149"/>
        <v>46130</v>
      </c>
      <c r="I967" s="121">
        <f ca="1">HLOOKUP($H$5,'Met Data'!$A$2:$F$368,G967,FALSE)</f>
        <v>15.420967741935399</v>
      </c>
      <c r="J967" s="119">
        <f ca="1">HLOOKUP($H$5,'Met Data'!$H$2:$M$368,G967,FALSE)*L967</f>
        <v>2.8516129032258002</v>
      </c>
      <c r="K967" s="98">
        <f ca="1">HLOOKUP($H$5,'Met Data'!$O$2:$T$368,G967,FALSE)</f>
        <v>2.1715863377271001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110</v>
      </c>
      <c r="H968" s="97">
        <f t="shared" ca="1" si="149"/>
        <v>46131</v>
      </c>
      <c r="I968" s="121">
        <f ca="1">HLOOKUP($H$5,'Met Data'!$A$2:$F$368,G968,FALSE)</f>
        <v>15.193548387096699</v>
      </c>
      <c r="J968" s="119">
        <f ca="1">HLOOKUP($H$5,'Met Data'!$H$2:$M$368,G968,FALSE)*L968</f>
        <v>2.4258064516129001</v>
      </c>
      <c r="K968" s="98">
        <f ca="1">HLOOKUP($H$5,'Met Data'!$O$2:$T$368,G968,FALSE)</f>
        <v>2.2979139363353802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111</v>
      </c>
      <c r="H969" s="97">
        <f t="shared" ref="H969:H1000" ca="1" si="159">H968+1</f>
        <v>46132</v>
      </c>
      <c r="I969" s="121">
        <f ca="1">HLOOKUP($H$5,'Met Data'!$A$2:$F$368,G969,FALSE)</f>
        <v>15.4096774193548</v>
      </c>
      <c r="J969" s="119">
        <f ca="1">HLOOKUP($H$5,'Met Data'!$H$2:$M$368,G969,FALSE)*L969</f>
        <v>1.7322580645161201</v>
      </c>
      <c r="K969" s="98">
        <f ca="1">HLOOKUP($H$5,'Met Data'!$O$2:$T$368,G969,FALSE)</f>
        <v>2.3194627801487999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112</v>
      </c>
      <c r="H970" s="97">
        <f t="shared" ca="1" si="159"/>
        <v>46133</v>
      </c>
      <c r="I970" s="121">
        <f ca="1">HLOOKUP($H$5,'Met Data'!$A$2:$F$368,G970,FALSE)</f>
        <v>15.261666666666599</v>
      </c>
      <c r="J970" s="119">
        <f ca="1">HLOOKUP($H$5,'Met Data'!$H$2:$M$368,G970,FALSE)*L970</f>
        <v>4.0161290322580596</v>
      </c>
      <c r="K970" s="98">
        <f ca="1">HLOOKUP($H$5,'Met Data'!$O$2:$T$368,G970,FALSE)</f>
        <v>2.3321304827068001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113</v>
      </c>
      <c r="H971" s="97">
        <f t="shared" ca="1" si="159"/>
        <v>46134</v>
      </c>
      <c r="I971" s="121">
        <f ca="1">HLOOKUP($H$5,'Met Data'!$A$2:$F$368,G971,FALSE)</f>
        <v>14.5283333333333</v>
      </c>
      <c r="J971" s="119">
        <f ca="1">HLOOKUP($H$5,'Met Data'!$H$2:$M$368,G971,FALSE)*L971</f>
        <v>3.5258064516129002</v>
      </c>
      <c r="K971" s="98">
        <f ca="1">HLOOKUP($H$5,'Met Data'!$O$2:$T$368,G971,FALSE)</f>
        <v>2.2184505421646001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114</v>
      </c>
      <c r="H972" s="97">
        <f t="shared" ca="1" si="159"/>
        <v>46135</v>
      </c>
      <c r="I972" s="121">
        <f ca="1">HLOOKUP($H$5,'Met Data'!$A$2:$F$368,G972,FALSE)</f>
        <v>14.68</v>
      </c>
      <c r="J972" s="119">
        <f ca="1">HLOOKUP($H$5,'Met Data'!$H$2:$M$368,G972,FALSE)*L972</f>
        <v>2.28709677419354</v>
      </c>
      <c r="K972" s="98">
        <f ca="1">HLOOKUP($H$5,'Met Data'!$O$2:$T$368,G972,FALSE)</f>
        <v>2.2540363688604601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115</v>
      </c>
      <c r="H973" s="97">
        <f t="shared" ca="1" si="159"/>
        <v>46136</v>
      </c>
      <c r="I973" s="121">
        <f ca="1">HLOOKUP($H$5,'Met Data'!$A$2:$F$368,G973,FALSE)</f>
        <v>14.4933333333333</v>
      </c>
      <c r="J973" s="119">
        <f ca="1">HLOOKUP($H$5,'Met Data'!$H$2:$M$368,G973,FALSE)*L973</f>
        <v>4.3387096774193497</v>
      </c>
      <c r="K973" s="98">
        <f ca="1">HLOOKUP($H$5,'Met Data'!$O$2:$T$368,G973,FALSE)</f>
        <v>2.2396347152399998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116</v>
      </c>
      <c r="H974" s="97">
        <f t="shared" ca="1" si="159"/>
        <v>46137</v>
      </c>
      <c r="I974" s="121">
        <f ca="1">HLOOKUP($H$5,'Met Data'!$A$2:$F$368,G974,FALSE)</f>
        <v>14.7733333333333</v>
      </c>
      <c r="J974" s="119">
        <f ca="1">HLOOKUP($H$5,'Met Data'!$H$2:$M$368,G974,FALSE)*L974</f>
        <v>6.4580645161290304</v>
      </c>
      <c r="K974" s="98">
        <f ca="1">HLOOKUP($H$5,'Met Data'!$O$2:$T$368,G974,FALSE)</f>
        <v>2.0110185254269899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117</v>
      </c>
      <c r="H975" s="97">
        <f t="shared" ca="1" si="159"/>
        <v>46138</v>
      </c>
      <c r="I975" s="121">
        <f ca="1">HLOOKUP($H$5,'Met Data'!$A$2:$F$368,G975,FALSE)</f>
        <v>14.998333333333299</v>
      </c>
      <c r="J975" s="119">
        <f ca="1">HLOOKUP($H$5,'Met Data'!$H$2:$M$368,G975,FALSE)*L975</f>
        <v>3.1903225806451601</v>
      </c>
      <c r="K975" s="98">
        <f ca="1">HLOOKUP($H$5,'Met Data'!$O$2:$T$368,G975,FALSE)</f>
        <v>2.1294944258891699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118</v>
      </c>
      <c r="H976" s="97">
        <f t="shared" ca="1" si="159"/>
        <v>46139</v>
      </c>
      <c r="I976" s="121">
        <f ca="1">HLOOKUP($H$5,'Met Data'!$A$2:$F$368,G976,FALSE)</f>
        <v>15.395</v>
      </c>
      <c r="J976" s="119">
        <f ca="1">HLOOKUP($H$5,'Met Data'!$H$2:$M$368,G976,FALSE)*L976</f>
        <v>2.8516129032258002</v>
      </c>
      <c r="K976" s="98">
        <f ca="1">HLOOKUP($H$5,'Met Data'!$O$2:$T$368,G976,FALSE)</f>
        <v>2.1336270025185899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119</v>
      </c>
      <c r="H977" s="97">
        <f t="shared" ca="1" si="159"/>
        <v>46140</v>
      </c>
      <c r="I977" s="121">
        <f ca="1">HLOOKUP($H$5,'Met Data'!$A$2:$F$368,G977,FALSE)</f>
        <v>15.641379310344799</v>
      </c>
      <c r="J977" s="119">
        <f ca="1">HLOOKUP($H$5,'Met Data'!$H$2:$M$368,G977,FALSE)*L977</f>
        <v>3.74193548387096</v>
      </c>
      <c r="K977" s="98">
        <f ca="1">HLOOKUP($H$5,'Met Data'!$O$2:$T$368,G977,FALSE)</f>
        <v>2.0365768668725401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120</v>
      </c>
      <c r="H978" s="97">
        <f t="shared" ca="1" si="159"/>
        <v>46141</v>
      </c>
      <c r="I978" s="121">
        <f ca="1">HLOOKUP($H$5,'Met Data'!$A$2:$F$368,G978,FALSE)</f>
        <v>14.7327586206896</v>
      </c>
      <c r="J978" s="119">
        <f ca="1">HLOOKUP($H$5,'Met Data'!$H$2:$M$368,G978,FALSE)*L978</f>
        <v>3.3129032258064499</v>
      </c>
      <c r="K978" s="98">
        <f ca="1">HLOOKUP($H$5,'Met Data'!$O$2:$T$368,G978,FALSE)</f>
        <v>2.1199579861729001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121</v>
      </c>
      <c r="H979" s="97">
        <f t="shared" ca="1" si="159"/>
        <v>46142</v>
      </c>
      <c r="I979" s="121">
        <f ca="1">HLOOKUP($H$5,'Met Data'!$A$2:$F$368,G979,FALSE)</f>
        <v>14.332758620689599</v>
      </c>
      <c r="J979" s="119">
        <f ca="1">HLOOKUP($H$5,'Met Data'!$H$2:$M$368,G979,FALSE)*L979</f>
        <v>4.4322580645161196</v>
      </c>
      <c r="K979" s="98">
        <f ca="1">HLOOKUP($H$5,'Met Data'!$O$2:$T$368,G979,FALSE)</f>
        <v>1.7270113091402699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122</v>
      </c>
      <c r="H980" s="97">
        <f t="shared" ca="1" si="159"/>
        <v>46143</v>
      </c>
      <c r="I980" s="121">
        <f ca="1">HLOOKUP($H$5,'Met Data'!$A$2:$F$368,G980,FALSE)</f>
        <v>14.3982758620689</v>
      </c>
      <c r="J980" s="119">
        <f ca="1">HLOOKUP($H$5,'Met Data'!$H$2:$M$368,G980,FALSE)*L980</f>
        <v>3.1838709677419299</v>
      </c>
      <c r="K980" s="98">
        <f ca="1">HLOOKUP($H$5,'Met Data'!$O$2:$T$368,G980,FALSE)</f>
        <v>1.93510583623638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123</v>
      </c>
      <c r="H981" s="97">
        <f t="shared" ca="1" si="159"/>
        <v>46144</v>
      </c>
      <c r="I981" s="121">
        <f ca="1">HLOOKUP($H$5,'Met Data'!$A$2:$F$368,G981,FALSE)</f>
        <v>14.296666666666599</v>
      </c>
      <c r="J981" s="119">
        <f ca="1">HLOOKUP($H$5,'Met Data'!$H$2:$M$368,G981,FALSE)*L981</f>
        <v>6.4709677419354801</v>
      </c>
      <c r="K981" s="98">
        <f ca="1">HLOOKUP($H$5,'Met Data'!$O$2:$T$368,G981,FALSE)</f>
        <v>1.84994231207221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124</v>
      </c>
      <c r="H982" s="97">
        <f t="shared" ca="1" si="159"/>
        <v>46145</v>
      </c>
      <c r="I982" s="121">
        <f ca="1">HLOOKUP($H$5,'Met Data'!$A$2:$F$368,G982,FALSE)</f>
        <v>14.1866666666666</v>
      </c>
      <c r="J982" s="119">
        <f ca="1">HLOOKUP($H$5,'Met Data'!$H$2:$M$368,G982,FALSE)*L982</f>
        <v>2.59032258064516</v>
      </c>
      <c r="K982" s="98">
        <f ca="1">HLOOKUP($H$5,'Met Data'!$O$2:$T$368,G982,FALSE)</f>
        <v>1.8652259443704999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125</v>
      </c>
      <c r="H983" s="97">
        <f t="shared" ca="1" si="159"/>
        <v>46146</v>
      </c>
      <c r="I983" s="121">
        <f ca="1">HLOOKUP($H$5,'Met Data'!$A$2:$F$368,G983,FALSE)</f>
        <v>13.9112903225806</v>
      </c>
      <c r="J983" s="119">
        <f ca="1">HLOOKUP($H$5,'Met Data'!$H$2:$M$368,G983,FALSE)*L983</f>
        <v>2.2741935483870899</v>
      </c>
      <c r="K983" s="98">
        <f ca="1">HLOOKUP($H$5,'Met Data'!$O$2:$T$368,G983,FALSE)</f>
        <v>1.88347487361168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126</v>
      </c>
      <c r="H984" s="97">
        <f t="shared" ca="1" si="159"/>
        <v>46147</v>
      </c>
      <c r="I984" s="121">
        <f ca="1">HLOOKUP($H$5,'Met Data'!$A$2:$F$368,G984,FALSE)</f>
        <v>13.9966666666666</v>
      </c>
      <c r="J984" s="119">
        <f ca="1">HLOOKUP($H$5,'Met Data'!$H$2:$M$368,G984,FALSE)*L984</f>
        <v>3.2548387096774101</v>
      </c>
      <c r="K984" s="98">
        <f ca="1">HLOOKUP($H$5,'Met Data'!$O$2:$T$368,G984,FALSE)</f>
        <v>1.9813737718090501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127</v>
      </c>
      <c r="H985" s="97">
        <f t="shared" ca="1" si="159"/>
        <v>46148</v>
      </c>
      <c r="I985" s="121">
        <f ca="1">HLOOKUP($H$5,'Met Data'!$A$2:$F$368,G985,FALSE)</f>
        <v>14.1596774193548</v>
      </c>
      <c r="J985" s="119">
        <f ca="1">HLOOKUP($H$5,'Met Data'!$H$2:$M$368,G985,FALSE)*L985</f>
        <v>3.4483870967741899</v>
      </c>
      <c r="K985" s="98">
        <f ca="1">HLOOKUP($H$5,'Met Data'!$O$2:$T$368,G985,FALSE)</f>
        <v>1.78778032014411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128</v>
      </c>
      <c r="H986" s="97">
        <f t="shared" ca="1" si="159"/>
        <v>46149</v>
      </c>
      <c r="I986" s="121">
        <f ca="1">HLOOKUP($H$5,'Met Data'!$A$2:$F$368,G986,FALSE)</f>
        <v>13.8403225806451</v>
      </c>
      <c r="J986" s="119">
        <f ca="1">HLOOKUP($H$5,'Met Data'!$H$2:$M$368,G986,FALSE)*L986</f>
        <v>1.8387096774193501</v>
      </c>
      <c r="K986" s="98">
        <f ca="1">HLOOKUP($H$5,'Met Data'!$O$2:$T$368,G986,FALSE)</f>
        <v>1.87782016455675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129</v>
      </c>
      <c r="H987" s="97">
        <f t="shared" ca="1" si="159"/>
        <v>46150</v>
      </c>
      <c r="I987" s="121">
        <f ca="1">HLOOKUP($H$5,'Met Data'!$A$2:$F$368,G987,FALSE)</f>
        <v>13.5774193548387</v>
      </c>
      <c r="J987" s="119">
        <f ca="1">HLOOKUP($H$5,'Met Data'!$H$2:$M$368,G987,FALSE)*L987</f>
        <v>3.4064516129032198</v>
      </c>
      <c r="K987" s="98">
        <f ca="1">HLOOKUP($H$5,'Met Data'!$O$2:$T$368,G987,FALSE)</f>
        <v>1.84976774954056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130</v>
      </c>
      <c r="H988" s="97">
        <f t="shared" ca="1" si="159"/>
        <v>46151</v>
      </c>
      <c r="I988" s="121">
        <f ca="1">HLOOKUP($H$5,'Met Data'!$A$2:$F$368,G988,FALSE)</f>
        <v>13.1612903225806</v>
      </c>
      <c r="J988" s="119">
        <f ca="1">HLOOKUP($H$5,'Met Data'!$H$2:$M$368,G988,FALSE)*L988</f>
        <v>2.3258064516129</v>
      </c>
      <c r="K988" s="98">
        <f ca="1">HLOOKUP($H$5,'Met Data'!$O$2:$T$368,G988,FALSE)</f>
        <v>1.7318330822852801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131</v>
      </c>
      <c r="H989" s="97">
        <f t="shared" ca="1" si="159"/>
        <v>46152</v>
      </c>
      <c r="I989" s="121">
        <f ca="1">HLOOKUP($H$5,'Met Data'!$A$2:$F$368,G989,FALSE)</f>
        <v>13.291935483870899</v>
      </c>
      <c r="J989" s="119">
        <f ca="1">HLOOKUP($H$5,'Met Data'!$H$2:$M$368,G989,FALSE)*L989</f>
        <v>3.1733333333333298</v>
      </c>
      <c r="K989" s="98">
        <f ca="1">HLOOKUP($H$5,'Met Data'!$O$2:$T$368,G989,FALSE)</f>
        <v>1.6655372035048599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132</v>
      </c>
      <c r="H990" s="97">
        <f t="shared" ca="1" si="159"/>
        <v>46153</v>
      </c>
      <c r="I990" s="121">
        <f ca="1">HLOOKUP($H$5,'Met Data'!$A$2:$F$368,G990,FALSE)</f>
        <v>13.5774193548387</v>
      </c>
      <c r="J990" s="119">
        <f ca="1">HLOOKUP($H$5,'Met Data'!$H$2:$M$368,G990,FALSE)*L990</f>
        <v>2.4225806451612901</v>
      </c>
      <c r="K990" s="98">
        <f ca="1">HLOOKUP($H$5,'Met Data'!$O$2:$T$368,G990,FALSE)</f>
        <v>1.82340706114468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133</v>
      </c>
      <c r="H991" s="97">
        <f t="shared" ca="1" si="159"/>
        <v>46154</v>
      </c>
      <c r="I991" s="121">
        <f ca="1">HLOOKUP($H$5,'Met Data'!$A$2:$F$368,G991,FALSE)</f>
        <v>13.898387096774099</v>
      </c>
      <c r="J991" s="119">
        <f ca="1">HLOOKUP($H$5,'Met Data'!$H$2:$M$368,G991,FALSE)*L991</f>
        <v>3.56129032258064</v>
      </c>
      <c r="K991" s="98">
        <f ca="1">HLOOKUP($H$5,'Met Data'!$O$2:$T$368,G991,FALSE)</f>
        <v>1.58246048642455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134</v>
      </c>
      <c r="H992" s="97">
        <f t="shared" ca="1" si="159"/>
        <v>46155</v>
      </c>
      <c r="I992" s="121">
        <f ca="1">HLOOKUP($H$5,'Met Data'!$A$2:$F$368,G992,FALSE)</f>
        <v>13.8193548387096</v>
      </c>
      <c r="J992" s="119">
        <f ca="1">HLOOKUP($H$5,'Met Data'!$H$2:$M$368,G992,FALSE)*L992</f>
        <v>3.2677419354838699</v>
      </c>
      <c r="K992" s="98">
        <f ca="1">HLOOKUP($H$5,'Met Data'!$O$2:$T$368,G992,FALSE)</f>
        <v>1.6419912913333301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135</v>
      </c>
      <c r="H993" s="97">
        <f t="shared" ca="1" si="159"/>
        <v>46156</v>
      </c>
      <c r="I993" s="121">
        <f ca="1">HLOOKUP($H$5,'Met Data'!$A$2:$F$368,G993,FALSE)</f>
        <v>13.49</v>
      </c>
      <c r="J993" s="119">
        <f ca="1">HLOOKUP($H$5,'Met Data'!$H$2:$M$368,G993,FALSE)*L993</f>
        <v>2.96129032258064</v>
      </c>
      <c r="K993" s="98">
        <f ca="1">HLOOKUP($H$5,'Met Data'!$O$2:$T$368,G993,FALSE)</f>
        <v>1.7493116405284199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136</v>
      </c>
      <c r="H994" s="97">
        <f t="shared" ca="1" si="159"/>
        <v>46157</v>
      </c>
      <c r="I994" s="121">
        <f ca="1">HLOOKUP($H$5,'Met Data'!$A$2:$F$368,G994,FALSE)</f>
        <v>13.408064516129</v>
      </c>
      <c r="J994" s="119">
        <f ca="1">HLOOKUP($H$5,'Met Data'!$H$2:$M$368,G994,FALSE)*L994</f>
        <v>3.9032258064516099</v>
      </c>
      <c r="K994" s="98">
        <f ca="1">HLOOKUP($H$5,'Met Data'!$O$2:$T$368,G994,FALSE)</f>
        <v>1.5662445189592999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137</v>
      </c>
      <c r="H995" s="97">
        <f t="shared" ca="1" si="159"/>
        <v>46158</v>
      </c>
      <c r="I995" s="121">
        <f ca="1">HLOOKUP($H$5,'Met Data'!$A$2:$F$368,G995,FALSE)</f>
        <v>13.4193548387096</v>
      </c>
      <c r="J995" s="119">
        <f ca="1">HLOOKUP($H$5,'Met Data'!$H$2:$M$368,G995,FALSE)*L995</f>
        <v>4.1322580645161198</v>
      </c>
      <c r="K995" s="98">
        <f ca="1">HLOOKUP($H$5,'Met Data'!$O$2:$T$368,G995,FALSE)</f>
        <v>1.7909891224832299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138</v>
      </c>
      <c r="H996" s="97">
        <f t="shared" ca="1" si="159"/>
        <v>46159</v>
      </c>
      <c r="I996" s="121">
        <f ca="1">HLOOKUP($H$5,'Met Data'!$A$2:$F$368,G996,FALSE)</f>
        <v>13.0177419354838</v>
      </c>
      <c r="J996" s="119">
        <f ca="1">HLOOKUP($H$5,'Met Data'!$H$2:$M$368,G996,FALSE)*L996</f>
        <v>3.8645161290322498</v>
      </c>
      <c r="K996" s="98">
        <f ca="1">HLOOKUP($H$5,'Met Data'!$O$2:$T$368,G996,FALSE)</f>
        <v>1.67932593217038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139</v>
      </c>
      <c r="H997" s="97">
        <f t="shared" ca="1" si="159"/>
        <v>46160</v>
      </c>
      <c r="I997" s="121">
        <f ca="1">HLOOKUP($H$5,'Met Data'!$A$2:$F$368,G997,FALSE)</f>
        <v>12.8774193548387</v>
      </c>
      <c r="J997" s="119">
        <f ca="1">HLOOKUP($H$5,'Met Data'!$H$2:$M$368,G997,FALSE)*L997</f>
        <v>3.7967741935483801</v>
      </c>
      <c r="K997" s="98">
        <f ca="1">HLOOKUP($H$5,'Met Data'!$O$2:$T$368,G997,FALSE)</f>
        <v>1.7647102566828801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140</v>
      </c>
      <c r="H998" s="97">
        <f t="shared" ca="1" si="159"/>
        <v>46161</v>
      </c>
      <c r="I998" s="121">
        <f ca="1">HLOOKUP($H$5,'Met Data'!$A$2:$F$368,G998,FALSE)</f>
        <v>13.3629032258064</v>
      </c>
      <c r="J998" s="119">
        <f ca="1">HLOOKUP($H$5,'Met Data'!$H$2:$M$368,G998,FALSE)*L998</f>
        <v>1.4774193548387</v>
      </c>
      <c r="K998" s="98">
        <f ca="1">HLOOKUP($H$5,'Met Data'!$O$2:$T$368,G998,FALSE)</f>
        <v>1.8502469543140301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141</v>
      </c>
      <c r="H999" s="97">
        <f t="shared" ca="1" si="159"/>
        <v>46162</v>
      </c>
      <c r="I999" s="121">
        <f ca="1">HLOOKUP($H$5,'Met Data'!$A$2:$F$368,G999,FALSE)</f>
        <v>13.314516129032199</v>
      </c>
      <c r="J999" s="119">
        <f ca="1">HLOOKUP($H$5,'Met Data'!$H$2:$M$368,G999,FALSE)*L999</f>
        <v>5.2193548387096698</v>
      </c>
      <c r="K999" s="98">
        <f ca="1">HLOOKUP($H$5,'Met Data'!$O$2:$T$368,G999,FALSE)</f>
        <v>1.4599096570605601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ca="1" si="150"/>
        <v>142</v>
      </c>
      <c r="H1000" s="97">
        <f t="shared" ca="1" si="159"/>
        <v>46163</v>
      </c>
      <c r="I1000" s="121">
        <f ca="1">HLOOKUP($H$5,'Met Data'!$A$2:$F$368,G1000,FALSE)</f>
        <v>13.598387096774101</v>
      </c>
      <c r="J1000" s="119">
        <f ca="1">HLOOKUP($H$5,'Met Data'!$H$2:$M$368,G1000,FALSE)*L1000</f>
        <v>5.1451612903225801</v>
      </c>
      <c r="K1000" s="98">
        <f ca="1">HLOOKUP($H$5,'Met Data'!$O$2:$T$368,G1000,FALSE)</f>
        <v>1.48780958137737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AS1" sqref="AS1:CU10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269</v>
      </c>
      <c r="CT1" t="s">
        <v>270</v>
      </c>
      <c r="CU1" t="s">
        <v>271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275</v>
      </c>
      <c r="CS2" t="s">
        <v>268</v>
      </c>
      <c r="CT2" t="s">
        <v>268</v>
      </c>
      <c r="CU2" t="s">
        <v>268</v>
      </c>
    </row>
    <row r="3" spans="1:99">
      <c r="AS3" s="12"/>
      <c r="AW3" t="s">
        <v>79</v>
      </c>
      <c r="BA3" t="s">
        <v>272</v>
      </c>
      <c r="BO3" t="s">
        <v>90</v>
      </c>
      <c r="BU3" t="s">
        <v>69</v>
      </c>
      <c r="CQ3" s="13" t="s">
        <v>40</v>
      </c>
      <c r="CR3" t="s">
        <v>274</v>
      </c>
      <c r="CS3" t="s">
        <v>260</v>
      </c>
      <c r="CT3" t="s">
        <v>260</v>
      </c>
      <c r="CU3" t="s">
        <v>260</v>
      </c>
    </row>
    <row r="4" spans="1:99">
      <c r="AS4" s="12"/>
      <c r="BA4" t="s">
        <v>273</v>
      </c>
      <c r="BU4" t="s">
        <v>70</v>
      </c>
      <c r="CQ4" s="13"/>
      <c r="CR4" t="s">
        <v>30</v>
      </c>
      <c r="CS4" t="s">
        <v>261</v>
      </c>
      <c r="CT4" t="s">
        <v>261</v>
      </c>
      <c r="CU4" t="s">
        <v>261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262</v>
      </c>
      <c r="CT5" t="s">
        <v>262</v>
      </c>
      <c r="CU5" t="s">
        <v>262</v>
      </c>
    </row>
    <row r="6" spans="1:99" ht="15.75" thickBot="1">
      <c r="AI6" t="s">
        <v>221</v>
      </c>
      <c r="AJ6" t="s">
        <v>223</v>
      </c>
      <c r="AM6" s="125" t="s">
        <v>244</v>
      </c>
      <c r="AN6">
        <v>5</v>
      </c>
      <c r="CS6" t="s">
        <v>263</v>
      </c>
      <c r="CT6" t="s">
        <v>263</v>
      </c>
      <c r="CU6" t="s">
        <v>263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  <c r="CS7" t="s">
        <v>264</v>
      </c>
      <c r="CT7" t="s">
        <v>264</v>
      </c>
      <c r="CU7" t="s">
        <v>264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269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  <c r="CS8" t="s">
        <v>265</v>
      </c>
      <c r="CT8" t="s">
        <v>265</v>
      </c>
      <c r="CU8" t="s">
        <v>265</v>
      </c>
    </row>
    <row r="9" spans="1:99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270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  <c r="CS9" t="s">
        <v>266</v>
      </c>
      <c r="CT9" t="s">
        <v>266</v>
      </c>
      <c r="CU9" t="s">
        <v>266</v>
      </c>
    </row>
    <row r="10" spans="1:99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271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  <c r="CS10" t="s">
        <v>267</v>
      </c>
      <c r="CT10" t="s">
        <v>267</v>
      </c>
      <c r="CU10" t="s">
        <v>267</v>
      </c>
    </row>
    <row r="11" spans="1:99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57" sqref="F1:F57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2024-05-22T05:49:51Z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