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18EBE241-A3BF-4090-AB9A-BEB9BFDC5717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Interface'!$P$7:$AB$1000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D10" i="1" l="1"/>
  <c r="B34" i="3" s="1"/>
  <c r="P4" i="3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Q6" i="3" l="1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S57" i="3"/>
  <c r="AA57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R7" i="3"/>
  <c r="U8" i="3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AE24" i="3" s="1"/>
  <c r="X25" i="3"/>
  <c r="AA26" i="3"/>
  <c r="Q28" i="3"/>
  <c r="T29" i="3"/>
  <c r="W30" i="3"/>
  <c r="Z31" i="3"/>
  <c r="P33" i="3"/>
  <c r="S34" i="3"/>
  <c r="V35" i="3"/>
  <c r="Y36" i="3"/>
  <c r="AB37" i="3"/>
  <c r="R39" i="3"/>
  <c r="U40" i="3"/>
  <c r="X41" i="3"/>
  <c r="AA42" i="3"/>
  <c r="Q44" i="3"/>
  <c r="T45" i="3"/>
  <c r="W46" i="3"/>
  <c r="Z47" i="3"/>
  <c r="P49" i="3"/>
  <c r="S50" i="3"/>
  <c r="V51" i="3"/>
  <c r="Y52" i="3"/>
  <c r="AB53" i="3"/>
  <c r="AA54" i="3"/>
  <c r="X55" i="3"/>
  <c r="U56" i="3"/>
  <c r="T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S6" i="3"/>
  <c r="V7" i="3"/>
  <c r="Y8" i="3"/>
  <c r="AB9" i="3"/>
  <c r="R11" i="3"/>
  <c r="U12" i="3"/>
  <c r="X13" i="3"/>
  <c r="AA14" i="3"/>
  <c r="Q16" i="3"/>
  <c r="T17" i="3"/>
  <c r="W18" i="3"/>
  <c r="Z19" i="3"/>
  <c r="P21" i="3"/>
  <c r="S22" i="3"/>
  <c r="V23" i="3"/>
  <c r="Y24" i="3"/>
  <c r="AB25" i="3"/>
  <c r="R27" i="3"/>
  <c r="U28" i="3"/>
  <c r="X29" i="3"/>
  <c r="AA30" i="3"/>
  <c r="Q32" i="3"/>
  <c r="T33" i="3"/>
  <c r="W34" i="3"/>
  <c r="Z35" i="3"/>
  <c r="P37" i="3"/>
  <c r="S38" i="3"/>
  <c r="V39" i="3"/>
  <c r="Y40" i="3"/>
  <c r="AB41" i="3"/>
  <c r="R43" i="3"/>
  <c r="U44" i="3"/>
  <c r="X45" i="3"/>
  <c r="AA46" i="3"/>
  <c r="Q48" i="3"/>
  <c r="T49" i="3"/>
  <c r="W50" i="3"/>
  <c r="Z51" i="3"/>
  <c r="P53" i="3"/>
  <c r="S54" i="3"/>
  <c r="P55" i="3"/>
  <c r="Z55" i="3"/>
  <c r="Y56" i="3"/>
  <c r="V57" i="3"/>
  <c r="S58" i="3"/>
  <c r="AA58" i="3"/>
  <c r="V59" i="3"/>
  <c r="Q60" i="3"/>
  <c r="Y60" i="3"/>
  <c r="T61" i="3"/>
  <c r="AB61" i="3"/>
  <c r="W62" i="3"/>
  <c r="R63" i="3"/>
  <c r="Z63" i="3"/>
  <c r="U64" i="3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T6" i="3"/>
  <c r="W7" i="3"/>
  <c r="Z8" i="3"/>
  <c r="P10" i="3"/>
  <c r="S11" i="3"/>
  <c r="V12" i="3"/>
  <c r="Y13" i="3"/>
  <c r="AB14" i="3"/>
  <c r="R16" i="3"/>
  <c r="U17" i="3"/>
  <c r="X18" i="3"/>
  <c r="AA19" i="3"/>
  <c r="Q21" i="3"/>
  <c r="T22" i="3"/>
  <c r="W23" i="3"/>
  <c r="Z24" i="3"/>
  <c r="P26" i="3"/>
  <c r="S27" i="3"/>
  <c r="V28" i="3"/>
  <c r="Y29" i="3"/>
  <c r="AB30" i="3"/>
  <c r="R32" i="3"/>
  <c r="U33" i="3"/>
  <c r="X34" i="3"/>
  <c r="AA35" i="3"/>
  <c r="Q37" i="3"/>
  <c r="T38" i="3"/>
  <c r="W39" i="3"/>
  <c r="Z40" i="3"/>
  <c r="P42" i="3"/>
  <c r="S43" i="3"/>
  <c r="V44" i="3"/>
  <c r="Y45" i="3"/>
  <c r="AB46" i="3"/>
  <c r="R48" i="3"/>
  <c r="U49" i="3"/>
  <c r="X50" i="3"/>
  <c r="AA51" i="3"/>
  <c r="Q53" i="3"/>
  <c r="T54" i="3"/>
  <c r="Q55" i="3"/>
  <c r="AA55" i="3"/>
  <c r="Z56" i="3"/>
  <c r="W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P102" i="3"/>
  <c r="X102" i="3"/>
  <c r="S103" i="3"/>
  <c r="W6" i="3"/>
  <c r="Z7" i="3"/>
  <c r="P9" i="3"/>
  <c r="S10" i="3"/>
  <c r="V11" i="3"/>
  <c r="Y12" i="3"/>
  <c r="AB13" i="3"/>
  <c r="R15" i="3"/>
  <c r="U16" i="3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X33" i="3"/>
  <c r="AA34" i="3"/>
  <c r="Q36" i="3"/>
  <c r="T37" i="3"/>
  <c r="W38" i="3"/>
  <c r="Z39" i="3"/>
  <c r="P41" i="3"/>
  <c r="S42" i="3"/>
  <c r="V43" i="3"/>
  <c r="Y44" i="3"/>
  <c r="AB45" i="3"/>
  <c r="R47" i="3"/>
  <c r="U48" i="3"/>
  <c r="X49" i="3"/>
  <c r="AA50" i="3"/>
  <c r="Q52" i="3"/>
  <c r="T53" i="3"/>
  <c r="U54" i="3"/>
  <c r="R55" i="3"/>
  <c r="Q56" i="3"/>
  <c r="AA56" i="3"/>
  <c r="X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P75" i="3"/>
  <c r="X75" i="3"/>
  <c r="S76" i="3"/>
  <c r="AA76" i="3"/>
  <c r="V77" i="3"/>
  <c r="Q78" i="3"/>
  <c r="Y78" i="3"/>
  <c r="T79" i="3"/>
  <c r="AB79" i="3"/>
  <c r="W80" i="3"/>
  <c r="R81" i="3"/>
  <c r="AA6" i="3"/>
  <c r="Q8" i="3"/>
  <c r="T9" i="3"/>
  <c r="W10" i="3"/>
  <c r="Z11" i="3"/>
  <c r="P13" i="3"/>
  <c r="S14" i="3"/>
  <c r="V15" i="3"/>
  <c r="Y16" i="3"/>
  <c r="AB17" i="3"/>
  <c r="R19" i="3"/>
  <c r="U20" i="3"/>
  <c r="X21" i="3"/>
  <c r="AA22" i="3"/>
  <c r="Q24" i="3"/>
  <c r="T25" i="3"/>
  <c r="W26" i="3"/>
  <c r="Z27" i="3"/>
  <c r="P29" i="3"/>
  <c r="S30" i="3"/>
  <c r="V31" i="3"/>
  <c r="Y32" i="3"/>
  <c r="AB33" i="3"/>
  <c r="R35" i="3"/>
  <c r="U36" i="3"/>
  <c r="X37" i="3"/>
  <c r="AA38" i="3"/>
  <c r="Q40" i="3"/>
  <c r="T41" i="3"/>
  <c r="W42" i="3"/>
  <c r="Z43" i="3"/>
  <c r="P45" i="3"/>
  <c r="O45" i="3" s="1" a="1"/>
  <c r="O45" i="3" s="1"/>
  <c r="S46" i="3"/>
  <c r="V47" i="3"/>
  <c r="Y48" i="3"/>
  <c r="AB49" i="3"/>
  <c r="R51" i="3"/>
  <c r="U52" i="3"/>
  <c r="X53" i="3"/>
  <c r="W54" i="3"/>
  <c r="V55" i="3"/>
  <c r="S56" i="3"/>
  <c r="P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AB6" i="3"/>
  <c r="R8" i="3"/>
  <c r="U9" i="3"/>
  <c r="X10" i="3"/>
  <c r="AA11" i="3"/>
  <c r="Q13" i="3"/>
  <c r="T14" i="3"/>
  <c r="W15" i="3"/>
  <c r="Z16" i="3"/>
  <c r="P18" i="3"/>
  <c r="S19" i="3"/>
  <c r="V20" i="3"/>
  <c r="Y21" i="3"/>
  <c r="AB22" i="3"/>
  <c r="R24" i="3"/>
  <c r="U25" i="3"/>
  <c r="X26" i="3"/>
  <c r="AA27" i="3"/>
  <c r="Q29" i="3"/>
  <c r="T30" i="3"/>
  <c r="W31" i="3"/>
  <c r="Z32" i="3"/>
  <c r="P34" i="3"/>
  <c r="S35" i="3"/>
  <c r="V36" i="3"/>
  <c r="Y37" i="3"/>
  <c r="AB38" i="3"/>
  <c r="R40" i="3"/>
  <c r="U41" i="3"/>
  <c r="AE41" i="3" s="1"/>
  <c r="X42" i="3"/>
  <c r="AA43" i="3"/>
  <c r="Q45" i="3"/>
  <c r="T46" i="3"/>
  <c r="W47" i="3"/>
  <c r="Z48" i="3"/>
  <c r="P50" i="3"/>
  <c r="S51" i="3"/>
  <c r="V52" i="3"/>
  <c r="Y53" i="3"/>
  <c r="X54" i="3"/>
  <c r="W55" i="3"/>
  <c r="T56" i="3"/>
  <c r="Q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S7" i="3"/>
  <c r="R12" i="3"/>
  <c r="Q17" i="3"/>
  <c r="P22" i="3"/>
  <c r="AB26" i="3"/>
  <c r="AA31" i="3"/>
  <c r="Z36" i="3"/>
  <c r="Y41" i="3"/>
  <c r="X46" i="3"/>
  <c r="W51" i="3"/>
  <c r="Y55" i="3"/>
  <c r="Z58" i="3"/>
  <c r="S61" i="3"/>
  <c r="Y63" i="3"/>
  <c r="R66" i="3"/>
  <c r="X68" i="3"/>
  <c r="Q71" i="3"/>
  <c r="W73" i="3"/>
  <c r="P76" i="3"/>
  <c r="V78" i="3"/>
  <c r="Q80" i="3"/>
  <c r="T81" i="3"/>
  <c r="U82" i="3"/>
  <c r="T83" i="3"/>
  <c r="S84" i="3"/>
  <c r="P85" i="3"/>
  <c r="Z85" i="3"/>
  <c r="Y86" i="3"/>
  <c r="V87" i="3"/>
  <c r="S88" i="3"/>
  <c r="R89" i="3"/>
  <c r="AB89" i="3"/>
  <c r="Y90" i="3"/>
  <c r="X91" i="3"/>
  <c r="U92" i="3"/>
  <c r="R93" i="3"/>
  <c r="Q94" i="3"/>
  <c r="AA94" i="3"/>
  <c r="X95" i="3"/>
  <c r="W96" i="3"/>
  <c r="T97" i="3"/>
  <c r="Q98" i="3"/>
  <c r="P99" i="3"/>
  <c r="Z99" i="3"/>
  <c r="W100" i="3"/>
  <c r="V101" i="3"/>
  <c r="S102" i="3"/>
  <c r="P103" i="3"/>
  <c r="Z103" i="3"/>
  <c r="U104" i="3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X145" i="3"/>
  <c r="S146" i="3"/>
  <c r="AA146" i="3"/>
  <c r="V147" i="3"/>
  <c r="Q148" i="3"/>
  <c r="Y148" i="3"/>
  <c r="T149" i="3"/>
  <c r="AA7" i="3"/>
  <c r="Z12" i="3"/>
  <c r="Y17" i="3"/>
  <c r="X22" i="3"/>
  <c r="W27" i="3"/>
  <c r="V32" i="3"/>
  <c r="U37" i="3"/>
  <c r="T42" i="3"/>
  <c r="S47" i="3"/>
  <c r="R52" i="3"/>
  <c r="R56" i="3"/>
  <c r="Q59" i="3"/>
  <c r="W61" i="3"/>
  <c r="P64" i="3"/>
  <c r="V66" i="3"/>
  <c r="AB68" i="3"/>
  <c r="U71" i="3"/>
  <c r="AA73" i="3"/>
  <c r="T76" i="3"/>
  <c r="Z78" i="3"/>
  <c r="S80" i="3"/>
  <c r="V81" i="3"/>
  <c r="V82" i="3"/>
  <c r="U83" i="3"/>
  <c r="T84" i="3"/>
  <c r="Q85" i="3"/>
  <c r="AA85" i="3"/>
  <c r="Z86" i="3"/>
  <c r="W87" i="3"/>
  <c r="T88" i="3"/>
  <c r="S89" i="3"/>
  <c r="P90" i="3"/>
  <c r="Z90" i="3"/>
  <c r="Y91" i="3"/>
  <c r="V92" i="3"/>
  <c r="S93" i="3"/>
  <c r="R94" i="3"/>
  <c r="AB94" i="3"/>
  <c r="Y95" i="3"/>
  <c r="X96" i="3"/>
  <c r="U97" i="3"/>
  <c r="R98" i="3"/>
  <c r="Q99" i="3"/>
  <c r="AA99" i="3"/>
  <c r="X100" i="3"/>
  <c r="W101" i="3"/>
  <c r="T102" i="3"/>
  <c r="Q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Y9" i="3"/>
  <c r="X14" i="3"/>
  <c r="W19" i="3"/>
  <c r="V24" i="3"/>
  <c r="U29" i="3"/>
  <c r="T34" i="3"/>
  <c r="S39" i="3"/>
  <c r="R44" i="3"/>
  <c r="Q49" i="3"/>
  <c r="P54" i="3"/>
  <c r="U57" i="3"/>
  <c r="P60" i="3"/>
  <c r="V62" i="3"/>
  <c r="AB64" i="3"/>
  <c r="U67" i="3"/>
  <c r="AA69" i="3"/>
  <c r="T72" i="3"/>
  <c r="Z74" i="3"/>
  <c r="S77" i="3"/>
  <c r="V79" i="3"/>
  <c r="Y80" i="3"/>
  <c r="AA81" i="3"/>
  <c r="Z82" i="3"/>
  <c r="Z83" i="3"/>
  <c r="W84" i="3"/>
  <c r="V85" i="3"/>
  <c r="S86" i="3"/>
  <c r="P87" i="3"/>
  <c r="AB87" i="3"/>
  <c r="Y88" i="3"/>
  <c r="V89" i="3"/>
  <c r="U90" i="3"/>
  <c r="R91" i="3"/>
  <c r="AB91" i="3"/>
  <c r="AA92" i="3"/>
  <c r="X93" i="3"/>
  <c r="U94" i="3"/>
  <c r="T95" i="3"/>
  <c r="Q96" i="3"/>
  <c r="AA96" i="3"/>
  <c r="Z97" i="3"/>
  <c r="W98" i="3"/>
  <c r="T99" i="3"/>
  <c r="S100" i="3"/>
  <c r="P101" i="3"/>
  <c r="Z101" i="3"/>
  <c r="Y102" i="3"/>
  <c r="V103" i="3"/>
  <c r="Q104" i="3"/>
  <c r="Y104" i="3"/>
  <c r="T105" i="3"/>
  <c r="AB105" i="3"/>
  <c r="W106" i="3"/>
  <c r="R107" i="3"/>
  <c r="Z107" i="3"/>
  <c r="U108" i="3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P125" i="3"/>
  <c r="X125" i="3"/>
  <c r="S126" i="3"/>
  <c r="T10" i="3"/>
  <c r="S15" i="3"/>
  <c r="R20" i="3"/>
  <c r="Q25" i="3"/>
  <c r="P30" i="3"/>
  <c r="AB34" i="3"/>
  <c r="AA39" i="3"/>
  <c r="Z44" i="3"/>
  <c r="Y49" i="3"/>
  <c r="V54" i="3"/>
  <c r="Y57" i="3"/>
  <c r="T60" i="3"/>
  <c r="Z62" i="3"/>
  <c r="S65" i="3"/>
  <c r="Y67" i="3"/>
  <c r="R70" i="3"/>
  <c r="X72" i="3"/>
  <c r="Q75" i="3"/>
  <c r="W77" i="3"/>
  <c r="X79" i="3"/>
  <c r="AA80" i="3"/>
  <c r="AB81" i="3"/>
  <c r="P83" i="3"/>
  <c r="AA83" i="3"/>
  <c r="X84" i="3"/>
  <c r="W85" i="3"/>
  <c r="T86" i="3"/>
  <c r="Q87" i="3"/>
  <c r="P88" i="3"/>
  <c r="Z88" i="3"/>
  <c r="W89" i="3"/>
  <c r="V90" i="3"/>
  <c r="S91" i="3"/>
  <c r="P92" i="3"/>
  <c r="AB92" i="3"/>
  <c r="Y93" i="3"/>
  <c r="V94" i="3"/>
  <c r="U95" i="3"/>
  <c r="R96" i="3"/>
  <c r="AB96" i="3"/>
  <c r="AA97" i="3"/>
  <c r="X98" i="3"/>
  <c r="U99" i="3"/>
  <c r="T100" i="3"/>
  <c r="Q101" i="3"/>
  <c r="AA101" i="3"/>
  <c r="Z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V8" i="3"/>
  <c r="T18" i="3"/>
  <c r="R28" i="3"/>
  <c r="P38" i="3"/>
  <c r="AA47" i="3"/>
  <c r="V56" i="3"/>
  <c r="AA61" i="3"/>
  <c r="Z66" i="3"/>
  <c r="Y71" i="3"/>
  <c r="X76" i="3"/>
  <c r="T80" i="3"/>
  <c r="W82" i="3"/>
  <c r="U84" i="3"/>
  <c r="Q86" i="3"/>
  <c r="X87" i="3"/>
  <c r="T89" i="3"/>
  <c r="P91" i="3"/>
  <c r="W92" i="3"/>
  <c r="S94" i="3"/>
  <c r="AB95" i="3"/>
  <c r="V97" i="3"/>
  <c r="R99" i="3"/>
  <c r="AA100" i="3"/>
  <c r="U102" i="3"/>
  <c r="AB103" i="3"/>
  <c r="R105" i="3"/>
  <c r="U106" i="3"/>
  <c r="X107" i="3"/>
  <c r="AA108" i="3"/>
  <c r="Q110" i="3"/>
  <c r="T111" i="3"/>
  <c r="W112" i="3"/>
  <c r="Z113" i="3"/>
  <c r="P115" i="3"/>
  <c r="S116" i="3"/>
  <c r="V117" i="3"/>
  <c r="Y118" i="3"/>
  <c r="AB119" i="3"/>
  <c r="R121" i="3"/>
  <c r="U122" i="3"/>
  <c r="X123" i="3"/>
  <c r="AA124" i="3"/>
  <c r="Q126" i="3"/>
  <c r="Q127" i="3"/>
  <c r="Q128" i="3"/>
  <c r="R129" i="3"/>
  <c r="Q130" i="3"/>
  <c r="Q131" i="3"/>
  <c r="AB131" i="3"/>
  <c r="AA132" i="3"/>
  <c r="X133" i="3"/>
  <c r="U134" i="3"/>
  <c r="T135" i="3"/>
  <c r="Q136" i="3"/>
  <c r="AA136" i="3"/>
  <c r="Z137" i="3"/>
  <c r="W138" i="3"/>
  <c r="T139" i="3"/>
  <c r="S140" i="3"/>
  <c r="P141" i="3"/>
  <c r="Z141" i="3"/>
  <c r="Y142" i="3"/>
  <c r="V143" i="3"/>
  <c r="S144" i="3"/>
  <c r="R145" i="3"/>
  <c r="AB145" i="3"/>
  <c r="Y146" i="3"/>
  <c r="X147" i="3"/>
  <c r="U148" i="3"/>
  <c r="R149" i="3"/>
  <c r="AB149" i="3"/>
  <c r="W150" i="3"/>
  <c r="R151" i="3"/>
  <c r="Z151" i="3"/>
  <c r="U152" i="3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P209" i="3"/>
  <c r="X209" i="3"/>
  <c r="S210" i="3"/>
  <c r="AA210" i="3"/>
  <c r="Q9" i="3"/>
  <c r="AB18" i="3"/>
  <c r="Z28" i="3"/>
  <c r="X38" i="3"/>
  <c r="V48" i="3"/>
  <c r="AB56" i="3"/>
  <c r="R62" i="3"/>
  <c r="Q67" i="3"/>
  <c r="P72" i="3"/>
  <c r="AB76" i="3"/>
  <c r="X80" i="3"/>
  <c r="Y82" i="3"/>
  <c r="V84" i="3"/>
  <c r="R86" i="3"/>
  <c r="Y87" i="3"/>
  <c r="U89" i="3"/>
  <c r="Q91" i="3"/>
  <c r="X92" i="3"/>
  <c r="T94" i="3"/>
  <c r="P96" i="3"/>
  <c r="W97" i="3"/>
  <c r="S99" i="3"/>
  <c r="AB100" i="3"/>
  <c r="V102" i="3"/>
  <c r="P104" i="3"/>
  <c r="S105" i="3"/>
  <c r="V106" i="3"/>
  <c r="Y107" i="3"/>
  <c r="AB108" i="3"/>
  <c r="R110" i="3"/>
  <c r="U111" i="3"/>
  <c r="X112" i="3"/>
  <c r="AA113" i="3"/>
  <c r="Q115" i="3"/>
  <c r="T116" i="3"/>
  <c r="W117" i="3"/>
  <c r="Z118" i="3"/>
  <c r="P120" i="3"/>
  <c r="S121" i="3"/>
  <c r="V122" i="3"/>
  <c r="Y123" i="3"/>
  <c r="AB124" i="3"/>
  <c r="R126" i="3"/>
  <c r="T127" i="3"/>
  <c r="S128" i="3"/>
  <c r="S129" i="3"/>
  <c r="R130" i="3"/>
  <c r="R131" i="3"/>
  <c r="P132" i="3"/>
  <c r="AB132" i="3"/>
  <c r="Y133" i="3"/>
  <c r="V134" i="3"/>
  <c r="U135" i="3"/>
  <c r="R136" i="3"/>
  <c r="AB136" i="3"/>
  <c r="AA137" i="3"/>
  <c r="X138" i="3"/>
  <c r="U139" i="3"/>
  <c r="T140" i="3"/>
  <c r="Q141" i="3"/>
  <c r="AA141" i="3"/>
  <c r="Z142" i="3"/>
  <c r="W143" i="3"/>
  <c r="T144" i="3"/>
  <c r="S145" i="3"/>
  <c r="P146" i="3"/>
  <c r="Z146" i="3"/>
  <c r="Y147" i="3"/>
  <c r="V148" i="3"/>
  <c r="S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P206" i="3"/>
  <c r="X206" i="3"/>
  <c r="S207" i="3"/>
  <c r="AA207" i="3"/>
  <c r="V208" i="3"/>
  <c r="Q209" i="3"/>
  <c r="Y209" i="3"/>
  <c r="T210" i="3"/>
  <c r="AB210" i="3"/>
  <c r="U13" i="3"/>
  <c r="S23" i="3"/>
  <c r="Q33" i="3"/>
  <c r="AB42" i="3"/>
  <c r="Z52" i="3"/>
  <c r="U59" i="3"/>
  <c r="T64" i="3"/>
  <c r="S69" i="3"/>
  <c r="R74" i="3"/>
  <c r="Q79" i="3"/>
  <c r="W81" i="3"/>
  <c r="X83" i="3"/>
  <c r="R85" i="3"/>
  <c r="AA86" i="3"/>
  <c r="W88" i="3"/>
  <c r="Q90" i="3"/>
  <c r="Z91" i="3"/>
  <c r="V93" i="3"/>
  <c r="P95" i="3"/>
  <c r="Y96" i="3"/>
  <c r="U98" i="3"/>
  <c r="AB99" i="3"/>
  <c r="X101" i="3"/>
  <c r="T103" i="3"/>
  <c r="W104" i="3"/>
  <c r="Z105" i="3"/>
  <c r="P107" i="3"/>
  <c r="S108" i="3"/>
  <c r="V109" i="3"/>
  <c r="Y110" i="3"/>
  <c r="AB111" i="3"/>
  <c r="R113" i="3"/>
  <c r="U114" i="3"/>
  <c r="X115" i="3"/>
  <c r="AA116" i="3"/>
  <c r="Q118" i="3"/>
  <c r="T119" i="3"/>
  <c r="W120" i="3"/>
  <c r="Z121" i="3"/>
  <c r="P123" i="3"/>
  <c r="S124" i="3"/>
  <c r="V125" i="3"/>
  <c r="Y126" i="3"/>
  <c r="X127" i="3"/>
  <c r="X128" i="3"/>
  <c r="W129" i="3"/>
  <c r="W130" i="3"/>
  <c r="X131" i="3"/>
  <c r="U132" i="3"/>
  <c r="R133" i="3"/>
  <c r="Q134" i="3"/>
  <c r="AA134" i="3"/>
  <c r="X135" i="3"/>
  <c r="W136" i="3"/>
  <c r="T137" i="3"/>
  <c r="Q138" i="3"/>
  <c r="P139" i="3"/>
  <c r="Z139" i="3"/>
  <c r="W140" i="3"/>
  <c r="V141" i="3"/>
  <c r="S142" i="3"/>
  <c r="P143" i="3"/>
  <c r="AB143" i="3"/>
  <c r="Y144" i="3"/>
  <c r="V145" i="3"/>
  <c r="U146" i="3"/>
  <c r="R147" i="3"/>
  <c r="AB147" i="3"/>
  <c r="AA148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P205" i="3"/>
  <c r="X205" i="3"/>
  <c r="S206" i="3"/>
  <c r="AA206" i="3"/>
  <c r="V207" i="3"/>
  <c r="Q208" i="3"/>
  <c r="Y208" i="3"/>
  <c r="T209" i="3"/>
  <c r="AB209" i="3"/>
  <c r="W210" i="3"/>
  <c r="R211" i="3"/>
  <c r="P14" i="3"/>
  <c r="AA23" i="3"/>
  <c r="Y33" i="3"/>
  <c r="W43" i="3"/>
  <c r="U53" i="3"/>
  <c r="Y59" i="3"/>
  <c r="X64" i="3"/>
  <c r="W69" i="3"/>
  <c r="V74" i="3"/>
  <c r="U79" i="3"/>
  <c r="Z81" i="3"/>
  <c r="Y83" i="3"/>
  <c r="S85" i="3"/>
  <c r="AB86" i="3"/>
  <c r="X88" i="3"/>
  <c r="R90" i="3"/>
  <c r="AA91" i="3"/>
  <c r="W93" i="3"/>
  <c r="Q95" i="3"/>
  <c r="Z96" i="3"/>
  <c r="V98" i="3"/>
  <c r="P100" i="3"/>
  <c r="Y101" i="3"/>
  <c r="U103" i="3"/>
  <c r="X104" i="3"/>
  <c r="AA105" i="3"/>
  <c r="Q107" i="3"/>
  <c r="T108" i="3"/>
  <c r="W109" i="3"/>
  <c r="Z110" i="3"/>
  <c r="P112" i="3"/>
  <c r="S113" i="3"/>
  <c r="V114" i="3"/>
  <c r="Y115" i="3"/>
  <c r="AB116" i="3"/>
  <c r="R118" i="3"/>
  <c r="U119" i="3"/>
  <c r="X120" i="3"/>
  <c r="AA121" i="3"/>
  <c r="Q123" i="3"/>
  <c r="T124" i="3"/>
  <c r="W125" i="3"/>
  <c r="Z126" i="3"/>
  <c r="Y127" i="3"/>
  <c r="Y128" i="3"/>
  <c r="Z129" i="3"/>
  <c r="Y130" i="3"/>
  <c r="Y131" i="3"/>
  <c r="V132" i="3"/>
  <c r="S133" i="3"/>
  <c r="R134" i="3"/>
  <c r="AB134" i="3"/>
  <c r="Y135" i="3"/>
  <c r="X136" i="3"/>
  <c r="U137" i="3"/>
  <c r="AE137" i="3" s="1"/>
  <c r="R138" i="3"/>
  <c r="Q139" i="3"/>
  <c r="AA139" i="3"/>
  <c r="X140" i="3"/>
  <c r="W141" i="3"/>
  <c r="T142" i="3"/>
  <c r="Q143" i="3"/>
  <c r="P144" i="3"/>
  <c r="Z144" i="3"/>
  <c r="W145" i="3"/>
  <c r="V146" i="3"/>
  <c r="S147" i="3"/>
  <c r="P148" i="3"/>
  <c r="AB148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P210" i="3"/>
  <c r="X210" i="3"/>
  <c r="S211" i="3"/>
  <c r="P6" i="3"/>
  <c r="Y25" i="3"/>
  <c r="U45" i="3"/>
  <c r="X60" i="3"/>
  <c r="V70" i="3"/>
  <c r="Y79" i="3"/>
  <c r="AB83" i="3"/>
  <c r="T87" i="3"/>
  <c r="W90" i="3"/>
  <c r="Z93" i="3"/>
  <c r="R97" i="3"/>
  <c r="U100" i="3"/>
  <c r="X103" i="3"/>
  <c r="Q106" i="3"/>
  <c r="W108" i="3"/>
  <c r="P111" i="3"/>
  <c r="V113" i="3"/>
  <c r="AB115" i="3"/>
  <c r="U118" i="3"/>
  <c r="AA120" i="3"/>
  <c r="T123" i="3"/>
  <c r="Z125" i="3"/>
  <c r="AB127" i="3"/>
  <c r="AA129" i="3"/>
  <c r="Z131" i="3"/>
  <c r="V133" i="3"/>
  <c r="P135" i="3"/>
  <c r="Y136" i="3"/>
  <c r="U138" i="3"/>
  <c r="AB139" i="3"/>
  <c r="X141" i="3"/>
  <c r="X6" i="3"/>
  <c r="T26" i="3"/>
  <c r="P46" i="3"/>
  <c r="AB60" i="3"/>
  <c r="AB10" i="3"/>
  <c r="X30" i="3"/>
  <c r="T50" i="3"/>
  <c r="Q63" i="3"/>
  <c r="AB72" i="3"/>
  <c r="AB80" i="3"/>
  <c r="AA84" i="3"/>
  <c r="Q88" i="3"/>
  <c r="T91" i="3"/>
  <c r="Y94" i="3"/>
  <c r="AB97" i="3"/>
  <c r="R101" i="3"/>
  <c r="S104" i="3"/>
  <c r="Y106" i="3"/>
  <c r="R109" i="3"/>
  <c r="X111" i="3"/>
  <c r="Q114" i="3"/>
  <c r="W116" i="3"/>
  <c r="P119" i="3"/>
  <c r="V121" i="3"/>
  <c r="AB123" i="3"/>
  <c r="U126" i="3"/>
  <c r="T128" i="3"/>
  <c r="U130" i="3"/>
  <c r="S132" i="3"/>
  <c r="Z133" i="3"/>
  <c r="V135" i="3"/>
  <c r="R137" i="3"/>
  <c r="Y138" i="3"/>
  <c r="U140" i="3"/>
  <c r="Q142" i="3"/>
  <c r="X143" i="3"/>
  <c r="T145" i="3"/>
  <c r="P147" i="3"/>
  <c r="W148" i="3"/>
  <c r="Q150" i="3"/>
  <c r="T151" i="3"/>
  <c r="W152" i="3"/>
  <c r="Z153" i="3"/>
  <c r="P155" i="3"/>
  <c r="S156" i="3"/>
  <c r="V157" i="3"/>
  <c r="Y158" i="3"/>
  <c r="AB159" i="3"/>
  <c r="R161" i="3"/>
  <c r="U162" i="3"/>
  <c r="X163" i="3"/>
  <c r="AA164" i="3"/>
  <c r="Q166" i="3"/>
  <c r="T167" i="3"/>
  <c r="W168" i="3"/>
  <c r="Z169" i="3"/>
  <c r="P171" i="3"/>
  <c r="S172" i="3"/>
  <c r="V173" i="3"/>
  <c r="Y174" i="3"/>
  <c r="AB175" i="3"/>
  <c r="R177" i="3"/>
  <c r="U178" i="3"/>
  <c r="X179" i="3"/>
  <c r="AA180" i="3"/>
  <c r="Q182" i="3"/>
  <c r="T183" i="3"/>
  <c r="W184" i="3"/>
  <c r="Z185" i="3"/>
  <c r="P187" i="3"/>
  <c r="S188" i="3"/>
  <c r="V189" i="3"/>
  <c r="Y190" i="3"/>
  <c r="AB191" i="3"/>
  <c r="R193" i="3"/>
  <c r="U194" i="3"/>
  <c r="X195" i="3"/>
  <c r="AA196" i="3"/>
  <c r="Q198" i="3"/>
  <c r="T199" i="3"/>
  <c r="W200" i="3"/>
  <c r="Z201" i="3"/>
  <c r="P203" i="3"/>
  <c r="S204" i="3"/>
  <c r="V205" i="3"/>
  <c r="Y206" i="3"/>
  <c r="AB207" i="3"/>
  <c r="R209" i="3"/>
  <c r="U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W11" i="3"/>
  <c r="S31" i="3"/>
  <c r="AB50" i="3"/>
  <c r="U63" i="3"/>
  <c r="S73" i="3"/>
  <c r="S81" i="3"/>
  <c r="AB84" i="3"/>
  <c r="R88" i="3"/>
  <c r="U91" i="3"/>
  <c r="Z94" i="3"/>
  <c r="P98" i="3"/>
  <c r="S101" i="3"/>
  <c r="T104" i="3"/>
  <c r="Z106" i="3"/>
  <c r="S109" i="3"/>
  <c r="Y111" i="3"/>
  <c r="R114" i="3"/>
  <c r="X116" i="3"/>
  <c r="Q119" i="3"/>
  <c r="W121" i="3"/>
  <c r="P124" i="3"/>
  <c r="V126" i="3"/>
  <c r="W128" i="3"/>
  <c r="V130" i="3"/>
  <c r="T132" i="3"/>
  <c r="AA133" i="3"/>
  <c r="W135" i="3"/>
  <c r="S137" i="3"/>
  <c r="Z138" i="3"/>
  <c r="V140" i="3"/>
  <c r="R142" i="3"/>
  <c r="Y143" i="3"/>
  <c r="U145" i="3"/>
  <c r="AE145" i="3" s="1"/>
  <c r="Q147" i="3"/>
  <c r="X148" i="3"/>
  <c r="R150" i="3"/>
  <c r="U151" i="3"/>
  <c r="X152" i="3"/>
  <c r="AA153" i="3"/>
  <c r="Q155" i="3"/>
  <c r="T156" i="3"/>
  <c r="W157" i="3"/>
  <c r="Z158" i="3"/>
  <c r="P160" i="3"/>
  <c r="S161" i="3"/>
  <c r="V162" i="3"/>
  <c r="Y163" i="3"/>
  <c r="AB164" i="3"/>
  <c r="R166" i="3"/>
  <c r="U167" i="3"/>
  <c r="X168" i="3"/>
  <c r="AA169" i="3"/>
  <c r="Q171" i="3"/>
  <c r="T172" i="3"/>
  <c r="W173" i="3"/>
  <c r="Z174" i="3"/>
  <c r="P176" i="3"/>
  <c r="S177" i="3"/>
  <c r="V178" i="3"/>
  <c r="Y179" i="3"/>
  <c r="AB180" i="3"/>
  <c r="R182" i="3"/>
  <c r="U183" i="3"/>
  <c r="X184" i="3"/>
  <c r="AA185" i="3"/>
  <c r="Q187" i="3"/>
  <c r="T188" i="3"/>
  <c r="W189" i="3"/>
  <c r="Z190" i="3"/>
  <c r="P192" i="3"/>
  <c r="S193" i="3"/>
  <c r="V194" i="3"/>
  <c r="Y195" i="3"/>
  <c r="AB196" i="3"/>
  <c r="R198" i="3"/>
  <c r="U199" i="3"/>
  <c r="X200" i="3"/>
  <c r="AA201" i="3"/>
  <c r="Q203" i="3"/>
  <c r="T204" i="3"/>
  <c r="W205" i="3"/>
  <c r="Z206" i="3"/>
  <c r="P208" i="3"/>
  <c r="S209" i="3"/>
  <c r="V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AA15" i="3"/>
  <c r="W35" i="3"/>
  <c r="AB54" i="3"/>
  <c r="W65" i="3"/>
  <c r="U75" i="3"/>
  <c r="Q82" i="3"/>
  <c r="X85" i="3"/>
  <c r="AA88" i="3"/>
  <c r="S92" i="3"/>
  <c r="V95" i="3"/>
  <c r="Y98" i="3"/>
  <c r="Q102" i="3"/>
  <c r="AA104" i="3"/>
  <c r="T107" i="3"/>
  <c r="Z109" i="3"/>
  <c r="S112" i="3"/>
  <c r="Y114" i="3"/>
  <c r="R117" i="3"/>
  <c r="X119" i="3"/>
  <c r="Q122" i="3"/>
  <c r="W124" i="3"/>
  <c r="AA126" i="3"/>
  <c r="AA128" i="3"/>
  <c r="Z130" i="3"/>
  <c r="W132" i="3"/>
  <c r="S134" i="3"/>
  <c r="AB135" i="3"/>
  <c r="V137" i="3"/>
  <c r="R139" i="3"/>
  <c r="AA140" i="3"/>
  <c r="V16" i="3"/>
  <c r="R36" i="3"/>
  <c r="S55" i="3"/>
  <c r="Z20" i="3"/>
  <c r="V40" i="3"/>
  <c r="R58" i="3"/>
  <c r="P68" i="3"/>
  <c r="AA77" i="3"/>
  <c r="Q83" i="3"/>
  <c r="U86" i="3"/>
  <c r="AE86" i="3" s="1"/>
  <c r="Z89" i="3"/>
  <c r="P93" i="3"/>
  <c r="S96" i="3"/>
  <c r="X99" i="3"/>
  <c r="AA102" i="3"/>
  <c r="V105" i="3"/>
  <c r="AB107" i="3"/>
  <c r="U110" i="3"/>
  <c r="AA112" i="3"/>
  <c r="T115" i="3"/>
  <c r="Z117" i="3"/>
  <c r="S120" i="3"/>
  <c r="Y122" i="3"/>
  <c r="R125" i="3"/>
  <c r="U127" i="3"/>
  <c r="T129" i="3"/>
  <c r="T131" i="3"/>
  <c r="P133" i="3"/>
  <c r="Y134" i="3"/>
  <c r="S136" i="3"/>
  <c r="AB137" i="3"/>
  <c r="X139" i="3"/>
  <c r="R141" i="3"/>
  <c r="AA142" i="3"/>
  <c r="W144" i="3"/>
  <c r="Q146" i="3"/>
  <c r="Z147" i="3"/>
  <c r="V149" i="3"/>
  <c r="Y150" i="3"/>
  <c r="AB151" i="3"/>
  <c r="R153" i="3"/>
  <c r="U154" i="3"/>
  <c r="X155" i="3"/>
  <c r="AA156" i="3"/>
  <c r="Q158" i="3"/>
  <c r="T159" i="3"/>
  <c r="W160" i="3"/>
  <c r="Z161" i="3"/>
  <c r="P163" i="3"/>
  <c r="S164" i="3"/>
  <c r="V165" i="3"/>
  <c r="Y166" i="3"/>
  <c r="AB167" i="3"/>
  <c r="R169" i="3"/>
  <c r="U170" i="3"/>
  <c r="X171" i="3"/>
  <c r="AA172" i="3"/>
  <c r="Q174" i="3"/>
  <c r="T175" i="3"/>
  <c r="W176" i="3"/>
  <c r="Z177" i="3"/>
  <c r="P179" i="3"/>
  <c r="S180" i="3"/>
  <c r="V181" i="3"/>
  <c r="Y182" i="3"/>
  <c r="AB183" i="3"/>
  <c r="R185" i="3"/>
  <c r="U186" i="3"/>
  <c r="X187" i="3"/>
  <c r="AA188" i="3"/>
  <c r="Q190" i="3"/>
  <c r="T191" i="3"/>
  <c r="W192" i="3"/>
  <c r="Z193" i="3"/>
  <c r="P195" i="3"/>
  <c r="S196" i="3"/>
  <c r="V197" i="3"/>
  <c r="Y198" i="3"/>
  <c r="AB199" i="3"/>
  <c r="R201" i="3"/>
  <c r="U202" i="3"/>
  <c r="X203" i="3"/>
  <c r="AA204" i="3"/>
  <c r="Q206" i="3"/>
  <c r="T207" i="3"/>
  <c r="W208" i="3"/>
  <c r="Z209" i="3"/>
  <c r="P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U21" i="3"/>
  <c r="Q41" i="3"/>
  <c r="V58" i="3"/>
  <c r="T68" i="3"/>
  <c r="R78" i="3"/>
  <c r="R83" i="3"/>
  <c r="V86" i="3"/>
  <c r="AA89" i="3"/>
  <c r="Q93" i="3"/>
  <c r="T96" i="3"/>
  <c r="Y99" i="3"/>
  <c r="AB102" i="3"/>
  <c r="W105" i="3"/>
  <c r="P108" i="3"/>
  <c r="V110" i="3"/>
  <c r="AB112" i="3"/>
  <c r="U115" i="3"/>
  <c r="AA117" i="3"/>
  <c r="T120" i="3"/>
  <c r="Z122" i="3"/>
  <c r="S125" i="3"/>
  <c r="V127" i="3"/>
  <c r="V129" i="3"/>
  <c r="U131" i="3"/>
  <c r="Q133" i="3"/>
  <c r="Z134" i="3"/>
  <c r="T136" i="3"/>
  <c r="P138" i="3"/>
  <c r="Y139" i="3"/>
  <c r="S141" i="3"/>
  <c r="AB142" i="3"/>
  <c r="X144" i="3"/>
  <c r="R146" i="3"/>
  <c r="AA147" i="3"/>
  <c r="W149" i="3"/>
  <c r="Z150" i="3"/>
  <c r="P152" i="3"/>
  <c r="S153" i="3"/>
  <c r="V154" i="3"/>
  <c r="Y155" i="3"/>
  <c r="AB156" i="3"/>
  <c r="R158" i="3"/>
  <c r="U159" i="3"/>
  <c r="AE159" i="3" s="1"/>
  <c r="X160" i="3"/>
  <c r="AA161" i="3"/>
  <c r="Q163" i="3"/>
  <c r="T164" i="3"/>
  <c r="W165" i="3"/>
  <c r="Z166" i="3"/>
  <c r="P168" i="3"/>
  <c r="S169" i="3"/>
  <c r="V170" i="3"/>
  <c r="Y171" i="3"/>
  <c r="AB172" i="3"/>
  <c r="R174" i="3"/>
  <c r="U175" i="3"/>
  <c r="X176" i="3"/>
  <c r="AA177" i="3"/>
  <c r="Q179" i="3"/>
  <c r="T180" i="3"/>
  <c r="W181" i="3"/>
  <c r="Z182" i="3"/>
  <c r="P184" i="3"/>
  <c r="S185" i="3"/>
  <c r="V186" i="3"/>
  <c r="Y187" i="3"/>
  <c r="AB188" i="3"/>
  <c r="R190" i="3"/>
  <c r="U191" i="3"/>
  <c r="X192" i="3"/>
  <c r="AA193" i="3"/>
  <c r="Q195" i="3"/>
  <c r="T196" i="3"/>
  <c r="W197" i="3"/>
  <c r="Z198" i="3"/>
  <c r="P200" i="3"/>
  <c r="S201" i="3"/>
  <c r="V202" i="3"/>
  <c r="Y203" i="3"/>
  <c r="AB204" i="3"/>
  <c r="R206" i="3"/>
  <c r="U207" i="3"/>
  <c r="X208" i="3"/>
  <c r="AA209" i="3"/>
  <c r="Q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AA65" i="3"/>
  <c r="AB88" i="3"/>
  <c r="R102" i="3"/>
  <c r="T112" i="3"/>
  <c r="R122" i="3"/>
  <c r="P131" i="3"/>
  <c r="W137" i="3"/>
  <c r="T143" i="3"/>
  <c r="W146" i="3"/>
  <c r="Z149" i="3"/>
  <c r="S152" i="3"/>
  <c r="Y154" i="3"/>
  <c r="R157" i="3"/>
  <c r="X159" i="3"/>
  <c r="Q162" i="3"/>
  <c r="W164" i="3"/>
  <c r="P167" i="3"/>
  <c r="V169" i="3"/>
  <c r="AB171" i="3"/>
  <c r="U174" i="3"/>
  <c r="AA176" i="3"/>
  <c r="T179" i="3"/>
  <c r="Z181" i="3"/>
  <c r="S184" i="3"/>
  <c r="Y186" i="3"/>
  <c r="R189" i="3"/>
  <c r="X191" i="3"/>
  <c r="Q194" i="3"/>
  <c r="W196" i="3"/>
  <c r="P199" i="3"/>
  <c r="V201" i="3"/>
  <c r="AB203" i="3"/>
  <c r="U206" i="3"/>
  <c r="AE206" i="3" s="1"/>
  <c r="AA208" i="3"/>
  <c r="T211" i="3"/>
  <c r="W212" i="3"/>
  <c r="Z213" i="3"/>
  <c r="P215" i="3"/>
  <c r="S216" i="3"/>
  <c r="V217" i="3"/>
  <c r="Y218" i="3"/>
  <c r="AB219" i="3"/>
  <c r="R221" i="3"/>
  <c r="U222" i="3"/>
  <c r="X223" i="3"/>
  <c r="AA224" i="3"/>
  <c r="Q226" i="3"/>
  <c r="T227" i="3"/>
  <c r="W228" i="3"/>
  <c r="Z229" i="3"/>
  <c r="P231" i="3"/>
  <c r="S232" i="3"/>
  <c r="V233" i="3"/>
  <c r="Y234" i="3"/>
  <c r="AB235" i="3"/>
  <c r="R237" i="3"/>
  <c r="U238" i="3"/>
  <c r="AE238" i="3" s="1"/>
  <c r="X239" i="3"/>
  <c r="AA240" i="3"/>
  <c r="Q242" i="3"/>
  <c r="T243" i="3"/>
  <c r="W244" i="3"/>
  <c r="Z245" i="3"/>
  <c r="P247" i="3"/>
  <c r="S248" i="3"/>
  <c r="V249" i="3"/>
  <c r="Y250" i="3"/>
  <c r="AB251" i="3"/>
  <c r="R253" i="3"/>
  <c r="U254" i="3"/>
  <c r="X255" i="3"/>
  <c r="AA256" i="3"/>
  <c r="Q258" i="3"/>
  <c r="T259" i="3"/>
  <c r="W260" i="3"/>
  <c r="Z261" i="3"/>
  <c r="P263" i="3"/>
  <c r="S264" i="3"/>
  <c r="V265" i="3"/>
  <c r="Y266" i="3"/>
  <c r="AB267" i="3"/>
  <c r="R269" i="3"/>
  <c r="U270" i="3"/>
  <c r="X271" i="3"/>
  <c r="AA272" i="3"/>
  <c r="Z70" i="3"/>
  <c r="X90" i="3"/>
  <c r="Y103" i="3"/>
  <c r="W113" i="3"/>
  <c r="U123" i="3"/>
  <c r="AE123" i="3" s="1"/>
  <c r="AA131" i="3"/>
  <c r="V138" i="3"/>
  <c r="U143" i="3"/>
  <c r="AE143" i="3" s="1"/>
  <c r="X146" i="3"/>
  <c r="AA149" i="3"/>
  <c r="T152" i="3"/>
  <c r="Z154" i="3"/>
  <c r="S157" i="3"/>
  <c r="Y159" i="3"/>
  <c r="R162" i="3"/>
  <c r="X164" i="3"/>
  <c r="Q167" i="3"/>
  <c r="W169" i="3"/>
  <c r="P172" i="3"/>
  <c r="V174" i="3"/>
  <c r="AB176" i="3"/>
  <c r="U179" i="3"/>
  <c r="AA181" i="3"/>
  <c r="T184" i="3"/>
  <c r="Z186" i="3"/>
  <c r="S189" i="3"/>
  <c r="Y191" i="3"/>
  <c r="R194" i="3"/>
  <c r="X196" i="3"/>
  <c r="Q199" i="3"/>
  <c r="W201" i="3"/>
  <c r="P204" i="3"/>
  <c r="V206" i="3"/>
  <c r="AB208" i="3"/>
  <c r="U211" i="3"/>
  <c r="X212" i="3"/>
  <c r="AA213" i="3"/>
  <c r="Q215" i="3"/>
  <c r="T216" i="3"/>
  <c r="W217" i="3"/>
  <c r="Z218" i="3"/>
  <c r="P220" i="3"/>
  <c r="S221" i="3"/>
  <c r="V222" i="3"/>
  <c r="Y223" i="3"/>
  <c r="AB224" i="3"/>
  <c r="R226" i="3"/>
  <c r="U227" i="3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X244" i="3"/>
  <c r="AA245" i="3"/>
  <c r="Q247" i="3"/>
  <c r="T248" i="3"/>
  <c r="W249" i="3"/>
  <c r="Z250" i="3"/>
  <c r="P252" i="3"/>
  <c r="S253" i="3"/>
  <c r="V254" i="3"/>
  <c r="Y255" i="3"/>
  <c r="AB256" i="3"/>
  <c r="R258" i="3"/>
  <c r="U259" i="3"/>
  <c r="X260" i="3"/>
  <c r="AA261" i="3"/>
  <c r="Q263" i="3"/>
  <c r="T264" i="3"/>
  <c r="W265" i="3"/>
  <c r="Z266" i="3"/>
  <c r="P268" i="3"/>
  <c r="S269" i="3"/>
  <c r="V270" i="3"/>
  <c r="Y271" i="3"/>
  <c r="AB272" i="3"/>
  <c r="Y75" i="3"/>
  <c r="T92" i="3"/>
  <c r="AB104" i="3"/>
  <c r="Z114" i="3"/>
  <c r="X124" i="3"/>
  <c r="X132" i="3"/>
  <c r="S139" i="3"/>
  <c r="Q144" i="3"/>
  <c r="T147" i="3"/>
  <c r="U150" i="3"/>
  <c r="AA152" i="3"/>
  <c r="T155" i="3"/>
  <c r="Z157" i="3"/>
  <c r="S160" i="3"/>
  <c r="Y162" i="3"/>
  <c r="R165" i="3"/>
  <c r="X167" i="3"/>
  <c r="Q170" i="3"/>
  <c r="W172" i="3"/>
  <c r="P175" i="3"/>
  <c r="V177" i="3"/>
  <c r="AB179" i="3"/>
  <c r="U182" i="3"/>
  <c r="AE182" i="3" s="1"/>
  <c r="AA184" i="3"/>
  <c r="T187" i="3"/>
  <c r="Z189" i="3"/>
  <c r="S192" i="3"/>
  <c r="Y194" i="3"/>
  <c r="R197" i="3"/>
  <c r="X199" i="3"/>
  <c r="Q202" i="3"/>
  <c r="W204" i="3"/>
  <c r="P207" i="3"/>
  <c r="V209" i="3"/>
  <c r="X211" i="3"/>
  <c r="AA212" i="3"/>
  <c r="Q214" i="3"/>
  <c r="T215" i="3"/>
  <c r="W216" i="3"/>
  <c r="Z217" i="3"/>
  <c r="P219" i="3"/>
  <c r="S220" i="3"/>
  <c r="V221" i="3"/>
  <c r="Y222" i="3"/>
  <c r="AB223" i="3"/>
  <c r="R225" i="3"/>
  <c r="U226" i="3"/>
  <c r="AE226" i="3" s="1"/>
  <c r="X227" i="3"/>
  <c r="AA228" i="3"/>
  <c r="Q230" i="3"/>
  <c r="T231" i="3"/>
  <c r="W232" i="3"/>
  <c r="Z233" i="3"/>
  <c r="P235" i="3"/>
  <c r="S236" i="3"/>
  <c r="V237" i="3"/>
  <c r="Y238" i="3"/>
  <c r="AB239" i="3"/>
  <c r="R241" i="3"/>
  <c r="U242" i="3"/>
  <c r="X243" i="3"/>
  <c r="AA244" i="3"/>
  <c r="Q246" i="3"/>
  <c r="T247" i="3"/>
  <c r="W248" i="3"/>
  <c r="Z249" i="3"/>
  <c r="P251" i="3"/>
  <c r="S252" i="3"/>
  <c r="V253" i="3"/>
  <c r="Y254" i="3"/>
  <c r="AB255" i="3"/>
  <c r="R257" i="3"/>
  <c r="U258" i="3"/>
  <c r="X259" i="3"/>
  <c r="AA260" i="3"/>
  <c r="Q262" i="3"/>
  <c r="T263" i="3"/>
  <c r="W264" i="3"/>
  <c r="Z265" i="3"/>
  <c r="P267" i="3"/>
  <c r="S268" i="3"/>
  <c r="V269" i="3"/>
  <c r="Y270" i="3"/>
  <c r="AB271" i="3"/>
  <c r="R273" i="3"/>
  <c r="U274" i="3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X307" i="3"/>
  <c r="AA308" i="3"/>
  <c r="Q310" i="3"/>
  <c r="T311" i="3"/>
  <c r="W312" i="3"/>
  <c r="Z313" i="3"/>
  <c r="P315" i="3"/>
  <c r="S316" i="3"/>
  <c r="V317" i="3"/>
  <c r="Y318" i="3"/>
  <c r="AB319" i="3"/>
  <c r="R321" i="3"/>
  <c r="U322" i="3"/>
  <c r="X323" i="3"/>
  <c r="AA324" i="3"/>
  <c r="Q326" i="3"/>
  <c r="T327" i="3"/>
  <c r="W328" i="3"/>
  <c r="Z329" i="3"/>
  <c r="P331" i="3"/>
  <c r="S332" i="3"/>
  <c r="V333" i="3"/>
  <c r="Y334" i="3"/>
  <c r="AB335" i="3"/>
  <c r="R337" i="3"/>
  <c r="U338" i="3"/>
  <c r="X339" i="3"/>
  <c r="AA340" i="3"/>
  <c r="Q342" i="3"/>
  <c r="T343" i="3"/>
  <c r="W344" i="3"/>
  <c r="Z345" i="3"/>
  <c r="P347" i="3"/>
  <c r="S348" i="3"/>
  <c r="V349" i="3"/>
  <c r="Y350" i="3"/>
  <c r="AB351" i="3"/>
  <c r="R353" i="3"/>
  <c r="U354" i="3"/>
  <c r="X355" i="3"/>
  <c r="AA356" i="3"/>
  <c r="Q358" i="3"/>
  <c r="T359" i="3"/>
  <c r="W360" i="3"/>
  <c r="Z361" i="3"/>
  <c r="P363" i="3"/>
  <c r="S364" i="3"/>
  <c r="V365" i="3"/>
  <c r="Y366" i="3"/>
  <c r="AB367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P465" i="3"/>
  <c r="X465" i="3"/>
  <c r="S466" i="3"/>
  <c r="AA466" i="3"/>
  <c r="V467" i="3"/>
  <c r="Q468" i="3"/>
  <c r="Y468" i="3"/>
  <c r="T469" i="3"/>
  <c r="AB469" i="3"/>
  <c r="W470" i="3"/>
  <c r="P80" i="3"/>
  <c r="AA93" i="3"/>
  <c r="R106" i="3"/>
  <c r="P116" i="3"/>
  <c r="AA125" i="3"/>
  <c r="W133" i="3"/>
  <c r="P140" i="3"/>
  <c r="R144" i="3"/>
  <c r="U147" i="3"/>
  <c r="V150" i="3"/>
  <c r="AB152" i="3"/>
  <c r="U155" i="3"/>
  <c r="AE155" i="3" s="1"/>
  <c r="AA157" i="3"/>
  <c r="T160" i="3"/>
  <c r="Z162" i="3"/>
  <c r="S165" i="3"/>
  <c r="Y167" i="3"/>
  <c r="R170" i="3"/>
  <c r="X172" i="3"/>
  <c r="Q175" i="3"/>
  <c r="W177" i="3"/>
  <c r="P180" i="3"/>
  <c r="V182" i="3"/>
  <c r="AB184" i="3"/>
  <c r="U187" i="3"/>
  <c r="AA189" i="3"/>
  <c r="T192" i="3"/>
  <c r="Z194" i="3"/>
  <c r="S197" i="3"/>
  <c r="Y199" i="3"/>
  <c r="R202" i="3"/>
  <c r="X204" i="3"/>
  <c r="Q207" i="3"/>
  <c r="W209" i="3"/>
  <c r="Y211" i="3"/>
  <c r="AB212" i="3"/>
  <c r="R214" i="3"/>
  <c r="U215" i="3"/>
  <c r="X216" i="3"/>
  <c r="AA217" i="3"/>
  <c r="Q219" i="3"/>
  <c r="T220" i="3"/>
  <c r="W221" i="3"/>
  <c r="Z222" i="3"/>
  <c r="P224" i="3"/>
  <c r="S225" i="3"/>
  <c r="V226" i="3"/>
  <c r="Y227" i="3"/>
  <c r="AB228" i="3"/>
  <c r="R230" i="3"/>
  <c r="U231" i="3"/>
  <c r="X232" i="3"/>
  <c r="AA233" i="3"/>
  <c r="Q235" i="3"/>
  <c r="T236" i="3"/>
  <c r="W237" i="3"/>
  <c r="Z238" i="3"/>
  <c r="P240" i="3"/>
  <c r="S241" i="3"/>
  <c r="V242" i="3"/>
  <c r="Y243" i="3"/>
  <c r="AB244" i="3"/>
  <c r="R246" i="3"/>
  <c r="U247" i="3"/>
  <c r="X248" i="3"/>
  <c r="AA249" i="3"/>
  <c r="Q251" i="3"/>
  <c r="T252" i="3"/>
  <c r="W253" i="3"/>
  <c r="Z254" i="3"/>
  <c r="P256" i="3"/>
  <c r="S257" i="3"/>
  <c r="V258" i="3"/>
  <c r="Y259" i="3"/>
  <c r="AB260" i="3"/>
  <c r="R262" i="3"/>
  <c r="U263" i="3"/>
  <c r="X264" i="3"/>
  <c r="AA265" i="3"/>
  <c r="Q267" i="3"/>
  <c r="T268" i="3"/>
  <c r="W269" i="3"/>
  <c r="Z270" i="3"/>
  <c r="P272" i="3"/>
  <c r="S273" i="3"/>
  <c r="V274" i="3"/>
  <c r="Y275" i="3"/>
  <c r="AB276" i="3"/>
  <c r="R278" i="3"/>
  <c r="U279" i="3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X312" i="3"/>
  <c r="AA313" i="3"/>
  <c r="Q315" i="3"/>
  <c r="T316" i="3"/>
  <c r="W317" i="3"/>
  <c r="Z318" i="3"/>
  <c r="P320" i="3"/>
  <c r="S321" i="3"/>
  <c r="V322" i="3"/>
  <c r="Y323" i="3"/>
  <c r="AB324" i="3"/>
  <c r="R326" i="3"/>
  <c r="U327" i="3"/>
  <c r="X328" i="3"/>
  <c r="AA329" i="3"/>
  <c r="Q331" i="3"/>
  <c r="T332" i="3"/>
  <c r="W333" i="3"/>
  <c r="Z334" i="3"/>
  <c r="P336" i="3"/>
  <c r="S337" i="3"/>
  <c r="V338" i="3"/>
  <c r="Y339" i="3"/>
  <c r="AB340" i="3"/>
  <c r="R342" i="3"/>
  <c r="U343" i="3"/>
  <c r="X344" i="3"/>
  <c r="AA345" i="3"/>
  <c r="Q347" i="3"/>
  <c r="T348" i="3"/>
  <c r="W349" i="3"/>
  <c r="Z350" i="3"/>
  <c r="P352" i="3"/>
  <c r="S353" i="3"/>
  <c r="V354" i="3"/>
  <c r="Y355" i="3"/>
  <c r="AB356" i="3"/>
  <c r="R358" i="3"/>
  <c r="U359" i="3"/>
  <c r="X360" i="3"/>
  <c r="AA361" i="3"/>
  <c r="Q363" i="3"/>
  <c r="T364" i="3"/>
  <c r="W365" i="3"/>
  <c r="Z366" i="3"/>
  <c r="P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R82" i="3"/>
  <c r="W95" i="3"/>
  <c r="U107" i="3"/>
  <c r="AE107" i="3" s="1"/>
  <c r="S117" i="3"/>
  <c r="P127" i="3"/>
  <c r="T134" i="3"/>
  <c r="AB140" i="3"/>
  <c r="AA144" i="3"/>
  <c r="S148" i="3"/>
  <c r="P151" i="3"/>
  <c r="V153" i="3"/>
  <c r="AB155" i="3"/>
  <c r="U158" i="3"/>
  <c r="AA160" i="3"/>
  <c r="T163" i="3"/>
  <c r="Z165" i="3"/>
  <c r="S168" i="3"/>
  <c r="Y170" i="3"/>
  <c r="R173" i="3"/>
  <c r="X175" i="3"/>
  <c r="Q178" i="3"/>
  <c r="W180" i="3"/>
  <c r="P183" i="3"/>
  <c r="V185" i="3"/>
  <c r="AB187" i="3"/>
  <c r="U190" i="3"/>
  <c r="AA192" i="3"/>
  <c r="T195" i="3"/>
  <c r="Z197" i="3"/>
  <c r="S200" i="3"/>
  <c r="Y202" i="3"/>
  <c r="R205" i="3"/>
  <c r="X207" i="3"/>
  <c r="Q210" i="3"/>
  <c r="AB211" i="3"/>
  <c r="R213" i="3"/>
  <c r="U214" i="3"/>
  <c r="X215" i="3"/>
  <c r="AA216" i="3"/>
  <c r="Q218" i="3"/>
  <c r="T219" i="3"/>
  <c r="W220" i="3"/>
  <c r="Z221" i="3"/>
  <c r="P223" i="3"/>
  <c r="S224" i="3"/>
  <c r="V225" i="3"/>
  <c r="Y226" i="3"/>
  <c r="AB227" i="3"/>
  <c r="R229" i="3"/>
  <c r="U230" i="3"/>
  <c r="X231" i="3"/>
  <c r="AA232" i="3"/>
  <c r="Q234" i="3"/>
  <c r="T235" i="3"/>
  <c r="W236" i="3"/>
  <c r="Z237" i="3"/>
  <c r="P239" i="3"/>
  <c r="S240" i="3"/>
  <c r="V241" i="3"/>
  <c r="Y242" i="3"/>
  <c r="AB243" i="3"/>
  <c r="R245" i="3"/>
  <c r="U246" i="3"/>
  <c r="X247" i="3"/>
  <c r="AA248" i="3"/>
  <c r="Q250" i="3"/>
  <c r="T251" i="3"/>
  <c r="W252" i="3"/>
  <c r="Z253" i="3"/>
  <c r="P255" i="3"/>
  <c r="S256" i="3"/>
  <c r="V257" i="3"/>
  <c r="Y258" i="3"/>
  <c r="AB259" i="3"/>
  <c r="R261" i="3"/>
  <c r="U262" i="3"/>
  <c r="X263" i="3"/>
  <c r="AA264" i="3"/>
  <c r="Q266" i="3"/>
  <c r="T267" i="3"/>
  <c r="W268" i="3"/>
  <c r="Z269" i="3"/>
  <c r="P271" i="3"/>
  <c r="S272" i="3"/>
  <c r="V273" i="3"/>
  <c r="P84" i="3"/>
  <c r="S97" i="3"/>
  <c r="X108" i="3"/>
  <c r="V118" i="3"/>
  <c r="P128" i="3"/>
  <c r="Q135" i="3"/>
  <c r="Y141" i="3"/>
  <c r="AB144" i="3"/>
  <c r="T148" i="3"/>
  <c r="Q151" i="3"/>
  <c r="W153" i="3"/>
  <c r="P156" i="3"/>
  <c r="V158" i="3"/>
  <c r="AB160" i="3"/>
  <c r="U163" i="3"/>
  <c r="AE163" i="3" s="1"/>
  <c r="AA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A197" i="3"/>
  <c r="T200" i="3"/>
  <c r="Z202" i="3"/>
  <c r="S205" i="3"/>
  <c r="Y207" i="3"/>
  <c r="R210" i="3"/>
  <c r="P212" i="3"/>
  <c r="S213" i="3"/>
  <c r="V214" i="3"/>
  <c r="Y215" i="3"/>
  <c r="AB216" i="3"/>
  <c r="R218" i="3"/>
  <c r="U219" i="3"/>
  <c r="X220" i="3"/>
  <c r="AA221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X252" i="3"/>
  <c r="AA253" i="3"/>
  <c r="Q255" i="3"/>
  <c r="T256" i="3"/>
  <c r="W257" i="3"/>
  <c r="Z258" i="3"/>
  <c r="P260" i="3"/>
  <c r="S261" i="3"/>
  <c r="V262" i="3"/>
  <c r="Y263" i="3"/>
  <c r="AB264" i="3"/>
  <c r="R266" i="3"/>
  <c r="U267" i="3"/>
  <c r="X268" i="3"/>
  <c r="AA269" i="3"/>
  <c r="Q271" i="3"/>
  <c r="T272" i="3"/>
  <c r="W273" i="3"/>
  <c r="Y85" i="3"/>
  <c r="Z98" i="3"/>
  <c r="AA109" i="3"/>
  <c r="Y119" i="3"/>
  <c r="AB128" i="3"/>
  <c r="P136" i="3"/>
  <c r="U142" i="3"/>
  <c r="Z145" i="3"/>
  <c r="P149" i="3"/>
  <c r="X151" i="3"/>
  <c r="Q154" i="3"/>
  <c r="W156" i="3"/>
  <c r="P159" i="3"/>
  <c r="V161" i="3"/>
  <c r="AB163" i="3"/>
  <c r="U166" i="3"/>
  <c r="AE166" i="3" s="1"/>
  <c r="AA168" i="3"/>
  <c r="T171" i="3"/>
  <c r="Z173" i="3"/>
  <c r="S176" i="3"/>
  <c r="Y178" i="3"/>
  <c r="R181" i="3"/>
  <c r="X183" i="3"/>
  <c r="Q186" i="3"/>
  <c r="W188" i="3"/>
  <c r="P191" i="3"/>
  <c r="V193" i="3"/>
  <c r="AB195" i="3"/>
  <c r="U198" i="3"/>
  <c r="AA200" i="3"/>
  <c r="T203" i="3"/>
  <c r="Z205" i="3"/>
  <c r="S208" i="3"/>
  <c r="Y210" i="3"/>
  <c r="S212" i="3"/>
  <c r="V213" i="3"/>
  <c r="Y214" i="3"/>
  <c r="AB215" i="3"/>
  <c r="R217" i="3"/>
  <c r="U218" i="3"/>
  <c r="AE218" i="3" s="1"/>
  <c r="X219" i="3"/>
  <c r="AA220" i="3"/>
  <c r="Q222" i="3"/>
  <c r="T223" i="3"/>
  <c r="W224" i="3"/>
  <c r="Z225" i="3"/>
  <c r="P227" i="3"/>
  <c r="S228" i="3"/>
  <c r="V229" i="3"/>
  <c r="Y230" i="3"/>
  <c r="AB231" i="3"/>
  <c r="R233" i="3"/>
  <c r="U234" i="3"/>
  <c r="X235" i="3"/>
  <c r="AA236" i="3"/>
  <c r="Q238" i="3"/>
  <c r="T239" i="3"/>
  <c r="W240" i="3"/>
  <c r="Z241" i="3"/>
  <c r="P243" i="3"/>
  <c r="S244" i="3"/>
  <c r="V245" i="3"/>
  <c r="Y246" i="3"/>
  <c r="AB247" i="3"/>
  <c r="R249" i="3"/>
  <c r="U250" i="3"/>
  <c r="X251" i="3"/>
  <c r="AA252" i="3"/>
  <c r="Q254" i="3"/>
  <c r="T255" i="3"/>
  <c r="W256" i="3"/>
  <c r="Z257" i="3"/>
  <c r="P259" i="3"/>
  <c r="S260" i="3"/>
  <c r="V261" i="3"/>
  <c r="Y262" i="3"/>
  <c r="AB263" i="3"/>
  <c r="R265" i="3"/>
  <c r="U266" i="3"/>
  <c r="X267" i="3"/>
  <c r="AA268" i="3"/>
  <c r="Q270" i="3"/>
  <c r="T271" i="3"/>
  <c r="W272" i="3"/>
  <c r="Z273" i="3"/>
  <c r="P275" i="3"/>
  <c r="S276" i="3"/>
  <c r="V277" i="3"/>
  <c r="Y278" i="3"/>
  <c r="AB279" i="3"/>
  <c r="R281" i="3"/>
  <c r="U282" i="3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X299" i="3"/>
  <c r="AA300" i="3"/>
  <c r="Q302" i="3"/>
  <c r="T303" i="3"/>
  <c r="W304" i="3"/>
  <c r="Z305" i="3"/>
  <c r="P307" i="3"/>
  <c r="S308" i="3"/>
  <c r="V309" i="3"/>
  <c r="Y310" i="3"/>
  <c r="AB311" i="3"/>
  <c r="R313" i="3"/>
  <c r="U314" i="3"/>
  <c r="AE314" i="3" s="1"/>
  <c r="X315" i="3"/>
  <c r="AA316" i="3"/>
  <c r="Q318" i="3"/>
  <c r="T319" i="3"/>
  <c r="W320" i="3"/>
  <c r="Z321" i="3"/>
  <c r="P323" i="3"/>
  <c r="S324" i="3"/>
  <c r="V325" i="3"/>
  <c r="Y326" i="3"/>
  <c r="AB327" i="3"/>
  <c r="R329" i="3"/>
  <c r="U330" i="3"/>
  <c r="X331" i="3"/>
  <c r="AA332" i="3"/>
  <c r="Q334" i="3"/>
  <c r="T335" i="3"/>
  <c r="W336" i="3"/>
  <c r="Z337" i="3"/>
  <c r="P339" i="3"/>
  <c r="S340" i="3"/>
  <c r="V341" i="3"/>
  <c r="Y342" i="3"/>
  <c r="AB343" i="3"/>
  <c r="R345" i="3"/>
  <c r="U346" i="3"/>
  <c r="X347" i="3"/>
  <c r="AA348" i="3"/>
  <c r="Q350" i="3"/>
  <c r="T351" i="3"/>
  <c r="W352" i="3"/>
  <c r="Z353" i="3"/>
  <c r="P355" i="3"/>
  <c r="S356" i="3"/>
  <c r="V357" i="3"/>
  <c r="Y358" i="3"/>
  <c r="AB359" i="3"/>
  <c r="R361" i="3"/>
  <c r="U362" i="3"/>
  <c r="X363" i="3"/>
  <c r="AA364" i="3"/>
  <c r="Q366" i="3"/>
  <c r="T367" i="3"/>
  <c r="W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P461" i="3"/>
  <c r="X461" i="3"/>
  <c r="S462" i="3"/>
  <c r="AA462" i="3"/>
  <c r="V463" i="3"/>
  <c r="Q464" i="3"/>
  <c r="Y464" i="3"/>
  <c r="T465" i="3"/>
  <c r="AB465" i="3"/>
  <c r="W466" i="3"/>
  <c r="R467" i="3"/>
  <c r="Z467" i="3"/>
  <c r="U87" i="3"/>
  <c r="V100" i="3"/>
  <c r="Q111" i="3"/>
  <c r="AB120" i="3"/>
  <c r="AB129" i="3"/>
  <c r="Z136" i="3"/>
  <c r="V142" i="3"/>
  <c r="AA145" i="3"/>
  <c r="Q149" i="3"/>
  <c r="Y151" i="3"/>
  <c r="R154" i="3"/>
  <c r="X156" i="3"/>
  <c r="Q159" i="3"/>
  <c r="W161" i="3"/>
  <c r="P164" i="3"/>
  <c r="V166" i="3"/>
  <c r="AB168" i="3"/>
  <c r="U171" i="3"/>
  <c r="AA173" i="3"/>
  <c r="T176" i="3"/>
  <c r="Z178" i="3"/>
  <c r="S181" i="3"/>
  <c r="Y183" i="3"/>
  <c r="R186" i="3"/>
  <c r="X188" i="3"/>
  <c r="Q191" i="3"/>
  <c r="W193" i="3"/>
  <c r="P196" i="3"/>
  <c r="V198" i="3"/>
  <c r="AB200" i="3"/>
  <c r="U203" i="3"/>
  <c r="AA205" i="3"/>
  <c r="T208" i="3"/>
  <c r="Z210" i="3"/>
  <c r="T212" i="3"/>
  <c r="W213" i="3"/>
  <c r="Z214" i="3"/>
  <c r="P216" i="3"/>
  <c r="S217" i="3"/>
  <c r="V218" i="3"/>
  <c r="Y219" i="3"/>
  <c r="AB220" i="3"/>
  <c r="R222" i="3"/>
  <c r="U223" i="3"/>
  <c r="AE223" i="3" s="1"/>
  <c r="X224" i="3"/>
  <c r="AA225" i="3"/>
  <c r="Q227" i="3"/>
  <c r="T228" i="3"/>
  <c r="W229" i="3"/>
  <c r="Z230" i="3"/>
  <c r="P232" i="3"/>
  <c r="S233" i="3"/>
  <c r="V234" i="3"/>
  <c r="Y235" i="3"/>
  <c r="AB236" i="3"/>
  <c r="R238" i="3"/>
  <c r="U239" i="3"/>
  <c r="X240" i="3"/>
  <c r="AA241" i="3"/>
  <c r="Q243" i="3"/>
  <c r="T244" i="3"/>
  <c r="W245" i="3"/>
  <c r="Z246" i="3"/>
  <c r="P248" i="3"/>
  <c r="S249" i="3"/>
  <c r="V250" i="3"/>
  <c r="Y251" i="3"/>
  <c r="AB252" i="3"/>
  <c r="R254" i="3"/>
  <c r="U255" i="3"/>
  <c r="AE255" i="3" s="1"/>
  <c r="X256" i="3"/>
  <c r="AA257" i="3"/>
  <c r="Q259" i="3"/>
  <c r="T260" i="3"/>
  <c r="W261" i="3"/>
  <c r="Z262" i="3"/>
  <c r="P264" i="3"/>
  <c r="S265" i="3"/>
  <c r="V266" i="3"/>
  <c r="Y267" i="3"/>
  <c r="AB268" i="3"/>
  <c r="R270" i="3"/>
  <c r="U271" i="3"/>
  <c r="AE271" i="3" s="1"/>
  <c r="X272" i="3"/>
  <c r="AA273" i="3"/>
  <c r="Q275" i="3"/>
  <c r="T276" i="3"/>
  <c r="W277" i="3"/>
  <c r="Z278" i="3"/>
  <c r="P280" i="3"/>
  <c r="S281" i="3"/>
  <c r="V282" i="3"/>
  <c r="Y283" i="3"/>
  <c r="AB284" i="3"/>
  <c r="R286" i="3"/>
  <c r="U287" i="3"/>
  <c r="X288" i="3"/>
  <c r="AA289" i="3"/>
  <c r="Q291" i="3"/>
  <c r="T292" i="3"/>
  <c r="W293" i="3"/>
  <c r="Z294" i="3"/>
  <c r="P296" i="3"/>
  <c r="S297" i="3"/>
  <c r="V298" i="3"/>
  <c r="Y299" i="3"/>
  <c r="AB300" i="3"/>
  <c r="R302" i="3"/>
  <c r="U303" i="3"/>
  <c r="X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X320" i="3"/>
  <c r="AA321" i="3"/>
  <c r="Q323" i="3"/>
  <c r="T324" i="3"/>
  <c r="W325" i="3"/>
  <c r="Z326" i="3"/>
  <c r="P328" i="3"/>
  <c r="S329" i="3"/>
  <c r="V330" i="3"/>
  <c r="Y331" i="3"/>
  <c r="AB332" i="3"/>
  <c r="R334" i="3"/>
  <c r="U335" i="3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X352" i="3"/>
  <c r="AA353" i="3"/>
  <c r="Q355" i="3"/>
  <c r="T356" i="3"/>
  <c r="W357" i="3"/>
  <c r="Z358" i="3"/>
  <c r="P360" i="3"/>
  <c r="S361" i="3"/>
  <c r="V362" i="3"/>
  <c r="Y363" i="3"/>
  <c r="AB364" i="3"/>
  <c r="R366" i="3"/>
  <c r="U367" i="3"/>
  <c r="X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Q274" i="3"/>
  <c r="W276" i="3"/>
  <c r="P279" i="3"/>
  <c r="V281" i="3"/>
  <c r="AB283" i="3"/>
  <c r="U286" i="3"/>
  <c r="AA288" i="3"/>
  <c r="T291" i="3"/>
  <c r="Z293" i="3"/>
  <c r="S296" i="3"/>
  <c r="Y298" i="3"/>
  <c r="R301" i="3"/>
  <c r="X303" i="3"/>
  <c r="Q306" i="3"/>
  <c r="W308" i="3"/>
  <c r="P311" i="3"/>
  <c r="V313" i="3"/>
  <c r="AB315" i="3"/>
  <c r="U318" i="3"/>
  <c r="AA320" i="3"/>
  <c r="T323" i="3"/>
  <c r="Z325" i="3"/>
  <c r="S328" i="3"/>
  <c r="Y330" i="3"/>
  <c r="R333" i="3"/>
  <c r="X335" i="3"/>
  <c r="Q338" i="3"/>
  <c r="W340" i="3"/>
  <c r="P343" i="3"/>
  <c r="V345" i="3"/>
  <c r="AB347" i="3"/>
  <c r="U350" i="3"/>
  <c r="AA352" i="3"/>
  <c r="T355" i="3"/>
  <c r="Z357" i="3"/>
  <c r="S360" i="3"/>
  <c r="Y362" i="3"/>
  <c r="R365" i="3"/>
  <c r="X367" i="3"/>
  <c r="V369" i="3"/>
  <c r="Y370" i="3"/>
  <c r="AB371" i="3"/>
  <c r="R373" i="3"/>
  <c r="U374" i="3"/>
  <c r="X375" i="3"/>
  <c r="AA376" i="3"/>
  <c r="Q378" i="3"/>
  <c r="T379" i="3"/>
  <c r="W380" i="3"/>
  <c r="Z381" i="3"/>
  <c r="P383" i="3"/>
  <c r="S384" i="3"/>
  <c r="V385" i="3"/>
  <c r="Y386" i="3"/>
  <c r="AB387" i="3"/>
  <c r="R389" i="3"/>
  <c r="U390" i="3"/>
  <c r="X391" i="3"/>
  <c r="AA392" i="3"/>
  <c r="Q394" i="3"/>
  <c r="T395" i="3"/>
  <c r="W396" i="3"/>
  <c r="Z397" i="3"/>
  <c r="P399" i="3"/>
  <c r="S400" i="3"/>
  <c r="V401" i="3"/>
  <c r="Y402" i="3"/>
  <c r="AB403" i="3"/>
  <c r="R405" i="3"/>
  <c r="U406" i="3"/>
  <c r="X407" i="3"/>
  <c r="AA408" i="3"/>
  <c r="Q410" i="3"/>
  <c r="T411" i="3"/>
  <c r="W412" i="3"/>
  <c r="Z413" i="3"/>
  <c r="P415" i="3"/>
  <c r="S416" i="3"/>
  <c r="V417" i="3"/>
  <c r="Y418" i="3"/>
  <c r="AB419" i="3"/>
  <c r="R421" i="3"/>
  <c r="U422" i="3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X439" i="3"/>
  <c r="AA440" i="3"/>
  <c r="Q442" i="3"/>
  <c r="T443" i="3"/>
  <c r="W444" i="3"/>
  <c r="Z445" i="3"/>
  <c r="P447" i="3"/>
  <c r="S448" i="3"/>
  <c r="V449" i="3"/>
  <c r="Y450" i="3"/>
  <c r="AB451" i="3"/>
  <c r="R453" i="3"/>
  <c r="U454" i="3"/>
  <c r="X455" i="3"/>
  <c r="AA456" i="3"/>
  <c r="Q458" i="3"/>
  <c r="Q459" i="3"/>
  <c r="R460" i="3"/>
  <c r="R461" i="3"/>
  <c r="Q462" i="3"/>
  <c r="Q463" i="3"/>
  <c r="P464" i="3"/>
  <c r="Q465" i="3"/>
  <c r="Q466" i="3"/>
  <c r="P467" i="3"/>
  <c r="P468" i="3"/>
  <c r="AA468" i="3"/>
  <c r="X469" i="3"/>
  <c r="V470" i="3"/>
  <c r="S471" i="3"/>
  <c r="AB471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P488" i="3"/>
  <c r="X488" i="3"/>
  <c r="S489" i="3"/>
  <c r="AA489" i="3"/>
  <c r="V490" i="3"/>
  <c r="Q491" i="3"/>
  <c r="Y491" i="3"/>
  <c r="T492" i="3"/>
  <c r="AB492" i="3"/>
  <c r="W493" i="3"/>
  <c r="R494" i="3"/>
  <c r="R274" i="3"/>
  <c r="X276" i="3"/>
  <c r="Q279" i="3"/>
  <c r="W281" i="3"/>
  <c r="P284" i="3"/>
  <c r="V286" i="3"/>
  <c r="AB288" i="3"/>
  <c r="U291" i="3"/>
  <c r="AA293" i="3"/>
  <c r="T296" i="3"/>
  <c r="Z298" i="3"/>
  <c r="S301" i="3"/>
  <c r="Y303" i="3"/>
  <c r="R306" i="3"/>
  <c r="X308" i="3"/>
  <c r="Q311" i="3"/>
  <c r="W313" i="3"/>
  <c r="P316" i="3"/>
  <c r="V318" i="3"/>
  <c r="AB320" i="3"/>
  <c r="U323" i="3"/>
  <c r="AA325" i="3"/>
  <c r="T328" i="3"/>
  <c r="Z330" i="3"/>
  <c r="S333" i="3"/>
  <c r="Y335" i="3"/>
  <c r="R338" i="3"/>
  <c r="X340" i="3"/>
  <c r="Q343" i="3"/>
  <c r="W345" i="3"/>
  <c r="P348" i="3"/>
  <c r="V350" i="3"/>
  <c r="AB352" i="3"/>
  <c r="U355" i="3"/>
  <c r="AA357" i="3"/>
  <c r="T360" i="3"/>
  <c r="Z362" i="3"/>
  <c r="S365" i="3"/>
  <c r="Y367" i="3"/>
  <c r="W369" i="3"/>
  <c r="Z370" i="3"/>
  <c r="P372" i="3"/>
  <c r="S373" i="3"/>
  <c r="V374" i="3"/>
  <c r="Y375" i="3"/>
  <c r="AB376" i="3"/>
  <c r="R378" i="3"/>
  <c r="U379" i="3"/>
  <c r="X380" i="3"/>
  <c r="AA381" i="3"/>
  <c r="Q383" i="3"/>
  <c r="T384" i="3"/>
  <c r="W385" i="3"/>
  <c r="Z386" i="3"/>
  <c r="P388" i="3"/>
  <c r="S389" i="3"/>
  <c r="V390" i="3"/>
  <c r="Y391" i="3"/>
  <c r="AB392" i="3"/>
  <c r="R394" i="3"/>
  <c r="U395" i="3"/>
  <c r="X396" i="3"/>
  <c r="AA397" i="3"/>
  <c r="Q399" i="3"/>
  <c r="T400" i="3"/>
  <c r="W401" i="3"/>
  <c r="Z402" i="3"/>
  <c r="P404" i="3"/>
  <c r="S405" i="3"/>
  <c r="V406" i="3"/>
  <c r="Y407" i="3"/>
  <c r="AB408" i="3"/>
  <c r="R410" i="3"/>
  <c r="U411" i="3"/>
  <c r="X412" i="3"/>
  <c r="AA413" i="3"/>
  <c r="Q415" i="3"/>
  <c r="T416" i="3"/>
  <c r="W417" i="3"/>
  <c r="Z418" i="3"/>
  <c r="P420" i="3"/>
  <c r="S421" i="3"/>
  <c r="V422" i="3"/>
  <c r="Y423" i="3"/>
  <c r="AB424" i="3"/>
  <c r="R426" i="3"/>
  <c r="U427" i="3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X444" i="3"/>
  <c r="AA445" i="3"/>
  <c r="Q447" i="3"/>
  <c r="T448" i="3"/>
  <c r="W449" i="3"/>
  <c r="Z450" i="3"/>
  <c r="P452" i="3"/>
  <c r="S453" i="3"/>
  <c r="V454" i="3"/>
  <c r="Y455" i="3"/>
  <c r="AB456" i="3"/>
  <c r="R458" i="3"/>
  <c r="T459" i="3"/>
  <c r="S460" i="3"/>
  <c r="S461" i="3"/>
  <c r="R462" i="3"/>
  <c r="S463" i="3"/>
  <c r="S464" i="3"/>
  <c r="R465" i="3"/>
  <c r="R466" i="3"/>
  <c r="Q467" i="3"/>
  <c r="R468" i="3"/>
  <c r="AB468" i="3"/>
  <c r="Z469" i="3"/>
  <c r="X470" i="3"/>
  <c r="T471" i="3"/>
  <c r="P472" i="3"/>
  <c r="Y472" i="3"/>
  <c r="T473" i="3"/>
  <c r="AB473" i="3"/>
  <c r="W474" i="3"/>
  <c r="R475" i="3"/>
  <c r="Z475" i="3"/>
  <c r="U476" i="3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Y274" i="3"/>
  <c r="R277" i="3"/>
  <c r="X279" i="3"/>
  <c r="Q282" i="3"/>
  <c r="W284" i="3"/>
  <c r="P287" i="3"/>
  <c r="V289" i="3"/>
  <c r="AB291" i="3"/>
  <c r="U294" i="3"/>
  <c r="AA296" i="3"/>
  <c r="T299" i="3"/>
  <c r="Z301" i="3"/>
  <c r="S304" i="3"/>
  <c r="Y306" i="3"/>
  <c r="R309" i="3"/>
  <c r="X311" i="3"/>
  <c r="Q314" i="3"/>
  <c r="W316" i="3"/>
  <c r="P319" i="3"/>
  <c r="V321" i="3"/>
  <c r="AB323" i="3"/>
  <c r="U326" i="3"/>
  <c r="AA328" i="3"/>
  <c r="T331" i="3"/>
  <c r="Z333" i="3"/>
  <c r="S336" i="3"/>
  <c r="Y338" i="3"/>
  <c r="R341" i="3"/>
  <c r="X343" i="3"/>
  <c r="Q346" i="3"/>
  <c r="W348" i="3"/>
  <c r="P351" i="3"/>
  <c r="V353" i="3"/>
  <c r="AB355" i="3"/>
  <c r="U358" i="3"/>
  <c r="AA360" i="3"/>
  <c r="T363" i="3"/>
  <c r="Z365" i="3"/>
  <c r="S368" i="3"/>
  <c r="Z369" i="3"/>
  <c r="P371" i="3"/>
  <c r="S372" i="3"/>
  <c r="V373" i="3"/>
  <c r="Y374" i="3"/>
  <c r="AB375" i="3"/>
  <c r="R377" i="3"/>
  <c r="U378" i="3"/>
  <c r="X379" i="3"/>
  <c r="AA380" i="3"/>
  <c r="Q382" i="3"/>
  <c r="T383" i="3"/>
  <c r="W384" i="3"/>
  <c r="Z385" i="3"/>
  <c r="P387" i="3"/>
  <c r="S388" i="3"/>
  <c r="V389" i="3"/>
  <c r="Y390" i="3"/>
  <c r="AB391" i="3"/>
  <c r="R393" i="3"/>
  <c r="U394" i="3"/>
  <c r="AE394" i="3" s="1"/>
  <c r="X395" i="3"/>
  <c r="AA396" i="3"/>
  <c r="Q398" i="3"/>
  <c r="T399" i="3"/>
  <c r="W400" i="3"/>
  <c r="Z401" i="3"/>
  <c r="P403" i="3"/>
  <c r="S404" i="3"/>
  <c r="V405" i="3"/>
  <c r="Y406" i="3"/>
  <c r="AB407" i="3"/>
  <c r="R409" i="3"/>
  <c r="U410" i="3"/>
  <c r="X411" i="3"/>
  <c r="AA412" i="3"/>
  <c r="Q414" i="3"/>
  <c r="T415" i="3"/>
  <c r="W416" i="3"/>
  <c r="Z417" i="3"/>
  <c r="P419" i="3"/>
  <c r="S420" i="3"/>
  <c r="V421" i="3"/>
  <c r="Y422" i="3"/>
  <c r="AB423" i="3"/>
  <c r="R425" i="3"/>
  <c r="U426" i="3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X443" i="3"/>
  <c r="AA444" i="3"/>
  <c r="Q446" i="3"/>
  <c r="T447" i="3"/>
  <c r="W448" i="3"/>
  <c r="Z449" i="3"/>
  <c r="P451" i="3"/>
  <c r="S452" i="3"/>
  <c r="V453" i="3"/>
  <c r="Y454" i="3"/>
  <c r="AB455" i="3"/>
  <c r="R457" i="3"/>
  <c r="U458" i="3"/>
  <c r="U459" i="3"/>
  <c r="T460" i="3"/>
  <c r="U461" i="3"/>
  <c r="U462" i="3"/>
  <c r="AE462" i="3" s="1"/>
  <c r="T463" i="3"/>
  <c r="T464" i="3"/>
  <c r="S465" i="3"/>
  <c r="T466" i="3"/>
  <c r="T467" i="3"/>
  <c r="S468" i="3"/>
  <c r="P469" i="3"/>
  <c r="AA469" i="3"/>
  <c r="Y470" i="3"/>
  <c r="U471" i="3"/>
  <c r="Q472" i="3"/>
  <c r="Z472" i="3"/>
  <c r="U473" i="3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Z274" i="3"/>
  <c r="S277" i="3"/>
  <c r="Y279" i="3"/>
  <c r="R282" i="3"/>
  <c r="X284" i="3"/>
  <c r="Q287" i="3"/>
  <c r="W289" i="3"/>
  <c r="P292" i="3"/>
  <c r="V294" i="3"/>
  <c r="AB296" i="3"/>
  <c r="U299" i="3"/>
  <c r="AA301" i="3"/>
  <c r="T304" i="3"/>
  <c r="Z306" i="3"/>
  <c r="S309" i="3"/>
  <c r="Y311" i="3"/>
  <c r="R314" i="3"/>
  <c r="X316" i="3"/>
  <c r="Q319" i="3"/>
  <c r="W321" i="3"/>
  <c r="P324" i="3"/>
  <c r="V326" i="3"/>
  <c r="AB328" i="3"/>
  <c r="U331" i="3"/>
  <c r="AA333" i="3"/>
  <c r="T336" i="3"/>
  <c r="Z338" i="3"/>
  <c r="S341" i="3"/>
  <c r="Y343" i="3"/>
  <c r="R346" i="3"/>
  <c r="X348" i="3"/>
  <c r="Q351" i="3"/>
  <c r="W353" i="3"/>
  <c r="P356" i="3"/>
  <c r="V358" i="3"/>
  <c r="AB360" i="3"/>
  <c r="U363" i="3"/>
  <c r="AA365" i="3"/>
  <c r="T368" i="3"/>
  <c r="AA369" i="3"/>
  <c r="Q371" i="3"/>
  <c r="T372" i="3"/>
  <c r="W373" i="3"/>
  <c r="Z374" i="3"/>
  <c r="P376" i="3"/>
  <c r="S377" i="3"/>
  <c r="V378" i="3"/>
  <c r="Y379" i="3"/>
  <c r="AB380" i="3"/>
  <c r="R382" i="3"/>
  <c r="U383" i="3"/>
  <c r="X384" i="3"/>
  <c r="AA385" i="3"/>
  <c r="Q387" i="3"/>
  <c r="T388" i="3"/>
  <c r="W389" i="3"/>
  <c r="Z390" i="3"/>
  <c r="P392" i="3"/>
  <c r="S393" i="3"/>
  <c r="V394" i="3"/>
  <c r="Y395" i="3"/>
  <c r="AB396" i="3"/>
  <c r="R398" i="3"/>
  <c r="U399" i="3"/>
  <c r="X400" i="3"/>
  <c r="AA401" i="3"/>
  <c r="Q403" i="3"/>
  <c r="T404" i="3"/>
  <c r="W405" i="3"/>
  <c r="Z406" i="3"/>
  <c r="P408" i="3"/>
  <c r="S409" i="3"/>
  <c r="V410" i="3"/>
  <c r="Y411" i="3"/>
  <c r="AB412" i="3"/>
  <c r="R414" i="3"/>
  <c r="U415" i="3"/>
  <c r="X416" i="3"/>
  <c r="AA417" i="3"/>
  <c r="Q419" i="3"/>
  <c r="T420" i="3"/>
  <c r="W421" i="3"/>
  <c r="Z422" i="3"/>
  <c r="P424" i="3"/>
  <c r="S425" i="3"/>
  <c r="V426" i="3"/>
  <c r="Y427" i="3"/>
  <c r="AB428" i="3"/>
  <c r="R430" i="3"/>
  <c r="U431" i="3"/>
  <c r="X432" i="3"/>
  <c r="AA433" i="3"/>
  <c r="Q435" i="3"/>
  <c r="T436" i="3"/>
  <c r="W437" i="3"/>
  <c r="Z438" i="3"/>
  <c r="P440" i="3"/>
  <c r="S441" i="3"/>
  <c r="V442" i="3"/>
  <c r="Y443" i="3"/>
  <c r="AB444" i="3"/>
  <c r="R446" i="3"/>
  <c r="U447" i="3"/>
  <c r="X448" i="3"/>
  <c r="AA449" i="3"/>
  <c r="Q451" i="3"/>
  <c r="T452" i="3"/>
  <c r="W453" i="3"/>
  <c r="Z454" i="3"/>
  <c r="P456" i="3"/>
  <c r="S457" i="3"/>
  <c r="V458" i="3"/>
  <c r="W459" i="3"/>
  <c r="W460" i="3"/>
  <c r="V461" i="3"/>
  <c r="V462" i="3"/>
  <c r="U463" i="3"/>
  <c r="V464" i="3"/>
  <c r="V465" i="3"/>
  <c r="U466" i="3"/>
  <c r="U467" i="3"/>
  <c r="T468" i="3"/>
  <c r="R469" i="3"/>
  <c r="P470" i="3"/>
  <c r="Z470" i="3"/>
  <c r="V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T275" i="3"/>
  <c r="Z277" i="3"/>
  <c r="S280" i="3"/>
  <c r="Y282" i="3"/>
  <c r="R285" i="3"/>
  <c r="X287" i="3"/>
  <c r="Q290" i="3"/>
  <c r="W292" i="3"/>
  <c r="P295" i="3"/>
  <c r="V297" i="3"/>
  <c r="AB299" i="3"/>
  <c r="U302" i="3"/>
  <c r="AE302" i="3" s="1"/>
  <c r="AA304" i="3"/>
  <c r="T307" i="3"/>
  <c r="Z309" i="3"/>
  <c r="S312" i="3"/>
  <c r="Y314" i="3"/>
  <c r="R317" i="3"/>
  <c r="X319" i="3"/>
  <c r="Q322" i="3"/>
  <c r="W324" i="3"/>
  <c r="P327" i="3"/>
  <c r="V329" i="3"/>
  <c r="AB331" i="3"/>
  <c r="U334" i="3"/>
  <c r="AA336" i="3"/>
  <c r="T339" i="3"/>
  <c r="Z341" i="3"/>
  <c r="S344" i="3"/>
  <c r="Y346" i="3"/>
  <c r="R349" i="3"/>
  <c r="X351" i="3"/>
  <c r="Q354" i="3"/>
  <c r="W356" i="3"/>
  <c r="P359" i="3"/>
  <c r="V361" i="3"/>
  <c r="AB363" i="3"/>
  <c r="U366" i="3"/>
  <c r="AA368" i="3"/>
  <c r="Q370" i="3"/>
  <c r="T371" i="3"/>
  <c r="W372" i="3"/>
  <c r="Z373" i="3"/>
  <c r="P375" i="3"/>
  <c r="S376" i="3"/>
  <c r="V377" i="3"/>
  <c r="Y378" i="3"/>
  <c r="AB379" i="3"/>
  <c r="R381" i="3"/>
  <c r="U382" i="3"/>
  <c r="AE382" i="3" s="1"/>
  <c r="X383" i="3"/>
  <c r="AA384" i="3"/>
  <c r="Q386" i="3"/>
  <c r="T387" i="3"/>
  <c r="W388" i="3"/>
  <c r="Z389" i="3"/>
  <c r="P391" i="3"/>
  <c r="S392" i="3"/>
  <c r="V393" i="3"/>
  <c r="Y394" i="3"/>
  <c r="AB395" i="3"/>
  <c r="R397" i="3"/>
  <c r="U398" i="3"/>
  <c r="X399" i="3"/>
  <c r="AA400" i="3"/>
  <c r="Q402" i="3"/>
  <c r="T403" i="3"/>
  <c r="W404" i="3"/>
  <c r="Z405" i="3"/>
  <c r="P407" i="3"/>
  <c r="S408" i="3"/>
  <c r="V409" i="3"/>
  <c r="Y410" i="3"/>
  <c r="AB411" i="3"/>
  <c r="R413" i="3"/>
  <c r="U414" i="3"/>
  <c r="X415" i="3"/>
  <c r="AA416" i="3"/>
  <c r="Q418" i="3"/>
  <c r="T419" i="3"/>
  <c r="W420" i="3"/>
  <c r="Z421" i="3"/>
  <c r="P423" i="3"/>
  <c r="S424" i="3"/>
  <c r="V425" i="3"/>
  <c r="Y426" i="3"/>
  <c r="AB427" i="3"/>
  <c r="R429" i="3"/>
  <c r="U430" i="3"/>
  <c r="X431" i="3"/>
  <c r="AA432" i="3"/>
  <c r="Q434" i="3"/>
  <c r="T435" i="3"/>
  <c r="W436" i="3"/>
  <c r="Z437" i="3"/>
  <c r="P439" i="3"/>
  <c r="S440" i="3"/>
  <c r="V441" i="3"/>
  <c r="Y442" i="3"/>
  <c r="AB443" i="3"/>
  <c r="R445" i="3"/>
  <c r="U446" i="3"/>
  <c r="X447" i="3"/>
  <c r="AA448" i="3"/>
  <c r="Q450" i="3"/>
  <c r="T451" i="3"/>
  <c r="W452" i="3"/>
  <c r="Z453" i="3"/>
  <c r="P455" i="3"/>
  <c r="S456" i="3"/>
  <c r="V457" i="3"/>
  <c r="Y458" i="3"/>
  <c r="X459" i="3"/>
  <c r="X460" i="3"/>
  <c r="W461" i="3"/>
  <c r="X462" i="3"/>
  <c r="X463" i="3"/>
  <c r="W464" i="3"/>
  <c r="W465" i="3"/>
  <c r="V466" i="3"/>
  <c r="W467" i="3"/>
  <c r="U468" i="3"/>
  <c r="AE468" i="3" s="1"/>
  <c r="S469" i="3"/>
  <c r="Q470" i="3"/>
  <c r="AA470" i="3"/>
  <c r="X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P492" i="3"/>
  <c r="X492" i="3"/>
  <c r="S493" i="3"/>
  <c r="AA493" i="3"/>
  <c r="V494" i="3"/>
  <c r="Q495" i="3"/>
  <c r="Y495" i="3"/>
  <c r="T496" i="3"/>
  <c r="AB496" i="3"/>
  <c r="W497" i="3"/>
  <c r="R498" i="3"/>
  <c r="Z498" i="3"/>
  <c r="U275" i="3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R370" i="3"/>
  <c r="U371" i="3"/>
  <c r="X372" i="3"/>
  <c r="AA373" i="3"/>
  <c r="Q375" i="3"/>
  <c r="T376" i="3"/>
  <c r="W377" i="3"/>
  <c r="Z378" i="3"/>
  <c r="P380" i="3"/>
  <c r="S381" i="3"/>
  <c r="V382" i="3"/>
  <c r="Y383" i="3"/>
  <c r="AB384" i="3"/>
  <c r="R386" i="3"/>
  <c r="U387" i="3"/>
  <c r="X388" i="3"/>
  <c r="AA389" i="3"/>
  <c r="Q391" i="3"/>
  <c r="T392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Q407" i="3"/>
  <c r="T408" i="3"/>
  <c r="W409" i="3"/>
  <c r="Z410" i="3"/>
  <c r="P412" i="3"/>
  <c r="S413" i="3"/>
  <c r="V414" i="3"/>
  <c r="Y415" i="3"/>
  <c r="AB416" i="3"/>
  <c r="R418" i="3"/>
  <c r="U419" i="3"/>
  <c r="AE419" i="3" s="1"/>
  <c r="X420" i="3"/>
  <c r="AA421" i="3"/>
  <c r="Q423" i="3"/>
  <c r="T424" i="3"/>
  <c r="W425" i="3"/>
  <c r="Z426" i="3"/>
  <c r="P428" i="3"/>
  <c r="S429" i="3"/>
  <c r="V430" i="3"/>
  <c r="Y431" i="3"/>
  <c r="AB432" i="3"/>
  <c r="R434" i="3"/>
  <c r="U435" i="3"/>
  <c r="X436" i="3"/>
  <c r="AA437" i="3"/>
  <c r="Q439" i="3"/>
  <c r="T440" i="3"/>
  <c r="W441" i="3"/>
  <c r="Z442" i="3"/>
  <c r="P444" i="3"/>
  <c r="S445" i="3"/>
  <c r="V446" i="3"/>
  <c r="Y447" i="3"/>
  <c r="AB448" i="3"/>
  <c r="R450" i="3"/>
  <c r="U451" i="3"/>
  <c r="X452" i="3"/>
  <c r="AA453" i="3"/>
  <c r="Q455" i="3"/>
  <c r="T456" i="3"/>
  <c r="W457" i="3"/>
  <c r="Z458" i="3"/>
  <c r="Y459" i="3"/>
  <c r="Z460" i="3"/>
  <c r="Z461" i="3"/>
  <c r="Y462" i="3"/>
  <c r="Y463" i="3"/>
  <c r="X464" i="3"/>
  <c r="Y465" i="3"/>
  <c r="Y466" i="3"/>
  <c r="X467" i="3"/>
  <c r="W468" i="3"/>
  <c r="U469" i="3"/>
  <c r="AE469" i="3" s="1"/>
  <c r="R470" i="3"/>
  <c r="P471" i="3"/>
  <c r="Y471" i="3"/>
  <c r="U472" i="3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B275" i="3"/>
  <c r="U278" i="3"/>
  <c r="AE278" i="3" s="1"/>
  <c r="AA280" i="3"/>
  <c r="T283" i="3"/>
  <c r="Z285" i="3"/>
  <c r="S288" i="3"/>
  <c r="Y290" i="3"/>
  <c r="R293" i="3"/>
  <c r="X295" i="3"/>
  <c r="Q298" i="3"/>
  <c r="W300" i="3"/>
  <c r="P303" i="3"/>
  <c r="V305" i="3"/>
  <c r="AB307" i="3"/>
  <c r="U310" i="3"/>
  <c r="AA312" i="3"/>
  <c r="T315" i="3"/>
  <c r="Z317" i="3"/>
  <c r="S320" i="3"/>
  <c r="Y322" i="3"/>
  <c r="R325" i="3"/>
  <c r="X327" i="3"/>
  <c r="Q330" i="3"/>
  <c r="W332" i="3"/>
  <c r="P335" i="3"/>
  <c r="V337" i="3"/>
  <c r="AB339" i="3"/>
  <c r="U342" i="3"/>
  <c r="AA344" i="3"/>
  <c r="T347" i="3"/>
  <c r="Z349" i="3"/>
  <c r="S352" i="3"/>
  <c r="Y354" i="3"/>
  <c r="R357" i="3"/>
  <c r="X359" i="3"/>
  <c r="Q362" i="3"/>
  <c r="W364" i="3"/>
  <c r="P367" i="3"/>
  <c r="R369" i="3"/>
  <c r="U370" i="3"/>
  <c r="X371" i="3"/>
  <c r="AA372" i="3"/>
  <c r="Q374" i="3"/>
  <c r="T375" i="3"/>
  <c r="W376" i="3"/>
  <c r="Z377" i="3"/>
  <c r="P379" i="3"/>
  <c r="S380" i="3"/>
  <c r="V381" i="3"/>
  <c r="Y382" i="3"/>
  <c r="AB383" i="3"/>
  <c r="R385" i="3"/>
  <c r="U386" i="3"/>
  <c r="AE386" i="3" s="1"/>
  <c r="X387" i="3"/>
  <c r="AA388" i="3"/>
  <c r="Q390" i="3"/>
  <c r="T391" i="3"/>
  <c r="W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T407" i="3"/>
  <c r="W408" i="3"/>
  <c r="Z409" i="3"/>
  <c r="P411" i="3"/>
  <c r="S412" i="3"/>
  <c r="V413" i="3"/>
  <c r="Y414" i="3"/>
  <c r="AB415" i="3"/>
  <c r="R417" i="3"/>
  <c r="U418" i="3"/>
  <c r="X419" i="3"/>
  <c r="AA420" i="3"/>
  <c r="Q422" i="3"/>
  <c r="T423" i="3"/>
  <c r="W424" i="3"/>
  <c r="Z425" i="3"/>
  <c r="P427" i="3"/>
  <c r="S428" i="3"/>
  <c r="V429" i="3"/>
  <c r="Y430" i="3"/>
  <c r="AB431" i="3"/>
  <c r="R433" i="3"/>
  <c r="U434" i="3"/>
  <c r="X435" i="3"/>
  <c r="AA436" i="3"/>
  <c r="Q438" i="3"/>
  <c r="T439" i="3"/>
  <c r="W440" i="3"/>
  <c r="Z441" i="3"/>
  <c r="P443" i="3"/>
  <c r="S444" i="3"/>
  <c r="V445" i="3"/>
  <c r="Y446" i="3"/>
  <c r="AB447" i="3"/>
  <c r="R449" i="3"/>
  <c r="U450" i="3"/>
  <c r="X451" i="3"/>
  <c r="AA452" i="3"/>
  <c r="Q454" i="3"/>
  <c r="T455" i="3"/>
  <c r="W456" i="3"/>
  <c r="Z457" i="3"/>
  <c r="AB458" i="3"/>
  <c r="AB459" i="3"/>
  <c r="AA460" i="3"/>
  <c r="AA461" i="3"/>
  <c r="Z462" i="3"/>
  <c r="AA463" i="3"/>
  <c r="AA464" i="3"/>
  <c r="Z465" i="3"/>
  <c r="Z466" i="3"/>
  <c r="Y467" i="3"/>
  <c r="X468" i="3"/>
  <c r="V469" i="3"/>
  <c r="S470" i="3"/>
  <c r="Q471" i="3"/>
  <c r="Z471" i="3"/>
  <c r="V472" i="3"/>
  <c r="Q473" i="3"/>
  <c r="Y473" i="3"/>
  <c r="T474" i="3"/>
  <c r="AB474" i="3"/>
  <c r="W475" i="3"/>
  <c r="R476" i="3"/>
  <c r="Z476" i="3"/>
  <c r="U477" i="3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P276" i="3"/>
  <c r="V278" i="3"/>
  <c r="AB280" i="3"/>
  <c r="U283" i="3"/>
  <c r="AA285" i="3"/>
  <c r="T288" i="3"/>
  <c r="Z290" i="3"/>
  <c r="S293" i="3"/>
  <c r="Y295" i="3"/>
  <c r="R298" i="3"/>
  <c r="X300" i="3"/>
  <c r="Q303" i="3"/>
  <c r="W305" i="3"/>
  <c r="P308" i="3"/>
  <c r="V310" i="3"/>
  <c r="AB312" i="3"/>
  <c r="U315" i="3"/>
  <c r="AE315" i="3" s="1"/>
  <c r="AA317" i="3"/>
  <c r="T320" i="3"/>
  <c r="Z322" i="3"/>
  <c r="S325" i="3"/>
  <c r="Y327" i="3"/>
  <c r="R330" i="3"/>
  <c r="X332" i="3"/>
  <c r="Q335" i="3"/>
  <c r="W337" i="3"/>
  <c r="P340" i="3"/>
  <c r="V342" i="3"/>
  <c r="AB344" i="3"/>
  <c r="U347" i="3"/>
  <c r="AA349" i="3"/>
  <c r="T352" i="3"/>
  <c r="Z354" i="3"/>
  <c r="S357" i="3"/>
  <c r="Y359" i="3"/>
  <c r="R362" i="3"/>
  <c r="X364" i="3"/>
  <c r="Q367" i="3"/>
  <c r="S369" i="3"/>
  <c r="V370" i="3"/>
  <c r="Y371" i="3"/>
  <c r="AB372" i="3"/>
  <c r="R374" i="3"/>
  <c r="U375" i="3"/>
  <c r="X376" i="3"/>
  <c r="AA377" i="3"/>
  <c r="Q379" i="3"/>
  <c r="T380" i="3"/>
  <c r="W381" i="3"/>
  <c r="Z382" i="3"/>
  <c r="P384" i="3"/>
  <c r="S385" i="3"/>
  <c r="V386" i="3"/>
  <c r="Y387" i="3"/>
  <c r="AB388" i="3"/>
  <c r="R390" i="3"/>
  <c r="U391" i="3"/>
  <c r="X392" i="3"/>
  <c r="AA393" i="3"/>
  <c r="Q395" i="3"/>
  <c r="T396" i="3"/>
  <c r="W397" i="3"/>
  <c r="Z398" i="3"/>
  <c r="P400" i="3"/>
  <c r="S401" i="3"/>
  <c r="V402" i="3"/>
  <c r="Y403" i="3"/>
  <c r="AB404" i="3"/>
  <c r="R406" i="3"/>
  <c r="U407" i="3"/>
  <c r="X408" i="3"/>
  <c r="AA409" i="3"/>
  <c r="Q411" i="3"/>
  <c r="T412" i="3"/>
  <c r="W413" i="3"/>
  <c r="Z414" i="3"/>
  <c r="P416" i="3"/>
  <c r="S417" i="3"/>
  <c r="V418" i="3"/>
  <c r="Y419" i="3"/>
  <c r="AB420" i="3"/>
  <c r="R422" i="3"/>
  <c r="U423" i="3"/>
  <c r="X424" i="3"/>
  <c r="AA425" i="3"/>
  <c r="Q427" i="3"/>
  <c r="T428" i="3"/>
  <c r="W429" i="3"/>
  <c r="Z430" i="3"/>
  <c r="P432" i="3"/>
  <c r="S433" i="3"/>
  <c r="V434" i="3"/>
  <c r="Y435" i="3"/>
  <c r="AB436" i="3"/>
  <c r="R438" i="3"/>
  <c r="U439" i="3"/>
  <c r="X440" i="3"/>
  <c r="AA441" i="3"/>
  <c r="Q443" i="3"/>
  <c r="T444" i="3"/>
  <c r="W445" i="3"/>
  <c r="Z446" i="3"/>
  <c r="P448" i="3"/>
  <c r="S449" i="3"/>
  <c r="V450" i="3"/>
  <c r="Y451" i="3"/>
  <c r="AB452" i="3"/>
  <c r="R454" i="3"/>
  <c r="U455" i="3"/>
  <c r="AE455" i="3" s="1"/>
  <c r="X456" i="3"/>
  <c r="AA457" i="3"/>
  <c r="P459" i="3"/>
  <c r="P460" i="3"/>
  <c r="AB460" i="3"/>
  <c r="P462" i="3"/>
  <c r="P463" i="3"/>
  <c r="AB463" i="3"/>
  <c r="AB464" i="3"/>
  <c r="AA465" i="3"/>
  <c r="AB466" i="3"/>
  <c r="AB467" i="3"/>
  <c r="Z468" i="3"/>
  <c r="W469" i="3"/>
  <c r="U470" i="3"/>
  <c r="R471" i="3"/>
  <c r="AA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Z494" i="3"/>
  <c r="S498" i="3"/>
  <c r="Z499" i="3"/>
  <c r="P501" i="3"/>
  <c r="S502" i="3"/>
  <c r="V503" i="3"/>
  <c r="Y504" i="3"/>
  <c r="AB505" i="3"/>
  <c r="R507" i="3"/>
  <c r="U508" i="3"/>
  <c r="X509" i="3"/>
  <c r="AA510" i="3"/>
  <c r="Q512" i="3"/>
  <c r="T513" i="3"/>
  <c r="W514" i="3"/>
  <c r="Z515" i="3"/>
  <c r="P517" i="3"/>
  <c r="S518" i="3"/>
  <c r="V519" i="3"/>
  <c r="Y520" i="3"/>
  <c r="AB521" i="3"/>
  <c r="R523" i="3"/>
  <c r="U524" i="3"/>
  <c r="X525" i="3"/>
  <c r="AA526" i="3"/>
  <c r="Q528" i="3"/>
  <c r="T529" i="3"/>
  <c r="W530" i="3"/>
  <c r="Z531" i="3"/>
  <c r="P533" i="3"/>
  <c r="S534" i="3"/>
  <c r="V535" i="3"/>
  <c r="Y536" i="3"/>
  <c r="AB537" i="3"/>
  <c r="R539" i="3"/>
  <c r="U540" i="3"/>
  <c r="X541" i="3"/>
  <c r="AA542" i="3"/>
  <c r="Q544" i="3"/>
  <c r="T545" i="3"/>
  <c r="W546" i="3"/>
  <c r="Z547" i="3"/>
  <c r="P549" i="3"/>
  <c r="S550" i="3"/>
  <c r="V551" i="3"/>
  <c r="Y552" i="3"/>
  <c r="AB553" i="3"/>
  <c r="R555" i="3"/>
  <c r="U556" i="3"/>
  <c r="AE556" i="3" s="1"/>
  <c r="X557" i="3"/>
  <c r="AA558" i="3"/>
  <c r="Q560" i="3"/>
  <c r="T561" i="3"/>
  <c r="W562" i="3"/>
  <c r="Z563" i="3"/>
  <c r="P565" i="3"/>
  <c r="S566" i="3"/>
  <c r="V567" i="3"/>
  <c r="Y568" i="3"/>
  <c r="AB569" i="3"/>
  <c r="R571" i="3"/>
  <c r="U572" i="3"/>
  <c r="AE572" i="3" s="1"/>
  <c r="X573" i="3"/>
  <c r="AA574" i="3"/>
  <c r="Q576" i="3"/>
  <c r="T577" i="3"/>
  <c r="W578" i="3"/>
  <c r="Z579" i="3"/>
  <c r="P581" i="3"/>
  <c r="S582" i="3"/>
  <c r="V583" i="3"/>
  <c r="Y584" i="3"/>
  <c r="AB585" i="3"/>
  <c r="R587" i="3"/>
  <c r="U588" i="3"/>
  <c r="X589" i="3"/>
  <c r="AA590" i="3"/>
  <c r="Q592" i="3"/>
  <c r="T593" i="3"/>
  <c r="W594" i="3"/>
  <c r="Z595" i="3"/>
  <c r="P597" i="3"/>
  <c r="S598" i="3"/>
  <c r="V599" i="3"/>
  <c r="Y600" i="3"/>
  <c r="AB601" i="3"/>
  <c r="R603" i="3"/>
  <c r="U604" i="3"/>
  <c r="X605" i="3"/>
  <c r="AA606" i="3"/>
  <c r="Q608" i="3"/>
  <c r="T609" i="3"/>
  <c r="W610" i="3"/>
  <c r="Z611" i="3"/>
  <c r="P613" i="3"/>
  <c r="S614" i="3"/>
  <c r="V615" i="3"/>
  <c r="Y616" i="3"/>
  <c r="AB617" i="3"/>
  <c r="R619" i="3"/>
  <c r="U620" i="3"/>
  <c r="X621" i="3"/>
  <c r="AA622" i="3"/>
  <c r="Q624" i="3"/>
  <c r="T625" i="3"/>
  <c r="W626" i="3"/>
  <c r="Z627" i="3"/>
  <c r="P629" i="3"/>
  <c r="S630" i="3"/>
  <c r="V631" i="3"/>
  <c r="Y632" i="3"/>
  <c r="AB633" i="3"/>
  <c r="R635" i="3"/>
  <c r="U636" i="3"/>
  <c r="X637" i="3"/>
  <c r="AA638" i="3"/>
  <c r="Q640" i="3"/>
  <c r="T641" i="3"/>
  <c r="W642" i="3"/>
  <c r="Z643" i="3"/>
  <c r="P645" i="3"/>
  <c r="S646" i="3"/>
  <c r="V647" i="3"/>
  <c r="Y648" i="3"/>
  <c r="AB649" i="3"/>
  <c r="R651" i="3"/>
  <c r="U652" i="3"/>
  <c r="X653" i="3"/>
  <c r="AA654" i="3"/>
  <c r="Q656" i="3"/>
  <c r="T657" i="3"/>
  <c r="W658" i="3"/>
  <c r="Z659" i="3"/>
  <c r="P661" i="3"/>
  <c r="S662" i="3"/>
  <c r="V663" i="3"/>
  <c r="X664" i="3"/>
  <c r="W665" i="3"/>
  <c r="T666" i="3"/>
  <c r="R667" i="3"/>
  <c r="AB667" i="3"/>
  <c r="X668" i="3"/>
  <c r="T669" i="3"/>
  <c r="P670" i="3"/>
  <c r="Z670" i="3"/>
  <c r="V671" i="3"/>
  <c r="R672" i="3"/>
  <c r="AA672" i="3"/>
  <c r="V673" i="3"/>
  <c r="Q674" i="3"/>
  <c r="Y674" i="3"/>
  <c r="T675" i="3"/>
  <c r="AB675" i="3"/>
  <c r="W676" i="3"/>
  <c r="R677" i="3"/>
  <c r="Z677" i="3"/>
  <c r="U678" i="3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U495" i="3"/>
  <c r="V498" i="3"/>
  <c r="P500" i="3"/>
  <c r="S501" i="3"/>
  <c r="V502" i="3"/>
  <c r="Y503" i="3"/>
  <c r="AB504" i="3"/>
  <c r="R506" i="3"/>
  <c r="U507" i="3"/>
  <c r="X508" i="3"/>
  <c r="AA509" i="3"/>
  <c r="Q511" i="3"/>
  <c r="T512" i="3"/>
  <c r="W513" i="3"/>
  <c r="Z514" i="3"/>
  <c r="P516" i="3"/>
  <c r="S517" i="3"/>
  <c r="V518" i="3"/>
  <c r="Y519" i="3"/>
  <c r="AB520" i="3"/>
  <c r="R522" i="3"/>
  <c r="U523" i="3"/>
  <c r="X524" i="3"/>
  <c r="AA525" i="3"/>
  <c r="Q527" i="3"/>
  <c r="T528" i="3"/>
  <c r="W529" i="3"/>
  <c r="Z530" i="3"/>
  <c r="P532" i="3"/>
  <c r="S533" i="3"/>
  <c r="V534" i="3"/>
  <c r="Y535" i="3"/>
  <c r="AB536" i="3"/>
  <c r="R538" i="3"/>
  <c r="U539" i="3"/>
  <c r="X540" i="3"/>
  <c r="AA541" i="3"/>
  <c r="Q543" i="3"/>
  <c r="T544" i="3"/>
  <c r="W545" i="3"/>
  <c r="Z546" i="3"/>
  <c r="P548" i="3"/>
  <c r="S549" i="3"/>
  <c r="V550" i="3"/>
  <c r="Y551" i="3"/>
  <c r="AB552" i="3"/>
  <c r="R554" i="3"/>
  <c r="U555" i="3"/>
  <c r="X556" i="3"/>
  <c r="AA557" i="3"/>
  <c r="Q559" i="3"/>
  <c r="T560" i="3"/>
  <c r="W561" i="3"/>
  <c r="Z562" i="3"/>
  <c r="P564" i="3"/>
  <c r="S565" i="3"/>
  <c r="V566" i="3"/>
  <c r="Y567" i="3"/>
  <c r="AB568" i="3"/>
  <c r="R570" i="3"/>
  <c r="U571" i="3"/>
  <c r="AE571" i="3" s="1"/>
  <c r="X572" i="3"/>
  <c r="AA573" i="3"/>
  <c r="Q575" i="3"/>
  <c r="T576" i="3"/>
  <c r="W577" i="3"/>
  <c r="Z578" i="3"/>
  <c r="P496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X513" i="3"/>
  <c r="AA514" i="3"/>
  <c r="Q516" i="3"/>
  <c r="T517" i="3"/>
  <c r="W518" i="3"/>
  <c r="Z519" i="3"/>
  <c r="P521" i="3"/>
  <c r="S522" i="3"/>
  <c r="V523" i="3"/>
  <c r="Y524" i="3"/>
  <c r="AB525" i="3"/>
  <c r="R527" i="3"/>
  <c r="U528" i="3"/>
  <c r="X529" i="3"/>
  <c r="AA530" i="3"/>
  <c r="Q532" i="3"/>
  <c r="T533" i="3"/>
  <c r="W534" i="3"/>
  <c r="Z535" i="3"/>
  <c r="P537" i="3"/>
  <c r="S538" i="3"/>
  <c r="V539" i="3"/>
  <c r="Y540" i="3"/>
  <c r="AB541" i="3"/>
  <c r="R543" i="3"/>
  <c r="U544" i="3"/>
  <c r="X545" i="3"/>
  <c r="AA546" i="3"/>
  <c r="Q548" i="3"/>
  <c r="T549" i="3"/>
  <c r="W550" i="3"/>
  <c r="Z551" i="3"/>
  <c r="P553" i="3"/>
  <c r="S554" i="3"/>
  <c r="V555" i="3"/>
  <c r="Y556" i="3"/>
  <c r="AB557" i="3"/>
  <c r="R559" i="3"/>
  <c r="U560" i="3"/>
  <c r="AE560" i="3" s="1"/>
  <c r="X561" i="3"/>
  <c r="AA562" i="3"/>
  <c r="Q564" i="3"/>
  <c r="T565" i="3"/>
  <c r="W566" i="3"/>
  <c r="Z567" i="3"/>
  <c r="P569" i="3"/>
  <c r="S570" i="3"/>
  <c r="V571" i="3"/>
  <c r="Y572" i="3"/>
  <c r="AB573" i="3"/>
  <c r="R575" i="3"/>
  <c r="U576" i="3"/>
  <c r="AE576" i="3" s="1"/>
  <c r="X577" i="3"/>
  <c r="AA578" i="3"/>
  <c r="Q580" i="3"/>
  <c r="T581" i="3"/>
  <c r="W582" i="3"/>
  <c r="Z583" i="3"/>
  <c r="P585" i="3"/>
  <c r="S586" i="3"/>
  <c r="V587" i="3"/>
  <c r="Y588" i="3"/>
  <c r="AB589" i="3"/>
  <c r="R591" i="3"/>
  <c r="U592" i="3"/>
  <c r="X593" i="3"/>
  <c r="AA594" i="3"/>
  <c r="Q596" i="3"/>
  <c r="T597" i="3"/>
  <c r="W598" i="3"/>
  <c r="Z599" i="3"/>
  <c r="P601" i="3"/>
  <c r="S602" i="3"/>
  <c r="V603" i="3"/>
  <c r="Y604" i="3"/>
  <c r="AB605" i="3"/>
  <c r="R607" i="3"/>
  <c r="U608" i="3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X657" i="3"/>
  <c r="AA658" i="3"/>
  <c r="Q660" i="3"/>
  <c r="T661" i="3"/>
  <c r="W662" i="3"/>
  <c r="Z663" i="3"/>
  <c r="Z664" i="3"/>
  <c r="Y665" i="3"/>
  <c r="W666" i="3"/>
  <c r="U667" i="3"/>
  <c r="AE667" i="3" s="1"/>
  <c r="Q668" i="3"/>
  <c r="Z668" i="3"/>
  <c r="W669" i="3"/>
  <c r="S670" i="3"/>
  <c r="AB670" i="3"/>
  <c r="X671" i="3"/>
  <c r="T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X496" i="3"/>
  <c r="Q499" i="3"/>
  <c r="T500" i="3"/>
  <c r="W501" i="3"/>
  <c r="Z502" i="3"/>
  <c r="P504" i="3"/>
  <c r="S505" i="3"/>
  <c r="V506" i="3"/>
  <c r="Y507" i="3"/>
  <c r="AB508" i="3"/>
  <c r="R510" i="3"/>
  <c r="U511" i="3"/>
  <c r="X512" i="3"/>
  <c r="AA513" i="3"/>
  <c r="Q515" i="3"/>
  <c r="T516" i="3"/>
  <c r="W517" i="3"/>
  <c r="Z518" i="3"/>
  <c r="P520" i="3"/>
  <c r="S521" i="3"/>
  <c r="V522" i="3"/>
  <c r="Y523" i="3"/>
  <c r="AB524" i="3"/>
  <c r="R526" i="3"/>
  <c r="U527" i="3"/>
  <c r="X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X544" i="3"/>
  <c r="AA545" i="3"/>
  <c r="Q547" i="3"/>
  <c r="T548" i="3"/>
  <c r="W549" i="3"/>
  <c r="Z550" i="3"/>
  <c r="P552" i="3"/>
  <c r="S553" i="3"/>
  <c r="V554" i="3"/>
  <c r="Y555" i="3"/>
  <c r="AB556" i="3"/>
  <c r="R558" i="3"/>
  <c r="U559" i="3"/>
  <c r="AE559" i="3" s="1"/>
  <c r="X560" i="3"/>
  <c r="AA561" i="3"/>
  <c r="Q563" i="3"/>
  <c r="T564" i="3"/>
  <c r="W565" i="3"/>
  <c r="Z566" i="3"/>
  <c r="P568" i="3"/>
  <c r="S569" i="3"/>
  <c r="V570" i="3"/>
  <c r="Y571" i="3"/>
  <c r="AB572" i="3"/>
  <c r="R574" i="3"/>
  <c r="U575" i="3"/>
  <c r="X576" i="3"/>
  <c r="AA577" i="3"/>
  <c r="Q579" i="3"/>
  <c r="T580" i="3"/>
  <c r="W581" i="3"/>
  <c r="Z582" i="3"/>
  <c r="P584" i="3"/>
  <c r="S585" i="3"/>
  <c r="V586" i="3"/>
  <c r="Y587" i="3"/>
  <c r="AB588" i="3"/>
  <c r="R590" i="3"/>
  <c r="U591" i="3"/>
  <c r="X592" i="3"/>
  <c r="AA593" i="3"/>
  <c r="Q595" i="3"/>
  <c r="T596" i="3"/>
  <c r="W597" i="3"/>
  <c r="Z598" i="3"/>
  <c r="P600" i="3"/>
  <c r="S601" i="3"/>
  <c r="V602" i="3"/>
  <c r="Y603" i="3"/>
  <c r="AB604" i="3"/>
  <c r="R606" i="3"/>
  <c r="U607" i="3"/>
  <c r="X608" i="3"/>
  <c r="AA609" i="3"/>
  <c r="Q611" i="3"/>
  <c r="T612" i="3"/>
  <c r="W613" i="3"/>
  <c r="Z614" i="3"/>
  <c r="P616" i="3"/>
  <c r="S617" i="3"/>
  <c r="V618" i="3"/>
  <c r="Y619" i="3"/>
  <c r="AB620" i="3"/>
  <c r="R622" i="3"/>
  <c r="U623" i="3"/>
  <c r="X624" i="3"/>
  <c r="AA625" i="3"/>
  <c r="Q627" i="3"/>
  <c r="T628" i="3"/>
  <c r="W629" i="3"/>
  <c r="Z630" i="3"/>
  <c r="P632" i="3"/>
  <c r="S633" i="3"/>
  <c r="V634" i="3"/>
  <c r="Y635" i="3"/>
  <c r="AB636" i="3"/>
  <c r="R638" i="3"/>
  <c r="U639" i="3"/>
  <c r="X640" i="3"/>
  <c r="AA641" i="3"/>
  <c r="Q643" i="3"/>
  <c r="T644" i="3"/>
  <c r="W645" i="3"/>
  <c r="Z646" i="3"/>
  <c r="P648" i="3"/>
  <c r="S649" i="3"/>
  <c r="V650" i="3"/>
  <c r="Y651" i="3"/>
  <c r="AB652" i="3"/>
  <c r="R654" i="3"/>
  <c r="U655" i="3"/>
  <c r="X656" i="3"/>
  <c r="AA657" i="3"/>
  <c r="Q659" i="3"/>
  <c r="T660" i="3"/>
  <c r="W661" i="3"/>
  <c r="Z662" i="3"/>
  <c r="P664" i="3"/>
  <c r="AB664" i="3"/>
  <c r="AA665" i="3"/>
  <c r="X666" i="3"/>
  <c r="V667" i="3"/>
  <c r="R668" i="3"/>
  <c r="AB668" i="3"/>
  <c r="X669" i="3"/>
  <c r="T670" i="3"/>
  <c r="P671" i="3"/>
  <c r="Y671" i="3"/>
  <c r="U672" i="3"/>
  <c r="AE672" i="3" s="1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P894" i="3"/>
  <c r="X894" i="3"/>
  <c r="S895" i="3"/>
  <c r="AA895" i="3"/>
  <c r="V896" i="3"/>
  <c r="Q897" i="3"/>
  <c r="Y897" i="3"/>
  <c r="T898" i="3"/>
  <c r="AB898" i="3"/>
  <c r="W899" i="3"/>
  <c r="R900" i="3"/>
  <c r="Z900" i="3"/>
  <c r="P497" i="3"/>
  <c r="R499" i="3"/>
  <c r="U500" i="3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X517" i="3"/>
  <c r="AA518" i="3"/>
  <c r="Q520" i="3"/>
  <c r="T521" i="3"/>
  <c r="W522" i="3"/>
  <c r="Z523" i="3"/>
  <c r="P525" i="3"/>
  <c r="S526" i="3"/>
  <c r="V527" i="3"/>
  <c r="Y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B545" i="3"/>
  <c r="R547" i="3"/>
  <c r="U548" i="3"/>
  <c r="X549" i="3"/>
  <c r="AA550" i="3"/>
  <c r="Q552" i="3"/>
  <c r="T553" i="3"/>
  <c r="W554" i="3"/>
  <c r="Z555" i="3"/>
  <c r="P557" i="3"/>
  <c r="S558" i="3"/>
  <c r="V559" i="3"/>
  <c r="Y560" i="3"/>
  <c r="AB561" i="3"/>
  <c r="R563" i="3"/>
  <c r="U564" i="3"/>
  <c r="X565" i="3"/>
  <c r="AA566" i="3"/>
  <c r="Q568" i="3"/>
  <c r="T569" i="3"/>
  <c r="W570" i="3"/>
  <c r="Z571" i="3"/>
  <c r="P573" i="3"/>
  <c r="S574" i="3"/>
  <c r="V575" i="3"/>
  <c r="Y576" i="3"/>
  <c r="AB577" i="3"/>
  <c r="R579" i="3"/>
  <c r="U580" i="3"/>
  <c r="X581" i="3"/>
  <c r="AA582" i="3"/>
  <c r="Q584" i="3"/>
  <c r="T585" i="3"/>
  <c r="W586" i="3"/>
  <c r="Z587" i="3"/>
  <c r="P589" i="3"/>
  <c r="S590" i="3"/>
  <c r="V591" i="3"/>
  <c r="Y592" i="3"/>
  <c r="AB593" i="3"/>
  <c r="R595" i="3"/>
  <c r="U596" i="3"/>
  <c r="AE596" i="3" s="1"/>
  <c r="X597" i="3"/>
  <c r="AA598" i="3"/>
  <c r="Q600" i="3"/>
  <c r="T601" i="3"/>
  <c r="W602" i="3"/>
  <c r="Z603" i="3"/>
  <c r="P605" i="3"/>
  <c r="S606" i="3"/>
  <c r="V607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U628" i="3"/>
  <c r="X629" i="3"/>
  <c r="AA630" i="3"/>
  <c r="Q632" i="3"/>
  <c r="T633" i="3"/>
  <c r="W634" i="3"/>
  <c r="Z635" i="3"/>
  <c r="P637" i="3"/>
  <c r="S638" i="3"/>
  <c r="V639" i="3"/>
  <c r="Y640" i="3"/>
  <c r="AB641" i="3"/>
  <c r="R643" i="3"/>
  <c r="U644" i="3"/>
  <c r="AE644" i="3" s="1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AE660" i="3" s="1"/>
  <c r="X661" i="3"/>
  <c r="AA662" i="3"/>
  <c r="Q664" i="3"/>
  <c r="P665" i="3"/>
  <c r="AB665" i="3"/>
  <c r="Z666" i="3"/>
  <c r="W667" i="3"/>
  <c r="T668" i="3"/>
  <c r="P669" i="3"/>
  <c r="Y669" i="3"/>
  <c r="U670" i="3"/>
  <c r="Q671" i="3"/>
  <c r="Z671" i="3"/>
  <c r="V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S497" i="3"/>
  <c r="U499" i="3"/>
  <c r="X500" i="3"/>
  <c r="AA501" i="3"/>
  <c r="Q503" i="3"/>
  <c r="T504" i="3"/>
  <c r="W505" i="3"/>
  <c r="Z506" i="3"/>
  <c r="P508" i="3"/>
  <c r="S509" i="3"/>
  <c r="V510" i="3"/>
  <c r="Y511" i="3"/>
  <c r="AB512" i="3"/>
  <c r="R514" i="3"/>
  <c r="U515" i="3"/>
  <c r="X516" i="3"/>
  <c r="AA517" i="3"/>
  <c r="Q519" i="3"/>
  <c r="T520" i="3"/>
  <c r="W521" i="3"/>
  <c r="Z522" i="3"/>
  <c r="P524" i="3"/>
  <c r="S525" i="3"/>
  <c r="V526" i="3"/>
  <c r="Y527" i="3"/>
  <c r="AB528" i="3"/>
  <c r="R530" i="3"/>
  <c r="U531" i="3"/>
  <c r="X532" i="3"/>
  <c r="AA533" i="3"/>
  <c r="Q535" i="3"/>
  <c r="T536" i="3"/>
  <c r="W537" i="3"/>
  <c r="Z538" i="3"/>
  <c r="P540" i="3"/>
  <c r="S541" i="3"/>
  <c r="V542" i="3"/>
  <c r="Y543" i="3"/>
  <c r="AB544" i="3"/>
  <c r="R546" i="3"/>
  <c r="U547" i="3"/>
  <c r="AE547" i="3" s="1"/>
  <c r="X548" i="3"/>
  <c r="AA549" i="3"/>
  <c r="Q551" i="3"/>
  <c r="T552" i="3"/>
  <c r="W553" i="3"/>
  <c r="Z554" i="3"/>
  <c r="P556" i="3"/>
  <c r="S557" i="3"/>
  <c r="V558" i="3"/>
  <c r="Y559" i="3"/>
  <c r="AB560" i="3"/>
  <c r="R562" i="3"/>
  <c r="U563" i="3"/>
  <c r="X564" i="3"/>
  <c r="AA565" i="3"/>
  <c r="Q567" i="3"/>
  <c r="T568" i="3"/>
  <c r="W569" i="3"/>
  <c r="Z570" i="3"/>
  <c r="P572" i="3"/>
  <c r="S573" i="3"/>
  <c r="V574" i="3"/>
  <c r="Y575" i="3"/>
  <c r="AB576" i="3"/>
  <c r="X497" i="3"/>
  <c r="V499" i="3"/>
  <c r="Y500" i="3"/>
  <c r="AB501" i="3"/>
  <c r="R503" i="3"/>
  <c r="U504" i="3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X521" i="3"/>
  <c r="AA522" i="3"/>
  <c r="Q524" i="3"/>
  <c r="T525" i="3"/>
  <c r="W526" i="3"/>
  <c r="Z527" i="3"/>
  <c r="P529" i="3"/>
  <c r="S530" i="3"/>
  <c r="V531" i="3"/>
  <c r="Y532" i="3"/>
  <c r="AB533" i="3"/>
  <c r="R535" i="3"/>
  <c r="U536" i="3"/>
  <c r="AE536" i="3" s="1"/>
  <c r="X537" i="3"/>
  <c r="AA538" i="3"/>
  <c r="Q540" i="3"/>
  <c r="T541" i="3"/>
  <c r="W542" i="3"/>
  <c r="Z543" i="3"/>
  <c r="P545" i="3"/>
  <c r="S546" i="3"/>
  <c r="V547" i="3"/>
  <c r="Y548" i="3"/>
  <c r="AB549" i="3"/>
  <c r="R551" i="3"/>
  <c r="U552" i="3"/>
  <c r="X553" i="3"/>
  <c r="AA554" i="3"/>
  <c r="Q556" i="3"/>
  <c r="T557" i="3"/>
  <c r="W558" i="3"/>
  <c r="Z559" i="3"/>
  <c r="P561" i="3"/>
  <c r="S562" i="3"/>
  <c r="V563" i="3"/>
  <c r="Y564" i="3"/>
  <c r="AB565" i="3"/>
  <c r="R567" i="3"/>
  <c r="U568" i="3"/>
  <c r="X569" i="3"/>
  <c r="AA570" i="3"/>
  <c r="Q572" i="3"/>
  <c r="T573" i="3"/>
  <c r="W574" i="3"/>
  <c r="Z575" i="3"/>
  <c r="P577" i="3"/>
  <c r="S578" i="3"/>
  <c r="V579" i="3"/>
  <c r="Y580" i="3"/>
  <c r="AB581" i="3"/>
  <c r="R583" i="3"/>
  <c r="U584" i="3"/>
  <c r="X585" i="3"/>
  <c r="AA586" i="3"/>
  <c r="Q588" i="3"/>
  <c r="T589" i="3"/>
  <c r="W590" i="3"/>
  <c r="Z591" i="3"/>
  <c r="P593" i="3"/>
  <c r="S594" i="3"/>
  <c r="V595" i="3"/>
  <c r="Y596" i="3"/>
  <c r="AB597" i="3"/>
  <c r="R599" i="3"/>
  <c r="U600" i="3"/>
  <c r="X601" i="3"/>
  <c r="AA602" i="3"/>
  <c r="Q604" i="3"/>
  <c r="T605" i="3"/>
  <c r="W606" i="3"/>
  <c r="Z607" i="3"/>
  <c r="P609" i="3"/>
  <c r="S610" i="3"/>
  <c r="V611" i="3"/>
  <c r="Y612" i="3"/>
  <c r="AB613" i="3"/>
  <c r="R615" i="3"/>
  <c r="U616" i="3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T664" i="3"/>
  <c r="T665" i="3"/>
  <c r="R666" i="3"/>
  <c r="AB666" i="3"/>
  <c r="Z667" i="3"/>
  <c r="V668" i="3"/>
  <c r="R669" i="3"/>
  <c r="AA669" i="3"/>
  <c r="W670" i="3"/>
  <c r="S671" i="3"/>
  <c r="P672" i="3"/>
  <c r="Y672" i="3"/>
  <c r="T673" i="3"/>
  <c r="AB673" i="3"/>
  <c r="W674" i="3"/>
  <c r="R675" i="3"/>
  <c r="Z675" i="3"/>
  <c r="U676" i="3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A497" i="3"/>
  <c r="Y499" i="3"/>
  <c r="AB500" i="3"/>
  <c r="R502" i="3"/>
  <c r="U503" i="3"/>
  <c r="X504" i="3"/>
  <c r="AA505" i="3"/>
  <c r="Q507" i="3"/>
  <c r="T508" i="3"/>
  <c r="W509" i="3"/>
  <c r="Z510" i="3"/>
  <c r="P512" i="3"/>
  <c r="S513" i="3"/>
  <c r="V514" i="3"/>
  <c r="Y515" i="3"/>
  <c r="AB516" i="3"/>
  <c r="R518" i="3"/>
  <c r="U519" i="3"/>
  <c r="X520" i="3"/>
  <c r="AA521" i="3"/>
  <c r="Q523" i="3"/>
  <c r="T524" i="3"/>
  <c r="W525" i="3"/>
  <c r="Z526" i="3"/>
  <c r="P528" i="3"/>
  <c r="S529" i="3"/>
  <c r="V530" i="3"/>
  <c r="Y531" i="3"/>
  <c r="AB532" i="3"/>
  <c r="R534" i="3"/>
  <c r="U535" i="3"/>
  <c r="X536" i="3"/>
  <c r="AA537" i="3"/>
  <c r="Q539" i="3"/>
  <c r="T540" i="3"/>
  <c r="W541" i="3"/>
  <c r="Z542" i="3"/>
  <c r="P544" i="3"/>
  <c r="S545" i="3"/>
  <c r="V546" i="3"/>
  <c r="Y547" i="3"/>
  <c r="AB548" i="3"/>
  <c r="R550" i="3"/>
  <c r="U551" i="3"/>
  <c r="X552" i="3"/>
  <c r="AA553" i="3"/>
  <c r="Q555" i="3"/>
  <c r="T556" i="3"/>
  <c r="W557" i="3"/>
  <c r="Z558" i="3"/>
  <c r="P560" i="3"/>
  <c r="S561" i="3"/>
  <c r="V562" i="3"/>
  <c r="Y563" i="3"/>
  <c r="AB564" i="3"/>
  <c r="R566" i="3"/>
  <c r="U567" i="3"/>
  <c r="X568" i="3"/>
  <c r="AA569" i="3"/>
  <c r="Q571" i="3"/>
  <c r="T572" i="3"/>
  <c r="W573" i="3"/>
  <c r="Z574" i="3"/>
  <c r="P576" i="3"/>
  <c r="S577" i="3"/>
  <c r="V578" i="3"/>
  <c r="Y579" i="3"/>
  <c r="AB580" i="3"/>
  <c r="R582" i="3"/>
  <c r="U583" i="3"/>
  <c r="X584" i="3"/>
  <c r="AA585" i="3"/>
  <c r="Q587" i="3"/>
  <c r="T588" i="3"/>
  <c r="W589" i="3"/>
  <c r="Z590" i="3"/>
  <c r="P592" i="3"/>
  <c r="S593" i="3"/>
  <c r="V594" i="3"/>
  <c r="Y595" i="3"/>
  <c r="AB596" i="3"/>
  <c r="R598" i="3"/>
  <c r="U599" i="3"/>
  <c r="AE599" i="3" s="1"/>
  <c r="X600" i="3"/>
  <c r="AA601" i="3"/>
  <c r="Q603" i="3"/>
  <c r="T604" i="3"/>
  <c r="W605" i="3"/>
  <c r="Z606" i="3"/>
  <c r="P608" i="3"/>
  <c r="S609" i="3"/>
  <c r="V610" i="3"/>
  <c r="Y611" i="3"/>
  <c r="AB612" i="3"/>
  <c r="R614" i="3"/>
  <c r="U615" i="3"/>
  <c r="X616" i="3"/>
  <c r="AA617" i="3"/>
  <c r="Q619" i="3"/>
  <c r="T620" i="3"/>
  <c r="W621" i="3"/>
  <c r="Z622" i="3"/>
  <c r="P624" i="3"/>
  <c r="S625" i="3"/>
  <c r="V626" i="3"/>
  <c r="Y627" i="3"/>
  <c r="AB628" i="3"/>
  <c r="R630" i="3"/>
  <c r="U631" i="3"/>
  <c r="X632" i="3"/>
  <c r="AA633" i="3"/>
  <c r="Q635" i="3"/>
  <c r="T636" i="3"/>
  <c r="W637" i="3"/>
  <c r="Z638" i="3"/>
  <c r="P640" i="3"/>
  <c r="S641" i="3"/>
  <c r="V642" i="3"/>
  <c r="Y643" i="3"/>
  <c r="AB644" i="3"/>
  <c r="R646" i="3"/>
  <c r="U647" i="3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U664" i="3"/>
  <c r="U665" i="3"/>
  <c r="S666" i="3"/>
  <c r="Q667" i="3"/>
  <c r="AA667" i="3"/>
  <c r="W668" i="3"/>
  <c r="S669" i="3"/>
  <c r="AB669" i="3"/>
  <c r="X670" i="3"/>
  <c r="U671" i="3"/>
  <c r="Q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P898" i="3"/>
  <c r="X898" i="3"/>
  <c r="S899" i="3"/>
  <c r="AA899" i="3"/>
  <c r="V900" i="3"/>
  <c r="Q901" i="3"/>
  <c r="Y901" i="3"/>
  <c r="T902" i="3"/>
  <c r="AB902" i="3"/>
  <c r="W903" i="3"/>
  <c r="R578" i="3"/>
  <c r="W593" i="3"/>
  <c r="V598" i="3"/>
  <c r="U603" i="3"/>
  <c r="AE603" i="3" s="1"/>
  <c r="T608" i="3"/>
  <c r="S613" i="3"/>
  <c r="R618" i="3"/>
  <c r="Q623" i="3"/>
  <c r="P628" i="3"/>
  <c r="AB632" i="3"/>
  <c r="AA637" i="3"/>
  <c r="Z642" i="3"/>
  <c r="Y647" i="3"/>
  <c r="X652" i="3"/>
  <c r="W657" i="3"/>
  <c r="V662" i="3"/>
  <c r="V666" i="3"/>
  <c r="U669" i="3"/>
  <c r="S672" i="3"/>
  <c r="Z674" i="3"/>
  <c r="S677" i="3"/>
  <c r="Y679" i="3"/>
  <c r="R682" i="3"/>
  <c r="X684" i="3"/>
  <c r="P687" i="3"/>
  <c r="W688" i="3"/>
  <c r="Z689" i="3"/>
  <c r="P691" i="3"/>
  <c r="S692" i="3"/>
  <c r="V693" i="3"/>
  <c r="Y694" i="3"/>
  <c r="AB695" i="3"/>
  <c r="R697" i="3"/>
  <c r="U698" i="3"/>
  <c r="AE698" i="3" s="1"/>
  <c r="X699" i="3"/>
  <c r="AA700" i="3"/>
  <c r="Q702" i="3"/>
  <c r="T703" i="3"/>
  <c r="W704" i="3"/>
  <c r="Z705" i="3"/>
  <c r="P707" i="3"/>
  <c r="S708" i="3"/>
  <c r="V709" i="3"/>
  <c r="Y710" i="3"/>
  <c r="AB711" i="3"/>
  <c r="R713" i="3"/>
  <c r="U714" i="3"/>
  <c r="X715" i="3"/>
  <c r="AA716" i="3"/>
  <c r="Q718" i="3"/>
  <c r="T719" i="3"/>
  <c r="W720" i="3"/>
  <c r="Z721" i="3"/>
  <c r="P723" i="3"/>
  <c r="S724" i="3"/>
  <c r="V725" i="3"/>
  <c r="Y726" i="3"/>
  <c r="AB727" i="3"/>
  <c r="R729" i="3"/>
  <c r="U730" i="3"/>
  <c r="X731" i="3"/>
  <c r="AA732" i="3"/>
  <c r="Q734" i="3"/>
  <c r="T735" i="3"/>
  <c r="W736" i="3"/>
  <c r="Z737" i="3"/>
  <c r="P739" i="3"/>
  <c r="S740" i="3"/>
  <c r="V741" i="3"/>
  <c r="Y742" i="3"/>
  <c r="AB743" i="3"/>
  <c r="R745" i="3"/>
  <c r="U746" i="3"/>
  <c r="AE746" i="3" s="1"/>
  <c r="X747" i="3"/>
  <c r="AA748" i="3"/>
  <c r="Q750" i="3"/>
  <c r="T751" i="3"/>
  <c r="W752" i="3"/>
  <c r="Z753" i="3"/>
  <c r="P755" i="3"/>
  <c r="S756" i="3"/>
  <c r="V757" i="3"/>
  <c r="Y758" i="3"/>
  <c r="AB759" i="3"/>
  <c r="R761" i="3"/>
  <c r="U762" i="3"/>
  <c r="X763" i="3"/>
  <c r="AA764" i="3"/>
  <c r="Q766" i="3"/>
  <c r="T767" i="3"/>
  <c r="W768" i="3"/>
  <c r="Z769" i="3"/>
  <c r="P771" i="3"/>
  <c r="S772" i="3"/>
  <c r="V773" i="3"/>
  <c r="Y774" i="3"/>
  <c r="AB775" i="3"/>
  <c r="R777" i="3"/>
  <c r="U778" i="3"/>
  <c r="X779" i="3"/>
  <c r="AA780" i="3"/>
  <c r="Q782" i="3"/>
  <c r="Z785" i="3"/>
  <c r="P787" i="3"/>
  <c r="S788" i="3"/>
  <c r="V789" i="3"/>
  <c r="Y790" i="3"/>
  <c r="AB791" i="3"/>
  <c r="R793" i="3"/>
  <c r="U794" i="3"/>
  <c r="X795" i="3"/>
  <c r="AA796" i="3"/>
  <c r="Q798" i="3"/>
  <c r="T799" i="3"/>
  <c r="W800" i="3"/>
  <c r="Z801" i="3"/>
  <c r="P803" i="3"/>
  <c r="S804" i="3"/>
  <c r="V805" i="3"/>
  <c r="Y806" i="3"/>
  <c r="AB807" i="3"/>
  <c r="R809" i="3"/>
  <c r="U810" i="3"/>
  <c r="Q814" i="3"/>
  <c r="T815" i="3"/>
  <c r="W816" i="3"/>
  <c r="Z817" i="3"/>
  <c r="P819" i="3"/>
  <c r="S820" i="3"/>
  <c r="AB823" i="3"/>
  <c r="X827" i="3"/>
  <c r="S836" i="3"/>
  <c r="X843" i="3"/>
  <c r="P851" i="3"/>
  <c r="Q862" i="3"/>
  <c r="AB871" i="3"/>
  <c r="S884" i="3"/>
  <c r="U896" i="3"/>
  <c r="U579" i="3"/>
  <c r="T584" i="3"/>
  <c r="S589" i="3"/>
  <c r="R594" i="3"/>
  <c r="Q599" i="3"/>
  <c r="P604" i="3"/>
  <c r="AB608" i="3"/>
  <c r="AA613" i="3"/>
  <c r="Z618" i="3"/>
  <c r="Y623" i="3"/>
  <c r="X628" i="3"/>
  <c r="W633" i="3"/>
  <c r="V638" i="3"/>
  <c r="U643" i="3"/>
  <c r="T648" i="3"/>
  <c r="S653" i="3"/>
  <c r="R658" i="3"/>
  <c r="Q663" i="3"/>
  <c r="AA666" i="3"/>
  <c r="Z669" i="3"/>
  <c r="X672" i="3"/>
  <c r="Q675" i="3"/>
  <c r="W677" i="3"/>
  <c r="P680" i="3"/>
  <c r="V682" i="3"/>
  <c r="AB684" i="3"/>
  <c r="Q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AE703" i="3" s="1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AE751" i="3" s="1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AE815" i="3" s="1"/>
  <c r="X816" i="3"/>
  <c r="AA817" i="3"/>
  <c r="Q819" i="3"/>
  <c r="T820" i="3"/>
  <c r="W821" i="3"/>
  <c r="Z822" i="3"/>
  <c r="P824" i="3"/>
  <c r="S825" i="3"/>
  <c r="V826" i="3"/>
  <c r="Y827" i="3"/>
  <c r="AB828" i="3"/>
  <c r="R830" i="3"/>
  <c r="U831" i="3"/>
  <c r="X832" i="3"/>
  <c r="AA833" i="3"/>
  <c r="Q835" i="3"/>
  <c r="T836" i="3"/>
  <c r="W837" i="3"/>
  <c r="Z838" i="3"/>
  <c r="P840" i="3"/>
  <c r="S841" i="3"/>
  <c r="V842" i="3"/>
  <c r="Y843" i="3"/>
  <c r="AB844" i="3"/>
  <c r="R846" i="3"/>
  <c r="U847" i="3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X864" i="3"/>
  <c r="AA865" i="3"/>
  <c r="Q867" i="3"/>
  <c r="T868" i="3"/>
  <c r="W869" i="3"/>
  <c r="Z870" i="3"/>
  <c r="P872" i="3"/>
  <c r="P580" i="3"/>
  <c r="AB584" i="3"/>
  <c r="AA589" i="3"/>
  <c r="Z594" i="3"/>
  <c r="Y599" i="3"/>
  <c r="X604" i="3"/>
  <c r="W609" i="3"/>
  <c r="V614" i="3"/>
  <c r="U619" i="3"/>
  <c r="AE619" i="3" s="1"/>
  <c r="T624" i="3"/>
  <c r="S629" i="3"/>
  <c r="R634" i="3"/>
  <c r="Q639" i="3"/>
  <c r="P644" i="3"/>
  <c r="AB648" i="3"/>
  <c r="AA653" i="3"/>
  <c r="Z658" i="3"/>
  <c r="Y663" i="3"/>
  <c r="S667" i="3"/>
  <c r="R670" i="3"/>
  <c r="AB672" i="3"/>
  <c r="U675" i="3"/>
  <c r="AE675" i="3" s="1"/>
  <c r="AA677" i="3"/>
  <c r="T680" i="3"/>
  <c r="Z682" i="3"/>
  <c r="S685" i="3"/>
  <c r="U687" i="3"/>
  <c r="AA688" i="3"/>
  <c r="Q690" i="3"/>
  <c r="T691" i="3"/>
  <c r="W692" i="3"/>
  <c r="Z693" i="3"/>
  <c r="P695" i="3"/>
  <c r="S696" i="3"/>
  <c r="V697" i="3"/>
  <c r="Y698" i="3"/>
  <c r="AB699" i="3"/>
  <c r="R701" i="3"/>
  <c r="U702" i="3"/>
  <c r="X703" i="3"/>
  <c r="AA704" i="3"/>
  <c r="Q706" i="3"/>
  <c r="T707" i="3"/>
  <c r="W708" i="3"/>
  <c r="Z709" i="3"/>
  <c r="P711" i="3"/>
  <c r="S712" i="3"/>
  <c r="V713" i="3"/>
  <c r="Y714" i="3"/>
  <c r="AB715" i="3"/>
  <c r="R717" i="3"/>
  <c r="U718" i="3"/>
  <c r="X719" i="3"/>
  <c r="AA720" i="3"/>
  <c r="Q722" i="3"/>
  <c r="T723" i="3"/>
  <c r="W724" i="3"/>
  <c r="Z725" i="3"/>
  <c r="P727" i="3"/>
  <c r="S728" i="3"/>
  <c r="V729" i="3"/>
  <c r="Y730" i="3"/>
  <c r="AB731" i="3"/>
  <c r="R733" i="3"/>
  <c r="U734" i="3"/>
  <c r="X735" i="3"/>
  <c r="AA736" i="3"/>
  <c r="Q738" i="3"/>
  <c r="T739" i="3"/>
  <c r="W740" i="3"/>
  <c r="Z741" i="3"/>
  <c r="P743" i="3"/>
  <c r="S744" i="3"/>
  <c r="V745" i="3"/>
  <c r="Y746" i="3"/>
  <c r="AB747" i="3"/>
  <c r="R749" i="3"/>
  <c r="U750" i="3"/>
  <c r="AE750" i="3" s="1"/>
  <c r="X751" i="3"/>
  <c r="AA752" i="3"/>
  <c r="Q754" i="3"/>
  <c r="T755" i="3"/>
  <c r="W756" i="3"/>
  <c r="Z757" i="3"/>
  <c r="P759" i="3"/>
  <c r="S760" i="3"/>
  <c r="V761" i="3"/>
  <c r="Y762" i="3"/>
  <c r="AB763" i="3"/>
  <c r="R765" i="3"/>
  <c r="U766" i="3"/>
  <c r="X767" i="3"/>
  <c r="AA768" i="3"/>
  <c r="Q770" i="3"/>
  <c r="T771" i="3"/>
  <c r="W772" i="3"/>
  <c r="Z773" i="3"/>
  <c r="P775" i="3"/>
  <c r="S776" i="3"/>
  <c r="V777" i="3"/>
  <c r="Y778" i="3"/>
  <c r="AB779" i="3"/>
  <c r="R781" i="3"/>
  <c r="U782" i="3"/>
  <c r="X783" i="3"/>
  <c r="AA784" i="3"/>
  <c r="Q786" i="3"/>
  <c r="T787" i="3"/>
  <c r="W788" i="3"/>
  <c r="Z789" i="3"/>
  <c r="P791" i="3"/>
  <c r="S792" i="3"/>
  <c r="V793" i="3"/>
  <c r="Y794" i="3"/>
  <c r="AB795" i="3"/>
  <c r="R797" i="3"/>
  <c r="U798" i="3"/>
  <c r="X799" i="3"/>
  <c r="AA800" i="3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Z821" i="3"/>
  <c r="P823" i="3"/>
  <c r="S824" i="3"/>
  <c r="V825" i="3"/>
  <c r="Y826" i="3"/>
  <c r="AB827" i="3"/>
  <c r="R829" i="3"/>
  <c r="U830" i="3"/>
  <c r="X831" i="3"/>
  <c r="AA832" i="3"/>
  <c r="Q834" i="3"/>
  <c r="T835" i="3"/>
  <c r="W836" i="3"/>
  <c r="Z837" i="3"/>
  <c r="P839" i="3"/>
  <c r="S840" i="3"/>
  <c r="V841" i="3"/>
  <c r="Y842" i="3"/>
  <c r="AB843" i="3"/>
  <c r="R845" i="3"/>
  <c r="U846" i="3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AA864" i="3"/>
  <c r="Q866" i="3"/>
  <c r="T867" i="3"/>
  <c r="W868" i="3"/>
  <c r="Z869" i="3"/>
  <c r="P871" i="3"/>
  <c r="S872" i="3"/>
  <c r="V873" i="3"/>
  <c r="Y874" i="3"/>
  <c r="AB875" i="3"/>
  <c r="R877" i="3"/>
  <c r="U878" i="3"/>
  <c r="AE878" i="3" s="1"/>
  <c r="X879" i="3"/>
  <c r="AA880" i="3"/>
  <c r="Q882" i="3"/>
  <c r="T883" i="3"/>
  <c r="W884" i="3"/>
  <c r="Z885" i="3"/>
  <c r="P887" i="3"/>
  <c r="S888" i="3"/>
  <c r="V889" i="3"/>
  <c r="Y890" i="3"/>
  <c r="AB891" i="3"/>
  <c r="R893" i="3"/>
  <c r="U894" i="3"/>
  <c r="X895" i="3"/>
  <c r="X896" i="3"/>
  <c r="X897" i="3"/>
  <c r="Y898" i="3"/>
  <c r="X899" i="3"/>
  <c r="X900" i="3"/>
  <c r="U901" i="3"/>
  <c r="Q902" i="3"/>
  <c r="Z902" i="3"/>
  <c r="V903" i="3"/>
  <c r="R904" i="3"/>
  <c r="Z904" i="3"/>
  <c r="U905" i="3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R1000" i="3"/>
  <c r="Z1000" i="3"/>
  <c r="P596" i="3"/>
  <c r="X580" i="3"/>
  <c r="W585" i="3"/>
  <c r="V590" i="3"/>
  <c r="U595" i="3"/>
  <c r="AE595" i="3" s="1"/>
  <c r="T600" i="3"/>
  <c r="S605" i="3"/>
  <c r="R610" i="3"/>
  <c r="Q615" i="3"/>
  <c r="P620" i="3"/>
  <c r="AB624" i="3"/>
  <c r="AA629" i="3"/>
  <c r="Z634" i="3"/>
  <c r="Y639" i="3"/>
  <c r="X644" i="3"/>
  <c r="W649" i="3"/>
  <c r="V654" i="3"/>
  <c r="U659" i="3"/>
  <c r="R664" i="3"/>
  <c r="Y667" i="3"/>
  <c r="V670" i="3"/>
  <c r="S673" i="3"/>
  <c r="Y675" i="3"/>
  <c r="R678" i="3"/>
  <c r="X680" i="3"/>
  <c r="Q683" i="3"/>
  <c r="W685" i="3"/>
  <c r="X687" i="3"/>
  <c r="AB688" i="3"/>
  <c r="R690" i="3"/>
  <c r="U691" i="3"/>
  <c r="AE691" i="3" s="1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X820" i="3"/>
  <c r="AA821" i="3"/>
  <c r="Q823" i="3"/>
  <c r="T824" i="3"/>
  <c r="W825" i="3"/>
  <c r="Z826" i="3"/>
  <c r="P828" i="3"/>
  <c r="S829" i="3"/>
  <c r="V830" i="3"/>
  <c r="Y831" i="3"/>
  <c r="AB832" i="3"/>
  <c r="R834" i="3"/>
  <c r="U835" i="3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AE867" i="3" s="1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AE883" i="3" s="1"/>
  <c r="X884" i="3"/>
  <c r="AA885" i="3"/>
  <c r="Q887" i="3"/>
  <c r="T888" i="3"/>
  <c r="W889" i="3"/>
  <c r="Z890" i="3"/>
  <c r="P892" i="3"/>
  <c r="S893" i="3"/>
  <c r="V894" i="3"/>
  <c r="Y895" i="3"/>
  <c r="AA896" i="3"/>
  <c r="Z897" i="3"/>
  <c r="Z898" i="3"/>
  <c r="Y899" i="3"/>
  <c r="Y900" i="3"/>
  <c r="V901" i="3"/>
  <c r="R902" i="3"/>
  <c r="AA902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P999" i="3"/>
  <c r="X999" i="3"/>
  <c r="S1000" i="3"/>
  <c r="AA1000" i="3"/>
  <c r="Z761" i="3"/>
  <c r="S581" i="3"/>
  <c r="R586" i="3"/>
  <c r="Q591" i="3"/>
  <c r="AB600" i="3"/>
  <c r="AA605" i="3"/>
  <c r="Z610" i="3"/>
  <c r="Y615" i="3"/>
  <c r="X620" i="3"/>
  <c r="W625" i="3"/>
  <c r="V630" i="3"/>
  <c r="U635" i="3"/>
  <c r="T640" i="3"/>
  <c r="S645" i="3"/>
  <c r="R650" i="3"/>
  <c r="Q655" i="3"/>
  <c r="P660" i="3"/>
  <c r="Y664" i="3"/>
  <c r="P668" i="3"/>
  <c r="AA670" i="3"/>
  <c r="W673" i="3"/>
  <c r="P676" i="3"/>
  <c r="V678" i="3"/>
  <c r="AB680" i="3"/>
  <c r="U683" i="3"/>
  <c r="AA685" i="3"/>
  <c r="Y687" i="3"/>
  <c r="R689" i="3"/>
  <c r="U690" i="3"/>
  <c r="X691" i="3"/>
  <c r="AA692" i="3"/>
  <c r="Q694" i="3"/>
  <c r="T695" i="3"/>
  <c r="W696" i="3"/>
  <c r="Z697" i="3"/>
  <c r="P699" i="3"/>
  <c r="S700" i="3"/>
  <c r="V701" i="3"/>
  <c r="Y702" i="3"/>
  <c r="AB703" i="3"/>
  <c r="R705" i="3"/>
  <c r="U706" i="3"/>
  <c r="AE706" i="3" s="1"/>
  <c r="X707" i="3"/>
  <c r="AA708" i="3"/>
  <c r="Q710" i="3"/>
  <c r="T711" i="3"/>
  <c r="W712" i="3"/>
  <c r="Z713" i="3"/>
  <c r="P715" i="3"/>
  <c r="S716" i="3"/>
  <c r="V717" i="3"/>
  <c r="Y718" i="3"/>
  <c r="AB719" i="3"/>
  <c r="R721" i="3"/>
  <c r="U722" i="3"/>
  <c r="AE722" i="3" s="1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X739" i="3"/>
  <c r="AA740" i="3"/>
  <c r="Q742" i="3"/>
  <c r="T743" i="3"/>
  <c r="W744" i="3"/>
  <c r="Z745" i="3"/>
  <c r="P747" i="3"/>
  <c r="S748" i="3"/>
  <c r="V749" i="3"/>
  <c r="Y750" i="3"/>
  <c r="AB751" i="3"/>
  <c r="R753" i="3"/>
  <c r="U754" i="3"/>
  <c r="X755" i="3"/>
  <c r="AA756" i="3"/>
  <c r="Q758" i="3"/>
  <c r="T759" i="3"/>
  <c r="W760" i="3"/>
  <c r="P763" i="3"/>
  <c r="S764" i="3"/>
  <c r="V765" i="3"/>
  <c r="Y766" i="3"/>
  <c r="AB767" i="3"/>
  <c r="R769" i="3"/>
  <c r="U770" i="3"/>
  <c r="X771" i="3"/>
  <c r="AA772" i="3"/>
  <c r="Q774" i="3"/>
  <c r="T775" i="3"/>
  <c r="W776" i="3"/>
  <c r="Z777" i="3"/>
  <c r="P779" i="3"/>
  <c r="S780" i="3"/>
  <c r="V781" i="3"/>
  <c r="Y782" i="3"/>
  <c r="AB783" i="3"/>
  <c r="R785" i="3"/>
  <c r="U786" i="3"/>
  <c r="AE786" i="3" s="1"/>
  <c r="X787" i="3"/>
  <c r="AA788" i="3"/>
  <c r="Q790" i="3"/>
  <c r="T791" i="3"/>
  <c r="W792" i="3"/>
  <c r="Z793" i="3"/>
  <c r="P795" i="3"/>
  <c r="S796" i="3"/>
  <c r="V797" i="3"/>
  <c r="Y798" i="3"/>
  <c r="AB799" i="3"/>
  <c r="R801" i="3"/>
  <c r="U802" i="3"/>
  <c r="AE802" i="3" s="1"/>
  <c r="X803" i="3"/>
  <c r="AA804" i="3"/>
  <c r="Q806" i="3"/>
  <c r="T807" i="3"/>
  <c r="W808" i="3"/>
  <c r="Z809" i="3"/>
  <c r="P811" i="3"/>
  <c r="S812" i="3"/>
  <c r="V813" i="3"/>
  <c r="Y814" i="3"/>
  <c r="AB815" i="3"/>
  <c r="R817" i="3"/>
  <c r="U818" i="3"/>
  <c r="X819" i="3"/>
  <c r="AA820" i="3"/>
  <c r="Q822" i="3"/>
  <c r="T823" i="3"/>
  <c r="W824" i="3"/>
  <c r="Z825" i="3"/>
  <c r="P827" i="3"/>
  <c r="S828" i="3"/>
  <c r="V829" i="3"/>
  <c r="Y830" i="3"/>
  <c r="AB831" i="3"/>
  <c r="R833" i="3"/>
  <c r="U834" i="3"/>
  <c r="X835" i="3"/>
  <c r="AA836" i="3"/>
  <c r="Q838" i="3"/>
  <c r="T839" i="3"/>
  <c r="W840" i="3"/>
  <c r="Z841" i="3"/>
  <c r="P843" i="3"/>
  <c r="S844" i="3"/>
  <c r="Y846" i="3"/>
  <c r="AB847" i="3"/>
  <c r="R849" i="3"/>
  <c r="U850" i="3"/>
  <c r="X851" i="3"/>
  <c r="AA852" i="3"/>
  <c r="Q854" i="3"/>
  <c r="T855" i="3"/>
  <c r="W856" i="3"/>
  <c r="Z857" i="3"/>
  <c r="P859" i="3"/>
  <c r="S860" i="3"/>
  <c r="V861" i="3"/>
  <c r="Y862" i="3"/>
  <c r="AB863" i="3"/>
  <c r="R865" i="3"/>
  <c r="X867" i="3"/>
  <c r="AA868" i="3"/>
  <c r="AA581" i="3"/>
  <c r="Z586" i="3"/>
  <c r="Y591" i="3"/>
  <c r="X596" i="3"/>
  <c r="W601" i="3"/>
  <c r="V606" i="3"/>
  <c r="U611" i="3"/>
  <c r="AE611" i="3" s="1"/>
  <c r="T616" i="3"/>
  <c r="S621" i="3"/>
  <c r="R626" i="3"/>
  <c r="Q631" i="3"/>
  <c r="P636" i="3"/>
  <c r="AB640" i="3"/>
  <c r="AA645" i="3"/>
  <c r="Z650" i="3"/>
  <c r="Y655" i="3"/>
  <c r="X660" i="3"/>
  <c r="S665" i="3"/>
  <c r="U668" i="3"/>
  <c r="R671" i="3"/>
  <c r="AA673" i="3"/>
  <c r="T676" i="3"/>
  <c r="Z678" i="3"/>
  <c r="S681" i="3"/>
  <c r="Y683" i="3"/>
  <c r="R686" i="3"/>
  <c r="P688" i="3"/>
  <c r="S689" i="3"/>
  <c r="V690" i="3"/>
  <c r="Y691" i="3"/>
  <c r="AB692" i="3"/>
  <c r="R694" i="3"/>
  <c r="U695" i="3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AE759" i="3" s="1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AE807" i="3" s="1"/>
  <c r="X808" i="3"/>
  <c r="AA809" i="3"/>
  <c r="Q811" i="3"/>
  <c r="T812" i="3"/>
  <c r="W813" i="3"/>
  <c r="Z814" i="3"/>
  <c r="P816" i="3"/>
  <c r="S817" i="3"/>
  <c r="V818" i="3"/>
  <c r="Y819" i="3"/>
  <c r="AB820" i="3"/>
  <c r="R822" i="3"/>
  <c r="U823" i="3"/>
  <c r="X824" i="3"/>
  <c r="AA825" i="3"/>
  <c r="Q827" i="3"/>
  <c r="T828" i="3"/>
  <c r="W829" i="3"/>
  <c r="Z830" i="3"/>
  <c r="P832" i="3"/>
  <c r="S833" i="3"/>
  <c r="V834" i="3"/>
  <c r="Y835" i="3"/>
  <c r="AB836" i="3"/>
  <c r="R838" i="3"/>
  <c r="U839" i="3"/>
  <c r="X840" i="3"/>
  <c r="AA841" i="3"/>
  <c r="Q843" i="3"/>
  <c r="T844" i="3"/>
  <c r="W845" i="3"/>
  <c r="Z846" i="3"/>
  <c r="P848" i="3"/>
  <c r="S849" i="3"/>
  <c r="V850" i="3"/>
  <c r="Y851" i="3"/>
  <c r="AB852" i="3"/>
  <c r="R854" i="3"/>
  <c r="U855" i="3"/>
  <c r="X856" i="3"/>
  <c r="AA857" i="3"/>
  <c r="Q859" i="3"/>
  <c r="T860" i="3"/>
  <c r="W861" i="3"/>
  <c r="Z862" i="3"/>
  <c r="P864" i="3"/>
  <c r="V582" i="3"/>
  <c r="U587" i="3"/>
  <c r="AE587" i="3" s="1"/>
  <c r="T592" i="3"/>
  <c r="S597" i="3"/>
  <c r="R602" i="3"/>
  <c r="Q607" i="3"/>
  <c r="P612" i="3"/>
  <c r="AB616" i="3"/>
  <c r="AA621" i="3"/>
  <c r="Z626" i="3"/>
  <c r="Y631" i="3"/>
  <c r="X636" i="3"/>
  <c r="W641" i="3"/>
  <c r="V646" i="3"/>
  <c r="U651" i="3"/>
  <c r="T656" i="3"/>
  <c r="S661" i="3"/>
  <c r="X665" i="3"/>
  <c r="Y668" i="3"/>
  <c r="W671" i="3"/>
  <c r="R674" i="3"/>
  <c r="X676" i="3"/>
  <c r="Q679" i="3"/>
  <c r="W681" i="3"/>
  <c r="P684" i="3"/>
  <c r="V686" i="3"/>
  <c r="S688" i="3"/>
  <c r="V689" i="3"/>
  <c r="Y690" i="3"/>
  <c r="AB691" i="3"/>
  <c r="R693" i="3"/>
  <c r="U694" i="3"/>
  <c r="X695" i="3"/>
  <c r="AA696" i="3"/>
  <c r="Q698" i="3"/>
  <c r="T699" i="3"/>
  <c r="W700" i="3"/>
  <c r="Z701" i="3"/>
  <c r="P703" i="3"/>
  <c r="S704" i="3"/>
  <c r="V705" i="3"/>
  <c r="Y706" i="3"/>
  <c r="AB707" i="3"/>
  <c r="R709" i="3"/>
  <c r="U710" i="3"/>
  <c r="X711" i="3"/>
  <c r="AA712" i="3"/>
  <c r="Q714" i="3"/>
  <c r="T715" i="3"/>
  <c r="W716" i="3"/>
  <c r="Z717" i="3"/>
  <c r="P719" i="3"/>
  <c r="S720" i="3"/>
  <c r="V721" i="3"/>
  <c r="Y722" i="3"/>
  <c r="AB723" i="3"/>
  <c r="R725" i="3"/>
  <c r="U726" i="3"/>
  <c r="AE726" i="3" s="1"/>
  <c r="X727" i="3"/>
  <c r="AA728" i="3"/>
  <c r="Q730" i="3"/>
  <c r="T731" i="3"/>
  <c r="W732" i="3"/>
  <c r="Z733" i="3"/>
  <c r="P735" i="3"/>
  <c r="S736" i="3"/>
  <c r="V737" i="3"/>
  <c r="Y738" i="3"/>
  <c r="AB739" i="3"/>
  <c r="R741" i="3"/>
  <c r="U742" i="3"/>
  <c r="X743" i="3"/>
  <c r="AA744" i="3"/>
  <c r="Q746" i="3"/>
  <c r="T747" i="3"/>
  <c r="W748" i="3"/>
  <c r="Z749" i="3"/>
  <c r="P751" i="3"/>
  <c r="S752" i="3"/>
  <c r="V753" i="3"/>
  <c r="Y754" i="3"/>
  <c r="AB755" i="3"/>
  <c r="R757" i="3"/>
  <c r="U758" i="3"/>
  <c r="X759" i="3"/>
  <c r="AA760" i="3"/>
  <c r="Q762" i="3"/>
  <c r="T763" i="3"/>
  <c r="W764" i="3"/>
  <c r="Z765" i="3"/>
  <c r="P767" i="3"/>
  <c r="S768" i="3"/>
  <c r="V769" i="3"/>
  <c r="Y770" i="3"/>
  <c r="AB771" i="3"/>
  <c r="R773" i="3"/>
  <c r="U774" i="3"/>
  <c r="X775" i="3"/>
  <c r="AA776" i="3"/>
  <c r="Q778" i="3"/>
  <c r="T779" i="3"/>
  <c r="W780" i="3"/>
  <c r="Z781" i="3"/>
  <c r="P783" i="3"/>
  <c r="S784" i="3"/>
  <c r="V785" i="3"/>
  <c r="Y786" i="3"/>
  <c r="AB787" i="3"/>
  <c r="R789" i="3"/>
  <c r="U790" i="3"/>
  <c r="AE790" i="3" s="1"/>
  <c r="X791" i="3"/>
  <c r="AA792" i="3"/>
  <c r="Q794" i="3"/>
  <c r="T795" i="3"/>
  <c r="W796" i="3"/>
  <c r="Z797" i="3"/>
  <c r="P799" i="3"/>
  <c r="S800" i="3"/>
  <c r="V801" i="3"/>
  <c r="Y802" i="3"/>
  <c r="AB803" i="3"/>
  <c r="R805" i="3"/>
  <c r="U806" i="3"/>
  <c r="X807" i="3"/>
  <c r="AA808" i="3"/>
  <c r="Q810" i="3"/>
  <c r="T811" i="3"/>
  <c r="W812" i="3"/>
  <c r="Z813" i="3"/>
  <c r="P815" i="3"/>
  <c r="S816" i="3"/>
  <c r="V817" i="3"/>
  <c r="Y818" i="3"/>
  <c r="AB819" i="3"/>
  <c r="R821" i="3"/>
  <c r="U822" i="3"/>
  <c r="X823" i="3"/>
  <c r="AA824" i="3"/>
  <c r="Q826" i="3"/>
  <c r="T827" i="3"/>
  <c r="W828" i="3"/>
  <c r="Z829" i="3"/>
  <c r="P831" i="3"/>
  <c r="S832" i="3"/>
  <c r="V833" i="3"/>
  <c r="Y834" i="3"/>
  <c r="AB835" i="3"/>
  <c r="R837" i="3"/>
  <c r="U838" i="3"/>
  <c r="X839" i="3"/>
  <c r="AA840" i="3"/>
  <c r="Q842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S864" i="3"/>
  <c r="V865" i="3"/>
  <c r="Y866" i="3"/>
  <c r="AB867" i="3"/>
  <c r="R869" i="3"/>
  <c r="U870" i="3"/>
  <c r="X871" i="3"/>
  <c r="AA872" i="3"/>
  <c r="Q874" i="3"/>
  <c r="T875" i="3"/>
  <c r="W876" i="3"/>
  <c r="Z877" i="3"/>
  <c r="P879" i="3"/>
  <c r="S880" i="3"/>
  <c r="V881" i="3"/>
  <c r="Y882" i="3"/>
  <c r="AB883" i="3"/>
  <c r="R885" i="3"/>
  <c r="U886" i="3"/>
  <c r="X887" i="3"/>
  <c r="AA888" i="3"/>
  <c r="Q890" i="3"/>
  <c r="T891" i="3"/>
  <c r="W892" i="3"/>
  <c r="Z893" i="3"/>
  <c r="P895" i="3"/>
  <c r="S896" i="3"/>
  <c r="R897" i="3"/>
  <c r="R898" i="3"/>
  <c r="Q899" i="3"/>
  <c r="Q900" i="3"/>
  <c r="P901" i="3"/>
  <c r="Z901" i="3"/>
  <c r="V902" i="3"/>
  <c r="R903" i="3"/>
  <c r="AA903" i="3"/>
  <c r="V904" i="3"/>
  <c r="Q905" i="3"/>
  <c r="Y905" i="3"/>
  <c r="T906" i="3"/>
  <c r="AB906" i="3"/>
  <c r="W907" i="3"/>
  <c r="R908" i="3"/>
  <c r="Z908" i="3"/>
  <c r="U909" i="3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Y583" i="3"/>
  <c r="W784" i="3"/>
  <c r="X811" i="3"/>
  <c r="V821" i="3"/>
  <c r="U826" i="3"/>
  <c r="AA828" i="3"/>
  <c r="T831" i="3"/>
  <c r="P835" i="3"/>
  <c r="Y838" i="3"/>
  <c r="R841" i="3"/>
  <c r="Q846" i="3"/>
  <c r="W848" i="3"/>
  <c r="S852" i="3"/>
  <c r="AB855" i="3"/>
  <c r="U858" i="3"/>
  <c r="X859" i="3"/>
  <c r="W864" i="3"/>
  <c r="S868" i="3"/>
  <c r="Y870" i="3"/>
  <c r="R873" i="3"/>
  <c r="AA876" i="3"/>
  <c r="Q878" i="3"/>
  <c r="W880" i="3"/>
  <c r="P883" i="3"/>
  <c r="Y886" i="3"/>
  <c r="AB887" i="3"/>
  <c r="U890" i="3"/>
  <c r="AE890" i="3" s="1"/>
  <c r="AA892" i="3"/>
  <c r="T895" i="3"/>
  <c r="U898" i="3"/>
  <c r="U899" i="3"/>
  <c r="S901" i="3"/>
  <c r="X902" i="3"/>
  <c r="S905" i="3"/>
  <c r="Q583" i="3"/>
  <c r="P588" i="3"/>
  <c r="AB592" i="3"/>
  <c r="AA597" i="3"/>
  <c r="Z602" i="3"/>
  <c r="Y607" i="3"/>
  <c r="X612" i="3"/>
  <c r="W617" i="3"/>
  <c r="V622" i="3"/>
  <c r="U627" i="3"/>
  <c r="AE627" i="3" s="1"/>
  <c r="T632" i="3"/>
  <c r="S637" i="3"/>
  <c r="R642" i="3"/>
  <c r="Q647" i="3"/>
  <c r="P652" i="3"/>
  <c r="AB656" i="3"/>
  <c r="AA661" i="3"/>
  <c r="P666" i="3"/>
  <c r="Q669" i="3"/>
  <c r="AA671" i="3"/>
  <c r="V674" i="3"/>
  <c r="AB676" i="3"/>
  <c r="U679" i="3"/>
  <c r="AE679" i="3" s="1"/>
  <c r="AA681" i="3"/>
  <c r="T684" i="3"/>
  <c r="Z686" i="3"/>
  <c r="T688" i="3"/>
  <c r="W689" i="3"/>
  <c r="Z690" i="3"/>
  <c r="P692" i="3"/>
  <c r="S693" i="3"/>
  <c r="V694" i="3"/>
  <c r="Y695" i="3"/>
  <c r="AB696" i="3"/>
  <c r="R698" i="3"/>
  <c r="U699" i="3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AE715" i="3" s="1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AE731" i="3" s="1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AE779" i="3" s="1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V822" i="3"/>
  <c r="Y823" i="3"/>
  <c r="AB824" i="3"/>
  <c r="R826" i="3"/>
  <c r="U827" i="3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AE843" i="3" s="1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X892" i="3"/>
  <c r="AA893" i="3"/>
  <c r="Q895" i="3"/>
  <c r="T896" i="3"/>
  <c r="S897" i="3"/>
  <c r="S898" i="3"/>
  <c r="T899" i="3"/>
  <c r="S900" i="3"/>
  <c r="R901" i="3"/>
  <c r="AA901" i="3"/>
  <c r="W902" i="3"/>
  <c r="S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P995" i="3"/>
  <c r="X995" i="3"/>
  <c r="S996" i="3"/>
  <c r="AA996" i="3"/>
  <c r="V997" i="3"/>
  <c r="Q998" i="3"/>
  <c r="Y998" i="3"/>
  <c r="T999" i="3"/>
  <c r="AB999" i="3"/>
  <c r="W1000" i="3"/>
  <c r="X588" i="3"/>
  <c r="T783" i="3"/>
  <c r="AA812" i="3"/>
  <c r="Y822" i="3"/>
  <c r="R825" i="3"/>
  <c r="Q830" i="3"/>
  <c r="W832" i="3"/>
  <c r="Z833" i="3"/>
  <c r="V837" i="3"/>
  <c r="AB839" i="3"/>
  <c r="U842" i="3"/>
  <c r="AA844" i="3"/>
  <c r="T847" i="3"/>
  <c r="Z849" i="3"/>
  <c r="V853" i="3"/>
  <c r="Y854" i="3"/>
  <c r="R857" i="3"/>
  <c r="AA860" i="3"/>
  <c r="T863" i="3"/>
  <c r="Z865" i="3"/>
  <c r="P867" i="3"/>
  <c r="V869" i="3"/>
  <c r="U874" i="3"/>
  <c r="AE874" i="3" s="1"/>
  <c r="X875" i="3"/>
  <c r="T879" i="3"/>
  <c r="Z881" i="3"/>
  <c r="V885" i="3"/>
  <c r="R889" i="3"/>
  <c r="X891" i="3"/>
  <c r="Q894" i="3"/>
  <c r="V897" i="3"/>
  <c r="T900" i="3"/>
  <c r="AB901" i="3"/>
  <c r="T903" i="3"/>
  <c r="X904" i="3"/>
  <c r="AA905" i="3"/>
  <c r="U866" i="3"/>
  <c r="AE866" i="3" s="1"/>
  <c r="W872" i="3"/>
  <c r="Y875" i="3"/>
  <c r="Z878" i="3"/>
  <c r="U882" i="3"/>
  <c r="W885" i="3"/>
  <c r="X888" i="3"/>
  <c r="S892" i="3"/>
  <c r="U895" i="3"/>
  <c r="Q898" i="3"/>
  <c r="AA900" i="3"/>
  <c r="Y902" i="3"/>
  <c r="T904" i="3"/>
  <c r="AB905" i="3"/>
  <c r="R907" i="3"/>
  <c r="U908" i="3"/>
  <c r="AE908" i="3" s="1"/>
  <c r="X909" i="3"/>
  <c r="AA910" i="3"/>
  <c r="Q912" i="3"/>
  <c r="T913" i="3"/>
  <c r="W914" i="3"/>
  <c r="Z915" i="3"/>
  <c r="P917" i="3"/>
  <c r="S918" i="3"/>
  <c r="V919" i="3"/>
  <c r="Y920" i="3"/>
  <c r="AB921" i="3"/>
  <c r="R923" i="3"/>
  <c r="U924" i="3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X941" i="3"/>
  <c r="AA942" i="3"/>
  <c r="Q944" i="3"/>
  <c r="T945" i="3"/>
  <c r="W946" i="3"/>
  <c r="Z947" i="3"/>
  <c r="P949" i="3"/>
  <c r="S950" i="3"/>
  <c r="V951" i="3"/>
  <c r="Y952" i="3"/>
  <c r="AB953" i="3"/>
  <c r="R955" i="3"/>
  <c r="U956" i="3"/>
  <c r="X957" i="3"/>
  <c r="AA958" i="3"/>
  <c r="Q960" i="3"/>
  <c r="T961" i="3"/>
  <c r="W962" i="3"/>
  <c r="Z963" i="3"/>
  <c r="P965" i="3"/>
  <c r="S966" i="3"/>
  <c r="V967" i="3"/>
  <c r="Y968" i="3"/>
  <c r="AB969" i="3"/>
  <c r="R971" i="3"/>
  <c r="U972" i="3"/>
  <c r="AE972" i="3" s="1"/>
  <c r="X973" i="3"/>
  <c r="AA974" i="3"/>
  <c r="Q976" i="3"/>
  <c r="T977" i="3"/>
  <c r="W978" i="3"/>
  <c r="Z979" i="3"/>
  <c r="P981" i="3"/>
  <c r="S982" i="3"/>
  <c r="V983" i="3"/>
  <c r="Y984" i="3"/>
  <c r="AB985" i="3"/>
  <c r="R987" i="3"/>
  <c r="U988" i="3"/>
  <c r="AE988" i="3" s="1"/>
  <c r="X989" i="3"/>
  <c r="AA990" i="3"/>
  <c r="Q992" i="3"/>
  <c r="T993" i="3"/>
  <c r="W994" i="3"/>
  <c r="Z995" i="3"/>
  <c r="P997" i="3"/>
  <c r="S998" i="3"/>
  <c r="V999" i="3"/>
  <c r="Y1000" i="3"/>
  <c r="Y867" i="3"/>
  <c r="AB879" i="3"/>
  <c r="R886" i="3"/>
  <c r="AB892" i="3"/>
  <c r="AA898" i="3"/>
  <c r="Q903" i="3"/>
  <c r="S906" i="3"/>
  <c r="Y908" i="3"/>
  <c r="R911" i="3"/>
  <c r="X913" i="3"/>
  <c r="AA914" i="3"/>
  <c r="T917" i="3"/>
  <c r="Z919" i="3"/>
  <c r="S922" i="3"/>
  <c r="Y924" i="3"/>
  <c r="R927" i="3"/>
  <c r="X929" i="3"/>
  <c r="Q932" i="3"/>
  <c r="W934" i="3"/>
  <c r="Z935" i="3"/>
  <c r="S938" i="3"/>
  <c r="Y940" i="3"/>
  <c r="R943" i="3"/>
  <c r="X945" i="3"/>
  <c r="Q948" i="3"/>
  <c r="W950" i="3"/>
  <c r="P953" i="3"/>
  <c r="V955" i="3"/>
  <c r="AB957" i="3"/>
  <c r="U960" i="3"/>
  <c r="AA962" i="3"/>
  <c r="T965" i="3"/>
  <c r="Z967" i="3"/>
  <c r="S970" i="3"/>
  <c r="Y972" i="3"/>
  <c r="R975" i="3"/>
  <c r="X977" i="3"/>
  <c r="Q980" i="3"/>
  <c r="W982" i="3"/>
  <c r="P985" i="3"/>
  <c r="V987" i="3"/>
  <c r="AB989" i="3"/>
  <c r="U992" i="3"/>
  <c r="AA994" i="3"/>
  <c r="T997" i="3"/>
  <c r="Z999" i="3"/>
  <c r="Z934" i="3"/>
  <c r="P952" i="3"/>
  <c r="AB956" i="3"/>
  <c r="U959" i="3"/>
  <c r="AA961" i="3"/>
  <c r="Q963" i="3"/>
  <c r="W965" i="3"/>
  <c r="P968" i="3"/>
  <c r="Y971" i="3"/>
  <c r="R974" i="3"/>
  <c r="X976" i="3"/>
  <c r="T980" i="3"/>
  <c r="Z982" i="3"/>
  <c r="P984" i="3"/>
  <c r="Y987" i="3"/>
  <c r="R990" i="3"/>
  <c r="X992" i="3"/>
  <c r="Q995" i="3"/>
  <c r="W997" i="3"/>
  <c r="P1000" i="3"/>
  <c r="V866" i="3"/>
  <c r="X872" i="3"/>
  <c r="S876" i="3"/>
  <c r="U879" i="3"/>
  <c r="AE879" i="3" s="1"/>
  <c r="V882" i="3"/>
  <c r="Q886" i="3"/>
  <c r="S889" i="3"/>
  <c r="T892" i="3"/>
  <c r="AB895" i="3"/>
  <c r="V898" i="3"/>
  <c r="AB900" i="3"/>
  <c r="P903" i="3"/>
  <c r="U904" i="3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AE955" i="3" s="1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AE971" i="3" s="1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X988" i="3"/>
  <c r="AA989" i="3"/>
  <c r="Q991" i="3"/>
  <c r="T992" i="3"/>
  <c r="W993" i="3"/>
  <c r="Z994" i="3"/>
  <c r="P996" i="3"/>
  <c r="S997" i="3"/>
  <c r="V998" i="3"/>
  <c r="Y999" i="3"/>
  <c r="AB1000" i="3"/>
  <c r="S873" i="3"/>
  <c r="T876" i="3"/>
  <c r="Q883" i="3"/>
  <c r="Z889" i="3"/>
  <c r="P896" i="3"/>
  <c r="T901" i="3"/>
  <c r="Y904" i="3"/>
  <c r="V907" i="3"/>
  <c r="AB909" i="3"/>
  <c r="U912" i="3"/>
  <c r="Q916" i="3"/>
  <c r="W918" i="3"/>
  <c r="P921" i="3"/>
  <c r="V923" i="3"/>
  <c r="AB925" i="3"/>
  <c r="U928" i="3"/>
  <c r="AE928" i="3" s="1"/>
  <c r="AA930" i="3"/>
  <c r="T933" i="3"/>
  <c r="P937" i="3"/>
  <c r="V939" i="3"/>
  <c r="AB941" i="3"/>
  <c r="U944" i="3"/>
  <c r="AA946" i="3"/>
  <c r="T949" i="3"/>
  <c r="Z951" i="3"/>
  <c r="S954" i="3"/>
  <c r="Y956" i="3"/>
  <c r="R959" i="3"/>
  <c r="X961" i="3"/>
  <c r="Q964" i="3"/>
  <c r="W966" i="3"/>
  <c r="P969" i="3"/>
  <c r="V971" i="3"/>
  <c r="AB973" i="3"/>
  <c r="U976" i="3"/>
  <c r="AE976" i="3" s="1"/>
  <c r="AA978" i="3"/>
  <c r="T981" i="3"/>
  <c r="Z983" i="3"/>
  <c r="S986" i="3"/>
  <c r="Y988" i="3"/>
  <c r="R991" i="3"/>
  <c r="X993" i="3"/>
  <c r="Q996" i="3"/>
  <c r="W998" i="3"/>
  <c r="AB868" i="3"/>
  <c r="Z873" i="3"/>
  <c r="AB876" i="3"/>
  <c r="P880" i="3"/>
  <c r="X883" i="3"/>
  <c r="Z886" i="3"/>
  <c r="AA889" i="3"/>
  <c r="V893" i="3"/>
  <c r="W896" i="3"/>
  <c r="P899" i="3"/>
  <c r="W901" i="3"/>
  <c r="U903" i="3"/>
  <c r="AE903" i="3" s="1"/>
  <c r="AB904" i="3"/>
  <c r="V906" i="3"/>
  <c r="Y907" i="3"/>
  <c r="AB908" i="3"/>
  <c r="R910" i="3"/>
  <c r="U911" i="3"/>
  <c r="X912" i="3"/>
  <c r="AA913" i="3"/>
  <c r="Q915" i="3"/>
  <c r="T916" i="3"/>
  <c r="W917" i="3"/>
  <c r="Z918" i="3"/>
  <c r="P920" i="3"/>
  <c r="S921" i="3"/>
  <c r="V922" i="3"/>
  <c r="Y923" i="3"/>
  <c r="AB924" i="3"/>
  <c r="R926" i="3"/>
  <c r="U927" i="3"/>
  <c r="AE927" i="3" s="1"/>
  <c r="X928" i="3"/>
  <c r="AA929" i="3"/>
  <c r="Q931" i="3"/>
  <c r="T932" i="3"/>
  <c r="W933" i="3"/>
  <c r="P936" i="3"/>
  <c r="S937" i="3"/>
  <c r="V938" i="3"/>
  <c r="Y939" i="3"/>
  <c r="AB940" i="3"/>
  <c r="R942" i="3"/>
  <c r="U943" i="3"/>
  <c r="X944" i="3"/>
  <c r="AA945" i="3"/>
  <c r="Q947" i="3"/>
  <c r="T948" i="3"/>
  <c r="W949" i="3"/>
  <c r="Z950" i="3"/>
  <c r="S953" i="3"/>
  <c r="V954" i="3"/>
  <c r="Y955" i="3"/>
  <c r="R958" i="3"/>
  <c r="X960" i="3"/>
  <c r="T964" i="3"/>
  <c r="Z966" i="3"/>
  <c r="S969" i="3"/>
  <c r="V970" i="3"/>
  <c r="AB972" i="3"/>
  <c r="U975" i="3"/>
  <c r="AE975" i="3" s="1"/>
  <c r="AA977" i="3"/>
  <c r="Q979" i="3"/>
  <c r="W981" i="3"/>
  <c r="S985" i="3"/>
  <c r="V986" i="3"/>
  <c r="AB988" i="3"/>
  <c r="U991" i="3"/>
  <c r="AA993" i="3"/>
  <c r="T996" i="3"/>
  <c r="Z998" i="3"/>
  <c r="Q870" i="3"/>
  <c r="AA873" i="3"/>
  <c r="V877" i="3"/>
  <c r="X880" i="3"/>
  <c r="Y883" i="3"/>
  <c r="T887" i="3"/>
  <c r="V890" i="3"/>
  <c r="W893" i="3"/>
  <c r="AB896" i="3"/>
  <c r="V899" i="3"/>
  <c r="X901" i="3"/>
  <c r="Y903" i="3"/>
  <c r="P905" i="3"/>
  <c r="W906" i="3"/>
  <c r="Z907" i="3"/>
  <c r="P909" i="3"/>
  <c r="S910" i="3"/>
  <c r="V911" i="3"/>
  <c r="Y912" i="3"/>
  <c r="AB913" i="3"/>
  <c r="R915" i="3"/>
  <c r="U916" i="3"/>
  <c r="AE916" i="3" s="1"/>
  <c r="X917" i="3"/>
  <c r="AA918" i="3"/>
  <c r="Q920" i="3"/>
  <c r="T921" i="3"/>
  <c r="W922" i="3"/>
  <c r="Z923" i="3"/>
  <c r="P925" i="3"/>
  <c r="S926" i="3"/>
  <c r="V927" i="3"/>
  <c r="Y928" i="3"/>
  <c r="AB929" i="3"/>
  <c r="R931" i="3"/>
  <c r="U932" i="3"/>
  <c r="X933" i="3"/>
  <c r="AA934" i="3"/>
  <c r="Q936" i="3"/>
  <c r="T937" i="3"/>
  <c r="W938" i="3"/>
  <c r="Z939" i="3"/>
  <c r="P941" i="3"/>
  <c r="S942" i="3"/>
  <c r="V943" i="3"/>
  <c r="Y944" i="3"/>
  <c r="AB945" i="3"/>
  <c r="R947" i="3"/>
  <c r="U948" i="3"/>
  <c r="AE948" i="3" s="1"/>
  <c r="X949" i="3"/>
  <c r="AA950" i="3"/>
  <c r="Q952" i="3"/>
  <c r="T953" i="3"/>
  <c r="W954" i="3"/>
  <c r="Z955" i="3"/>
  <c r="P957" i="3"/>
  <c r="S958" i="3"/>
  <c r="V959" i="3"/>
  <c r="Y960" i="3"/>
  <c r="AB961" i="3"/>
  <c r="R963" i="3"/>
  <c r="U964" i="3"/>
  <c r="X965" i="3"/>
  <c r="AA966" i="3"/>
  <c r="Q968" i="3"/>
  <c r="T969" i="3"/>
  <c r="W970" i="3"/>
  <c r="Z971" i="3"/>
  <c r="P973" i="3"/>
  <c r="S974" i="3"/>
  <c r="V975" i="3"/>
  <c r="Y976" i="3"/>
  <c r="AB977" i="3"/>
  <c r="R979" i="3"/>
  <c r="U980" i="3"/>
  <c r="AE980" i="3" s="1"/>
  <c r="X981" i="3"/>
  <c r="AA982" i="3"/>
  <c r="Q984" i="3"/>
  <c r="T985" i="3"/>
  <c r="W986" i="3"/>
  <c r="Z987" i="3"/>
  <c r="P989" i="3"/>
  <c r="S990" i="3"/>
  <c r="V991" i="3"/>
  <c r="Y992" i="3"/>
  <c r="AB993" i="3"/>
  <c r="R995" i="3"/>
  <c r="U996" i="3"/>
  <c r="AE996" i="3" s="1"/>
  <c r="X997" i="3"/>
  <c r="AA998" i="3"/>
  <c r="Q1000" i="3"/>
  <c r="T871" i="3"/>
  <c r="P875" i="3"/>
  <c r="S881" i="3"/>
  <c r="P888" i="3"/>
  <c r="Y894" i="3"/>
  <c r="P900" i="3"/>
  <c r="P904" i="3"/>
  <c r="AA906" i="3"/>
  <c r="T909" i="3"/>
  <c r="Z911" i="3"/>
  <c r="S914" i="3"/>
  <c r="Y916" i="3"/>
  <c r="R919" i="3"/>
  <c r="X921" i="3"/>
  <c r="Q924" i="3"/>
  <c r="W926" i="3"/>
  <c r="P929" i="3"/>
  <c r="V931" i="3"/>
  <c r="AB933" i="3"/>
  <c r="U936" i="3"/>
  <c r="AE936" i="3" s="1"/>
  <c r="AA938" i="3"/>
  <c r="T941" i="3"/>
  <c r="Z943" i="3"/>
  <c r="S946" i="3"/>
  <c r="Y948" i="3"/>
  <c r="R951" i="3"/>
  <c r="X953" i="3"/>
  <c r="Q956" i="3"/>
  <c r="W958" i="3"/>
  <c r="P961" i="3"/>
  <c r="V963" i="3"/>
  <c r="AB965" i="3"/>
  <c r="U968" i="3"/>
  <c r="AA970" i="3"/>
  <c r="T973" i="3"/>
  <c r="Z975" i="3"/>
  <c r="S978" i="3"/>
  <c r="Y980" i="3"/>
  <c r="R983" i="3"/>
  <c r="X985" i="3"/>
  <c r="Q988" i="3"/>
  <c r="W990" i="3"/>
  <c r="P993" i="3"/>
  <c r="V995" i="3"/>
  <c r="AB997" i="3"/>
  <c r="U1000" i="3"/>
  <c r="S865" i="3"/>
  <c r="U871" i="3"/>
  <c r="AE871" i="3" s="1"/>
  <c r="Q875" i="3"/>
  <c r="Y878" i="3"/>
  <c r="AA881" i="3"/>
  <c r="AB884" i="3"/>
  <c r="W888" i="3"/>
  <c r="Y891" i="3"/>
  <c r="Z894" i="3"/>
  <c r="AA897" i="3"/>
  <c r="W900" i="3"/>
  <c r="U902" i="3"/>
  <c r="Q904" i="3"/>
  <c r="X905" i="3"/>
  <c r="Q907" i="3"/>
  <c r="T908" i="3"/>
  <c r="W909" i="3"/>
  <c r="Z910" i="3"/>
  <c r="P912" i="3"/>
  <c r="S913" i="3"/>
  <c r="V914" i="3"/>
  <c r="Y915" i="3"/>
  <c r="AB916" i="3"/>
  <c r="R918" i="3"/>
  <c r="U919" i="3"/>
  <c r="AE919" i="3" s="1"/>
  <c r="X920" i="3"/>
  <c r="AA921" i="3"/>
  <c r="Q923" i="3"/>
  <c r="T924" i="3"/>
  <c r="W925" i="3"/>
  <c r="Z926" i="3"/>
  <c r="P928" i="3"/>
  <c r="S929" i="3"/>
  <c r="V930" i="3"/>
  <c r="Y931" i="3"/>
  <c r="AB932" i="3"/>
  <c r="R934" i="3"/>
  <c r="U935" i="3"/>
  <c r="AE935" i="3" s="1"/>
  <c r="X936" i="3"/>
  <c r="AA937" i="3"/>
  <c r="T940" i="3"/>
  <c r="W941" i="3"/>
  <c r="Z942" i="3"/>
  <c r="P944" i="3"/>
  <c r="S945" i="3"/>
  <c r="V946" i="3"/>
  <c r="Y947" i="3"/>
  <c r="AB948" i="3"/>
  <c r="R950" i="3"/>
  <c r="U951" i="3"/>
  <c r="AE951" i="3" s="1"/>
  <c r="X952" i="3"/>
  <c r="AA953" i="3"/>
  <c r="T956" i="3"/>
  <c r="W957" i="3"/>
  <c r="Z958" i="3"/>
  <c r="S961" i="3"/>
  <c r="AB964" i="3"/>
  <c r="U967" i="3"/>
  <c r="X968" i="3"/>
  <c r="T972" i="3"/>
  <c r="Z974" i="3"/>
  <c r="S977" i="3"/>
  <c r="V978" i="3"/>
  <c r="R982" i="3"/>
  <c r="X984" i="3"/>
  <c r="Q987" i="3"/>
  <c r="Z990" i="3"/>
  <c r="S993" i="3"/>
  <c r="V994" i="3"/>
  <c r="R998" i="3"/>
  <c r="X1000" i="3"/>
  <c r="R870" i="3"/>
  <c r="V874" i="3"/>
  <c r="W877" i="3"/>
  <c r="R881" i="3"/>
  <c r="T884" i="3"/>
  <c r="U887" i="3"/>
  <c r="P891" i="3"/>
  <c r="R894" i="3"/>
  <c r="P897" i="3"/>
  <c r="AB899" i="3"/>
  <c r="P902" i="3"/>
  <c r="Z903" i="3"/>
  <c r="T905" i="3"/>
  <c r="Z906" i="3"/>
  <c r="P908" i="3"/>
  <c r="S909" i="3"/>
  <c r="V910" i="3"/>
  <c r="Y911" i="3"/>
  <c r="AB912" i="3"/>
  <c r="R914" i="3"/>
  <c r="U915" i="3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AE931" i="3" s="1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AE947" i="3" s="1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X996" i="3"/>
  <c r="AA997" i="3"/>
  <c r="Q999" i="3"/>
  <c r="T1000" i="3"/>
  <c r="V845" i="3"/>
  <c r="R878" i="3"/>
  <c r="AA884" i="3"/>
  <c r="Q891" i="3"/>
  <c r="W897" i="3"/>
  <c r="S902" i="3"/>
  <c r="W905" i="3"/>
  <c r="Q908" i="3"/>
  <c r="W910" i="3"/>
  <c r="P913" i="3"/>
  <c r="V915" i="3"/>
  <c r="AB917" i="3"/>
  <c r="U920" i="3"/>
  <c r="AE920" i="3" s="1"/>
  <c r="AA922" i="3"/>
  <c r="T925" i="3"/>
  <c r="Z927" i="3"/>
  <c r="S930" i="3"/>
  <c r="Y932" i="3"/>
  <c r="R935" i="3"/>
  <c r="X937" i="3"/>
  <c r="Q940" i="3"/>
  <c r="W942" i="3"/>
  <c r="P945" i="3"/>
  <c r="V947" i="3"/>
  <c r="AB949" i="3"/>
  <c r="U952" i="3"/>
  <c r="AA954" i="3"/>
  <c r="T957" i="3"/>
  <c r="Z959" i="3"/>
  <c r="S962" i="3"/>
  <c r="Y964" i="3"/>
  <c r="R967" i="3"/>
  <c r="X969" i="3"/>
  <c r="Q972" i="3"/>
  <c r="W974" i="3"/>
  <c r="P977" i="3"/>
  <c r="V979" i="3"/>
  <c r="AB981" i="3"/>
  <c r="U984" i="3"/>
  <c r="AA986" i="3"/>
  <c r="T989" i="3"/>
  <c r="Z991" i="3"/>
  <c r="S994" i="3"/>
  <c r="Y996" i="3"/>
  <c r="R999" i="3"/>
  <c r="Q939" i="3"/>
  <c r="Q955" i="3"/>
  <c r="P960" i="3"/>
  <c r="V962" i="3"/>
  <c r="Y963" i="3"/>
  <c r="R966" i="3"/>
  <c r="AA969" i="3"/>
  <c r="Q971" i="3"/>
  <c r="W973" i="3"/>
  <c r="P976" i="3"/>
  <c r="Y979" i="3"/>
  <c r="AB980" i="3"/>
  <c r="U983" i="3"/>
  <c r="AA985" i="3"/>
  <c r="T988" i="3"/>
  <c r="W989" i="3"/>
  <c r="P992" i="3"/>
  <c r="Y995" i="3"/>
  <c r="AB996" i="3"/>
  <c r="U999" i="3"/>
  <c r="AE999" i="3" s="1"/>
  <c r="AE16" i="3"/>
  <c r="AE40" i="3"/>
  <c r="AE48" i="3"/>
  <c r="AE10" i="3"/>
  <c r="AE26" i="3"/>
  <c r="AE42" i="3"/>
  <c r="AE50" i="3"/>
  <c r="AE31" i="3"/>
  <c r="AE39" i="3"/>
  <c r="AE47" i="3"/>
  <c r="AE12" i="3"/>
  <c r="AE20" i="3"/>
  <c r="AE36" i="3"/>
  <c r="AE52" i="3"/>
  <c r="AE14" i="3"/>
  <c r="AE22" i="3"/>
  <c r="AE30" i="3"/>
  <c r="AE38" i="3"/>
  <c r="R17" i="1"/>
  <c r="AE45" i="3"/>
  <c r="AE72" i="3"/>
  <c r="AE11" i="3"/>
  <c r="AE29" i="3"/>
  <c r="AE57" i="3"/>
  <c r="AE58" i="3"/>
  <c r="AE66" i="3"/>
  <c r="AE82" i="3"/>
  <c r="AE90" i="3"/>
  <c r="AE106" i="3"/>
  <c r="AE130" i="3"/>
  <c r="AE21" i="3"/>
  <c r="AE49" i="3"/>
  <c r="AE71" i="3"/>
  <c r="AE95" i="3"/>
  <c r="AE103" i="3"/>
  <c r="AE13" i="3"/>
  <c r="AE43" i="3"/>
  <c r="AE62" i="3"/>
  <c r="AE17" i="3"/>
  <c r="AE35" i="3"/>
  <c r="AE53" i="3"/>
  <c r="AE59" i="3"/>
  <c r="AE135" i="3"/>
  <c r="AE142" i="3"/>
  <c r="AE147" i="3"/>
  <c r="AE33" i="3"/>
  <c r="AE97" i="3"/>
  <c r="AE101" i="3"/>
  <c r="AE115" i="3"/>
  <c r="AE75" i="3"/>
  <c r="AE76" i="3"/>
  <c r="AE88" i="3"/>
  <c r="AE102" i="3"/>
  <c r="AE126" i="3"/>
  <c r="AE77" i="3"/>
  <c r="AE89" i="3"/>
  <c r="AE93" i="3"/>
  <c r="AE94" i="3"/>
  <c r="AE61" i="3"/>
  <c r="AE37" i="3"/>
  <c r="AE120" i="3"/>
  <c r="AE125" i="3"/>
  <c r="AE132" i="3"/>
  <c r="AE136" i="3"/>
  <c r="AE146" i="3"/>
  <c r="AE150" i="3"/>
  <c r="AE158" i="3"/>
  <c r="AE174" i="3"/>
  <c r="AE190" i="3"/>
  <c r="AE214" i="3"/>
  <c r="AE109" i="3"/>
  <c r="AE144" i="3"/>
  <c r="AE179" i="3"/>
  <c r="AE187" i="3"/>
  <c r="AE195" i="3"/>
  <c r="AE203" i="3"/>
  <c r="AE108" i="3"/>
  <c r="AE133" i="3"/>
  <c r="AE152" i="3"/>
  <c r="AE160" i="3"/>
  <c r="AE176" i="3"/>
  <c r="AE184" i="3"/>
  <c r="AE91" i="3"/>
  <c r="AE113" i="3"/>
  <c r="AE165" i="3"/>
  <c r="AE173" i="3"/>
  <c r="AE181" i="3"/>
  <c r="AE189" i="3"/>
  <c r="AE85" i="3"/>
  <c r="AE100" i="3"/>
  <c r="AE134" i="3"/>
  <c r="AE154" i="3"/>
  <c r="AE162" i="3"/>
  <c r="AE170" i="3"/>
  <c r="AE178" i="3"/>
  <c r="AE186" i="3"/>
  <c r="AE105" i="3"/>
  <c r="AE118" i="3"/>
  <c r="AE127" i="3"/>
  <c r="AE151" i="3"/>
  <c r="AE167" i="3"/>
  <c r="AE112" i="3"/>
  <c r="AE131" i="3"/>
  <c r="AE139" i="3"/>
  <c r="AE156" i="3"/>
  <c r="AE99" i="3"/>
  <c r="AE124" i="3"/>
  <c r="AE180" i="3"/>
  <c r="AE201" i="3"/>
  <c r="AE202" i="3"/>
  <c r="AE243" i="3"/>
  <c r="AE251" i="3"/>
  <c r="AE259" i="3"/>
  <c r="AE267" i="3"/>
  <c r="AE275" i="3"/>
  <c r="AE172" i="3"/>
  <c r="AE207" i="3"/>
  <c r="AE224" i="3"/>
  <c r="AE232" i="3"/>
  <c r="AE240" i="3"/>
  <c r="AE248" i="3"/>
  <c r="AE256" i="3"/>
  <c r="AE272" i="3"/>
  <c r="AE280" i="3"/>
  <c r="AE140" i="3"/>
  <c r="AE161" i="3"/>
  <c r="AE177" i="3"/>
  <c r="AE193" i="3"/>
  <c r="AE208" i="3"/>
  <c r="AE229" i="3"/>
  <c r="AE237" i="3"/>
  <c r="AE245" i="3"/>
  <c r="AE253" i="3"/>
  <c r="AE261" i="3"/>
  <c r="AE269" i="3"/>
  <c r="AE169" i="3"/>
  <c r="AE242" i="3"/>
  <c r="AE250" i="3"/>
  <c r="AE258" i="3"/>
  <c r="AE191" i="3"/>
  <c r="AE204" i="3"/>
  <c r="AE239" i="3"/>
  <c r="AE247" i="3"/>
  <c r="AE148" i="3"/>
  <c r="AE153" i="3"/>
  <c r="AE205" i="3"/>
  <c r="AE209" i="3"/>
  <c r="AE236" i="3"/>
  <c r="AE183" i="3"/>
  <c r="AE197" i="3"/>
  <c r="AE210" i="3"/>
  <c r="AE225" i="3"/>
  <c r="AE164" i="3"/>
  <c r="AE194" i="3"/>
  <c r="AE199" i="3"/>
  <c r="AE215" i="3"/>
  <c r="AE222" i="3"/>
  <c r="AE230" i="3"/>
  <c r="AE254" i="3"/>
  <c r="AE284" i="3"/>
  <c r="AE300" i="3"/>
  <c r="AE316" i="3"/>
  <c r="AE324" i="3"/>
  <c r="AE332" i="3"/>
  <c r="AE340" i="3"/>
  <c r="AE348" i="3"/>
  <c r="AE266" i="3"/>
  <c r="AE297" i="3"/>
  <c r="AE305" i="3"/>
  <c r="AE321" i="3"/>
  <c r="AE329" i="3"/>
  <c r="AE337" i="3"/>
  <c r="AE233" i="3"/>
  <c r="AE252" i="3"/>
  <c r="AE265" i="3"/>
  <c r="AE268" i="3"/>
  <c r="AE274" i="3"/>
  <c r="AE286" i="3"/>
  <c r="AE294" i="3"/>
  <c r="AE310" i="3"/>
  <c r="AE318" i="3"/>
  <c r="AE326" i="3"/>
  <c r="AE334" i="3"/>
  <c r="AE244" i="3"/>
  <c r="AE257" i="3"/>
  <c r="AE270" i="3"/>
  <c r="AE273" i="3"/>
  <c r="AE276" i="3"/>
  <c r="AE277" i="3"/>
  <c r="AE281" i="3"/>
  <c r="AE283" i="3"/>
  <c r="AE291" i="3"/>
  <c r="AE299" i="3"/>
  <c r="AE307" i="3"/>
  <c r="AE323" i="3"/>
  <c r="AE249" i="3"/>
  <c r="AE262" i="3"/>
  <c r="AE288" i="3"/>
  <c r="AE296" i="3"/>
  <c r="AE304" i="3"/>
  <c r="AE285" i="3"/>
  <c r="AE293" i="3"/>
  <c r="AE301" i="3"/>
  <c r="AE246" i="3"/>
  <c r="AE260" i="3"/>
  <c r="AE290" i="3"/>
  <c r="AE279" i="3"/>
  <c r="AE295" i="3"/>
  <c r="AE309" i="3"/>
  <c r="AE320" i="3"/>
  <c r="AE328" i="3"/>
  <c r="AE331" i="3"/>
  <c r="AE338" i="3"/>
  <c r="AE377" i="3"/>
  <c r="AE385" i="3"/>
  <c r="AE393" i="3"/>
  <c r="AE401" i="3"/>
  <c r="AE409" i="3"/>
  <c r="AE417" i="3"/>
  <c r="AE441" i="3"/>
  <c r="AE325" i="3"/>
  <c r="AE327" i="3"/>
  <c r="AE330" i="3"/>
  <c r="AE333" i="3"/>
  <c r="AE343" i="3"/>
  <c r="AE357" i="3"/>
  <c r="AE361" i="3"/>
  <c r="AE366" i="3"/>
  <c r="AE374" i="3"/>
  <c r="AE390" i="3"/>
  <c r="AE398" i="3"/>
  <c r="AE406" i="3"/>
  <c r="AE414" i="3"/>
  <c r="AE422" i="3"/>
  <c r="AE344" i="3"/>
  <c r="AE358" i="3"/>
  <c r="AE363" i="3"/>
  <c r="AE371" i="3"/>
  <c r="AE379" i="3"/>
  <c r="AE387" i="3"/>
  <c r="AE395" i="3"/>
  <c r="AE411" i="3"/>
  <c r="AE311" i="3"/>
  <c r="AE319" i="3"/>
  <c r="AE335" i="3"/>
  <c r="AE368" i="3"/>
  <c r="AE376" i="3"/>
  <c r="AE392" i="3"/>
  <c r="AE400" i="3"/>
  <c r="AE408" i="3"/>
  <c r="AE298" i="3"/>
  <c r="AE336" i="3"/>
  <c r="AE350" i="3"/>
  <c r="AE354" i="3"/>
  <c r="AE365" i="3"/>
  <c r="AE389" i="3"/>
  <c r="AE397" i="3"/>
  <c r="AE303" i="3"/>
  <c r="AE355" i="3"/>
  <c r="AE359" i="3"/>
  <c r="AE362" i="3"/>
  <c r="AE370" i="3"/>
  <c r="AE378" i="3"/>
  <c r="AE322" i="3"/>
  <c r="AE342" i="3"/>
  <c r="AE346" i="3"/>
  <c r="AE360" i="3"/>
  <c r="AE367" i="3"/>
  <c r="AE375" i="3"/>
  <c r="AE317" i="3"/>
  <c r="AE347" i="3"/>
  <c r="AE351" i="3"/>
  <c r="AE364" i="3"/>
  <c r="AE372" i="3"/>
  <c r="AE380" i="3"/>
  <c r="AE388" i="3"/>
  <c r="AE410" i="3"/>
  <c r="AE426" i="3"/>
  <c r="AE438" i="3"/>
  <c r="AE461" i="3"/>
  <c r="AE477" i="3"/>
  <c r="AE485" i="3"/>
  <c r="AE493" i="3"/>
  <c r="AE501" i="3"/>
  <c r="AE509" i="3"/>
  <c r="AE383" i="3"/>
  <c r="AE399" i="3"/>
  <c r="AE431" i="3"/>
  <c r="AE443" i="3"/>
  <c r="AE450" i="3"/>
  <c r="AE458" i="3"/>
  <c r="AE466" i="3"/>
  <c r="AE482" i="3"/>
  <c r="AE490" i="3"/>
  <c r="AE498" i="3"/>
  <c r="AE506" i="3"/>
  <c r="AE391" i="3"/>
  <c r="AE404" i="3"/>
  <c r="AE416" i="3"/>
  <c r="AE429" i="3"/>
  <c r="AE436" i="3"/>
  <c r="AE447" i="3"/>
  <c r="AE463" i="3"/>
  <c r="AE471" i="3"/>
  <c r="AE479" i="3"/>
  <c r="AE487" i="3"/>
  <c r="AE396" i="3"/>
  <c r="AE413" i="3"/>
  <c r="AE415" i="3"/>
  <c r="AE418" i="3"/>
  <c r="AE423" i="3"/>
  <c r="AE427" i="3"/>
  <c r="AE434" i="3"/>
  <c r="AE460" i="3"/>
  <c r="AE476" i="3"/>
  <c r="AE424" i="3"/>
  <c r="AE432" i="3"/>
  <c r="AE439" i="3"/>
  <c r="AE449" i="3"/>
  <c r="AE457" i="3"/>
  <c r="AE407" i="3"/>
  <c r="AE430" i="3"/>
  <c r="AE437" i="3"/>
  <c r="AE444" i="3"/>
  <c r="AE446" i="3"/>
  <c r="AE435" i="3"/>
  <c r="AE442" i="3"/>
  <c r="AE405" i="3"/>
  <c r="AE428" i="3"/>
  <c r="AE440" i="3"/>
  <c r="AE454" i="3"/>
  <c r="AE475" i="3"/>
  <c r="AE483" i="3"/>
  <c r="AE489" i="3"/>
  <c r="AE492" i="3"/>
  <c r="AE502" i="3"/>
  <c r="AE515" i="3"/>
  <c r="AE523" i="3"/>
  <c r="AE531" i="3"/>
  <c r="AE539" i="3"/>
  <c r="AE555" i="3"/>
  <c r="AE563" i="3"/>
  <c r="AE579" i="3"/>
  <c r="AE459" i="3"/>
  <c r="AE464" i="3"/>
  <c r="AE480" i="3"/>
  <c r="AE488" i="3"/>
  <c r="AE491" i="3"/>
  <c r="AE503" i="3"/>
  <c r="AE507" i="3"/>
  <c r="AE520" i="3"/>
  <c r="AE528" i="3"/>
  <c r="AE544" i="3"/>
  <c r="AE552" i="3"/>
  <c r="AE568" i="3"/>
  <c r="AE584" i="3"/>
  <c r="AE592" i="3"/>
  <c r="AE600" i="3"/>
  <c r="AE451" i="3"/>
  <c r="AE473" i="3"/>
  <c r="AE494" i="3"/>
  <c r="AE508" i="3"/>
  <c r="AE517" i="3"/>
  <c r="AE525" i="3"/>
  <c r="AE549" i="3"/>
  <c r="AE557" i="3"/>
  <c r="AE565" i="3"/>
  <c r="AE573" i="3"/>
  <c r="AE581" i="3"/>
  <c r="AE456" i="3"/>
  <c r="AE495" i="3"/>
  <c r="AE499" i="3"/>
  <c r="AE512" i="3"/>
  <c r="AE514" i="3"/>
  <c r="AE522" i="3"/>
  <c r="AE530" i="3"/>
  <c r="AE546" i="3"/>
  <c r="AE554" i="3"/>
  <c r="AE562" i="3"/>
  <c r="AE570" i="3"/>
  <c r="AE467" i="3"/>
  <c r="AE500" i="3"/>
  <c r="AE504" i="3"/>
  <c r="AE519" i="3"/>
  <c r="AE527" i="3"/>
  <c r="AE543" i="3"/>
  <c r="AE551" i="3"/>
  <c r="AE567" i="3"/>
  <c r="AE472" i="3"/>
  <c r="AE505" i="3"/>
  <c r="AE524" i="3"/>
  <c r="AE540" i="3"/>
  <c r="AE548" i="3"/>
  <c r="AE564" i="3"/>
  <c r="AE465" i="3"/>
  <c r="AE496" i="3"/>
  <c r="AE510" i="3"/>
  <c r="AE513" i="3"/>
  <c r="AE529" i="3"/>
  <c r="AE537" i="3"/>
  <c r="AE545" i="3"/>
  <c r="AE553" i="3"/>
  <c r="AE561" i="3"/>
  <c r="AE470" i="3"/>
  <c r="AE481" i="3"/>
  <c r="AE484" i="3"/>
  <c r="AE497" i="3"/>
  <c r="AE511" i="3"/>
  <c r="AE518" i="3"/>
  <c r="AE526" i="3"/>
  <c r="AE534" i="3"/>
  <c r="AE550" i="3"/>
  <c r="AE569" i="3"/>
  <c r="AE602" i="3"/>
  <c r="AE609" i="3"/>
  <c r="AE622" i="3"/>
  <c r="AE630" i="3"/>
  <c r="AE638" i="3"/>
  <c r="AE646" i="3"/>
  <c r="AE654" i="3"/>
  <c r="AE662" i="3"/>
  <c r="AE670" i="3"/>
  <c r="AE678" i="3"/>
  <c r="AE686" i="3"/>
  <c r="AE694" i="3"/>
  <c r="AE702" i="3"/>
  <c r="AE710" i="3"/>
  <c r="AE607" i="3"/>
  <c r="AE635" i="3"/>
  <c r="AE651" i="3"/>
  <c r="AE659" i="3"/>
  <c r="AE683" i="3"/>
  <c r="AE699" i="3"/>
  <c r="AE566" i="3"/>
  <c r="AE605" i="3"/>
  <c r="AE624" i="3"/>
  <c r="AE632" i="3"/>
  <c r="AE640" i="3"/>
  <c r="AE656" i="3"/>
  <c r="AE664" i="3"/>
  <c r="AE680" i="3"/>
  <c r="AE688" i="3"/>
  <c r="AE696" i="3"/>
  <c r="AE704" i="3"/>
  <c r="AE577" i="3"/>
  <c r="AE610" i="3"/>
  <c r="AE617" i="3"/>
  <c r="AE621" i="3"/>
  <c r="AE629" i="3"/>
  <c r="AE637" i="3"/>
  <c r="AE645" i="3"/>
  <c r="AE669" i="3"/>
  <c r="AE685" i="3"/>
  <c r="AE693" i="3"/>
  <c r="AE580" i="3"/>
  <c r="AE583" i="3"/>
  <c r="AE586" i="3"/>
  <c r="AE608" i="3"/>
  <c r="AE615" i="3"/>
  <c r="AE626" i="3"/>
  <c r="AE634" i="3"/>
  <c r="AE642" i="3"/>
  <c r="AE650" i="3"/>
  <c r="AE682" i="3"/>
  <c r="AE558" i="3"/>
  <c r="AE574" i="3"/>
  <c r="AE582" i="3"/>
  <c r="AE585" i="3"/>
  <c r="AE588" i="3"/>
  <c r="AE591" i="3"/>
  <c r="AE601" i="3"/>
  <c r="AE613" i="3"/>
  <c r="AE623" i="3"/>
  <c r="AE631" i="3"/>
  <c r="AE639" i="3"/>
  <c r="AE647" i="3"/>
  <c r="AE655" i="3"/>
  <c r="AE663" i="3"/>
  <c r="AE671" i="3"/>
  <c r="AE590" i="3"/>
  <c r="AE618" i="3"/>
  <c r="AE620" i="3"/>
  <c r="AE628" i="3"/>
  <c r="AE636" i="3"/>
  <c r="AE652" i="3"/>
  <c r="AE668" i="3"/>
  <c r="AE594" i="3"/>
  <c r="AE598" i="3"/>
  <c r="AE604" i="3"/>
  <c r="AE616" i="3"/>
  <c r="AE625" i="3"/>
  <c r="AE633" i="3"/>
  <c r="AE641" i="3"/>
  <c r="AE657" i="3"/>
  <c r="AE665" i="3"/>
  <c r="AE716" i="3"/>
  <c r="AE723" i="3"/>
  <c r="AE747" i="3"/>
  <c r="AE763" i="3"/>
  <c r="AE771" i="3"/>
  <c r="AE787" i="3"/>
  <c r="AE795" i="3"/>
  <c r="AE803" i="3"/>
  <c r="AE819" i="3"/>
  <c r="AE827" i="3"/>
  <c r="AE835" i="3"/>
  <c r="AE720" i="3"/>
  <c r="AE728" i="3"/>
  <c r="AE736" i="3"/>
  <c r="AE744" i="3"/>
  <c r="AE752" i="3"/>
  <c r="AE760" i="3"/>
  <c r="AE768" i="3"/>
  <c r="AE784" i="3"/>
  <c r="AE792" i="3"/>
  <c r="AE800" i="3"/>
  <c r="AE808" i="3"/>
  <c r="AE816" i="3"/>
  <c r="AE824" i="3"/>
  <c r="AE832" i="3"/>
  <c r="AE689" i="3"/>
  <c r="AE695" i="3"/>
  <c r="AE701" i="3"/>
  <c r="AE717" i="3"/>
  <c r="AE725" i="3"/>
  <c r="AE733" i="3"/>
  <c r="AE749" i="3"/>
  <c r="AE765" i="3"/>
  <c r="AE773" i="3"/>
  <c r="AE781" i="3"/>
  <c r="AE789" i="3"/>
  <c r="AE797" i="3"/>
  <c r="AE813" i="3"/>
  <c r="AE821" i="3"/>
  <c r="AE829" i="3"/>
  <c r="AE676" i="3"/>
  <c r="AE681" i="3"/>
  <c r="AE709" i="3"/>
  <c r="AE713" i="3"/>
  <c r="AE730" i="3"/>
  <c r="AE738" i="3"/>
  <c r="AE754" i="3"/>
  <c r="AE762" i="3"/>
  <c r="AE770" i="3"/>
  <c r="AE778" i="3"/>
  <c r="AE794" i="3"/>
  <c r="AE810" i="3"/>
  <c r="AE818" i="3"/>
  <c r="AE705" i="3"/>
  <c r="AE708" i="3"/>
  <c r="AE714" i="3"/>
  <c r="AE719" i="3"/>
  <c r="AE727" i="3"/>
  <c r="AE743" i="3"/>
  <c r="AE767" i="3"/>
  <c r="AE775" i="3"/>
  <c r="AE783" i="3"/>
  <c r="AE791" i="3"/>
  <c r="AE799" i="3"/>
  <c r="AE687" i="3"/>
  <c r="AE692" i="3"/>
  <c r="AE724" i="3"/>
  <c r="AE732" i="3"/>
  <c r="AE740" i="3"/>
  <c r="AE748" i="3"/>
  <c r="AE756" i="3"/>
  <c r="AE772" i="3"/>
  <c r="AE780" i="3"/>
  <c r="AE788" i="3"/>
  <c r="AE796" i="3"/>
  <c r="AE721" i="3"/>
  <c r="AE729" i="3"/>
  <c r="AE737" i="3"/>
  <c r="AE745" i="3"/>
  <c r="AE753" i="3"/>
  <c r="AE769" i="3"/>
  <c r="AE777" i="3"/>
  <c r="AE684" i="3"/>
  <c r="AE690" i="3"/>
  <c r="AE711" i="3"/>
  <c r="AE718" i="3"/>
  <c r="AE734" i="3"/>
  <c r="AE742" i="3"/>
  <c r="AE758" i="3"/>
  <c r="AE766" i="3"/>
  <c r="AE774" i="3"/>
  <c r="AE782" i="3"/>
  <c r="AE812" i="3"/>
  <c r="AE852" i="3"/>
  <c r="AE860" i="3"/>
  <c r="AE868" i="3"/>
  <c r="AE876" i="3"/>
  <c r="AE884" i="3"/>
  <c r="AE900" i="3"/>
  <c r="AE924" i="3"/>
  <c r="AE932" i="3"/>
  <c r="AE940" i="3"/>
  <c r="AE956" i="3"/>
  <c r="AE964" i="3"/>
  <c r="AE823" i="3"/>
  <c r="AE826" i="3"/>
  <c r="AE833" i="3"/>
  <c r="AE849" i="3"/>
  <c r="AE857" i="3"/>
  <c r="AE865" i="3"/>
  <c r="AE873" i="3"/>
  <c r="AE897" i="3"/>
  <c r="AE905" i="3"/>
  <c r="AE913" i="3"/>
  <c r="AE921" i="3"/>
  <c r="AE937" i="3"/>
  <c r="AE961" i="3"/>
  <c r="AE785" i="3"/>
  <c r="AE806" i="3"/>
  <c r="AE822" i="3"/>
  <c r="AE834" i="3"/>
  <c r="AE838" i="3"/>
  <c r="AE870" i="3"/>
  <c r="AE886" i="3"/>
  <c r="AE894" i="3"/>
  <c r="AE902" i="3"/>
  <c r="AE910" i="3"/>
  <c r="AE934" i="3"/>
  <c r="AE942" i="3"/>
  <c r="AE950" i="3"/>
  <c r="AE801" i="3"/>
  <c r="AE839" i="3"/>
  <c r="AE846" i="3"/>
  <c r="AE851" i="3"/>
  <c r="AE875" i="3"/>
  <c r="AE891" i="3"/>
  <c r="AE899" i="3"/>
  <c r="AE915" i="3"/>
  <c r="AE939" i="3"/>
  <c r="AE804" i="3"/>
  <c r="AE830" i="3"/>
  <c r="AE844" i="3"/>
  <c r="AE856" i="3"/>
  <c r="AE864" i="3"/>
  <c r="AE872" i="3"/>
  <c r="AE880" i="3"/>
  <c r="AE888" i="3"/>
  <c r="AE896" i="3"/>
  <c r="AE904" i="3"/>
  <c r="AE912" i="3"/>
  <c r="AE809" i="3"/>
  <c r="AE831" i="3"/>
  <c r="AE853" i="3"/>
  <c r="AE869" i="3"/>
  <c r="AE877" i="3"/>
  <c r="AE885" i="3"/>
  <c r="AE893" i="3"/>
  <c r="AE901" i="3"/>
  <c r="AE909" i="3"/>
  <c r="AE798" i="3"/>
  <c r="AE836" i="3"/>
  <c r="AE850" i="3"/>
  <c r="AE858" i="3"/>
  <c r="AE882" i="3"/>
  <c r="AE793" i="3"/>
  <c r="AE837" i="3"/>
  <c r="AE841" i="3"/>
  <c r="AE845" i="3"/>
  <c r="AE847" i="3"/>
  <c r="AE855" i="3"/>
  <c r="AE863" i="3"/>
  <c r="AE887" i="3"/>
  <c r="AE895" i="3"/>
  <c r="AE911" i="3"/>
  <c r="AE963" i="3"/>
  <c r="AE973" i="3"/>
  <c r="AE986" i="3"/>
  <c r="AE994" i="3"/>
  <c r="AE944" i="3"/>
  <c r="AE983" i="3"/>
  <c r="AE991" i="3"/>
  <c r="AE949" i="3"/>
  <c r="AE959" i="3"/>
  <c r="AE969" i="3"/>
  <c r="AE938" i="3"/>
  <c r="AE960" i="3"/>
  <c r="AE974" i="3"/>
  <c r="AE985" i="3"/>
  <c r="AE1000" i="3"/>
  <c r="AE922" i="3"/>
  <c r="AE943" i="3"/>
  <c r="AE967" i="3"/>
  <c r="AE982" i="3"/>
  <c r="AE998" i="3"/>
  <c r="AE952" i="3"/>
  <c r="AE965" i="3"/>
  <c r="AE977" i="3"/>
  <c r="AE979" i="3"/>
  <c r="AE987" i="3"/>
  <c r="AE995" i="3"/>
  <c r="AE898" i="3"/>
  <c r="AE925" i="3"/>
  <c r="AE957" i="3"/>
  <c r="AE970" i="3"/>
  <c r="AE984" i="3"/>
  <c r="AE992" i="3"/>
  <c r="AE930" i="3"/>
  <c r="AE958" i="3"/>
  <c r="AE962" i="3"/>
  <c r="AE968" i="3"/>
  <c r="AE989" i="3"/>
  <c r="AE18" i="3"/>
  <c r="AE55" i="3"/>
  <c r="AE44" i="3"/>
  <c r="AE51" i="3"/>
  <c r="AE70" i="3"/>
  <c r="AE78" i="3"/>
  <c r="AE114" i="3"/>
  <c r="AE122" i="3"/>
  <c r="AE63" i="3"/>
  <c r="AE111" i="3"/>
  <c r="AE119" i="3"/>
  <c r="AE68" i="3"/>
  <c r="AE116" i="3"/>
  <c r="AE83" i="3"/>
  <c r="AE92" i="3"/>
  <c r="AE121" i="3"/>
  <c r="AE56" i="3"/>
  <c r="AE67" i="3"/>
  <c r="AE110" i="3"/>
  <c r="AE84" i="3"/>
  <c r="AE96" i="3"/>
  <c r="AE117" i="3"/>
  <c r="AE65" i="3"/>
  <c r="AE175" i="3"/>
  <c r="AE234" i="3"/>
  <c r="AE282" i="3"/>
  <c r="AE231" i="3"/>
  <c r="AE263" i="3"/>
  <c r="AE192" i="3"/>
  <c r="AE198" i="3"/>
  <c r="AE200" i="3"/>
  <c r="AE211" i="3"/>
  <c r="AE219" i="3"/>
  <c r="AE227" i="3"/>
  <c r="AE171" i="3"/>
  <c r="AE221" i="3"/>
  <c r="AE306" i="3"/>
  <c r="AE353" i="3"/>
  <c r="AE287" i="3"/>
  <c r="AE312" i="3"/>
  <c r="AE373" i="3"/>
  <c r="AE421" i="3"/>
  <c r="AE452" i="3"/>
  <c r="AE535" i="3"/>
  <c r="AE575" i="3"/>
  <c r="AE542" i="3"/>
  <c r="AE541" i="3"/>
  <c r="AE578" i="3"/>
  <c r="AE643" i="3"/>
  <c r="AE707" i="3"/>
  <c r="AE757" i="3"/>
  <c r="AE842" i="3"/>
  <c r="AE27" i="3"/>
  <c r="AE25" i="3"/>
  <c r="AE9" i="3"/>
  <c r="AE54" i="3"/>
  <c r="AE7" i="3"/>
  <c r="AE69" i="3"/>
  <c r="AE87" i="3"/>
  <c r="AE64" i="3"/>
  <c r="AE128" i="3"/>
  <c r="AE138" i="3"/>
  <c r="AE104" i="3"/>
  <c r="AE168" i="3"/>
  <c r="AE289" i="3"/>
  <c r="AE34" i="3"/>
  <c r="AE28" i="3"/>
  <c r="AE32" i="3"/>
  <c r="AE74" i="3"/>
  <c r="AE79" i="3"/>
  <c r="AE98" i="3"/>
  <c r="AE46" i="3"/>
  <c r="AE8" i="3"/>
  <c r="W4" i="3" l="1"/>
  <c r="V4" i="3" s="1"/>
  <c r="D14" i="1" s="1"/>
  <c r="W3" i="3"/>
  <c r="V3" i="3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I8" i="3" s="1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I152" i="3" s="1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I695" i="3" s="1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I321" i="3" s="1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911" i="3" l="1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R234" i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R211" i="1"/>
  <c r="S211" i="1" s="1"/>
  <c r="Z211" i="1" s="1"/>
  <c r="R219" i="1"/>
  <c r="S219" i="1" s="1"/>
  <c r="Z219" i="1" s="1"/>
  <c r="R227" i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46" i="1"/>
  <c r="Z146" i="1" s="1"/>
  <c r="S156" i="1"/>
  <c r="Z156" i="1" s="1"/>
  <c r="S174" i="1"/>
  <c r="Z174" i="1" s="1"/>
  <c r="S170" i="1"/>
  <c r="Z170" i="1" s="1"/>
  <c r="S348" i="1"/>
  <c r="Z348" i="1" s="1"/>
  <c r="S35" i="1"/>
  <c r="Z35" i="1" s="1"/>
  <c r="S366" i="1"/>
  <c r="Z366" i="1" s="1"/>
  <c r="S203" i="1"/>
  <c r="Z203" i="1" s="1"/>
  <c r="S75" i="1"/>
  <c r="Z75" i="1" s="1"/>
  <c r="S98" i="1"/>
  <c r="Z98" i="1" s="1"/>
  <c r="S92" i="1"/>
  <c r="Z92" i="1" s="1"/>
  <c r="S155" i="1"/>
  <c r="Z155" i="1" s="1"/>
  <c r="S298" i="1"/>
  <c r="Z298" i="1" s="1"/>
  <c r="S234" i="1"/>
  <c r="Z234" i="1" s="1"/>
  <c r="S227" i="1"/>
  <c r="Z227" i="1" s="1"/>
  <c r="S163" i="1"/>
  <c r="Z163" i="1" s="1"/>
  <c r="S302" i="1"/>
  <c r="Z302" i="1" s="1"/>
  <c r="S355" i="1"/>
  <c r="Z355" i="1" s="1"/>
  <c r="S49" i="1"/>
  <c r="Z49" i="1" s="1"/>
  <c r="S34" i="1"/>
  <c r="Z34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<sst xmlns="http://schemas.openxmlformats.org/spreadsheetml/2006/main" count="452" uniqueCount="260">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</sst>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29.185836909276691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146.86701959272642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141.25027514121049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326.23842013320427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143.36327789750325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6.9874312207286025</c:v>
                </c:pt>
                <c:pt idx="1">
                  <c:v>344.83449964362416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3.1842266476197043</c:v>
                </c:pt>
                <c:pt idx="1">
                  <c:v>157.14375828508531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385.97828957283389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10.171657868348307</c:v>
                </c:pt>
                <c:pt idx="16">
                  <c:v>11.021732984287468</c:v>
                </c:pt>
                <c:pt idx="17">
                  <c:v>11.926029622221582</c:v>
                </c:pt>
                <c:pt idx="18">
                  <c:v>12.826819756377834</c:v>
                </c:pt>
                <c:pt idx="19">
                  <c:v>13.758350889381219</c:v>
                </c:pt>
                <c:pt idx="20">
                  <c:v>14.681738736708676</c:v>
                </c:pt>
                <c:pt idx="21">
                  <c:v>15.711822571668552</c:v>
                </c:pt>
                <c:pt idx="22">
                  <c:v>16.855897565950308</c:v>
                </c:pt>
                <c:pt idx="23">
                  <c:v>18.092410257366343</c:v>
                </c:pt>
                <c:pt idx="24">
                  <c:v>19.39145894755957</c:v>
                </c:pt>
                <c:pt idx="25">
                  <c:v>20.869329317362226</c:v>
                </c:pt>
                <c:pt idx="26">
                  <c:v>22.401665716176289</c:v>
                </c:pt>
                <c:pt idx="27">
                  <c:v>23.906249398664773</c:v>
                </c:pt>
                <c:pt idx="28">
                  <c:v>25.540378420035722</c:v>
                </c:pt>
                <c:pt idx="29">
                  <c:v>27.298576094890709</c:v>
                </c:pt>
                <c:pt idx="30">
                  <c:v>29.132024980866522</c:v>
                </c:pt>
                <c:pt idx="31">
                  <c:v>31.08704908187558</c:v>
                </c:pt>
                <c:pt idx="32">
                  <c:v>33.049290367242307</c:v>
                </c:pt>
                <c:pt idx="33">
                  <c:v>35.348655034020268</c:v>
                </c:pt>
                <c:pt idx="34">
                  <c:v>37.79348047679607</c:v>
                </c:pt>
                <c:pt idx="35">
                  <c:v>40.266101085249694</c:v>
                </c:pt>
                <c:pt idx="36">
                  <c:v>42.949072547894929</c:v>
                </c:pt>
                <c:pt idx="37">
                  <c:v>45.985444823689839</c:v>
                </c:pt>
                <c:pt idx="38">
                  <c:v>49.12384090789363</c:v>
                </c:pt>
                <c:pt idx="39">
                  <c:v>52.339137794425497</c:v>
                </c:pt>
                <c:pt idx="40">
                  <c:v>55.958086734831262</c:v>
                </c:pt>
                <c:pt idx="41">
                  <c:v>59.610276308362614</c:v>
                </c:pt>
                <c:pt idx="42">
                  <c:v>63.392271363018246</c:v>
                </c:pt>
                <c:pt idx="43">
                  <c:v>67.322768303886448</c:v>
                </c:pt>
                <c:pt idx="44">
                  <c:v>70.913128342208836</c:v>
                </c:pt>
                <c:pt idx="45">
                  <c:v>74.654277968346136</c:v>
                </c:pt>
                <c:pt idx="46">
                  <c:v>78.974332999338515</c:v>
                </c:pt>
                <c:pt idx="47">
                  <c:v>83.515638655378169</c:v>
                </c:pt>
                <c:pt idx="48">
                  <c:v>88.434354264915939</c:v>
                </c:pt>
                <c:pt idx="49">
                  <c:v>93.457113606564818</c:v>
                </c:pt>
                <c:pt idx="50">
                  <c:v>98.46204488747513</c:v>
                </c:pt>
                <c:pt idx="51">
                  <c:v>103.72113998093762</c:v>
                </c:pt>
                <c:pt idx="52">
                  <c:v>109.75617644565826</c:v>
                </c:pt>
                <c:pt idx="53">
                  <c:v>115.88250105833552</c:v>
                </c:pt>
                <c:pt idx="54">
                  <c:v>121.94727290302534</c:v>
                </c:pt>
                <c:pt idx="55">
                  <c:v>128.45759840575695</c:v>
                </c:pt>
                <c:pt idx="56">
                  <c:v>134.85581091532549</c:v>
                </c:pt>
                <c:pt idx="57">
                  <c:v>141.517362288063</c:v>
                </c:pt>
                <c:pt idx="58">
                  <c:v>148.63501094682007</c:v>
                </c:pt>
                <c:pt idx="59">
                  <c:v>155.63162040236628</c:v>
                </c:pt>
                <c:pt idx="60">
                  <c:v>162.45937812819369</c:v>
                </c:pt>
                <c:pt idx="61">
                  <c:v>169.07862097441924</c:v>
                </c:pt>
                <c:pt idx="62">
                  <c:v>176.01803308527838</c:v>
                </c:pt>
                <c:pt idx="63">
                  <c:v>183.01046718847951</c:v>
                </c:pt>
                <c:pt idx="64">
                  <c:v>190.03752267202927</c:v>
                </c:pt>
                <c:pt idx="65">
                  <c:v>196.28869376135401</c:v>
                </c:pt>
                <c:pt idx="66">
                  <c:v>202.97575833926609</c:v>
                </c:pt>
                <c:pt idx="67">
                  <c:v>209.89815418169084</c:v>
                </c:pt>
                <c:pt idx="68">
                  <c:v>216.7585434555694</c:v>
                </c:pt>
                <c:pt idx="69">
                  <c:v>223.95282640361697</c:v>
                </c:pt>
                <c:pt idx="70">
                  <c:v>230.80506611605352</c:v>
                </c:pt>
                <c:pt idx="71">
                  <c:v>237.51566027495554</c:v>
                </c:pt>
                <c:pt idx="72">
                  <c:v>244.59852052151908</c:v>
                </c:pt>
                <c:pt idx="73">
                  <c:v>250.95761310600952</c:v>
                </c:pt>
                <c:pt idx="74">
                  <c:v>257.3656974625423</c:v>
                </c:pt>
                <c:pt idx="75">
                  <c:v>263.96931378193585</c:v>
                </c:pt>
                <c:pt idx="76">
                  <c:v>270.56515343519021</c:v>
                </c:pt>
                <c:pt idx="77">
                  <c:v>277.08731511717195</c:v>
                </c:pt>
                <c:pt idx="78">
                  <c:v>284.27937936076677</c:v>
                </c:pt>
                <c:pt idx="79">
                  <c:v>291.26694462185452</c:v>
                </c:pt>
                <c:pt idx="80">
                  <c:v>298.13194423364661</c:v>
                </c:pt>
                <c:pt idx="81">
                  <c:v>304.88278975267451</c:v>
                </c:pt>
                <c:pt idx="82">
                  <c:v>311.01860465283636</c:v>
                </c:pt>
                <c:pt idx="83">
                  <c:v>317.03635999370078</c:v>
                </c:pt>
                <c:pt idx="84">
                  <c:v>323.87578926689019</c:v>
                </c:pt>
                <c:pt idx="85">
                  <c:v>330.62464989486523</c:v>
                </c:pt>
                <c:pt idx="86">
                  <c:v>337.84799249307304</c:v>
                </c:pt>
                <c:pt idx="87">
                  <c:v>344.14740688004542</c:v>
                </c:pt>
                <c:pt idx="88">
                  <c:v>350.13376733835969</c:v>
                </c:pt>
                <c:pt idx="89">
                  <c:v>355.38238309828279</c:v>
                </c:pt>
                <c:pt idx="90">
                  <c:v>361.16774783119752</c:v>
                </c:pt>
                <c:pt idx="91">
                  <c:v>366.90060631547288</c:v>
                </c:pt>
                <c:pt idx="92">
                  <c:v>372.56424518434909</c:v>
                </c:pt>
                <c:pt idx="93">
                  <c:v>378.29114677842671</c:v>
                </c:pt>
                <c:pt idx="94">
                  <c:v>383.85831653767656</c:v>
                </c:pt>
                <c:pt idx="95">
                  <c:v>388.99274330983769</c:v>
                </c:pt>
                <c:pt idx="96">
                  <c:v>393.4801668106619</c:v>
                </c:pt>
                <c:pt idx="97">
                  <c:v>397.89134845965037</c:v>
                </c:pt>
                <c:pt idx="98">
                  <c:v>402.82938150588978</c:v>
                </c:pt>
                <c:pt idx="99">
                  <c:v>407.24229251551407</c:v>
                </c:pt>
                <c:pt idx="100">
                  <c:v>411.36948873379703</c:v>
                </c:pt>
                <c:pt idx="101">
                  <c:v>415.23594739421725</c:v>
                </c:pt>
                <c:pt idx="102">
                  <c:v>419.03093590812921</c:v>
                </c:pt>
                <c:pt idx="103">
                  <c:v>422.67558555196155</c:v>
                </c:pt>
                <c:pt idx="104">
                  <c:v>426.14951971946084</c:v>
                </c:pt>
                <c:pt idx="105">
                  <c:v>429.64540260380659</c:v>
                </c:pt>
                <c:pt idx="106">
                  <c:v>432.81701711708314</c:v>
                </c:pt>
                <c:pt idx="107">
                  <c:v>436.12928036369959</c:v>
                </c:pt>
                <c:pt idx="108">
                  <c:v>439.26149443437225</c:v>
                </c:pt>
                <c:pt idx="109">
                  <c:v>442.58182958329007</c:v>
                </c:pt>
                <c:pt idx="110">
                  <c:v>445.70182588945232</c:v>
                </c:pt>
                <c:pt idx="111">
                  <c:v>448.89810472576551</c:v>
                </c:pt>
                <c:pt idx="112">
                  <c:v>451.63015866037534</c:v>
                </c:pt>
                <c:pt idx="113">
                  <c:v>454.16528060785475</c:v>
                </c:pt>
                <c:pt idx="114">
                  <c:v>456.65001194695776</c:v>
                </c:pt>
                <c:pt idx="115">
                  <c:v>458.99942482718831</c:v>
                </c:pt>
                <c:pt idx="116">
                  <c:v>461.37278996518</c:v>
                </c:pt>
                <c:pt idx="117">
                  <c:v>463.59587785898577</c:v>
                </c:pt>
                <c:pt idx="118">
                  <c:v>465.704292844066</c:v>
                </c:pt>
                <c:pt idx="119">
                  <c:v>467.98788422756712</c:v>
                </c:pt>
                <c:pt idx="120">
                  <c:v>470.19288389932007</c:v>
                </c:pt>
                <c:pt idx="121">
                  <c:v>472.49364085808924</c:v>
                </c:pt>
                <c:pt idx="122">
                  <c:v>474.53790403466894</c:v>
                </c:pt>
                <c:pt idx="123">
                  <c:v>476.5418230929057</c:v>
                </c:pt>
                <c:pt idx="124">
                  <c:v>478.57994408926771</c:v>
                </c:pt>
                <c:pt idx="125">
                  <c:v>480.60649148098736</c:v>
                </c:pt>
                <c:pt idx="126">
                  <c:v>482.589045410756</c:v>
                </c:pt>
                <c:pt idx="127">
                  <c:v>484.37699778183389</c:v>
                </c:pt>
                <c:pt idx="128">
                  <c:v>486.08999006683183</c:v>
                </c:pt>
                <c:pt idx="129">
                  <c:v>487.65428716457069</c:v>
                </c:pt>
                <c:pt idx="130">
                  <c:v>489.13168488608079</c:v>
                </c:pt>
                <c:pt idx="131">
                  <c:v>490.64446955651556</c:v>
                </c:pt>
                <c:pt idx="132">
                  <c:v>492.04379778181368</c:v>
                </c:pt>
                <c:pt idx="133">
                  <c:v>493.39601651441217</c:v>
                </c:pt>
                <c:pt idx="134">
                  <c:v>494.57389664656785</c:v>
                </c:pt>
                <c:pt idx="135">
                  <c:v>495.78726146923907</c:v>
                </c:pt>
                <c:pt idx="136">
                  <c:v>497.16068749244926</c:v>
                </c:pt>
                <c:pt idx="137">
                  <c:v>498.50343212230513</c:v>
                </c:pt>
                <c:pt idx="138">
                  <c:v>499.72514193598562</c:v>
                </c:pt>
                <c:pt idx="139">
                  <c:v>500.90073339917859</c:v>
                </c:pt>
                <c:pt idx="140">
                  <c:v>501.97825792870947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86.961579288460655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97.487027493395445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141.78981335134822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66.810907906839844</c:v>
                </c:pt>
                <c:pt idx="2">
                  <c:v>81.664694670501419</c:v>
                </c:pt>
                <c:pt idx="3">
                  <c:v>95.103536099449869</c:v>
                </c:pt>
                <c:pt idx="4">
                  <c:v>107.42734876027696</c:v>
                </c:pt>
                <c:pt idx="5">
                  <c:v>118.75493626357118</c:v>
                </c:pt>
                <c:pt idx="6">
                  <c:v>129.09008382874399</c:v>
                </c:pt>
                <c:pt idx="7">
                  <c:v>139.12694130269358</c:v>
                </c:pt>
                <c:pt idx="8">
                  <c:v>148.64095364870292</c:v>
                </c:pt>
                <c:pt idx="9">
                  <c:v>157.28556194847269</c:v>
                </c:pt>
                <c:pt idx="10">
                  <c:v>164.21271054516055</c:v>
                </c:pt>
                <c:pt idx="11">
                  <c:v>170.77778448597081</c:v>
                </c:pt>
                <c:pt idx="12">
                  <c:v>176.85637880187153</c:v>
                </c:pt>
                <c:pt idx="13">
                  <c:v>182.16875085466461</c:v>
                </c:pt>
                <c:pt idx="14">
                  <c:v>186.86742524108729</c:v>
                </c:pt>
                <c:pt idx="15">
                  <c:v>190.8705819320779</c:v>
                </c:pt>
                <c:pt idx="16">
                  <c:v>194.26700625997265</c:v>
                </c:pt>
                <c:pt idx="17">
                  <c:v>197.5251343163622</c:v>
                </c:pt>
                <c:pt idx="18">
                  <c:v>200.16489848505802</c:v>
                </c:pt>
                <c:pt idx="19">
                  <c:v>202.38266757594772</c:v>
                </c:pt>
                <c:pt idx="20">
                  <c:v>204.12063817129533</c:v>
                </c:pt>
                <c:pt idx="21">
                  <c:v>205.23540747273336</c:v>
                </c:pt>
                <c:pt idx="22">
                  <c:v>203.31592454805485</c:v>
                </c:pt>
                <c:pt idx="23">
                  <c:v>201.20065662193821</c:v>
                </c:pt>
                <c:pt idx="24">
                  <c:v>202.22561069987364</c:v>
                </c:pt>
                <c:pt idx="25">
                  <c:v>200.9301120159671</c:v>
                </c:pt>
                <c:pt idx="26">
                  <c:v>197.73951291707584</c:v>
                </c:pt>
                <c:pt idx="27">
                  <c:v>194.37265353707363</c:v>
                </c:pt>
                <c:pt idx="28">
                  <c:v>194.57988722892642</c:v>
                </c:pt>
                <c:pt idx="29">
                  <c:v>188.5044976192772</c:v>
                </c:pt>
                <c:pt idx="30">
                  <c:v>185.84186971248701</c:v>
                </c:pt>
                <c:pt idx="31">
                  <c:v>184.55367076125304</c:v>
                </c:pt>
                <c:pt idx="32">
                  <c:v>184.09091621098102</c:v>
                </c:pt>
                <c:pt idx="33">
                  <c:v>183.43177559712785</c:v>
                </c:pt>
                <c:pt idx="34">
                  <c:v>182.58369216999844</c:v>
                </c:pt>
                <c:pt idx="35">
                  <c:v>181.58344387565057</c:v>
                </c:pt>
                <c:pt idx="36">
                  <c:v>180.3765598185758</c:v>
                </c:pt>
                <c:pt idx="37">
                  <c:v>178.91072069051316</c:v>
                </c:pt>
                <c:pt idx="38">
                  <c:v>171.89956552555148</c:v>
                </c:pt>
                <c:pt idx="39">
                  <c:v>170.09411290986336</c:v>
                </c:pt>
                <c:pt idx="40">
                  <c:v>165.4596758533674</c:v>
                </c:pt>
                <c:pt idx="41">
                  <c:v>158.55761801761403</c:v>
                </c:pt>
                <c:pt idx="42">
                  <c:v>152.79704808473397</c:v>
                </c:pt>
                <c:pt idx="43">
                  <c:v>146.36993147662795</c:v>
                </c:pt>
                <c:pt idx="44">
                  <c:v>143.89168444591527</c:v>
                </c:pt>
                <c:pt idx="45">
                  <c:v>141.23712146944513</c:v>
                </c:pt>
                <c:pt idx="46">
                  <c:v>138.14121468616099</c:v>
                </c:pt>
                <c:pt idx="47">
                  <c:v>134.8222600176224</c:v>
                </c:pt>
                <c:pt idx="48">
                  <c:v>128.28772235438524</c:v>
                </c:pt>
                <c:pt idx="49">
                  <c:v>123.60116871386879</c:v>
                </c:pt>
                <c:pt idx="50">
                  <c:v>116.53489479956967</c:v>
                </c:pt>
                <c:pt idx="51">
                  <c:v>111.76847692087928</c:v>
                </c:pt>
                <c:pt idx="52">
                  <c:v>107.03432786618495</c:v>
                </c:pt>
                <c:pt idx="53">
                  <c:v>101.99925783947225</c:v>
                </c:pt>
                <c:pt idx="54">
                  <c:v>95.43064633672391</c:v>
                </c:pt>
                <c:pt idx="55">
                  <c:v>87.260091620192171</c:v>
                </c:pt>
                <c:pt idx="56">
                  <c:v>79.962286942816235</c:v>
                </c:pt>
                <c:pt idx="57">
                  <c:v>72.673881107936154</c:v>
                </c:pt>
                <c:pt idx="58">
                  <c:v>63.521453176296873</c:v>
                </c:pt>
                <c:pt idx="59">
                  <c:v>56.303317149735207</c:v>
                </c:pt>
                <c:pt idx="60">
                  <c:v>49.75669155298268</c:v>
                </c:pt>
                <c:pt idx="61">
                  <c:v>43.782975230617424</c:v>
                </c:pt>
                <c:pt idx="62">
                  <c:v>37.62927905645212</c:v>
                </c:pt>
                <c:pt idx="63">
                  <c:v>31.674622433770494</c:v>
                </c:pt>
                <c:pt idx="64">
                  <c:v>112.63193298795326</c:v>
                </c:pt>
                <c:pt idx="65">
                  <c:v>105.97883134518912</c:v>
                </c:pt>
                <c:pt idx="66">
                  <c:v>99.001604044636693</c:v>
                </c:pt>
                <c:pt idx="67">
                  <c:v>90.216254532565728</c:v>
                </c:pt>
                <c:pt idx="68">
                  <c:v>83.081010931774372</c:v>
                </c:pt>
                <c:pt idx="69">
                  <c:v>74.308021919522375</c:v>
                </c:pt>
                <c:pt idx="70">
                  <c:v>67.602340505691004</c:v>
                </c:pt>
                <c:pt idx="71">
                  <c:v>61.064039854194</c:v>
                </c:pt>
                <c:pt idx="72">
                  <c:v>54.145208565572496</c:v>
                </c:pt>
                <c:pt idx="73">
                  <c:v>48.350398665749523</c:v>
                </c:pt>
                <c:pt idx="74">
                  <c:v>41.781688653071733</c:v>
                </c:pt>
                <c:pt idx="75">
                  <c:v>35.732437319658032</c:v>
                </c:pt>
                <c:pt idx="76">
                  <c:v>126.21985654757196</c:v>
                </c:pt>
                <c:pt idx="77">
                  <c:v>119.99940018592821</c:v>
                </c:pt>
                <c:pt idx="78">
                  <c:v>112.79414006764277</c:v>
                </c:pt>
                <c:pt idx="79">
                  <c:v>104.74900499451225</c:v>
                </c:pt>
                <c:pt idx="80">
                  <c:v>96.374388043152933</c:v>
                </c:pt>
                <c:pt idx="81">
                  <c:v>89.784199194922394</c:v>
                </c:pt>
                <c:pt idx="82">
                  <c:v>84.170530227516252</c:v>
                </c:pt>
                <c:pt idx="83">
                  <c:v>78.707530999974523</c:v>
                </c:pt>
                <c:pt idx="84">
                  <c:v>71.149405291213213</c:v>
                </c:pt>
                <c:pt idx="85">
                  <c:v>63.030236085747475</c:v>
                </c:pt>
                <c:pt idx="86">
                  <c:v>56.846352798893761</c:v>
                </c:pt>
                <c:pt idx="87">
                  <c:v>50.141278485727419</c:v>
                </c:pt>
                <c:pt idx="88">
                  <c:v>45.011628904918091</c:v>
                </c:pt>
                <c:pt idx="89">
                  <c:v>40.255565494453258</c:v>
                </c:pt>
                <c:pt idx="90">
                  <c:v>34.982146350692176</c:v>
                </c:pt>
                <c:pt idx="91">
                  <c:v>170.34236148155574</c:v>
                </c:pt>
                <c:pt idx="92">
                  <c:v>161.15590789287049</c:v>
                </c:pt>
                <c:pt idx="93">
                  <c:v>146.88659514709173</c:v>
                </c:pt>
                <c:pt idx="94">
                  <c:v>135.82012266333933</c:v>
                </c:pt>
                <c:pt idx="95">
                  <c:v>130.80242539156814</c:v>
                </c:pt>
                <c:pt idx="96">
                  <c:v>126.32494273104591</c:v>
                </c:pt>
                <c:pt idx="97">
                  <c:v>121.17219859914509</c:v>
                </c:pt>
                <c:pt idx="98">
                  <c:v>115.23468993812743</c:v>
                </c:pt>
                <c:pt idx="99">
                  <c:v>110.29485357196191</c:v>
                </c:pt>
                <c:pt idx="100">
                  <c:v>106.8123013755324</c:v>
                </c:pt>
                <c:pt idx="101">
                  <c:v>102.47846733178473</c:v>
                </c:pt>
                <c:pt idx="102">
                  <c:v>99.459257729574986</c:v>
                </c:pt>
                <c:pt idx="103">
                  <c:v>96.126514509090228</c:v>
                </c:pt>
                <c:pt idx="104">
                  <c:v>92.46545016350521</c:v>
                </c:pt>
                <c:pt idx="105">
                  <c:v>89.061497391534857</c:v>
                </c:pt>
                <c:pt idx="106">
                  <c:v>86.617866099860507</c:v>
                </c:pt>
                <c:pt idx="107">
                  <c:v>83.113257298140809</c:v>
                </c:pt>
                <c:pt idx="108">
                  <c:v>80.737941402003003</c:v>
                </c:pt>
                <c:pt idx="109">
                  <c:v>78.238769100269948</c:v>
                </c:pt>
                <c:pt idx="110">
                  <c:v>75.802612322809097</c:v>
                </c:pt>
                <c:pt idx="111">
                  <c:v>72.182384459221907</c:v>
                </c:pt>
                <c:pt idx="112">
                  <c:v>69.331314514620345</c:v>
                </c:pt>
                <c:pt idx="113">
                  <c:v>66.496463424529935</c:v>
                </c:pt>
                <c:pt idx="114">
                  <c:v>64.37937897553644</c:v>
                </c:pt>
                <c:pt idx="115">
                  <c:v>61.701487740370673</c:v>
                </c:pt>
                <c:pt idx="116">
                  <c:v>59.895537080075982</c:v>
                </c:pt>
                <c:pt idx="117">
                  <c:v>57.269089515355134</c:v>
                </c:pt>
                <c:pt idx="118">
                  <c:v>55.000945760328506</c:v>
                </c:pt>
                <c:pt idx="119">
                  <c:v>53.223755469361109</c:v>
                </c:pt>
                <c:pt idx="120">
                  <c:v>50.549788692501011</c:v>
                </c:pt>
                <c:pt idx="121">
                  <c:v>48.261837354540724</c:v>
                </c:pt>
                <c:pt idx="122">
                  <c:v>46.976499117904176</c:v>
                </c:pt>
                <c:pt idx="123">
                  <c:v>45.719649222532354</c:v>
                </c:pt>
                <c:pt idx="124">
                  <c:v>44.138597550947857</c:v>
                </c:pt>
                <c:pt idx="125">
                  <c:v>42.462724245487621</c:v>
                </c:pt>
                <c:pt idx="126">
                  <c:v>40.668641590918398</c:v>
                </c:pt>
                <c:pt idx="127">
                  <c:v>38.906086285740564</c:v>
                </c:pt>
                <c:pt idx="128">
                  <c:v>37.819732516378053</c:v>
                </c:pt>
                <c:pt idx="129">
                  <c:v>37.037329303604729</c:v>
                </c:pt>
                <c:pt idx="130">
                  <c:v>36.328525332207008</c:v>
                </c:pt>
                <c:pt idx="131">
                  <c:v>35.630239208404433</c:v>
                </c:pt>
                <c:pt idx="132">
                  <c:v>35.017298888026495</c:v>
                </c:pt>
                <c:pt idx="133">
                  <c:v>34.2116823611263</c:v>
                </c:pt>
                <c:pt idx="134">
                  <c:v>33.727978103222007</c:v>
                </c:pt>
                <c:pt idx="135">
                  <c:v>33.042539853817715</c:v>
                </c:pt>
                <c:pt idx="136">
                  <c:v>31.924128924155209</c:v>
                </c:pt>
                <c:pt idx="137">
                  <c:v>31.031050725846718</c:v>
                </c:pt>
                <c:pt idx="138">
                  <c:v>30.591593112152903</c:v>
                </c:pt>
                <c:pt idx="139">
                  <c:v>29.631597967689107</c:v>
                </c:pt>
                <c:pt idx="140">
                  <c:v>29.185836909276691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-0.53457159357609974</c:v>
                </c:pt>
                <c:pt idx="22">
                  <c:v>-3.9478626462537747</c:v>
                </c:pt>
                <c:pt idx="23">
                  <c:v>-7.3400932210706706</c:v>
                </c:pt>
                <c:pt idx="24">
                  <c:v>-7.3400932210706706</c:v>
                </c:pt>
                <c:pt idx="25">
                  <c:v>-9.5289641621920911</c:v>
                </c:pt>
                <c:pt idx="26">
                  <c:v>-13.349586751947474</c:v>
                </c:pt>
                <c:pt idx="27">
                  <c:v>-17.083047444928866</c:v>
                </c:pt>
                <c:pt idx="28">
                  <c:v>-17.083047444928866</c:v>
                </c:pt>
                <c:pt idx="29">
                  <c:v>-23.195179144105211</c:v>
                </c:pt>
                <c:pt idx="30">
                  <c:v>-25.71680882863896</c:v>
                </c:pt>
                <c:pt idx="31">
                  <c:v>-26.695582818571385</c:v>
                </c:pt>
                <c:pt idx="32">
                  <c:v>-26.695582818571385</c:v>
                </c:pt>
                <c:pt idx="33">
                  <c:v>-26.695582818571385</c:v>
                </c:pt>
                <c:pt idx="34">
                  <c:v>-26.695582818571385</c:v>
                </c:pt>
                <c:pt idx="35">
                  <c:v>-26.695582818571385</c:v>
                </c:pt>
                <c:pt idx="36">
                  <c:v>-26.695582818571385</c:v>
                </c:pt>
                <c:pt idx="37">
                  <c:v>-26.695582818571385</c:v>
                </c:pt>
                <c:pt idx="38">
                  <c:v>-32.059686712801373</c:v>
                </c:pt>
                <c:pt idx="39">
                  <c:v>-32.059686712801373</c:v>
                </c:pt>
                <c:pt idx="40">
                  <c:v>-34.57123052020404</c:v>
                </c:pt>
                <c:pt idx="41">
                  <c:v>-39.214226398093786</c:v>
                </c:pt>
                <c:pt idx="42">
                  <c:v>-42.539263675477542</c:v>
                </c:pt>
                <c:pt idx="43">
                  <c:v>-46.34778109906695</c:v>
                </c:pt>
                <c:pt idx="44">
                  <c:v>-46.34778109906695</c:v>
                </c:pt>
                <c:pt idx="45">
                  <c:v>-46.34778109906695</c:v>
                </c:pt>
                <c:pt idx="46">
                  <c:v>-46.34778109906695</c:v>
                </c:pt>
                <c:pt idx="47">
                  <c:v>-46.34778109906695</c:v>
                </c:pt>
                <c:pt idx="48">
                  <c:v>-49.228704042535661</c:v>
                </c:pt>
                <c:pt idx="49">
                  <c:v>-50.116765792543781</c:v>
                </c:pt>
                <c:pt idx="50">
                  <c:v>-53.335052781327221</c:v>
                </c:pt>
                <c:pt idx="51">
                  <c:v>-54.0077009808995</c:v>
                </c:pt>
                <c:pt idx="52">
                  <c:v>-54.0077009808995</c:v>
                </c:pt>
                <c:pt idx="53">
                  <c:v>-54.173990931435782</c:v>
                </c:pt>
                <c:pt idx="54">
                  <c:v>-55.86372579826304</c:v>
                </c:pt>
                <c:pt idx="55">
                  <c:v>-58.756498277214035</c:v>
                </c:pt>
                <c:pt idx="56">
                  <c:v>-60.814874180292527</c:v>
                </c:pt>
                <c:pt idx="57">
                  <c:v>-62.610123960130778</c:v>
                </c:pt>
                <c:pt idx="58">
                  <c:v>-65.860760913443215</c:v>
                </c:pt>
                <c:pt idx="59">
                  <c:v>-67.233565207289729</c:v>
                </c:pt>
                <c:pt idx="60">
                  <c:v>-68.039133964337665</c:v>
                </c:pt>
                <c:pt idx="61">
                  <c:v>-68.417088160427738</c:v>
                </c:pt>
                <c:pt idx="62">
                  <c:v>-68.683574986431125</c:v>
                </c:pt>
                <c:pt idx="63">
                  <c:v>-68.683574986431125</c:v>
                </c:pt>
                <c:pt idx="64">
                  <c:v>-68.683574986431125</c:v>
                </c:pt>
                <c:pt idx="65">
                  <c:v>-69.976901871612725</c:v>
                </c:pt>
                <c:pt idx="66">
                  <c:v>-71.208252171588626</c:v>
                </c:pt>
                <c:pt idx="67">
                  <c:v>-74.033920162054841</c:v>
                </c:pt>
                <c:pt idx="68">
                  <c:v>-75.251445016408368</c:v>
                </c:pt>
                <c:pt idx="69">
                  <c:v>-77.810537667053438</c:v>
                </c:pt>
                <c:pt idx="70">
                  <c:v>-78.588111589032792</c:v>
                </c:pt>
                <c:pt idx="71">
                  <c:v>-79.314699071989409</c:v>
                </c:pt>
                <c:pt idx="72">
                  <c:v>-80.09525346865658</c:v>
                </c:pt>
                <c:pt idx="73">
                  <c:v>-80.376192741154583</c:v>
                </c:pt>
                <c:pt idx="74">
                  <c:v>-81.386452834615525</c:v>
                </c:pt>
                <c:pt idx="75">
                  <c:v>-81.70606252675438</c:v>
                </c:pt>
                <c:pt idx="76">
                  <c:v>-82.98295863049826</c:v>
                </c:pt>
                <c:pt idx="77">
                  <c:v>-83.5460599655473</c:v>
                </c:pt>
                <c:pt idx="78">
                  <c:v>-84.516517014510967</c:v>
                </c:pt>
                <c:pt idx="79">
                  <c:v>-86.507533766576614</c:v>
                </c:pt>
                <c:pt idx="80">
                  <c:v>-88.93934582310132</c:v>
                </c:pt>
                <c:pt idx="81">
                  <c:v>-89.691935015605424</c:v>
                </c:pt>
                <c:pt idx="82">
                  <c:v>-90.007740343324301</c:v>
                </c:pt>
                <c:pt idx="83">
                  <c:v>-90.282538880507616</c:v>
                </c:pt>
                <c:pt idx="84">
                  <c:v>-91.953422906017707</c:v>
                </c:pt>
                <c:pt idx="85">
                  <c:v>-94.275437142696831</c:v>
                </c:pt>
                <c:pt idx="86">
                  <c:v>-94.275437142696831</c:v>
                </c:pt>
                <c:pt idx="87">
                  <c:v>-95.596515433579356</c:v>
                </c:pt>
                <c:pt idx="88">
                  <c:v>-95.623825231079891</c:v>
                </c:pt>
                <c:pt idx="89">
                  <c:v>-95.922995969341557</c:v>
                </c:pt>
                <c:pt idx="90">
                  <c:v>-96.294260066093074</c:v>
                </c:pt>
                <c:pt idx="91">
                  <c:v>-97.883197823458659</c:v>
                </c:pt>
                <c:pt idx="92">
                  <c:v>-102.3057981915766</c:v>
                </c:pt>
                <c:pt idx="93">
                  <c:v>-111.7788950101847</c:v>
                </c:pt>
                <c:pt idx="94">
                  <c:v>-118.20450822068891</c:v>
                </c:pt>
                <c:pt idx="95">
                  <c:v>-118.96272935279742</c:v>
                </c:pt>
                <c:pt idx="96">
                  <c:v>-119.73968979434078</c:v>
                </c:pt>
                <c:pt idx="97">
                  <c:v>-121.27213893739054</c:v>
                </c:pt>
                <c:pt idx="98">
                  <c:v>-123.17484864135024</c:v>
                </c:pt>
                <c:pt idx="99">
                  <c:v>-124.5323795974319</c:v>
                </c:pt>
                <c:pt idx="100">
                  <c:v>-124.68695389864678</c:v>
                </c:pt>
                <c:pt idx="101">
                  <c:v>-125.92509325880758</c:v>
                </c:pt>
                <c:pt idx="102">
                  <c:v>-125.92509325880758</c:v>
                </c:pt>
                <c:pt idx="103">
                  <c:v>-126.37920591480174</c:v>
                </c:pt>
                <c:pt idx="104">
                  <c:v>-127.31785365093744</c:v>
                </c:pt>
                <c:pt idx="105">
                  <c:v>-128.00035501057368</c:v>
                </c:pt>
                <c:pt idx="106">
                  <c:v>-128.00035501057368</c:v>
                </c:pt>
                <c:pt idx="107">
                  <c:v>-128.96804820571944</c:v>
                </c:pt>
                <c:pt idx="108">
                  <c:v>-128.96804820571944</c:v>
                </c:pt>
                <c:pt idx="109">
                  <c:v>-128.96804820571944</c:v>
                </c:pt>
                <c:pt idx="110">
                  <c:v>-129.08250195342694</c:v>
                </c:pt>
                <c:pt idx="111">
                  <c:v>-130.34900449263199</c:v>
                </c:pt>
                <c:pt idx="112">
                  <c:v>-131.21921350716002</c:v>
                </c:pt>
                <c:pt idx="113">
                  <c:v>-132.24156740385527</c:v>
                </c:pt>
                <c:pt idx="114">
                  <c:v>-132.60285316557398</c:v>
                </c:pt>
                <c:pt idx="115">
                  <c:v>-133.64442207662503</c:v>
                </c:pt>
                <c:pt idx="116">
                  <c:v>-133.81576729354535</c:v>
                </c:pt>
                <c:pt idx="117">
                  <c:v>-134.93653661813659</c:v>
                </c:pt>
                <c:pt idx="118">
                  <c:v>-135.80040572475653</c:v>
                </c:pt>
                <c:pt idx="119">
                  <c:v>-136.07087141905086</c:v>
                </c:pt>
                <c:pt idx="120">
                  <c:v>-137.31665507467179</c:v>
                </c:pt>
                <c:pt idx="121">
                  <c:v>-138.14026588510299</c:v>
                </c:pt>
                <c:pt idx="122">
                  <c:v>-138.15693023098086</c:v>
                </c:pt>
                <c:pt idx="123">
                  <c:v>-138.19711390973691</c:v>
                </c:pt>
                <c:pt idx="124">
                  <c:v>-138.56872425869071</c:v>
                </c:pt>
                <c:pt idx="125">
                  <c:v>-139.07461228148236</c:v>
                </c:pt>
                <c:pt idx="126">
                  <c:v>-139.75932935374425</c:v>
                </c:pt>
                <c:pt idx="127">
                  <c:v>-140.55621648946891</c:v>
                </c:pt>
                <c:pt idx="128">
                  <c:v>-140.74973851800272</c:v>
                </c:pt>
                <c:pt idx="129">
                  <c:v>-140.74973851800272</c:v>
                </c:pt>
                <c:pt idx="130">
                  <c:v>-140.74973851800272</c:v>
                </c:pt>
                <c:pt idx="131">
                  <c:v>-140.74973851800272</c:v>
                </c:pt>
                <c:pt idx="132">
                  <c:v>-140.74973851800272</c:v>
                </c:pt>
                <c:pt idx="133">
                  <c:v>-140.99348058426907</c:v>
                </c:pt>
                <c:pt idx="134">
                  <c:v>-141.02247285672473</c:v>
                </c:pt>
                <c:pt idx="135">
                  <c:v>-141.26186680503704</c:v>
                </c:pt>
                <c:pt idx="136">
                  <c:v>-141.90606154226629</c:v>
                </c:pt>
                <c:pt idx="137">
                  <c:v>-142.37823577221488</c:v>
                </c:pt>
                <c:pt idx="138">
                  <c:v>-142.47479922231292</c:v>
                </c:pt>
                <c:pt idx="139">
                  <c:v>-143.14477267283746</c:v>
                </c:pt>
                <c:pt idx="140">
                  <c:v>-143.36327789750325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1.289059098469675</c:v>
                </c:pt>
                <c:pt idx="1">
                  <c:v>2.5768687452648269</c:v>
                </c:pt>
                <c:pt idx="2">
                  <c:v>3.8312678436997771</c:v>
                </c:pt>
                <c:pt idx="3">
                  <c:v>5.0803873822528258</c:v>
                </c:pt>
                <c:pt idx="4">
                  <c:v>6.3411426131274551</c:v>
                </c:pt>
                <c:pt idx="5">
                  <c:v>7.6174395556230037</c:v>
                </c:pt>
                <c:pt idx="6">
                  <c:v>8.9003454328946674</c:v>
                </c:pt>
                <c:pt idx="7">
                  <c:v>10.277054152207949</c:v>
                </c:pt>
                <c:pt idx="8">
                  <c:v>11.726659618020449</c:v>
                </c:pt>
                <c:pt idx="9">
                  <c:v>13.192696390811705</c:v>
                </c:pt>
                <c:pt idx="10">
                  <c:v>14.491244103833276</c:v>
                </c:pt>
                <c:pt idx="11">
                  <c:v>15.843627558218317</c:v>
                </c:pt>
                <c:pt idx="12">
                  <c:v>17.220960724658582</c:v>
                </c:pt>
                <c:pt idx="13">
                  <c:v>18.540824000560736</c:v>
                </c:pt>
                <c:pt idx="14">
                  <c:v>19.813535359435608</c:v>
                </c:pt>
                <c:pt idx="15">
                  <c:v>20.98749594622219</c:v>
                </c:pt>
                <c:pt idx="16">
                  <c:v>22.33572825273891</c:v>
                </c:pt>
                <c:pt idx="17">
                  <c:v>23.774281779269007</c:v>
                </c:pt>
                <c:pt idx="18">
                  <c:v>25.101224018973692</c:v>
                </c:pt>
                <c:pt idx="19">
                  <c:v>26.370840569875579</c:v>
                </c:pt>
                <c:pt idx="20">
                  <c:v>27.515819605357251</c:v>
                </c:pt>
                <c:pt idx="21">
                  <c:v>28.74103217926427</c:v>
                </c:pt>
                <c:pt idx="22">
                  <c:v>30.023706553393062</c:v>
                </c:pt>
                <c:pt idx="23">
                  <c:v>31.321338816136226</c:v>
                </c:pt>
                <c:pt idx="24">
                  <c:v>32.590506547705353</c:v>
                </c:pt>
                <c:pt idx="25">
                  <c:v>33.957460117133408</c:v>
                </c:pt>
                <c:pt idx="26">
                  <c:v>35.269697729354945</c:v>
                </c:pt>
                <c:pt idx="27">
                  <c:v>36.457062576081825</c:v>
                </c:pt>
                <c:pt idx="28">
                  <c:v>37.673072820600765</c:v>
                </c:pt>
                <c:pt idx="29">
                  <c:v>38.904003362342301</c:v>
                </c:pt>
                <c:pt idx="30">
                  <c:v>40.105638558748041</c:v>
                </c:pt>
                <c:pt idx="31">
                  <c:v>41.311618768052888</c:v>
                </c:pt>
                <c:pt idx="32">
                  <c:v>42.442110271562115</c:v>
                </c:pt>
                <c:pt idx="33">
                  <c:v>43.712175738462925</c:v>
                </c:pt>
                <c:pt idx="34">
                  <c:v>44.980894747362285</c:v>
                </c:pt>
                <c:pt idx="35">
                  <c:v>46.177761533846947</c:v>
                </c:pt>
                <c:pt idx="36">
                  <c:v>47.402271429597924</c:v>
                </c:pt>
                <c:pt idx="37">
                  <c:v>48.730597321432377</c:v>
                </c:pt>
                <c:pt idx="38">
                  <c:v>50.014627147900413</c:v>
                </c:pt>
                <c:pt idx="39">
                  <c:v>51.247320340888969</c:v>
                </c:pt>
                <c:pt idx="40">
                  <c:v>52.573843464504066</c:v>
                </c:pt>
                <c:pt idx="41">
                  <c:v>53.82477366968422</c:v>
                </c:pt>
                <c:pt idx="42">
                  <c:v>55.046914081694112</c:v>
                </c:pt>
                <c:pt idx="43">
                  <c:v>56.24898334669053</c:v>
                </c:pt>
                <c:pt idx="44">
                  <c:v>57.275973009416354</c:v>
                </c:pt>
                <c:pt idx="45">
                  <c:v>58.285865904096134</c:v>
                </c:pt>
                <c:pt idx="46">
                  <c:v>59.430625235553038</c:v>
                </c:pt>
                <c:pt idx="47">
                  <c:v>60.580446657135447</c:v>
                </c:pt>
                <c:pt idx="48">
                  <c:v>61.776880528493841</c:v>
                </c:pt>
                <c:pt idx="49">
                  <c:v>62.940268234501829</c:v>
                </c:pt>
                <c:pt idx="50">
                  <c:v>64.044201982733128</c:v>
                </c:pt>
                <c:pt idx="51">
                  <c:v>65.160121321683036</c:v>
                </c:pt>
                <c:pt idx="52">
                  <c:v>66.410081222639263</c:v>
                </c:pt>
                <c:pt idx="53">
                  <c:v>67.622160608754612</c:v>
                </c:pt>
                <c:pt idx="54">
                  <c:v>68.76818417144122</c:v>
                </c:pt>
                <c:pt idx="55">
                  <c:v>69.962022569976796</c:v>
                </c:pt>
                <c:pt idx="56">
                  <c:v>71.086671180260041</c:v>
                </c:pt>
                <c:pt idx="57">
                  <c:v>72.222604986195734</c:v>
                </c:pt>
                <c:pt idx="58">
                  <c:v>73.406526106642119</c:v>
                </c:pt>
                <c:pt idx="59">
                  <c:v>74.529092503071908</c:v>
                </c:pt>
                <c:pt idx="60">
                  <c:v>75.589897343508667</c:v>
                </c:pt>
                <c:pt idx="61">
                  <c:v>76.589938369449939</c:v>
                </c:pt>
                <c:pt idx="62">
                  <c:v>77.618898264114065</c:v>
                </c:pt>
                <c:pt idx="63">
                  <c:v>78.634507068951436</c:v>
                </c:pt>
                <c:pt idx="64">
                  <c:v>79.636098100374895</c:v>
                </c:pt>
                <c:pt idx="65">
                  <c:v>80.509493734179188</c:v>
                </c:pt>
                <c:pt idx="66">
                  <c:v>81.432102749528596</c:v>
                </c:pt>
                <c:pt idx="67">
                  <c:v>82.376221384457253</c:v>
                </c:pt>
                <c:pt idx="68">
                  <c:v>83.301041027428781</c:v>
                </c:pt>
                <c:pt idx="69">
                  <c:v>84.263197759036217</c:v>
                </c:pt>
                <c:pt idx="70">
                  <c:v>85.17042591347635</c:v>
                </c:pt>
                <c:pt idx="71">
                  <c:v>86.053097897756871</c:v>
                </c:pt>
                <c:pt idx="72">
                  <c:v>86.980870246575435</c:v>
                </c:pt>
                <c:pt idx="73">
                  <c:v>87.811223115145154</c:v>
                </c:pt>
                <c:pt idx="74">
                  <c:v>88.646059767297075</c:v>
                </c:pt>
                <c:pt idx="75">
                  <c:v>89.504953681490974</c:v>
                </c:pt>
                <c:pt idx="76">
                  <c:v>90.363144144783959</c:v>
                </c:pt>
                <c:pt idx="77">
                  <c:v>91.213271292572443</c:v>
                </c:pt>
                <c:pt idx="78">
                  <c:v>92.154404469900953</c:v>
                </c:pt>
                <c:pt idx="79">
                  <c:v>93.072235258646671</c:v>
                </c:pt>
                <c:pt idx="80">
                  <c:v>93.979099195033697</c:v>
                </c:pt>
                <c:pt idx="81">
                  <c:v>94.877249666514444</c:v>
                </c:pt>
                <c:pt idx="82">
                  <c:v>95.701419673105889</c:v>
                </c:pt>
                <c:pt idx="83">
                  <c:v>96.517391782722257</c:v>
                </c:pt>
                <c:pt idx="84">
                  <c:v>97.454057950431448</c:v>
                </c:pt>
                <c:pt idx="85">
                  <c:v>98.390318691136912</c:v>
                </c:pt>
                <c:pt idx="86">
                  <c:v>99.412982144168168</c:v>
                </c:pt>
                <c:pt idx="87">
                  <c:v>100.31366853765981</c:v>
                </c:pt>
                <c:pt idx="88">
                  <c:v>101.18351291729614</c:v>
                </c:pt>
                <c:pt idx="89">
                  <c:v>101.96258025129666</c:v>
                </c:pt>
                <c:pt idx="90">
                  <c:v>102.83171548401025</c:v>
                </c:pt>
                <c:pt idx="91">
                  <c:v>103.70974150893589</c:v>
                </c:pt>
                <c:pt idx="92">
                  <c:v>104.59528028909097</c:v>
                </c:pt>
                <c:pt idx="93">
                  <c:v>105.51127747437592</c:v>
                </c:pt>
                <c:pt idx="94">
                  <c:v>106.42301634115177</c:v>
                </c:pt>
                <c:pt idx="95">
                  <c:v>107.28424706373168</c:v>
                </c:pt>
                <c:pt idx="96">
                  <c:v>108.05884558261532</c:v>
                </c:pt>
                <c:pt idx="97">
                  <c:v>108.83740221581735</c:v>
                </c:pt>
                <c:pt idx="98">
                  <c:v>109.72659818449561</c:v>
                </c:pt>
                <c:pt idx="99">
                  <c:v>110.54433585649886</c:v>
                </c:pt>
                <c:pt idx="100">
                  <c:v>111.33121052439687</c:v>
                </c:pt>
                <c:pt idx="101">
                  <c:v>112.09010619607869</c:v>
                </c:pt>
                <c:pt idx="102">
                  <c:v>112.85397576102199</c:v>
                </c:pt>
                <c:pt idx="103">
                  <c:v>113.60827156195207</c:v>
                </c:pt>
                <c:pt idx="104">
                  <c:v>114.34832340335649</c:v>
                </c:pt>
                <c:pt idx="105">
                  <c:v>115.11097716909883</c:v>
                </c:pt>
                <c:pt idx="106">
                  <c:v>115.82792452404342</c:v>
                </c:pt>
                <c:pt idx="107">
                  <c:v>116.59155676186128</c:v>
                </c:pt>
                <c:pt idx="108">
                  <c:v>117.33705731106957</c:v>
                </c:pt>
                <c:pt idx="109">
                  <c:v>118.14589924271856</c:v>
                </c:pt>
                <c:pt idx="110">
                  <c:v>118.9322599250296</c:v>
                </c:pt>
                <c:pt idx="111">
                  <c:v>119.76226852605919</c:v>
                </c:pt>
                <c:pt idx="112">
                  <c:v>120.50232036746361</c:v>
                </c:pt>
                <c:pt idx="113">
                  <c:v>121.21426701715339</c:v>
                </c:pt>
                <c:pt idx="114">
                  <c:v>121.93246809698915</c:v>
                </c:pt>
                <c:pt idx="115">
                  <c:v>122.63509954689411</c:v>
                </c:pt>
                <c:pt idx="116">
                  <c:v>123.36306519408825</c:v>
                </c:pt>
                <c:pt idx="117">
                  <c:v>124.07003382530799</c:v>
                </c:pt>
                <c:pt idx="118">
                  <c:v>124.76396618547687</c:v>
                </c:pt>
                <c:pt idx="119">
                  <c:v>125.52961721898589</c:v>
                </c:pt>
                <c:pt idx="120">
                  <c:v>126.29526825249491</c:v>
                </c:pt>
                <c:pt idx="121">
                  <c:v>127.11971865747651</c:v>
                </c:pt>
                <c:pt idx="122">
                  <c:v>127.88426486548309</c:v>
                </c:pt>
                <c:pt idx="123">
                  <c:v>128.66036114303256</c:v>
                </c:pt>
                <c:pt idx="124">
                  <c:v>129.47735512259766</c:v>
                </c:pt>
                <c:pt idx="125">
                  <c:v>130.32190159693056</c:v>
                </c:pt>
                <c:pt idx="126">
                  <c:v>131.18290806672815</c:v>
                </c:pt>
                <c:pt idx="127">
                  <c:v>131.99378310255696</c:v>
                </c:pt>
                <c:pt idx="128">
                  <c:v>132.80262503420593</c:v>
                </c:pt>
                <c:pt idx="129">
                  <c:v>133.57378577123839</c:v>
                </c:pt>
                <c:pt idx="130">
                  <c:v>134.33188402038851</c:v>
                </c:pt>
                <c:pt idx="131">
                  <c:v>135.13532032057216</c:v>
                </c:pt>
                <c:pt idx="132">
                  <c:v>135.91108693146842</c:v>
                </c:pt>
                <c:pt idx="133">
                  <c:v>136.69081549215846</c:v>
                </c:pt>
                <c:pt idx="134">
                  <c:v>137.40432242367015</c:v>
                </c:pt>
                <c:pt idx="135">
                  <c:v>138.16144677939081</c:v>
                </c:pt>
                <c:pt idx="136">
                  <c:v>139.04878030488268</c:v>
                </c:pt>
                <c:pt idx="137">
                  <c:v>139.95852740568549</c:v>
                </c:pt>
                <c:pt idx="138">
                  <c:v>140.82589138033782</c:v>
                </c:pt>
                <c:pt idx="139">
                  <c:v>141.69999836923827</c:v>
                </c:pt>
                <c:pt idx="140">
                  <c:v>142.53933423968016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15.523098260044685</c:v>
                </c:pt>
                <c:pt idx="2">
                  <c:v>29.122485925271313</c:v>
                </c:pt>
                <c:pt idx="3">
                  <c:v>41.312207815666724</c:v>
                </c:pt>
                <c:pt idx="4">
                  <c:v>52.37526524561919</c:v>
                </c:pt>
                <c:pt idx="5">
                  <c:v>62.426555806417873</c:v>
                </c:pt>
                <c:pt idx="6">
                  <c:v>71.478797494318997</c:v>
                </c:pt>
                <c:pt idx="7">
                  <c:v>80.138946248955321</c:v>
                </c:pt>
                <c:pt idx="8">
                  <c:v>88.203353129152163</c:v>
                </c:pt>
                <c:pt idx="9">
                  <c:v>95.381924656130678</c:v>
                </c:pt>
                <c:pt idx="10">
                  <c:v>101.01052553979696</c:v>
                </c:pt>
                <c:pt idx="11">
                  <c:v>106.22321602622219</c:v>
                </c:pt>
                <c:pt idx="12">
                  <c:v>110.92447717568265</c:v>
                </c:pt>
                <c:pt idx="13">
                  <c:v>114.91698595257358</c:v>
                </c:pt>
                <c:pt idx="14">
                  <c:v>118.34294898012141</c:v>
                </c:pt>
                <c:pt idx="15">
                  <c:v>121.17214508432542</c:v>
                </c:pt>
                <c:pt idx="16">
                  <c:v>124.07041222164257</c:v>
                </c:pt>
                <c:pt idx="17">
                  <c:v>126.79428338943617</c:v>
                </c:pt>
                <c:pt idx="18">
                  <c:v>129.00789545258354</c:v>
                </c:pt>
                <c:pt idx="19">
                  <c:v>130.88757912557475</c:v>
                </c:pt>
                <c:pt idx="20">
                  <c:v>132.40395853276814</c:v>
                </c:pt>
                <c:pt idx="21">
                  <c:v>133.85817068883512</c:v>
                </c:pt>
                <c:pt idx="22">
                  <c:v>135.21337943698725</c:v>
                </c:pt>
                <c:pt idx="23">
                  <c:v>136.42922251436039</c:v>
                </c:pt>
                <c:pt idx="24">
                  <c:v>137.48405755091991</c:v>
                </c:pt>
                <c:pt idx="25">
                  <c:v>138.48834660850937</c:v>
                </c:pt>
                <c:pt idx="26">
                  <c:v>139.33846888596602</c:v>
                </c:pt>
                <c:pt idx="27">
                  <c:v>140.02228903470683</c:v>
                </c:pt>
                <c:pt idx="28">
                  <c:v>140.64764150341162</c:v>
                </c:pt>
                <c:pt idx="29">
                  <c:v>141.21165072605217</c:v>
                </c:pt>
                <c:pt idx="30">
                  <c:v>141.70246619336578</c:v>
                </c:pt>
                <c:pt idx="31">
                  <c:v>142.14208512376845</c:v>
                </c:pt>
                <c:pt idx="32">
                  <c:v>142.51108035535393</c:v>
                </c:pt>
                <c:pt idx="33">
                  <c:v>142.88123894137792</c:v>
                </c:pt>
                <c:pt idx="34">
                  <c:v>143.20926194812495</c:v>
                </c:pt>
                <c:pt idx="35">
                  <c:v>143.48476747574605</c:v>
                </c:pt>
                <c:pt idx="36">
                  <c:v>143.73634498556555</c:v>
                </c:pt>
                <c:pt idx="37">
                  <c:v>143.97855224146338</c:v>
                </c:pt>
                <c:pt idx="38">
                  <c:v>144.18586722846743</c:v>
                </c:pt>
                <c:pt idx="39">
                  <c:v>144.3630183063226</c:v>
                </c:pt>
                <c:pt idx="40">
                  <c:v>144.53255087401999</c:v>
                </c:pt>
                <c:pt idx="41">
                  <c:v>144.67474828450759</c:v>
                </c:pt>
                <c:pt idx="42">
                  <c:v>144.799070271657</c:v>
                </c:pt>
                <c:pt idx="43">
                  <c:v>144.90889876301219</c:v>
                </c:pt>
                <c:pt idx="44">
                  <c:v>144.99402210789609</c:v>
                </c:pt>
                <c:pt idx="45">
                  <c:v>145.07071586288347</c:v>
                </c:pt>
                <c:pt idx="46">
                  <c:v>145.15010477913484</c:v>
                </c:pt>
                <c:pt idx="47">
                  <c:v>145.22263434505351</c:v>
                </c:pt>
                <c:pt idx="48">
                  <c:v>145.29130136346441</c:v>
                </c:pt>
                <c:pt idx="49">
                  <c:v>145.35218110859697</c:v>
                </c:pt>
                <c:pt idx="50">
                  <c:v>145.40519171576031</c:v>
                </c:pt>
                <c:pt idx="51">
                  <c:v>145.45459779115478</c:v>
                </c:pt>
                <c:pt idx="52">
                  <c:v>145.50552530022486</c:v>
                </c:pt>
                <c:pt idx="53">
                  <c:v>145.55099045061036</c:v>
                </c:pt>
                <c:pt idx="54">
                  <c:v>145.59086209669249</c:v>
                </c:pt>
                <c:pt idx="55">
                  <c:v>145.62956696330778</c:v>
                </c:pt>
                <c:pt idx="56">
                  <c:v>145.66370208829562</c:v>
                </c:pt>
                <c:pt idx="57">
                  <c:v>145.6961636000556</c:v>
                </c:pt>
                <c:pt idx="58">
                  <c:v>145.72810016003945</c:v>
                </c:pt>
                <c:pt idx="59">
                  <c:v>145.75681148644071</c:v>
                </c:pt>
                <c:pt idx="60">
                  <c:v>145.78270753212678</c:v>
                </c:pt>
                <c:pt idx="61">
                  <c:v>145.80614722613586</c:v>
                </c:pt>
                <c:pt idx="62">
                  <c:v>145.82939009416896</c:v>
                </c:pt>
                <c:pt idx="63">
                  <c:v>145.8515587698511</c:v>
                </c:pt>
                <c:pt idx="64">
                  <c:v>145.87275448769952</c:v>
                </c:pt>
                <c:pt idx="65">
                  <c:v>145.89075518563743</c:v>
                </c:pt>
                <c:pt idx="66">
                  <c:v>145.90933374762358</c:v>
                </c:pt>
                <c:pt idx="67">
                  <c:v>145.92792943351492</c:v>
                </c:pt>
                <c:pt idx="68">
                  <c:v>145.94578031798412</c:v>
                </c:pt>
                <c:pt idx="69">
                  <c:v>145.96401017281732</c:v>
                </c:pt>
                <c:pt idx="70">
                  <c:v>145.98091423896173</c:v>
                </c:pt>
                <c:pt idx="71">
                  <c:v>145.99712324504284</c:v>
                </c:pt>
                <c:pt idx="72">
                  <c:v>146.0139342508335</c:v>
                </c:pt>
                <c:pt idx="73">
                  <c:v>146.02880333942926</c:v>
                </c:pt>
                <c:pt idx="74">
                  <c:v>146.04360112459327</c:v>
                </c:pt>
                <c:pt idx="75">
                  <c:v>146.05868188851807</c:v>
                </c:pt>
                <c:pt idx="76">
                  <c:v>146.07361891674179</c:v>
                </c:pt>
                <c:pt idx="77">
                  <c:v>146.08829842434034</c:v>
                </c:pt>
                <c:pt idx="78">
                  <c:v>146.10442642128487</c:v>
                </c:pt>
                <c:pt idx="79">
                  <c:v>146.12004257256203</c:v>
                </c:pt>
                <c:pt idx="80">
                  <c:v>146.13537335313248</c:v>
                </c:pt>
                <c:pt idx="81">
                  <c:v>146.1504687449532</c:v>
                </c:pt>
                <c:pt idx="82">
                  <c:v>146.16424999883634</c:v>
                </c:pt>
                <c:pt idx="83">
                  <c:v>146.17783253972598</c:v>
                </c:pt>
                <c:pt idx="84">
                  <c:v>146.19335396195498</c:v>
                </c:pt>
                <c:pt idx="85">
                  <c:v>146.20879888043794</c:v>
                </c:pt>
                <c:pt idx="86">
                  <c:v>146.22559473876078</c:v>
                </c:pt>
                <c:pt idx="87">
                  <c:v>146.24032670995771</c:v>
                </c:pt>
                <c:pt idx="88">
                  <c:v>146.25450300532685</c:v>
                </c:pt>
                <c:pt idx="89">
                  <c:v>146.26715875904625</c:v>
                </c:pt>
                <c:pt idx="90">
                  <c:v>146.28123321223782</c:v>
                </c:pt>
                <c:pt idx="91">
                  <c:v>146.29540520846848</c:v>
                </c:pt>
                <c:pt idx="92">
                  <c:v>146.30965207662229</c:v>
                </c:pt>
                <c:pt idx="93">
                  <c:v>146.3243405582443</c:v>
                </c:pt>
                <c:pt idx="94">
                  <c:v>146.33891217747015</c:v>
                </c:pt>
                <c:pt idx="95">
                  <c:v>146.35263208738868</c:v>
                </c:pt>
                <c:pt idx="96">
                  <c:v>146.36493485035038</c:v>
                </c:pt>
                <c:pt idx="97">
                  <c:v>146.37726487728577</c:v>
                </c:pt>
                <c:pt idx="98">
                  <c:v>146.39130299778896</c:v>
                </c:pt>
                <c:pt idx="99">
                  <c:v>146.40417092532613</c:v>
                </c:pt>
                <c:pt idx="100">
                  <c:v>146.41651458049645</c:v>
                </c:pt>
                <c:pt idx="101">
                  <c:v>146.42838288564798</c:v>
                </c:pt>
                <c:pt idx="102">
                  <c:v>146.4402922324069</c:v>
                </c:pt>
                <c:pt idx="103">
                  <c:v>146.45201551081857</c:v>
                </c:pt>
                <c:pt idx="104">
                  <c:v>146.46348122746411</c:v>
                </c:pt>
                <c:pt idx="105">
                  <c:v>146.47525893373341</c:v>
                </c:pt>
                <c:pt idx="106">
                  <c:v>146.48629480039102</c:v>
                </c:pt>
                <c:pt idx="107">
                  <c:v>146.49801020261569</c:v>
                </c:pt>
                <c:pt idx="108">
                  <c:v>146.50940782794225</c:v>
                </c:pt>
                <c:pt idx="109">
                  <c:v>146.52172874347804</c:v>
                </c:pt>
                <c:pt idx="110">
                  <c:v>146.53366133757589</c:v>
                </c:pt>
                <c:pt idx="111">
                  <c:v>146.54620624847735</c:v>
                </c:pt>
                <c:pt idx="112">
                  <c:v>146.55734741160924</c:v>
                </c:pt>
                <c:pt idx="113">
                  <c:v>146.5680255160037</c:v>
                </c:pt>
                <c:pt idx="114">
                  <c:v>146.57875708799617</c:v>
                </c:pt>
                <c:pt idx="115">
                  <c:v>146.58921619420704</c:v>
                </c:pt>
                <c:pt idx="116">
                  <c:v>146.60001024163023</c:v>
                </c:pt>
                <c:pt idx="117">
                  <c:v>146.61045126408666</c:v>
                </c:pt>
                <c:pt idx="118">
                  <c:v>146.62065924059132</c:v>
                </c:pt>
                <c:pt idx="119">
                  <c:v>146.63187499391037</c:v>
                </c:pt>
                <c:pt idx="120">
                  <c:v>146.64304051091514</c:v>
                </c:pt>
                <c:pt idx="121">
                  <c:v>146.65500653717362</c:v>
                </c:pt>
                <c:pt idx="122">
                  <c:v>146.66604961498805</c:v>
                </c:pt>
                <c:pt idx="123">
                  <c:v>146.67720617905957</c:v>
                </c:pt>
                <c:pt idx="124">
                  <c:v>146.68889187322577</c:v>
                </c:pt>
                <c:pt idx="125">
                  <c:v>146.70090750794392</c:v>
                </c:pt>
                <c:pt idx="126">
                  <c:v>146.71308938560765</c:v>
                </c:pt>
                <c:pt idx="127">
                  <c:v>146.72449855140354</c:v>
                </c:pt>
                <c:pt idx="128">
                  <c:v>146.7358171639238</c:v>
                </c:pt>
                <c:pt idx="129">
                  <c:v>146.74655031185688</c:v>
                </c:pt>
                <c:pt idx="130">
                  <c:v>146.75704581281914</c:v>
                </c:pt>
                <c:pt idx="131">
                  <c:v>146.76810805926769</c:v>
                </c:pt>
                <c:pt idx="132">
                  <c:v>146.77872935329162</c:v>
                </c:pt>
                <c:pt idx="133">
                  <c:v>146.78934506456622</c:v>
                </c:pt>
                <c:pt idx="134">
                  <c:v>146.79900627976158</c:v>
                </c:pt>
                <c:pt idx="135">
                  <c:v>146.80920244562017</c:v>
                </c:pt>
                <c:pt idx="136">
                  <c:v>146.82107875090523</c:v>
                </c:pt>
                <c:pt idx="137">
                  <c:v>146.83317231159842</c:v>
                </c:pt>
                <c:pt idx="138">
                  <c:v>146.84462398703081</c:v>
                </c:pt>
                <c:pt idx="139">
                  <c:v>146.85608676738406</c:v>
                </c:pt>
                <c:pt idx="140">
                  <c:v>146.86701959272642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45509</c:v>
                </c:pt>
                <c:pt idx="1">
                  <c:v>45510</c:v>
                </c:pt>
                <c:pt idx="2">
                  <c:v>45511</c:v>
                </c:pt>
                <c:pt idx="3">
                  <c:v>45512</c:v>
                </c:pt>
                <c:pt idx="4">
                  <c:v>45513</c:v>
                </c:pt>
                <c:pt idx="5">
                  <c:v>45514</c:v>
                </c:pt>
                <c:pt idx="6">
                  <c:v>45515</c:v>
                </c:pt>
                <c:pt idx="7">
                  <c:v>45516</c:v>
                </c:pt>
                <c:pt idx="8">
                  <c:v>45517</c:v>
                </c:pt>
                <c:pt idx="9">
                  <c:v>45518</c:v>
                </c:pt>
                <c:pt idx="10">
                  <c:v>45519</c:v>
                </c:pt>
                <c:pt idx="11">
                  <c:v>45520</c:v>
                </c:pt>
                <c:pt idx="12">
                  <c:v>45521</c:v>
                </c:pt>
                <c:pt idx="13">
                  <c:v>45522</c:v>
                </c:pt>
                <c:pt idx="14">
                  <c:v>45523</c:v>
                </c:pt>
                <c:pt idx="15">
                  <c:v>45524</c:v>
                </c:pt>
                <c:pt idx="16">
                  <c:v>45525</c:v>
                </c:pt>
                <c:pt idx="17">
                  <c:v>45526</c:v>
                </c:pt>
                <c:pt idx="18">
                  <c:v>45527</c:v>
                </c:pt>
                <c:pt idx="19">
                  <c:v>45528</c:v>
                </c:pt>
                <c:pt idx="20">
                  <c:v>45529</c:v>
                </c:pt>
                <c:pt idx="21">
                  <c:v>45530</c:v>
                </c:pt>
                <c:pt idx="22">
                  <c:v>45531</c:v>
                </c:pt>
                <c:pt idx="23">
                  <c:v>45532</c:v>
                </c:pt>
                <c:pt idx="24">
                  <c:v>45533</c:v>
                </c:pt>
                <c:pt idx="25">
                  <c:v>45534</c:v>
                </c:pt>
                <c:pt idx="26">
                  <c:v>45535</c:v>
                </c:pt>
                <c:pt idx="27">
                  <c:v>45536</c:v>
                </c:pt>
                <c:pt idx="28">
                  <c:v>45537</c:v>
                </c:pt>
                <c:pt idx="29">
                  <c:v>45538</c:v>
                </c:pt>
                <c:pt idx="30">
                  <c:v>45539</c:v>
                </c:pt>
                <c:pt idx="31">
                  <c:v>45540</c:v>
                </c:pt>
                <c:pt idx="32">
                  <c:v>45541</c:v>
                </c:pt>
                <c:pt idx="33">
                  <c:v>45542</c:v>
                </c:pt>
                <c:pt idx="34">
                  <c:v>45543</c:v>
                </c:pt>
                <c:pt idx="35">
                  <c:v>45544</c:v>
                </c:pt>
                <c:pt idx="36">
                  <c:v>45545</c:v>
                </c:pt>
                <c:pt idx="37">
                  <c:v>45546</c:v>
                </c:pt>
                <c:pt idx="38">
                  <c:v>45547</c:v>
                </c:pt>
                <c:pt idx="39">
                  <c:v>45548</c:v>
                </c:pt>
                <c:pt idx="40">
                  <c:v>45549</c:v>
                </c:pt>
                <c:pt idx="41">
                  <c:v>45550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45556</c:v>
                </c:pt>
                <c:pt idx="48">
                  <c:v>45557</c:v>
                </c:pt>
                <c:pt idx="49">
                  <c:v>45558</c:v>
                </c:pt>
                <c:pt idx="50">
                  <c:v>45559</c:v>
                </c:pt>
                <c:pt idx="51">
                  <c:v>45560</c:v>
                </c:pt>
                <c:pt idx="52">
                  <c:v>45561</c:v>
                </c:pt>
                <c:pt idx="53">
                  <c:v>45562</c:v>
                </c:pt>
                <c:pt idx="54">
                  <c:v>45563</c:v>
                </c:pt>
                <c:pt idx="55">
                  <c:v>45564</c:v>
                </c:pt>
                <c:pt idx="56">
                  <c:v>45565</c:v>
                </c:pt>
                <c:pt idx="57">
                  <c:v>45566</c:v>
                </c:pt>
                <c:pt idx="58">
                  <c:v>45567</c:v>
                </c:pt>
                <c:pt idx="59">
                  <c:v>45568</c:v>
                </c:pt>
                <c:pt idx="60">
                  <c:v>45569</c:v>
                </c:pt>
                <c:pt idx="61">
                  <c:v>45570</c:v>
                </c:pt>
                <c:pt idx="62">
                  <c:v>45571</c:v>
                </c:pt>
                <c:pt idx="63">
                  <c:v>45572</c:v>
                </c:pt>
                <c:pt idx="64">
                  <c:v>45573</c:v>
                </c:pt>
                <c:pt idx="65">
                  <c:v>45574</c:v>
                </c:pt>
                <c:pt idx="66">
                  <c:v>45575</c:v>
                </c:pt>
                <c:pt idx="67">
                  <c:v>45576</c:v>
                </c:pt>
                <c:pt idx="68">
                  <c:v>45577</c:v>
                </c:pt>
                <c:pt idx="69">
                  <c:v>45578</c:v>
                </c:pt>
                <c:pt idx="70">
                  <c:v>45579</c:v>
                </c:pt>
                <c:pt idx="71">
                  <c:v>45580</c:v>
                </c:pt>
                <c:pt idx="72">
                  <c:v>45581</c:v>
                </c:pt>
                <c:pt idx="73">
                  <c:v>45582</c:v>
                </c:pt>
                <c:pt idx="74">
                  <c:v>45583</c:v>
                </c:pt>
                <c:pt idx="75">
                  <c:v>45584</c:v>
                </c:pt>
                <c:pt idx="76">
                  <c:v>45585</c:v>
                </c:pt>
                <c:pt idx="77">
                  <c:v>45586</c:v>
                </c:pt>
                <c:pt idx="78">
                  <c:v>45587</c:v>
                </c:pt>
                <c:pt idx="79">
                  <c:v>45588</c:v>
                </c:pt>
                <c:pt idx="80">
                  <c:v>45589</c:v>
                </c:pt>
                <c:pt idx="81">
                  <c:v>45590</c:v>
                </c:pt>
                <c:pt idx="82">
                  <c:v>45591</c:v>
                </c:pt>
                <c:pt idx="83">
                  <c:v>45592</c:v>
                </c:pt>
                <c:pt idx="84">
                  <c:v>45593</c:v>
                </c:pt>
                <c:pt idx="85">
                  <c:v>45594</c:v>
                </c:pt>
                <c:pt idx="86">
                  <c:v>45595</c:v>
                </c:pt>
                <c:pt idx="87">
                  <c:v>45596</c:v>
                </c:pt>
                <c:pt idx="88">
                  <c:v>45597</c:v>
                </c:pt>
                <c:pt idx="89">
                  <c:v>45598</c:v>
                </c:pt>
                <c:pt idx="90">
                  <c:v>45599</c:v>
                </c:pt>
                <c:pt idx="91">
                  <c:v>45600</c:v>
                </c:pt>
                <c:pt idx="92">
                  <c:v>45601</c:v>
                </c:pt>
                <c:pt idx="93">
                  <c:v>45602</c:v>
                </c:pt>
                <c:pt idx="94">
                  <c:v>45603</c:v>
                </c:pt>
                <c:pt idx="95">
                  <c:v>45604</c:v>
                </c:pt>
                <c:pt idx="96">
                  <c:v>45605</c:v>
                </c:pt>
                <c:pt idx="97">
                  <c:v>45606</c:v>
                </c:pt>
                <c:pt idx="98">
                  <c:v>45607</c:v>
                </c:pt>
                <c:pt idx="99">
                  <c:v>45608</c:v>
                </c:pt>
                <c:pt idx="100">
                  <c:v>45609</c:v>
                </c:pt>
                <c:pt idx="101">
                  <c:v>45610</c:v>
                </c:pt>
                <c:pt idx="102">
                  <c:v>45611</c:v>
                </c:pt>
                <c:pt idx="103">
                  <c:v>45612</c:v>
                </c:pt>
                <c:pt idx="104">
                  <c:v>45613</c:v>
                </c:pt>
                <c:pt idx="105">
                  <c:v>45614</c:v>
                </c:pt>
                <c:pt idx="106">
                  <c:v>45615</c:v>
                </c:pt>
                <c:pt idx="107">
                  <c:v>45616</c:v>
                </c:pt>
                <c:pt idx="108">
                  <c:v>45617</c:v>
                </c:pt>
                <c:pt idx="109">
                  <c:v>45618</c:v>
                </c:pt>
                <c:pt idx="110">
                  <c:v>45619</c:v>
                </c:pt>
                <c:pt idx="111">
                  <c:v>45620</c:v>
                </c:pt>
                <c:pt idx="112">
                  <c:v>45621</c:v>
                </c:pt>
                <c:pt idx="113">
                  <c:v>45622</c:v>
                </c:pt>
                <c:pt idx="114">
                  <c:v>45623</c:v>
                </c:pt>
                <c:pt idx="115">
                  <c:v>45624</c:v>
                </c:pt>
                <c:pt idx="116">
                  <c:v>45625</c:v>
                </c:pt>
                <c:pt idx="117">
                  <c:v>45626</c:v>
                </c:pt>
                <c:pt idx="118">
                  <c:v>45627</c:v>
                </c:pt>
                <c:pt idx="119">
                  <c:v>45628</c:v>
                </c:pt>
                <c:pt idx="120">
                  <c:v>45629</c:v>
                </c:pt>
                <c:pt idx="121">
                  <c:v>45630</c:v>
                </c:pt>
                <c:pt idx="122">
                  <c:v>45631</c:v>
                </c:pt>
                <c:pt idx="123">
                  <c:v>45632</c:v>
                </c:pt>
                <c:pt idx="124">
                  <c:v>45633</c:v>
                </c:pt>
                <c:pt idx="125">
                  <c:v>45634</c:v>
                </c:pt>
                <c:pt idx="126">
                  <c:v>45635</c:v>
                </c:pt>
                <c:pt idx="127">
                  <c:v>45636</c:v>
                </c:pt>
                <c:pt idx="128">
                  <c:v>45637</c:v>
                </c:pt>
                <c:pt idx="129">
                  <c:v>45638</c:v>
                </c:pt>
                <c:pt idx="130">
                  <c:v>45639</c:v>
                </c:pt>
                <c:pt idx="131">
                  <c:v>45640</c:v>
                </c:pt>
                <c:pt idx="132">
                  <c:v>45641</c:v>
                </c:pt>
                <c:pt idx="133">
                  <c:v>45642</c:v>
                </c:pt>
                <c:pt idx="134">
                  <c:v>45643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45509</c:v>
                </c:pt>
                <c:pt idx="1">
                  <c:v>45510</c:v>
                </c:pt>
                <c:pt idx="2">
                  <c:v>45511</c:v>
                </c:pt>
                <c:pt idx="3">
                  <c:v>45512</c:v>
                </c:pt>
                <c:pt idx="4">
                  <c:v>45513</c:v>
                </c:pt>
                <c:pt idx="5">
                  <c:v>45514</c:v>
                </c:pt>
                <c:pt idx="6">
                  <c:v>45515</c:v>
                </c:pt>
                <c:pt idx="7">
                  <c:v>45516</c:v>
                </c:pt>
                <c:pt idx="8">
                  <c:v>45517</c:v>
                </c:pt>
                <c:pt idx="9">
                  <c:v>45518</c:v>
                </c:pt>
                <c:pt idx="10">
                  <c:v>45519</c:v>
                </c:pt>
                <c:pt idx="11">
                  <c:v>45520</c:v>
                </c:pt>
                <c:pt idx="12">
                  <c:v>45521</c:v>
                </c:pt>
                <c:pt idx="13">
                  <c:v>45522</c:v>
                </c:pt>
                <c:pt idx="14">
                  <c:v>45523</c:v>
                </c:pt>
                <c:pt idx="15">
                  <c:v>45524</c:v>
                </c:pt>
                <c:pt idx="16">
                  <c:v>45525</c:v>
                </c:pt>
                <c:pt idx="17">
                  <c:v>45526</c:v>
                </c:pt>
                <c:pt idx="18">
                  <c:v>45527</c:v>
                </c:pt>
                <c:pt idx="19">
                  <c:v>45528</c:v>
                </c:pt>
                <c:pt idx="20">
                  <c:v>45529</c:v>
                </c:pt>
                <c:pt idx="21">
                  <c:v>45530</c:v>
                </c:pt>
                <c:pt idx="22">
                  <c:v>45531</c:v>
                </c:pt>
                <c:pt idx="23">
                  <c:v>45532</c:v>
                </c:pt>
                <c:pt idx="24">
                  <c:v>45533</c:v>
                </c:pt>
                <c:pt idx="25">
                  <c:v>45534</c:v>
                </c:pt>
                <c:pt idx="26">
                  <c:v>45535</c:v>
                </c:pt>
                <c:pt idx="27">
                  <c:v>45536</c:v>
                </c:pt>
                <c:pt idx="28">
                  <c:v>45537</c:v>
                </c:pt>
                <c:pt idx="29">
                  <c:v>45538</c:v>
                </c:pt>
                <c:pt idx="30">
                  <c:v>45539</c:v>
                </c:pt>
                <c:pt idx="31">
                  <c:v>45540</c:v>
                </c:pt>
                <c:pt idx="32">
                  <c:v>45541</c:v>
                </c:pt>
                <c:pt idx="33">
                  <c:v>45542</c:v>
                </c:pt>
                <c:pt idx="34">
                  <c:v>45543</c:v>
                </c:pt>
                <c:pt idx="35">
                  <c:v>45544</c:v>
                </c:pt>
                <c:pt idx="36">
                  <c:v>45545</c:v>
                </c:pt>
                <c:pt idx="37">
                  <c:v>45546</c:v>
                </c:pt>
                <c:pt idx="38">
                  <c:v>45547</c:v>
                </c:pt>
                <c:pt idx="39">
                  <c:v>45548</c:v>
                </c:pt>
                <c:pt idx="40">
                  <c:v>45549</c:v>
                </c:pt>
                <c:pt idx="41">
                  <c:v>45550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45556</c:v>
                </c:pt>
                <c:pt idx="48">
                  <c:v>45557</c:v>
                </c:pt>
                <c:pt idx="49">
                  <c:v>45558</c:v>
                </c:pt>
                <c:pt idx="50">
                  <c:v>45559</c:v>
                </c:pt>
                <c:pt idx="51">
                  <c:v>45560</c:v>
                </c:pt>
                <c:pt idx="52">
                  <c:v>45561</c:v>
                </c:pt>
                <c:pt idx="53">
                  <c:v>45562</c:v>
                </c:pt>
                <c:pt idx="54">
                  <c:v>45563</c:v>
                </c:pt>
                <c:pt idx="55">
                  <c:v>45564</c:v>
                </c:pt>
                <c:pt idx="56">
                  <c:v>45565</c:v>
                </c:pt>
                <c:pt idx="57">
                  <c:v>45566</c:v>
                </c:pt>
                <c:pt idx="58">
                  <c:v>45567</c:v>
                </c:pt>
                <c:pt idx="59">
                  <c:v>45568</c:v>
                </c:pt>
                <c:pt idx="60">
                  <c:v>45569</c:v>
                </c:pt>
                <c:pt idx="61">
                  <c:v>45570</c:v>
                </c:pt>
                <c:pt idx="62">
                  <c:v>45571</c:v>
                </c:pt>
                <c:pt idx="63">
                  <c:v>45572</c:v>
                </c:pt>
                <c:pt idx="64">
                  <c:v>45573</c:v>
                </c:pt>
                <c:pt idx="65">
                  <c:v>45574</c:v>
                </c:pt>
                <c:pt idx="66">
                  <c:v>45575</c:v>
                </c:pt>
                <c:pt idx="67">
                  <c:v>45576</c:v>
                </c:pt>
                <c:pt idx="68">
                  <c:v>45577</c:v>
                </c:pt>
                <c:pt idx="69">
                  <c:v>45578</c:v>
                </c:pt>
                <c:pt idx="70">
                  <c:v>45579</c:v>
                </c:pt>
                <c:pt idx="71">
                  <c:v>45580</c:v>
                </c:pt>
                <c:pt idx="72">
                  <c:v>45581</c:v>
                </c:pt>
                <c:pt idx="73">
                  <c:v>45582</c:v>
                </c:pt>
                <c:pt idx="74">
                  <c:v>45583</c:v>
                </c:pt>
                <c:pt idx="75">
                  <c:v>45584</c:v>
                </c:pt>
                <c:pt idx="76">
                  <c:v>45585</c:v>
                </c:pt>
                <c:pt idx="77">
                  <c:v>45586</c:v>
                </c:pt>
                <c:pt idx="78">
                  <c:v>45587</c:v>
                </c:pt>
                <c:pt idx="79">
                  <c:v>45588</c:v>
                </c:pt>
                <c:pt idx="80">
                  <c:v>45589</c:v>
                </c:pt>
                <c:pt idx="81">
                  <c:v>45590</c:v>
                </c:pt>
                <c:pt idx="82">
                  <c:v>45591</c:v>
                </c:pt>
                <c:pt idx="83">
                  <c:v>45592</c:v>
                </c:pt>
                <c:pt idx="84">
                  <c:v>45593</c:v>
                </c:pt>
                <c:pt idx="85">
                  <c:v>45594</c:v>
                </c:pt>
                <c:pt idx="86">
                  <c:v>45595</c:v>
                </c:pt>
                <c:pt idx="87">
                  <c:v>45596</c:v>
                </c:pt>
                <c:pt idx="88">
                  <c:v>45597</c:v>
                </c:pt>
                <c:pt idx="89">
                  <c:v>45598</c:v>
                </c:pt>
                <c:pt idx="90">
                  <c:v>45599</c:v>
                </c:pt>
                <c:pt idx="91">
                  <c:v>45600</c:v>
                </c:pt>
                <c:pt idx="92">
                  <c:v>45601</c:v>
                </c:pt>
                <c:pt idx="93">
                  <c:v>45602</c:v>
                </c:pt>
                <c:pt idx="94">
                  <c:v>45603</c:v>
                </c:pt>
                <c:pt idx="95">
                  <c:v>45604</c:v>
                </c:pt>
                <c:pt idx="96">
                  <c:v>45605</c:v>
                </c:pt>
                <c:pt idx="97">
                  <c:v>45606</c:v>
                </c:pt>
                <c:pt idx="98">
                  <c:v>45607</c:v>
                </c:pt>
                <c:pt idx="99">
                  <c:v>45608</c:v>
                </c:pt>
                <c:pt idx="100">
                  <c:v>45609</c:v>
                </c:pt>
                <c:pt idx="101">
                  <c:v>45610</c:v>
                </c:pt>
                <c:pt idx="102">
                  <c:v>45611</c:v>
                </c:pt>
                <c:pt idx="103">
                  <c:v>45612</c:v>
                </c:pt>
                <c:pt idx="104">
                  <c:v>45613</c:v>
                </c:pt>
                <c:pt idx="105">
                  <c:v>45614</c:v>
                </c:pt>
                <c:pt idx="106">
                  <c:v>45615</c:v>
                </c:pt>
                <c:pt idx="107">
                  <c:v>45616</c:v>
                </c:pt>
                <c:pt idx="108">
                  <c:v>45617</c:v>
                </c:pt>
                <c:pt idx="109">
                  <c:v>45618</c:v>
                </c:pt>
                <c:pt idx="110">
                  <c:v>45619</c:v>
                </c:pt>
                <c:pt idx="111">
                  <c:v>45620</c:v>
                </c:pt>
                <c:pt idx="112">
                  <c:v>45621</c:v>
                </c:pt>
                <c:pt idx="113">
                  <c:v>45622</c:v>
                </c:pt>
                <c:pt idx="114">
                  <c:v>45623</c:v>
                </c:pt>
                <c:pt idx="115">
                  <c:v>45624</c:v>
                </c:pt>
                <c:pt idx="116">
                  <c:v>45625</c:v>
                </c:pt>
                <c:pt idx="117">
                  <c:v>45626</c:v>
                </c:pt>
                <c:pt idx="118">
                  <c:v>45627</c:v>
                </c:pt>
                <c:pt idx="119">
                  <c:v>45628</c:v>
                </c:pt>
                <c:pt idx="120">
                  <c:v>45629</c:v>
                </c:pt>
                <c:pt idx="121">
                  <c:v>45630</c:v>
                </c:pt>
                <c:pt idx="122">
                  <c:v>45631</c:v>
                </c:pt>
                <c:pt idx="123">
                  <c:v>45632</c:v>
                </c:pt>
                <c:pt idx="124">
                  <c:v>45633</c:v>
                </c:pt>
                <c:pt idx="125">
                  <c:v>45634</c:v>
                </c:pt>
                <c:pt idx="126">
                  <c:v>45635</c:v>
                </c:pt>
                <c:pt idx="127">
                  <c:v>45636</c:v>
                </c:pt>
                <c:pt idx="128">
                  <c:v>45637</c:v>
                </c:pt>
                <c:pt idx="129">
                  <c:v>45638</c:v>
                </c:pt>
                <c:pt idx="130">
                  <c:v>45639</c:v>
                </c:pt>
                <c:pt idx="131">
                  <c:v>45640</c:v>
                </c:pt>
                <c:pt idx="132">
                  <c:v>45641</c:v>
                </c:pt>
                <c:pt idx="133">
                  <c:v>45642</c:v>
                </c:pt>
                <c:pt idx="134">
                  <c:v>45643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25.825307815038183</c:v>
                </c:pt>
                <c:pt idx="1">
                  <c:v>22.881981511446391</c:v>
                </c:pt>
                <c:pt idx="2">
                  <c:v>20.106699290467247</c:v>
                </c:pt>
                <c:pt idx="3">
                  <c:v>17.761036571775435</c:v>
                </c:pt>
                <c:pt idx="4">
                  <c:v>15.801747157739902</c:v>
                </c:pt>
                <c:pt idx="5">
                  <c:v>13.536707217236591</c:v>
                </c:pt>
                <c:pt idx="6">
                  <c:v>11.313554909965045</c:v>
                </c:pt>
                <c:pt idx="7">
                  <c:v>9.2581840221752429</c:v>
                </c:pt>
                <c:pt idx="8">
                  <c:v>7.1632310685664304</c:v>
                </c:pt>
                <c:pt idx="9">
                  <c:v>5.3741030486806398</c:v>
                </c:pt>
                <c:pt idx="10">
                  <c:v>3.6923840548053781</c:v>
                </c:pt>
                <c:pt idx="11">
                  <c:v>2.0846672927523975</c:v>
                </c:pt>
                <c:pt idx="12">
                  <c:v>0.72867681410311058</c:v>
                </c:pt>
                <c:pt idx="13">
                  <c:v>-0.62088400558132495</c:v>
                </c:pt>
                <c:pt idx="14">
                  <c:v>-1.8514482744049947</c:v>
                </c:pt>
                <c:pt idx="15">
                  <c:v>-3.0551487653860394</c:v>
                </c:pt>
                <c:pt idx="16">
                  <c:v>-4.1418355400798035</c:v>
                </c:pt>
                <c:pt idx="17">
                  <c:v>-5.1508081853601393</c:v>
                </c:pt>
                <c:pt idx="18">
                  <c:v>-6.1059382464347953</c:v>
                </c:pt>
                <c:pt idx="19">
                  <c:v>-6.9640139231216374</c:v>
                </c:pt>
                <c:pt idx="20">
                  <c:v>-7.8195409234298126</c:v>
                </c:pt>
                <c:pt idx="21">
                  <c:v>-8.5867434350103178</c:v>
                </c:pt>
                <c:pt idx="22">
                  <c:v>-9.2861670644363326</c:v>
                </c:pt>
                <c:pt idx="23">
                  <c:v>-9.8690173898138358</c:v>
                </c:pt>
                <c:pt idx="24">
                  <c:v>-10.398007940019056</c:v>
                </c:pt>
                <c:pt idx="25">
                  <c:v>-10.826310859144561</c:v>
                </c:pt>
                <c:pt idx="26">
                  <c:v>-11.164533825498648</c:v>
                </c:pt>
                <c:pt idx="27">
                  <c:v>-11.42824255553349</c:v>
                </c:pt>
                <c:pt idx="28">
                  <c:v>-11.637511016811377</c:v>
                </c:pt>
                <c:pt idx="29">
                  <c:v>-11.795590201110565</c:v>
                </c:pt>
                <c:pt idx="30">
                  <c:v>-11.895340997975943</c:v>
                </c:pt>
                <c:pt idx="31">
                  <c:v>-11.945085115856175</c:v>
                </c:pt>
                <c:pt idx="32">
                  <c:v>-11.938429505131387</c:v>
                </c:pt>
                <c:pt idx="33">
                  <c:v>-11.876054008514517</c:v>
                </c:pt>
                <c:pt idx="34">
                  <c:v>-11.77313899499806</c:v>
                </c:pt>
                <c:pt idx="35">
                  <c:v>-11.619870824516548</c:v>
                </c:pt>
                <c:pt idx="36">
                  <c:v>-11.409680480343738</c:v>
                </c:pt>
                <c:pt idx="37">
                  <c:v>-11.156753536602286</c:v>
                </c:pt>
                <c:pt idx="38">
                  <c:v>-10.835423339020219</c:v>
                </c:pt>
                <c:pt idx="39">
                  <c:v>-10.469464374974045</c:v>
                </c:pt>
                <c:pt idx="40">
                  <c:v>-10.046468506829024</c:v>
                </c:pt>
                <c:pt idx="41">
                  <c:v>-9.5810307401747892</c:v>
                </c:pt>
                <c:pt idx="42">
                  <c:v>-9.0249518446232244</c:v>
                </c:pt>
                <c:pt idx="43">
                  <c:v>-8.4679168022544289</c:v>
                </c:pt>
                <c:pt idx="44">
                  <c:v>-7.9185486252087864</c:v>
                </c:pt>
                <c:pt idx="45">
                  <c:v>-7.3433632501802979</c:v>
                </c:pt>
                <c:pt idx="46">
                  <c:v>-6.7694700225181146</c:v>
                </c:pt>
                <c:pt idx="47">
                  <c:v>-6.150352423150391</c:v>
                </c:pt>
                <c:pt idx="48">
                  <c:v>-5.451196154350991</c:v>
                </c:pt>
                <c:pt idx="49">
                  <c:v>-4.6727513198566299</c:v>
                </c:pt>
                <c:pt idx="50">
                  <c:v>-3.8255796799109882</c:v>
                </c:pt>
                <c:pt idx="51">
                  <c:v>-2.979215473096283</c:v>
                </c:pt>
                <c:pt idx="52">
                  <c:v>-2.0941403719378835</c:v>
                </c:pt>
                <c:pt idx="53">
                  <c:v>-1.1342690610933666</c:v>
                </c:pt>
                <c:pt idx="54">
                  <c:v>-0.11501813687016438</c:v>
                </c:pt>
                <c:pt idx="55">
                  <c:v>0.90833411534759956</c:v>
                </c:pt>
                <c:pt idx="56">
                  <c:v>1.8905673674470997</c:v>
                </c:pt>
                <c:pt idx="57">
                  <c:v>2.9294124744404475</c:v>
                </c:pt>
                <c:pt idx="58">
                  <c:v>4.0496264983770267</c:v>
                </c:pt>
                <c:pt idx="59">
                  <c:v>5.1285349949071328</c:v>
                </c:pt>
                <c:pt idx="60">
                  <c:v>6.2219330735560261</c:v>
                </c:pt>
                <c:pt idx="61">
                  <c:v>7.3226012313399584</c:v>
                </c:pt>
                <c:pt idx="62">
                  <c:v>8.4457677808682874</c:v>
                </c:pt>
                <c:pt idx="63">
                  <c:v>9.5893917559066981</c:v>
                </c:pt>
                <c:pt idx="64">
                  <c:v>10.712395762729916</c:v>
                </c:pt>
                <c:pt idx="65">
                  <c:v>11.826843707864164</c:v>
                </c:pt>
                <c:pt idx="66">
                  <c:v>13.06845624028375</c:v>
                </c:pt>
                <c:pt idx="67">
                  <c:v>14.348353311472732</c:v>
                </c:pt>
                <c:pt idx="68">
                  <c:v>15.59221489004266</c:v>
                </c:pt>
                <c:pt idx="69">
                  <c:v>16.798991321961402</c:v>
                </c:pt>
                <c:pt idx="70">
                  <c:v>17.954661287996004</c:v>
                </c:pt>
                <c:pt idx="71">
                  <c:v>19.253938901702899</c:v>
                </c:pt>
                <c:pt idx="72">
                  <c:v>20.64645748204746</c:v>
                </c:pt>
                <c:pt idx="73">
                  <c:v>22.019181976020043</c:v>
                </c:pt>
                <c:pt idx="74">
                  <c:v>23.325445984063602</c:v>
                </c:pt>
                <c:pt idx="75">
                  <c:v>24.652408925468151</c:v>
                </c:pt>
                <c:pt idx="76">
                  <c:v>25.912462693455311</c:v>
                </c:pt>
                <c:pt idx="77">
                  <c:v>27.27280819875979</c:v>
                </c:pt>
                <c:pt idx="78">
                  <c:v>28.560231853474875</c:v>
                </c:pt>
                <c:pt idx="79">
                  <c:v>29.795392847510904</c:v>
                </c:pt>
                <c:pt idx="80">
                  <c:v>31.052196344303699</c:v>
                </c:pt>
                <c:pt idx="81">
                  <c:v>32.438251479301705</c:v>
                </c:pt>
                <c:pt idx="82">
                  <c:v>33.922984213229746</c:v>
                </c:pt>
                <c:pt idx="83">
                  <c:v>35.44981172125582</c:v>
                </c:pt>
                <c:pt idx="84">
                  <c:v>37.05418438556832</c:v>
                </c:pt>
                <c:pt idx="85">
                  <c:v>38.482020696121396</c:v>
                </c:pt>
                <c:pt idx="86">
                  <c:v>39.868360255201139</c:v>
                </c:pt>
                <c:pt idx="87">
                  <c:v>41.226861383683826</c:v>
                </c:pt>
                <c:pt idx="88">
                  <c:v>42.630937901157544</c:v>
                </c:pt>
                <c:pt idx="89">
                  <c:v>44.261713579261439</c:v>
                </c:pt>
                <c:pt idx="90">
                  <c:v>45.798179866641163</c:v>
                </c:pt>
                <c:pt idx="91">
                  <c:v>47.186937617052699</c:v>
                </c:pt>
                <c:pt idx="92">
                  <c:v>48.466905620078059</c:v>
                </c:pt>
                <c:pt idx="93">
                  <c:v>49.744664683254904</c:v>
                </c:pt>
                <c:pt idx="94">
                  <c:v>51.06683313456233</c:v>
                </c:pt>
                <c:pt idx="95">
                  <c:v>52.419460466060976</c:v>
                </c:pt>
                <c:pt idx="96">
                  <c:v>53.697343251557974</c:v>
                </c:pt>
                <c:pt idx="97">
                  <c:v>55.034922545800967</c:v>
                </c:pt>
                <c:pt idx="98">
                  <c:v>56.283757528967293</c:v>
                </c:pt>
                <c:pt idx="99">
                  <c:v>57.418265676657164</c:v>
                </c:pt>
                <c:pt idx="100">
                  <c:v>58.502459048671795</c:v>
                </c:pt>
                <c:pt idx="101">
                  <c:v>59.635748362603032</c:v>
                </c:pt>
                <c:pt idx="102">
                  <c:v>60.957247979323185</c:v>
                </c:pt>
                <c:pt idx="103">
                  <c:v>62.383098115444348</c:v>
                </c:pt>
                <c:pt idx="104">
                  <c:v>63.845599677134715</c:v>
                </c:pt>
                <c:pt idx="105">
                  <c:v>65.159845765365446</c:v>
                </c:pt>
                <c:pt idx="106">
                  <c:v>66.464767895437404</c:v>
                </c:pt>
                <c:pt idx="107">
                  <c:v>67.72080639102974</c:v>
                </c:pt>
                <c:pt idx="108">
                  <c:v>68.925106232847583</c:v>
                </c:pt>
                <c:pt idx="109">
                  <c:v>70.079958498865594</c:v>
                </c:pt>
                <c:pt idx="110">
                  <c:v>71.192194483951127</c:v>
                </c:pt>
                <c:pt idx="111">
                  <c:v>72.35542537529868</c:v>
                </c:pt>
                <c:pt idx="112">
                  <c:v>73.610281885660612</c:v>
                </c:pt>
                <c:pt idx="113">
                  <c:v>74.844222279843052</c:v>
                </c:pt>
                <c:pt idx="114">
                  <c:v>76.195937821326666</c:v>
                </c:pt>
                <c:pt idx="115">
                  <c:v>77.345910693412208</c:v>
                </c:pt>
                <c:pt idx="116">
                  <c:v>78.657030232465473</c:v>
                </c:pt>
                <c:pt idx="117">
                  <c:v>80.057664545437532</c:v>
                </c:pt>
                <c:pt idx="118">
                  <c:v>81.391039431796841</c:v>
                </c:pt>
                <c:pt idx="119">
                  <c:v>82.678151703033279</c:v>
                </c:pt>
                <c:pt idx="120">
                  <c:v>84.000443995258607</c:v>
                </c:pt>
                <c:pt idx="121">
                  <c:v>85.233208213361081</c:v>
                </c:pt>
                <c:pt idx="122">
                  <c:v>86.457168945214903</c:v>
                </c:pt>
                <c:pt idx="123">
                  <c:v>87.619595557101789</c:v>
                </c:pt>
                <c:pt idx="124">
                  <c:v>88.81373205474118</c:v>
                </c:pt>
                <c:pt idx="125">
                  <c:v>90.016699865099767</c:v>
                </c:pt>
                <c:pt idx="126">
                  <c:v>91.409872574341193</c:v>
                </c:pt>
                <c:pt idx="127">
                  <c:v>92.852801845001011</c:v>
                </c:pt>
                <c:pt idx="128">
                  <c:v>94.197464851003346</c:v>
                </c:pt>
                <c:pt idx="129">
                  <c:v>95.469726077620422</c:v>
                </c:pt>
                <c:pt idx="130">
                  <c:v>96.61988798352408</c:v>
                </c:pt>
                <c:pt idx="131">
                  <c:v>97.777686190170655</c:v>
                </c:pt>
                <c:pt idx="132">
                  <c:v>98.97788406486012</c:v>
                </c:pt>
                <c:pt idx="133">
                  <c:v>100.21059662505907</c:v>
                </c:pt>
                <c:pt idx="134">
                  <c:v>101.42032139533725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-0.40757434780791818</c:v>
                </c:pt>
                <c:pt idx="1">
                  <c:v>-0.52216223564533359</c:v>
                </c:pt>
                <c:pt idx="2">
                  <c:v>-0.75242238902241509</c:v>
                </c:pt>
                <c:pt idx="3">
                  <c:v>-0.92073179719860354</c:v>
                </c:pt>
                <c:pt idx="4">
                  <c:v>-0.92759190098290334</c:v>
                </c:pt>
                <c:pt idx="5">
                  <c:v>-1.1395328702783143</c:v>
                </c:pt>
                <c:pt idx="6">
                  <c:v>-1.3331960597242576</c:v>
                </c:pt>
                <c:pt idx="7">
                  <c:v>-1.4140206031988094</c:v>
                </c:pt>
                <c:pt idx="8">
                  <c:v>-1.595963561407467</c:v>
                </c:pt>
                <c:pt idx="9">
                  <c:v>-1.6460641089514227</c:v>
                </c:pt>
                <c:pt idx="10">
                  <c:v>-1.6510938701134137</c:v>
                </c:pt>
                <c:pt idx="11">
                  <c:v>-1.7008494172825044</c:v>
                </c:pt>
                <c:pt idx="12">
                  <c:v>-1.7072092462923263</c:v>
                </c:pt>
                <c:pt idx="13">
                  <c:v>-1.7072092462923263</c:v>
                </c:pt>
                <c:pt idx="14">
                  <c:v>-1.7072092462923263</c:v>
                </c:pt>
                <c:pt idx="15">
                  <c:v>-1.7072092462923263</c:v>
                </c:pt>
                <c:pt idx="16">
                  <c:v>-1.7072092462923263</c:v>
                </c:pt>
                <c:pt idx="17">
                  <c:v>-1.7072092462923263</c:v>
                </c:pt>
                <c:pt idx="18">
                  <c:v>-1.7072092462923263</c:v>
                </c:pt>
                <c:pt idx="19">
                  <c:v>-1.7072092462923263</c:v>
                </c:pt>
                <c:pt idx="20">
                  <c:v>-1.7072092462923263</c:v>
                </c:pt>
                <c:pt idx="21">
                  <c:v>-1.7072092462923263</c:v>
                </c:pt>
                <c:pt idx="22">
                  <c:v>-1.7072092462923263</c:v>
                </c:pt>
                <c:pt idx="23">
                  <c:v>-1.7072092462923263</c:v>
                </c:pt>
                <c:pt idx="24">
                  <c:v>-1.7072092462923263</c:v>
                </c:pt>
                <c:pt idx="25">
                  <c:v>-1.7072092462923263</c:v>
                </c:pt>
                <c:pt idx="26">
                  <c:v>-1.7072092462923263</c:v>
                </c:pt>
                <c:pt idx="27">
                  <c:v>-1.7072092462923263</c:v>
                </c:pt>
                <c:pt idx="28">
                  <c:v>-1.7072092462923263</c:v>
                </c:pt>
                <c:pt idx="29">
                  <c:v>-1.7072092462923263</c:v>
                </c:pt>
                <c:pt idx="30">
                  <c:v>-1.7072092462923263</c:v>
                </c:pt>
                <c:pt idx="31">
                  <c:v>-1.7072092462923263</c:v>
                </c:pt>
                <c:pt idx="32">
                  <c:v>-1.7072092462923263</c:v>
                </c:pt>
                <c:pt idx="33">
                  <c:v>-1.7072092462923263</c:v>
                </c:pt>
                <c:pt idx="34">
                  <c:v>-1.7072092462923263</c:v>
                </c:pt>
                <c:pt idx="35">
                  <c:v>-1.7072092462923263</c:v>
                </c:pt>
                <c:pt idx="36">
                  <c:v>-1.7072092462923263</c:v>
                </c:pt>
                <c:pt idx="37">
                  <c:v>-1.7072092462923263</c:v>
                </c:pt>
                <c:pt idx="38">
                  <c:v>-1.7072092462923263</c:v>
                </c:pt>
                <c:pt idx="39">
                  <c:v>-1.7072092462923263</c:v>
                </c:pt>
                <c:pt idx="40">
                  <c:v>-1.7072092462923263</c:v>
                </c:pt>
                <c:pt idx="41">
                  <c:v>-1.7072092462923263</c:v>
                </c:pt>
                <c:pt idx="42">
                  <c:v>-1.7072092462923263</c:v>
                </c:pt>
                <c:pt idx="43">
                  <c:v>-1.7072092462923263</c:v>
                </c:pt>
                <c:pt idx="44">
                  <c:v>-1.7072092462923263</c:v>
                </c:pt>
                <c:pt idx="45">
                  <c:v>-1.7072092462923263</c:v>
                </c:pt>
                <c:pt idx="46">
                  <c:v>-1.7072092462923263</c:v>
                </c:pt>
                <c:pt idx="47">
                  <c:v>-1.7072092462923263</c:v>
                </c:pt>
                <c:pt idx="48">
                  <c:v>-1.7072092462923263</c:v>
                </c:pt>
                <c:pt idx="49">
                  <c:v>-1.7072092462923263</c:v>
                </c:pt>
                <c:pt idx="50">
                  <c:v>-1.7072092462923263</c:v>
                </c:pt>
                <c:pt idx="51">
                  <c:v>-1.7072092462923263</c:v>
                </c:pt>
                <c:pt idx="52">
                  <c:v>-1.7072092462923263</c:v>
                </c:pt>
                <c:pt idx="53">
                  <c:v>-1.7072092462923263</c:v>
                </c:pt>
                <c:pt idx="54">
                  <c:v>-1.7072092462923263</c:v>
                </c:pt>
                <c:pt idx="55">
                  <c:v>-1.7207999229363125</c:v>
                </c:pt>
                <c:pt idx="56">
                  <c:v>-1.7207999229363125</c:v>
                </c:pt>
                <c:pt idx="57">
                  <c:v>-1.7215248858780705</c:v>
                </c:pt>
                <c:pt idx="58">
                  <c:v>-1.7570267326624107</c:v>
                </c:pt>
                <c:pt idx="59">
                  <c:v>-1.7570267326624107</c:v>
                </c:pt>
                <c:pt idx="60">
                  <c:v>-1.7570267326624107</c:v>
                </c:pt>
                <c:pt idx="61">
                  <c:v>-1.7570267326624107</c:v>
                </c:pt>
                <c:pt idx="62">
                  <c:v>-1.7570267326624107</c:v>
                </c:pt>
                <c:pt idx="63">
                  <c:v>-1.7570267326624107</c:v>
                </c:pt>
                <c:pt idx="64">
                  <c:v>-1.7570267326624107</c:v>
                </c:pt>
                <c:pt idx="65">
                  <c:v>-1.7570267326624107</c:v>
                </c:pt>
                <c:pt idx="66">
                  <c:v>-1.7690868755664428</c:v>
                </c:pt>
                <c:pt idx="67">
                  <c:v>-1.7690868755664428</c:v>
                </c:pt>
                <c:pt idx="68">
                  <c:v>-1.7690868755664428</c:v>
                </c:pt>
                <c:pt idx="69">
                  <c:v>-1.8920757960586934</c:v>
                </c:pt>
                <c:pt idx="70">
                  <c:v>-2.0683647054416054</c:v>
                </c:pt>
                <c:pt idx="71">
                  <c:v>-2.0683647054416054</c:v>
                </c:pt>
                <c:pt idx="72">
                  <c:v>-2.0683647054416054</c:v>
                </c:pt>
                <c:pt idx="73">
                  <c:v>-2.0683647054416054</c:v>
                </c:pt>
                <c:pt idx="74">
                  <c:v>-2.0683647054416054</c:v>
                </c:pt>
                <c:pt idx="75">
                  <c:v>-2.0683647054416054</c:v>
                </c:pt>
                <c:pt idx="76">
                  <c:v>-2.0683647054416054</c:v>
                </c:pt>
                <c:pt idx="77">
                  <c:v>-2.0683647054416054</c:v>
                </c:pt>
                <c:pt idx="78">
                  <c:v>-2.0683647054416054</c:v>
                </c:pt>
                <c:pt idx="79">
                  <c:v>-2.0683647054416054</c:v>
                </c:pt>
                <c:pt idx="80">
                  <c:v>-2.0683647054416054</c:v>
                </c:pt>
                <c:pt idx="81">
                  <c:v>-2.0683647054416054</c:v>
                </c:pt>
                <c:pt idx="82">
                  <c:v>-2.0683647054416054</c:v>
                </c:pt>
                <c:pt idx="83">
                  <c:v>-2.0683647054416054</c:v>
                </c:pt>
                <c:pt idx="84">
                  <c:v>-2.0683647054416054</c:v>
                </c:pt>
                <c:pt idx="85">
                  <c:v>-2.0683647054416054</c:v>
                </c:pt>
                <c:pt idx="86">
                  <c:v>-2.0683647054416054</c:v>
                </c:pt>
                <c:pt idx="87">
                  <c:v>-2.0683647054416054</c:v>
                </c:pt>
                <c:pt idx="88">
                  <c:v>-2.0683647054416054</c:v>
                </c:pt>
                <c:pt idx="89">
                  <c:v>-2.0683647054416054</c:v>
                </c:pt>
                <c:pt idx="90">
                  <c:v>-2.0683647054416054</c:v>
                </c:pt>
                <c:pt idx="91">
                  <c:v>-2.0683647054416054</c:v>
                </c:pt>
                <c:pt idx="92">
                  <c:v>-2.0683647054416054</c:v>
                </c:pt>
                <c:pt idx="93">
                  <c:v>-2.0683647054416054</c:v>
                </c:pt>
                <c:pt idx="94">
                  <c:v>-2.0683647054416054</c:v>
                </c:pt>
                <c:pt idx="95">
                  <c:v>-2.0683647054416054</c:v>
                </c:pt>
                <c:pt idx="96">
                  <c:v>-2.0683647054416054</c:v>
                </c:pt>
                <c:pt idx="97">
                  <c:v>-2.0683647054416054</c:v>
                </c:pt>
                <c:pt idx="98">
                  <c:v>-2.0683647054416054</c:v>
                </c:pt>
                <c:pt idx="99">
                  <c:v>-2.0683647054416054</c:v>
                </c:pt>
                <c:pt idx="100">
                  <c:v>-2.0683647054416054</c:v>
                </c:pt>
                <c:pt idx="101">
                  <c:v>-2.0683647054416054</c:v>
                </c:pt>
                <c:pt idx="102">
                  <c:v>-2.0683647054416054</c:v>
                </c:pt>
                <c:pt idx="103">
                  <c:v>-2.0683647054416054</c:v>
                </c:pt>
                <c:pt idx="104">
                  <c:v>-2.0683647054416054</c:v>
                </c:pt>
                <c:pt idx="105">
                  <c:v>-2.0683647054416054</c:v>
                </c:pt>
                <c:pt idx="106">
                  <c:v>-2.0683647054416054</c:v>
                </c:pt>
                <c:pt idx="107">
                  <c:v>-2.0683647054416054</c:v>
                </c:pt>
                <c:pt idx="108">
                  <c:v>-2.0683647054416054</c:v>
                </c:pt>
                <c:pt idx="109">
                  <c:v>-2.0683647054416054</c:v>
                </c:pt>
                <c:pt idx="110">
                  <c:v>-2.0683647054416054</c:v>
                </c:pt>
                <c:pt idx="111">
                  <c:v>-2.0683647054416054</c:v>
                </c:pt>
                <c:pt idx="112">
                  <c:v>-2.0683647054416054</c:v>
                </c:pt>
                <c:pt idx="113">
                  <c:v>-2.0683647054416054</c:v>
                </c:pt>
                <c:pt idx="114">
                  <c:v>-2.0683647054416054</c:v>
                </c:pt>
                <c:pt idx="115">
                  <c:v>-2.0683647054416054</c:v>
                </c:pt>
                <c:pt idx="116">
                  <c:v>-2.0683647054416054</c:v>
                </c:pt>
                <c:pt idx="117">
                  <c:v>-2.0683647054416054</c:v>
                </c:pt>
                <c:pt idx="118">
                  <c:v>-2.0683647054416054</c:v>
                </c:pt>
                <c:pt idx="119">
                  <c:v>-2.0683647054416054</c:v>
                </c:pt>
                <c:pt idx="120">
                  <c:v>-2.0683647054416054</c:v>
                </c:pt>
                <c:pt idx="121">
                  <c:v>-2.0683647054416054</c:v>
                </c:pt>
                <c:pt idx="122">
                  <c:v>-2.0683647054416054</c:v>
                </c:pt>
                <c:pt idx="123">
                  <c:v>-2.0683647054416054</c:v>
                </c:pt>
                <c:pt idx="124">
                  <c:v>-2.0683647054416054</c:v>
                </c:pt>
                <c:pt idx="125">
                  <c:v>-2.0683647054416054</c:v>
                </c:pt>
                <c:pt idx="126">
                  <c:v>-2.0683647054416054</c:v>
                </c:pt>
                <c:pt idx="127">
                  <c:v>-2.0683647054416054</c:v>
                </c:pt>
                <c:pt idx="128">
                  <c:v>-2.0683647054416054</c:v>
                </c:pt>
                <c:pt idx="129">
                  <c:v>-2.0683647054416054</c:v>
                </c:pt>
                <c:pt idx="130">
                  <c:v>-2.0683647054416054</c:v>
                </c:pt>
                <c:pt idx="131">
                  <c:v>-2.0683647054416054</c:v>
                </c:pt>
                <c:pt idx="132">
                  <c:v>-2.0683647054416054</c:v>
                </c:pt>
                <c:pt idx="133">
                  <c:v>-2.0683647054416054</c:v>
                </c:pt>
                <c:pt idx="134">
                  <c:v>-2.0683647054416054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0.84838066908840382</c:v>
                </c:pt>
                <c:pt idx="1">
                  <c:v>1.7058680485452986</c:v>
                </c:pt>
                <c:pt idx="2">
                  <c:v>2.5197988740079622</c:v>
                </c:pt>
                <c:pt idx="3">
                  <c:v>3.2522023524101433</c:v>
                </c:pt>
                <c:pt idx="4">
                  <c:v>3.9407049141798671</c:v>
                </c:pt>
                <c:pt idx="5">
                  <c:v>4.7010787220797647</c:v>
                </c:pt>
                <c:pt idx="6">
                  <c:v>5.4941076653630985</c:v>
                </c:pt>
                <c:pt idx="7">
                  <c:v>6.3107609306403303</c:v>
                </c:pt>
                <c:pt idx="8">
                  <c:v>7.1507903593817517</c:v>
                </c:pt>
                <c:pt idx="9">
                  <c:v>7.9626831737883244</c:v>
                </c:pt>
                <c:pt idx="10">
                  <c:v>8.7961385569654222</c:v>
                </c:pt>
                <c:pt idx="11">
                  <c:v>9.6227094995044986</c:v>
                </c:pt>
                <c:pt idx="12">
                  <c:v>10.386341737322358</c:v>
                </c:pt>
                <c:pt idx="13">
                  <c:v>11.201973405552119</c:v>
                </c:pt>
                <c:pt idx="14">
                  <c:v>11.999356124988333</c:v>
                </c:pt>
                <c:pt idx="15">
                  <c:v>12.838691995430208</c:v>
                </c:pt>
                <c:pt idx="16">
                  <c:v>13.657390911280965</c:v>
                </c:pt>
                <c:pt idx="17">
                  <c:v>14.480875756378236</c:v>
                </c:pt>
                <c:pt idx="18">
                  <c:v>15.329954742144503</c:v>
                </c:pt>
                <c:pt idx="19">
                  <c:v>16.165136939847759</c:v>
                </c:pt>
                <c:pt idx="20">
                  <c:v>17.08553867054907</c:v>
                </c:pt>
                <c:pt idx="21">
                  <c:v>18.009252581759227</c:v>
                </c:pt>
                <c:pt idx="22">
                  <c:v>18.962363386934079</c:v>
                </c:pt>
                <c:pt idx="23">
                  <c:v>19.870684751235654</c:v>
                </c:pt>
                <c:pt idx="24">
                  <c:v>20.827181475149526</c:v>
                </c:pt>
                <c:pt idx="25">
                  <c:v>21.743178660434474</c:v>
                </c:pt>
                <c:pt idx="26">
                  <c:v>22.61195945763464</c:v>
                </c:pt>
                <c:pt idx="27">
                  <c:v>23.442312326204352</c:v>
                </c:pt>
                <c:pt idx="28">
                  <c:v>24.28026217698082</c:v>
                </c:pt>
                <c:pt idx="29">
                  <c:v>25.143737472768212</c:v>
                </c:pt>
                <c:pt idx="30">
                  <c:v>25.983420076648805</c:v>
                </c:pt>
                <c:pt idx="31">
                  <c:v>26.870394468537015</c:v>
                </c:pt>
                <c:pt idx="32">
                  <c:v>27.795582874545129</c:v>
                </c:pt>
                <c:pt idx="33">
                  <c:v>28.703904238846704</c:v>
                </c:pt>
                <c:pt idx="34">
                  <c:v>29.530131917080656</c:v>
                </c:pt>
                <c:pt idx="35">
                  <c:v>30.396080540091326</c:v>
                </c:pt>
                <c:pt idx="36">
                  <c:v>31.30988046207635</c:v>
                </c:pt>
                <c:pt idx="37">
                  <c:v>32.207307216669328</c:v>
                </c:pt>
                <c:pt idx="38">
                  <c:v>33.172491216120882</c:v>
                </c:pt>
                <c:pt idx="39">
                  <c:v>34.127105940559552</c:v>
                </c:pt>
                <c:pt idx="40">
                  <c:v>35.106368938682827</c:v>
                </c:pt>
                <c:pt idx="41">
                  <c:v>36.07838617472779</c:v>
                </c:pt>
                <c:pt idx="42">
                  <c:v>37.136781641379336</c:v>
                </c:pt>
                <c:pt idx="43">
                  <c:v>38.114134581915927</c:v>
                </c:pt>
                <c:pt idx="44">
                  <c:v>39.015909186585134</c:v>
                </c:pt>
                <c:pt idx="45">
                  <c:v>39.907559514947472</c:v>
                </c:pt>
                <c:pt idx="46">
                  <c:v>40.753498960267443</c:v>
                </c:pt>
                <c:pt idx="47">
                  <c:v>41.625472988292564</c:v>
                </c:pt>
                <c:pt idx="48">
                  <c:v>42.567725013460056</c:v>
                </c:pt>
                <c:pt idx="49">
                  <c:v>43.572420568493655</c:v>
                </c:pt>
                <c:pt idx="50">
                  <c:v>44.62121262727598</c:v>
                </c:pt>
                <c:pt idx="51">
                  <c:v>45.629797301419948</c:v>
                </c:pt>
                <c:pt idx="52">
                  <c:v>46.648794369220568</c:v>
                </c:pt>
                <c:pt idx="53">
                  <c:v>47.718462768769825</c:v>
                </c:pt>
                <c:pt idx="54">
                  <c:v>48.819515445228944</c:v>
                </c:pt>
                <c:pt idx="55">
                  <c:v>49.907865136148374</c:v>
                </c:pt>
                <c:pt idx="56">
                  <c:v>50.912949179793991</c:v>
                </c:pt>
                <c:pt idx="57">
                  <c:v>51.952589105651967</c:v>
                </c:pt>
                <c:pt idx="58">
                  <c:v>53.082662639077604</c:v>
                </c:pt>
                <c:pt idx="59">
                  <c:v>54.115965348483819</c:v>
                </c:pt>
                <c:pt idx="60">
                  <c:v>55.144136867329436</c:v>
                </c:pt>
                <c:pt idx="61">
                  <c:v>56.161803597969715</c:v>
                </c:pt>
                <c:pt idx="62">
                  <c:v>57.184123683992794</c:v>
                </c:pt>
                <c:pt idx="63">
                  <c:v>58.209932339609878</c:v>
                </c:pt>
                <c:pt idx="64">
                  <c:v>59.203788378066925</c:v>
                </c:pt>
                <c:pt idx="65">
                  <c:v>60.178090097331371</c:v>
                </c:pt>
                <c:pt idx="66">
                  <c:v>61.261139922796332</c:v>
                </c:pt>
                <c:pt idx="67">
                  <c:v>62.353986661962594</c:v>
                </c:pt>
                <c:pt idx="68">
                  <c:v>63.404774934960692</c:v>
                </c:pt>
                <c:pt idx="69">
                  <c:v>64.51696603158463</c:v>
                </c:pt>
                <c:pt idx="70">
                  <c:v>65.620487912505666</c:v>
                </c:pt>
                <c:pt idx="71">
                  <c:v>66.687734427247548</c:v>
                </c:pt>
                <c:pt idx="72">
                  <c:v>67.822410884373198</c:v>
                </c:pt>
                <c:pt idx="73">
                  <c:v>68.932534071216551</c:v>
                </c:pt>
                <c:pt idx="74">
                  <c:v>69.981854093272275</c:v>
                </c:pt>
                <c:pt idx="75">
                  <c:v>71.041387412579525</c:v>
                </c:pt>
                <c:pt idx="76">
                  <c:v>72.042034364171442</c:v>
                </c:pt>
                <c:pt idx="77">
                  <c:v>73.116882984556057</c:v>
                </c:pt>
                <c:pt idx="78">
                  <c:v>74.129368956555268</c:v>
                </c:pt>
                <c:pt idx="79">
                  <c:v>75.096801372730496</c:v>
                </c:pt>
                <c:pt idx="80">
                  <c:v>76.077561072146622</c:v>
                </c:pt>
                <c:pt idx="81">
                  <c:v>77.155331964578821</c:v>
                </c:pt>
                <c:pt idx="82">
                  <c:v>78.305794869963322</c:v>
                </c:pt>
                <c:pt idx="83">
                  <c:v>79.484990897389338</c:v>
                </c:pt>
                <c:pt idx="84">
                  <c:v>80.720330959092493</c:v>
                </c:pt>
                <c:pt idx="85">
                  <c:v>81.816904993367444</c:v>
                </c:pt>
                <c:pt idx="86">
                  <c:v>82.879371403458251</c:v>
                </c:pt>
                <c:pt idx="87">
                  <c:v>83.918630288404373</c:v>
                </c:pt>
                <c:pt idx="88">
                  <c:v>84.99106438228263</c:v>
                </c:pt>
                <c:pt idx="89">
                  <c:v>86.234820320947833</c:v>
                </c:pt>
                <c:pt idx="90">
                  <c:v>87.405159283072564</c:v>
                </c:pt>
                <c:pt idx="91">
                  <c:v>88.461986245401874</c:v>
                </c:pt>
                <c:pt idx="92">
                  <c:v>89.435359961411677</c:v>
                </c:pt>
                <c:pt idx="93">
                  <c:v>90.406566169296823</c:v>
                </c:pt>
                <c:pt idx="94">
                  <c:v>91.411160265257934</c:v>
                </c:pt>
                <c:pt idx="95">
                  <c:v>92.438659134671326</c:v>
                </c:pt>
                <c:pt idx="96">
                  <c:v>93.409288953045134</c:v>
                </c:pt>
                <c:pt idx="97">
                  <c:v>94.425296821008047</c:v>
                </c:pt>
                <c:pt idx="98">
                  <c:v>95.374038315508272</c:v>
                </c:pt>
                <c:pt idx="99">
                  <c:v>96.236129744382964</c:v>
                </c:pt>
                <c:pt idx="100">
                  <c:v>97.060236634899496</c:v>
                </c:pt>
                <c:pt idx="101">
                  <c:v>97.921986526564496</c:v>
                </c:pt>
                <c:pt idx="102">
                  <c:v>98.927354585631562</c:v>
                </c:pt>
                <c:pt idx="103">
                  <c:v>100.01282518732067</c:v>
                </c:pt>
                <c:pt idx="104">
                  <c:v>101.12708763153506</c:v>
                </c:pt>
                <c:pt idx="105">
                  <c:v>102.12926220025514</c:v>
                </c:pt>
                <c:pt idx="106">
                  <c:v>103.12522231752534</c:v>
                </c:pt>
                <c:pt idx="107">
                  <c:v>104.08478732876412</c:v>
                </c:pt>
                <c:pt idx="108">
                  <c:v>105.00572968208688</c:v>
                </c:pt>
                <c:pt idx="109">
                  <c:v>105.88974157416511</c:v>
                </c:pt>
                <c:pt idx="110">
                  <c:v>106.74199272327722</c:v>
                </c:pt>
                <c:pt idx="111">
                  <c:v>107.63426638125586</c:v>
                </c:pt>
                <c:pt idx="112">
                  <c:v>108.59795878863493</c:v>
                </c:pt>
                <c:pt idx="113">
                  <c:v>109.54678764625955</c:v>
                </c:pt>
                <c:pt idx="114">
                  <c:v>110.5876006871128</c:v>
                </c:pt>
                <c:pt idx="115">
                  <c:v>111.47428698465227</c:v>
                </c:pt>
                <c:pt idx="116">
                  <c:v>112.48663455558236</c:v>
                </c:pt>
                <c:pt idx="117">
                  <c:v>113.5698114922324</c:v>
                </c:pt>
                <c:pt idx="118">
                  <c:v>114.60266932555355</c:v>
                </c:pt>
                <c:pt idx="119">
                  <c:v>115.60130563473652</c:v>
                </c:pt>
                <c:pt idx="120">
                  <c:v>116.62893200059368</c:v>
                </c:pt>
                <c:pt idx="121">
                  <c:v>117.58856499660023</c:v>
                </c:pt>
                <c:pt idx="122">
                  <c:v>118.54288983861801</c:v>
                </c:pt>
                <c:pt idx="123">
                  <c:v>119.45068919621893</c:v>
                </c:pt>
                <c:pt idx="124">
                  <c:v>120.38475269583019</c:v>
                </c:pt>
                <c:pt idx="125">
                  <c:v>121.32728716540491</c:v>
                </c:pt>
                <c:pt idx="126">
                  <c:v>122.42084176361853</c:v>
                </c:pt>
                <c:pt idx="127">
                  <c:v>123.55574462375895</c:v>
                </c:pt>
                <c:pt idx="128">
                  <c:v>124.61549160638123</c:v>
                </c:pt>
                <c:pt idx="129">
                  <c:v>125.62009972273688</c:v>
                </c:pt>
                <c:pt idx="130">
                  <c:v>126.52992356297941</c:v>
                </c:pt>
                <c:pt idx="131">
                  <c:v>127.4473668512631</c:v>
                </c:pt>
                <c:pt idx="132">
                  <c:v>128.40009677948288</c:v>
                </c:pt>
                <c:pt idx="133">
                  <c:v>129.3804443685371</c:v>
                </c:pt>
                <c:pt idx="134">
                  <c:v>130.3443069914664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-3.8013354155189916</c:v>
                </c:pt>
                <c:pt idx="2">
                  <c:v>-7.4875612107302629</c:v>
                </c:pt>
                <c:pt idx="3">
                  <c:v>-10.846514103794988</c:v>
                </c:pt>
                <c:pt idx="4">
                  <c:v>-13.756270892712791</c:v>
                </c:pt>
                <c:pt idx="5">
                  <c:v>-16.397202764733748</c:v>
                </c:pt>
                <c:pt idx="6">
                  <c:v>-19.210675543841546</c:v>
                </c:pt>
                <c:pt idx="7">
                  <c:v>-22.033193604950483</c:v>
                </c:pt>
                <c:pt idx="8">
                  <c:v>-24.824393214542965</c:v>
                </c:pt>
                <c:pt idx="9">
                  <c:v>-27.577432638684542</c:v>
                </c:pt>
                <c:pt idx="10">
                  <c:v>-30.128352925432949</c:v>
                </c:pt>
                <c:pt idx="11">
                  <c:v>-32.638497541323318</c:v>
                </c:pt>
                <c:pt idx="12">
                  <c:v>-35.023029698746285</c:v>
                </c:pt>
                <c:pt idx="13">
                  <c:v>-37.136292586203609</c:v>
                </c:pt>
                <c:pt idx="14">
                  <c:v>-39.301485074117807</c:v>
                </c:pt>
                <c:pt idx="15">
                  <c:v>-41.329432062377691</c:v>
                </c:pt>
                <c:pt idx="16">
                  <c:v>-43.372468423800612</c:v>
                </c:pt>
                <c:pt idx="17">
                  <c:v>-45.277854114345132</c:v>
                </c:pt>
                <c:pt idx="18">
                  <c:v>-47.110311604722739</c:v>
                </c:pt>
                <c:pt idx="19">
                  <c:v>-48.914520651563663</c:v>
                </c:pt>
                <c:pt idx="20">
                  <c:v>-50.607778525953762</c:v>
                </c:pt>
                <c:pt idx="21">
                  <c:v>-52.383707256963248</c:v>
                </c:pt>
                <c:pt idx="22">
                  <c:v>-54.074623679753913</c:v>
                </c:pt>
                <c:pt idx="23">
                  <c:v>-55.727158114354779</c:v>
                </c:pt>
                <c:pt idx="24">
                  <c:v>-57.218329804033857</c:v>
                </c:pt>
                <c:pt idx="25">
                  <c:v>-58.703817078152952</c:v>
                </c:pt>
                <c:pt idx="26">
                  <c:v>-60.048117182563402</c:v>
                </c:pt>
                <c:pt idx="27">
                  <c:v>-61.255120946117657</c:v>
                </c:pt>
                <c:pt idx="28">
                  <c:v>-62.349182544722211</c:v>
                </c:pt>
                <c:pt idx="29">
                  <c:v>-63.396400856776566</c:v>
                </c:pt>
                <c:pt idx="30">
                  <c:v>-64.417955336863145</c:v>
                </c:pt>
                <c:pt idx="31">
                  <c:v>-65.357388737609114</c:v>
                </c:pt>
                <c:pt idx="32">
                  <c:v>-66.294107247377553</c:v>
                </c:pt>
                <c:pt idx="33">
                  <c:v>-67.21264004266088</c:v>
                </c:pt>
                <c:pt idx="34">
                  <c:v>-68.058585910345585</c:v>
                </c:pt>
                <c:pt idx="35">
                  <c:v>-68.781898575063082</c:v>
                </c:pt>
                <c:pt idx="36">
                  <c:v>-69.494579027592238</c:v>
                </c:pt>
                <c:pt idx="37">
                  <c:v>-70.198188605404454</c:v>
                </c:pt>
                <c:pt idx="38">
                  <c:v>-70.842688416255982</c:v>
                </c:pt>
                <c:pt idx="39">
                  <c:v>-71.486542218125464</c:v>
                </c:pt>
                <c:pt idx="40">
                  <c:v>-72.075197978517963</c:v>
                </c:pt>
                <c:pt idx="41">
                  <c:v>-72.631465108496215</c:v>
                </c:pt>
                <c:pt idx="42">
                  <c:v>-73.138044577886944</c:v>
                </c:pt>
                <c:pt idx="43">
                  <c:v>-73.640361148986926</c:v>
                </c:pt>
                <c:pt idx="44">
                  <c:v>-74.060679047154721</c:v>
                </c:pt>
                <c:pt idx="45">
                  <c:v>-74.413085474778285</c:v>
                </c:pt>
                <c:pt idx="46">
                  <c:v>-74.729550428112134</c:v>
                </c:pt>
                <c:pt idx="47">
                  <c:v>-75.001596645769922</c:v>
                </c:pt>
                <c:pt idx="48">
                  <c:v>-75.254453074427317</c:v>
                </c:pt>
                <c:pt idx="49">
                  <c:v>-75.497548830795409</c:v>
                </c:pt>
                <c:pt idx="50">
                  <c:v>-75.72379955133465</c:v>
                </c:pt>
                <c:pt idx="51">
                  <c:v>-75.925419970171333</c:v>
                </c:pt>
                <c:pt idx="52">
                  <c:v>-76.087640437500596</c:v>
                </c:pt>
                <c:pt idx="53">
                  <c:v>-76.221562404142816</c:v>
                </c:pt>
                <c:pt idx="54">
                  <c:v>-76.331359492847554</c:v>
                </c:pt>
                <c:pt idx="55">
                  <c:v>-76.413161245083472</c:v>
                </c:pt>
                <c:pt idx="56">
                  <c:v>-76.464568007141153</c:v>
                </c:pt>
                <c:pt idx="57">
                  <c:v>-76.487418798687273</c:v>
                </c:pt>
                <c:pt idx="58">
                  <c:v>-76.487488654610146</c:v>
                </c:pt>
                <c:pt idx="59">
                  <c:v>-76.461846317314865</c:v>
                </c:pt>
                <c:pt idx="60">
                  <c:v>-76.416240530190976</c:v>
                </c:pt>
                <c:pt idx="61">
                  <c:v>-76.351013970387697</c:v>
                </c:pt>
                <c:pt idx="62">
                  <c:v>-76.268012543244041</c:v>
                </c:pt>
                <c:pt idx="63">
                  <c:v>-76.167166079738791</c:v>
                </c:pt>
                <c:pt idx="64">
                  <c:v>-76.049350760317466</c:v>
                </c:pt>
                <c:pt idx="65">
                  <c:v>-75.920202791951297</c:v>
                </c:pt>
                <c:pt idx="66">
                  <c:v>-75.780056566081498</c:v>
                </c:pt>
                <c:pt idx="67">
                  <c:v>-75.609433716222838</c:v>
                </c:pt>
                <c:pt idx="68">
                  <c:v>-75.422383384200117</c:v>
                </c:pt>
                <c:pt idx="69">
                  <c:v>-75.229310078628288</c:v>
                </c:pt>
                <c:pt idx="70">
                  <c:v>-75.011735822841231</c:v>
                </c:pt>
                <c:pt idx="71">
                  <c:v>-74.783298828344755</c:v>
                </c:pt>
                <c:pt idx="72">
                  <c:v>-74.551267729379745</c:v>
                </c:pt>
                <c:pt idx="73">
                  <c:v>-74.293425606160838</c:v>
                </c:pt>
                <c:pt idx="74">
                  <c:v>-74.030824299031607</c:v>
                </c:pt>
                <c:pt idx="75">
                  <c:v>-73.773880313043776</c:v>
                </c:pt>
                <c:pt idx="76">
                  <c:v>-73.50645069094648</c:v>
                </c:pt>
                <c:pt idx="77">
                  <c:v>-73.247043874551238</c:v>
                </c:pt>
                <c:pt idx="78">
                  <c:v>-72.961546989631373</c:v>
                </c:pt>
                <c:pt idx="79">
                  <c:v>-72.6866093069155</c:v>
                </c:pt>
                <c:pt idx="80">
                  <c:v>-72.418880729054706</c:v>
                </c:pt>
                <c:pt idx="81">
                  <c:v>-72.142836931678033</c:v>
                </c:pt>
                <c:pt idx="82">
                  <c:v>-71.834552689112229</c:v>
                </c:pt>
                <c:pt idx="83">
                  <c:v>-71.500282860568689</c:v>
                </c:pt>
                <c:pt idx="84">
                  <c:v>-71.152651379968631</c:v>
                </c:pt>
                <c:pt idx="85">
                  <c:v>-70.78361877735928</c:v>
                </c:pt>
                <c:pt idx="86">
                  <c:v>-70.452356501081155</c:v>
                </c:pt>
                <c:pt idx="87">
                  <c:v>-70.128483352092218</c:v>
                </c:pt>
                <c:pt idx="88">
                  <c:v>-69.809241108555653</c:v>
                </c:pt>
                <c:pt idx="89">
                  <c:v>-69.477598684960185</c:v>
                </c:pt>
                <c:pt idx="90">
                  <c:v>-69.0905789455215</c:v>
                </c:pt>
                <c:pt idx="91">
                  <c:v>-68.724451620266507</c:v>
                </c:pt>
                <c:pt idx="92">
                  <c:v>-68.392520832184289</c:v>
                </c:pt>
                <c:pt idx="93">
                  <c:v>-68.085926545168732</c:v>
                </c:pt>
                <c:pt idx="94">
                  <c:v>-67.779373689877033</c:v>
                </c:pt>
                <c:pt idx="95">
                  <c:v>-67.461799334530724</c:v>
                </c:pt>
                <c:pt idx="96">
                  <c:v>-67.136670872445464</c:v>
                </c:pt>
                <c:pt idx="97">
                  <c:v>-66.829417905322273</c:v>
                </c:pt>
                <c:pt idx="98">
                  <c:v>-66.507846479042186</c:v>
                </c:pt>
                <c:pt idx="99">
                  <c:v>-66.207752990376079</c:v>
                </c:pt>
                <c:pt idx="100">
                  <c:v>-65.935336271560899</c:v>
                </c:pt>
                <c:pt idx="101">
                  <c:v>-65.675249790062793</c:v>
                </c:pt>
                <c:pt idx="102">
                  <c:v>-65.403710367796549</c:v>
                </c:pt>
                <c:pt idx="103">
                  <c:v>-65.087578810143469</c:v>
                </c:pt>
                <c:pt idx="104">
                  <c:v>-64.747199275711424</c:v>
                </c:pt>
                <c:pt idx="105">
                  <c:v>-64.398960158235454</c:v>
                </c:pt>
                <c:pt idx="106">
                  <c:v>-64.086888638724801</c:v>
                </c:pt>
                <c:pt idx="107">
                  <c:v>-63.777926625923044</c:v>
                </c:pt>
                <c:pt idx="108">
                  <c:v>-63.481453141569489</c:v>
                </c:pt>
                <c:pt idx="109">
                  <c:v>-63.198095653074404</c:v>
                </c:pt>
                <c:pt idx="110">
                  <c:v>-62.927255279134627</c:v>
                </c:pt>
                <c:pt idx="111">
                  <c:v>-62.6672704431612</c:v>
                </c:pt>
                <c:pt idx="112">
                  <c:v>-62.396313209792282</c:v>
                </c:pt>
                <c:pt idx="113">
                  <c:v>-62.105149106809421</c:v>
                </c:pt>
                <c:pt idx="114">
                  <c:v>-61.8200375702516</c:v>
                </c:pt>
                <c:pt idx="115">
                  <c:v>-61.509135069621237</c:v>
                </c:pt>
                <c:pt idx="116">
                  <c:v>-61.245848495075165</c:v>
                </c:pt>
                <c:pt idx="117">
                  <c:v>-60.947076526951989</c:v>
                </c:pt>
                <c:pt idx="118">
                  <c:v>-60.629619150629978</c:v>
                </c:pt>
                <c:pt idx="119">
                  <c:v>-60.329102097591814</c:v>
                </c:pt>
                <c:pt idx="120">
                  <c:v>-60.040626135538346</c:v>
                </c:pt>
                <c:pt idx="121">
                  <c:v>-59.745960209170178</c:v>
                </c:pt>
                <c:pt idx="122">
                  <c:v>-59.472828987074251</c:v>
                </c:pt>
                <c:pt idx="123">
                  <c:v>-59.203193097238213</c:v>
                </c:pt>
                <c:pt idx="124">
                  <c:v>-58.948565842952249</c:v>
                </c:pt>
                <c:pt idx="125">
                  <c:v>-58.688492844924113</c:v>
                </c:pt>
                <c:pt idx="126">
                  <c:v>-58.428059504140251</c:v>
                </c:pt>
                <c:pt idx="127">
                  <c:v>-58.128441393112439</c:v>
                </c:pt>
                <c:pt idx="128">
                  <c:v>-57.82041498259305</c:v>
                </c:pt>
                <c:pt idx="129">
                  <c:v>-57.535498959212987</c:v>
                </c:pt>
                <c:pt idx="130">
                  <c:v>-57.267845848951566</c:v>
                </c:pt>
                <c:pt idx="131">
                  <c:v>-57.027507783290432</c:v>
                </c:pt>
                <c:pt idx="132">
                  <c:v>-56.787152864927549</c:v>
                </c:pt>
                <c:pt idx="133">
                  <c:v>-56.539684918457851</c:v>
                </c:pt>
                <c:pt idx="134">
                  <c:v>-56.287319947313136</c:v>
                </c:pt>
                <c:pt idx="135">
                  <c:v>-56.041457799964249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104.2456762263445</c:v>
                </c:pt>
                <c:pt idx="2">
                  <c:v>99.121960855448307</c:v>
                </c:pt>
                <c:pt idx="3">
                  <c:v>96.777165970778597</c:v>
                </c:pt>
                <c:pt idx="4">
                  <c:v>96.21066795142427</c:v>
                </c:pt>
                <c:pt idx="5">
                  <c:v>96.467330560778876</c:v>
                </c:pt>
                <c:pt idx="6">
                  <c:v>101.05407224986764</c:v>
                </c:pt>
                <c:pt idx="7">
                  <c:v>102.94957441755957</c:v>
                </c:pt>
                <c:pt idx="8">
                  <c:v>106.69578065739799</c:v>
                </c:pt>
                <c:pt idx="9">
                  <c:v>105.75572861695828</c:v>
                </c:pt>
                <c:pt idx="10">
                  <c:v>104.08178457180563</c:v>
                </c:pt>
                <c:pt idx="11">
                  <c:v>104.74481492764858</c:v>
                </c:pt>
                <c:pt idx="12">
                  <c:v>104.79438128281225</c:v>
                </c:pt>
                <c:pt idx="13">
                  <c:v>104.63817538700891</c:v>
                </c:pt>
                <c:pt idx="14">
                  <c:v>103.11061457355855</c:v>
                </c:pt>
                <c:pt idx="15">
                  <c:v>99.84894443902003</c:v>
                </c:pt>
                <c:pt idx="16">
                  <c:v>105.48074130869637</c:v>
                </c:pt>
                <c:pt idx="17">
                  <c:v>113.59554910124635</c:v>
                </c:pt>
                <c:pt idx="18">
                  <c:v>117.57194648664027</c:v>
                </c:pt>
                <c:pt idx="19">
                  <c:v>115.38224698154359</c:v>
                </c:pt>
                <c:pt idx="20">
                  <c:v>113.83759168500021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119.32214779439225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117.41124636941518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119.77015895675954</c:v>
                </c:pt>
                <c:pt idx="33">
                  <c:v>118.57758266885497</c:v>
                </c:pt>
                <c:pt idx="34">
                  <c:v>119.84070504447044</c:v>
                </c:pt>
                <c:pt idx="35">
                  <c:v>117.86626702539553</c:v>
                </c:pt>
                <c:pt idx="36">
                  <c:v>114.83151639842745</c:v>
                </c:pt>
                <c:pt idx="37">
                  <c:v>116.96087669036955</c:v>
                </c:pt>
                <c:pt idx="38">
                  <c:v>120</c:v>
                </c:pt>
                <c:pt idx="39">
                  <c:v>118.22992830627587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116.82582325791905</c:v>
                </c:pt>
                <c:pt idx="45">
                  <c:v>113.90964860663655</c:v>
                </c:pt>
                <c:pt idx="46">
                  <c:v>115.46823185584557</c:v>
                </c:pt>
                <c:pt idx="47">
                  <c:v>119.54794584777308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119.71995631917801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117.89040104912044</c:v>
                </c:pt>
                <c:pt idx="64">
                  <c:v>119.9777201696985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119.99280017205669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119.91056647581226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119.59647708716939</c:v>
                </c:pt>
                <c:pt idx="107">
                  <c:v>120</c:v>
                </c:pt>
                <c:pt idx="108">
                  <c:v>119.69131659023442</c:v>
                </c:pt>
                <c:pt idx="109">
                  <c:v>117.75933140059419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119.78499876293199</c:v>
                </c:pt>
                <c:pt idx="130">
                  <c:v>117.86370773342438</c:v>
                </c:pt>
                <c:pt idx="131">
                  <c:v>119.86603236889428</c:v>
                </c:pt>
                <c:pt idx="132">
                  <c:v>119.82563279108082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0.38009279728770196</c:v>
                </c:pt>
                <c:pt idx="22">
                  <c:v>2.8299342404777832</c:v>
                </c:pt>
                <c:pt idx="23">
                  <c:v>5.2902566428589566</c:v>
                </c:pt>
                <c:pt idx="24">
                  <c:v>5.2902566428589566</c:v>
                </c:pt>
                <c:pt idx="25">
                  <c:v>6.879942022163533</c:v>
                </c:pt>
                <c:pt idx="26">
                  <c:v>9.6994720859942944</c:v>
                </c:pt>
                <c:pt idx="27">
                  <c:v>12.502403495553267</c:v>
                </c:pt>
                <c:pt idx="28">
                  <c:v>12.502403495553267</c:v>
                </c:pt>
                <c:pt idx="29">
                  <c:v>17.233992755915352</c:v>
                </c:pt>
                <c:pt idx="30">
                  <c:v>19.214031976189418</c:v>
                </c:pt>
                <c:pt idx="31">
                  <c:v>19.987951464165924</c:v>
                </c:pt>
                <c:pt idx="32">
                  <c:v>19.987951464165924</c:v>
                </c:pt>
                <c:pt idx="33">
                  <c:v>19.987951464165924</c:v>
                </c:pt>
                <c:pt idx="34">
                  <c:v>19.987951464165924</c:v>
                </c:pt>
                <c:pt idx="35">
                  <c:v>19.987951464165924</c:v>
                </c:pt>
                <c:pt idx="36">
                  <c:v>19.987951464165924</c:v>
                </c:pt>
                <c:pt idx="37">
                  <c:v>19.987951464165924</c:v>
                </c:pt>
                <c:pt idx="38">
                  <c:v>24.541588938228905</c:v>
                </c:pt>
                <c:pt idx="39">
                  <c:v>24.541588938228905</c:v>
                </c:pt>
                <c:pt idx="40">
                  <c:v>26.75664457504319</c:v>
                </c:pt>
                <c:pt idx="41">
                  <c:v>31.029785697414503</c:v>
                </c:pt>
                <c:pt idx="42">
                  <c:v>34.205325825182591</c:v>
                </c:pt>
                <c:pt idx="43">
                  <c:v>38.002321722324552</c:v>
                </c:pt>
                <c:pt idx="44">
                  <c:v>38.002321722324552</c:v>
                </c:pt>
                <c:pt idx="45">
                  <c:v>38.002321722324552</c:v>
                </c:pt>
                <c:pt idx="46">
                  <c:v>38.002321722324552</c:v>
                </c:pt>
                <c:pt idx="47">
                  <c:v>38.002321722324552</c:v>
                </c:pt>
                <c:pt idx="48">
                  <c:v>41.343995955874966</c:v>
                </c:pt>
                <c:pt idx="49">
                  <c:v>42.413144748697242</c:v>
                </c:pt>
                <c:pt idx="50">
                  <c:v>46.522619754192043</c:v>
                </c:pt>
                <c:pt idx="51">
                  <c:v>47.418162280046225</c:v>
                </c:pt>
                <c:pt idx="52">
                  <c:v>47.418162280046225</c:v>
                </c:pt>
                <c:pt idx="53">
                  <c:v>47.660759910539063</c:v>
                </c:pt>
                <c:pt idx="54">
                  <c:v>50.295563598918626</c:v>
                </c:pt>
                <c:pt idx="55">
                  <c:v>55.228621066111216</c:v>
                </c:pt>
                <c:pt idx="56">
                  <c:v>59.059134985642288</c:v>
                </c:pt>
                <c:pt idx="57">
                  <c:v>62.735038389864627</c:v>
                </c:pt>
                <c:pt idx="58">
                  <c:v>70.349962957144925</c:v>
                </c:pt>
                <c:pt idx="59">
                  <c:v>73.978171226876782</c:v>
                </c:pt>
                <c:pt idx="60">
                  <c:v>76.387348076951895</c:v>
                </c:pt>
                <c:pt idx="61">
                  <c:v>77.671899407575324</c:v>
                </c:pt>
                <c:pt idx="62">
                  <c:v>78.725721766712354</c:v>
                </c:pt>
                <c:pt idx="63">
                  <c:v>78.725721766712354</c:v>
                </c:pt>
                <c:pt idx="64">
                  <c:v>78.725721766712354</c:v>
                </c:pt>
                <c:pt idx="65">
                  <c:v>80.541683705692037</c:v>
                </c:pt>
                <c:pt idx="66">
                  <c:v>82.39247288488437</c:v>
                </c:pt>
                <c:pt idx="67">
                  <c:v>87.053202422450269</c:v>
                </c:pt>
                <c:pt idx="68">
                  <c:v>89.233890883507456</c:v>
                </c:pt>
                <c:pt idx="69">
                  <c:v>94.358584092986405</c:v>
                </c:pt>
                <c:pt idx="70">
                  <c:v>96.070165330585795</c:v>
                </c:pt>
                <c:pt idx="71">
                  <c:v>97.840763217002348</c:v>
                </c:pt>
                <c:pt idx="72">
                  <c:v>99.985928233064186</c:v>
                </c:pt>
                <c:pt idx="73">
                  <c:v>100.85055754887406</c:v>
                </c:pt>
                <c:pt idx="74">
                  <c:v>104.44858748168559</c:v>
                </c:pt>
                <c:pt idx="75">
                  <c:v>105.77957769632819</c:v>
                </c:pt>
                <c:pt idx="76">
                  <c:v>107.53482145280992</c:v>
                </c:pt>
                <c:pt idx="77">
                  <c:v>108.34705181676605</c:v>
                </c:pt>
                <c:pt idx="78">
                  <c:v>109.83628093927256</c:v>
                </c:pt>
                <c:pt idx="79">
                  <c:v>113.12628737062428</c:v>
                </c:pt>
                <c:pt idx="80">
                  <c:v>117.49385977186216</c:v>
                </c:pt>
                <c:pt idx="81">
                  <c:v>118.94473412243833</c:v>
                </c:pt>
                <c:pt idx="82">
                  <c:v>119.59416230078871</c:v>
                </c:pt>
                <c:pt idx="83">
                  <c:v>120.19848633485975</c:v>
                </c:pt>
                <c:pt idx="84">
                  <c:v>124.26335737287751</c:v>
                </c:pt>
                <c:pt idx="85">
                  <c:v>130.63993547533295</c:v>
                </c:pt>
                <c:pt idx="86">
                  <c:v>130.63993547533295</c:v>
                </c:pt>
                <c:pt idx="87">
                  <c:v>135.20035600177465</c:v>
                </c:pt>
                <c:pt idx="88">
                  <c:v>135.30537442401396</c:v>
                </c:pt>
                <c:pt idx="89">
                  <c:v>136.59174151324814</c:v>
                </c:pt>
                <c:pt idx="90">
                  <c:v>138.42873763479835</c:v>
                </c:pt>
                <c:pt idx="91">
                  <c:v>140.04595313157429</c:v>
                </c:pt>
                <c:pt idx="92">
                  <c:v>144.79605808759214</c:v>
                </c:pt>
                <c:pt idx="93">
                  <c:v>155.9590741888197</c:v>
                </c:pt>
                <c:pt idx="94">
                  <c:v>164.14791069702829</c:v>
                </c:pt>
                <c:pt idx="95">
                  <c:v>165.15125924500921</c:v>
                </c:pt>
                <c:pt idx="96">
                  <c:v>166.21584717173246</c:v>
                </c:pt>
                <c:pt idx="97">
                  <c:v>168.40489283879288</c:v>
                </c:pt>
                <c:pt idx="98">
                  <c:v>171.26288500881475</c:v>
                </c:pt>
                <c:pt idx="99">
                  <c:v>173.39330992319913</c:v>
                </c:pt>
                <c:pt idx="100">
                  <c:v>173.64379840383586</c:v>
                </c:pt>
                <c:pt idx="101">
                  <c:v>175.73506137432909</c:v>
                </c:pt>
                <c:pt idx="102">
                  <c:v>175.73506137432909</c:v>
                </c:pt>
                <c:pt idx="103">
                  <c:v>176.55275789442976</c:v>
                </c:pt>
                <c:pt idx="104">
                  <c:v>178.30985145769841</c:v>
                </c:pt>
                <c:pt idx="105">
                  <c:v>179.63628430285334</c:v>
                </c:pt>
                <c:pt idx="106">
                  <c:v>179.63628430285334</c:v>
                </c:pt>
                <c:pt idx="107">
                  <c:v>182.13011186370579</c:v>
                </c:pt>
                <c:pt idx="108">
                  <c:v>182.13011186370579</c:v>
                </c:pt>
                <c:pt idx="109">
                  <c:v>182.13011186370579</c:v>
                </c:pt>
                <c:pt idx="110">
                  <c:v>182.45351548724824</c:v>
                </c:pt>
                <c:pt idx="111">
                  <c:v>186.21166346735515</c:v>
                </c:pt>
                <c:pt idx="112">
                  <c:v>188.90005909074381</c:v>
                </c:pt>
                <c:pt idx="113">
                  <c:v>192.19313502206992</c:v>
                </c:pt>
                <c:pt idx="114">
                  <c:v>193.39513123578112</c:v>
                </c:pt>
                <c:pt idx="115">
                  <c:v>197.01082307486448</c:v>
                </c:pt>
                <c:pt idx="116">
                  <c:v>197.62356353506308</c:v>
                </c:pt>
                <c:pt idx="117">
                  <c:v>201.81530987247024</c:v>
                </c:pt>
                <c:pt idx="118">
                  <c:v>205.17947126197612</c:v>
                </c:pt>
                <c:pt idx="119">
                  <c:v>206.26791430659759</c:v>
                </c:pt>
                <c:pt idx="120">
                  <c:v>211.54655766318939</c:v>
                </c:pt>
                <c:pt idx="121">
                  <c:v>215.20180881793937</c:v>
                </c:pt>
                <c:pt idx="122">
                  <c:v>215.27779010732118</c:v>
                </c:pt>
                <c:pt idx="123">
                  <c:v>215.46604481261318</c:v>
                </c:pt>
                <c:pt idx="124">
                  <c:v>217.26934615744779</c:v>
                </c:pt>
                <c:pt idx="125">
                  <c:v>219.8211399713021</c:v>
                </c:pt>
                <c:pt idx="126">
                  <c:v>223.42734592728408</c:v>
                </c:pt>
                <c:pt idx="127">
                  <c:v>227.81445373396841</c:v>
                </c:pt>
                <c:pt idx="128">
                  <c:v>228.91045483672036</c:v>
                </c:pt>
                <c:pt idx="129">
                  <c:v>228.91045483672036</c:v>
                </c:pt>
                <c:pt idx="130">
                  <c:v>228.91045483672036</c:v>
                </c:pt>
                <c:pt idx="131">
                  <c:v>228.91045483672036</c:v>
                </c:pt>
                <c:pt idx="132">
                  <c:v>228.91045483672036</c:v>
                </c:pt>
                <c:pt idx="133">
                  <c:v>230.43645680433542</c:v>
                </c:pt>
                <c:pt idx="134">
                  <c:v>230.62057257341095</c:v>
                </c:pt>
                <c:pt idx="135">
                  <c:v>232.17238341398593</c:v>
                </c:pt>
                <c:pt idx="136">
                  <c:v>236.49450672084777</c:v>
                </c:pt>
                <c:pt idx="137">
                  <c:v>239.8279091307343</c:v>
                </c:pt>
                <c:pt idx="138">
                  <c:v>240.51940983306761</c:v>
                </c:pt>
                <c:pt idx="139">
                  <c:v>245.47259388452366</c:v>
                </c:pt>
                <c:pt idx="140">
                  <c:v>247.11269876182962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0.99999999967495001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1.0788418465718449E-2</c:v>
                </c:pt>
                <c:pt idx="16">
                  <c:v>1.7872736834573535E-2</c:v>
                </c:pt>
                <c:pt idx="17">
                  <c:v>2.9238774745569854E-2</c:v>
                </c:pt>
                <c:pt idx="18">
                  <c:v>4.5804118032943021E-2</c:v>
                </c:pt>
                <c:pt idx="19">
                  <c:v>6.9984371371911186E-2</c:v>
                </c:pt>
                <c:pt idx="20">
                  <c:v>0.1025114735255884</c:v>
                </c:pt>
                <c:pt idx="21">
                  <c:v>0.15018196589113719</c:v>
                </c:pt>
                <c:pt idx="22">
                  <c:v>0.21758327601477823</c:v>
                </c:pt>
                <c:pt idx="23">
                  <c:v>0.30531609701216755</c:v>
                </c:pt>
                <c:pt idx="24">
                  <c:v>0.40789482726806464</c:v>
                </c:pt>
                <c:pt idx="25">
                  <c:v>0.52614946853080713</c:v>
                </c:pt>
                <c:pt idx="26">
                  <c:v>0.63797517280080096</c:v>
                </c:pt>
                <c:pt idx="27">
                  <c:v>0.72940935725489608</c:v>
                </c:pt>
                <c:pt idx="28">
                  <c:v>0.80617184299751954</c:v>
                </c:pt>
                <c:pt idx="29">
                  <c:v>0.86570215455357258</c:v>
                </c:pt>
                <c:pt idx="30">
                  <c:v>0.90828314887743733</c:v>
                </c:pt>
                <c:pt idx="31">
                  <c:v>0.93840093945221248</c:v>
                </c:pt>
                <c:pt idx="32">
                  <c:v>0.95815345159705045</c:v>
                </c:pt>
                <c:pt idx="33">
                  <c:v>0.97289862194606469</c:v>
                </c:pt>
                <c:pt idx="34">
                  <c:v>0.98253605473490235</c:v>
                </c:pt>
                <c:pt idx="35">
                  <c:v>0.98854632814375332</c:v>
                </c:pt>
                <c:pt idx="36">
                  <c:v>0.99257771804231087</c:v>
                </c:pt>
                <c:pt idx="37">
                  <c:v>0.99533179736480937</c:v>
                </c:pt>
                <c:pt idx="38">
                  <c:v>0.9970295418638061</c:v>
                </c:pt>
                <c:pt idx="39">
                  <c:v>0.99808236796305716</c:v>
                </c:pt>
                <c:pt idx="40">
                  <c:v>0.99879577641319794</c:v>
                </c:pt>
                <c:pt idx="41">
                  <c:v>0.999227261315207</c:v>
                </c:pt>
                <c:pt idx="42">
                  <c:v>0.99949996364436144</c:v>
                </c:pt>
                <c:pt idx="43">
                  <c:v>0.9996745024003646</c:v>
                </c:pt>
                <c:pt idx="44">
                  <c:v>0.99977604822821142</c:v>
                </c:pt>
                <c:pt idx="45">
                  <c:v>0.99984577808889818</c:v>
                </c:pt>
                <c:pt idx="46">
                  <c:v>0.99989784229617118</c:v>
                </c:pt>
                <c:pt idx="47">
                  <c:v>0.99993243759361461</c:v>
                </c:pt>
                <c:pt idx="48">
                  <c:v>0.99995595200734388</c:v>
                </c:pt>
                <c:pt idx="49">
                  <c:v>0.99997099124870281</c:v>
                </c:pt>
                <c:pt idx="50">
                  <c:v>0.99998053666497388</c:v>
                </c:pt>
                <c:pt idx="51">
                  <c:v>0.99998699074499842</c:v>
                </c:pt>
                <c:pt idx="52">
                  <c:v>0.99999165326420958</c:v>
                </c:pt>
                <c:pt idx="53">
                  <c:v>0.99999458400397856</c:v>
                </c:pt>
                <c:pt idx="54">
                  <c:v>0.99999641399663486</c:v>
                </c:pt>
                <c:pt idx="55">
                  <c:v>0.99999766028064863</c:v>
                </c:pt>
                <c:pt idx="56">
                  <c:v>0.99999844044604858</c:v>
                </c:pt>
                <c:pt idx="57">
                  <c:v>0.9999989641446182</c:v>
                </c:pt>
                <c:pt idx="58">
                  <c:v>0.99999932210599318</c:v>
                </c:pt>
                <c:pt idx="59">
                  <c:v>0.99999954784954947</c:v>
                </c:pt>
                <c:pt idx="60">
                  <c:v>0.99999969238719966</c:v>
                </c:pt>
                <c:pt idx="61">
                  <c:v>0.99999978645127607</c:v>
                </c:pt>
                <c:pt idx="62">
                  <c:v>0.99999985318351192</c:v>
                </c:pt>
                <c:pt idx="63">
                  <c:v>0.99999989861139149</c:v>
                </c:pt>
                <c:pt idx="64">
                  <c:v>0.99999992965165407</c:v>
                </c:pt>
                <c:pt idx="65">
                  <c:v>0.99999994892971278</c:v>
                </c:pt>
                <c:pt idx="66">
                  <c:v>0.99999996358026833</c:v>
                </c:pt>
                <c:pt idx="67">
                  <c:v>0.9999999742248169</c:v>
                </c:pt>
                <c:pt idx="68">
                  <c:v>0.99999998163341275</c:v>
                </c:pt>
                <c:pt idx="69">
                  <c:v>0.99999998708306115</c:v>
                </c:pt>
                <c:pt idx="70">
                  <c:v>0.99999999073767143</c:v>
                </c:pt>
                <c:pt idx="71">
                  <c:v>0.99999999329878198</c:v>
                </c:pt>
                <c:pt idx="72">
                  <c:v>0.99999999522992944</c:v>
                </c:pt>
                <c:pt idx="73">
                  <c:v>0.99999999648079352</c:v>
                </c:pt>
                <c:pt idx="74">
                  <c:v>0.999999997408064</c:v>
                </c:pt>
                <c:pt idx="75">
                  <c:v>0.99999999810820595</c:v>
                </c:pt>
                <c:pt idx="76">
                  <c:v>0.99999999861886124</c:v>
                </c:pt>
                <c:pt idx="77">
                  <c:v>0.99999999898862835</c:v>
                </c:pt>
                <c:pt idx="78">
                  <c:v>0.99999999928347472</c:v>
                </c:pt>
                <c:pt idx="79">
                  <c:v>0.99999999948815277</c:v>
                </c:pt>
                <c:pt idx="80">
                  <c:v>0.99999999963292252</c:v>
                </c:pt>
                <c:pt idx="81">
                  <c:v>0.99999999973591591</c:v>
                </c:pt>
                <c:pt idx="82">
                  <c:v>0.99999999980470666</c:v>
                </c:pt>
                <c:pt idx="83">
                  <c:v>0.999999999855123</c:v>
                </c:pt>
                <c:pt idx="84">
                  <c:v>0.99999999989719757</c:v>
                </c:pt>
                <c:pt idx="85">
                  <c:v>0.99999999992704258</c:v>
                </c:pt>
                <c:pt idx="86">
                  <c:v>0.99999999994973576</c:v>
                </c:pt>
                <c:pt idx="87">
                  <c:v>0.99999999996387201</c:v>
                </c:pt>
                <c:pt idx="88">
                  <c:v>0.9999999999737379</c:v>
                </c:pt>
                <c:pt idx="89">
                  <c:v>0.99999999998023448</c:v>
                </c:pt>
                <c:pt idx="90">
                  <c:v>0.99999999998562838</c:v>
                </c:pt>
                <c:pt idx="91">
                  <c:v>0.99999999998958455</c:v>
                </c:pt>
                <c:pt idx="92">
                  <c:v>0.99999999999247247</c:v>
                </c:pt>
                <c:pt idx="93">
                  <c:v>0.99999999999461919</c:v>
                </c:pt>
                <c:pt idx="94">
                  <c:v>0.99999999999614775</c:v>
                </c:pt>
                <c:pt idx="95">
                  <c:v>0.99999999999719091</c:v>
                </c:pt>
                <c:pt idx="96">
                  <c:v>0.99999999999788192</c:v>
                </c:pt>
                <c:pt idx="97">
                  <c:v>0.99999999999840572</c:v>
                </c:pt>
                <c:pt idx="98">
                  <c:v>0.99999999999884914</c:v>
                </c:pt>
                <c:pt idx="99">
                  <c:v>0.9999999999991469</c:v>
                </c:pt>
                <c:pt idx="100">
                  <c:v>0.99999999999935985</c:v>
                </c:pt>
                <c:pt idx="101">
                  <c:v>0.99999999999951439</c:v>
                </c:pt>
                <c:pt idx="102">
                  <c:v>0.99999999999963229</c:v>
                </c:pt>
                <c:pt idx="103">
                  <c:v>0.99999999999972045</c:v>
                </c:pt>
                <c:pt idx="104">
                  <c:v>0.99999999999978639</c:v>
                </c:pt>
                <c:pt idx="105">
                  <c:v>0.99999999999983813</c:v>
                </c:pt>
                <c:pt idx="106">
                  <c:v>0.99999999999987499</c:v>
                </c:pt>
                <c:pt idx="107">
                  <c:v>0.99999999999990541</c:v>
                </c:pt>
                <c:pt idx="108">
                  <c:v>0.99999999999992784</c:v>
                </c:pt>
                <c:pt idx="109">
                  <c:v>0.99999999999994627</c:v>
                </c:pt>
                <c:pt idx="110">
                  <c:v>0.99999999999995959</c:v>
                </c:pt>
                <c:pt idx="111">
                  <c:v>0.99999999999997025</c:v>
                </c:pt>
                <c:pt idx="112">
                  <c:v>0.99999999999997735</c:v>
                </c:pt>
                <c:pt idx="113">
                  <c:v>0.99999999999998246</c:v>
                </c:pt>
                <c:pt idx="114">
                  <c:v>0.99999999999998646</c:v>
                </c:pt>
                <c:pt idx="115">
                  <c:v>0.99999999999998956</c:v>
                </c:pt>
                <c:pt idx="116">
                  <c:v>0.99999999999999201</c:v>
                </c:pt>
                <c:pt idx="117">
                  <c:v>0.99999999999999378</c:v>
                </c:pt>
                <c:pt idx="118">
                  <c:v>0.99999999999999512</c:v>
                </c:pt>
                <c:pt idx="119">
                  <c:v>0.99999999999999623</c:v>
                </c:pt>
                <c:pt idx="120">
                  <c:v>0.98979237093798023</c:v>
                </c:pt>
                <c:pt idx="121">
                  <c:v>0.97226412861430389</c:v>
                </c:pt>
                <c:pt idx="122">
                  <c:v>0.95609910172442603</c:v>
                </c:pt>
                <c:pt idx="123">
                  <c:v>0.93966602841165248</c:v>
                </c:pt>
                <c:pt idx="124">
                  <c:v>0.92230393056497761</c:v>
                </c:pt>
                <c:pt idx="125">
                  <c:v>0.90433263630263017</c:v>
                </c:pt>
                <c:pt idx="126">
                  <c:v>0.88600343914607471</c:v>
                </c:pt>
                <c:pt idx="127">
                  <c:v>0.86877841049292637</c:v>
                </c:pt>
                <c:pt idx="128">
                  <c:v>0.85159907157095316</c:v>
                </c:pt>
                <c:pt idx="129">
                  <c:v>0.83528022258611823</c:v>
                </c:pt>
                <c:pt idx="130">
                  <c:v>0.81926597180911942</c:v>
                </c:pt>
                <c:pt idx="131">
                  <c:v>0.80220847217028113</c:v>
                </c:pt>
                <c:pt idx="132">
                  <c:v>0.78578301381270332</c:v>
                </c:pt>
                <c:pt idx="133">
                  <c:v>0.76926617599277469</c:v>
                </c:pt>
                <c:pt idx="134">
                  <c:v>0.75431801894320349</c:v>
                </c:pt>
                <c:pt idx="135">
                  <c:v>0.73832661303179248</c:v>
                </c:pt>
                <c:pt idx="136">
                  <c:v>0.71943390919073957</c:v>
                </c:pt>
                <c:pt idx="137">
                  <c:v>0.70006977039619489</c:v>
                </c:pt>
                <c:pt idx="138">
                  <c:v>0.68160350404611325</c:v>
                </c:pt>
                <c:pt idx="139">
                  <c:v>0.66299255354730913</c:v>
                </c:pt>
                <c:pt idx="140">
                  <c:v>0.6451354836129003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B7" zoomScale="110" zoomScaleNormal="110" workbookViewId="0">
      <selection activeCell="E25" sqref="E25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2" t="s">
        <v>153</v>
      </c>
      <c r="E1" s="133"/>
      <c r="F1" s="133"/>
      <c r="G1" s="133"/>
      <c r="H1" s="134"/>
      <c r="Z1"/>
      <c r="AA1"/>
      <c r="AB1"/>
      <c r="AC1"/>
    </row>
    <row r="2" spans="2:34" s="55" customFormat="1" ht="47.25" customHeight="1">
      <c r="C2" s="106"/>
      <c r="D2" s="135" t="s">
        <v>154</v>
      </c>
      <c r="E2" s="136"/>
      <c r="F2" s="136"/>
      <c r="G2" s="136"/>
      <c r="H2" s="137"/>
      <c r="Z2"/>
      <c r="AA2"/>
      <c r="AB2"/>
      <c r="AC2"/>
    </row>
    <row r="3" spans="2:34" s="54" customFormat="1" ht="15.75" thickBot="1">
      <c r="B3" s="55"/>
      <c r="C3" s="138" t="s">
        <v>185</v>
      </c>
      <c r="D3" s="138"/>
      <c r="E3" s="138"/>
      <c r="F3" s="138"/>
      <c r="G3" s="139"/>
      <c r="H3" s="139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10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33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38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Kale Fodder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45383</v>
      </c>
      <c r="E9" s="67"/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45508</v>
      </c>
      <c r="E10" s="67"/>
      <c r="F10" s="57" t="s">
        <v>148</v>
      </c>
      <c r="G10" s="85" t="str">
        <f>IF(H10="",VLOOKUP(CurrentCropNameFull,CropCoefficients,15,FALSE),H10)</f>
        <v>LateReproductive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25</v>
      </c>
      <c r="E12" s="69">
        <v>25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25</v>
      </c>
      <c r="C14" s="64" t="str">
        <f>"Yield "&amp;CurrentYield_tperHa&amp;" (t/ha)"</f>
        <v>Yield 25 (t/ha)</v>
      </c>
      <c r="D14" s="90" t="str">
        <f ca="1">"requires "&amp;ROUND(SUM('Model Interface'!V4:W4),0)&amp;" kg N/ha from all sources"</f>
        <v>requires 502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45368</v>
      </c>
      <c r="Z14"/>
      <c r="AA14"/>
      <c r="AB14"/>
      <c r="AC14"/>
    </row>
    <row r="15" spans="2:34" s="55" customFormat="1" ht="16.5" thickBot="1">
      <c r="B15" s="55">
        <f ca="1">SUMIF(B29:B43,1,G29:G43)</f>
        <v>326.23842013320427</v>
      </c>
      <c r="C15" s="111" t="s">
        <v>225</v>
      </c>
      <c r="D15" s="112" t="str">
        <f ca="1">SUMIF(B29:B43,1,G29:G43)&amp;" Kg/ha"</f>
        <v>326.238420133204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1" t="s">
        <v>228</v>
      </c>
      <c r="S15" s="131"/>
      <c r="T15" s="131"/>
      <c r="U15" s="131"/>
      <c r="V15" s="131"/>
      <c r="W15" s="125"/>
      <c r="X15" s="125"/>
      <c r="Y15" s="125"/>
      <c r="Z15" s="129" t="s">
        <v>227</v>
      </c>
      <c r="AA15" s="129"/>
      <c r="AB15" s="129"/>
      <c r="AC15" s="129"/>
      <c r="AD15" s="130" t="s">
        <v>229</v>
      </c>
      <c r="AE15" s="130"/>
      <c r="AF15" s="130"/>
      <c r="AG15" s="130"/>
      <c r="AH15" s="130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38" t="s">
        <v>186</v>
      </c>
      <c r="D17" s="138"/>
      <c r="E17" s="138"/>
      <c r="F17" s="138"/>
      <c r="G17" s="138"/>
      <c r="H17" s="138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45368</v>
      </c>
      <c r="S18" s="55">
        <f ca="1">IF(R18&gt;1,R18,"")</f>
        <v>45368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385.97828957283389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1.289059098469675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0.99999999967495001</v>
      </c>
      <c r="AD18" s="83">
        <f t="array" aca="1" ref="AD18:AD662" ca="1">_xlfn._xlws.FILTER('Model Interface'!AD7:AD1000,('Model Interface'!AD7:AD1000&gt;=CurrentHarvestDate+1)*('Model Interface'!AD7:AD1000&lt;=FollowingHarvestDate),"")</f>
        <v>45509</v>
      </c>
      <c r="AE18" s="55">
        <f ca="1">IF(AD18&gt;1,AD18,"")</f>
        <v>45509</v>
      </c>
      <c r="AF18" s="55">
        <f t="shared" ref="AF18:AF20" ca="1" si="6">VLOOKUP(AE18,ModelOutputs,2,FALSE)</f>
        <v>25.825307815038183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-0.40757434780791818</v>
      </c>
      <c r="AJ18" s="55">
        <f t="shared" ref="AJ18" ca="1" si="9">VLOOKUP(AE18,ModelOutputs,5,FALSE)</f>
        <v>0.84838066908840382</v>
      </c>
      <c r="AK18" s="55">
        <f t="shared" ref="AK18" ca="1" si="10">VLOOKUP(AE18,ModelOutputs,4,FALSE)</f>
        <v>-3.8013354155189916</v>
      </c>
    </row>
    <row r="19" spans="1:37" s="55" customFormat="1">
      <c r="C19" s="57" t="s">
        <v>222</v>
      </c>
      <c r="D19" s="85">
        <f>IF(E19="",60,E19)</f>
        <v>100</v>
      </c>
      <c r="E19" s="16">
        <v>100</v>
      </c>
      <c r="F19" s="100" t="str">
        <f ca="1">ROUND('Model Interface'!T3,0)&amp;" kg N/ha available from SOM mineralisation"</f>
        <v>141 kg N/ha available from SOM mineralisation</v>
      </c>
      <c r="R19" s="83">
        <f ca="1"/>
        <v>45369</v>
      </c>
      <c r="S19" s="55">
        <f t="shared" ref="S19:S82" ca="1" si="11">IF(R19&gt;1,R19,"")</f>
        <v>45369</v>
      </c>
      <c r="T19" s="55">
        <f t="shared" ca="1" si="0"/>
        <v>66.810907906839844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2.5768687452648269</v>
      </c>
      <c r="Y19" s="55">
        <f t="shared" ref="Y19:Y82" ca="1" si="14">VLOOKUP(S19,ModelOutputs,4,FALSE)+Y18</f>
        <v>15.523098260044685</v>
      </c>
      <c r="Z19">
        <f t="shared" ca="1" si="3"/>
        <v>104.2456762263445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45510</v>
      </c>
      <c r="AE19" s="55">
        <f t="shared" ref="AE19:AE20" ca="1" si="16">IF(AD19&gt;1,AD19,"")</f>
        <v>45510</v>
      </c>
      <c r="AF19" s="55">
        <f t="shared" ca="1" si="6"/>
        <v>22.881981511446391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-0.52216223564533359</v>
      </c>
      <c r="AJ19" s="55">
        <f t="shared" ref="AJ19:AJ82" ca="1" si="18">VLOOKUP(AE19,ModelOutputs,5,FALSE)+AJ18</f>
        <v>1.7058680485452986</v>
      </c>
      <c r="AK19" s="55">
        <f t="shared" ref="AK19:AK82" ca="1" si="19">VLOOKUP(AE19,ModelOutputs,4,FALSE)+AK18</f>
        <v>-7.4875612107302629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45370</v>
      </c>
      <c r="S20" s="55">
        <f t="shared" ca="1" si="11"/>
        <v>45370</v>
      </c>
      <c r="T20" s="55">
        <f t="shared" ca="1" si="0"/>
        <v>81.664694670501419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3.8312678436997771</v>
      </c>
      <c r="Y20" s="55">
        <f t="shared" ca="1" si="14"/>
        <v>29.122485925271313</v>
      </c>
      <c r="Z20">
        <f t="shared" ca="1" si="3"/>
        <v>99.121960855448307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45511</v>
      </c>
      <c r="AE20" s="55">
        <f t="shared" ca="1" si="16"/>
        <v>45511</v>
      </c>
      <c r="AF20" s="55">
        <f t="shared" ca="1" si="6"/>
        <v>20.106699290467247</v>
      </c>
      <c r="AG20" s="55">
        <f t="shared" ca="1" si="7"/>
        <v>0</v>
      </c>
      <c r="AH20" s="55">
        <f t="shared" ca="1" si="8"/>
        <v>0</v>
      </c>
      <c r="AI20" s="55">
        <f t="shared" ca="1" si="17"/>
        <v>-0.75242238902241509</v>
      </c>
      <c r="AJ20" s="55">
        <f t="shared" ca="1" si="18"/>
        <v>2.5197988740079622</v>
      </c>
      <c r="AK20" s="55">
        <f t="shared" ca="1" si="19"/>
        <v>-10.846514103794988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45371</v>
      </c>
      <c r="S21" s="55">
        <f t="shared" ca="1" si="11"/>
        <v>45371</v>
      </c>
      <c r="T21" s="55">
        <f t="shared" ca="1" si="0"/>
        <v>95.103536099449869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5.0803873822528258</v>
      </c>
      <c r="Y21" s="55">
        <f t="shared" ca="1" si="14"/>
        <v>41.312207815666724</v>
      </c>
      <c r="Z21">
        <f t="shared" ca="1" si="3"/>
        <v>96.777165970778597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45512</v>
      </c>
      <c r="AE21" s="55">
        <f t="shared" ref="AE21:AE84" ca="1" si="20">IF(AD21&gt;1,AD21,"")</f>
        <v>45512</v>
      </c>
      <c r="AF21" s="55">
        <f t="shared" ref="AF21:AF84" ca="1" si="21">VLOOKUP(AE21,ModelOutputs,2,FALSE)</f>
        <v>17.761036571775435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-0.92073179719860354</v>
      </c>
      <c r="AJ21" s="55">
        <f t="shared" ca="1" si="18"/>
        <v>3.2522023524101433</v>
      </c>
      <c r="AK21" s="55">
        <f t="shared" ca="1" si="19"/>
        <v>-13.756270892712791</v>
      </c>
    </row>
    <row r="22" spans="1:37" s="55" customFormat="1" ht="15" customHeight="1">
      <c r="C22" s="57" t="s">
        <v>212</v>
      </c>
      <c r="D22" s="85" t="str">
        <f>IF(E22="","loam",E22)</f>
        <v>Clay</v>
      </c>
      <c r="E22" s="16" t="s">
        <v>254</v>
      </c>
      <c r="F22" s="100"/>
      <c r="R22" s="83">
        <f ca="1"/>
        <v>45372</v>
      </c>
      <c r="S22" s="55">
        <f t="shared" ca="1" si="11"/>
        <v>45372</v>
      </c>
      <c r="T22" s="55">
        <f t="shared" ca="1" si="0"/>
        <v>107.42734876027696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6.3411426131274551</v>
      </c>
      <c r="Y22" s="55">
        <f t="shared" ca="1" si="14"/>
        <v>52.37526524561919</v>
      </c>
      <c r="Z22">
        <f t="shared" ca="1" si="3"/>
        <v>96.21066795142427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45513</v>
      </c>
      <c r="AE22" s="55">
        <f t="shared" ca="1" si="20"/>
        <v>45513</v>
      </c>
      <c r="AF22" s="55">
        <f t="shared" ca="1" si="21"/>
        <v>15.801747157739902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-0.92759190098290334</v>
      </c>
      <c r="AJ22" s="55">
        <f t="shared" ca="1" si="18"/>
        <v>3.9407049141798671</v>
      </c>
      <c r="AK22" s="55">
        <f t="shared" ca="1" si="19"/>
        <v>-16.397202764733748</v>
      </c>
    </row>
    <row r="23" spans="1:37" s="55" customFormat="1">
      <c r="C23" s="57"/>
      <c r="D23" s="85"/>
      <c r="E23" s="122"/>
      <c r="F23" s="100"/>
      <c r="R23" s="83">
        <f ca="1"/>
        <v>45373</v>
      </c>
      <c r="S23" s="55">
        <f t="shared" ca="1" si="11"/>
        <v>45373</v>
      </c>
      <c r="T23" s="55">
        <f t="shared" ca="1" si="0"/>
        <v>118.75493626357118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7.6174395556230037</v>
      </c>
      <c r="Y23" s="55">
        <f t="shared" ca="1" si="14"/>
        <v>62.426555806417873</v>
      </c>
      <c r="Z23">
        <f t="shared" ca="1" si="3"/>
        <v>96.467330560778876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45514</v>
      </c>
      <c r="AE23" s="55">
        <f t="shared" ca="1" si="20"/>
        <v>45514</v>
      </c>
      <c r="AF23" s="55">
        <f t="shared" ca="1" si="21"/>
        <v>13.536707217236591</v>
      </c>
      <c r="AG23" s="55">
        <f t="shared" ca="1" si="22"/>
        <v>0</v>
      </c>
      <c r="AH23" s="55">
        <f t="shared" ca="1" si="23"/>
        <v>0</v>
      </c>
      <c r="AI23" s="55">
        <f t="shared" ca="1" si="17"/>
        <v>-1.1395328702783143</v>
      </c>
      <c r="AJ23" s="55">
        <f t="shared" ca="1" si="18"/>
        <v>4.7010787220797647</v>
      </c>
      <c r="AK23" s="55">
        <f t="shared" ca="1" si="19"/>
        <v>-19.210675543841546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45374</v>
      </c>
      <c r="S24" s="55">
        <f t="shared" ca="1" si="11"/>
        <v>45374</v>
      </c>
      <c r="T24" s="55">
        <f t="shared" ca="1" si="0"/>
        <v>129.09008382874399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8.9003454328946674</v>
      </c>
      <c r="Y24" s="55">
        <f t="shared" ca="1" si="14"/>
        <v>71.478797494318997</v>
      </c>
      <c r="Z24">
        <f t="shared" ca="1" si="3"/>
        <v>101.05407224986764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45515</v>
      </c>
      <c r="AE24" s="55">
        <f t="shared" ca="1" si="20"/>
        <v>45515</v>
      </c>
      <c r="AF24" s="55">
        <f t="shared" ca="1" si="21"/>
        <v>11.313554909965045</v>
      </c>
      <c r="AG24" s="55">
        <f t="shared" ca="1" si="22"/>
        <v>0</v>
      </c>
      <c r="AH24" s="55">
        <f t="shared" ca="1" si="23"/>
        <v>0</v>
      </c>
      <c r="AI24" s="55">
        <f t="shared" ca="1" si="17"/>
        <v>-1.3331960597242576</v>
      </c>
      <c r="AJ24" s="55">
        <f t="shared" ca="1" si="18"/>
        <v>5.4941076653630985</v>
      </c>
      <c r="AK24" s="55">
        <f t="shared" ca="1" si="19"/>
        <v>-22.033193604950483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45375</v>
      </c>
      <c r="S25" s="55">
        <f t="shared" ca="1" si="11"/>
        <v>45375</v>
      </c>
      <c r="T25" s="55">
        <f t="shared" ca="1" si="0"/>
        <v>139.12694130269358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10.277054152207949</v>
      </c>
      <c r="Y25" s="55">
        <f t="shared" ca="1" si="14"/>
        <v>80.138946248955321</v>
      </c>
      <c r="Z25">
        <f t="shared" ca="1" si="3"/>
        <v>102.94957441755957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45516</v>
      </c>
      <c r="AE25" s="55">
        <f t="shared" ca="1" si="20"/>
        <v>45516</v>
      </c>
      <c r="AF25" s="55">
        <f t="shared" ca="1" si="21"/>
        <v>9.2581840221752429</v>
      </c>
      <c r="AG25" s="55">
        <f t="shared" ca="1" si="22"/>
        <v>0</v>
      </c>
      <c r="AH25" s="55">
        <f t="shared" ca="1" si="23"/>
        <v>0</v>
      </c>
      <c r="AI25" s="55">
        <f t="shared" ca="1" si="17"/>
        <v>-1.4140206031988094</v>
      </c>
      <c r="AJ25" s="55">
        <f t="shared" ca="1" si="18"/>
        <v>6.3107609306403303</v>
      </c>
      <c r="AK25" s="55">
        <f t="shared" ca="1" si="19"/>
        <v>-24.824393214542965</v>
      </c>
    </row>
    <row r="26" spans="1:37" s="55" customFormat="1" ht="15.75" thickBot="1">
      <c r="C26" s="56"/>
      <c r="D26" s="56"/>
      <c r="E26" s="56"/>
      <c r="F26" s="56"/>
      <c r="R26" s="83">
        <f ca="1"/>
        <v>45376</v>
      </c>
      <c r="S26" s="55">
        <f t="shared" ca="1" si="11"/>
        <v>45376</v>
      </c>
      <c r="T26" s="55">
        <f t="shared" ca="1" si="0"/>
        <v>148.64095364870292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11.726659618020449</v>
      </c>
      <c r="Y26" s="55">
        <f t="shared" ca="1" si="14"/>
        <v>88.203353129152163</v>
      </c>
      <c r="Z26">
        <f t="shared" ca="1" si="3"/>
        <v>106.69578065739799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45517</v>
      </c>
      <c r="AE26" s="55">
        <f t="shared" ca="1" si="20"/>
        <v>45517</v>
      </c>
      <c r="AF26" s="55">
        <f t="shared" ca="1" si="21"/>
        <v>7.1632310685664304</v>
      </c>
      <c r="AG26" s="55">
        <f t="shared" ca="1" si="22"/>
        <v>0</v>
      </c>
      <c r="AH26" s="55">
        <f t="shared" ca="1" si="23"/>
        <v>0</v>
      </c>
      <c r="AI26" s="55">
        <f t="shared" ca="1" si="17"/>
        <v>-1.595963561407467</v>
      </c>
      <c r="AJ26" s="55">
        <f t="shared" ca="1" si="18"/>
        <v>7.1507903593817517</v>
      </c>
      <c r="AK26" s="55">
        <f t="shared" ca="1" si="19"/>
        <v>-27.577432638684542</v>
      </c>
    </row>
    <row r="27" spans="1:37" s="55" customFormat="1" ht="15.75" thickBot="1">
      <c r="C27" s="141" t="s">
        <v>139</v>
      </c>
      <c r="D27" s="142"/>
      <c r="E27" s="60"/>
      <c r="F27" s="143" t="s">
        <v>146</v>
      </c>
      <c r="G27" s="144"/>
      <c r="R27" s="83">
        <f ca="1"/>
        <v>45377</v>
      </c>
      <c r="S27" s="55">
        <f t="shared" ca="1" si="11"/>
        <v>45377</v>
      </c>
      <c r="T27" s="55">
        <f t="shared" ca="1" si="0"/>
        <v>157.28556194847269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13.192696390811705</v>
      </c>
      <c r="Y27" s="55">
        <f t="shared" ca="1" si="14"/>
        <v>95.381924656130678</v>
      </c>
      <c r="Z27">
        <f t="shared" ca="1" si="3"/>
        <v>105.75572861695828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45518</v>
      </c>
      <c r="AE27" s="55">
        <f t="shared" ca="1" si="20"/>
        <v>45518</v>
      </c>
      <c r="AF27" s="55">
        <f t="shared" ca="1" si="21"/>
        <v>5.3741030486806398</v>
      </c>
      <c r="AG27" s="55">
        <f t="shared" ca="1" si="22"/>
        <v>0</v>
      </c>
      <c r="AH27" s="55">
        <f t="shared" ca="1" si="23"/>
        <v>0</v>
      </c>
      <c r="AI27" s="55">
        <f t="shared" ca="1" si="17"/>
        <v>-1.6460641089514227</v>
      </c>
      <c r="AJ27" s="55">
        <f t="shared" ca="1" si="18"/>
        <v>7.9626831737883244</v>
      </c>
      <c r="AK27" s="55">
        <f t="shared" ca="1" si="19"/>
        <v>-30.128352925432949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45378</v>
      </c>
      <c r="S28" s="55">
        <f t="shared" ca="1" si="11"/>
        <v>45378</v>
      </c>
      <c r="T28" s="55">
        <f t="shared" ca="1" si="0"/>
        <v>164.21271054516055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14.491244103833276</v>
      </c>
      <c r="Y28" s="55">
        <f t="shared" ca="1" si="14"/>
        <v>101.01052553979696</v>
      </c>
      <c r="Z28">
        <f t="shared" ca="1" si="3"/>
        <v>104.08178457180563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45519</v>
      </c>
      <c r="AE28" s="55">
        <f t="shared" ca="1" si="20"/>
        <v>45519</v>
      </c>
      <c r="AF28" s="55">
        <f t="shared" ca="1" si="21"/>
        <v>3.6923840548053781</v>
      </c>
      <c r="AG28" s="55">
        <f t="shared" ca="1" si="22"/>
        <v>0</v>
      </c>
      <c r="AH28" s="55">
        <f t="shared" ca="1" si="23"/>
        <v>0</v>
      </c>
      <c r="AI28" s="55">
        <f t="shared" ca="1" si="17"/>
        <v>-1.6510938701134137</v>
      </c>
      <c r="AJ28" s="55">
        <f t="shared" ca="1" si="18"/>
        <v>8.7961385569654222</v>
      </c>
      <c r="AK28" s="55">
        <f t="shared" ca="1" si="19"/>
        <v>-32.638497541323318</v>
      </c>
    </row>
    <row r="29" spans="1:37" s="55" customFormat="1">
      <c r="A29" s="83">
        <f t="array" aca="1" ref="A29:A43" ca="1">_xlfn._xlws.FILTER('Model Interface'!AD7:AD496,'Model Interface'!AE7:AE496&gt;0,"")</f>
        <v>45432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45432</v>
      </c>
      <c r="G29" s="76">
        <f ca="1">IFERROR(VLOOKUP(F29,'Model Interface'!$P$7:$U$496,6,FALSE),"")</f>
        <v>86.961579288460655</v>
      </c>
      <c r="H29" s="55" t="str">
        <f ca="1">IF(B29=1,"Suggested","Applied or Planned")</f>
        <v>Suggested</v>
      </c>
      <c r="R29" s="83">
        <f ca="1"/>
        <v>45379</v>
      </c>
      <c r="S29" s="55">
        <f t="shared" ca="1" si="11"/>
        <v>45379</v>
      </c>
      <c r="T29" s="55">
        <f t="shared" ca="1" si="0"/>
        <v>170.77778448597081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15.843627558218317</v>
      </c>
      <c r="Y29" s="55">
        <f t="shared" ca="1" si="14"/>
        <v>106.22321602622219</v>
      </c>
      <c r="Z29">
        <f t="shared" ca="1" si="3"/>
        <v>104.74481492764858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45520</v>
      </c>
      <c r="AE29" s="55">
        <f t="shared" ca="1" si="20"/>
        <v>45520</v>
      </c>
      <c r="AF29" s="55">
        <f t="shared" ca="1" si="21"/>
        <v>2.0846672927523975</v>
      </c>
      <c r="AG29" s="55">
        <f t="shared" ca="1" si="22"/>
        <v>0</v>
      </c>
      <c r="AH29" s="55">
        <f t="shared" ca="1" si="23"/>
        <v>0</v>
      </c>
      <c r="AI29" s="55">
        <f t="shared" ca="1" si="17"/>
        <v>-1.7008494172825044</v>
      </c>
      <c r="AJ29" s="55">
        <f t="shared" ca="1" si="18"/>
        <v>9.6227094995044986</v>
      </c>
      <c r="AK29" s="55">
        <f t="shared" ca="1" si="19"/>
        <v>-35.023029698746285</v>
      </c>
    </row>
    <row r="30" spans="1:37" s="55" customFormat="1">
      <c r="A30" s="83">
        <f ca="1"/>
        <v>45444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45444</v>
      </c>
      <c r="G30" s="76">
        <f ca="1">IFERROR(VLOOKUP(F30,'Model Interface'!$P$7:$U$496,6,FALSE),"")</f>
        <v>97.487027493395445</v>
      </c>
      <c r="H30" s="55" t="str">
        <f t="shared" ref="H30:H43" ca="1" si="26">IF(F30="","",IF(F30&lt;=StartSchedullingDate,"Applied or Planned","Suggested"))</f>
        <v>Suggested</v>
      </c>
      <c r="R30" s="83">
        <f ca="1"/>
        <v>45380</v>
      </c>
      <c r="S30" s="55">
        <f t="shared" ca="1" si="11"/>
        <v>45380</v>
      </c>
      <c r="T30" s="55">
        <f t="shared" ca="1" si="0"/>
        <v>176.85637880187153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17.220960724658582</v>
      </c>
      <c r="Y30" s="55">
        <f t="shared" ca="1" si="14"/>
        <v>110.92447717568265</v>
      </c>
      <c r="Z30">
        <f t="shared" ca="1" si="3"/>
        <v>104.79438128281225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45521</v>
      </c>
      <c r="AE30" s="55">
        <f t="shared" ca="1" si="20"/>
        <v>45521</v>
      </c>
      <c r="AF30" s="55">
        <f t="shared" ca="1" si="21"/>
        <v>0.72867681410311058</v>
      </c>
      <c r="AG30" s="55">
        <f t="shared" ca="1" si="22"/>
        <v>0</v>
      </c>
      <c r="AH30" s="55">
        <f t="shared" ca="1" si="23"/>
        <v>0</v>
      </c>
      <c r="AI30" s="55">
        <f t="shared" ca="1" si="17"/>
        <v>-1.7072092462923263</v>
      </c>
      <c r="AJ30" s="55">
        <f t="shared" ca="1" si="18"/>
        <v>10.386341737322358</v>
      </c>
      <c r="AK30" s="55">
        <f t="shared" ca="1" si="19"/>
        <v>-37.136292586203609</v>
      </c>
    </row>
    <row r="31" spans="1:37" s="55" customFormat="1">
      <c r="A31" s="83">
        <f ca="1"/>
        <v>45459</v>
      </c>
      <c r="B31" s="55">
        <f t="shared" ca="1" si="24"/>
        <v>1</v>
      </c>
      <c r="C31" s="78"/>
      <c r="D31" s="81"/>
      <c r="F31" s="74">
        <f t="shared" ca="1" si="25"/>
        <v>45459</v>
      </c>
      <c r="G31" s="76">
        <f ca="1">IFERROR(VLOOKUP(F31,'Model Interface'!$P$7:$U$496,6,FALSE),"")</f>
        <v>141.78981335134822</v>
      </c>
      <c r="H31" s="55" t="str">
        <f t="shared" ca="1" si="26"/>
        <v>Suggested</v>
      </c>
      <c r="R31" s="83">
        <f ca="1"/>
        <v>45381</v>
      </c>
      <c r="S31" s="55">
        <f t="shared" ca="1" si="11"/>
        <v>45381</v>
      </c>
      <c r="T31" s="55">
        <f t="shared" ca="1" si="0"/>
        <v>182.16875085466461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18.540824000560736</v>
      </c>
      <c r="Y31" s="55">
        <f t="shared" ca="1" si="14"/>
        <v>114.91698595257358</v>
      </c>
      <c r="Z31">
        <f t="shared" ca="1" si="3"/>
        <v>104.63817538700891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45522</v>
      </c>
      <c r="AE31" s="55">
        <f t="shared" ca="1" si="20"/>
        <v>45522</v>
      </c>
      <c r="AF31" s="55">
        <f t="shared" ca="1" si="21"/>
        <v>-0.62088400558132495</v>
      </c>
      <c r="AG31" s="55">
        <f t="shared" ca="1" si="22"/>
        <v>0</v>
      </c>
      <c r="AH31" s="55">
        <f t="shared" ca="1" si="23"/>
        <v>0</v>
      </c>
      <c r="AI31" s="55">
        <f t="shared" ca="1" si="17"/>
        <v>-1.7072092462923263</v>
      </c>
      <c r="AJ31" s="55">
        <f t="shared" ca="1" si="18"/>
        <v>11.201973405552119</v>
      </c>
      <c r="AK31" s="55">
        <f t="shared" ca="1" si="19"/>
        <v>-39.301485074117807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45382</v>
      </c>
      <c r="S32" s="55">
        <f t="shared" ca="1" si="11"/>
        <v>45382</v>
      </c>
      <c r="T32" s="55">
        <f t="shared" ca="1" si="0"/>
        <v>186.86742524108729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19.813535359435608</v>
      </c>
      <c r="Y32" s="55">
        <f t="shared" ca="1" si="14"/>
        <v>118.34294898012141</v>
      </c>
      <c r="Z32">
        <f t="shared" ca="1" si="3"/>
        <v>103.11061457355855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45523</v>
      </c>
      <c r="AE32" s="55">
        <f t="shared" ca="1" si="20"/>
        <v>45523</v>
      </c>
      <c r="AF32" s="55">
        <f t="shared" ca="1" si="21"/>
        <v>-1.8514482744049947</v>
      </c>
      <c r="AG32" s="55">
        <f t="shared" ca="1" si="22"/>
        <v>0</v>
      </c>
      <c r="AH32" s="55">
        <f t="shared" ca="1" si="23"/>
        <v>0</v>
      </c>
      <c r="AI32" s="55">
        <f t="shared" ca="1" si="17"/>
        <v>-1.7072092462923263</v>
      </c>
      <c r="AJ32" s="55">
        <f t="shared" ca="1" si="18"/>
        <v>11.999356124988333</v>
      </c>
      <c r="AK32" s="55">
        <f t="shared" ca="1" si="19"/>
        <v>-41.329432062377691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45383</v>
      </c>
      <c r="S33" s="55">
        <f t="shared" ca="1" si="11"/>
        <v>45383</v>
      </c>
      <c r="T33" s="55">
        <f t="shared" ca="1" si="0"/>
        <v>190.8705819320779</v>
      </c>
      <c r="U33" s="55">
        <f t="shared" ca="1" si="1"/>
        <v>10.171657868348307</v>
      </c>
      <c r="V33" s="55">
        <f t="shared" ca="1" si="2"/>
        <v>0</v>
      </c>
      <c r="W33" s="55">
        <f t="shared" ca="1" si="12"/>
        <v>0</v>
      </c>
      <c r="X33" s="55">
        <f t="shared" ca="1" si="13"/>
        <v>20.98749594622219</v>
      </c>
      <c r="Y33" s="55">
        <f t="shared" ca="1" si="14"/>
        <v>121.17214508432542</v>
      </c>
      <c r="Z33">
        <f t="shared" ca="1" si="3"/>
        <v>99.84894443902003</v>
      </c>
      <c r="AA33">
        <f t="shared" ca="1" si="15"/>
        <v>0</v>
      </c>
      <c r="AB33">
        <f t="shared" ca="1" si="4"/>
        <v>0</v>
      </c>
      <c r="AC33">
        <f t="shared" ca="1" si="5"/>
        <v>1.0788418465718449E-2</v>
      </c>
      <c r="AD33" s="83">
        <f ca="1"/>
        <v>45524</v>
      </c>
      <c r="AE33" s="55">
        <f t="shared" ca="1" si="20"/>
        <v>45524</v>
      </c>
      <c r="AF33" s="55">
        <f t="shared" ca="1" si="21"/>
        <v>-3.0551487653860394</v>
      </c>
      <c r="AG33" s="55">
        <f t="shared" ca="1" si="22"/>
        <v>0</v>
      </c>
      <c r="AH33" s="55">
        <f t="shared" ca="1" si="23"/>
        <v>0</v>
      </c>
      <c r="AI33" s="55">
        <f t="shared" ca="1" si="17"/>
        <v>-1.7072092462923263</v>
      </c>
      <c r="AJ33" s="55">
        <f t="shared" ca="1" si="18"/>
        <v>12.838691995430208</v>
      </c>
      <c r="AK33" s="55">
        <f t="shared" ca="1" si="19"/>
        <v>-43.372468423800612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45384</v>
      </c>
      <c r="S34" s="55">
        <f t="shared" ca="1" si="11"/>
        <v>45384</v>
      </c>
      <c r="T34" s="55">
        <f t="shared" ca="1" si="0"/>
        <v>194.26700625997265</v>
      </c>
      <c r="U34" s="55">
        <f t="shared" ca="1" si="1"/>
        <v>11.021732984287468</v>
      </c>
      <c r="V34" s="55">
        <f t="shared" ca="1" si="2"/>
        <v>0</v>
      </c>
      <c r="W34" s="55">
        <f t="shared" ca="1" si="12"/>
        <v>0</v>
      </c>
      <c r="X34" s="55">
        <f t="shared" ca="1" si="13"/>
        <v>22.33572825273891</v>
      </c>
      <c r="Y34" s="55">
        <f t="shared" ca="1" si="14"/>
        <v>124.07041222164257</v>
      </c>
      <c r="Z34">
        <f t="shared" ca="1" si="3"/>
        <v>105.48074130869637</v>
      </c>
      <c r="AA34">
        <f t="shared" ca="1" si="15"/>
        <v>0</v>
      </c>
      <c r="AB34">
        <f t="shared" ca="1" si="4"/>
        <v>0</v>
      </c>
      <c r="AC34">
        <f t="shared" ca="1" si="5"/>
        <v>1.7872736834573535E-2</v>
      </c>
      <c r="AD34" s="83">
        <f ca="1"/>
        <v>45525</v>
      </c>
      <c r="AE34" s="55">
        <f t="shared" ca="1" si="20"/>
        <v>45525</v>
      </c>
      <c r="AF34" s="55">
        <f t="shared" ca="1" si="21"/>
        <v>-4.1418355400798035</v>
      </c>
      <c r="AG34" s="55">
        <f t="shared" ca="1" si="22"/>
        <v>0</v>
      </c>
      <c r="AH34" s="55">
        <f t="shared" ca="1" si="23"/>
        <v>0</v>
      </c>
      <c r="AI34" s="55">
        <f t="shared" ca="1" si="17"/>
        <v>-1.7072092462923263</v>
      </c>
      <c r="AJ34" s="55">
        <f t="shared" ca="1" si="18"/>
        <v>13.657390911280965</v>
      </c>
      <c r="AK34" s="55">
        <f t="shared" ca="1" si="19"/>
        <v>-45.277854114345132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45385</v>
      </c>
      <c r="S35" s="55">
        <f t="shared" ca="1" si="11"/>
        <v>45385</v>
      </c>
      <c r="T35" s="55">
        <f t="shared" ca="1" si="0"/>
        <v>197.5251343163622</v>
      </c>
      <c r="U35" s="55">
        <f t="shared" ca="1" si="1"/>
        <v>11.926029622221582</v>
      </c>
      <c r="V35" s="55">
        <f t="shared" ca="1" si="2"/>
        <v>0</v>
      </c>
      <c r="W35" s="55">
        <f t="shared" ca="1" si="12"/>
        <v>0</v>
      </c>
      <c r="X35" s="55">
        <f t="shared" ca="1" si="13"/>
        <v>23.774281779269007</v>
      </c>
      <c r="Y35" s="55">
        <f t="shared" ca="1" si="14"/>
        <v>126.79428338943617</v>
      </c>
      <c r="Z35">
        <f t="shared" ca="1" si="3"/>
        <v>113.59554910124635</v>
      </c>
      <c r="AA35">
        <f t="shared" ca="1" si="15"/>
        <v>0</v>
      </c>
      <c r="AB35">
        <f t="shared" ca="1" si="4"/>
        <v>0</v>
      </c>
      <c r="AC35">
        <f t="shared" ca="1" si="5"/>
        <v>2.9238774745569854E-2</v>
      </c>
      <c r="AD35" s="83">
        <f ca="1"/>
        <v>45526</v>
      </c>
      <c r="AE35" s="55">
        <f t="shared" ca="1" si="20"/>
        <v>45526</v>
      </c>
      <c r="AF35" s="55">
        <f t="shared" ca="1" si="21"/>
        <v>-5.1508081853601393</v>
      </c>
      <c r="AG35" s="55">
        <f t="shared" ca="1" si="22"/>
        <v>0</v>
      </c>
      <c r="AH35" s="55">
        <f t="shared" ca="1" si="23"/>
        <v>0</v>
      </c>
      <c r="AI35" s="55">
        <f t="shared" ca="1" si="17"/>
        <v>-1.7072092462923263</v>
      </c>
      <c r="AJ35" s="55">
        <f t="shared" ca="1" si="18"/>
        <v>14.480875756378236</v>
      </c>
      <c r="AK35" s="55">
        <f t="shared" ca="1" si="19"/>
        <v>-47.110311604722739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41" t="s">
        <v>140</v>
      </c>
      <c r="D36" s="142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45386</v>
      </c>
      <c r="S36" s="55">
        <f t="shared" ca="1" si="11"/>
        <v>45386</v>
      </c>
      <c r="T36" s="55">
        <f t="shared" ca="1" si="0"/>
        <v>200.16489848505802</v>
      </c>
      <c r="U36" s="55">
        <f t="shared" ca="1" si="1"/>
        <v>12.826819756377834</v>
      </c>
      <c r="V36" s="55">
        <f t="shared" ca="1" si="2"/>
        <v>0</v>
      </c>
      <c r="W36" s="55">
        <f t="shared" ca="1" si="12"/>
        <v>0</v>
      </c>
      <c r="X36" s="55">
        <f t="shared" ca="1" si="13"/>
        <v>25.101224018973692</v>
      </c>
      <c r="Y36" s="55">
        <f t="shared" ca="1" si="14"/>
        <v>129.00789545258354</v>
      </c>
      <c r="Z36">
        <f t="shared" ca="1" si="3"/>
        <v>117.57194648664027</v>
      </c>
      <c r="AA36">
        <f t="shared" ca="1" si="15"/>
        <v>0</v>
      </c>
      <c r="AB36">
        <f t="shared" ca="1" si="4"/>
        <v>0</v>
      </c>
      <c r="AC36">
        <f t="shared" ca="1" si="5"/>
        <v>4.5804118032943021E-2</v>
      </c>
      <c r="AD36" s="83">
        <f ca="1"/>
        <v>45527</v>
      </c>
      <c r="AE36" s="55">
        <f t="shared" ca="1" si="20"/>
        <v>45527</v>
      </c>
      <c r="AF36" s="55">
        <f t="shared" ca="1" si="21"/>
        <v>-6.1059382464347953</v>
      </c>
      <c r="AG36" s="55">
        <f t="shared" ca="1" si="22"/>
        <v>0</v>
      </c>
      <c r="AH36" s="55">
        <f t="shared" ca="1" si="23"/>
        <v>0</v>
      </c>
      <c r="AI36" s="55">
        <f t="shared" ca="1" si="17"/>
        <v>-1.7072092462923263</v>
      </c>
      <c r="AJ36" s="55">
        <f t="shared" ca="1" si="18"/>
        <v>15.329954742144503</v>
      </c>
      <c r="AK36" s="55">
        <f t="shared" ca="1" si="19"/>
        <v>-48.914520651563663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45387</v>
      </c>
      <c r="S37" s="55">
        <f t="shared" ca="1" si="11"/>
        <v>45387</v>
      </c>
      <c r="T37" s="55">
        <f t="shared" ca="1" si="0"/>
        <v>202.38266757594772</v>
      </c>
      <c r="U37" s="55">
        <f t="shared" ca="1" si="1"/>
        <v>13.758350889381219</v>
      </c>
      <c r="V37" s="55">
        <f t="shared" ca="1" si="2"/>
        <v>0</v>
      </c>
      <c r="W37" s="55">
        <f t="shared" ca="1" si="12"/>
        <v>0</v>
      </c>
      <c r="X37" s="55">
        <f t="shared" ca="1" si="13"/>
        <v>26.370840569875579</v>
      </c>
      <c r="Y37" s="55">
        <f t="shared" ca="1" si="14"/>
        <v>130.88757912557475</v>
      </c>
      <c r="Z37">
        <f t="shared" ca="1" si="3"/>
        <v>115.38224698154359</v>
      </c>
      <c r="AA37">
        <f t="shared" ca="1" si="15"/>
        <v>0</v>
      </c>
      <c r="AB37">
        <f t="shared" ca="1" si="4"/>
        <v>0</v>
      </c>
      <c r="AC37">
        <f t="shared" ca="1" si="5"/>
        <v>6.9984371371911186E-2</v>
      </c>
      <c r="AD37" s="83">
        <f ca="1"/>
        <v>45528</v>
      </c>
      <c r="AE37" s="55">
        <f t="shared" ca="1" si="20"/>
        <v>45528</v>
      </c>
      <c r="AF37" s="55">
        <f t="shared" ca="1" si="21"/>
        <v>-6.9640139231216374</v>
      </c>
      <c r="AG37" s="55">
        <f t="shared" ca="1" si="22"/>
        <v>0</v>
      </c>
      <c r="AH37" s="55">
        <f t="shared" ca="1" si="23"/>
        <v>0</v>
      </c>
      <c r="AI37" s="55">
        <f t="shared" ca="1" si="17"/>
        <v>-1.7072092462923263</v>
      </c>
      <c r="AJ37" s="55">
        <f t="shared" ca="1" si="18"/>
        <v>16.165136939847759</v>
      </c>
      <c r="AK37" s="55">
        <f t="shared" ca="1" si="19"/>
        <v>-50.607778525953762</v>
      </c>
    </row>
    <row r="38" spans="1:37" s="55" customFormat="1">
      <c r="A38" s="83" t="e">
        <f ca="1"/>
        <v>#N/A</v>
      </c>
      <c r="B38" s="55">
        <f t="shared" ca="1" si="24"/>
        <v>0</v>
      </c>
      <c r="C38" s="123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45388</v>
      </c>
      <c r="S38" s="55">
        <f t="shared" ca="1" si="11"/>
        <v>45388</v>
      </c>
      <c r="T38" s="55">
        <f t="shared" ca="1" si="0"/>
        <v>204.12063817129533</v>
      </c>
      <c r="U38" s="55">
        <f t="shared" ca="1" si="1"/>
        <v>14.681738736708676</v>
      </c>
      <c r="V38" s="55">
        <f t="shared" ca="1" si="2"/>
        <v>0</v>
      </c>
      <c r="W38" s="55">
        <f t="shared" ca="1" si="12"/>
        <v>0</v>
      </c>
      <c r="X38" s="55">
        <f t="shared" ca="1" si="13"/>
        <v>27.515819605357251</v>
      </c>
      <c r="Y38" s="55">
        <f t="shared" ca="1" si="14"/>
        <v>132.40395853276814</v>
      </c>
      <c r="Z38">
        <f t="shared" ca="1" si="3"/>
        <v>113.83759168500021</v>
      </c>
      <c r="AA38">
        <f t="shared" ca="1" si="15"/>
        <v>0</v>
      </c>
      <c r="AB38">
        <f t="shared" ca="1" si="4"/>
        <v>0</v>
      </c>
      <c r="AC38">
        <f t="shared" ca="1" si="5"/>
        <v>0.1025114735255884</v>
      </c>
      <c r="AD38" s="83">
        <f ca="1"/>
        <v>45529</v>
      </c>
      <c r="AE38" s="55">
        <f t="shared" ca="1" si="20"/>
        <v>45529</v>
      </c>
      <c r="AF38" s="55">
        <f t="shared" ca="1" si="21"/>
        <v>-7.8195409234298126</v>
      </c>
      <c r="AG38" s="55">
        <f t="shared" ca="1" si="22"/>
        <v>0</v>
      </c>
      <c r="AH38" s="55">
        <f t="shared" ca="1" si="23"/>
        <v>0</v>
      </c>
      <c r="AI38" s="55">
        <f t="shared" ca="1" si="17"/>
        <v>-1.7072092462923263</v>
      </c>
      <c r="AJ38" s="55">
        <f t="shared" ca="1" si="18"/>
        <v>17.08553867054907</v>
      </c>
      <c r="AK38" s="55">
        <f t="shared" ca="1" si="19"/>
        <v>-52.383707256963248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45389</v>
      </c>
      <c r="S39" s="55">
        <f t="shared" ca="1" si="11"/>
        <v>45389</v>
      </c>
      <c r="T39" s="55">
        <f t="shared" ca="1" si="0"/>
        <v>205.23540747273336</v>
      </c>
      <c r="U39" s="55">
        <f t="shared" ca="1" si="1"/>
        <v>15.711822571668552</v>
      </c>
      <c r="V39" s="55">
        <f t="shared" ca="1" si="2"/>
        <v>0</v>
      </c>
      <c r="W39" s="55">
        <f t="shared" ca="1" si="12"/>
        <v>-0.53457159357609974</v>
      </c>
      <c r="X39" s="55">
        <f t="shared" ca="1" si="13"/>
        <v>28.74103217926427</v>
      </c>
      <c r="Y39" s="55">
        <f t="shared" ca="1" si="14"/>
        <v>133.85817068883512</v>
      </c>
      <c r="Z39">
        <f t="shared" ca="1" si="3"/>
        <v>120</v>
      </c>
      <c r="AA39">
        <f t="shared" ca="1" si="15"/>
        <v>0.38009279728770196</v>
      </c>
      <c r="AB39">
        <f t="shared" ca="1" si="4"/>
        <v>0</v>
      </c>
      <c r="AC39">
        <f t="shared" ca="1" si="5"/>
        <v>0.15018196589113719</v>
      </c>
      <c r="AD39" s="83">
        <f ca="1"/>
        <v>45530</v>
      </c>
      <c r="AE39" s="55">
        <f t="shared" ca="1" si="20"/>
        <v>45530</v>
      </c>
      <c r="AF39" s="55">
        <f t="shared" ca="1" si="21"/>
        <v>-8.5867434350103178</v>
      </c>
      <c r="AG39" s="55">
        <f t="shared" ca="1" si="22"/>
        <v>0</v>
      </c>
      <c r="AH39" s="55">
        <f t="shared" ca="1" si="23"/>
        <v>0</v>
      </c>
      <c r="AI39" s="55">
        <f t="shared" ca="1" si="17"/>
        <v>-1.7072092462923263</v>
      </c>
      <c r="AJ39" s="55">
        <f t="shared" ca="1" si="18"/>
        <v>18.009252581759227</v>
      </c>
      <c r="AK39" s="55">
        <f t="shared" ca="1" si="19"/>
        <v>-54.074623679753913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45390</v>
      </c>
      <c r="S40" s="55">
        <f t="shared" ca="1" si="11"/>
        <v>45390</v>
      </c>
      <c r="T40" s="55">
        <f t="shared" ca="1" si="0"/>
        <v>203.31592454805485</v>
      </c>
      <c r="U40" s="55">
        <f t="shared" ca="1" si="1"/>
        <v>16.855897565950308</v>
      </c>
      <c r="V40" s="55">
        <f t="shared" ca="1" si="2"/>
        <v>0</v>
      </c>
      <c r="W40" s="55">
        <f t="shared" ca="1" si="12"/>
        <v>-3.9478626462537747</v>
      </c>
      <c r="X40" s="55">
        <f t="shared" ca="1" si="13"/>
        <v>30.023706553393062</v>
      </c>
      <c r="Y40" s="55">
        <f t="shared" ca="1" si="14"/>
        <v>135.21337943698725</v>
      </c>
      <c r="Z40">
        <f t="shared" ca="1" si="3"/>
        <v>120</v>
      </c>
      <c r="AA40">
        <f t="shared" ca="1" si="15"/>
        <v>2.8299342404777832</v>
      </c>
      <c r="AB40">
        <f t="shared" ca="1" si="4"/>
        <v>0</v>
      </c>
      <c r="AC40">
        <f t="shared" ca="1" si="5"/>
        <v>0.21758327601477823</v>
      </c>
      <c r="AD40" s="83">
        <f ca="1"/>
        <v>45531</v>
      </c>
      <c r="AE40" s="55">
        <f t="shared" ca="1" si="20"/>
        <v>45531</v>
      </c>
      <c r="AF40" s="55">
        <f t="shared" ca="1" si="21"/>
        <v>-9.2861670644363326</v>
      </c>
      <c r="AG40" s="55">
        <f t="shared" ca="1" si="22"/>
        <v>0</v>
      </c>
      <c r="AH40" s="55">
        <f t="shared" ca="1" si="23"/>
        <v>0</v>
      </c>
      <c r="AI40" s="55">
        <f t="shared" ca="1" si="17"/>
        <v>-1.7072092462923263</v>
      </c>
      <c r="AJ40" s="55">
        <f t="shared" ca="1" si="18"/>
        <v>18.962363386934079</v>
      </c>
      <c r="AK40" s="55">
        <f t="shared" ca="1" si="19"/>
        <v>-55.727158114354779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45391</v>
      </c>
      <c r="S41" s="55">
        <f t="shared" ca="1" si="11"/>
        <v>45391</v>
      </c>
      <c r="T41" s="55">
        <f t="shared" ca="1" si="0"/>
        <v>201.20065662193821</v>
      </c>
      <c r="U41" s="55">
        <f t="shared" ca="1" si="1"/>
        <v>18.092410257366343</v>
      </c>
      <c r="V41" s="55">
        <f t="shared" ca="1" si="2"/>
        <v>0</v>
      </c>
      <c r="W41" s="55">
        <f t="shared" ca="1" si="12"/>
        <v>-7.3400932210706706</v>
      </c>
      <c r="X41" s="55">
        <f t="shared" ca="1" si="13"/>
        <v>31.321338816136226</v>
      </c>
      <c r="Y41" s="55">
        <f t="shared" ca="1" si="14"/>
        <v>136.42922251436039</v>
      </c>
      <c r="Z41">
        <f t="shared" ca="1" si="3"/>
        <v>120</v>
      </c>
      <c r="AA41">
        <f t="shared" ca="1" si="15"/>
        <v>5.2902566428589566</v>
      </c>
      <c r="AB41">
        <f t="shared" ca="1" si="4"/>
        <v>0</v>
      </c>
      <c r="AC41">
        <f t="shared" ca="1" si="5"/>
        <v>0.30531609701216755</v>
      </c>
      <c r="AD41" s="83">
        <f ca="1"/>
        <v>45532</v>
      </c>
      <c r="AE41" s="55">
        <f t="shared" ca="1" si="20"/>
        <v>45532</v>
      </c>
      <c r="AF41" s="55">
        <f t="shared" ca="1" si="21"/>
        <v>-9.8690173898138358</v>
      </c>
      <c r="AG41" s="55">
        <f t="shared" ca="1" si="22"/>
        <v>0</v>
      </c>
      <c r="AH41" s="55">
        <f t="shared" ca="1" si="23"/>
        <v>0</v>
      </c>
      <c r="AI41" s="55">
        <f t="shared" ca="1" si="17"/>
        <v>-1.7072092462923263</v>
      </c>
      <c r="AJ41" s="55">
        <f t="shared" ca="1" si="18"/>
        <v>19.870684751235654</v>
      </c>
      <c r="AK41" s="55">
        <f t="shared" ca="1" si="19"/>
        <v>-57.218329804033857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45392</v>
      </c>
      <c r="S42" s="55">
        <f t="shared" ca="1" si="11"/>
        <v>45392</v>
      </c>
      <c r="T42" s="55">
        <f t="shared" ca="1" si="0"/>
        <v>202.22561069987364</v>
      </c>
      <c r="U42" s="55">
        <f t="shared" ca="1" si="1"/>
        <v>19.39145894755957</v>
      </c>
      <c r="V42" s="55">
        <f t="shared" ca="1" si="2"/>
        <v>0</v>
      </c>
      <c r="W42" s="55">
        <f t="shared" ca="1" si="12"/>
        <v>-7.3400932210706706</v>
      </c>
      <c r="X42" s="55">
        <f t="shared" ca="1" si="13"/>
        <v>32.590506547705353</v>
      </c>
      <c r="Y42" s="55">
        <f t="shared" ca="1" si="14"/>
        <v>137.48405755091991</v>
      </c>
      <c r="Z42">
        <f t="shared" ca="1" si="3"/>
        <v>119.32214779439225</v>
      </c>
      <c r="AA42">
        <f t="shared" ca="1" si="15"/>
        <v>5.2902566428589566</v>
      </c>
      <c r="AB42">
        <f t="shared" ca="1" si="4"/>
        <v>0</v>
      </c>
      <c r="AC42">
        <f t="shared" ca="1" si="5"/>
        <v>0.40789482726806464</v>
      </c>
      <c r="AD42" s="83">
        <f ca="1"/>
        <v>45533</v>
      </c>
      <c r="AE42" s="55">
        <f t="shared" ca="1" si="20"/>
        <v>45533</v>
      </c>
      <c r="AF42" s="55">
        <f t="shared" ca="1" si="21"/>
        <v>-10.398007940019056</v>
      </c>
      <c r="AG42" s="55">
        <f t="shared" ca="1" si="22"/>
        <v>0</v>
      </c>
      <c r="AH42" s="55">
        <f t="shared" ca="1" si="23"/>
        <v>0</v>
      </c>
      <c r="AI42" s="55">
        <f t="shared" ca="1" si="17"/>
        <v>-1.7072092462923263</v>
      </c>
      <c r="AJ42" s="55">
        <f t="shared" ca="1" si="18"/>
        <v>20.827181475149526</v>
      </c>
      <c r="AK42" s="55">
        <f t="shared" ca="1" si="19"/>
        <v>-58.703817078152952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45393</v>
      </c>
      <c r="S43" s="55">
        <f t="shared" ca="1" si="11"/>
        <v>45393</v>
      </c>
      <c r="T43" s="55">
        <f t="shared" ca="1" si="0"/>
        <v>200.9301120159671</v>
      </c>
      <c r="U43" s="55">
        <f t="shared" ca="1" si="1"/>
        <v>20.869329317362226</v>
      </c>
      <c r="V43" s="55">
        <f t="shared" ca="1" si="2"/>
        <v>0</v>
      </c>
      <c r="W43" s="55">
        <f t="shared" ca="1" si="12"/>
        <v>-9.5289641621920911</v>
      </c>
      <c r="X43" s="55">
        <f t="shared" ca="1" si="13"/>
        <v>33.957460117133408</v>
      </c>
      <c r="Y43" s="55">
        <f t="shared" ca="1" si="14"/>
        <v>138.48834660850937</v>
      </c>
      <c r="Z43">
        <f t="shared" ca="1" si="3"/>
        <v>120</v>
      </c>
      <c r="AA43">
        <f t="shared" ca="1" si="15"/>
        <v>6.879942022163533</v>
      </c>
      <c r="AB43">
        <f t="shared" ca="1" si="4"/>
        <v>0</v>
      </c>
      <c r="AC43">
        <f t="shared" ca="1" si="5"/>
        <v>0.52614946853080713</v>
      </c>
      <c r="AD43" s="83">
        <f ca="1"/>
        <v>45534</v>
      </c>
      <c r="AE43" s="55">
        <f t="shared" ca="1" si="20"/>
        <v>45534</v>
      </c>
      <c r="AF43" s="55">
        <f t="shared" ca="1" si="21"/>
        <v>-10.826310859144561</v>
      </c>
      <c r="AG43" s="55">
        <f t="shared" ca="1" si="22"/>
        <v>0</v>
      </c>
      <c r="AH43" s="55">
        <f t="shared" ca="1" si="23"/>
        <v>0</v>
      </c>
      <c r="AI43" s="55">
        <f t="shared" ca="1" si="17"/>
        <v>-1.7072092462923263</v>
      </c>
      <c r="AJ43" s="55">
        <f t="shared" ca="1" si="18"/>
        <v>21.743178660434474</v>
      </c>
      <c r="AK43" s="55">
        <f t="shared" ca="1" si="19"/>
        <v>-60.048117182563402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45383</v>
      </c>
      <c r="C44" s="100" t="s">
        <v>151</v>
      </c>
      <c r="D44" s="102">
        <f ca="1">MAX(CurrentEstablishDate,C38:C43,MAX(C29:C34)+1)</f>
        <v>45383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45394</v>
      </c>
      <c r="S44" s="55">
        <f t="shared" ca="1" si="11"/>
        <v>45394</v>
      </c>
      <c r="T44" s="55">
        <f t="shared" ca="1" si="0"/>
        <v>197.73951291707584</v>
      </c>
      <c r="U44" s="55">
        <f t="shared" ca="1" si="1"/>
        <v>22.401665716176289</v>
      </c>
      <c r="V44" s="55">
        <f t="shared" ca="1" si="2"/>
        <v>0</v>
      </c>
      <c r="W44" s="55">
        <f t="shared" ca="1" si="12"/>
        <v>-13.349586751947474</v>
      </c>
      <c r="X44" s="55">
        <f t="shared" ca="1" si="13"/>
        <v>35.269697729354945</v>
      </c>
      <c r="Y44" s="55">
        <f t="shared" ca="1" si="14"/>
        <v>139.33846888596602</v>
      </c>
      <c r="Z44">
        <f t="shared" ca="1" si="3"/>
        <v>120</v>
      </c>
      <c r="AA44">
        <f t="shared" ca="1" si="15"/>
        <v>9.6994720859942944</v>
      </c>
      <c r="AB44">
        <f t="shared" ca="1" si="4"/>
        <v>0</v>
      </c>
      <c r="AC44">
        <f t="shared" ca="1" si="5"/>
        <v>0.63797517280080096</v>
      </c>
      <c r="AD44" s="83">
        <f ca="1"/>
        <v>45535</v>
      </c>
      <c r="AE44" s="55">
        <f t="shared" ca="1" si="20"/>
        <v>45535</v>
      </c>
      <c r="AF44" s="55">
        <f t="shared" ca="1" si="21"/>
        <v>-11.164533825498648</v>
      </c>
      <c r="AG44" s="55">
        <f t="shared" ca="1" si="22"/>
        <v>0</v>
      </c>
      <c r="AH44" s="55">
        <f t="shared" ca="1" si="23"/>
        <v>0</v>
      </c>
      <c r="AI44" s="55">
        <f t="shared" ca="1" si="17"/>
        <v>-1.7072092462923263</v>
      </c>
      <c r="AJ44" s="55">
        <f t="shared" ca="1" si="18"/>
        <v>22.61195945763464</v>
      </c>
      <c r="AK44" s="55">
        <f t="shared" ca="1" si="19"/>
        <v>-61.255120946117657</v>
      </c>
    </row>
    <row r="45" spans="1:37" s="55" customFormat="1">
      <c r="R45" s="83">
        <f ca="1"/>
        <v>45395</v>
      </c>
      <c r="S45" s="55">
        <f t="shared" ca="1" si="11"/>
        <v>45395</v>
      </c>
      <c r="T45" s="55">
        <f t="shared" ca="1" si="0"/>
        <v>194.37265353707363</v>
      </c>
      <c r="U45" s="55">
        <f t="shared" ca="1" si="1"/>
        <v>23.906249398664773</v>
      </c>
      <c r="V45" s="55">
        <f t="shared" ca="1" si="2"/>
        <v>0</v>
      </c>
      <c r="W45" s="55">
        <f t="shared" ca="1" si="12"/>
        <v>-17.083047444928866</v>
      </c>
      <c r="X45" s="55">
        <f t="shared" ca="1" si="13"/>
        <v>36.457062576081825</v>
      </c>
      <c r="Y45" s="55">
        <f t="shared" ca="1" si="14"/>
        <v>140.02228903470683</v>
      </c>
      <c r="Z45">
        <f t="shared" ca="1" si="3"/>
        <v>120</v>
      </c>
      <c r="AA45">
        <f t="shared" ca="1" si="15"/>
        <v>12.502403495553267</v>
      </c>
      <c r="AB45">
        <f t="shared" ca="1" si="4"/>
        <v>0</v>
      </c>
      <c r="AC45">
        <f t="shared" ca="1" si="5"/>
        <v>0.72940935725489608</v>
      </c>
      <c r="AD45" s="83">
        <f ca="1"/>
        <v>45536</v>
      </c>
      <c r="AE45" s="55">
        <f t="shared" ca="1" si="20"/>
        <v>45536</v>
      </c>
      <c r="AF45" s="55">
        <f t="shared" ca="1" si="21"/>
        <v>-11.42824255553349</v>
      </c>
      <c r="AG45" s="55">
        <f t="shared" ca="1" si="22"/>
        <v>0</v>
      </c>
      <c r="AH45" s="55">
        <f t="shared" ca="1" si="23"/>
        <v>0</v>
      </c>
      <c r="AI45" s="55">
        <f t="shared" ca="1" si="17"/>
        <v>-1.7072092462923263</v>
      </c>
      <c r="AJ45" s="55">
        <f t="shared" ca="1" si="18"/>
        <v>23.442312326204352</v>
      </c>
      <c r="AK45" s="55">
        <f t="shared" ca="1" si="19"/>
        <v>-62.349182544722211</v>
      </c>
    </row>
    <row r="46" spans="1:37" s="55" customFormat="1" ht="15.75" thickBot="1">
      <c r="C46" s="138" t="s">
        <v>155</v>
      </c>
      <c r="D46" s="138"/>
      <c r="E46" s="138"/>
      <c r="F46" s="138"/>
      <c r="G46" s="138"/>
      <c r="H46" s="138"/>
      <c r="R46" s="83">
        <f ca="1"/>
        <v>45396</v>
      </c>
      <c r="S46" s="55">
        <f t="shared" ca="1" si="11"/>
        <v>45396</v>
      </c>
      <c r="T46" s="55">
        <f t="shared" ca="1" si="0"/>
        <v>194.57988722892642</v>
      </c>
      <c r="U46" s="55">
        <f t="shared" ca="1" si="1"/>
        <v>25.540378420035722</v>
      </c>
      <c r="V46" s="55">
        <f t="shared" ca="1" si="2"/>
        <v>0</v>
      </c>
      <c r="W46" s="55">
        <f t="shared" ca="1" si="12"/>
        <v>-17.083047444928866</v>
      </c>
      <c r="X46" s="55">
        <f t="shared" ca="1" si="13"/>
        <v>37.673072820600765</v>
      </c>
      <c r="Y46" s="55">
        <f t="shared" ca="1" si="14"/>
        <v>140.64764150341162</v>
      </c>
      <c r="Z46">
        <f t="shared" ca="1" si="3"/>
        <v>117.41124636941518</v>
      </c>
      <c r="AA46">
        <f t="shared" ca="1" si="15"/>
        <v>12.502403495553267</v>
      </c>
      <c r="AB46">
        <f t="shared" ca="1" si="4"/>
        <v>0</v>
      </c>
      <c r="AC46">
        <f t="shared" ca="1" si="5"/>
        <v>0.80617184299751954</v>
      </c>
      <c r="AD46" s="83">
        <f ca="1"/>
        <v>45537</v>
      </c>
      <c r="AE46" s="55">
        <f t="shared" ca="1" si="20"/>
        <v>45537</v>
      </c>
      <c r="AF46" s="55">
        <f t="shared" ca="1" si="21"/>
        <v>-11.637511016811377</v>
      </c>
      <c r="AG46" s="55">
        <f t="shared" ca="1" si="22"/>
        <v>0</v>
      </c>
      <c r="AH46" s="55">
        <f t="shared" ca="1" si="23"/>
        <v>0</v>
      </c>
      <c r="AI46" s="55">
        <f t="shared" ca="1" si="17"/>
        <v>-1.7072092462923263</v>
      </c>
      <c r="AJ46" s="55">
        <f t="shared" ca="1" si="18"/>
        <v>24.28026217698082</v>
      </c>
      <c r="AK46" s="55">
        <f t="shared" ca="1" si="19"/>
        <v>-63.396400856776566</v>
      </c>
    </row>
    <row r="47" spans="1:37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45397</v>
      </c>
      <c r="S47" s="55">
        <f t="shared" ca="1" si="11"/>
        <v>45397</v>
      </c>
      <c r="T47" s="55">
        <f t="shared" ca="1" si="0"/>
        <v>188.5044976192772</v>
      </c>
      <c r="U47" s="55">
        <f t="shared" ca="1" si="1"/>
        <v>27.298576094890709</v>
      </c>
      <c r="V47" s="55">
        <f t="shared" ca="1" si="2"/>
        <v>0</v>
      </c>
      <c r="W47" s="55">
        <f t="shared" ca="1" si="12"/>
        <v>-23.195179144105211</v>
      </c>
      <c r="X47" s="55">
        <f t="shared" ca="1" si="13"/>
        <v>38.904003362342301</v>
      </c>
      <c r="Y47" s="55">
        <f t="shared" ca="1" si="14"/>
        <v>141.21165072605217</v>
      </c>
      <c r="Z47">
        <f t="shared" ca="1" si="3"/>
        <v>120</v>
      </c>
      <c r="AA47">
        <f t="shared" ca="1" si="15"/>
        <v>17.233992755915352</v>
      </c>
      <c r="AB47">
        <f t="shared" ca="1" si="4"/>
        <v>0</v>
      </c>
      <c r="AC47">
        <f t="shared" ca="1" si="5"/>
        <v>0.86570215455357258</v>
      </c>
      <c r="AD47" s="83">
        <f ca="1"/>
        <v>45538</v>
      </c>
      <c r="AE47" s="55">
        <f t="shared" ca="1" si="20"/>
        <v>45538</v>
      </c>
      <c r="AF47" s="55">
        <f t="shared" ca="1" si="21"/>
        <v>-11.795590201110565</v>
      </c>
      <c r="AG47" s="55">
        <f t="shared" ca="1" si="22"/>
        <v>0</v>
      </c>
      <c r="AH47" s="55">
        <f t="shared" ca="1" si="23"/>
        <v>0</v>
      </c>
      <c r="AI47" s="55">
        <f t="shared" ca="1" si="17"/>
        <v>-1.7072092462923263</v>
      </c>
      <c r="AJ47" s="55">
        <f t="shared" ca="1" si="18"/>
        <v>25.143737472768212</v>
      </c>
      <c r="AK47" s="55">
        <f t="shared" ca="1" si="19"/>
        <v>-64.417955336863145</v>
      </c>
    </row>
    <row r="48" spans="1:37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45398</v>
      </c>
      <c r="S48" s="55">
        <f t="shared" ca="1" si="11"/>
        <v>45398</v>
      </c>
      <c r="T48" s="55">
        <f t="shared" ca="1" si="0"/>
        <v>185.84186971248701</v>
      </c>
      <c r="U48" s="55">
        <f t="shared" ca="1" si="1"/>
        <v>29.132024980866522</v>
      </c>
      <c r="V48" s="55">
        <f t="shared" ca="1" si="2"/>
        <v>0</v>
      </c>
      <c r="W48" s="55">
        <f t="shared" ca="1" si="12"/>
        <v>-25.71680882863896</v>
      </c>
      <c r="X48" s="55">
        <f t="shared" ca="1" si="13"/>
        <v>40.105638558748041</v>
      </c>
      <c r="Y48" s="55">
        <f t="shared" ca="1" si="14"/>
        <v>141.70246619336578</v>
      </c>
      <c r="Z48">
        <f t="shared" ca="1" si="3"/>
        <v>120</v>
      </c>
      <c r="AA48">
        <f t="shared" ca="1" si="15"/>
        <v>19.214031976189418</v>
      </c>
      <c r="AB48">
        <f t="shared" ca="1" si="4"/>
        <v>0</v>
      </c>
      <c r="AC48">
        <f t="shared" ca="1" si="5"/>
        <v>0.90828314887743733</v>
      </c>
      <c r="AD48" s="83">
        <f ca="1"/>
        <v>45539</v>
      </c>
      <c r="AE48" s="55">
        <f t="shared" ca="1" si="20"/>
        <v>45539</v>
      </c>
      <c r="AF48" s="55">
        <f t="shared" ca="1" si="21"/>
        <v>-11.895340997975943</v>
      </c>
      <c r="AG48" s="55">
        <f t="shared" ca="1" si="22"/>
        <v>0</v>
      </c>
      <c r="AH48" s="55">
        <f t="shared" ca="1" si="23"/>
        <v>0</v>
      </c>
      <c r="AI48" s="55">
        <f t="shared" ca="1" si="17"/>
        <v>-1.7072092462923263</v>
      </c>
      <c r="AJ48" s="55">
        <f t="shared" ca="1" si="18"/>
        <v>25.983420076648805</v>
      </c>
      <c r="AK48" s="55">
        <f t="shared" ca="1" si="19"/>
        <v>-65.357388737609114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89</v>
      </c>
      <c r="H49" s="72"/>
      <c r="R49" s="83">
        <f ca="1"/>
        <v>45399</v>
      </c>
      <c r="S49" s="55">
        <f t="shared" ca="1" si="11"/>
        <v>45399</v>
      </c>
      <c r="T49" s="55">
        <f t="shared" ca="1" si="0"/>
        <v>184.55367076125304</v>
      </c>
      <c r="U49" s="55">
        <f t="shared" ca="1" si="1"/>
        <v>31.08704908187558</v>
      </c>
      <c r="V49" s="55">
        <f t="shared" ca="1" si="2"/>
        <v>0</v>
      </c>
      <c r="W49" s="55">
        <f t="shared" ca="1" si="12"/>
        <v>-26.695582818571385</v>
      </c>
      <c r="X49" s="55">
        <f t="shared" ca="1" si="13"/>
        <v>41.311618768052888</v>
      </c>
      <c r="Y49" s="55">
        <f t="shared" ca="1" si="14"/>
        <v>142.14208512376845</v>
      </c>
      <c r="Z49">
        <f t="shared" ca="1" si="3"/>
        <v>120</v>
      </c>
      <c r="AA49">
        <f t="shared" ca="1" si="15"/>
        <v>19.987951464165924</v>
      </c>
      <c r="AB49">
        <f t="shared" ca="1" si="4"/>
        <v>0</v>
      </c>
      <c r="AC49">
        <f t="shared" ca="1" si="5"/>
        <v>0.93840093945221248</v>
      </c>
      <c r="AD49" s="83">
        <f ca="1"/>
        <v>45540</v>
      </c>
      <c r="AE49" s="55">
        <f t="shared" ca="1" si="20"/>
        <v>45540</v>
      </c>
      <c r="AF49" s="55">
        <f t="shared" ca="1" si="21"/>
        <v>-11.945085115856175</v>
      </c>
      <c r="AG49" s="55">
        <f t="shared" ca="1" si="22"/>
        <v>0</v>
      </c>
      <c r="AH49" s="55">
        <f t="shared" ca="1" si="23"/>
        <v>0</v>
      </c>
      <c r="AI49" s="55">
        <f t="shared" ca="1" si="17"/>
        <v>-1.7072092462923263</v>
      </c>
      <c r="AJ49" s="55">
        <f t="shared" ca="1" si="18"/>
        <v>26.870394468537015</v>
      </c>
      <c r="AK49" s="55">
        <f t="shared" ca="1" si="19"/>
        <v>-66.294107247377553</v>
      </c>
    </row>
    <row r="50" spans="2:37" s="55" customFormat="1">
      <c r="B50" s="90">
        <f>IF(PriorUnits="kg/head",PriorYield*PriorPopulation/1000,IF(PriorUnits="kg/ha",PriorYield/1000,PriorYield))</f>
        <v>20</v>
      </c>
      <c r="C50" s="64" t="s">
        <v>152</v>
      </c>
      <c r="D50" s="65" t="str">
        <f>PriorCropName&amp;" "&amp;PriorCropType&amp;" "&amp;PriorCropVariety</f>
        <v>Broccoli Vegetable General</v>
      </c>
      <c r="F50" s="56"/>
      <c r="R50" s="83">
        <f ca="1"/>
        <v>45400</v>
      </c>
      <c r="S50" s="55">
        <f t="shared" ca="1" si="11"/>
        <v>45400</v>
      </c>
      <c r="T50" s="55">
        <f t="shared" ca="1" si="0"/>
        <v>184.09091621098102</v>
      </c>
      <c r="U50" s="55">
        <f t="shared" ca="1" si="1"/>
        <v>33.049290367242307</v>
      </c>
      <c r="V50" s="55">
        <f t="shared" ca="1" si="2"/>
        <v>0</v>
      </c>
      <c r="W50" s="55">
        <f t="shared" ca="1" si="12"/>
        <v>-26.695582818571385</v>
      </c>
      <c r="X50" s="55">
        <f t="shared" ca="1" si="13"/>
        <v>42.442110271562115</v>
      </c>
      <c r="Y50" s="55">
        <f t="shared" ca="1" si="14"/>
        <v>142.51108035535393</v>
      </c>
      <c r="Z50">
        <f t="shared" ca="1" si="3"/>
        <v>119.77015895675954</v>
      </c>
      <c r="AA50">
        <f t="shared" ca="1" si="15"/>
        <v>19.987951464165924</v>
      </c>
      <c r="AB50">
        <f t="shared" ca="1" si="4"/>
        <v>0</v>
      </c>
      <c r="AC50">
        <f t="shared" ca="1" si="5"/>
        <v>0.95815345159705045</v>
      </c>
      <c r="AD50" s="83">
        <f ca="1"/>
        <v>45541</v>
      </c>
      <c r="AE50" s="55">
        <f t="shared" ca="1" si="20"/>
        <v>45541</v>
      </c>
      <c r="AF50" s="55">
        <f t="shared" ca="1" si="21"/>
        <v>-11.938429505131387</v>
      </c>
      <c r="AG50" s="55">
        <f t="shared" ca="1" si="22"/>
        <v>0</v>
      </c>
      <c r="AH50" s="55">
        <f t="shared" ca="1" si="23"/>
        <v>0</v>
      </c>
      <c r="AI50" s="55">
        <f t="shared" ca="1" si="17"/>
        <v>-1.7072092462923263</v>
      </c>
      <c r="AJ50" s="55">
        <f t="shared" ca="1" si="18"/>
        <v>27.795582874545129</v>
      </c>
      <c r="AK50" s="55">
        <f t="shared" ca="1" si="19"/>
        <v>-67.21264004266088</v>
      </c>
    </row>
    <row r="51" spans="2:37" s="55" customFormat="1">
      <c r="C51" s="61" t="s">
        <v>4</v>
      </c>
      <c r="D51" s="68">
        <f ca="1">IF(E51="",CurrentEstablishDate-60,E51)</f>
        <v>45323</v>
      </c>
      <c r="E51" s="67"/>
      <c r="F51" s="61" t="s">
        <v>147</v>
      </c>
      <c r="G51" s="84" t="str">
        <f>IF(H51="",VLOOKUP(PriorCropNameFull,CropCoefficients,13,FALSE),H51)</f>
        <v>Seedling</v>
      </c>
      <c r="H51" s="72"/>
      <c r="R51" s="83">
        <f ca="1"/>
        <v>45401</v>
      </c>
      <c r="S51" s="55">
        <f t="shared" ca="1" si="11"/>
        <v>45401</v>
      </c>
      <c r="T51" s="55">
        <f t="shared" ca="1" si="0"/>
        <v>183.43177559712785</v>
      </c>
      <c r="U51" s="55">
        <f t="shared" ca="1" si="1"/>
        <v>35.348655034020268</v>
      </c>
      <c r="V51" s="55">
        <f t="shared" ca="1" si="2"/>
        <v>0</v>
      </c>
      <c r="W51" s="55">
        <f t="shared" ca="1" si="12"/>
        <v>-26.695582818571385</v>
      </c>
      <c r="X51" s="55">
        <f t="shared" ca="1" si="13"/>
        <v>43.712175738462925</v>
      </c>
      <c r="Y51" s="55">
        <f t="shared" ca="1" si="14"/>
        <v>142.88123894137792</v>
      </c>
      <c r="Z51">
        <f t="shared" ca="1" si="3"/>
        <v>118.57758266885497</v>
      </c>
      <c r="AA51">
        <f t="shared" ca="1" si="15"/>
        <v>19.987951464165924</v>
      </c>
      <c r="AB51">
        <f t="shared" ca="1" si="4"/>
        <v>0</v>
      </c>
      <c r="AC51">
        <f t="shared" ca="1" si="5"/>
        <v>0.97289862194606469</v>
      </c>
      <c r="AD51" s="83">
        <f ca="1"/>
        <v>45542</v>
      </c>
      <c r="AE51" s="55">
        <f t="shared" ca="1" si="20"/>
        <v>45542</v>
      </c>
      <c r="AF51" s="55">
        <f t="shared" ca="1" si="21"/>
        <v>-11.876054008514517</v>
      </c>
      <c r="AG51" s="55">
        <f t="shared" ca="1" si="22"/>
        <v>0</v>
      </c>
      <c r="AH51" s="55">
        <f t="shared" ca="1" si="23"/>
        <v>0</v>
      </c>
      <c r="AI51" s="55">
        <f t="shared" ca="1" si="17"/>
        <v>-1.7072092462923263</v>
      </c>
      <c r="AJ51" s="55">
        <f t="shared" ca="1" si="18"/>
        <v>28.703904238846704</v>
      </c>
      <c r="AK51" s="55">
        <f t="shared" ca="1" si="19"/>
        <v>-68.058585910345585</v>
      </c>
    </row>
    <row r="52" spans="2:37" s="55" customFormat="1">
      <c r="C52" s="61" t="s">
        <v>5</v>
      </c>
      <c r="D52" s="68">
        <f ca="1">IF(E52="",CurrentEstablishDate-15,E52)</f>
        <v>45368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45402</v>
      </c>
      <c r="S52" s="55">
        <f t="shared" ca="1" si="11"/>
        <v>45402</v>
      </c>
      <c r="T52" s="55">
        <f t="shared" ca="1" si="0"/>
        <v>182.58369216999844</v>
      </c>
      <c r="U52" s="55">
        <f t="shared" ca="1" si="1"/>
        <v>37.79348047679607</v>
      </c>
      <c r="V52" s="55">
        <f t="shared" ca="1" si="2"/>
        <v>0</v>
      </c>
      <c r="W52" s="55">
        <f t="shared" ca="1" si="12"/>
        <v>-26.695582818571385</v>
      </c>
      <c r="X52" s="55">
        <f t="shared" ca="1" si="13"/>
        <v>44.980894747362285</v>
      </c>
      <c r="Y52" s="55">
        <f t="shared" ca="1" si="14"/>
        <v>143.20926194812495</v>
      </c>
      <c r="Z52">
        <f t="shared" ca="1" si="3"/>
        <v>119.84070504447044</v>
      </c>
      <c r="AA52">
        <f t="shared" ca="1" si="15"/>
        <v>19.987951464165924</v>
      </c>
      <c r="AB52">
        <f t="shared" ca="1" si="4"/>
        <v>0</v>
      </c>
      <c r="AC52">
        <f t="shared" ca="1" si="5"/>
        <v>0.98253605473490235</v>
      </c>
      <c r="AD52" s="83">
        <f ca="1"/>
        <v>45543</v>
      </c>
      <c r="AE52" s="55">
        <f t="shared" ca="1" si="20"/>
        <v>45543</v>
      </c>
      <c r="AF52" s="55">
        <f t="shared" ca="1" si="21"/>
        <v>-11.77313899499806</v>
      </c>
      <c r="AG52" s="55">
        <f t="shared" ca="1" si="22"/>
        <v>0</v>
      </c>
      <c r="AH52" s="55">
        <f t="shared" ca="1" si="23"/>
        <v>0</v>
      </c>
      <c r="AI52" s="55">
        <f t="shared" ca="1" si="17"/>
        <v>-1.7072092462923263</v>
      </c>
      <c r="AJ52" s="55">
        <f t="shared" ca="1" si="18"/>
        <v>29.530131917080656</v>
      </c>
      <c r="AK52" s="55">
        <f t="shared" ca="1" si="19"/>
        <v>-68.781898575063082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45403</v>
      </c>
      <c r="S53" s="55">
        <f t="shared" ca="1" si="11"/>
        <v>45403</v>
      </c>
      <c r="T53" s="55">
        <f t="shared" ca="1" si="0"/>
        <v>181.58344387565057</v>
      </c>
      <c r="U53" s="55">
        <f t="shared" ca="1" si="1"/>
        <v>40.266101085249694</v>
      </c>
      <c r="V53" s="55">
        <f t="shared" ca="1" si="2"/>
        <v>0</v>
      </c>
      <c r="W53" s="55">
        <f t="shared" ca="1" si="12"/>
        <v>-26.695582818571385</v>
      </c>
      <c r="X53" s="55">
        <f t="shared" ca="1" si="13"/>
        <v>46.177761533846947</v>
      </c>
      <c r="Y53" s="55">
        <f t="shared" ca="1" si="14"/>
        <v>143.48476747574605</v>
      </c>
      <c r="Z53">
        <f t="shared" ca="1" si="3"/>
        <v>117.86626702539553</v>
      </c>
      <c r="AA53">
        <f t="shared" ca="1" si="15"/>
        <v>19.987951464165924</v>
      </c>
      <c r="AB53">
        <f t="shared" ca="1" si="4"/>
        <v>0</v>
      </c>
      <c r="AC53">
        <f t="shared" ca="1" si="5"/>
        <v>0.98854632814375332</v>
      </c>
      <c r="AD53" s="83">
        <f ca="1"/>
        <v>45544</v>
      </c>
      <c r="AE53" s="55">
        <f t="shared" ca="1" si="20"/>
        <v>45544</v>
      </c>
      <c r="AF53" s="55">
        <f t="shared" ca="1" si="21"/>
        <v>-11.619870824516548</v>
      </c>
      <c r="AG53" s="55">
        <f t="shared" ca="1" si="22"/>
        <v>0</v>
      </c>
      <c r="AH53" s="55">
        <f t="shared" ca="1" si="23"/>
        <v>0</v>
      </c>
      <c r="AI53" s="55">
        <f t="shared" ca="1" si="17"/>
        <v>-1.7072092462923263</v>
      </c>
      <c r="AJ53" s="55">
        <f t="shared" ca="1" si="18"/>
        <v>30.396080540091326</v>
      </c>
      <c r="AK53" s="55">
        <f t="shared" ca="1" si="19"/>
        <v>-69.494579027592238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45404</v>
      </c>
      <c r="S54" s="55">
        <f t="shared" ca="1" si="11"/>
        <v>45404</v>
      </c>
      <c r="T54" s="55">
        <f t="shared" ca="1" si="0"/>
        <v>180.3765598185758</v>
      </c>
      <c r="U54" s="55">
        <f t="shared" ca="1" si="1"/>
        <v>42.949072547894929</v>
      </c>
      <c r="V54" s="55">
        <f t="shared" ca="1" si="2"/>
        <v>0</v>
      </c>
      <c r="W54" s="55">
        <f t="shared" ca="1" si="12"/>
        <v>-26.695582818571385</v>
      </c>
      <c r="X54" s="55">
        <f t="shared" ca="1" si="13"/>
        <v>47.402271429597924</v>
      </c>
      <c r="Y54" s="55">
        <f t="shared" ca="1" si="14"/>
        <v>143.73634498556555</v>
      </c>
      <c r="Z54">
        <f t="shared" ca="1" si="3"/>
        <v>114.83151639842745</v>
      </c>
      <c r="AA54">
        <f t="shared" ca="1" si="15"/>
        <v>19.987951464165924</v>
      </c>
      <c r="AB54">
        <f t="shared" ca="1" si="4"/>
        <v>0</v>
      </c>
      <c r="AC54">
        <f t="shared" ca="1" si="5"/>
        <v>0.99257771804231087</v>
      </c>
      <c r="AD54" s="83">
        <f ca="1"/>
        <v>45545</v>
      </c>
      <c r="AE54" s="55">
        <f t="shared" ca="1" si="20"/>
        <v>45545</v>
      </c>
      <c r="AF54" s="55">
        <f t="shared" ca="1" si="21"/>
        <v>-11.409680480343738</v>
      </c>
      <c r="AG54" s="55">
        <f t="shared" ca="1" si="22"/>
        <v>0</v>
      </c>
      <c r="AH54" s="55">
        <f t="shared" ca="1" si="23"/>
        <v>0</v>
      </c>
      <c r="AI54" s="55">
        <f t="shared" ca="1" si="17"/>
        <v>-1.7072092462923263</v>
      </c>
      <c r="AJ54" s="55">
        <f t="shared" ca="1" si="18"/>
        <v>31.30988046207635</v>
      </c>
      <c r="AK54" s="55">
        <f t="shared" ca="1" si="19"/>
        <v>-70.198188605404454</v>
      </c>
    </row>
    <row r="55" spans="2:37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160</v>
      </c>
      <c r="G55" s="85" t="str">
        <f>IF(H55="","Full (Plough)",H55)</f>
        <v>Full (Plough)</v>
      </c>
      <c r="H55" s="72"/>
      <c r="R55" s="83">
        <f ca="1"/>
        <v>45405</v>
      </c>
      <c r="S55" s="55">
        <f t="shared" ca="1" si="11"/>
        <v>45405</v>
      </c>
      <c r="T55" s="55">
        <f t="shared" ca="1" si="0"/>
        <v>178.91072069051316</v>
      </c>
      <c r="U55" s="55">
        <f t="shared" ca="1" si="1"/>
        <v>45.985444823689839</v>
      </c>
      <c r="V55" s="55">
        <f t="shared" ca="1" si="2"/>
        <v>0</v>
      </c>
      <c r="W55" s="55">
        <f t="shared" ca="1" si="12"/>
        <v>-26.695582818571385</v>
      </c>
      <c r="X55" s="55">
        <f t="shared" ca="1" si="13"/>
        <v>48.730597321432377</v>
      </c>
      <c r="Y55" s="55">
        <f t="shared" ca="1" si="14"/>
        <v>143.97855224146338</v>
      </c>
      <c r="Z55">
        <f t="shared" ca="1" si="3"/>
        <v>116.96087669036955</v>
      </c>
      <c r="AA55">
        <f t="shared" ca="1" si="15"/>
        <v>19.987951464165924</v>
      </c>
      <c r="AB55">
        <f t="shared" ca="1" si="4"/>
        <v>0</v>
      </c>
      <c r="AC55">
        <f t="shared" ca="1" si="5"/>
        <v>0.99533179736480937</v>
      </c>
      <c r="AD55" s="83">
        <f ca="1"/>
        <v>45546</v>
      </c>
      <c r="AE55" s="55">
        <f t="shared" ca="1" si="20"/>
        <v>45546</v>
      </c>
      <c r="AF55" s="55">
        <f t="shared" ca="1" si="21"/>
        <v>-11.156753536602286</v>
      </c>
      <c r="AG55" s="55">
        <f t="shared" ca="1" si="22"/>
        <v>0</v>
      </c>
      <c r="AH55" s="55">
        <f t="shared" ca="1" si="23"/>
        <v>0</v>
      </c>
      <c r="AI55" s="55">
        <f t="shared" ca="1" si="17"/>
        <v>-1.7072092462923263</v>
      </c>
      <c r="AJ55" s="55">
        <f t="shared" ca="1" si="18"/>
        <v>32.207307216669328</v>
      </c>
      <c r="AK55" s="55">
        <f t="shared" ca="1" si="19"/>
        <v>-70.842688416255982</v>
      </c>
    </row>
    <row r="56" spans="2:37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Interface'!S5,0)&amp;" kg N/ha to the current crop"</f>
        <v>Previous crop residues are providing 147 kg N/ha to the current crop</v>
      </c>
      <c r="R56" s="83">
        <f ca="1"/>
        <v>45406</v>
      </c>
      <c r="S56" s="55">
        <f t="shared" ca="1" si="11"/>
        <v>45406</v>
      </c>
      <c r="T56" s="55">
        <f t="shared" ca="1" si="0"/>
        <v>171.89956552555148</v>
      </c>
      <c r="U56" s="55">
        <f t="shared" ca="1" si="1"/>
        <v>49.12384090789363</v>
      </c>
      <c r="V56" s="55">
        <f t="shared" ca="1" si="2"/>
        <v>0</v>
      </c>
      <c r="W56" s="55">
        <f t="shared" ca="1" si="12"/>
        <v>-32.059686712801373</v>
      </c>
      <c r="X56" s="55">
        <f t="shared" ca="1" si="13"/>
        <v>50.014627147900413</v>
      </c>
      <c r="Y56" s="55">
        <f t="shared" ca="1" si="14"/>
        <v>144.18586722846743</v>
      </c>
      <c r="Z56">
        <f t="shared" ca="1" si="3"/>
        <v>120</v>
      </c>
      <c r="AA56">
        <f t="shared" ca="1" si="15"/>
        <v>24.541588938228905</v>
      </c>
      <c r="AB56">
        <f t="shared" ca="1" si="4"/>
        <v>0</v>
      </c>
      <c r="AC56">
        <f t="shared" ca="1" si="5"/>
        <v>0.9970295418638061</v>
      </c>
      <c r="AD56" s="83">
        <f ca="1"/>
        <v>45547</v>
      </c>
      <c r="AE56" s="55">
        <f t="shared" ca="1" si="20"/>
        <v>45547</v>
      </c>
      <c r="AF56" s="55">
        <f t="shared" ca="1" si="21"/>
        <v>-10.835423339020219</v>
      </c>
      <c r="AG56" s="55">
        <f t="shared" ca="1" si="22"/>
        <v>0</v>
      </c>
      <c r="AH56" s="55">
        <f t="shared" ca="1" si="23"/>
        <v>0</v>
      </c>
      <c r="AI56" s="55">
        <f t="shared" ca="1" si="17"/>
        <v>-1.7072092462923263</v>
      </c>
      <c r="AJ56" s="55">
        <f t="shared" ca="1" si="18"/>
        <v>33.172491216120882</v>
      </c>
      <c r="AK56" s="55">
        <f t="shared" ca="1" si="19"/>
        <v>-71.486542218125464</v>
      </c>
    </row>
    <row r="57" spans="2:37" s="55" customFormat="1" ht="15.75" thickBot="1">
      <c r="C57" s="138" t="s">
        <v>156</v>
      </c>
      <c r="D57" s="138"/>
      <c r="E57" s="138"/>
      <c r="F57" s="138"/>
      <c r="G57" s="138"/>
      <c r="H57" s="138"/>
      <c r="R57" s="83">
        <f ca="1"/>
        <v>45407</v>
      </c>
      <c r="S57" s="55">
        <f t="shared" ca="1" si="11"/>
        <v>45407</v>
      </c>
      <c r="T57" s="55">
        <f t="shared" ca="1" si="0"/>
        <v>170.09411290986336</v>
      </c>
      <c r="U57" s="55">
        <f t="shared" ca="1" si="1"/>
        <v>52.339137794425497</v>
      </c>
      <c r="V57" s="55">
        <f t="shared" ca="1" si="2"/>
        <v>0</v>
      </c>
      <c r="W57" s="55">
        <f t="shared" ca="1" si="12"/>
        <v>-32.059686712801373</v>
      </c>
      <c r="X57" s="55">
        <f t="shared" ca="1" si="13"/>
        <v>51.247320340888969</v>
      </c>
      <c r="Y57" s="55">
        <f t="shared" ca="1" si="14"/>
        <v>144.3630183063226</v>
      </c>
      <c r="Z57">
        <f t="shared" ca="1" si="3"/>
        <v>118.22992830627587</v>
      </c>
      <c r="AA57">
        <f t="shared" ca="1" si="15"/>
        <v>24.541588938228905</v>
      </c>
      <c r="AB57">
        <f t="shared" ca="1" si="4"/>
        <v>0</v>
      </c>
      <c r="AC57">
        <f t="shared" ca="1" si="5"/>
        <v>0.99808236796305716</v>
      </c>
      <c r="AD57" s="83">
        <f ca="1"/>
        <v>45548</v>
      </c>
      <c r="AE57" s="55">
        <f t="shared" ca="1" si="20"/>
        <v>45548</v>
      </c>
      <c r="AF57" s="55">
        <f t="shared" ca="1" si="21"/>
        <v>-10.469464374974045</v>
      </c>
      <c r="AG57" s="55">
        <f t="shared" ca="1" si="22"/>
        <v>0</v>
      </c>
      <c r="AH57" s="55">
        <f t="shared" ca="1" si="23"/>
        <v>0</v>
      </c>
      <c r="AI57" s="55">
        <f t="shared" ca="1" si="17"/>
        <v>-1.7072092462923263</v>
      </c>
      <c r="AJ57" s="55">
        <f t="shared" ca="1" si="18"/>
        <v>34.127105940559552</v>
      </c>
      <c r="AK57" s="55">
        <f t="shared" ca="1" si="19"/>
        <v>-72.075197978517963</v>
      </c>
    </row>
    <row r="58" spans="2:37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45408</v>
      </c>
      <c r="S58" s="55">
        <f t="shared" ca="1" si="11"/>
        <v>45408</v>
      </c>
      <c r="T58" s="55">
        <f t="shared" ca="1" si="0"/>
        <v>165.4596758533674</v>
      </c>
      <c r="U58" s="55">
        <f t="shared" ca="1" si="1"/>
        <v>55.958086734831262</v>
      </c>
      <c r="V58" s="55">
        <f t="shared" ca="1" si="2"/>
        <v>0</v>
      </c>
      <c r="W58" s="55">
        <f t="shared" ca="1" si="12"/>
        <v>-34.57123052020404</v>
      </c>
      <c r="X58" s="55">
        <f t="shared" ca="1" si="13"/>
        <v>52.573843464504066</v>
      </c>
      <c r="Y58" s="55">
        <f t="shared" ca="1" si="14"/>
        <v>144.53255087401999</v>
      </c>
      <c r="Z58">
        <f t="shared" ca="1" si="3"/>
        <v>120</v>
      </c>
      <c r="AA58">
        <f t="shared" ca="1" si="15"/>
        <v>26.75664457504319</v>
      </c>
      <c r="AB58">
        <f t="shared" ca="1" si="4"/>
        <v>0</v>
      </c>
      <c r="AC58">
        <f t="shared" ca="1" si="5"/>
        <v>0.99879577641319794</v>
      </c>
      <c r="AD58" s="83">
        <f ca="1"/>
        <v>45549</v>
      </c>
      <c r="AE58" s="55">
        <f t="shared" ca="1" si="20"/>
        <v>45549</v>
      </c>
      <c r="AF58" s="55">
        <f t="shared" ca="1" si="21"/>
        <v>-10.046468506829024</v>
      </c>
      <c r="AG58" s="55">
        <f t="shared" ca="1" si="22"/>
        <v>0</v>
      </c>
      <c r="AH58" s="55">
        <f t="shared" ca="1" si="23"/>
        <v>0</v>
      </c>
      <c r="AI58" s="55">
        <f t="shared" ca="1" si="17"/>
        <v>-1.7072092462923263</v>
      </c>
      <c r="AJ58" s="55">
        <f t="shared" ca="1" si="18"/>
        <v>35.106368938682827</v>
      </c>
      <c r="AK58" s="55">
        <f t="shared" ca="1" si="19"/>
        <v>-72.631465108496215</v>
      </c>
    </row>
    <row r="59" spans="2:37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45409</v>
      </c>
      <c r="S59" s="55">
        <f t="shared" ca="1" si="11"/>
        <v>45409</v>
      </c>
      <c r="T59" s="55">
        <f t="shared" ca="1" si="0"/>
        <v>158.55761801761403</v>
      </c>
      <c r="U59" s="55">
        <f t="shared" ca="1" si="1"/>
        <v>59.610276308362614</v>
      </c>
      <c r="V59" s="55">
        <f t="shared" ca="1" si="2"/>
        <v>0</v>
      </c>
      <c r="W59" s="55">
        <f t="shared" ca="1" si="12"/>
        <v>-39.214226398093786</v>
      </c>
      <c r="X59" s="55">
        <f t="shared" ca="1" si="13"/>
        <v>53.82477366968422</v>
      </c>
      <c r="Y59" s="55">
        <f t="shared" ca="1" si="14"/>
        <v>144.67474828450759</v>
      </c>
      <c r="Z59">
        <f t="shared" ca="1" si="3"/>
        <v>120</v>
      </c>
      <c r="AA59">
        <f t="shared" ca="1" si="15"/>
        <v>31.029785697414503</v>
      </c>
      <c r="AB59">
        <f t="shared" ca="1" si="4"/>
        <v>0</v>
      </c>
      <c r="AC59">
        <f t="shared" ca="1" si="5"/>
        <v>0.999227261315207</v>
      </c>
      <c r="AD59" s="83">
        <f ca="1"/>
        <v>45550</v>
      </c>
      <c r="AE59" s="55">
        <f t="shared" ca="1" si="20"/>
        <v>45550</v>
      </c>
      <c r="AF59" s="55">
        <f t="shared" ca="1" si="21"/>
        <v>-9.5810307401747892</v>
      </c>
      <c r="AG59" s="55">
        <f t="shared" ca="1" si="22"/>
        <v>0</v>
      </c>
      <c r="AH59" s="55">
        <f t="shared" ca="1" si="23"/>
        <v>0</v>
      </c>
      <c r="AI59" s="55">
        <f t="shared" ca="1" si="17"/>
        <v>-1.7072092462923263</v>
      </c>
      <c r="AJ59" s="55">
        <f t="shared" ca="1" si="18"/>
        <v>36.07838617472779</v>
      </c>
      <c r="AK59" s="55">
        <f t="shared" ca="1" si="19"/>
        <v>-73.138044577886944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89</v>
      </c>
      <c r="H60" s="72"/>
      <c r="R60" s="83">
        <f ca="1"/>
        <v>45410</v>
      </c>
      <c r="S60" s="55">
        <f t="shared" ca="1" si="11"/>
        <v>45410</v>
      </c>
      <c r="T60" s="55">
        <f t="shared" ca="1" si="0"/>
        <v>152.79704808473397</v>
      </c>
      <c r="U60" s="55">
        <f t="shared" ca="1" si="1"/>
        <v>63.392271363018246</v>
      </c>
      <c r="V60" s="55">
        <f t="shared" ca="1" si="2"/>
        <v>0</v>
      </c>
      <c r="W60" s="55">
        <f t="shared" ca="1" si="12"/>
        <v>-42.539263675477542</v>
      </c>
      <c r="X60" s="55">
        <f t="shared" ca="1" si="13"/>
        <v>55.046914081694112</v>
      </c>
      <c r="Y60" s="55">
        <f t="shared" ca="1" si="14"/>
        <v>144.799070271657</v>
      </c>
      <c r="Z60">
        <f t="shared" ca="1" si="3"/>
        <v>120</v>
      </c>
      <c r="AA60">
        <f t="shared" ca="1" si="15"/>
        <v>34.205325825182591</v>
      </c>
      <c r="AB60">
        <f t="shared" ca="1" si="4"/>
        <v>0</v>
      </c>
      <c r="AC60">
        <f t="shared" ca="1" si="5"/>
        <v>0.99949996364436144</v>
      </c>
      <c r="AD60" s="83">
        <f ca="1"/>
        <v>45551</v>
      </c>
      <c r="AE60" s="55">
        <f t="shared" ca="1" si="20"/>
        <v>45551</v>
      </c>
      <c r="AF60" s="55">
        <f t="shared" ca="1" si="21"/>
        <v>-9.0249518446232244</v>
      </c>
      <c r="AG60" s="55">
        <f t="shared" ca="1" si="22"/>
        <v>0</v>
      </c>
      <c r="AH60" s="55">
        <f t="shared" ca="1" si="23"/>
        <v>0</v>
      </c>
      <c r="AI60" s="55">
        <f t="shared" ca="1" si="17"/>
        <v>-1.7072092462923263</v>
      </c>
      <c r="AJ60" s="55">
        <f t="shared" ca="1" si="18"/>
        <v>37.136781641379336</v>
      </c>
      <c r="AK60" s="55">
        <f t="shared" ca="1" si="19"/>
        <v>-73.640361148986926</v>
      </c>
    </row>
    <row r="61" spans="2:37" s="55" customFormat="1">
      <c r="B61" s="90">
        <f>IF(FollowingUnits="kg/head",FollowingYIeld*FollowingPopulation/1000,IF(FollowingUnits="kg/ha",FollowingYIeld/1000,FollowingYIeld))</f>
        <v>0</v>
      </c>
      <c r="C61" s="64" t="s">
        <v>152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45411</v>
      </c>
      <c r="S61" s="55">
        <f t="shared" ca="1" si="11"/>
        <v>45411</v>
      </c>
      <c r="T61" s="55">
        <f t="shared" ca="1" si="0"/>
        <v>146.36993147662795</v>
      </c>
      <c r="U61" s="55">
        <f t="shared" ca="1" si="1"/>
        <v>67.322768303886448</v>
      </c>
      <c r="V61" s="55">
        <f t="shared" ca="1" si="2"/>
        <v>0</v>
      </c>
      <c r="W61" s="55">
        <f t="shared" ca="1" si="12"/>
        <v>-46.34778109906695</v>
      </c>
      <c r="X61" s="55">
        <f t="shared" ca="1" si="13"/>
        <v>56.24898334669053</v>
      </c>
      <c r="Y61" s="55">
        <f t="shared" ca="1" si="14"/>
        <v>144.90889876301219</v>
      </c>
      <c r="Z61">
        <f t="shared" ca="1" si="3"/>
        <v>120</v>
      </c>
      <c r="AA61">
        <f t="shared" ca="1" si="15"/>
        <v>38.002321722324552</v>
      </c>
      <c r="AB61">
        <f t="shared" ca="1" si="4"/>
        <v>0</v>
      </c>
      <c r="AC61">
        <f t="shared" ca="1" si="5"/>
        <v>0.9996745024003646</v>
      </c>
      <c r="AD61" s="83">
        <f ca="1"/>
        <v>45552</v>
      </c>
      <c r="AE61" s="55">
        <f t="shared" ca="1" si="20"/>
        <v>45552</v>
      </c>
      <c r="AF61" s="55">
        <f t="shared" ca="1" si="21"/>
        <v>-8.4679168022544289</v>
      </c>
      <c r="AG61" s="55">
        <f t="shared" ca="1" si="22"/>
        <v>0</v>
      </c>
      <c r="AH61" s="55">
        <f t="shared" ca="1" si="23"/>
        <v>0</v>
      </c>
      <c r="AI61" s="55">
        <f t="shared" ca="1" si="17"/>
        <v>-1.7072092462923263</v>
      </c>
      <c r="AJ61" s="55">
        <f t="shared" ca="1" si="18"/>
        <v>38.114134581915927</v>
      </c>
      <c r="AK61" s="55">
        <f t="shared" ca="1" si="19"/>
        <v>-74.060679047154721</v>
      </c>
    </row>
    <row r="62" spans="2:37" s="55" customFormat="1">
      <c r="C62" s="61" t="s">
        <v>4</v>
      </c>
      <c r="D62" s="68">
        <f ca="1">IF(E62="",CurrentHarvestDate+15,E62)</f>
        <v>45523</v>
      </c>
      <c r="E62" s="67"/>
      <c r="F62" s="61" t="s">
        <v>147</v>
      </c>
      <c r="G62" s="84" t="str">
        <f>IF(H62="",VLOOKUP(FollowingCropFullName,CropCoefficients,13,FALSE),H62)</f>
        <v>Seedling</v>
      </c>
      <c r="H62" s="72"/>
      <c r="R62" s="83">
        <f ca="1"/>
        <v>45412</v>
      </c>
      <c r="S62" s="55">
        <f t="shared" ca="1" si="11"/>
        <v>45412</v>
      </c>
      <c r="T62" s="55">
        <f t="shared" ca="1" si="0"/>
        <v>143.89168444591527</v>
      </c>
      <c r="U62" s="55">
        <f t="shared" ca="1" si="1"/>
        <v>70.913128342208836</v>
      </c>
      <c r="V62" s="55">
        <f t="shared" ca="1" si="2"/>
        <v>0</v>
      </c>
      <c r="W62" s="55">
        <f t="shared" ca="1" si="12"/>
        <v>-46.34778109906695</v>
      </c>
      <c r="X62" s="55">
        <f t="shared" ca="1" si="13"/>
        <v>57.275973009416354</v>
      </c>
      <c r="Y62" s="55">
        <f t="shared" ca="1" si="14"/>
        <v>144.99402210789609</v>
      </c>
      <c r="Z62">
        <f t="shared" ca="1" si="3"/>
        <v>116.82582325791905</v>
      </c>
      <c r="AA62">
        <f t="shared" ca="1" si="15"/>
        <v>38.002321722324552</v>
      </c>
      <c r="AB62">
        <f t="shared" ca="1" si="4"/>
        <v>0</v>
      </c>
      <c r="AC62">
        <f t="shared" ca="1" si="5"/>
        <v>0.99977604822821142</v>
      </c>
      <c r="AD62" s="83">
        <f ca="1"/>
        <v>45553</v>
      </c>
      <c r="AE62" s="55">
        <f t="shared" ca="1" si="20"/>
        <v>45553</v>
      </c>
      <c r="AF62" s="55">
        <f t="shared" ca="1" si="21"/>
        <v>-7.9185486252087864</v>
      </c>
      <c r="AG62" s="55">
        <f t="shared" ca="1" si="22"/>
        <v>0</v>
      </c>
      <c r="AH62" s="55">
        <f t="shared" ca="1" si="23"/>
        <v>0</v>
      </c>
      <c r="AI62" s="55">
        <f t="shared" ca="1" si="17"/>
        <v>-1.7072092462923263</v>
      </c>
      <c r="AJ62" s="55">
        <f t="shared" ca="1" si="18"/>
        <v>39.015909186585134</v>
      </c>
      <c r="AK62" s="55">
        <f t="shared" ca="1" si="19"/>
        <v>-74.413085474778285</v>
      </c>
    </row>
    <row r="63" spans="2:37" s="55" customFormat="1">
      <c r="C63" s="61" t="s">
        <v>5</v>
      </c>
      <c r="D63" s="68">
        <f ca="1">IF(E63="",FollowingEstablishDate+120,E63)</f>
        <v>45643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45413</v>
      </c>
      <c r="S63" s="55">
        <f t="shared" ca="1" si="11"/>
        <v>45413</v>
      </c>
      <c r="T63" s="55">
        <f t="shared" ca="1" si="0"/>
        <v>141.23712146944513</v>
      </c>
      <c r="U63" s="55">
        <f t="shared" ca="1" si="1"/>
        <v>74.654277968346136</v>
      </c>
      <c r="V63" s="55">
        <f t="shared" ca="1" si="2"/>
        <v>0</v>
      </c>
      <c r="W63" s="55">
        <f t="shared" ca="1" si="12"/>
        <v>-46.34778109906695</v>
      </c>
      <c r="X63" s="55">
        <f t="shared" ca="1" si="13"/>
        <v>58.285865904096134</v>
      </c>
      <c r="Y63" s="55">
        <f t="shared" ca="1" si="14"/>
        <v>145.07071586288347</v>
      </c>
      <c r="Z63">
        <f t="shared" ca="1" si="3"/>
        <v>113.90964860663655</v>
      </c>
      <c r="AA63">
        <f t="shared" ca="1" si="15"/>
        <v>38.002321722324552</v>
      </c>
      <c r="AB63">
        <f t="shared" ca="1" si="4"/>
        <v>0</v>
      </c>
      <c r="AC63">
        <f t="shared" ca="1" si="5"/>
        <v>0.99984577808889818</v>
      </c>
      <c r="AD63" s="83">
        <f ca="1"/>
        <v>45554</v>
      </c>
      <c r="AE63" s="55">
        <f t="shared" ca="1" si="20"/>
        <v>45554</v>
      </c>
      <c r="AF63" s="55">
        <f t="shared" ca="1" si="21"/>
        <v>-7.3433632501802979</v>
      </c>
      <c r="AG63" s="55">
        <f t="shared" ca="1" si="22"/>
        <v>0</v>
      </c>
      <c r="AH63" s="55">
        <f t="shared" ca="1" si="23"/>
        <v>0</v>
      </c>
      <c r="AI63" s="55">
        <f t="shared" ca="1" si="17"/>
        <v>-1.7072092462923263</v>
      </c>
      <c r="AJ63" s="55">
        <f t="shared" ca="1" si="18"/>
        <v>39.907559514947472</v>
      </c>
      <c r="AK63" s="55">
        <f t="shared" ca="1" si="19"/>
        <v>-74.729550428112134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45414</v>
      </c>
      <c r="S64" s="55">
        <f t="shared" ca="1" si="11"/>
        <v>45414</v>
      </c>
      <c r="T64" s="55">
        <f t="shared" ca="1" si="0"/>
        <v>138.14121468616099</v>
      </c>
      <c r="U64" s="55">
        <f t="shared" ca="1" si="1"/>
        <v>78.974332999338515</v>
      </c>
      <c r="V64" s="55">
        <f t="shared" ca="1" si="2"/>
        <v>0</v>
      </c>
      <c r="W64" s="55">
        <f t="shared" ca="1" si="12"/>
        <v>-46.34778109906695</v>
      </c>
      <c r="X64" s="55">
        <f t="shared" ca="1" si="13"/>
        <v>59.430625235553038</v>
      </c>
      <c r="Y64" s="55">
        <f t="shared" ca="1" si="14"/>
        <v>145.15010477913484</v>
      </c>
      <c r="Z64">
        <f t="shared" ca="1" si="3"/>
        <v>115.46823185584557</v>
      </c>
      <c r="AA64">
        <f t="shared" ca="1" si="15"/>
        <v>38.002321722324552</v>
      </c>
      <c r="AB64">
        <f t="shared" ca="1" si="4"/>
        <v>0</v>
      </c>
      <c r="AC64">
        <f t="shared" ca="1" si="5"/>
        <v>0.99989784229617118</v>
      </c>
      <c r="AD64" s="83">
        <f ca="1"/>
        <v>45555</v>
      </c>
      <c r="AE64" s="55">
        <f t="shared" ca="1" si="20"/>
        <v>45555</v>
      </c>
      <c r="AF64" s="55">
        <f t="shared" ca="1" si="21"/>
        <v>-6.7694700225181146</v>
      </c>
      <c r="AG64" s="55">
        <f t="shared" ca="1" si="22"/>
        <v>0</v>
      </c>
      <c r="AH64" s="55">
        <f t="shared" ca="1" si="23"/>
        <v>0</v>
      </c>
      <c r="AI64" s="55">
        <f t="shared" ca="1" si="17"/>
        <v>-1.7072092462923263</v>
      </c>
      <c r="AJ64" s="55">
        <f t="shared" ca="1" si="18"/>
        <v>40.753498960267443</v>
      </c>
      <c r="AK64" s="55">
        <f t="shared" ca="1" si="19"/>
        <v>-75.001596645769922</v>
      </c>
    </row>
    <row r="65" spans="2:37" s="55" customFormat="1">
      <c r="C65" s="61" t="s">
        <v>102</v>
      </c>
      <c r="D65" s="70">
        <f>IF(E65="",VLOOKUP(FollowingCropFullName,CropCoefficients,17,FALSE),E65)</f>
        <v>0</v>
      </c>
      <c r="E65" s="69">
        <v>0</v>
      </c>
      <c r="F65" s="61" t="s">
        <v>150</v>
      </c>
      <c r="G65" s="85" t="str">
        <f>IF(H65="","None removed",H65)</f>
        <v>None removed</v>
      </c>
      <c r="H65" s="72"/>
      <c r="R65" s="83">
        <f ca="1"/>
        <v>45415</v>
      </c>
      <c r="S65" s="55">
        <f t="shared" ca="1" si="11"/>
        <v>45415</v>
      </c>
      <c r="T65" s="55">
        <f t="shared" ca="1" si="0"/>
        <v>134.8222600176224</v>
      </c>
      <c r="U65" s="55">
        <f t="shared" ca="1" si="1"/>
        <v>83.515638655378169</v>
      </c>
      <c r="V65" s="55">
        <f t="shared" ca="1" si="2"/>
        <v>0</v>
      </c>
      <c r="W65" s="55">
        <f t="shared" ca="1" si="12"/>
        <v>-46.34778109906695</v>
      </c>
      <c r="X65" s="55">
        <f t="shared" ca="1" si="13"/>
        <v>60.580446657135447</v>
      </c>
      <c r="Y65" s="55">
        <f t="shared" ca="1" si="14"/>
        <v>145.22263434505351</v>
      </c>
      <c r="Z65">
        <f t="shared" ca="1" si="3"/>
        <v>119.54794584777308</v>
      </c>
      <c r="AA65">
        <f t="shared" ca="1" si="15"/>
        <v>38.002321722324552</v>
      </c>
      <c r="AB65">
        <f t="shared" ca="1" si="4"/>
        <v>0</v>
      </c>
      <c r="AC65">
        <f t="shared" ca="1" si="5"/>
        <v>0.99993243759361461</v>
      </c>
      <c r="AD65" s="83">
        <f ca="1"/>
        <v>45556</v>
      </c>
      <c r="AE65" s="55">
        <f t="shared" ca="1" si="20"/>
        <v>45556</v>
      </c>
      <c r="AF65" s="55">
        <f t="shared" ca="1" si="21"/>
        <v>-6.150352423150391</v>
      </c>
      <c r="AG65" s="55">
        <f t="shared" ca="1" si="22"/>
        <v>0</v>
      </c>
      <c r="AH65" s="55">
        <f t="shared" ca="1" si="23"/>
        <v>0</v>
      </c>
      <c r="AI65" s="55">
        <f t="shared" ca="1" si="17"/>
        <v>-1.7072092462923263</v>
      </c>
      <c r="AJ65" s="55">
        <f t="shared" ca="1" si="18"/>
        <v>41.625472988292564</v>
      </c>
      <c r="AK65" s="55">
        <f t="shared" ca="1" si="19"/>
        <v>-75.254453074427317</v>
      </c>
    </row>
    <row r="66" spans="2:37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160</v>
      </c>
      <c r="G66" s="85" t="str">
        <f>IF(H66="","Full (Plough)",H66)</f>
        <v>Full (Plough)</v>
      </c>
      <c r="H66" s="72"/>
      <c r="R66" s="83">
        <f ca="1"/>
        <v>45416</v>
      </c>
      <c r="S66" s="55">
        <f t="shared" ca="1" si="11"/>
        <v>45416</v>
      </c>
      <c r="T66" s="55">
        <f t="shared" ca="1" si="0"/>
        <v>128.28772235438524</v>
      </c>
      <c r="U66" s="55">
        <f t="shared" ca="1" si="1"/>
        <v>88.434354264915939</v>
      </c>
      <c r="V66" s="55">
        <f t="shared" ca="1" si="2"/>
        <v>0</v>
      </c>
      <c r="W66" s="55">
        <f t="shared" ca="1" si="12"/>
        <v>-49.228704042535661</v>
      </c>
      <c r="X66" s="55">
        <f t="shared" ca="1" si="13"/>
        <v>61.776880528493841</v>
      </c>
      <c r="Y66" s="55">
        <f t="shared" ca="1" si="14"/>
        <v>145.29130136346441</v>
      </c>
      <c r="Z66">
        <f t="shared" ca="1" si="3"/>
        <v>120</v>
      </c>
      <c r="AA66">
        <f t="shared" ca="1" si="15"/>
        <v>41.343995955874966</v>
      </c>
      <c r="AB66">
        <f t="shared" ca="1" si="4"/>
        <v>0</v>
      </c>
      <c r="AC66">
        <f t="shared" ca="1" si="5"/>
        <v>0.99995595200734388</v>
      </c>
      <c r="AD66" s="83">
        <f ca="1"/>
        <v>45557</v>
      </c>
      <c r="AE66" s="55">
        <f t="shared" ca="1" si="20"/>
        <v>45557</v>
      </c>
      <c r="AF66" s="55">
        <f t="shared" ca="1" si="21"/>
        <v>-5.451196154350991</v>
      </c>
      <c r="AG66" s="55">
        <f t="shared" ca="1" si="22"/>
        <v>0</v>
      </c>
      <c r="AH66" s="55">
        <f t="shared" ca="1" si="23"/>
        <v>0</v>
      </c>
      <c r="AI66" s="55">
        <f t="shared" ca="1" si="17"/>
        <v>-1.7072092462923263</v>
      </c>
      <c r="AJ66" s="55">
        <f t="shared" ca="1" si="18"/>
        <v>42.567725013460056</v>
      </c>
      <c r="AK66" s="55">
        <f t="shared" ca="1" si="19"/>
        <v>-75.497548830795409</v>
      </c>
    </row>
    <row r="67" spans="2:37">
      <c r="B67" s="55"/>
      <c r="C67" s="64" t="str">
        <f>"Yield "&amp;ROUND(FollowingYield_tperHa,0)&amp;" (t/ha)"</f>
        <v>Yield 0 (t/ha)</v>
      </c>
      <c r="D67" s="107" t="str">
        <f ca="1">"Following crop will take up "&amp;ROUND('Model Interface'!R5,0)&amp;" kg N/ha"</f>
        <v>Following crop will take up 1 kg N/ha</v>
      </c>
      <c r="R67" s="83">
        <f ca="1"/>
        <v>45417</v>
      </c>
      <c r="S67" s="55">
        <f t="shared" ca="1" si="11"/>
        <v>45417</v>
      </c>
      <c r="T67" s="55">
        <f t="shared" ca="1" si="0"/>
        <v>123.60116871386879</v>
      </c>
      <c r="U67" s="55">
        <f t="shared" ca="1" si="1"/>
        <v>93.457113606564818</v>
      </c>
      <c r="V67" s="55">
        <f t="shared" ca="1" si="2"/>
        <v>0</v>
      </c>
      <c r="W67" s="55">
        <f t="shared" ca="1" si="12"/>
        <v>-50.116765792543781</v>
      </c>
      <c r="X67" s="55">
        <f t="shared" ca="1" si="13"/>
        <v>62.940268234501829</v>
      </c>
      <c r="Y67" s="55">
        <f t="shared" ca="1" si="14"/>
        <v>145.35218110859697</v>
      </c>
      <c r="Z67">
        <f t="shared" ca="1" si="3"/>
        <v>120</v>
      </c>
      <c r="AA67">
        <f t="shared" ca="1" si="15"/>
        <v>42.413144748697242</v>
      </c>
      <c r="AB67">
        <f t="shared" ca="1" si="4"/>
        <v>0</v>
      </c>
      <c r="AC67">
        <f t="shared" ca="1" si="5"/>
        <v>0.99997099124870281</v>
      </c>
      <c r="AD67" s="83">
        <f ca="1"/>
        <v>45558</v>
      </c>
      <c r="AE67" s="55">
        <f t="shared" ca="1" si="20"/>
        <v>45558</v>
      </c>
      <c r="AF67" s="55">
        <f t="shared" ca="1" si="21"/>
        <v>-4.6727513198566299</v>
      </c>
      <c r="AG67" s="55">
        <f t="shared" ca="1" si="22"/>
        <v>0</v>
      </c>
      <c r="AH67" s="55">
        <f t="shared" ca="1" si="23"/>
        <v>0</v>
      </c>
      <c r="AI67" s="55">
        <f t="shared" ca="1" si="17"/>
        <v>-1.7072092462923263</v>
      </c>
      <c r="AJ67" s="55">
        <f t="shared" ca="1" si="18"/>
        <v>43.572420568493655</v>
      </c>
      <c r="AK67" s="55">
        <f t="shared" ca="1" si="19"/>
        <v>-75.72379955133465</v>
      </c>
    </row>
    <row r="68" spans="2:37" ht="15.75" thickBot="1">
      <c r="C68" s="140" t="s">
        <v>187</v>
      </c>
      <c r="D68" s="140"/>
      <c r="E68" s="140"/>
      <c r="F68" s="140"/>
      <c r="G68" s="140"/>
      <c r="H68" s="140"/>
      <c r="R68" s="83">
        <f ca="1"/>
        <v>45418</v>
      </c>
      <c r="S68" s="55">
        <f t="shared" ca="1" si="11"/>
        <v>45418</v>
      </c>
      <c r="T68" s="55">
        <f t="shared" ca="1" si="0"/>
        <v>116.53489479956967</v>
      </c>
      <c r="U68" s="55">
        <f t="shared" ca="1" si="1"/>
        <v>98.46204488747513</v>
      </c>
      <c r="V68" s="55">
        <f t="shared" ca="1" si="2"/>
        <v>0</v>
      </c>
      <c r="W68" s="55">
        <f t="shared" ca="1" si="12"/>
        <v>-53.335052781327221</v>
      </c>
      <c r="X68" s="55">
        <f t="shared" ca="1" si="13"/>
        <v>64.044201982733128</v>
      </c>
      <c r="Y68" s="55">
        <f t="shared" ca="1" si="14"/>
        <v>145.40519171576031</v>
      </c>
      <c r="Z68">
        <f t="shared" ca="1" si="3"/>
        <v>120</v>
      </c>
      <c r="AA68">
        <f t="shared" ca="1" si="15"/>
        <v>46.522619754192043</v>
      </c>
      <c r="AB68">
        <f t="shared" ca="1" si="4"/>
        <v>0</v>
      </c>
      <c r="AC68">
        <f t="shared" ca="1" si="5"/>
        <v>0.99998053666497388</v>
      </c>
      <c r="AD68" s="83">
        <f ca="1"/>
        <v>45559</v>
      </c>
      <c r="AE68" s="55">
        <f t="shared" ca="1" si="20"/>
        <v>45559</v>
      </c>
      <c r="AF68" s="55">
        <f t="shared" ca="1" si="21"/>
        <v>-3.8255796799109882</v>
      </c>
      <c r="AG68" s="55">
        <f t="shared" ca="1" si="22"/>
        <v>0</v>
      </c>
      <c r="AH68" s="55">
        <f t="shared" ca="1" si="23"/>
        <v>0</v>
      </c>
      <c r="AI68" s="55">
        <f t="shared" ca="1" si="17"/>
        <v>-1.7072092462923263</v>
      </c>
      <c r="AJ68" s="55">
        <f t="shared" ca="1" si="18"/>
        <v>44.62121262727598</v>
      </c>
      <c r="AK68" s="55">
        <f t="shared" ca="1" si="19"/>
        <v>-75.925419970171333</v>
      </c>
    </row>
    <row r="69" spans="2:37">
      <c r="C69" s="61"/>
      <c r="D69" s="88"/>
      <c r="E69" s="105"/>
      <c r="R69" s="83">
        <f ca="1"/>
        <v>45419</v>
      </c>
      <c r="S69" s="55">
        <f t="shared" ca="1" si="11"/>
        <v>45419</v>
      </c>
      <c r="T69" s="55">
        <f t="shared" ca="1" si="0"/>
        <v>111.76847692087928</v>
      </c>
      <c r="U69" s="55">
        <f t="shared" ca="1" si="1"/>
        <v>103.72113998093762</v>
      </c>
      <c r="V69" s="55">
        <f t="shared" ca="1" si="2"/>
        <v>0</v>
      </c>
      <c r="W69" s="55">
        <f t="shared" ca="1" si="12"/>
        <v>-54.0077009808995</v>
      </c>
      <c r="X69" s="55">
        <f t="shared" ca="1" si="13"/>
        <v>65.160121321683036</v>
      </c>
      <c r="Y69" s="55">
        <f t="shared" ca="1" si="14"/>
        <v>145.45459779115478</v>
      </c>
      <c r="Z69">
        <f t="shared" ca="1" si="3"/>
        <v>120</v>
      </c>
      <c r="AA69">
        <f t="shared" ca="1" si="15"/>
        <v>47.418162280046225</v>
      </c>
      <c r="AB69">
        <f t="shared" ca="1" si="4"/>
        <v>0</v>
      </c>
      <c r="AC69">
        <f t="shared" ca="1" si="5"/>
        <v>0.99998699074499842</v>
      </c>
      <c r="AD69" s="83">
        <f ca="1"/>
        <v>45560</v>
      </c>
      <c r="AE69" s="55">
        <f t="shared" ca="1" si="20"/>
        <v>45560</v>
      </c>
      <c r="AF69" s="55">
        <f t="shared" ca="1" si="21"/>
        <v>-2.979215473096283</v>
      </c>
      <c r="AG69" s="55">
        <f t="shared" ca="1" si="22"/>
        <v>0</v>
      </c>
      <c r="AH69" s="55">
        <f t="shared" ca="1" si="23"/>
        <v>0</v>
      </c>
      <c r="AI69" s="55">
        <f t="shared" ca="1" si="17"/>
        <v>-1.7072092462923263</v>
      </c>
      <c r="AJ69" s="55">
        <f t="shared" ca="1" si="18"/>
        <v>45.629797301419948</v>
      </c>
      <c r="AK69" s="55">
        <f t="shared" ca="1" si="19"/>
        <v>-76.087640437500596</v>
      </c>
    </row>
    <row r="70" spans="2:37">
      <c r="C70" s="61"/>
      <c r="D70" s="84"/>
      <c r="E70" s="69"/>
      <c r="R70" s="83">
        <f ca="1"/>
        <v>45420</v>
      </c>
      <c r="S70" s="55">
        <f t="shared" ca="1" si="11"/>
        <v>45420</v>
      </c>
      <c r="T70" s="55">
        <f t="shared" ca="1" si="0"/>
        <v>107.03432786618495</v>
      </c>
      <c r="U70" s="55">
        <f t="shared" ca="1" si="1"/>
        <v>109.75617644565826</v>
      </c>
      <c r="V70" s="55">
        <f t="shared" ca="1" si="2"/>
        <v>0</v>
      </c>
      <c r="W70" s="55">
        <f t="shared" ca="1" si="12"/>
        <v>-54.0077009808995</v>
      </c>
      <c r="X70" s="55">
        <f t="shared" ca="1" si="13"/>
        <v>66.410081222639263</v>
      </c>
      <c r="Y70" s="55">
        <f t="shared" ca="1" si="14"/>
        <v>145.50552530022486</v>
      </c>
      <c r="Z70">
        <f t="shared" ca="1" si="3"/>
        <v>119.71995631917801</v>
      </c>
      <c r="AA70">
        <f t="shared" ca="1" si="15"/>
        <v>47.418162280046225</v>
      </c>
      <c r="AB70">
        <f t="shared" ca="1" si="4"/>
        <v>0</v>
      </c>
      <c r="AC70">
        <f t="shared" ca="1" si="5"/>
        <v>0.99999165326420958</v>
      </c>
      <c r="AD70" s="83">
        <f ca="1"/>
        <v>45561</v>
      </c>
      <c r="AE70" s="55">
        <f t="shared" ca="1" si="20"/>
        <v>45561</v>
      </c>
      <c r="AF70" s="55">
        <f t="shared" ca="1" si="21"/>
        <v>-2.0941403719378835</v>
      </c>
      <c r="AG70" s="55">
        <f t="shared" ca="1" si="22"/>
        <v>0</v>
      </c>
      <c r="AH70" s="55">
        <f t="shared" ca="1" si="23"/>
        <v>0</v>
      </c>
      <c r="AI70" s="55">
        <f t="shared" ca="1" si="17"/>
        <v>-1.7072092462923263</v>
      </c>
      <c r="AJ70" s="55">
        <f t="shared" ca="1" si="18"/>
        <v>46.648794369220568</v>
      </c>
      <c r="AK70" s="55">
        <f t="shared" ca="1" si="19"/>
        <v>-76.221562404142816</v>
      </c>
    </row>
    <row r="71" spans="2:37">
      <c r="C71" s="61"/>
      <c r="D71" s="84"/>
      <c r="E71" s="69"/>
      <c r="R71" s="83">
        <f ca="1"/>
        <v>45421</v>
      </c>
      <c r="S71" s="55">
        <f t="shared" ca="1" si="11"/>
        <v>45421</v>
      </c>
      <c r="T71" s="55">
        <f t="shared" ca="1" si="0"/>
        <v>101.99925783947225</v>
      </c>
      <c r="U71" s="55">
        <f t="shared" ca="1" si="1"/>
        <v>115.88250105833552</v>
      </c>
      <c r="V71" s="55">
        <f t="shared" ca="1" si="2"/>
        <v>0</v>
      </c>
      <c r="W71" s="55">
        <f t="shared" ca="1" si="12"/>
        <v>-54.173990931435782</v>
      </c>
      <c r="X71" s="55">
        <f t="shared" ca="1" si="13"/>
        <v>67.622160608754612</v>
      </c>
      <c r="Y71" s="55">
        <f t="shared" ca="1" si="14"/>
        <v>145.55099045061036</v>
      </c>
      <c r="Z71">
        <f t="shared" ca="1" si="3"/>
        <v>120</v>
      </c>
      <c r="AA71">
        <f t="shared" ca="1" si="15"/>
        <v>47.660759910539063</v>
      </c>
      <c r="AB71">
        <f t="shared" ca="1" si="4"/>
        <v>0</v>
      </c>
      <c r="AC71">
        <f t="shared" ca="1" si="5"/>
        <v>0.99999458400397856</v>
      </c>
      <c r="AD71" s="83">
        <f ca="1"/>
        <v>45562</v>
      </c>
      <c r="AE71" s="55">
        <f t="shared" ca="1" si="20"/>
        <v>45562</v>
      </c>
      <c r="AF71" s="55">
        <f t="shared" ca="1" si="21"/>
        <v>-1.1342690610933666</v>
      </c>
      <c r="AG71" s="55">
        <f t="shared" ca="1" si="22"/>
        <v>0</v>
      </c>
      <c r="AH71" s="55">
        <f t="shared" ca="1" si="23"/>
        <v>0</v>
      </c>
      <c r="AI71" s="55">
        <f t="shared" ca="1" si="17"/>
        <v>-1.7072092462923263</v>
      </c>
      <c r="AJ71" s="55">
        <f t="shared" ca="1" si="18"/>
        <v>47.718462768769825</v>
      </c>
      <c r="AK71" s="55">
        <f t="shared" ca="1" si="19"/>
        <v>-76.331359492847554</v>
      </c>
    </row>
    <row r="72" spans="2:37">
      <c r="C72" s="61"/>
      <c r="D72" s="84">
        <v>120</v>
      </c>
      <c r="E72" s="69">
        <v>120</v>
      </c>
      <c r="R72" s="83">
        <f ca="1"/>
        <v>45422</v>
      </c>
      <c r="S72" s="55">
        <f t="shared" ca="1" si="11"/>
        <v>45422</v>
      </c>
      <c r="T72" s="55">
        <f t="shared" ca="1" si="0"/>
        <v>95.43064633672391</v>
      </c>
      <c r="U72" s="55">
        <f t="shared" ca="1" si="1"/>
        <v>121.94727290302534</v>
      </c>
      <c r="V72" s="55">
        <f t="shared" ca="1" si="2"/>
        <v>0</v>
      </c>
      <c r="W72" s="55">
        <f t="shared" ca="1" si="12"/>
        <v>-55.86372579826304</v>
      </c>
      <c r="X72" s="55">
        <f t="shared" ca="1" si="13"/>
        <v>68.76818417144122</v>
      </c>
      <c r="Y72" s="55">
        <f t="shared" ca="1" si="14"/>
        <v>145.59086209669249</v>
      </c>
      <c r="Z72">
        <f t="shared" ca="1" si="3"/>
        <v>120</v>
      </c>
      <c r="AA72">
        <f t="shared" ca="1" si="15"/>
        <v>50.295563598918626</v>
      </c>
      <c r="AB72">
        <f t="shared" ca="1" si="4"/>
        <v>0</v>
      </c>
      <c r="AC72">
        <f t="shared" ca="1" si="5"/>
        <v>0.99999641399663486</v>
      </c>
      <c r="AD72" s="83">
        <f ca="1"/>
        <v>45563</v>
      </c>
      <c r="AE72" s="55">
        <f t="shared" ca="1" si="20"/>
        <v>45563</v>
      </c>
      <c r="AF72" s="55">
        <f t="shared" ca="1" si="21"/>
        <v>-0.11501813687016438</v>
      </c>
      <c r="AG72" s="55">
        <f t="shared" ca="1" si="22"/>
        <v>0</v>
      </c>
      <c r="AH72" s="55">
        <f t="shared" ca="1" si="23"/>
        <v>0</v>
      </c>
      <c r="AI72" s="55">
        <f t="shared" ca="1" si="17"/>
        <v>-1.7072092462923263</v>
      </c>
      <c r="AJ72" s="55">
        <f t="shared" ca="1" si="18"/>
        <v>48.819515445228944</v>
      </c>
      <c r="AK72" s="55">
        <f t="shared" ca="1" si="19"/>
        <v>-76.413161245083472</v>
      </c>
    </row>
    <row r="73" spans="2:37">
      <c r="R73" s="83">
        <f ca="1"/>
        <v>45423</v>
      </c>
      <c r="S73" s="55">
        <f t="shared" ca="1" si="11"/>
        <v>45423</v>
      </c>
      <c r="T73" s="55">
        <f t="shared" ca="1" si="0"/>
        <v>87.260091620192171</v>
      </c>
      <c r="U73" s="55">
        <f t="shared" ca="1" si="1"/>
        <v>128.45759840575695</v>
      </c>
      <c r="V73" s="55">
        <f t="shared" ca="1" si="2"/>
        <v>0</v>
      </c>
      <c r="W73" s="55">
        <f t="shared" ca="1" si="12"/>
        <v>-58.756498277214035</v>
      </c>
      <c r="X73" s="55">
        <f t="shared" ca="1" si="13"/>
        <v>69.962022569976796</v>
      </c>
      <c r="Y73" s="55">
        <f t="shared" ca="1" si="14"/>
        <v>145.62956696330778</v>
      </c>
      <c r="Z73">
        <f t="shared" ca="1" si="3"/>
        <v>120</v>
      </c>
      <c r="AA73">
        <f t="shared" ca="1" si="15"/>
        <v>55.228621066111216</v>
      </c>
      <c r="AB73">
        <f t="shared" ca="1" si="4"/>
        <v>0</v>
      </c>
      <c r="AC73">
        <f t="shared" ca="1" si="5"/>
        <v>0.99999766028064863</v>
      </c>
      <c r="AD73" s="83">
        <f ca="1"/>
        <v>45564</v>
      </c>
      <c r="AE73" s="55">
        <f t="shared" ca="1" si="20"/>
        <v>45564</v>
      </c>
      <c r="AF73" s="55">
        <f t="shared" ca="1" si="21"/>
        <v>0.90833411534759956</v>
      </c>
      <c r="AG73" s="55">
        <f t="shared" ca="1" si="22"/>
        <v>0</v>
      </c>
      <c r="AH73" s="55">
        <f t="shared" ca="1" si="23"/>
        <v>0</v>
      </c>
      <c r="AI73" s="55">
        <f t="shared" ca="1" si="17"/>
        <v>-1.7207999229363125</v>
      </c>
      <c r="AJ73" s="55">
        <f t="shared" ca="1" si="18"/>
        <v>49.907865136148374</v>
      </c>
      <c r="AK73" s="55">
        <f t="shared" ca="1" si="19"/>
        <v>-76.464568007141153</v>
      </c>
    </row>
    <row r="74" spans="2:37">
      <c r="R74" s="83">
        <f ca="1"/>
        <v>45424</v>
      </c>
      <c r="S74" s="55">
        <f t="shared" ca="1" si="11"/>
        <v>45424</v>
      </c>
      <c r="T74" s="55">
        <f t="shared" ca="1" si="0"/>
        <v>79.962286942816235</v>
      </c>
      <c r="U74" s="55">
        <f t="shared" ca="1" si="1"/>
        <v>134.85581091532549</v>
      </c>
      <c r="V74" s="55">
        <f t="shared" ca="1" si="2"/>
        <v>0</v>
      </c>
      <c r="W74" s="55">
        <f t="shared" ca="1" si="12"/>
        <v>-60.814874180292527</v>
      </c>
      <c r="X74" s="55">
        <f t="shared" ca="1" si="13"/>
        <v>71.086671180260041</v>
      </c>
      <c r="Y74" s="55">
        <f t="shared" ca="1" si="14"/>
        <v>145.66370208829562</v>
      </c>
      <c r="Z74">
        <f t="shared" ca="1" si="3"/>
        <v>120</v>
      </c>
      <c r="AA74">
        <f t="shared" ca="1" si="15"/>
        <v>59.059134985642288</v>
      </c>
      <c r="AB74">
        <f t="shared" ca="1" si="4"/>
        <v>0</v>
      </c>
      <c r="AC74">
        <f t="shared" ca="1" si="5"/>
        <v>0.99999844044604858</v>
      </c>
      <c r="AD74" s="83">
        <f ca="1"/>
        <v>45565</v>
      </c>
      <c r="AE74" s="55">
        <f t="shared" ca="1" si="20"/>
        <v>45565</v>
      </c>
      <c r="AF74" s="55">
        <f t="shared" ca="1" si="21"/>
        <v>1.8905673674470997</v>
      </c>
      <c r="AG74" s="55">
        <f t="shared" ca="1" si="22"/>
        <v>0</v>
      </c>
      <c r="AH74" s="55">
        <f t="shared" ca="1" si="23"/>
        <v>0</v>
      </c>
      <c r="AI74" s="55">
        <f t="shared" ca="1" si="17"/>
        <v>-1.7207999229363125</v>
      </c>
      <c r="AJ74" s="55">
        <f t="shared" ca="1" si="18"/>
        <v>50.912949179793991</v>
      </c>
      <c r="AK74" s="55">
        <f t="shared" ca="1" si="19"/>
        <v>-76.487418798687273</v>
      </c>
    </row>
    <row r="75" spans="2:37">
      <c r="R75" s="83">
        <f ca="1"/>
        <v>45425</v>
      </c>
      <c r="S75" s="55">
        <f t="shared" ca="1" si="11"/>
        <v>45425</v>
      </c>
      <c r="T75" s="55">
        <f t="shared" ca="1" si="0"/>
        <v>72.673881107936154</v>
      </c>
      <c r="U75" s="55">
        <f t="shared" ca="1" si="1"/>
        <v>141.517362288063</v>
      </c>
      <c r="V75" s="55">
        <f t="shared" ca="1" si="2"/>
        <v>0</v>
      </c>
      <c r="W75" s="55">
        <f t="shared" ca="1" si="12"/>
        <v>-62.610123960130778</v>
      </c>
      <c r="X75" s="55">
        <f t="shared" ca="1" si="13"/>
        <v>72.222604986195734</v>
      </c>
      <c r="Y75" s="55">
        <f t="shared" ca="1" si="14"/>
        <v>145.6961636000556</v>
      </c>
      <c r="Z75">
        <f t="shared" ca="1" si="3"/>
        <v>120</v>
      </c>
      <c r="AA75">
        <f t="shared" ca="1" si="15"/>
        <v>62.735038389864627</v>
      </c>
      <c r="AB75">
        <f t="shared" ca="1" si="4"/>
        <v>0</v>
      </c>
      <c r="AC75">
        <f t="shared" ca="1" si="5"/>
        <v>0.9999989641446182</v>
      </c>
      <c r="AD75" s="83">
        <f ca="1"/>
        <v>45566</v>
      </c>
      <c r="AE75" s="55">
        <f t="shared" ca="1" si="20"/>
        <v>45566</v>
      </c>
      <c r="AF75" s="55">
        <f t="shared" ca="1" si="21"/>
        <v>2.9294124744404475</v>
      </c>
      <c r="AG75" s="55">
        <f t="shared" ca="1" si="22"/>
        <v>0</v>
      </c>
      <c r="AH75" s="55">
        <f t="shared" ca="1" si="23"/>
        <v>0</v>
      </c>
      <c r="AI75" s="55">
        <f t="shared" ca="1" si="17"/>
        <v>-1.7215248858780705</v>
      </c>
      <c r="AJ75" s="55">
        <f t="shared" ca="1" si="18"/>
        <v>51.952589105651967</v>
      </c>
      <c r="AK75" s="55">
        <f t="shared" ca="1" si="19"/>
        <v>-76.487488654610146</v>
      </c>
    </row>
    <row r="76" spans="2:37">
      <c r="R76" s="83">
        <f ca="1"/>
        <v>45426</v>
      </c>
      <c r="S76" s="55">
        <f t="shared" ca="1" si="11"/>
        <v>45426</v>
      </c>
      <c r="T76" s="55">
        <f t="shared" ca="1" si="0"/>
        <v>63.521453176296873</v>
      </c>
      <c r="U76" s="55">
        <f t="shared" ca="1" si="1"/>
        <v>148.63501094682007</v>
      </c>
      <c r="V76" s="55">
        <f t="shared" ca="1" si="2"/>
        <v>0</v>
      </c>
      <c r="W76" s="55">
        <f t="shared" ca="1" si="12"/>
        <v>-65.860760913443215</v>
      </c>
      <c r="X76" s="55">
        <f t="shared" ca="1" si="13"/>
        <v>73.406526106642119</v>
      </c>
      <c r="Y76" s="55">
        <f t="shared" ca="1" si="14"/>
        <v>145.72810016003945</v>
      </c>
      <c r="Z76">
        <f t="shared" ca="1" si="3"/>
        <v>120</v>
      </c>
      <c r="AA76">
        <f t="shared" ca="1" si="15"/>
        <v>70.349962957144925</v>
      </c>
      <c r="AB76">
        <f t="shared" ca="1" si="4"/>
        <v>0</v>
      </c>
      <c r="AC76">
        <f t="shared" ca="1" si="5"/>
        <v>0.99999932210599318</v>
      </c>
      <c r="AD76" s="83">
        <f ca="1"/>
        <v>45567</v>
      </c>
      <c r="AE76" s="55">
        <f t="shared" ca="1" si="20"/>
        <v>45567</v>
      </c>
      <c r="AF76" s="55">
        <f t="shared" ca="1" si="21"/>
        <v>4.0496264983770267</v>
      </c>
      <c r="AG76" s="55">
        <f t="shared" ca="1" si="22"/>
        <v>0</v>
      </c>
      <c r="AH76" s="55">
        <f t="shared" ca="1" si="23"/>
        <v>0</v>
      </c>
      <c r="AI76" s="55">
        <f t="shared" ca="1" si="17"/>
        <v>-1.7570267326624107</v>
      </c>
      <c r="AJ76" s="55">
        <f t="shared" ca="1" si="18"/>
        <v>53.082662639077604</v>
      </c>
      <c r="AK76" s="55">
        <f t="shared" ca="1" si="19"/>
        <v>-76.461846317314865</v>
      </c>
    </row>
    <row r="77" spans="2:37">
      <c r="R77" s="83">
        <f ca="1"/>
        <v>45427</v>
      </c>
      <c r="S77" s="55">
        <f t="shared" ca="1" si="11"/>
        <v>45427</v>
      </c>
      <c r="T77" s="55">
        <f t="shared" ca="1" si="0"/>
        <v>56.303317149735207</v>
      </c>
      <c r="U77" s="55">
        <f t="shared" ca="1" si="1"/>
        <v>155.63162040236628</v>
      </c>
      <c r="V77" s="55">
        <f t="shared" ca="1" si="2"/>
        <v>0</v>
      </c>
      <c r="W77" s="55">
        <f t="shared" ca="1" si="12"/>
        <v>-67.233565207289729</v>
      </c>
      <c r="X77" s="55">
        <f t="shared" ca="1" si="13"/>
        <v>74.529092503071908</v>
      </c>
      <c r="Y77" s="55">
        <f t="shared" ca="1" si="14"/>
        <v>145.75681148644071</v>
      </c>
      <c r="Z77">
        <f t="shared" ca="1" si="3"/>
        <v>120</v>
      </c>
      <c r="AA77">
        <f t="shared" ca="1" si="15"/>
        <v>73.978171226876782</v>
      </c>
      <c r="AB77">
        <f t="shared" ca="1" si="4"/>
        <v>0</v>
      </c>
      <c r="AC77">
        <f t="shared" ca="1" si="5"/>
        <v>0.99999954784954947</v>
      </c>
      <c r="AD77" s="83">
        <f ca="1"/>
        <v>45568</v>
      </c>
      <c r="AE77" s="55">
        <f t="shared" ca="1" si="20"/>
        <v>45568</v>
      </c>
      <c r="AF77" s="55">
        <f t="shared" ca="1" si="21"/>
        <v>5.1285349949071328</v>
      </c>
      <c r="AG77" s="55">
        <f t="shared" ca="1" si="22"/>
        <v>0</v>
      </c>
      <c r="AH77" s="55">
        <f t="shared" ca="1" si="23"/>
        <v>0</v>
      </c>
      <c r="AI77" s="55">
        <f t="shared" ca="1" si="17"/>
        <v>-1.7570267326624107</v>
      </c>
      <c r="AJ77" s="55">
        <f t="shared" ca="1" si="18"/>
        <v>54.115965348483819</v>
      </c>
      <c r="AK77" s="55">
        <f t="shared" ca="1" si="19"/>
        <v>-76.416240530190976</v>
      </c>
    </row>
    <row r="78" spans="2:37">
      <c r="R78" s="83">
        <f ca="1"/>
        <v>45428</v>
      </c>
      <c r="S78" s="55">
        <f t="shared" ca="1" si="11"/>
        <v>45428</v>
      </c>
      <c r="T78" s="55">
        <f t="shared" ca="1" si="0"/>
        <v>49.75669155298268</v>
      </c>
      <c r="U78" s="55">
        <f t="shared" ca="1" si="1"/>
        <v>162.45937812819369</v>
      </c>
      <c r="V78" s="55">
        <f t="shared" ca="1" si="2"/>
        <v>0</v>
      </c>
      <c r="W78" s="55">
        <f t="shared" ca="1" si="12"/>
        <v>-68.039133964337665</v>
      </c>
      <c r="X78" s="55">
        <f t="shared" ca="1" si="13"/>
        <v>75.589897343508667</v>
      </c>
      <c r="Y78" s="55">
        <f t="shared" ca="1" si="14"/>
        <v>145.78270753212678</v>
      </c>
      <c r="Z78">
        <f t="shared" ca="1" si="3"/>
        <v>120</v>
      </c>
      <c r="AA78">
        <f t="shared" ca="1" si="15"/>
        <v>76.387348076951895</v>
      </c>
      <c r="AB78">
        <f t="shared" ca="1" si="4"/>
        <v>0</v>
      </c>
      <c r="AC78">
        <f t="shared" ca="1" si="5"/>
        <v>0.99999969238719966</v>
      </c>
      <c r="AD78" s="83">
        <f ca="1"/>
        <v>45569</v>
      </c>
      <c r="AE78" s="55">
        <f t="shared" ca="1" si="20"/>
        <v>45569</v>
      </c>
      <c r="AF78" s="55">
        <f t="shared" ca="1" si="21"/>
        <v>6.2219330735560261</v>
      </c>
      <c r="AG78" s="55">
        <f t="shared" ca="1" si="22"/>
        <v>0</v>
      </c>
      <c r="AH78" s="55">
        <f t="shared" ca="1" si="23"/>
        <v>0</v>
      </c>
      <c r="AI78" s="55">
        <f t="shared" ca="1" si="17"/>
        <v>-1.7570267326624107</v>
      </c>
      <c r="AJ78" s="55">
        <f t="shared" ca="1" si="18"/>
        <v>55.144136867329436</v>
      </c>
      <c r="AK78" s="55">
        <f t="shared" ca="1" si="19"/>
        <v>-76.351013970387697</v>
      </c>
    </row>
    <row r="79" spans="2:37">
      <c r="R79" s="83">
        <f ca="1"/>
        <v>45429</v>
      </c>
      <c r="S79" s="55">
        <f t="shared" ca="1" si="11"/>
        <v>45429</v>
      </c>
      <c r="T79" s="55">
        <f t="shared" ca="1" si="0"/>
        <v>43.782975230617424</v>
      </c>
      <c r="U79" s="55">
        <f t="shared" ca="1" si="1"/>
        <v>169.07862097441924</v>
      </c>
      <c r="V79" s="55">
        <f t="shared" ca="1" si="2"/>
        <v>0</v>
      </c>
      <c r="W79" s="55">
        <f t="shared" ca="1" si="12"/>
        <v>-68.417088160427738</v>
      </c>
      <c r="X79" s="55">
        <f t="shared" ca="1" si="13"/>
        <v>76.589938369449939</v>
      </c>
      <c r="Y79" s="55">
        <f t="shared" ca="1" si="14"/>
        <v>145.80614722613586</v>
      </c>
      <c r="Z79">
        <f t="shared" ca="1" si="3"/>
        <v>120</v>
      </c>
      <c r="AA79">
        <f t="shared" ca="1" si="15"/>
        <v>77.671899407575324</v>
      </c>
      <c r="AB79">
        <f t="shared" ca="1" si="4"/>
        <v>0</v>
      </c>
      <c r="AC79">
        <f t="shared" ca="1" si="5"/>
        <v>0.99999978645127607</v>
      </c>
      <c r="AD79" s="83">
        <f ca="1"/>
        <v>45570</v>
      </c>
      <c r="AE79" s="55">
        <f t="shared" ca="1" si="20"/>
        <v>45570</v>
      </c>
      <c r="AF79" s="55">
        <f t="shared" ca="1" si="21"/>
        <v>7.3226012313399584</v>
      </c>
      <c r="AG79" s="55">
        <f t="shared" ca="1" si="22"/>
        <v>0</v>
      </c>
      <c r="AH79" s="55">
        <f t="shared" ca="1" si="23"/>
        <v>0</v>
      </c>
      <c r="AI79" s="55">
        <f t="shared" ca="1" si="17"/>
        <v>-1.7570267326624107</v>
      </c>
      <c r="AJ79" s="55">
        <f t="shared" ca="1" si="18"/>
        <v>56.161803597969715</v>
      </c>
      <c r="AK79" s="55">
        <f t="shared" ca="1" si="19"/>
        <v>-76.268012543244041</v>
      </c>
    </row>
    <row r="80" spans="2:37">
      <c r="R80" s="83">
        <f ca="1"/>
        <v>45430</v>
      </c>
      <c r="S80" s="55">
        <f t="shared" ca="1" si="11"/>
        <v>45430</v>
      </c>
      <c r="T80" s="55">
        <f t="shared" ca="1" si="0"/>
        <v>37.62927905645212</v>
      </c>
      <c r="U80" s="55">
        <f t="shared" ca="1" si="1"/>
        <v>176.01803308527838</v>
      </c>
      <c r="V80" s="55">
        <f t="shared" ca="1" si="2"/>
        <v>0</v>
      </c>
      <c r="W80" s="55">
        <f t="shared" ca="1" si="12"/>
        <v>-68.683574986431125</v>
      </c>
      <c r="X80" s="55">
        <f t="shared" ca="1" si="13"/>
        <v>77.618898264114065</v>
      </c>
      <c r="Y80" s="55">
        <f t="shared" ca="1" si="14"/>
        <v>145.82939009416896</v>
      </c>
      <c r="Z80">
        <f t="shared" ca="1" si="3"/>
        <v>120</v>
      </c>
      <c r="AA80">
        <f t="shared" ca="1" si="15"/>
        <v>78.725721766712354</v>
      </c>
      <c r="AB80">
        <f t="shared" ca="1" si="4"/>
        <v>0</v>
      </c>
      <c r="AC80">
        <f t="shared" ca="1" si="5"/>
        <v>0.99999985318351192</v>
      </c>
      <c r="AD80" s="83">
        <f ca="1"/>
        <v>45571</v>
      </c>
      <c r="AE80" s="55">
        <f t="shared" ca="1" si="20"/>
        <v>45571</v>
      </c>
      <c r="AF80" s="55">
        <f t="shared" ca="1" si="21"/>
        <v>8.4457677808682874</v>
      </c>
      <c r="AG80" s="55">
        <f t="shared" ca="1" si="22"/>
        <v>0</v>
      </c>
      <c r="AH80" s="55">
        <f t="shared" ca="1" si="23"/>
        <v>0</v>
      </c>
      <c r="AI80" s="55">
        <f t="shared" ca="1" si="17"/>
        <v>-1.7570267326624107</v>
      </c>
      <c r="AJ80" s="55">
        <f t="shared" ca="1" si="18"/>
        <v>57.184123683992794</v>
      </c>
      <c r="AK80" s="55">
        <f t="shared" ca="1" si="19"/>
        <v>-76.167166079738791</v>
      </c>
    </row>
    <row r="81" spans="18:37">
      <c r="R81" s="83">
        <f ca="1"/>
        <v>45431</v>
      </c>
      <c r="S81" s="55">
        <f t="shared" ca="1" si="11"/>
        <v>45431</v>
      </c>
      <c r="T81" s="55">
        <f t="shared" ca="1" si="0"/>
        <v>31.674622433770494</v>
      </c>
      <c r="U81" s="55">
        <f t="shared" ca="1" si="1"/>
        <v>183.01046718847951</v>
      </c>
      <c r="V81" s="55">
        <f t="shared" ca="1" si="2"/>
        <v>0</v>
      </c>
      <c r="W81" s="55">
        <f t="shared" ca="1" si="12"/>
        <v>-68.683574986431125</v>
      </c>
      <c r="X81" s="55">
        <f t="shared" ca="1" si="13"/>
        <v>78.634507068951436</v>
      </c>
      <c r="Y81" s="55">
        <f t="shared" ca="1" si="14"/>
        <v>145.8515587698511</v>
      </c>
      <c r="Z81">
        <f t="shared" ca="1" si="3"/>
        <v>117.89040104912044</v>
      </c>
      <c r="AA81">
        <f t="shared" ca="1" si="15"/>
        <v>78.725721766712354</v>
      </c>
      <c r="AB81">
        <f t="shared" ca="1" si="4"/>
        <v>0</v>
      </c>
      <c r="AC81">
        <f t="shared" ca="1" si="5"/>
        <v>0.99999989861139149</v>
      </c>
      <c r="AD81" s="83">
        <f ca="1"/>
        <v>45572</v>
      </c>
      <c r="AE81" s="55">
        <f t="shared" ca="1" si="20"/>
        <v>45572</v>
      </c>
      <c r="AF81" s="55">
        <f t="shared" ca="1" si="21"/>
        <v>9.5893917559066981</v>
      </c>
      <c r="AG81" s="55">
        <f t="shared" ca="1" si="22"/>
        <v>0</v>
      </c>
      <c r="AH81" s="55">
        <f t="shared" ca="1" si="23"/>
        <v>0</v>
      </c>
      <c r="AI81" s="55">
        <f t="shared" ca="1" si="17"/>
        <v>-1.7570267326624107</v>
      </c>
      <c r="AJ81" s="55">
        <f t="shared" ca="1" si="18"/>
        <v>58.209932339609878</v>
      </c>
      <c r="AK81" s="55">
        <f t="shared" ca="1" si="19"/>
        <v>-76.049350760317466</v>
      </c>
    </row>
    <row r="82" spans="18:37">
      <c r="R82" s="83">
        <f ca="1"/>
        <v>45432</v>
      </c>
      <c r="S82" s="55">
        <f t="shared" ca="1" si="11"/>
        <v>45432</v>
      </c>
      <c r="T82" s="55">
        <f t="shared" ref="T82:T145" ca="1" si="27">VLOOKUP(S82,ModelOutputs,2,FALSE)</f>
        <v>112.63193298795326</v>
      </c>
      <c r="U82" s="55">
        <f t="shared" ref="U82:U145" ca="1" si="28">VLOOKUP(S82,ModelOutputs,7,FALSE)</f>
        <v>190.03752267202927</v>
      </c>
      <c r="V82" s="55">
        <f t="shared" ref="V82:V145" ca="1" si="29">VLOOKUP(S82,ModelOutputs,6,FALSE)</f>
        <v>86.961579288460655</v>
      </c>
      <c r="W82" s="55">
        <f t="shared" ca="1" si="12"/>
        <v>-68.683574986431125</v>
      </c>
      <c r="X82" s="55">
        <f t="shared" ca="1" si="13"/>
        <v>79.636098100374895</v>
      </c>
      <c r="Y82" s="55">
        <f t="shared" ca="1" si="14"/>
        <v>145.87275448769952</v>
      </c>
      <c r="Z82">
        <f t="shared" ref="Z82:Z145" ca="1" si="30">VLOOKUP(S82,ModelOutputs,10,FALSE)*AWC</f>
        <v>119.9777201696985</v>
      </c>
      <c r="AA82">
        <f t="shared" ca="1" si="15"/>
        <v>78.725721766712354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0.99999992965165407</v>
      </c>
      <c r="AD82" s="83">
        <f ca="1"/>
        <v>45573</v>
      </c>
      <c r="AE82" s="55">
        <f t="shared" ca="1" si="20"/>
        <v>45573</v>
      </c>
      <c r="AF82" s="55">
        <f t="shared" ca="1" si="21"/>
        <v>10.712395762729916</v>
      </c>
      <c r="AG82" s="55">
        <f t="shared" ca="1" si="22"/>
        <v>0</v>
      </c>
      <c r="AH82" s="55">
        <f t="shared" ca="1" si="23"/>
        <v>0</v>
      </c>
      <c r="AI82" s="55">
        <f t="shared" ca="1" si="17"/>
        <v>-1.7570267326624107</v>
      </c>
      <c r="AJ82" s="55">
        <f t="shared" ca="1" si="18"/>
        <v>59.203788378066925</v>
      </c>
      <c r="AK82" s="55">
        <f t="shared" ca="1" si="19"/>
        <v>-75.920202791951297</v>
      </c>
    </row>
    <row r="83" spans="18:37">
      <c r="R83" s="83">
        <f ca="1"/>
        <v>45433</v>
      </c>
      <c r="S83" s="55">
        <f t="shared" ref="S83:S146" ca="1" si="33">IF(R83&gt;1,R83,"")</f>
        <v>45433</v>
      </c>
      <c r="T83" s="55">
        <f t="shared" ca="1" si="27"/>
        <v>105.97883134518912</v>
      </c>
      <c r="U83" s="55">
        <f t="shared" ca="1" si="28"/>
        <v>196.28869376135401</v>
      </c>
      <c r="V83" s="55">
        <f t="shared" ca="1" si="29"/>
        <v>0</v>
      </c>
      <c r="W83" s="55">
        <f t="shared" ref="W83:W146" ca="1" si="34">-VLOOKUP(S83,ModelOutputs,9,FALSE)+W82</f>
        <v>-69.976901871612725</v>
      </c>
      <c r="X83" s="55">
        <f t="shared" ref="X83:X146" ca="1" si="35">VLOOKUP(S83,ModelOutputs,5,FALSE)+X82</f>
        <v>80.509493734179188</v>
      </c>
      <c r="Y83" s="55">
        <f t="shared" ref="Y83:Y146" ca="1" si="36">VLOOKUP(S83,ModelOutputs,4,FALSE)+Y82</f>
        <v>145.89075518563743</v>
      </c>
      <c r="Z83">
        <f t="shared" ca="1" si="30"/>
        <v>120</v>
      </c>
      <c r="AA83">
        <f t="shared" ref="AA83:AA146" ca="1" si="37">VLOOKUP(S83,ModelOutputs,11,FALSE)+AA82</f>
        <v>80.541683705692037</v>
      </c>
      <c r="AB83">
        <f t="shared" ca="1" si="31"/>
        <v>0</v>
      </c>
      <c r="AC83">
        <f t="shared" ca="1" si="32"/>
        <v>0.99999994892971278</v>
      </c>
      <c r="AD83" s="83">
        <f ca="1"/>
        <v>45574</v>
      </c>
      <c r="AE83" s="55">
        <f t="shared" ca="1" si="20"/>
        <v>45574</v>
      </c>
      <c r="AF83" s="55">
        <f t="shared" ca="1" si="21"/>
        <v>11.826843707864164</v>
      </c>
      <c r="AG83" s="55">
        <f t="shared" ca="1" si="22"/>
        <v>0</v>
      </c>
      <c r="AH83" s="55">
        <f t="shared" ca="1" si="23"/>
        <v>0</v>
      </c>
      <c r="AI83" s="55">
        <f t="shared" ref="AI83:AI146" ca="1" si="38">-VLOOKUP(AE83,ModelOutputs,9,FALSE)+AI82</f>
        <v>-1.7570267326624107</v>
      </c>
      <c r="AJ83" s="55">
        <f t="shared" ref="AJ83:AJ146" ca="1" si="39">VLOOKUP(AE83,ModelOutputs,5,FALSE)+AJ82</f>
        <v>60.178090097331371</v>
      </c>
      <c r="AK83" s="55">
        <f t="shared" ref="AK83:AK146" ca="1" si="40">VLOOKUP(AE83,ModelOutputs,4,FALSE)+AK82</f>
        <v>-75.780056566081498</v>
      </c>
    </row>
    <row r="84" spans="18:37">
      <c r="R84" s="83">
        <f ca="1"/>
        <v>45434</v>
      </c>
      <c r="S84" s="55">
        <f t="shared" ca="1" si="33"/>
        <v>45434</v>
      </c>
      <c r="T84" s="55">
        <f t="shared" ca="1" si="27"/>
        <v>99.001604044636693</v>
      </c>
      <c r="U84" s="55">
        <f t="shared" ca="1" si="28"/>
        <v>202.97575833926609</v>
      </c>
      <c r="V84" s="55">
        <f t="shared" ca="1" si="29"/>
        <v>0</v>
      </c>
      <c r="W84" s="55">
        <f t="shared" ca="1" si="34"/>
        <v>-71.208252171588626</v>
      </c>
      <c r="X84" s="55">
        <f t="shared" ca="1" si="35"/>
        <v>81.432102749528596</v>
      </c>
      <c r="Y84" s="55">
        <f t="shared" ca="1" si="36"/>
        <v>145.90933374762358</v>
      </c>
      <c r="Z84">
        <f t="shared" ca="1" si="30"/>
        <v>120</v>
      </c>
      <c r="AA84">
        <f t="shared" ca="1" si="37"/>
        <v>82.39247288488437</v>
      </c>
      <c r="AB84">
        <f t="shared" ca="1" si="31"/>
        <v>0</v>
      </c>
      <c r="AC84">
        <f t="shared" ca="1" si="32"/>
        <v>0.99999996358026833</v>
      </c>
      <c r="AD84" s="83">
        <f ca="1"/>
        <v>45575</v>
      </c>
      <c r="AE84" s="55">
        <f t="shared" ca="1" si="20"/>
        <v>45575</v>
      </c>
      <c r="AF84" s="55">
        <f t="shared" ca="1" si="21"/>
        <v>13.06845624028375</v>
      </c>
      <c r="AG84" s="55">
        <f t="shared" ca="1" si="22"/>
        <v>0</v>
      </c>
      <c r="AH84" s="55">
        <f t="shared" ca="1" si="23"/>
        <v>0</v>
      </c>
      <c r="AI84" s="55">
        <f t="shared" ca="1" si="38"/>
        <v>-1.7690868755664428</v>
      </c>
      <c r="AJ84" s="55">
        <f t="shared" ca="1" si="39"/>
        <v>61.261139922796332</v>
      </c>
      <c r="AK84" s="55">
        <f t="shared" ca="1" si="40"/>
        <v>-75.609433716222838</v>
      </c>
    </row>
    <row r="85" spans="18:37">
      <c r="R85" s="83">
        <f ca="1"/>
        <v>45435</v>
      </c>
      <c r="S85" s="55">
        <f t="shared" ca="1" si="33"/>
        <v>45435</v>
      </c>
      <c r="T85" s="55">
        <f t="shared" ca="1" si="27"/>
        <v>90.216254532565728</v>
      </c>
      <c r="U85" s="55">
        <f t="shared" ca="1" si="28"/>
        <v>209.89815418169084</v>
      </c>
      <c r="V85" s="55">
        <f t="shared" ca="1" si="29"/>
        <v>0</v>
      </c>
      <c r="W85" s="55">
        <f t="shared" ca="1" si="34"/>
        <v>-74.033920162054841</v>
      </c>
      <c r="X85" s="55">
        <f t="shared" ca="1" si="35"/>
        <v>82.376221384457253</v>
      </c>
      <c r="Y85" s="55">
        <f t="shared" ca="1" si="36"/>
        <v>145.92792943351492</v>
      </c>
      <c r="Z85">
        <f t="shared" ca="1" si="30"/>
        <v>120</v>
      </c>
      <c r="AA85">
        <f t="shared" ca="1" si="37"/>
        <v>87.053202422450269</v>
      </c>
      <c r="AB85">
        <f t="shared" ca="1" si="31"/>
        <v>0</v>
      </c>
      <c r="AC85">
        <f t="shared" ca="1" si="32"/>
        <v>0.9999999742248169</v>
      </c>
      <c r="AD85" s="83">
        <f ca="1"/>
        <v>45576</v>
      </c>
      <c r="AE85" s="55">
        <f t="shared" ref="AE85:AE148" ca="1" si="41">IF(AD85&gt;1,AD85,"")</f>
        <v>45576</v>
      </c>
      <c r="AF85" s="55">
        <f t="shared" ref="AF85:AF148" ca="1" si="42">VLOOKUP(AE85,ModelOutputs,2,FALSE)</f>
        <v>14.348353311472732</v>
      </c>
      <c r="AG85" s="55">
        <f t="shared" ref="AG85:AG148" ca="1" si="43">VLOOKUP(AE85,ModelOutputs,7,FALSE)</f>
        <v>0</v>
      </c>
      <c r="AH85" s="55">
        <f t="shared" ref="AH85:AH148" ca="1" si="44">VLOOKUP(AE85,ModelOutputs,6,FALSE)</f>
        <v>0</v>
      </c>
      <c r="AI85" s="55">
        <f t="shared" ca="1" si="38"/>
        <v>-1.7690868755664428</v>
      </c>
      <c r="AJ85" s="55">
        <f t="shared" ca="1" si="39"/>
        <v>62.353986661962594</v>
      </c>
      <c r="AK85" s="55">
        <f t="shared" ca="1" si="40"/>
        <v>-75.422383384200117</v>
      </c>
    </row>
    <row r="86" spans="18:37">
      <c r="R86" s="83">
        <f ca="1"/>
        <v>45436</v>
      </c>
      <c r="S86" s="55">
        <f t="shared" ca="1" si="33"/>
        <v>45436</v>
      </c>
      <c r="T86" s="55">
        <f t="shared" ca="1" si="27"/>
        <v>83.081010931774372</v>
      </c>
      <c r="U86" s="55">
        <f t="shared" ca="1" si="28"/>
        <v>216.7585434555694</v>
      </c>
      <c r="V86" s="55">
        <f t="shared" ca="1" si="29"/>
        <v>0</v>
      </c>
      <c r="W86" s="55">
        <f t="shared" ca="1" si="34"/>
        <v>-75.251445016408368</v>
      </c>
      <c r="X86" s="55">
        <f t="shared" ca="1" si="35"/>
        <v>83.301041027428781</v>
      </c>
      <c r="Y86" s="55">
        <f t="shared" ca="1" si="36"/>
        <v>145.94578031798412</v>
      </c>
      <c r="Z86">
        <f t="shared" ca="1" si="30"/>
        <v>120</v>
      </c>
      <c r="AA86">
        <f t="shared" ca="1" si="37"/>
        <v>89.233890883507456</v>
      </c>
      <c r="AB86">
        <f t="shared" ca="1" si="31"/>
        <v>0</v>
      </c>
      <c r="AC86">
        <f t="shared" ca="1" si="32"/>
        <v>0.99999998163341275</v>
      </c>
      <c r="AD86" s="83">
        <f ca="1"/>
        <v>45577</v>
      </c>
      <c r="AE86" s="55">
        <f t="shared" ca="1" si="41"/>
        <v>45577</v>
      </c>
      <c r="AF86" s="55">
        <f t="shared" ca="1" si="42"/>
        <v>15.59221489004266</v>
      </c>
      <c r="AG86" s="55">
        <f t="shared" ca="1" si="43"/>
        <v>0</v>
      </c>
      <c r="AH86" s="55">
        <f t="shared" ca="1" si="44"/>
        <v>0</v>
      </c>
      <c r="AI86" s="55">
        <f t="shared" ca="1" si="38"/>
        <v>-1.7690868755664428</v>
      </c>
      <c r="AJ86" s="55">
        <f t="shared" ca="1" si="39"/>
        <v>63.404774934960692</v>
      </c>
      <c r="AK86" s="55">
        <f t="shared" ca="1" si="40"/>
        <v>-75.229310078628288</v>
      </c>
    </row>
    <row r="87" spans="18:37">
      <c r="R87" s="83">
        <f ca="1"/>
        <v>45437</v>
      </c>
      <c r="S87" s="55">
        <f t="shared" ca="1" si="33"/>
        <v>45437</v>
      </c>
      <c r="T87" s="55">
        <f t="shared" ca="1" si="27"/>
        <v>74.308021919522375</v>
      </c>
      <c r="U87" s="55">
        <f t="shared" ca="1" si="28"/>
        <v>223.95282640361697</v>
      </c>
      <c r="V87" s="55">
        <f t="shared" ca="1" si="29"/>
        <v>0</v>
      </c>
      <c r="W87" s="55">
        <f t="shared" ca="1" si="34"/>
        <v>-77.810537667053438</v>
      </c>
      <c r="X87" s="55">
        <f t="shared" ca="1" si="35"/>
        <v>84.263197759036217</v>
      </c>
      <c r="Y87" s="55">
        <f t="shared" ca="1" si="36"/>
        <v>145.96401017281732</v>
      </c>
      <c r="Z87">
        <f t="shared" ca="1" si="30"/>
        <v>120</v>
      </c>
      <c r="AA87">
        <f t="shared" ca="1" si="37"/>
        <v>94.358584092986405</v>
      </c>
      <c r="AB87">
        <f t="shared" ca="1" si="31"/>
        <v>0</v>
      </c>
      <c r="AC87">
        <f t="shared" ca="1" si="32"/>
        <v>0.99999998708306115</v>
      </c>
      <c r="AD87" s="83">
        <f ca="1"/>
        <v>45578</v>
      </c>
      <c r="AE87" s="55">
        <f t="shared" ca="1" si="41"/>
        <v>45578</v>
      </c>
      <c r="AF87" s="55">
        <f t="shared" ca="1" si="42"/>
        <v>16.798991321961402</v>
      </c>
      <c r="AG87" s="55">
        <f t="shared" ca="1" si="43"/>
        <v>0</v>
      </c>
      <c r="AH87" s="55">
        <f t="shared" ca="1" si="44"/>
        <v>0</v>
      </c>
      <c r="AI87" s="55">
        <f t="shared" ca="1" si="38"/>
        <v>-1.8920757960586934</v>
      </c>
      <c r="AJ87" s="55">
        <f t="shared" ca="1" si="39"/>
        <v>64.51696603158463</v>
      </c>
      <c r="AK87" s="55">
        <f t="shared" ca="1" si="40"/>
        <v>-75.011735822841231</v>
      </c>
    </row>
    <row r="88" spans="18:37">
      <c r="R88" s="83">
        <f ca="1"/>
        <v>45438</v>
      </c>
      <c r="S88" s="55">
        <f t="shared" ca="1" si="33"/>
        <v>45438</v>
      </c>
      <c r="T88" s="55">
        <f t="shared" ca="1" si="27"/>
        <v>67.602340505691004</v>
      </c>
      <c r="U88" s="55">
        <f t="shared" ca="1" si="28"/>
        <v>230.80506611605352</v>
      </c>
      <c r="V88" s="55">
        <f t="shared" ca="1" si="29"/>
        <v>0</v>
      </c>
      <c r="W88" s="55">
        <f t="shared" ca="1" si="34"/>
        <v>-78.588111589032792</v>
      </c>
      <c r="X88" s="55">
        <f t="shared" ca="1" si="35"/>
        <v>85.17042591347635</v>
      </c>
      <c r="Y88" s="55">
        <f t="shared" ca="1" si="36"/>
        <v>145.98091423896173</v>
      </c>
      <c r="Z88">
        <f t="shared" ca="1" si="30"/>
        <v>120</v>
      </c>
      <c r="AA88">
        <f t="shared" ca="1" si="37"/>
        <v>96.070165330585795</v>
      </c>
      <c r="AB88">
        <f t="shared" ca="1" si="31"/>
        <v>0</v>
      </c>
      <c r="AC88">
        <f t="shared" ca="1" si="32"/>
        <v>0.99999999073767143</v>
      </c>
      <c r="AD88" s="83">
        <f ca="1"/>
        <v>45579</v>
      </c>
      <c r="AE88" s="55">
        <f t="shared" ca="1" si="41"/>
        <v>45579</v>
      </c>
      <c r="AF88" s="55">
        <f t="shared" ca="1" si="42"/>
        <v>17.954661287996004</v>
      </c>
      <c r="AG88" s="55">
        <f t="shared" ca="1" si="43"/>
        <v>0</v>
      </c>
      <c r="AH88" s="55">
        <f t="shared" ca="1" si="44"/>
        <v>0</v>
      </c>
      <c r="AI88" s="55">
        <f t="shared" ca="1" si="38"/>
        <v>-2.0683647054416054</v>
      </c>
      <c r="AJ88" s="55">
        <f t="shared" ca="1" si="39"/>
        <v>65.620487912505666</v>
      </c>
      <c r="AK88" s="55">
        <f t="shared" ca="1" si="40"/>
        <v>-74.783298828344755</v>
      </c>
    </row>
    <row r="89" spans="18:37">
      <c r="R89" s="83">
        <f ca="1"/>
        <v>45439</v>
      </c>
      <c r="S89" s="55">
        <f t="shared" ca="1" si="33"/>
        <v>45439</v>
      </c>
      <c r="T89" s="55">
        <f t="shared" ca="1" si="27"/>
        <v>61.064039854194</v>
      </c>
      <c r="U89" s="55">
        <f t="shared" ca="1" si="28"/>
        <v>237.51566027495554</v>
      </c>
      <c r="V89" s="55">
        <f t="shared" ca="1" si="29"/>
        <v>0</v>
      </c>
      <c r="W89" s="55">
        <f t="shared" ca="1" si="34"/>
        <v>-79.314699071989409</v>
      </c>
      <c r="X89" s="55">
        <f t="shared" ca="1" si="35"/>
        <v>86.053097897756871</v>
      </c>
      <c r="Y89" s="55">
        <f t="shared" ca="1" si="36"/>
        <v>145.99712324504284</v>
      </c>
      <c r="Z89">
        <f t="shared" ca="1" si="30"/>
        <v>120</v>
      </c>
      <c r="AA89">
        <f t="shared" ca="1" si="37"/>
        <v>97.840763217002348</v>
      </c>
      <c r="AB89">
        <f t="shared" ca="1" si="31"/>
        <v>0</v>
      </c>
      <c r="AC89">
        <f t="shared" ca="1" si="32"/>
        <v>0.99999999329878198</v>
      </c>
      <c r="AD89" s="83">
        <f ca="1"/>
        <v>45580</v>
      </c>
      <c r="AE89" s="55">
        <f t="shared" ca="1" si="41"/>
        <v>45580</v>
      </c>
      <c r="AF89" s="55">
        <f t="shared" ca="1" si="42"/>
        <v>19.253938901702899</v>
      </c>
      <c r="AG89" s="55">
        <f t="shared" ca="1" si="43"/>
        <v>0</v>
      </c>
      <c r="AH89" s="55">
        <f t="shared" ca="1" si="44"/>
        <v>0</v>
      </c>
      <c r="AI89" s="55">
        <f t="shared" ca="1" si="38"/>
        <v>-2.0683647054416054</v>
      </c>
      <c r="AJ89" s="55">
        <f t="shared" ca="1" si="39"/>
        <v>66.687734427247548</v>
      </c>
      <c r="AK89" s="55">
        <f t="shared" ca="1" si="40"/>
        <v>-74.551267729379745</v>
      </c>
    </row>
    <row r="90" spans="18:37">
      <c r="R90" s="83">
        <f ca="1"/>
        <v>45440</v>
      </c>
      <c r="S90" s="55">
        <f t="shared" ca="1" si="33"/>
        <v>45440</v>
      </c>
      <c r="T90" s="55">
        <f t="shared" ca="1" si="27"/>
        <v>54.145208565572496</v>
      </c>
      <c r="U90" s="55">
        <f t="shared" ca="1" si="28"/>
        <v>244.59852052151908</v>
      </c>
      <c r="V90" s="55">
        <f t="shared" ca="1" si="29"/>
        <v>0</v>
      </c>
      <c r="W90" s="55">
        <f t="shared" ca="1" si="34"/>
        <v>-80.09525346865658</v>
      </c>
      <c r="X90" s="55">
        <f t="shared" ca="1" si="35"/>
        <v>86.980870246575435</v>
      </c>
      <c r="Y90" s="55">
        <f t="shared" ca="1" si="36"/>
        <v>146.0139342508335</v>
      </c>
      <c r="Z90">
        <f t="shared" ca="1" si="30"/>
        <v>120</v>
      </c>
      <c r="AA90">
        <f t="shared" ca="1" si="37"/>
        <v>99.985928233064186</v>
      </c>
      <c r="AB90">
        <f t="shared" ca="1" si="31"/>
        <v>0</v>
      </c>
      <c r="AC90">
        <f t="shared" ca="1" si="32"/>
        <v>0.99999999522992944</v>
      </c>
      <c r="AD90" s="83">
        <f ca="1"/>
        <v>45581</v>
      </c>
      <c r="AE90" s="55">
        <f t="shared" ca="1" si="41"/>
        <v>45581</v>
      </c>
      <c r="AF90" s="55">
        <f t="shared" ca="1" si="42"/>
        <v>20.64645748204746</v>
      </c>
      <c r="AG90" s="55">
        <f t="shared" ca="1" si="43"/>
        <v>0</v>
      </c>
      <c r="AH90" s="55">
        <f t="shared" ca="1" si="44"/>
        <v>0</v>
      </c>
      <c r="AI90" s="55">
        <f t="shared" ca="1" si="38"/>
        <v>-2.0683647054416054</v>
      </c>
      <c r="AJ90" s="55">
        <f t="shared" ca="1" si="39"/>
        <v>67.822410884373198</v>
      </c>
      <c r="AK90" s="55">
        <f t="shared" ca="1" si="40"/>
        <v>-74.293425606160838</v>
      </c>
    </row>
    <row r="91" spans="18:37">
      <c r="R91" s="83">
        <f ca="1"/>
        <v>45441</v>
      </c>
      <c r="S91" s="55">
        <f t="shared" ca="1" si="33"/>
        <v>45441</v>
      </c>
      <c r="T91" s="55">
        <f t="shared" ca="1" si="27"/>
        <v>48.350398665749523</v>
      </c>
      <c r="U91" s="55">
        <f t="shared" ca="1" si="28"/>
        <v>250.95761310600952</v>
      </c>
      <c r="V91" s="55">
        <f t="shared" ca="1" si="29"/>
        <v>0</v>
      </c>
      <c r="W91" s="55">
        <f t="shared" ca="1" si="34"/>
        <v>-80.376192741154583</v>
      </c>
      <c r="X91" s="55">
        <f t="shared" ca="1" si="35"/>
        <v>87.811223115145154</v>
      </c>
      <c r="Y91" s="55">
        <f t="shared" ca="1" si="36"/>
        <v>146.02880333942926</v>
      </c>
      <c r="Z91">
        <f t="shared" ca="1" si="30"/>
        <v>120</v>
      </c>
      <c r="AA91">
        <f t="shared" ca="1" si="37"/>
        <v>100.85055754887406</v>
      </c>
      <c r="AB91">
        <f t="shared" ca="1" si="31"/>
        <v>0</v>
      </c>
      <c r="AC91">
        <f t="shared" ca="1" si="32"/>
        <v>0.99999999648079352</v>
      </c>
      <c r="AD91" s="83">
        <f ca="1"/>
        <v>45582</v>
      </c>
      <c r="AE91" s="55">
        <f t="shared" ca="1" si="41"/>
        <v>45582</v>
      </c>
      <c r="AF91" s="55">
        <f t="shared" ca="1" si="42"/>
        <v>22.019181976020043</v>
      </c>
      <c r="AG91" s="55">
        <f t="shared" ca="1" si="43"/>
        <v>0</v>
      </c>
      <c r="AH91" s="55">
        <f t="shared" ca="1" si="44"/>
        <v>0</v>
      </c>
      <c r="AI91" s="55">
        <f t="shared" ca="1" si="38"/>
        <v>-2.0683647054416054</v>
      </c>
      <c r="AJ91" s="55">
        <f t="shared" ca="1" si="39"/>
        <v>68.932534071216551</v>
      </c>
      <c r="AK91" s="55">
        <f t="shared" ca="1" si="40"/>
        <v>-74.030824299031607</v>
      </c>
    </row>
    <row r="92" spans="18:37">
      <c r="R92" s="83">
        <f ca="1"/>
        <v>45442</v>
      </c>
      <c r="S92" s="55">
        <f t="shared" ca="1" si="33"/>
        <v>45442</v>
      </c>
      <c r="T92" s="55">
        <f t="shared" ca="1" si="27"/>
        <v>41.781688653071733</v>
      </c>
      <c r="U92" s="55">
        <f t="shared" ca="1" si="28"/>
        <v>257.3656974625423</v>
      </c>
      <c r="V92" s="55">
        <f t="shared" ca="1" si="29"/>
        <v>0</v>
      </c>
      <c r="W92" s="55">
        <f t="shared" ca="1" si="34"/>
        <v>-81.386452834615525</v>
      </c>
      <c r="X92" s="55">
        <f t="shared" ca="1" si="35"/>
        <v>88.646059767297075</v>
      </c>
      <c r="Y92" s="55">
        <f t="shared" ca="1" si="36"/>
        <v>146.04360112459327</v>
      </c>
      <c r="Z92">
        <f t="shared" ca="1" si="30"/>
        <v>120</v>
      </c>
      <c r="AA92">
        <f t="shared" ca="1" si="37"/>
        <v>104.44858748168559</v>
      </c>
      <c r="AB92">
        <f t="shared" ca="1" si="31"/>
        <v>0</v>
      </c>
      <c r="AC92">
        <f t="shared" ca="1" si="32"/>
        <v>0.999999997408064</v>
      </c>
      <c r="AD92" s="83">
        <f ca="1"/>
        <v>45583</v>
      </c>
      <c r="AE92" s="55">
        <f t="shared" ca="1" si="41"/>
        <v>45583</v>
      </c>
      <c r="AF92" s="55">
        <f t="shared" ca="1" si="42"/>
        <v>23.325445984063602</v>
      </c>
      <c r="AG92" s="55">
        <f t="shared" ca="1" si="43"/>
        <v>0</v>
      </c>
      <c r="AH92" s="55">
        <f t="shared" ca="1" si="44"/>
        <v>0</v>
      </c>
      <c r="AI92" s="55">
        <f t="shared" ca="1" si="38"/>
        <v>-2.0683647054416054</v>
      </c>
      <c r="AJ92" s="55">
        <f t="shared" ca="1" si="39"/>
        <v>69.981854093272275</v>
      </c>
      <c r="AK92" s="55">
        <f t="shared" ca="1" si="40"/>
        <v>-73.773880313043776</v>
      </c>
    </row>
    <row r="93" spans="18:37">
      <c r="R93" s="83">
        <f ca="1"/>
        <v>45443</v>
      </c>
      <c r="S93" s="55">
        <f t="shared" ca="1" si="33"/>
        <v>45443</v>
      </c>
      <c r="T93" s="55">
        <f t="shared" ca="1" si="27"/>
        <v>35.732437319658032</v>
      </c>
      <c r="U93" s="55">
        <f t="shared" ca="1" si="28"/>
        <v>263.96931378193585</v>
      </c>
      <c r="V93" s="55">
        <f t="shared" ca="1" si="29"/>
        <v>0</v>
      </c>
      <c r="W93" s="55">
        <f t="shared" ca="1" si="34"/>
        <v>-81.70606252675438</v>
      </c>
      <c r="X93" s="55">
        <f t="shared" ca="1" si="35"/>
        <v>89.504953681490974</v>
      </c>
      <c r="Y93" s="55">
        <f t="shared" ca="1" si="36"/>
        <v>146.05868188851807</v>
      </c>
      <c r="Z93">
        <f t="shared" ca="1" si="30"/>
        <v>120</v>
      </c>
      <c r="AA93">
        <f t="shared" ca="1" si="37"/>
        <v>105.77957769632819</v>
      </c>
      <c r="AB93">
        <f t="shared" ca="1" si="31"/>
        <v>0</v>
      </c>
      <c r="AC93">
        <f t="shared" ca="1" si="32"/>
        <v>0.99999999810820595</v>
      </c>
      <c r="AD93" s="83">
        <f ca="1"/>
        <v>45584</v>
      </c>
      <c r="AE93" s="55">
        <f t="shared" ca="1" si="41"/>
        <v>45584</v>
      </c>
      <c r="AF93" s="55">
        <f t="shared" ca="1" si="42"/>
        <v>24.652408925468151</v>
      </c>
      <c r="AG93" s="55">
        <f t="shared" ca="1" si="43"/>
        <v>0</v>
      </c>
      <c r="AH93" s="55">
        <f t="shared" ca="1" si="44"/>
        <v>0</v>
      </c>
      <c r="AI93" s="55">
        <f t="shared" ca="1" si="38"/>
        <v>-2.0683647054416054</v>
      </c>
      <c r="AJ93" s="55">
        <f t="shared" ca="1" si="39"/>
        <v>71.041387412579525</v>
      </c>
      <c r="AK93" s="55">
        <f t="shared" ca="1" si="40"/>
        <v>-73.50645069094648</v>
      </c>
    </row>
    <row r="94" spans="18:37">
      <c r="R94" s="83">
        <f ca="1"/>
        <v>45444</v>
      </c>
      <c r="S94" s="55">
        <f t="shared" ca="1" si="33"/>
        <v>45444</v>
      </c>
      <c r="T94" s="55">
        <f t="shared" ca="1" si="27"/>
        <v>126.21985654757196</v>
      </c>
      <c r="U94" s="55">
        <f t="shared" ca="1" si="28"/>
        <v>270.56515343519021</v>
      </c>
      <c r="V94" s="55">
        <f t="shared" ca="1" si="29"/>
        <v>97.487027493395445</v>
      </c>
      <c r="W94" s="55">
        <f t="shared" ca="1" si="34"/>
        <v>-82.98295863049826</v>
      </c>
      <c r="X94" s="55">
        <f t="shared" ca="1" si="35"/>
        <v>90.363144144783959</v>
      </c>
      <c r="Y94" s="55">
        <f t="shared" ca="1" si="36"/>
        <v>146.07361891674179</v>
      </c>
      <c r="Z94">
        <f t="shared" ca="1" si="30"/>
        <v>120</v>
      </c>
      <c r="AA94">
        <f t="shared" ca="1" si="37"/>
        <v>107.53482145280992</v>
      </c>
      <c r="AB94">
        <f t="shared" ca="1" si="31"/>
        <v>0</v>
      </c>
      <c r="AC94">
        <f t="shared" ca="1" si="32"/>
        <v>0.99999999861886124</v>
      </c>
      <c r="AD94" s="83">
        <f ca="1"/>
        <v>45585</v>
      </c>
      <c r="AE94" s="55">
        <f t="shared" ca="1" si="41"/>
        <v>45585</v>
      </c>
      <c r="AF94" s="55">
        <f t="shared" ca="1" si="42"/>
        <v>25.912462693455311</v>
      </c>
      <c r="AG94" s="55">
        <f t="shared" ca="1" si="43"/>
        <v>0</v>
      </c>
      <c r="AH94" s="55">
        <f t="shared" ca="1" si="44"/>
        <v>0</v>
      </c>
      <c r="AI94" s="55">
        <f t="shared" ca="1" si="38"/>
        <v>-2.0683647054416054</v>
      </c>
      <c r="AJ94" s="55">
        <f t="shared" ca="1" si="39"/>
        <v>72.042034364171442</v>
      </c>
      <c r="AK94" s="55">
        <f t="shared" ca="1" si="40"/>
        <v>-73.247043874551238</v>
      </c>
    </row>
    <row r="95" spans="18:37">
      <c r="R95" s="83">
        <f ca="1"/>
        <v>45445</v>
      </c>
      <c r="S95" s="55">
        <f t="shared" ca="1" si="33"/>
        <v>45445</v>
      </c>
      <c r="T95" s="55">
        <f t="shared" ca="1" si="27"/>
        <v>119.99940018592821</v>
      </c>
      <c r="U95" s="55">
        <f t="shared" ca="1" si="28"/>
        <v>277.08731511717195</v>
      </c>
      <c r="V95" s="55">
        <f t="shared" ca="1" si="29"/>
        <v>0</v>
      </c>
      <c r="W95" s="55">
        <f t="shared" ca="1" si="34"/>
        <v>-83.5460599655473</v>
      </c>
      <c r="X95" s="55">
        <f t="shared" ca="1" si="35"/>
        <v>91.213271292572443</v>
      </c>
      <c r="Y95" s="55">
        <f t="shared" ca="1" si="36"/>
        <v>146.08829842434034</v>
      </c>
      <c r="Z95">
        <f t="shared" ca="1" si="30"/>
        <v>120</v>
      </c>
      <c r="AA95">
        <f t="shared" ca="1" si="37"/>
        <v>108.34705181676605</v>
      </c>
      <c r="AB95">
        <f t="shared" ca="1" si="31"/>
        <v>0</v>
      </c>
      <c r="AC95">
        <f t="shared" ca="1" si="32"/>
        <v>0.99999999898862835</v>
      </c>
      <c r="AD95" s="83">
        <f ca="1"/>
        <v>45586</v>
      </c>
      <c r="AE95" s="55">
        <f t="shared" ca="1" si="41"/>
        <v>45586</v>
      </c>
      <c r="AF95" s="55">
        <f t="shared" ca="1" si="42"/>
        <v>27.27280819875979</v>
      </c>
      <c r="AG95" s="55">
        <f t="shared" ca="1" si="43"/>
        <v>0</v>
      </c>
      <c r="AH95" s="55">
        <f t="shared" ca="1" si="44"/>
        <v>0</v>
      </c>
      <c r="AI95" s="55">
        <f t="shared" ca="1" si="38"/>
        <v>-2.0683647054416054</v>
      </c>
      <c r="AJ95" s="55">
        <f t="shared" ca="1" si="39"/>
        <v>73.116882984556057</v>
      </c>
      <c r="AK95" s="55">
        <f t="shared" ca="1" si="40"/>
        <v>-72.961546989631373</v>
      </c>
    </row>
    <row r="96" spans="18:37">
      <c r="R96" s="83">
        <f ca="1"/>
        <v>45446</v>
      </c>
      <c r="S96" s="55">
        <f t="shared" ca="1" si="33"/>
        <v>45446</v>
      </c>
      <c r="T96" s="55">
        <f t="shared" ca="1" si="27"/>
        <v>112.79414006764277</v>
      </c>
      <c r="U96" s="55">
        <f t="shared" ca="1" si="28"/>
        <v>284.27937936076677</v>
      </c>
      <c r="V96" s="55">
        <f t="shared" ca="1" si="29"/>
        <v>0</v>
      </c>
      <c r="W96" s="55">
        <f t="shared" ca="1" si="34"/>
        <v>-84.516517014510967</v>
      </c>
      <c r="X96" s="55">
        <f t="shared" ca="1" si="35"/>
        <v>92.154404469900953</v>
      </c>
      <c r="Y96" s="55">
        <f t="shared" ca="1" si="36"/>
        <v>146.10442642128487</v>
      </c>
      <c r="Z96">
        <f t="shared" ca="1" si="30"/>
        <v>120</v>
      </c>
      <c r="AA96">
        <f t="shared" ca="1" si="37"/>
        <v>109.83628093927256</v>
      </c>
      <c r="AB96">
        <f t="shared" ca="1" si="31"/>
        <v>0</v>
      </c>
      <c r="AC96">
        <f t="shared" ca="1" si="32"/>
        <v>0.99999999928347472</v>
      </c>
      <c r="AD96" s="83">
        <f ca="1"/>
        <v>45587</v>
      </c>
      <c r="AE96" s="55">
        <f t="shared" ca="1" si="41"/>
        <v>45587</v>
      </c>
      <c r="AF96" s="55">
        <f t="shared" ca="1" si="42"/>
        <v>28.560231853474875</v>
      </c>
      <c r="AG96" s="55">
        <f t="shared" ca="1" si="43"/>
        <v>0</v>
      </c>
      <c r="AH96" s="55">
        <f t="shared" ca="1" si="44"/>
        <v>0</v>
      </c>
      <c r="AI96" s="55">
        <f t="shared" ca="1" si="38"/>
        <v>-2.0683647054416054</v>
      </c>
      <c r="AJ96" s="55">
        <f t="shared" ca="1" si="39"/>
        <v>74.129368956555268</v>
      </c>
      <c r="AK96" s="55">
        <f t="shared" ca="1" si="40"/>
        <v>-72.6866093069155</v>
      </c>
    </row>
    <row r="97" spans="18:37">
      <c r="R97" s="83">
        <f ca="1"/>
        <v>45447</v>
      </c>
      <c r="S97" s="55">
        <f t="shared" ca="1" si="33"/>
        <v>45447</v>
      </c>
      <c r="T97" s="55">
        <f t="shared" ca="1" si="27"/>
        <v>104.74900499451225</v>
      </c>
      <c r="U97" s="55">
        <f t="shared" ca="1" si="28"/>
        <v>291.26694462185452</v>
      </c>
      <c r="V97" s="55">
        <f t="shared" ca="1" si="29"/>
        <v>0</v>
      </c>
      <c r="W97" s="55">
        <f t="shared" ca="1" si="34"/>
        <v>-86.507533766576614</v>
      </c>
      <c r="X97" s="55">
        <f t="shared" ca="1" si="35"/>
        <v>93.072235258646671</v>
      </c>
      <c r="Y97" s="55">
        <f t="shared" ca="1" si="36"/>
        <v>146.12004257256203</v>
      </c>
      <c r="Z97">
        <f t="shared" ca="1" si="30"/>
        <v>120</v>
      </c>
      <c r="AA97">
        <f t="shared" ca="1" si="37"/>
        <v>113.12628737062428</v>
      </c>
      <c r="AB97">
        <f t="shared" ca="1" si="31"/>
        <v>0</v>
      </c>
      <c r="AC97">
        <f t="shared" ca="1" si="32"/>
        <v>0.99999999948815277</v>
      </c>
      <c r="AD97" s="83">
        <f ca="1"/>
        <v>45588</v>
      </c>
      <c r="AE97" s="55">
        <f t="shared" ca="1" si="41"/>
        <v>45588</v>
      </c>
      <c r="AF97" s="55">
        <f t="shared" ca="1" si="42"/>
        <v>29.795392847510904</v>
      </c>
      <c r="AG97" s="55">
        <f t="shared" ca="1" si="43"/>
        <v>0</v>
      </c>
      <c r="AH97" s="55">
        <f t="shared" ca="1" si="44"/>
        <v>0</v>
      </c>
      <c r="AI97" s="55">
        <f t="shared" ca="1" si="38"/>
        <v>-2.0683647054416054</v>
      </c>
      <c r="AJ97" s="55">
        <f t="shared" ca="1" si="39"/>
        <v>75.096801372730496</v>
      </c>
      <c r="AK97" s="55">
        <f t="shared" ca="1" si="40"/>
        <v>-72.418880729054706</v>
      </c>
    </row>
    <row r="98" spans="18:37">
      <c r="R98" s="83">
        <f ca="1"/>
        <v>45448</v>
      </c>
      <c r="S98" s="55">
        <f t="shared" ca="1" si="33"/>
        <v>45448</v>
      </c>
      <c r="T98" s="55">
        <f t="shared" ca="1" si="27"/>
        <v>96.374388043152933</v>
      </c>
      <c r="U98" s="55">
        <f t="shared" ca="1" si="28"/>
        <v>298.13194423364661</v>
      </c>
      <c r="V98" s="55">
        <f t="shared" ca="1" si="29"/>
        <v>0</v>
      </c>
      <c r="W98" s="55">
        <f t="shared" ca="1" si="34"/>
        <v>-88.93934582310132</v>
      </c>
      <c r="X98" s="55">
        <f t="shared" ca="1" si="35"/>
        <v>93.979099195033697</v>
      </c>
      <c r="Y98" s="55">
        <f t="shared" ca="1" si="36"/>
        <v>146.13537335313248</v>
      </c>
      <c r="Z98">
        <f t="shared" ca="1" si="30"/>
        <v>120</v>
      </c>
      <c r="AA98">
        <f t="shared" ca="1" si="37"/>
        <v>117.49385977186216</v>
      </c>
      <c r="AB98">
        <f t="shared" ca="1" si="31"/>
        <v>0</v>
      </c>
      <c r="AC98">
        <f t="shared" ca="1" si="32"/>
        <v>0.99999999963292252</v>
      </c>
      <c r="AD98" s="83">
        <f ca="1"/>
        <v>45589</v>
      </c>
      <c r="AE98" s="55">
        <f t="shared" ca="1" si="41"/>
        <v>45589</v>
      </c>
      <c r="AF98" s="55">
        <f t="shared" ca="1" si="42"/>
        <v>31.052196344303699</v>
      </c>
      <c r="AG98" s="55">
        <f t="shared" ca="1" si="43"/>
        <v>0</v>
      </c>
      <c r="AH98" s="55">
        <f t="shared" ca="1" si="44"/>
        <v>0</v>
      </c>
      <c r="AI98" s="55">
        <f t="shared" ca="1" si="38"/>
        <v>-2.0683647054416054</v>
      </c>
      <c r="AJ98" s="55">
        <f t="shared" ca="1" si="39"/>
        <v>76.077561072146622</v>
      </c>
      <c r="AK98" s="55">
        <f t="shared" ca="1" si="40"/>
        <v>-72.142836931678033</v>
      </c>
    </row>
    <row r="99" spans="18:37">
      <c r="R99" s="83">
        <f ca="1"/>
        <v>45449</v>
      </c>
      <c r="S99" s="55">
        <f t="shared" ca="1" si="33"/>
        <v>45449</v>
      </c>
      <c r="T99" s="55">
        <f t="shared" ca="1" si="27"/>
        <v>89.784199194922394</v>
      </c>
      <c r="U99" s="55">
        <f t="shared" ca="1" si="28"/>
        <v>304.88278975267451</v>
      </c>
      <c r="V99" s="55">
        <f t="shared" ca="1" si="29"/>
        <v>0</v>
      </c>
      <c r="W99" s="55">
        <f t="shared" ca="1" si="34"/>
        <v>-89.691935015605424</v>
      </c>
      <c r="X99" s="55">
        <f t="shared" ca="1" si="35"/>
        <v>94.877249666514444</v>
      </c>
      <c r="Y99" s="55">
        <f t="shared" ca="1" si="36"/>
        <v>146.1504687449532</v>
      </c>
      <c r="Z99">
        <f t="shared" ca="1" si="30"/>
        <v>120</v>
      </c>
      <c r="AA99">
        <f t="shared" ca="1" si="37"/>
        <v>118.94473412243833</v>
      </c>
      <c r="AB99">
        <f t="shared" ca="1" si="31"/>
        <v>0</v>
      </c>
      <c r="AC99">
        <f t="shared" ca="1" si="32"/>
        <v>0.99999999973591591</v>
      </c>
      <c r="AD99" s="83">
        <f ca="1"/>
        <v>45590</v>
      </c>
      <c r="AE99" s="55">
        <f t="shared" ca="1" si="41"/>
        <v>45590</v>
      </c>
      <c r="AF99" s="55">
        <f t="shared" ca="1" si="42"/>
        <v>32.438251479301705</v>
      </c>
      <c r="AG99" s="55">
        <f t="shared" ca="1" si="43"/>
        <v>0</v>
      </c>
      <c r="AH99" s="55">
        <f t="shared" ca="1" si="44"/>
        <v>0</v>
      </c>
      <c r="AI99" s="55">
        <f t="shared" ca="1" si="38"/>
        <v>-2.0683647054416054</v>
      </c>
      <c r="AJ99" s="55">
        <f t="shared" ca="1" si="39"/>
        <v>77.155331964578821</v>
      </c>
      <c r="AK99" s="55">
        <f t="shared" ca="1" si="40"/>
        <v>-71.834552689112229</v>
      </c>
    </row>
    <row r="100" spans="18:37">
      <c r="R100" s="83">
        <f ca="1"/>
        <v>45450</v>
      </c>
      <c r="S100" s="55">
        <f t="shared" ca="1" si="33"/>
        <v>45450</v>
      </c>
      <c r="T100" s="55">
        <f t="shared" ca="1" si="27"/>
        <v>84.170530227516252</v>
      </c>
      <c r="U100" s="55">
        <f t="shared" ca="1" si="28"/>
        <v>311.01860465283636</v>
      </c>
      <c r="V100" s="55">
        <f t="shared" ca="1" si="29"/>
        <v>0</v>
      </c>
      <c r="W100" s="55">
        <f t="shared" ca="1" si="34"/>
        <v>-90.007740343324301</v>
      </c>
      <c r="X100" s="55">
        <f t="shared" ca="1" si="35"/>
        <v>95.701419673105889</v>
      </c>
      <c r="Y100" s="55">
        <f t="shared" ca="1" si="36"/>
        <v>146.16424999883634</v>
      </c>
      <c r="Z100">
        <f t="shared" ca="1" si="30"/>
        <v>120</v>
      </c>
      <c r="AA100">
        <f t="shared" ca="1" si="37"/>
        <v>119.59416230078871</v>
      </c>
      <c r="AB100">
        <f t="shared" ca="1" si="31"/>
        <v>0</v>
      </c>
      <c r="AC100">
        <f t="shared" ca="1" si="32"/>
        <v>0.99999999980470666</v>
      </c>
      <c r="AD100" s="83">
        <f ca="1"/>
        <v>45591</v>
      </c>
      <c r="AE100" s="55">
        <f t="shared" ca="1" si="41"/>
        <v>45591</v>
      </c>
      <c r="AF100" s="55">
        <f t="shared" ca="1" si="42"/>
        <v>33.922984213229746</v>
      </c>
      <c r="AG100" s="55">
        <f t="shared" ca="1" si="43"/>
        <v>0</v>
      </c>
      <c r="AH100" s="55">
        <f t="shared" ca="1" si="44"/>
        <v>0</v>
      </c>
      <c r="AI100" s="55">
        <f t="shared" ca="1" si="38"/>
        <v>-2.0683647054416054</v>
      </c>
      <c r="AJ100" s="55">
        <f t="shared" ca="1" si="39"/>
        <v>78.305794869963322</v>
      </c>
      <c r="AK100" s="55">
        <f t="shared" ca="1" si="40"/>
        <v>-71.500282860568689</v>
      </c>
    </row>
    <row r="101" spans="18:37">
      <c r="R101" s="83">
        <f ca="1"/>
        <v>45451</v>
      </c>
      <c r="S101" s="55">
        <f t="shared" ca="1" si="33"/>
        <v>45451</v>
      </c>
      <c r="T101" s="55">
        <f t="shared" ca="1" si="27"/>
        <v>78.707530999974523</v>
      </c>
      <c r="U101" s="55">
        <f t="shared" ca="1" si="28"/>
        <v>317.03635999370078</v>
      </c>
      <c r="V101" s="55">
        <f t="shared" ca="1" si="29"/>
        <v>0</v>
      </c>
      <c r="W101" s="55">
        <f t="shared" ca="1" si="34"/>
        <v>-90.282538880507616</v>
      </c>
      <c r="X101" s="55">
        <f t="shared" ca="1" si="35"/>
        <v>96.517391782722257</v>
      </c>
      <c r="Y101" s="55">
        <f t="shared" ca="1" si="36"/>
        <v>146.17783253972598</v>
      </c>
      <c r="Z101">
        <f t="shared" ca="1" si="30"/>
        <v>120</v>
      </c>
      <c r="AA101">
        <f t="shared" ca="1" si="37"/>
        <v>120.19848633485975</v>
      </c>
      <c r="AB101">
        <f t="shared" ca="1" si="31"/>
        <v>0</v>
      </c>
      <c r="AC101">
        <f t="shared" ca="1" si="32"/>
        <v>0.999999999855123</v>
      </c>
      <c r="AD101" s="83">
        <f ca="1"/>
        <v>45592</v>
      </c>
      <c r="AE101" s="55">
        <f t="shared" ca="1" si="41"/>
        <v>45592</v>
      </c>
      <c r="AF101" s="55">
        <f t="shared" ca="1" si="42"/>
        <v>35.44981172125582</v>
      </c>
      <c r="AG101" s="55">
        <f t="shared" ca="1" si="43"/>
        <v>0</v>
      </c>
      <c r="AH101" s="55">
        <f t="shared" ca="1" si="44"/>
        <v>0</v>
      </c>
      <c r="AI101" s="55">
        <f t="shared" ca="1" si="38"/>
        <v>-2.0683647054416054</v>
      </c>
      <c r="AJ101" s="55">
        <f t="shared" ca="1" si="39"/>
        <v>79.484990897389338</v>
      </c>
      <c r="AK101" s="55">
        <f t="shared" ca="1" si="40"/>
        <v>-71.152651379968631</v>
      </c>
    </row>
    <row r="102" spans="18:37">
      <c r="R102" s="83">
        <f ca="1"/>
        <v>45452</v>
      </c>
      <c r="S102" s="55">
        <f t="shared" ca="1" si="33"/>
        <v>45452</v>
      </c>
      <c r="T102" s="55">
        <f t="shared" ca="1" si="27"/>
        <v>71.149405291213213</v>
      </c>
      <c r="U102" s="55">
        <f t="shared" ca="1" si="28"/>
        <v>323.87578926689019</v>
      </c>
      <c r="V102" s="55">
        <f t="shared" ca="1" si="29"/>
        <v>0</v>
      </c>
      <c r="W102" s="55">
        <f t="shared" ca="1" si="34"/>
        <v>-91.953422906017707</v>
      </c>
      <c r="X102" s="55">
        <f t="shared" ca="1" si="35"/>
        <v>97.454057950431448</v>
      </c>
      <c r="Y102" s="55">
        <f t="shared" ca="1" si="36"/>
        <v>146.19335396195498</v>
      </c>
      <c r="Z102">
        <f t="shared" ca="1" si="30"/>
        <v>120</v>
      </c>
      <c r="AA102">
        <f t="shared" ca="1" si="37"/>
        <v>124.26335737287751</v>
      </c>
      <c r="AB102">
        <f t="shared" ca="1" si="31"/>
        <v>0</v>
      </c>
      <c r="AC102">
        <f t="shared" ca="1" si="32"/>
        <v>0.99999999989719757</v>
      </c>
      <c r="AD102" s="83">
        <f ca="1"/>
        <v>45593</v>
      </c>
      <c r="AE102" s="55">
        <f t="shared" ca="1" si="41"/>
        <v>45593</v>
      </c>
      <c r="AF102" s="55">
        <f t="shared" ca="1" si="42"/>
        <v>37.05418438556832</v>
      </c>
      <c r="AG102" s="55">
        <f t="shared" ca="1" si="43"/>
        <v>0</v>
      </c>
      <c r="AH102" s="55">
        <f t="shared" ca="1" si="44"/>
        <v>0</v>
      </c>
      <c r="AI102" s="55">
        <f t="shared" ca="1" si="38"/>
        <v>-2.0683647054416054</v>
      </c>
      <c r="AJ102" s="55">
        <f t="shared" ca="1" si="39"/>
        <v>80.720330959092493</v>
      </c>
      <c r="AK102" s="55">
        <f t="shared" ca="1" si="40"/>
        <v>-70.78361877735928</v>
      </c>
    </row>
    <row r="103" spans="18:37">
      <c r="R103" s="83">
        <f ca="1"/>
        <v>45453</v>
      </c>
      <c r="S103" s="55">
        <f t="shared" ca="1" si="33"/>
        <v>45453</v>
      </c>
      <c r="T103" s="55">
        <f t="shared" ca="1" si="27"/>
        <v>63.030236085747475</v>
      </c>
      <c r="U103" s="55">
        <f t="shared" ca="1" si="28"/>
        <v>330.62464989486523</v>
      </c>
      <c r="V103" s="55">
        <f t="shared" ca="1" si="29"/>
        <v>0</v>
      </c>
      <c r="W103" s="55">
        <f t="shared" ca="1" si="34"/>
        <v>-94.275437142696831</v>
      </c>
      <c r="X103" s="55">
        <f t="shared" ca="1" si="35"/>
        <v>98.390318691136912</v>
      </c>
      <c r="Y103" s="55">
        <f t="shared" ca="1" si="36"/>
        <v>146.20879888043794</v>
      </c>
      <c r="Z103">
        <f t="shared" ca="1" si="30"/>
        <v>120</v>
      </c>
      <c r="AA103">
        <f t="shared" ca="1" si="37"/>
        <v>130.63993547533295</v>
      </c>
      <c r="AB103">
        <f t="shared" ca="1" si="31"/>
        <v>0</v>
      </c>
      <c r="AC103">
        <f t="shared" ca="1" si="32"/>
        <v>0.99999999992704258</v>
      </c>
      <c r="AD103" s="83">
        <f ca="1"/>
        <v>45594</v>
      </c>
      <c r="AE103" s="55">
        <f t="shared" ca="1" si="41"/>
        <v>45594</v>
      </c>
      <c r="AF103" s="55">
        <f t="shared" ca="1" si="42"/>
        <v>38.482020696121396</v>
      </c>
      <c r="AG103" s="55">
        <f t="shared" ca="1" si="43"/>
        <v>0</v>
      </c>
      <c r="AH103" s="55">
        <f t="shared" ca="1" si="44"/>
        <v>0</v>
      </c>
      <c r="AI103" s="55">
        <f t="shared" ca="1" si="38"/>
        <v>-2.0683647054416054</v>
      </c>
      <c r="AJ103" s="55">
        <f t="shared" ca="1" si="39"/>
        <v>81.816904993367444</v>
      </c>
      <c r="AK103" s="55">
        <f t="shared" ca="1" si="40"/>
        <v>-70.452356501081155</v>
      </c>
    </row>
    <row r="104" spans="18:37">
      <c r="R104" s="83">
        <f ca="1"/>
        <v>45454</v>
      </c>
      <c r="S104" s="55">
        <f t="shared" ca="1" si="33"/>
        <v>45454</v>
      </c>
      <c r="T104" s="55">
        <f t="shared" ca="1" si="27"/>
        <v>56.846352798893761</v>
      </c>
      <c r="U104" s="55">
        <f t="shared" ca="1" si="28"/>
        <v>337.84799249307304</v>
      </c>
      <c r="V104" s="55">
        <f t="shared" ca="1" si="29"/>
        <v>0</v>
      </c>
      <c r="W104" s="55">
        <f t="shared" ca="1" si="34"/>
        <v>-94.275437142696831</v>
      </c>
      <c r="X104" s="55">
        <f t="shared" ca="1" si="35"/>
        <v>99.412982144168168</v>
      </c>
      <c r="Y104" s="55">
        <f t="shared" ca="1" si="36"/>
        <v>146.22559473876078</v>
      </c>
      <c r="Z104">
        <f t="shared" ca="1" si="30"/>
        <v>119.99280017205669</v>
      </c>
      <c r="AA104">
        <f t="shared" ca="1" si="37"/>
        <v>130.63993547533295</v>
      </c>
      <c r="AB104">
        <f t="shared" ca="1" si="31"/>
        <v>0</v>
      </c>
      <c r="AC104">
        <f t="shared" ca="1" si="32"/>
        <v>0.99999999994973576</v>
      </c>
      <c r="AD104" s="83">
        <f ca="1"/>
        <v>45595</v>
      </c>
      <c r="AE104" s="55">
        <f t="shared" ca="1" si="41"/>
        <v>45595</v>
      </c>
      <c r="AF104" s="55">
        <f t="shared" ca="1" si="42"/>
        <v>39.868360255201139</v>
      </c>
      <c r="AG104" s="55">
        <f t="shared" ca="1" si="43"/>
        <v>0</v>
      </c>
      <c r="AH104" s="55">
        <f t="shared" ca="1" si="44"/>
        <v>0</v>
      </c>
      <c r="AI104" s="55">
        <f t="shared" ca="1" si="38"/>
        <v>-2.0683647054416054</v>
      </c>
      <c r="AJ104" s="55">
        <f t="shared" ca="1" si="39"/>
        <v>82.879371403458251</v>
      </c>
      <c r="AK104" s="55">
        <f t="shared" ca="1" si="40"/>
        <v>-70.128483352092218</v>
      </c>
    </row>
    <row r="105" spans="18:37">
      <c r="R105" s="83">
        <f ca="1"/>
        <v>45455</v>
      </c>
      <c r="S105" s="55">
        <f t="shared" ca="1" si="33"/>
        <v>45455</v>
      </c>
      <c r="T105" s="55">
        <f t="shared" ca="1" si="27"/>
        <v>50.141278485727419</v>
      </c>
      <c r="U105" s="55">
        <f t="shared" ca="1" si="28"/>
        <v>344.14740688004542</v>
      </c>
      <c r="V105" s="55">
        <f t="shared" ca="1" si="29"/>
        <v>0</v>
      </c>
      <c r="W105" s="55">
        <f t="shared" ca="1" si="34"/>
        <v>-95.596515433579356</v>
      </c>
      <c r="X105" s="55">
        <f t="shared" ca="1" si="35"/>
        <v>100.31366853765981</v>
      </c>
      <c r="Y105" s="55">
        <f t="shared" ca="1" si="36"/>
        <v>146.24032670995771</v>
      </c>
      <c r="Z105">
        <f t="shared" ca="1" si="30"/>
        <v>120</v>
      </c>
      <c r="AA105">
        <f t="shared" ca="1" si="37"/>
        <v>135.20035600177465</v>
      </c>
      <c r="AB105">
        <f t="shared" ca="1" si="31"/>
        <v>0</v>
      </c>
      <c r="AC105">
        <f t="shared" ca="1" si="32"/>
        <v>0.99999999996387201</v>
      </c>
      <c r="AD105" s="83">
        <f ca="1"/>
        <v>45596</v>
      </c>
      <c r="AE105" s="55">
        <f t="shared" ca="1" si="41"/>
        <v>45596</v>
      </c>
      <c r="AF105" s="55">
        <f t="shared" ca="1" si="42"/>
        <v>41.226861383683826</v>
      </c>
      <c r="AG105" s="55">
        <f t="shared" ca="1" si="43"/>
        <v>0</v>
      </c>
      <c r="AH105" s="55">
        <f t="shared" ca="1" si="44"/>
        <v>0</v>
      </c>
      <c r="AI105" s="55">
        <f t="shared" ca="1" si="38"/>
        <v>-2.0683647054416054</v>
      </c>
      <c r="AJ105" s="55">
        <f t="shared" ca="1" si="39"/>
        <v>83.918630288404373</v>
      </c>
      <c r="AK105" s="55">
        <f t="shared" ca="1" si="40"/>
        <v>-69.809241108555653</v>
      </c>
    </row>
    <row r="106" spans="18:37">
      <c r="R106" s="83">
        <f ca="1"/>
        <v>45456</v>
      </c>
      <c r="S106" s="55">
        <f t="shared" ca="1" si="33"/>
        <v>45456</v>
      </c>
      <c r="T106" s="55">
        <f t="shared" ca="1" si="27"/>
        <v>45.011628904918091</v>
      </c>
      <c r="U106" s="55">
        <f t="shared" ca="1" si="28"/>
        <v>350.13376733835969</v>
      </c>
      <c r="V106" s="55">
        <f t="shared" ca="1" si="29"/>
        <v>0</v>
      </c>
      <c r="W106" s="55">
        <f t="shared" ca="1" si="34"/>
        <v>-95.623825231079891</v>
      </c>
      <c r="X106" s="55">
        <f t="shared" ca="1" si="35"/>
        <v>101.18351291729614</v>
      </c>
      <c r="Y106" s="55">
        <f t="shared" ca="1" si="36"/>
        <v>146.25450300532685</v>
      </c>
      <c r="Z106">
        <f t="shared" ca="1" si="30"/>
        <v>120</v>
      </c>
      <c r="AA106">
        <f t="shared" ca="1" si="37"/>
        <v>135.30537442401396</v>
      </c>
      <c r="AB106">
        <f t="shared" ca="1" si="31"/>
        <v>0</v>
      </c>
      <c r="AC106">
        <f t="shared" ca="1" si="32"/>
        <v>0.9999999999737379</v>
      </c>
      <c r="AD106" s="83">
        <f ca="1"/>
        <v>45597</v>
      </c>
      <c r="AE106" s="55">
        <f t="shared" ca="1" si="41"/>
        <v>45597</v>
      </c>
      <c r="AF106" s="55">
        <f t="shared" ca="1" si="42"/>
        <v>42.630937901157544</v>
      </c>
      <c r="AG106" s="55">
        <f t="shared" ca="1" si="43"/>
        <v>0</v>
      </c>
      <c r="AH106" s="55">
        <f t="shared" ca="1" si="44"/>
        <v>0</v>
      </c>
      <c r="AI106" s="55">
        <f t="shared" ca="1" si="38"/>
        <v>-2.0683647054416054</v>
      </c>
      <c r="AJ106" s="55">
        <f t="shared" ca="1" si="39"/>
        <v>84.99106438228263</v>
      </c>
      <c r="AK106" s="55">
        <f t="shared" ca="1" si="40"/>
        <v>-69.477598684960185</v>
      </c>
    </row>
    <row r="107" spans="18:37">
      <c r="R107" s="83">
        <f ca="1"/>
        <v>45457</v>
      </c>
      <c r="S107" s="55">
        <f t="shared" ca="1" si="33"/>
        <v>45457</v>
      </c>
      <c r="T107" s="55">
        <f t="shared" ca="1" si="27"/>
        <v>40.255565494453258</v>
      </c>
      <c r="U107" s="55">
        <f t="shared" ca="1" si="28"/>
        <v>355.38238309828279</v>
      </c>
      <c r="V107" s="55">
        <f t="shared" ca="1" si="29"/>
        <v>0</v>
      </c>
      <c r="W107" s="55">
        <f t="shared" ca="1" si="34"/>
        <v>-95.922995969341557</v>
      </c>
      <c r="X107" s="55">
        <f t="shared" ca="1" si="35"/>
        <v>101.96258025129666</v>
      </c>
      <c r="Y107" s="55">
        <f t="shared" ca="1" si="36"/>
        <v>146.26715875904625</v>
      </c>
      <c r="Z107">
        <f t="shared" ca="1" si="30"/>
        <v>120</v>
      </c>
      <c r="AA107">
        <f t="shared" ca="1" si="37"/>
        <v>136.59174151324814</v>
      </c>
      <c r="AB107">
        <f t="shared" ca="1" si="31"/>
        <v>0</v>
      </c>
      <c r="AC107">
        <f t="shared" ca="1" si="32"/>
        <v>0.99999999998023448</v>
      </c>
      <c r="AD107" s="83">
        <f ca="1"/>
        <v>45598</v>
      </c>
      <c r="AE107" s="55">
        <f t="shared" ca="1" si="41"/>
        <v>45598</v>
      </c>
      <c r="AF107" s="55">
        <f t="shared" ca="1" si="42"/>
        <v>44.261713579261439</v>
      </c>
      <c r="AG107" s="55">
        <f t="shared" ca="1" si="43"/>
        <v>0</v>
      </c>
      <c r="AH107" s="55">
        <f t="shared" ca="1" si="44"/>
        <v>0</v>
      </c>
      <c r="AI107" s="55">
        <f t="shared" ca="1" si="38"/>
        <v>-2.0683647054416054</v>
      </c>
      <c r="AJ107" s="55">
        <f t="shared" ca="1" si="39"/>
        <v>86.234820320947833</v>
      </c>
      <c r="AK107" s="55">
        <f t="shared" ca="1" si="40"/>
        <v>-69.0905789455215</v>
      </c>
    </row>
    <row r="108" spans="18:37">
      <c r="R108" s="83">
        <f ca="1"/>
        <v>45458</v>
      </c>
      <c r="S108" s="55">
        <f t="shared" ca="1" si="33"/>
        <v>45458</v>
      </c>
      <c r="T108" s="55">
        <f t="shared" ca="1" si="27"/>
        <v>34.982146350692176</v>
      </c>
      <c r="U108" s="55">
        <f t="shared" ca="1" si="28"/>
        <v>361.16774783119752</v>
      </c>
      <c r="V108" s="55">
        <f t="shared" ca="1" si="29"/>
        <v>0</v>
      </c>
      <c r="W108" s="55">
        <f t="shared" ca="1" si="34"/>
        <v>-96.294260066093074</v>
      </c>
      <c r="X108" s="55">
        <f t="shared" ca="1" si="35"/>
        <v>102.83171548401025</v>
      </c>
      <c r="Y108" s="55">
        <f t="shared" ca="1" si="36"/>
        <v>146.28123321223782</v>
      </c>
      <c r="Z108">
        <f t="shared" ca="1" si="30"/>
        <v>120</v>
      </c>
      <c r="AA108">
        <f t="shared" ca="1" si="37"/>
        <v>138.42873763479835</v>
      </c>
      <c r="AB108">
        <f t="shared" ca="1" si="31"/>
        <v>0</v>
      </c>
      <c r="AC108">
        <f t="shared" ca="1" si="32"/>
        <v>0.99999999998562838</v>
      </c>
      <c r="AD108" s="83">
        <f ca="1"/>
        <v>45599</v>
      </c>
      <c r="AE108" s="55">
        <f t="shared" ca="1" si="41"/>
        <v>45599</v>
      </c>
      <c r="AF108" s="55">
        <f t="shared" ca="1" si="42"/>
        <v>45.798179866641163</v>
      </c>
      <c r="AG108" s="55">
        <f t="shared" ca="1" si="43"/>
        <v>0</v>
      </c>
      <c r="AH108" s="55">
        <f t="shared" ca="1" si="44"/>
        <v>0</v>
      </c>
      <c r="AI108" s="55">
        <f t="shared" ca="1" si="38"/>
        <v>-2.0683647054416054</v>
      </c>
      <c r="AJ108" s="55">
        <f t="shared" ca="1" si="39"/>
        <v>87.405159283072564</v>
      </c>
      <c r="AK108" s="55">
        <f t="shared" ca="1" si="40"/>
        <v>-68.724451620266507</v>
      </c>
    </row>
    <row r="109" spans="18:37">
      <c r="R109" s="83">
        <f ca="1"/>
        <v>45459</v>
      </c>
      <c r="S109" s="55">
        <f t="shared" ca="1" si="33"/>
        <v>45459</v>
      </c>
      <c r="T109" s="55">
        <f t="shared" ca="1" si="27"/>
        <v>170.34236148155574</v>
      </c>
      <c r="U109" s="55">
        <f t="shared" ca="1" si="28"/>
        <v>366.90060631547288</v>
      </c>
      <c r="V109" s="55">
        <f t="shared" ca="1" si="29"/>
        <v>141.78981335134822</v>
      </c>
      <c r="W109" s="55">
        <f t="shared" ca="1" si="34"/>
        <v>-97.883197823458659</v>
      </c>
      <c r="X109" s="55">
        <f t="shared" ca="1" si="35"/>
        <v>103.70974150893589</v>
      </c>
      <c r="Y109" s="55">
        <f t="shared" ca="1" si="36"/>
        <v>146.29540520846848</v>
      </c>
      <c r="Z109">
        <f t="shared" ca="1" si="30"/>
        <v>120</v>
      </c>
      <c r="AA109">
        <f t="shared" ca="1" si="37"/>
        <v>140.04595313157429</v>
      </c>
      <c r="AB109">
        <f t="shared" ca="1" si="31"/>
        <v>0</v>
      </c>
      <c r="AC109">
        <f t="shared" ca="1" si="32"/>
        <v>0.99999999998958455</v>
      </c>
      <c r="AD109" s="83">
        <f ca="1"/>
        <v>45600</v>
      </c>
      <c r="AE109" s="55">
        <f t="shared" ca="1" si="41"/>
        <v>45600</v>
      </c>
      <c r="AF109" s="55">
        <f t="shared" ca="1" si="42"/>
        <v>47.186937617052699</v>
      </c>
      <c r="AG109" s="55">
        <f t="shared" ca="1" si="43"/>
        <v>0</v>
      </c>
      <c r="AH109" s="55">
        <f t="shared" ca="1" si="44"/>
        <v>0</v>
      </c>
      <c r="AI109" s="55">
        <f t="shared" ca="1" si="38"/>
        <v>-2.0683647054416054</v>
      </c>
      <c r="AJ109" s="55">
        <f t="shared" ca="1" si="39"/>
        <v>88.461986245401874</v>
      </c>
      <c r="AK109" s="55">
        <f t="shared" ca="1" si="40"/>
        <v>-68.392520832184289</v>
      </c>
    </row>
    <row r="110" spans="18:37">
      <c r="R110" s="83">
        <f ca="1"/>
        <v>45460</v>
      </c>
      <c r="S110" s="55">
        <f t="shared" ca="1" si="33"/>
        <v>45460</v>
      </c>
      <c r="T110" s="55">
        <f t="shared" ca="1" si="27"/>
        <v>161.15590789287049</v>
      </c>
      <c r="U110" s="55">
        <f t="shared" ca="1" si="28"/>
        <v>372.56424518434909</v>
      </c>
      <c r="V110" s="55">
        <f t="shared" ca="1" si="29"/>
        <v>0</v>
      </c>
      <c r="W110" s="55">
        <f t="shared" ca="1" si="34"/>
        <v>-102.3057981915766</v>
      </c>
      <c r="X110" s="55">
        <f t="shared" ca="1" si="35"/>
        <v>104.59528028909097</v>
      </c>
      <c r="Y110" s="55">
        <f t="shared" ca="1" si="36"/>
        <v>146.30965207662229</v>
      </c>
      <c r="Z110">
        <f t="shared" ca="1" si="30"/>
        <v>120</v>
      </c>
      <c r="AA110">
        <f t="shared" ca="1" si="37"/>
        <v>144.79605808759214</v>
      </c>
      <c r="AB110">
        <f t="shared" ca="1" si="31"/>
        <v>0</v>
      </c>
      <c r="AC110">
        <f t="shared" ca="1" si="32"/>
        <v>0.99999999999247247</v>
      </c>
      <c r="AD110" s="83">
        <f ca="1"/>
        <v>45601</v>
      </c>
      <c r="AE110" s="55">
        <f t="shared" ca="1" si="41"/>
        <v>45601</v>
      </c>
      <c r="AF110" s="55">
        <f t="shared" ca="1" si="42"/>
        <v>48.466905620078059</v>
      </c>
      <c r="AG110" s="55">
        <f t="shared" ca="1" si="43"/>
        <v>0</v>
      </c>
      <c r="AH110" s="55">
        <f t="shared" ca="1" si="44"/>
        <v>0</v>
      </c>
      <c r="AI110" s="55">
        <f t="shared" ca="1" si="38"/>
        <v>-2.0683647054416054</v>
      </c>
      <c r="AJ110" s="55">
        <f t="shared" ca="1" si="39"/>
        <v>89.435359961411677</v>
      </c>
      <c r="AK110" s="55">
        <f t="shared" ca="1" si="40"/>
        <v>-68.085926545168732</v>
      </c>
    </row>
    <row r="111" spans="18:37">
      <c r="R111" s="83">
        <f ca="1"/>
        <v>45461</v>
      </c>
      <c r="S111" s="55">
        <f t="shared" ca="1" si="33"/>
        <v>45461</v>
      </c>
      <c r="T111" s="55">
        <f t="shared" ca="1" si="27"/>
        <v>146.88659514709173</v>
      </c>
      <c r="U111" s="55">
        <f t="shared" ca="1" si="28"/>
        <v>378.29114677842671</v>
      </c>
      <c r="V111" s="55">
        <f t="shared" ca="1" si="29"/>
        <v>0</v>
      </c>
      <c r="W111" s="55">
        <f t="shared" ca="1" si="34"/>
        <v>-111.7788950101847</v>
      </c>
      <c r="X111" s="55">
        <f t="shared" ca="1" si="35"/>
        <v>105.51127747437592</v>
      </c>
      <c r="Y111" s="55">
        <f t="shared" ca="1" si="36"/>
        <v>146.3243405582443</v>
      </c>
      <c r="Z111">
        <f t="shared" ca="1" si="30"/>
        <v>120</v>
      </c>
      <c r="AA111">
        <f t="shared" ca="1" si="37"/>
        <v>155.9590741888197</v>
      </c>
      <c r="AB111">
        <f t="shared" ca="1" si="31"/>
        <v>0</v>
      </c>
      <c r="AC111">
        <f t="shared" ca="1" si="32"/>
        <v>0.99999999999461919</v>
      </c>
      <c r="AD111" s="83">
        <f ca="1"/>
        <v>45602</v>
      </c>
      <c r="AE111" s="55">
        <f t="shared" ca="1" si="41"/>
        <v>45602</v>
      </c>
      <c r="AF111" s="55">
        <f t="shared" ca="1" si="42"/>
        <v>49.744664683254904</v>
      </c>
      <c r="AG111" s="55">
        <f t="shared" ca="1" si="43"/>
        <v>0</v>
      </c>
      <c r="AH111" s="55">
        <f t="shared" ca="1" si="44"/>
        <v>0</v>
      </c>
      <c r="AI111" s="55">
        <f t="shared" ca="1" si="38"/>
        <v>-2.0683647054416054</v>
      </c>
      <c r="AJ111" s="55">
        <f t="shared" ca="1" si="39"/>
        <v>90.406566169296823</v>
      </c>
      <c r="AK111" s="55">
        <f t="shared" ca="1" si="40"/>
        <v>-67.779373689877033</v>
      </c>
    </row>
    <row r="112" spans="18:37">
      <c r="R112" s="83">
        <f ca="1"/>
        <v>45462</v>
      </c>
      <c r="S112" s="55">
        <f t="shared" ca="1" si="33"/>
        <v>45462</v>
      </c>
      <c r="T112" s="55">
        <f t="shared" ca="1" si="27"/>
        <v>135.82012266333933</v>
      </c>
      <c r="U112" s="55">
        <f t="shared" ca="1" si="28"/>
        <v>383.85831653767656</v>
      </c>
      <c r="V112" s="55">
        <f t="shared" ca="1" si="29"/>
        <v>0</v>
      </c>
      <c r="W112" s="55">
        <f t="shared" ca="1" si="34"/>
        <v>-118.20450822068891</v>
      </c>
      <c r="X112" s="55">
        <f t="shared" ca="1" si="35"/>
        <v>106.42301634115177</v>
      </c>
      <c r="Y112" s="55">
        <f t="shared" ca="1" si="36"/>
        <v>146.33891217747015</v>
      </c>
      <c r="Z112">
        <f t="shared" ca="1" si="30"/>
        <v>120</v>
      </c>
      <c r="AA112">
        <f t="shared" ca="1" si="37"/>
        <v>164.14791069702829</v>
      </c>
      <c r="AB112">
        <f t="shared" ca="1" si="31"/>
        <v>0</v>
      </c>
      <c r="AC112">
        <f t="shared" ca="1" si="32"/>
        <v>0.99999999999614775</v>
      </c>
      <c r="AD112" s="83">
        <f ca="1"/>
        <v>45603</v>
      </c>
      <c r="AE112" s="55">
        <f t="shared" ca="1" si="41"/>
        <v>45603</v>
      </c>
      <c r="AF112" s="55">
        <f t="shared" ca="1" si="42"/>
        <v>51.06683313456233</v>
      </c>
      <c r="AG112" s="55">
        <f t="shared" ca="1" si="43"/>
        <v>0</v>
      </c>
      <c r="AH112" s="55">
        <f t="shared" ca="1" si="44"/>
        <v>0</v>
      </c>
      <c r="AI112" s="55">
        <f t="shared" ca="1" si="38"/>
        <v>-2.0683647054416054</v>
      </c>
      <c r="AJ112" s="55">
        <f t="shared" ca="1" si="39"/>
        <v>91.411160265257934</v>
      </c>
      <c r="AK112" s="55">
        <f t="shared" ca="1" si="40"/>
        <v>-67.461799334530724</v>
      </c>
    </row>
    <row r="113" spans="18:37">
      <c r="R113" s="83">
        <f ca="1"/>
        <v>45463</v>
      </c>
      <c r="S113" s="55">
        <f t="shared" ca="1" si="33"/>
        <v>45463</v>
      </c>
      <c r="T113" s="55">
        <f t="shared" ca="1" si="27"/>
        <v>130.80242539156814</v>
      </c>
      <c r="U113" s="55">
        <f t="shared" ca="1" si="28"/>
        <v>388.99274330983769</v>
      </c>
      <c r="V113" s="55">
        <f t="shared" ca="1" si="29"/>
        <v>0</v>
      </c>
      <c r="W113" s="55">
        <f t="shared" ca="1" si="34"/>
        <v>-118.96272935279742</v>
      </c>
      <c r="X113" s="55">
        <f t="shared" ca="1" si="35"/>
        <v>107.28424706373168</v>
      </c>
      <c r="Y113" s="55">
        <f t="shared" ca="1" si="36"/>
        <v>146.35263208738868</v>
      </c>
      <c r="Z113">
        <f t="shared" ca="1" si="30"/>
        <v>120</v>
      </c>
      <c r="AA113">
        <f t="shared" ca="1" si="37"/>
        <v>165.15125924500921</v>
      </c>
      <c r="AB113">
        <f t="shared" ca="1" si="31"/>
        <v>0</v>
      </c>
      <c r="AC113">
        <f t="shared" ca="1" si="32"/>
        <v>0.99999999999719091</v>
      </c>
      <c r="AD113" s="83">
        <f ca="1"/>
        <v>45604</v>
      </c>
      <c r="AE113" s="55">
        <f t="shared" ca="1" si="41"/>
        <v>45604</v>
      </c>
      <c r="AF113" s="55">
        <f t="shared" ca="1" si="42"/>
        <v>52.419460466060976</v>
      </c>
      <c r="AG113" s="55">
        <f t="shared" ca="1" si="43"/>
        <v>0</v>
      </c>
      <c r="AH113" s="55">
        <f t="shared" ca="1" si="44"/>
        <v>0</v>
      </c>
      <c r="AI113" s="55">
        <f t="shared" ca="1" si="38"/>
        <v>-2.0683647054416054</v>
      </c>
      <c r="AJ113" s="55">
        <f t="shared" ca="1" si="39"/>
        <v>92.438659134671326</v>
      </c>
      <c r="AK113" s="55">
        <f t="shared" ca="1" si="40"/>
        <v>-67.136670872445464</v>
      </c>
    </row>
    <row r="114" spans="18:37">
      <c r="R114" s="83">
        <f ca="1"/>
        <v>45464</v>
      </c>
      <c r="S114" s="55">
        <f t="shared" ca="1" si="33"/>
        <v>45464</v>
      </c>
      <c r="T114" s="55">
        <f t="shared" ca="1" si="27"/>
        <v>126.32494273104591</v>
      </c>
      <c r="U114" s="55">
        <f t="shared" ca="1" si="28"/>
        <v>393.4801668106619</v>
      </c>
      <c r="V114" s="55">
        <f t="shared" ca="1" si="29"/>
        <v>0</v>
      </c>
      <c r="W114" s="55">
        <f t="shared" ca="1" si="34"/>
        <v>-119.73968979434078</v>
      </c>
      <c r="X114" s="55">
        <f t="shared" ca="1" si="35"/>
        <v>108.05884558261532</v>
      </c>
      <c r="Y114" s="55">
        <f t="shared" ca="1" si="36"/>
        <v>146.36493485035038</v>
      </c>
      <c r="Z114">
        <f t="shared" ca="1" si="30"/>
        <v>120</v>
      </c>
      <c r="AA114">
        <f t="shared" ca="1" si="37"/>
        <v>166.21584717173246</v>
      </c>
      <c r="AB114">
        <f t="shared" ca="1" si="31"/>
        <v>0</v>
      </c>
      <c r="AC114">
        <f t="shared" ca="1" si="32"/>
        <v>0.99999999999788192</v>
      </c>
      <c r="AD114" s="83">
        <f ca="1"/>
        <v>45605</v>
      </c>
      <c r="AE114" s="55">
        <f t="shared" ca="1" si="41"/>
        <v>45605</v>
      </c>
      <c r="AF114" s="55">
        <f t="shared" ca="1" si="42"/>
        <v>53.697343251557974</v>
      </c>
      <c r="AG114" s="55">
        <f t="shared" ca="1" si="43"/>
        <v>0</v>
      </c>
      <c r="AH114" s="55">
        <f t="shared" ca="1" si="44"/>
        <v>0</v>
      </c>
      <c r="AI114" s="55">
        <f t="shared" ca="1" si="38"/>
        <v>-2.0683647054416054</v>
      </c>
      <c r="AJ114" s="55">
        <f t="shared" ca="1" si="39"/>
        <v>93.409288953045134</v>
      </c>
      <c r="AK114" s="55">
        <f t="shared" ca="1" si="40"/>
        <v>-66.829417905322273</v>
      </c>
    </row>
    <row r="115" spans="18:37">
      <c r="R115" s="83">
        <f ca="1"/>
        <v>45465</v>
      </c>
      <c r="S115" s="55">
        <f t="shared" ca="1" si="33"/>
        <v>45465</v>
      </c>
      <c r="T115" s="55">
        <f t="shared" ca="1" si="27"/>
        <v>121.17219859914509</v>
      </c>
      <c r="U115" s="55">
        <f t="shared" ca="1" si="28"/>
        <v>397.89134845965037</v>
      </c>
      <c r="V115" s="55">
        <f t="shared" ca="1" si="29"/>
        <v>0</v>
      </c>
      <c r="W115" s="55">
        <f t="shared" ca="1" si="34"/>
        <v>-121.27213893739054</v>
      </c>
      <c r="X115" s="55">
        <f t="shared" ca="1" si="35"/>
        <v>108.83740221581735</v>
      </c>
      <c r="Y115" s="55">
        <f t="shared" ca="1" si="36"/>
        <v>146.37726487728577</v>
      </c>
      <c r="Z115">
        <f t="shared" ca="1" si="30"/>
        <v>120</v>
      </c>
      <c r="AA115">
        <f t="shared" ca="1" si="37"/>
        <v>168.40489283879288</v>
      </c>
      <c r="AB115">
        <f t="shared" ca="1" si="31"/>
        <v>0</v>
      </c>
      <c r="AC115">
        <f t="shared" ca="1" si="32"/>
        <v>0.99999999999840572</v>
      </c>
      <c r="AD115" s="83">
        <f ca="1"/>
        <v>45606</v>
      </c>
      <c r="AE115" s="55">
        <f t="shared" ca="1" si="41"/>
        <v>45606</v>
      </c>
      <c r="AF115" s="55">
        <f t="shared" ca="1" si="42"/>
        <v>55.034922545800967</v>
      </c>
      <c r="AG115" s="55">
        <f t="shared" ca="1" si="43"/>
        <v>0</v>
      </c>
      <c r="AH115" s="55">
        <f t="shared" ca="1" si="44"/>
        <v>0</v>
      </c>
      <c r="AI115" s="55">
        <f t="shared" ca="1" si="38"/>
        <v>-2.0683647054416054</v>
      </c>
      <c r="AJ115" s="55">
        <f t="shared" ca="1" si="39"/>
        <v>94.425296821008047</v>
      </c>
      <c r="AK115" s="55">
        <f t="shared" ca="1" si="40"/>
        <v>-66.507846479042186</v>
      </c>
    </row>
    <row r="116" spans="18:37">
      <c r="R116" s="83">
        <f ca="1"/>
        <v>45466</v>
      </c>
      <c r="S116" s="55">
        <f t="shared" ca="1" si="33"/>
        <v>45466</v>
      </c>
      <c r="T116" s="55">
        <f t="shared" ca="1" si="27"/>
        <v>115.23468993812743</v>
      </c>
      <c r="U116" s="55">
        <f t="shared" ca="1" si="28"/>
        <v>402.82938150588978</v>
      </c>
      <c r="V116" s="55">
        <f t="shared" ca="1" si="29"/>
        <v>0</v>
      </c>
      <c r="W116" s="55">
        <f t="shared" ca="1" si="34"/>
        <v>-123.17484864135024</v>
      </c>
      <c r="X116" s="55">
        <f t="shared" ca="1" si="35"/>
        <v>109.72659818449561</v>
      </c>
      <c r="Y116" s="55">
        <f t="shared" ca="1" si="36"/>
        <v>146.39130299778896</v>
      </c>
      <c r="Z116">
        <f t="shared" ca="1" si="30"/>
        <v>120</v>
      </c>
      <c r="AA116">
        <f t="shared" ca="1" si="37"/>
        <v>171.26288500881475</v>
      </c>
      <c r="AB116">
        <f t="shared" ca="1" si="31"/>
        <v>0</v>
      </c>
      <c r="AC116">
        <f t="shared" ca="1" si="32"/>
        <v>0.99999999999884914</v>
      </c>
      <c r="AD116" s="83">
        <f ca="1"/>
        <v>45607</v>
      </c>
      <c r="AE116" s="55">
        <f t="shared" ca="1" si="41"/>
        <v>45607</v>
      </c>
      <c r="AF116" s="55">
        <f t="shared" ca="1" si="42"/>
        <v>56.283757528967293</v>
      </c>
      <c r="AG116" s="55">
        <f t="shared" ca="1" si="43"/>
        <v>0</v>
      </c>
      <c r="AH116" s="55">
        <f t="shared" ca="1" si="44"/>
        <v>0</v>
      </c>
      <c r="AI116" s="55">
        <f t="shared" ca="1" si="38"/>
        <v>-2.0683647054416054</v>
      </c>
      <c r="AJ116" s="55">
        <f t="shared" ca="1" si="39"/>
        <v>95.374038315508272</v>
      </c>
      <c r="AK116" s="55">
        <f t="shared" ca="1" si="40"/>
        <v>-66.207752990376079</v>
      </c>
    </row>
    <row r="117" spans="18:37">
      <c r="R117" s="83">
        <f ca="1"/>
        <v>45467</v>
      </c>
      <c r="S117" s="55">
        <f t="shared" ca="1" si="33"/>
        <v>45467</v>
      </c>
      <c r="T117" s="55">
        <f t="shared" ca="1" si="27"/>
        <v>110.29485357196191</v>
      </c>
      <c r="U117" s="55">
        <f t="shared" ca="1" si="28"/>
        <v>407.24229251551407</v>
      </c>
      <c r="V117" s="55">
        <f t="shared" ca="1" si="29"/>
        <v>0</v>
      </c>
      <c r="W117" s="55">
        <f t="shared" ca="1" si="34"/>
        <v>-124.5323795974319</v>
      </c>
      <c r="X117" s="55">
        <f t="shared" ca="1" si="35"/>
        <v>110.54433585649886</v>
      </c>
      <c r="Y117" s="55">
        <f t="shared" ca="1" si="36"/>
        <v>146.40417092532613</v>
      </c>
      <c r="Z117">
        <f t="shared" ca="1" si="30"/>
        <v>120</v>
      </c>
      <c r="AA117">
        <f t="shared" ca="1" si="37"/>
        <v>173.39330992319913</v>
      </c>
      <c r="AB117">
        <f t="shared" ca="1" si="31"/>
        <v>0</v>
      </c>
      <c r="AC117">
        <f t="shared" ca="1" si="32"/>
        <v>0.9999999999991469</v>
      </c>
      <c r="AD117" s="83">
        <f ca="1"/>
        <v>45608</v>
      </c>
      <c r="AE117" s="55">
        <f t="shared" ca="1" si="41"/>
        <v>45608</v>
      </c>
      <c r="AF117" s="55">
        <f t="shared" ca="1" si="42"/>
        <v>57.418265676657164</v>
      </c>
      <c r="AG117" s="55">
        <f t="shared" ca="1" si="43"/>
        <v>0</v>
      </c>
      <c r="AH117" s="55">
        <f t="shared" ca="1" si="44"/>
        <v>0</v>
      </c>
      <c r="AI117" s="55">
        <f t="shared" ca="1" si="38"/>
        <v>-2.0683647054416054</v>
      </c>
      <c r="AJ117" s="55">
        <f t="shared" ca="1" si="39"/>
        <v>96.236129744382964</v>
      </c>
      <c r="AK117" s="55">
        <f t="shared" ca="1" si="40"/>
        <v>-65.935336271560899</v>
      </c>
    </row>
    <row r="118" spans="18:37">
      <c r="R118" s="83">
        <f ca="1"/>
        <v>45468</v>
      </c>
      <c r="S118" s="55">
        <f t="shared" ca="1" si="33"/>
        <v>45468</v>
      </c>
      <c r="T118" s="55">
        <f t="shared" ca="1" si="27"/>
        <v>106.8123013755324</v>
      </c>
      <c r="U118" s="55">
        <f t="shared" ca="1" si="28"/>
        <v>411.36948873379703</v>
      </c>
      <c r="V118" s="55">
        <f t="shared" ca="1" si="29"/>
        <v>0</v>
      </c>
      <c r="W118" s="55">
        <f t="shared" ca="1" si="34"/>
        <v>-124.68695389864678</v>
      </c>
      <c r="X118" s="55">
        <f t="shared" ca="1" si="35"/>
        <v>111.33121052439687</v>
      </c>
      <c r="Y118" s="55">
        <f t="shared" ca="1" si="36"/>
        <v>146.41651458049645</v>
      </c>
      <c r="Z118">
        <f t="shared" ca="1" si="30"/>
        <v>120</v>
      </c>
      <c r="AA118">
        <f t="shared" ca="1" si="37"/>
        <v>173.64379840383586</v>
      </c>
      <c r="AB118">
        <f t="shared" ca="1" si="31"/>
        <v>0</v>
      </c>
      <c r="AC118">
        <f t="shared" ca="1" si="32"/>
        <v>0.99999999999935985</v>
      </c>
      <c r="AD118" s="83">
        <f ca="1"/>
        <v>45609</v>
      </c>
      <c r="AE118" s="55">
        <f t="shared" ca="1" si="41"/>
        <v>45609</v>
      </c>
      <c r="AF118" s="55">
        <f t="shared" ca="1" si="42"/>
        <v>58.502459048671795</v>
      </c>
      <c r="AG118" s="55">
        <f t="shared" ca="1" si="43"/>
        <v>0</v>
      </c>
      <c r="AH118" s="55">
        <f t="shared" ca="1" si="44"/>
        <v>0</v>
      </c>
      <c r="AI118" s="55">
        <f t="shared" ca="1" si="38"/>
        <v>-2.0683647054416054</v>
      </c>
      <c r="AJ118" s="55">
        <f t="shared" ca="1" si="39"/>
        <v>97.060236634899496</v>
      </c>
      <c r="AK118" s="55">
        <f t="shared" ca="1" si="40"/>
        <v>-65.675249790062793</v>
      </c>
    </row>
    <row r="119" spans="18:37">
      <c r="R119" s="83">
        <f ca="1"/>
        <v>45469</v>
      </c>
      <c r="S119" s="55">
        <f t="shared" ca="1" si="33"/>
        <v>45469</v>
      </c>
      <c r="T119" s="55">
        <f t="shared" ca="1" si="27"/>
        <v>102.47846733178473</v>
      </c>
      <c r="U119" s="55">
        <f t="shared" ca="1" si="28"/>
        <v>415.23594739421725</v>
      </c>
      <c r="V119" s="55">
        <f t="shared" ca="1" si="29"/>
        <v>0</v>
      </c>
      <c r="W119" s="55">
        <f t="shared" ca="1" si="34"/>
        <v>-125.92509325880758</v>
      </c>
      <c r="X119" s="55">
        <f t="shared" ca="1" si="35"/>
        <v>112.09010619607869</v>
      </c>
      <c r="Y119" s="55">
        <f t="shared" ca="1" si="36"/>
        <v>146.42838288564798</v>
      </c>
      <c r="Z119">
        <f t="shared" ca="1" si="30"/>
        <v>120</v>
      </c>
      <c r="AA119">
        <f t="shared" ca="1" si="37"/>
        <v>175.73506137432909</v>
      </c>
      <c r="AB119">
        <f t="shared" ca="1" si="31"/>
        <v>0</v>
      </c>
      <c r="AC119">
        <f t="shared" ca="1" si="32"/>
        <v>0.99999999999951439</v>
      </c>
      <c r="AD119" s="83">
        <f ca="1"/>
        <v>45610</v>
      </c>
      <c r="AE119" s="55">
        <f t="shared" ca="1" si="41"/>
        <v>45610</v>
      </c>
      <c r="AF119" s="55">
        <f t="shared" ca="1" si="42"/>
        <v>59.635748362603032</v>
      </c>
      <c r="AG119" s="55">
        <f t="shared" ca="1" si="43"/>
        <v>0</v>
      </c>
      <c r="AH119" s="55">
        <f t="shared" ca="1" si="44"/>
        <v>0</v>
      </c>
      <c r="AI119" s="55">
        <f t="shared" ca="1" si="38"/>
        <v>-2.0683647054416054</v>
      </c>
      <c r="AJ119" s="55">
        <f t="shared" ca="1" si="39"/>
        <v>97.921986526564496</v>
      </c>
      <c r="AK119" s="55">
        <f t="shared" ca="1" si="40"/>
        <v>-65.403710367796549</v>
      </c>
    </row>
    <row r="120" spans="18:37">
      <c r="R120" s="83">
        <f ca="1"/>
        <v>45470</v>
      </c>
      <c r="S120" s="55">
        <f t="shared" ca="1" si="33"/>
        <v>45470</v>
      </c>
      <c r="T120" s="55">
        <f t="shared" ca="1" si="27"/>
        <v>99.459257729574986</v>
      </c>
      <c r="U120" s="55">
        <f t="shared" ca="1" si="28"/>
        <v>419.03093590812921</v>
      </c>
      <c r="V120" s="55">
        <f t="shared" ca="1" si="29"/>
        <v>0</v>
      </c>
      <c r="W120" s="55">
        <f t="shared" ca="1" si="34"/>
        <v>-125.92509325880758</v>
      </c>
      <c r="X120" s="55">
        <f t="shared" ca="1" si="35"/>
        <v>112.85397576102199</v>
      </c>
      <c r="Y120" s="55">
        <f t="shared" ca="1" si="36"/>
        <v>146.4402922324069</v>
      </c>
      <c r="Z120">
        <f t="shared" ca="1" si="30"/>
        <v>119.91056647581226</v>
      </c>
      <c r="AA120">
        <f t="shared" ca="1" si="37"/>
        <v>175.73506137432909</v>
      </c>
      <c r="AB120">
        <f t="shared" ca="1" si="31"/>
        <v>0</v>
      </c>
      <c r="AC120">
        <f t="shared" ca="1" si="32"/>
        <v>0.99999999999963229</v>
      </c>
      <c r="AD120" s="83">
        <f ca="1"/>
        <v>45611</v>
      </c>
      <c r="AE120" s="55">
        <f t="shared" ca="1" si="41"/>
        <v>45611</v>
      </c>
      <c r="AF120" s="55">
        <f t="shared" ca="1" si="42"/>
        <v>60.957247979323185</v>
      </c>
      <c r="AG120" s="55">
        <f t="shared" ca="1" si="43"/>
        <v>0</v>
      </c>
      <c r="AH120" s="55">
        <f t="shared" ca="1" si="44"/>
        <v>0</v>
      </c>
      <c r="AI120" s="55">
        <f t="shared" ca="1" si="38"/>
        <v>-2.0683647054416054</v>
      </c>
      <c r="AJ120" s="55">
        <f t="shared" ca="1" si="39"/>
        <v>98.927354585631562</v>
      </c>
      <c r="AK120" s="55">
        <f t="shared" ca="1" si="40"/>
        <v>-65.087578810143469</v>
      </c>
    </row>
    <row r="121" spans="18:37">
      <c r="R121" s="83">
        <f ca="1"/>
        <v>45471</v>
      </c>
      <c r="S121" s="55">
        <f t="shared" ca="1" si="33"/>
        <v>45471</v>
      </c>
      <c r="T121" s="55">
        <f t="shared" ca="1" si="27"/>
        <v>96.126514509090228</v>
      </c>
      <c r="U121" s="55">
        <f t="shared" ca="1" si="28"/>
        <v>422.67558555196155</v>
      </c>
      <c r="V121" s="55">
        <f t="shared" ca="1" si="29"/>
        <v>0</v>
      </c>
      <c r="W121" s="55">
        <f t="shared" ca="1" si="34"/>
        <v>-126.37920591480174</v>
      </c>
      <c r="X121" s="55">
        <f t="shared" ca="1" si="35"/>
        <v>113.60827156195207</v>
      </c>
      <c r="Y121" s="55">
        <f t="shared" ca="1" si="36"/>
        <v>146.45201551081857</v>
      </c>
      <c r="Z121">
        <f t="shared" ca="1" si="30"/>
        <v>120</v>
      </c>
      <c r="AA121">
        <f t="shared" ca="1" si="37"/>
        <v>176.55275789442976</v>
      </c>
      <c r="AB121">
        <f t="shared" ca="1" si="31"/>
        <v>0</v>
      </c>
      <c r="AC121">
        <f t="shared" ca="1" si="32"/>
        <v>0.99999999999972045</v>
      </c>
      <c r="AD121" s="83">
        <f ca="1"/>
        <v>45612</v>
      </c>
      <c r="AE121" s="55">
        <f t="shared" ca="1" si="41"/>
        <v>45612</v>
      </c>
      <c r="AF121" s="55">
        <f t="shared" ca="1" si="42"/>
        <v>62.383098115444348</v>
      </c>
      <c r="AG121" s="55">
        <f t="shared" ca="1" si="43"/>
        <v>0</v>
      </c>
      <c r="AH121" s="55">
        <f t="shared" ca="1" si="44"/>
        <v>0</v>
      </c>
      <c r="AI121" s="55">
        <f t="shared" ca="1" si="38"/>
        <v>-2.0683647054416054</v>
      </c>
      <c r="AJ121" s="55">
        <f t="shared" ca="1" si="39"/>
        <v>100.01282518732067</v>
      </c>
      <c r="AK121" s="55">
        <f t="shared" ca="1" si="40"/>
        <v>-64.747199275711424</v>
      </c>
    </row>
    <row r="122" spans="18:37">
      <c r="R122" s="83">
        <f ca="1"/>
        <v>45472</v>
      </c>
      <c r="S122" s="55">
        <f t="shared" ca="1" si="33"/>
        <v>45472</v>
      </c>
      <c r="T122" s="55">
        <f t="shared" ca="1" si="27"/>
        <v>92.46545016350521</v>
      </c>
      <c r="U122" s="55">
        <f t="shared" ca="1" si="28"/>
        <v>426.14951971946084</v>
      </c>
      <c r="V122" s="55">
        <f t="shared" ca="1" si="29"/>
        <v>0</v>
      </c>
      <c r="W122" s="55">
        <f t="shared" ca="1" si="34"/>
        <v>-127.31785365093744</v>
      </c>
      <c r="X122" s="55">
        <f t="shared" ca="1" si="35"/>
        <v>114.34832340335649</v>
      </c>
      <c r="Y122" s="55">
        <f t="shared" ca="1" si="36"/>
        <v>146.46348122746411</v>
      </c>
      <c r="Z122">
        <f t="shared" ca="1" si="30"/>
        <v>120</v>
      </c>
      <c r="AA122">
        <f t="shared" ca="1" si="37"/>
        <v>178.30985145769841</v>
      </c>
      <c r="AB122">
        <f t="shared" ca="1" si="31"/>
        <v>0</v>
      </c>
      <c r="AC122">
        <f t="shared" ca="1" si="32"/>
        <v>0.99999999999978639</v>
      </c>
      <c r="AD122" s="83">
        <f ca="1"/>
        <v>45613</v>
      </c>
      <c r="AE122" s="55">
        <f t="shared" ca="1" si="41"/>
        <v>45613</v>
      </c>
      <c r="AF122" s="55">
        <f t="shared" ca="1" si="42"/>
        <v>63.845599677134715</v>
      </c>
      <c r="AG122" s="55">
        <f t="shared" ca="1" si="43"/>
        <v>0</v>
      </c>
      <c r="AH122" s="55">
        <f t="shared" ca="1" si="44"/>
        <v>0</v>
      </c>
      <c r="AI122" s="55">
        <f t="shared" ca="1" si="38"/>
        <v>-2.0683647054416054</v>
      </c>
      <c r="AJ122" s="55">
        <f t="shared" ca="1" si="39"/>
        <v>101.12708763153506</v>
      </c>
      <c r="AK122" s="55">
        <f t="shared" ca="1" si="40"/>
        <v>-64.398960158235454</v>
      </c>
    </row>
    <row r="123" spans="18:37">
      <c r="R123" s="83">
        <f ca="1"/>
        <v>45473</v>
      </c>
      <c r="S123" s="55">
        <f t="shared" ca="1" si="33"/>
        <v>45473</v>
      </c>
      <c r="T123" s="55">
        <f t="shared" ca="1" si="27"/>
        <v>89.061497391534857</v>
      </c>
      <c r="U123" s="55">
        <f t="shared" ca="1" si="28"/>
        <v>429.64540260380659</v>
      </c>
      <c r="V123" s="55">
        <f t="shared" ca="1" si="29"/>
        <v>0</v>
      </c>
      <c r="W123" s="55">
        <f t="shared" ca="1" si="34"/>
        <v>-128.00035501057368</v>
      </c>
      <c r="X123" s="55">
        <f t="shared" ca="1" si="35"/>
        <v>115.11097716909883</v>
      </c>
      <c r="Y123" s="55">
        <f t="shared" ca="1" si="36"/>
        <v>146.47525893373341</v>
      </c>
      <c r="Z123">
        <f t="shared" ca="1" si="30"/>
        <v>120</v>
      </c>
      <c r="AA123">
        <f t="shared" ca="1" si="37"/>
        <v>179.63628430285334</v>
      </c>
      <c r="AB123">
        <f t="shared" ca="1" si="31"/>
        <v>0</v>
      </c>
      <c r="AC123">
        <f t="shared" ca="1" si="32"/>
        <v>0.99999999999983813</v>
      </c>
      <c r="AD123" s="83">
        <f ca="1"/>
        <v>45614</v>
      </c>
      <c r="AE123" s="55">
        <f t="shared" ca="1" si="41"/>
        <v>45614</v>
      </c>
      <c r="AF123" s="55">
        <f t="shared" ca="1" si="42"/>
        <v>65.159845765365446</v>
      </c>
      <c r="AG123" s="55">
        <f t="shared" ca="1" si="43"/>
        <v>0</v>
      </c>
      <c r="AH123" s="55">
        <f t="shared" ca="1" si="44"/>
        <v>0</v>
      </c>
      <c r="AI123" s="55">
        <f t="shared" ca="1" si="38"/>
        <v>-2.0683647054416054</v>
      </c>
      <c r="AJ123" s="55">
        <f t="shared" ca="1" si="39"/>
        <v>102.12926220025514</v>
      </c>
      <c r="AK123" s="55">
        <f t="shared" ca="1" si="40"/>
        <v>-64.086888638724801</v>
      </c>
    </row>
    <row r="124" spans="18:37">
      <c r="R124" s="83">
        <f ca="1"/>
        <v>45474</v>
      </c>
      <c r="S124" s="55">
        <f t="shared" ca="1" si="33"/>
        <v>45474</v>
      </c>
      <c r="T124" s="55">
        <f t="shared" ca="1" si="27"/>
        <v>86.617866099860507</v>
      </c>
      <c r="U124" s="55">
        <f t="shared" ca="1" si="28"/>
        <v>432.81701711708314</v>
      </c>
      <c r="V124" s="55">
        <f t="shared" ca="1" si="29"/>
        <v>0</v>
      </c>
      <c r="W124" s="55">
        <f t="shared" ca="1" si="34"/>
        <v>-128.00035501057368</v>
      </c>
      <c r="X124" s="55">
        <f t="shared" ca="1" si="35"/>
        <v>115.82792452404342</v>
      </c>
      <c r="Y124" s="55">
        <f t="shared" ca="1" si="36"/>
        <v>146.48629480039102</v>
      </c>
      <c r="Z124">
        <f t="shared" ca="1" si="30"/>
        <v>119.59647708716939</v>
      </c>
      <c r="AA124">
        <f t="shared" ca="1" si="37"/>
        <v>179.63628430285334</v>
      </c>
      <c r="AB124">
        <f t="shared" ca="1" si="31"/>
        <v>0</v>
      </c>
      <c r="AC124">
        <f t="shared" ca="1" si="32"/>
        <v>0.99999999999987499</v>
      </c>
      <c r="AD124" s="83">
        <f ca="1"/>
        <v>45615</v>
      </c>
      <c r="AE124" s="55">
        <f t="shared" ca="1" si="41"/>
        <v>45615</v>
      </c>
      <c r="AF124" s="55">
        <f t="shared" ca="1" si="42"/>
        <v>66.464767895437404</v>
      </c>
      <c r="AG124" s="55">
        <f t="shared" ca="1" si="43"/>
        <v>0</v>
      </c>
      <c r="AH124" s="55">
        <f t="shared" ca="1" si="44"/>
        <v>0</v>
      </c>
      <c r="AI124" s="55">
        <f t="shared" ca="1" si="38"/>
        <v>-2.0683647054416054</v>
      </c>
      <c r="AJ124" s="55">
        <f t="shared" ca="1" si="39"/>
        <v>103.12522231752534</v>
      </c>
      <c r="AK124" s="55">
        <f t="shared" ca="1" si="40"/>
        <v>-63.777926625923044</v>
      </c>
    </row>
    <row r="125" spans="18:37">
      <c r="R125" s="83">
        <f ca="1"/>
        <v>45475</v>
      </c>
      <c r="S125" s="55">
        <f t="shared" ca="1" si="33"/>
        <v>45475</v>
      </c>
      <c r="T125" s="55">
        <f t="shared" ca="1" si="27"/>
        <v>83.113257298140809</v>
      </c>
      <c r="U125" s="55">
        <f t="shared" ca="1" si="28"/>
        <v>436.12928036369959</v>
      </c>
      <c r="V125" s="55">
        <f t="shared" ca="1" si="29"/>
        <v>0</v>
      </c>
      <c r="W125" s="55">
        <f t="shared" ca="1" si="34"/>
        <v>-128.96804820571944</v>
      </c>
      <c r="X125" s="55">
        <f t="shared" ca="1" si="35"/>
        <v>116.59155676186128</v>
      </c>
      <c r="Y125" s="55">
        <f t="shared" ca="1" si="36"/>
        <v>146.49801020261569</v>
      </c>
      <c r="Z125">
        <f t="shared" ca="1" si="30"/>
        <v>120</v>
      </c>
      <c r="AA125">
        <f t="shared" ca="1" si="37"/>
        <v>182.13011186370579</v>
      </c>
      <c r="AB125">
        <f t="shared" ca="1" si="31"/>
        <v>0</v>
      </c>
      <c r="AC125">
        <f t="shared" ca="1" si="32"/>
        <v>0.99999999999990541</v>
      </c>
      <c r="AD125" s="83">
        <f ca="1"/>
        <v>45616</v>
      </c>
      <c r="AE125" s="55">
        <f t="shared" ca="1" si="41"/>
        <v>45616</v>
      </c>
      <c r="AF125" s="55">
        <f t="shared" ca="1" si="42"/>
        <v>67.72080639102974</v>
      </c>
      <c r="AG125" s="55">
        <f t="shared" ca="1" si="43"/>
        <v>0</v>
      </c>
      <c r="AH125" s="55">
        <f t="shared" ca="1" si="44"/>
        <v>0</v>
      </c>
      <c r="AI125" s="55">
        <f t="shared" ca="1" si="38"/>
        <v>-2.0683647054416054</v>
      </c>
      <c r="AJ125" s="55">
        <f t="shared" ca="1" si="39"/>
        <v>104.08478732876412</v>
      </c>
      <c r="AK125" s="55">
        <f t="shared" ca="1" si="40"/>
        <v>-63.481453141569489</v>
      </c>
    </row>
    <row r="126" spans="18:37">
      <c r="R126" s="83">
        <f ca="1"/>
        <v>45476</v>
      </c>
      <c r="S126" s="55">
        <f t="shared" ca="1" si="33"/>
        <v>45476</v>
      </c>
      <c r="T126" s="55">
        <f t="shared" ca="1" si="27"/>
        <v>80.737941402003003</v>
      </c>
      <c r="U126" s="55">
        <f t="shared" ca="1" si="28"/>
        <v>439.26149443437225</v>
      </c>
      <c r="V126" s="55">
        <f t="shared" ca="1" si="29"/>
        <v>0</v>
      </c>
      <c r="W126" s="55">
        <f t="shared" ca="1" si="34"/>
        <v>-128.96804820571944</v>
      </c>
      <c r="X126" s="55">
        <f t="shared" ca="1" si="35"/>
        <v>117.33705731106957</v>
      </c>
      <c r="Y126" s="55">
        <f t="shared" ca="1" si="36"/>
        <v>146.50940782794225</v>
      </c>
      <c r="Z126">
        <f t="shared" ca="1" si="30"/>
        <v>119.69131659023442</v>
      </c>
      <c r="AA126">
        <f t="shared" ca="1" si="37"/>
        <v>182.13011186370579</v>
      </c>
      <c r="AB126">
        <f t="shared" ca="1" si="31"/>
        <v>0</v>
      </c>
      <c r="AC126">
        <f t="shared" ca="1" si="32"/>
        <v>0.99999999999992784</v>
      </c>
      <c r="AD126" s="83">
        <f ca="1"/>
        <v>45617</v>
      </c>
      <c r="AE126" s="55">
        <f t="shared" ca="1" si="41"/>
        <v>45617</v>
      </c>
      <c r="AF126" s="55">
        <f t="shared" ca="1" si="42"/>
        <v>68.925106232847583</v>
      </c>
      <c r="AG126" s="55">
        <f t="shared" ca="1" si="43"/>
        <v>0</v>
      </c>
      <c r="AH126" s="55">
        <f t="shared" ca="1" si="44"/>
        <v>0</v>
      </c>
      <c r="AI126" s="55">
        <f t="shared" ca="1" si="38"/>
        <v>-2.0683647054416054</v>
      </c>
      <c r="AJ126" s="55">
        <f t="shared" ca="1" si="39"/>
        <v>105.00572968208688</v>
      </c>
      <c r="AK126" s="55">
        <f t="shared" ca="1" si="40"/>
        <v>-63.198095653074404</v>
      </c>
    </row>
    <row r="127" spans="18:37">
      <c r="R127" s="83">
        <f ca="1"/>
        <v>45477</v>
      </c>
      <c r="S127" s="55">
        <f t="shared" ca="1" si="33"/>
        <v>45477</v>
      </c>
      <c r="T127" s="55">
        <f t="shared" ca="1" si="27"/>
        <v>78.238769100269948</v>
      </c>
      <c r="U127" s="55">
        <f t="shared" ca="1" si="28"/>
        <v>442.58182958329007</v>
      </c>
      <c r="V127" s="55">
        <f t="shared" ca="1" si="29"/>
        <v>0</v>
      </c>
      <c r="W127" s="55">
        <f t="shared" ca="1" si="34"/>
        <v>-128.96804820571944</v>
      </c>
      <c r="X127" s="55">
        <f t="shared" ca="1" si="35"/>
        <v>118.14589924271856</v>
      </c>
      <c r="Y127" s="55">
        <f t="shared" ca="1" si="36"/>
        <v>146.52172874347804</v>
      </c>
      <c r="Z127">
        <f t="shared" ca="1" si="30"/>
        <v>117.75933140059419</v>
      </c>
      <c r="AA127">
        <f t="shared" ca="1" si="37"/>
        <v>182.13011186370579</v>
      </c>
      <c r="AB127">
        <f t="shared" ca="1" si="31"/>
        <v>0</v>
      </c>
      <c r="AC127">
        <f t="shared" ca="1" si="32"/>
        <v>0.99999999999994627</v>
      </c>
      <c r="AD127" s="83">
        <f ca="1"/>
        <v>45618</v>
      </c>
      <c r="AE127" s="55">
        <f t="shared" ca="1" si="41"/>
        <v>45618</v>
      </c>
      <c r="AF127" s="55">
        <f t="shared" ca="1" si="42"/>
        <v>70.079958498865594</v>
      </c>
      <c r="AG127" s="55">
        <f t="shared" ca="1" si="43"/>
        <v>0</v>
      </c>
      <c r="AH127" s="55">
        <f t="shared" ca="1" si="44"/>
        <v>0</v>
      </c>
      <c r="AI127" s="55">
        <f t="shared" ca="1" si="38"/>
        <v>-2.0683647054416054</v>
      </c>
      <c r="AJ127" s="55">
        <f t="shared" ca="1" si="39"/>
        <v>105.88974157416511</v>
      </c>
      <c r="AK127" s="55">
        <f t="shared" ca="1" si="40"/>
        <v>-62.927255279134627</v>
      </c>
    </row>
    <row r="128" spans="18:37">
      <c r="R128" s="83">
        <f ca="1"/>
        <v>45478</v>
      </c>
      <c r="S128" s="55">
        <f t="shared" ca="1" si="33"/>
        <v>45478</v>
      </c>
      <c r="T128" s="55">
        <f t="shared" ca="1" si="27"/>
        <v>75.802612322809097</v>
      </c>
      <c r="U128" s="55">
        <f t="shared" ca="1" si="28"/>
        <v>445.70182588945232</v>
      </c>
      <c r="V128" s="55">
        <f t="shared" ca="1" si="29"/>
        <v>0</v>
      </c>
      <c r="W128" s="55">
        <f t="shared" ca="1" si="34"/>
        <v>-129.08250195342694</v>
      </c>
      <c r="X128" s="55">
        <f t="shared" ca="1" si="35"/>
        <v>118.9322599250296</v>
      </c>
      <c r="Y128" s="55">
        <f t="shared" ca="1" si="36"/>
        <v>146.53366133757589</v>
      </c>
      <c r="Z128">
        <f t="shared" ca="1" si="30"/>
        <v>120</v>
      </c>
      <c r="AA128">
        <f t="shared" ca="1" si="37"/>
        <v>182.45351548724824</v>
      </c>
      <c r="AB128">
        <f t="shared" ca="1" si="31"/>
        <v>0</v>
      </c>
      <c r="AC128">
        <f t="shared" ca="1" si="32"/>
        <v>0.99999999999995959</v>
      </c>
      <c r="AD128" s="83">
        <f ca="1"/>
        <v>45619</v>
      </c>
      <c r="AE128" s="55">
        <f t="shared" ca="1" si="41"/>
        <v>45619</v>
      </c>
      <c r="AF128" s="55">
        <f t="shared" ca="1" si="42"/>
        <v>71.192194483951127</v>
      </c>
      <c r="AG128" s="55">
        <f t="shared" ca="1" si="43"/>
        <v>0</v>
      </c>
      <c r="AH128" s="55">
        <f t="shared" ca="1" si="44"/>
        <v>0</v>
      </c>
      <c r="AI128" s="55">
        <f t="shared" ca="1" si="38"/>
        <v>-2.0683647054416054</v>
      </c>
      <c r="AJ128" s="55">
        <f t="shared" ca="1" si="39"/>
        <v>106.74199272327722</v>
      </c>
      <c r="AK128" s="55">
        <f t="shared" ca="1" si="40"/>
        <v>-62.6672704431612</v>
      </c>
    </row>
    <row r="129" spans="18:37">
      <c r="R129" s="83">
        <f ca="1"/>
        <v>45479</v>
      </c>
      <c r="S129" s="55">
        <f t="shared" ca="1" si="33"/>
        <v>45479</v>
      </c>
      <c r="T129" s="55">
        <f t="shared" ca="1" si="27"/>
        <v>72.182384459221907</v>
      </c>
      <c r="U129" s="55">
        <f t="shared" ca="1" si="28"/>
        <v>448.89810472576551</v>
      </c>
      <c r="V129" s="55">
        <f t="shared" ca="1" si="29"/>
        <v>0</v>
      </c>
      <c r="W129" s="55">
        <f t="shared" ca="1" si="34"/>
        <v>-130.34900449263199</v>
      </c>
      <c r="X129" s="55">
        <f t="shared" ca="1" si="35"/>
        <v>119.76226852605919</v>
      </c>
      <c r="Y129" s="55">
        <f t="shared" ca="1" si="36"/>
        <v>146.54620624847735</v>
      </c>
      <c r="Z129">
        <f t="shared" ca="1" si="30"/>
        <v>120</v>
      </c>
      <c r="AA129">
        <f t="shared" ca="1" si="37"/>
        <v>186.21166346735515</v>
      </c>
      <c r="AB129">
        <f t="shared" ca="1" si="31"/>
        <v>0</v>
      </c>
      <c r="AC129">
        <f t="shared" ca="1" si="32"/>
        <v>0.99999999999997025</v>
      </c>
      <c r="AD129" s="83">
        <f ca="1"/>
        <v>45620</v>
      </c>
      <c r="AE129" s="55">
        <f t="shared" ca="1" si="41"/>
        <v>45620</v>
      </c>
      <c r="AF129" s="55">
        <f t="shared" ca="1" si="42"/>
        <v>72.35542537529868</v>
      </c>
      <c r="AG129" s="55">
        <f t="shared" ca="1" si="43"/>
        <v>0</v>
      </c>
      <c r="AH129" s="55">
        <f t="shared" ca="1" si="44"/>
        <v>0</v>
      </c>
      <c r="AI129" s="55">
        <f t="shared" ca="1" si="38"/>
        <v>-2.0683647054416054</v>
      </c>
      <c r="AJ129" s="55">
        <f t="shared" ca="1" si="39"/>
        <v>107.63426638125586</v>
      </c>
      <c r="AK129" s="55">
        <f t="shared" ca="1" si="40"/>
        <v>-62.396313209792282</v>
      </c>
    </row>
    <row r="130" spans="18:37">
      <c r="R130" s="83">
        <f ca="1"/>
        <v>45480</v>
      </c>
      <c r="S130" s="55">
        <f t="shared" ca="1" si="33"/>
        <v>45480</v>
      </c>
      <c r="T130" s="55">
        <f t="shared" ca="1" si="27"/>
        <v>69.331314514620345</v>
      </c>
      <c r="U130" s="55">
        <f t="shared" ca="1" si="28"/>
        <v>451.63015866037534</v>
      </c>
      <c r="V130" s="55">
        <f t="shared" ca="1" si="29"/>
        <v>0</v>
      </c>
      <c r="W130" s="55">
        <f t="shared" ca="1" si="34"/>
        <v>-131.21921350716002</v>
      </c>
      <c r="X130" s="55">
        <f t="shared" ca="1" si="35"/>
        <v>120.50232036746361</v>
      </c>
      <c r="Y130" s="55">
        <f t="shared" ca="1" si="36"/>
        <v>146.55734741160924</v>
      </c>
      <c r="Z130">
        <f t="shared" ca="1" si="30"/>
        <v>120</v>
      </c>
      <c r="AA130">
        <f t="shared" ca="1" si="37"/>
        <v>188.90005909074381</v>
      </c>
      <c r="AB130">
        <f t="shared" ca="1" si="31"/>
        <v>0</v>
      </c>
      <c r="AC130">
        <f t="shared" ca="1" si="32"/>
        <v>0.99999999999997735</v>
      </c>
      <c r="AD130" s="83">
        <f ca="1"/>
        <v>45621</v>
      </c>
      <c r="AE130" s="55">
        <f t="shared" ca="1" si="41"/>
        <v>45621</v>
      </c>
      <c r="AF130" s="55">
        <f t="shared" ca="1" si="42"/>
        <v>73.610281885660612</v>
      </c>
      <c r="AG130" s="55">
        <f t="shared" ca="1" si="43"/>
        <v>0</v>
      </c>
      <c r="AH130" s="55">
        <f t="shared" ca="1" si="44"/>
        <v>0</v>
      </c>
      <c r="AI130" s="55">
        <f t="shared" ca="1" si="38"/>
        <v>-2.0683647054416054</v>
      </c>
      <c r="AJ130" s="55">
        <f t="shared" ca="1" si="39"/>
        <v>108.59795878863493</v>
      </c>
      <c r="AK130" s="55">
        <f t="shared" ca="1" si="40"/>
        <v>-62.105149106809421</v>
      </c>
    </row>
    <row r="131" spans="18:37">
      <c r="R131" s="83">
        <f ca="1"/>
        <v>45481</v>
      </c>
      <c r="S131" s="55">
        <f t="shared" ca="1" si="33"/>
        <v>45481</v>
      </c>
      <c r="T131" s="55">
        <f t="shared" ca="1" si="27"/>
        <v>66.496463424529935</v>
      </c>
      <c r="U131" s="55">
        <f t="shared" ca="1" si="28"/>
        <v>454.16528060785475</v>
      </c>
      <c r="V131" s="55">
        <f t="shared" ca="1" si="29"/>
        <v>0</v>
      </c>
      <c r="W131" s="55">
        <f t="shared" ca="1" si="34"/>
        <v>-132.24156740385527</v>
      </c>
      <c r="X131" s="55">
        <f t="shared" ca="1" si="35"/>
        <v>121.21426701715339</v>
      </c>
      <c r="Y131" s="55">
        <f t="shared" ca="1" si="36"/>
        <v>146.5680255160037</v>
      </c>
      <c r="Z131">
        <f t="shared" ca="1" si="30"/>
        <v>120</v>
      </c>
      <c r="AA131">
        <f t="shared" ca="1" si="37"/>
        <v>192.19313502206992</v>
      </c>
      <c r="AB131">
        <f t="shared" ca="1" si="31"/>
        <v>0</v>
      </c>
      <c r="AC131">
        <f t="shared" ca="1" si="32"/>
        <v>0.99999999999998246</v>
      </c>
      <c r="AD131" s="83">
        <f ca="1"/>
        <v>45622</v>
      </c>
      <c r="AE131" s="55">
        <f t="shared" ca="1" si="41"/>
        <v>45622</v>
      </c>
      <c r="AF131" s="55">
        <f t="shared" ca="1" si="42"/>
        <v>74.844222279843052</v>
      </c>
      <c r="AG131" s="55">
        <f t="shared" ca="1" si="43"/>
        <v>0</v>
      </c>
      <c r="AH131" s="55">
        <f t="shared" ca="1" si="44"/>
        <v>0</v>
      </c>
      <c r="AI131" s="55">
        <f t="shared" ca="1" si="38"/>
        <v>-2.0683647054416054</v>
      </c>
      <c r="AJ131" s="55">
        <f t="shared" ca="1" si="39"/>
        <v>109.54678764625955</v>
      </c>
      <c r="AK131" s="55">
        <f t="shared" ca="1" si="40"/>
        <v>-61.8200375702516</v>
      </c>
    </row>
    <row r="132" spans="18:37">
      <c r="R132" s="83">
        <f ca="1"/>
        <v>45482</v>
      </c>
      <c r="S132" s="55">
        <f t="shared" ca="1" si="33"/>
        <v>45482</v>
      </c>
      <c r="T132" s="55">
        <f t="shared" ca="1" si="27"/>
        <v>64.37937897553644</v>
      </c>
      <c r="U132" s="55">
        <f t="shared" ca="1" si="28"/>
        <v>456.65001194695776</v>
      </c>
      <c r="V132" s="55">
        <f t="shared" ca="1" si="29"/>
        <v>0</v>
      </c>
      <c r="W132" s="55">
        <f t="shared" ca="1" si="34"/>
        <v>-132.60285316557398</v>
      </c>
      <c r="X132" s="55">
        <f t="shared" ca="1" si="35"/>
        <v>121.93246809698915</v>
      </c>
      <c r="Y132" s="55">
        <f t="shared" ca="1" si="36"/>
        <v>146.57875708799617</v>
      </c>
      <c r="Z132">
        <f t="shared" ca="1" si="30"/>
        <v>120</v>
      </c>
      <c r="AA132">
        <f t="shared" ca="1" si="37"/>
        <v>193.39513123578112</v>
      </c>
      <c r="AB132">
        <f t="shared" ca="1" si="31"/>
        <v>0</v>
      </c>
      <c r="AC132">
        <f t="shared" ca="1" si="32"/>
        <v>0.99999999999998646</v>
      </c>
      <c r="AD132" s="83">
        <f ca="1"/>
        <v>45623</v>
      </c>
      <c r="AE132" s="55">
        <f t="shared" ca="1" si="41"/>
        <v>45623</v>
      </c>
      <c r="AF132" s="55">
        <f t="shared" ca="1" si="42"/>
        <v>76.195937821326666</v>
      </c>
      <c r="AG132" s="55">
        <f t="shared" ca="1" si="43"/>
        <v>0</v>
      </c>
      <c r="AH132" s="55">
        <f t="shared" ca="1" si="44"/>
        <v>0</v>
      </c>
      <c r="AI132" s="55">
        <f t="shared" ca="1" si="38"/>
        <v>-2.0683647054416054</v>
      </c>
      <c r="AJ132" s="55">
        <f t="shared" ca="1" si="39"/>
        <v>110.5876006871128</v>
      </c>
      <c r="AK132" s="55">
        <f t="shared" ca="1" si="40"/>
        <v>-61.509135069621237</v>
      </c>
    </row>
    <row r="133" spans="18:37">
      <c r="R133" s="83">
        <f ca="1"/>
        <v>45483</v>
      </c>
      <c r="S133" s="55">
        <f t="shared" ca="1" si="33"/>
        <v>45483</v>
      </c>
      <c r="T133" s="55">
        <f t="shared" ca="1" si="27"/>
        <v>61.701487740370673</v>
      </c>
      <c r="U133" s="55">
        <f t="shared" ca="1" si="28"/>
        <v>458.99942482718831</v>
      </c>
      <c r="V133" s="55">
        <f t="shared" ca="1" si="29"/>
        <v>0</v>
      </c>
      <c r="W133" s="55">
        <f t="shared" ca="1" si="34"/>
        <v>-133.64442207662503</v>
      </c>
      <c r="X133" s="55">
        <f t="shared" ca="1" si="35"/>
        <v>122.63509954689411</v>
      </c>
      <c r="Y133" s="55">
        <f t="shared" ca="1" si="36"/>
        <v>146.58921619420704</v>
      </c>
      <c r="Z133">
        <f t="shared" ca="1" si="30"/>
        <v>120</v>
      </c>
      <c r="AA133">
        <f t="shared" ca="1" si="37"/>
        <v>197.01082307486448</v>
      </c>
      <c r="AB133">
        <f t="shared" ca="1" si="31"/>
        <v>0</v>
      </c>
      <c r="AC133">
        <f t="shared" ca="1" si="32"/>
        <v>0.99999999999998956</v>
      </c>
      <c r="AD133" s="83">
        <f ca="1"/>
        <v>45624</v>
      </c>
      <c r="AE133" s="55">
        <f t="shared" ca="1" si="41"/>
        <v>45624</v>
      </c>
      <c r="AF133" s="55">
        <f t="shared" ca="1" si="42"/>
        <v>77.345910693412208</v>
      </c>
      <c r="AG133" s="55">
        <f t="shared" ca="1" si="43"/>
        <v>0</v>
      </c>
      <c r="AH133" s="55">
        <f t="shared" ca="1" si="44"/>
        <v>0</v>
      </c>
      <c r="AI133" s="55">
        <f t="shared" ca="1" si="38"/>
        <v>-2.0683647054416054</v>
      </c>
      <c r="AJ133" s="55">
        <f t="shared" ca="1" si="39"/>
        <v>111.47428698465227</v>
      </c>
      <c r="AK133" s="55">
        <f t="shared" ca="1" si="40"/>
        <v>-61.245848495075165</v>
      </c>
    </row>
    <row r="134" spans="18:37">
      <c r="R134" s="83">
        <f ca="1"/>
        <v>45484</v>
      </c>
      <c r="S134" s="55">
        <f t="shared" ca="1" si="33"/>
        <v>45484</v>
      </c>
      <c r="T134" s="55">
        <f t="shared" ca="1" si="27"/>
        <v>59.895537080075982</v>
      </c>
      <c r="U134" s="55">
        <f t="shared" ca="1" si="28"/>
        <v>461.37278996518</v>
      </c>
      <c r="V134" s="55">
        <f t="shared" ca="1" si="29"/>
        <v>0</v>
      </c>
      <c r="W134" s="55">
        <f t="shared" ca="1" si="34"/>
        <v>-133.81576729354535</v>
      </c>
      <c r="X134" s="55">
        <f t="shared" ca="1" si="35"/>
        <v>123.36306519408825</v>
      </c>
      <c r="Y134" s="55">
        <f t="shared" ca="1" si="36"/>
        <v>146.60001024163023</v>
      </c>
      <c r="Z134">
        <f t="shared" ca="1" si="30"/>
        <v>120</v>
      </c>
      <c r="AA134">
        <f t="shared" ca="1" si="37"/>
        <v>197.62356353506308</v>
      </c>
      <c r="AB134">
        <f t="shared" ca="1" si="31"/>
        <v>0</v>
      </c>
      <c r="AC134">
        <f t="shared" ca="1" si="32"/>
        <v>0.99999999999999201</v>
      </c>
      <c r="AD134" s="83">
        <f ca="1"/>
        <v>45625</v>
      </c>
      <c r="AE134" s="55">
        <f t="shared" ca="1" si="41"/>
        <v>45625</v>
      </c>
      <c r="AF134" s="55">
        <f t="shared" ca="1" si="42"/>
        <v>78.657030232465473</v>
      </c>
      <c r="AG134" s="55">
        <f t="shared" ca="1" si="43"/>
        <v>0</v>
      </c>
      <c r="AH134" s="55">
        <f t="shared" ca="1" si="44"/>
        <v>0</v>
      </c>
      <c r="AI134" s="55">
        <f t="shared" ca="1" si="38"/>
        <v>-2.0683647054416054</v>
      </c>
      <c r="AJ134" s="55">
        <f t="shared" ca="1" si="39"/>
        <v>112.48663455558236</v>
      </c>
      <c r="AK134" s="55">
        <f t="shared" ca="1" si="40"/>
        <v>-60.947076526951989</v>
      </c>
    </row>
    <row r="135" spans="18:37">
      <c r="R135" s="83">
        <f ca="1"/>
        <v>45485</v>
      </c>
      <c r="S135" s="55">
        <f t="shared" ca="1" si="33"/>
        <v>45485</v>
      </c>
      <c r="T135" s="55">
        <f t="shared" ca="1" si="27"/>
        <v>57.269089515355134</v>
      </c>
      <c r="U135" s="55">
        <f t="shared" ca="1" si="28"/>
        <v>463.59587785898577</v>
      </c>
      <c r="V135" s="55">
        <f t="shared" ca="1" si="29"/>
        <v>0</v>
      </c>
      <c r="W135" s="55">
        <f t="shared" ca="1" si="34"/>
        <v>-134.93653661813659</v>
      </c>
      <c r="X135" s="55">
        <f t="shared" ca="1" si="35"/>
        <v>124.07003382530799</v>
      </c>
      <c r="Y135" s="55">
        <f t="shared" ca="1" si="36"/>
        <v>146.61045126408666</v>
      </c>
      <c r="Z135">
        <f t="shared" ca="1" si="30"/>
        <v>120</v>
      </c>
      <c r="AA135">
        <f t="shared" ca="1" si="37"/>
        <v>201.81530987247024</v>
      </c>
      <c r="AB135">
        <f t="shared" ca="1" si="31"/>
        <v>0</v>
      </c>
      <c r="AC135">
        <f t="shared" ca="1" si="32"/>
        <v>0.99999999999999378</v>
      </c>
      <c r="AD135" s="83">
        <f ca="1"/>
        <v>45626</v>
      </c>
      <c r="AE135" s="55">
        <f t="shared" ca="1" si="41"/>
        <v>45626</v>
      </c>
      <c r="AF135" s="55">
        <f t="shared" ca="1" si="42"/>
        <v>80.057664545437532</v>
      </c>
      <c r="AG135" s="55">
        <f t="shared" ca="1" si="43"/>
        <v>0</v>
      </c>
      <c r="AH135" s="55">
        <f t="shared" ca="1" si="44"/>
        <v>0</v>
      </c>
      <c r="AI135" s="55">
        <f t="shared" ca="1" si="38"/>
        <v>-2.0683647054416054</v>
      </c>
      <c r="AJ135" s="55">
        <f t="shared" ca="1" si="39"/>
        <v>113.5698114922324</v>
      </c>
      <c r="AK135" s="55">
        <f t="shared" ca="1" si="40"/>
        <v>-60.629619150629978</v>
      </c>
    </row>
    <row r="136" spans="18:37">
      <c r="R136" s="83">
        <f ca="1"/>
        <v>45486</v>
      </c>
      <c r="S136" s="55">
        <f t="shared" ca="1" si="33"/>
        <v>45486</v>
      </c>
      <c r="T136" s="55">
        <f t="shared" ca="1" si="27"/>
        <v>55.000945760328506</v>
      </c>
      <c r="U136" s="55">
        <f t="shared" ca="1" si="28"/>
        <v>465.704292844066</v>
      </c>
      <c r="V136" s="55">
        <f t="shared" ca="1" si="29"/>
        <v>0</v>
      </c>
      <c r="W136" s="55">
        <f t="shared" ca="1" si="34"/>
        <v>-135.80040572475653</v>
      </c>
      <c r="X136" s="55">
        <f t="shared" ca="1" si="35"/>
        <v>124.76396618547687</v>
      </c>
      <c r="Y136" s="55">
        <f t="shared" ca="1" si="36"/>
        <v>146.62065924059132</v>
      </c>
      <c r="Z136">
        <f t="shared" ca="1" si="30"/>
        <v>120</v>
      </c>
      <c r="AA136">
        <f t="shared" ca="1" si="37"/>
        <v>205.17947126197612</v>
      </c>
      <c r="AB136">
        <f t="shared" ca="1" si="31"/>
        <v>0</v>
      </c>
      <c r="AC136">
        <f t="shared" ca="1" si="32"/>
        <v>0.99999999999999512</v>
      </c>
      <c r="AD136" s="83">
        <f ca="1"/>
        <v>45627</v>
      </c>
      <c r="AE136" s="55">
        <f t="shared" ca="1" si="41"/>
        <v>45627</v>
      </c>
      <c r="AF136" s="55">
        <f t="shared" ca="1" si="42"/>
        <v>81.391039431796841</v>
      </c>
      <c r="AG136" s="55">
        <f t="shared" ca="1" si="43"/>
        <v>0</v>
      </c>
      <c r="AH136" s="55">
        <f t="shared" ca="1" si="44"/>
        <v>0</v>
      </c>
      <c r="AI136" s="55">
        <f t="shared" ca="1" si="38"/>
        <v>-2.0683647054416054</v>
      </c>
      <c r="AJ136" s="55">
        <f t="shared" ca="1" si="39"/>
        <v>114.60266932555355</v>
      </c>
      <c r="AK136" s="55">
        <f t="shared" ca="1" si="40"/>
        <v>-60.329102097591814</v>
      </c>
    </row>
    <row r="137" spans="18:37">
      <c r="R137" s="83">
        <f ca="1"/>
        <v>45487</v>
      </c>
      <c r="S137" s="55">
        <f t="shared" ca="1" si="33"/>
        <v>45487</v>
      </c>
      <c r="T137" s="55">
        <f t="shared" ca="1" si="27"/>
        <v>53.223755469361109</v>
      </c>
      <c r="U137" s="55">
        <f t="shared" ca="1" si="28"/>
        <v>467.98788422756712</v>
      </c>
      <c r="V137" s="55">
        <f t="shared" ca="1" si="29"/>
        <v>0</v>
      </c>
      <c r="W137" s="55">
        <f t="shared" ca="1" si="34"/>
        <v>-136.07087141905086</v>
      </c>
      <c r="X137" s="55">
        <f t="shared" ca="1" si="35"/>
        <v>125.52961721898589</v>
      </c>
      <c r="Y137" s="55">
        <f t="shared" ca="1" si="36"/>
        <v>146.63187499391037</v>
      </c>
      <c r="Z137">
        <f t="shared" ca="1" si="30"/>
        <v>120</v>
      </c>
      <c r="AA137">
        <f t="shared" ca="1" si="37"/>
        <v>206.26791430659759</v>
      </c>
      <c r="AB137">
        <f t="shared" ca="1" si="31"/>
        <v>0</v>
      </c>
      <c r="AC137">
        <f t="shared" ca="1" si="32"/>
        <v>0.99999999999999623</v>
      </c>
      <c r="AD137" s="83">
        <f ca="1"/>
        <v>45628</v>
      </c>
      <c r="AE137" s="55">
        <f t="shared" ca="1" si="41"/>
        <v>45628</v>
      </c>
      <c r="AF137" s="55">
        <f t="shared" ca="1" si="42"/>
        <v>82.678151703033279</v>
      </c>
      <c r="AG137" s="55">
        <f t="shared" ca="1" si="43"/>
        <v>0</v>
      </c>
      <c r="AH137" s="55">
        <f t="shared" ca="1" si="44"/>
        <v>0</v>
      </c>
      <c r="AI137" s="55">
        <f t="shared" ca="1" si="38"/>
        <v>-2.0683647054416054</v>
      </c>
      <c r="AJ137" s="55">
        <f t="shared" ca="1" si="39"/>
        <v>115.60130563473652</v>
      </c>
      <c r="AK137" s="55">
        <f t="shared" ca="1" si="40"/>
        <v>-60.040626135538346</v>
      </c>
    </row>
    <row r="138" spans="18:37">
      <c r="R138" s="83">
        <f ca="1"/>
        <v>45488</v>
      </c>
      <c r="S138" s="55">
        <f t="shared" ca="1" si="33"/>
        <v>45488</v>
      </c>
      <c r="T138" s="55">
        <f t="shared" ca="1" si="27"/>
        <v>50.549788692501011</v>
      </c>
      <c r="U138" s="55">
        <f t="shared" ca="1" si="28"/>
        <v>470.19288389932007</v>
      </c>
      <c r="V138" s="55">
        <f t="shared" ca="1" si="29"/>
        <v>0</v>
      </c>
      <c r="W138" s="55">
        <f t="shared" ca="1" si="34"/>
        <v>-137.31665507467179</v>
      </c>
      <c r="X138" s="55">
        <f t="shared" ca="1" si="35"/>
        <v>126.29526825249491</v>
      </c>
      <c r="Y138" s="55">
        <f t="shared" ca="1" si="36"/>
        <v>146.64304051091514</v>
      </c>
      <c r="Z138">
        <f t="shared" ca="1" si="30"/>
        <v>120</v>
      </c>
      <c r="AA138">
        <f t="shared" ca="1" si="37"/>
        <v>211.54655766318939</v>
      </c>
      <c r="AB138">
        <f t="shared" ca="1" si="31"/>
        <v>0</v>
      </c>
      <c r="AC138">
        <f t="shared" ca="1" si="32"/>
        <v>0.98979237093798023</v>
      </c>
      <c r="AD138" s="83">
        <f ca="1"/>
        <v>45629</v>
      </c>
      <c r="AE138" s="55">
        <f t="shared" ca="1" si="41"/>
        <v>45629</v>
      </c>
      <c r="AF138" s="55">
        <f t="shared" ca="1" si="42"/>
        <v>84.000443995258607</v>
      </c>
      <c r="AG138" s="55">
        <f t="shared" ca="1" si="43"/>
        <v>0</v>
      </c>
      <c r="AH138" s="55">
        <f t="shared" ca="1" si="44"/>
        <v>0</v>
      </c>
      <c r="AI138" s="55">
        <f t="shared" ca="1" si="38"/>
        <v>-2.0683647054416054</v>
      </c>
      <c r="AJ138" s="55">
        <f t="shared" ca="1" si="39"/>
        <v>116.62893200059368</v>
      </c>
      <c r="AK138" s="55">
        <f t="shared" ca="1" si="40"/>
        <v>-59.745960209170178</v>
      </c>
    </row>
    <row r="139" spans="18:37">
      <c r="R139" s="83">
        <f ca="1"/>
        <v>45489</v>
      </c>
      <c r="S139" s="55">
        <f t="shared" ca="1" si="33"/>
        <v>45489</v>
      </c>
      <c r="T139" s="55">
        <f t="shared" ca="1" si="27"/>
        <v>48.261837354540724</v>
      </c>
      <c r="U139" s="55">
        <f t="shared" ca="1" si="28"/>
        <v>472.49364085808924</v>
      </c>
      <c r="V139" s="55">
        <f t="shared" ca="1" si="29"/>
        <v>0</v>
      </c>
      <c r="W139" s="55">
        <f t="shared" ca="1" si="34"/>
        <v>-138.14026588510299</v>
      </c>
      <c r="X139" s="55">
        <f t="shared" ca="1" si="35"/>
        <v>127.11971865747651</v>
      </c>
      <c r="Y139" s="55">
        <f t="shared" ca="1" si="36"/>
        <v>146.65500653717362</v>
      </c>
      <c r="Z139">
        <f t="shared" ca="1" si="30"/>
        <v>120</v>
      </c>
      <c r="AA139">
        <f t="shared" ca="1" si="37"/>
        <v>215.20180881793937</v>
      </c>
      <c r="AB139">
        <f t="shared" ca="1" si="31"/>
        <v>0</v>
      </c>
      <c r="AC139">
        <f t="shared" ca="1" si="32"/>
        <v>0.97226412861430389</v>
      </c>
      <c r="AD139" s="83">
        <f ca="1"/>
        <v>45630</v>
      </c>
      <c r="AE139" s="55">
        <f t="shared" ca="1" si="41"/>
        <v>45630</v>
      </c>
      <c r="AF139" s="55">
        <f t="shared" ca="1" si="42"/>
        <v>85.233208213361081</v>
      </c>
      <c r="AG139" s="55">
        <f t="shared" ca="1" si="43"/>
        <v>0</v>
      </c>
      <c r="AH139" s="55">
        <f t="shared" ca="1" si="44"/>
        <v>0</v>
      </c>
      <c r="AI139" s="55">
        <f t="shared" ca="1" si="38"/>
        <v>-2.0683647054416054</v>
      </c>
      <c r="AJ139" s="55">
        <f t="shared" ca="1" si="39"/>
        <v>117.58856499660023</v>
      </c>
      <c r="AK139" s="55">
        <f t="shared" ca="1" si="40"/>
        <v>-59.472828987074251</v>
      </c>
    </row>
    <row r="140" spans="18:37">
      <c r="R140" s="83">
        <f ca="1"/>
        <v>45490</v>
      </c>
      <c r="S140" s="55">
        <f t="shared" ca="1" si="33"/>
        <v>45490</v>
      </c>
      <c r="T140" s="55">
        <f t="shared" ca="1" si="27"/>
        <v>46.976499117904176</v>
      </c>
      <c r="U140" s="55">
        <f t="shared" ca="1" si="28"/>
        <v>474.53790403466894</v>
      </c>
      <c r="V140" s="55">
        <f t="shared" ca="1" si="29"/>
        <v>0</v>
      </c>
      <c r="W140" s="55">
        <f t="shared" ca="1" si="34"/>
        <v>-138.15693023098086</v>
      </c>
      <c r="X140" s="55">
        <f t="shared" ca="1" si="35"/>
        <v>127.88426486548309</v>
      </c>
      <c r="Y140" s="55">
        <f t="shared" ca="1" si="36"/>
        <v>146.66604961498805</v>
      </c>
      <c r="Z140">
        <f t="shared" ca="1" si="30"/>
        <v>120</v>
      </c>
      <c r="AA140">
        <f t="shared" ca="1" si="37"/>
        <v>215.27779010732118</v>
      </c>
      <c r="AB140">
        <f t="shared" ca="1" si="31"/>
        <v>0</v>
      </c>
      <c r="AC140">
        <f t="shared" ca="1" si="32"/>
        <v>0.95609910172442603</v>
      </c>
      <c r="AD140" s="83">
        <f ca="1"/>
        <v>45631</v>
      </c>
      <c r="AE140" s="55">
        <f t="shared" ca="1" si="41"/>
        <v>45631</v>
      </c>
      <c r="AF140" s="55">
        <f t="shared" ca="1" si="42"/>
        <v>86.457168945214903</v>
      </c>
      <c r="AG140" s="55">
        <f t="shared" ca="1" si="43"/>
        <v>0</v>
      </c>
      <c r="AH140" s="55">
        <f t="shared" ca="1" si="44"/>
        <v>0</v>
      </c>
      <c r="AI140" s="55">
        <f t="shared" ca="1" si="38"/>
        <v>-2.0683647054416054</v>
      </c>
      <c r="AJ140" s="55">
        <f t="shared" ca="1" si="39"/>
        <v>118.54288983861801</v>
      </c>
      <c r="AK140" s="55">
        <f t="shared" ca="1" si="40"/>
        <v>-59.203193097238213</v>
      </c>
    </row>
    <row r="141" spans="18:37">
      <c r="R141" s="83">
        <f ca="1"/>
        <v>45491</v>
      </c>
      <c r="S141" s="55">
        <f t="shared" ca="1" si="33"/>
        <v>45491</v>
      </c>
      <c r="T141" s="55">
        <f t="shared" ca="1" si="27"/>
        <v>45.719649222532354</v>
      </c>
      <c r="U141" s="55">
        <f t="shared" ca="1" si="28"/>
        <v>476.5418230929057</v>
      </c>
      <c r="V141" s="55">
        <f t="shared" ca="1" si="29"/>
        <v>0</v>
      </c>
      <c r="W141" s="55">
        <f t="shared" ca="1" si="34"/>
        <v>-138.19711390973691</v>
      </c>
      <c r="X141" s="55">
        <f t="shared" ca="1" si="35"/>
        <v>128.66036114303256</v>
      </c>
      <c r="Y141" s="55">
        <f t="shared" ca="1" si="36"/>
        <v>146.67720617905957</v>
      </c>
      <c r="Z141">
        <f t="shared" ca="1" si="30"/>
        <v>120</v>
      </c>
      <c r="AA141">
        <f t="shared" ca="1" si="37"/>
        <v>215.46604481261318</v>
      </c>
      <c r="AB141">
        <f t="shared" ca="1" si="31"/>
        <v>0</v>
      </c>
      <c r="AC141">
        <f t="shared" ca="1" si="32"/>
        <v>0.93966602841165248</v>
      </c>
      <c r="AD141" s="83">
        <f ca="1"/>
        <v>45632</v>
      </c>
      <c r="AE141" s="55">
        <f t="shared" ca="1" si="41"/>
        <v>45632</v>
      </c>
      <c r="AF141" s="55">
        <f t="shared" ca="1" si="42"/>
        <v>87.619595557101789</v>
      </c>
      <c r="AG141" s="55">
        <f t="shared" ca="1" si="43"/>
        <v>0</v>
      </c>
      <c r="AH141" s="55">
        <f t="shared" ca="1" si="44"/>
        <v>0</v>
      </c>
      <c r="AI141" s="55">
        <f t="shared" ca="1" si="38"/>
        <v>-2.0683647054416054</v>
      </c>
      <c r="AJ141" s="55">
        <f t="shared" ca="1" si="39"/>
        <v>119.45068919621893</v>
      </c>
      <c r="AK141" s="55">
        <f t="shared" ca="1" si="40"/>
        <v>-58.948565842952249</v>
      </c>
    </row>
    <row r="142" spans="18:37">
      <c r="R142" s="83">
        <f ca="1"/>
        <v>45492</v>
      </c>
      <c r="S142" s="55">
        <f t="shared" ca="1" si="33"/>
        <v>45492</v>
      </c>
      <c r="T142" s="55">
        <f t="shared" ca="1" si="27"/>
        <v>44.138597550947857</v>
      </c>
      <c r="U142" s="55">
        <f t="shared" ca="1" si="28"/>
        <v>478.57994408926771</v>
      </c>
      <c r="V142" s="55">
        <f t="shared" ca="1" si="29"/>
        <v>0</v>
      </c>
      <c r="W142" s="55">
        <f t="shared" ca="1" si="34"/>
        <v>-138.56872425869071</v>
      </c>
      <c r="X142" s="55">
        <f t="shared" ca="1" si="35"/>
        <v>129.47735512259766</v>
      </c>
      <c r="Y142" s="55">
        <f t="shared" ca="1" si="36"/>
        <v>146.68889187322577</v>
      </c>
      <c r="Z142">
        <f t="shared" ca="1" si="30"/>
        <v>120</v>
      </c>
      <c r="AA142">
        <f t="shared" ca="1" si="37"/>
        <v>217.26934615744779</v>
      </c>
      <c r="AB142">
        <f t="shared" ca="1" si="31"/>
        <v>0</v>
      </c>
      <c r="AC142">
        <f t="shared" ca="1" si="32"/>
        <v>0.92230393056497761</v>
      </c>
      <c r="AD142" s="83">
        <f ca="1"/>
        <v>45633</v>
      </c>
      <c r="AE142" s="55">
        <f t="shared" ca="1" si="41"/>
        <v>45633</v>
      </c>
      <c r="AF142" s="55">
        <f t="shared" ca="1" si="42"/>
        <v>88.81373205474118</v>
      </c>
      <c r="AG142" s="55">
        <f t="shared" ca="1" si="43"/>
        <v>0</v>
      </c>
      <c r="AH142" s="55">
        <f t="shared" ca="1" si="44"/>
        <v>0</v>
      </c>
      <c r="AI142" s="55">
        <f t="shared" ca="1" si="38"/>
        <v>-2.0683647054416054</v>
      </c>
      <c r="AJ142" s="55">
        <f t="shared" ca="1" si="39"/>
        <v>120.38475269583019</v>
      </c>
      <c r="AK142" s="55">
        <f t="shared" ca="1" si="40"/>
        <v>-58.688492844924113</v>
      </c>
    </row>
    <row r="143" spans="18:37">
      <c r="R143" s="83">
        <f ca="1"/>
        <v>45493</v>
      </c>
      <c r="S143" s="55">
        <f t="shared" ca="1" si="33"/>
        <v>45493</v>
      </c>
      <c r="T143" s="55">
        <f t="shared" ca="1" si="27"/>
        <v>42.462724245487621</v>
      </c>
      <c r="U143" s="55">
        <f t="shared" ca="1" si="28"/>
        <v>480.60649148098736</v>
      </c>
      <c r="V143" s="55">
        <f t="shared" ca="1" si="29"/>
        <v>0</v>
      </c>
      <c r="W143" s="55">
        <f t="shared" ca="1" si="34"/>
        <v>-139.07461228148236</v>
      </c>
      <c r="X143" s="55">
        <f t="shared" ca="1" si="35"/>
        <v>130.32190159693056</v>
      </c>
      <c r="Y143" s="55">
        <f t="shared" ca="1" si="36"/>
        <v>146.70090750794392</v>
      </c>
      <c r="Z143">
        <f t="shared" ca="1" si="30"/>
        <v>120</v>
      </c>
      <c r="AA143">
        <f t="shared" ca="1" si="37"/>
        <v>219.8211399713021</v>
      </c>
      <c r="AB143">
        <f t="shared" ca="1" si="31"/>
        <v>0</v>
      </c>
      <c r="AC143">
        <f t="shared" ca="1" si="32"/>
        <v>0.90433263630263017</v>
      </c>
      <c r="AD143" s="83">
        <f ca="1"/>
        <v>45634</v>
      </c>
      <c r="AE143" s="55">
        <f t="shared" ca="1" si="41"/>
        <v>45634</v>
      </c>
      <c r="AF143" s="55">
        <f t="shared" ca="1" si="42"/>
        <v>90.016699865099767</v>
      </c>
      <c r="AG143" s="55">
        <f t="shared" ca="1" si="43"/>
        <v>0</v>
      </c>
      <c r="AH143" s="55">
        <f t="shared" ca="1" si="44"/>
        <v>0</v>
      </c>
      <c r="AI143" s="55">
        <f t="shared" ca="1" si="38"/>
        <v>-2.0683647054416054</v>
      </c>
      <c r="AJ143" s="55">
        <f t="shared" ca="1" si="39"/>
        <v>121.32728716540491</v>
      </c>
      <c r="AK143" s="55">
        <f t="shared" ca="1" si="40"/>
        <v>-58.428059504140251</v>
      </c>
    </row>
    <row r="144" spans="18:37">
      <c r="R144" s="83">
        <f ca="1"/>
        <v>45494</v>
      </c>
      <c r="S144" s="55">
        <f t="shared" ca="1" si="33"/>
        <v>45494</v>
      </c>
      <c r="T144" s="55">
        <f t="shared" ca="1" si="27"/>
        <v>40.668641590918398</v>
      </c>
      <c r="U144" s="55">
        <f t="shared" ca="1" si="28"/>
        <v>482.589045410756</v>
      </c>
      <c r="V144" s="55">
        <f t="shared" ca="1" si="29"/>
        <v>0</v>
      </c>
      <c r="W144" s="55">
        <f t="shared" ca="1" si="34"/>
        <v>-139.75932935374425</v>
      </c>
      <c r="X144" s="55">
        <f t="shared" ca="1" si="35"/>
        <v>131.18290806672815</v>
      </c>
      <c r="Y144" s="55">
        <f t="shared" ca="1" si="36"/>
        <v>146.71308938560765</v>
      </c>
      <c r="Z144">
        <f t="shared" ca="1" si="30"/>
        <v>120</v>
      </c>
      <c r="AA144">
        <f t="shared" ca="1" si="37"/>
        <v>223.42734592728408</v>
      </c>
      <c r="AB144">
        <f t="shared" ca="1" si="31"/>
        <v>0</v>
      </c>
      <c r="AC144">
        <f t="shared" ca="1" si="32"/>
        <v>0.88600343914607471</v>
      </c>
      <c r="AD144" s="83">
        <f ca="1"/>
        <v>45635</v>
      </c>
      <c r="AE144" s="55">
        <f t="shared" ca="1" si="41"/>
        <v>45635</v>
      </c>
      <c r="AF144" s="55">
        <f t="shared" ca="1" si="42"/>
        <v>91.409872574341193</v>
      </c>
      <c r="AG144" s="55">
        <f t="shared" ca="1" si="43"/>
        <v>0</v>
      </c>
      <c r="AH144" s="55">
        <f t="shared" ca="1" si="44"/>
        <v>0</v>
      </c>
      <c r="AI144" s="55">
        <f t="shared" ca="1" si="38"/>
        <v>-2.0683647054416054</v>
      </c>
      <c r="AJ144" s="55">
        <f t="shared" ca="1" si="39"/>
        <v>122.42084176361853</v>
      </c>
      <c r="AK144" s="55">
        <f t="shared" ca="1" si="40"/>
        <v>-58.128441393112439</v>
      </c>
    </row>
    <row r="145" spans="18:37">
      <c r="R145" s="83">
        <f ca="1"/>
        <v>45495</v>
      </c>
      <c r="S145" s="55">
        <f t="shared" ca="1" si="33"/>
        <v>45495</v>
      </c>
      <c r="T145" s="55">
        <f t="shared" ca="1" si="27"/>
        <v>38.906086285740564</v>
      </c>
      <c r="U145" s="55">
        <f t="shared" ca="1" si="28"/>
        <v>484.37699778183389</v>
      </c>
      <c r="V145" s="55">
        <f t="shared" ca="1" si="29"/>
        <v>0</v>
      </c>
      <c r="W145" s="55">
        <f t="shared" ca="1" si="34"/>
        <v>-140.55621648946891</v>
      </c>
      <c r="X145" s="55">
        <f t="shared" ca="1" si="35"/>
        <v>131.99378310255696</v>
      </c>
      <c r="Y145" s="55">
        <f t="shared" ca="1" si="36"/>
        <v>146.72449855140354</v>
      </c>
      <c r="Z145">
        <f t="shared" ca="1" si="30"/>
        <v>120</v>
      </c>
      <c r="AA145">
        <f t="shared" ca="1" si="37"/>
        <v>227.81445373396841</v>
      </c>
      <c r="AB145">
        <f t="shared" ca="1" si="31"/>
        <v>0</v>
      </c>
      <c r="AC145">
        <f t="shared" ca="1" si="32"/>
        <v>0.86877841049292637</v>
      </c>
      <c r="AD145" s="83">
        <f ca="1"/>
        <v>45636</v>
      </c>
      <c r="AE145" s="55">
        <f t="shared" ca="1" si="41"/>
        <v>45636</v>
      </c>
      <c r="AF145" s="55">
        <f t="shared" ca="1" si="42"/>
        <v>92.852801845001011</v>
      </c>
      <c r="AG145" s="55">
        <f t="shared" ca="1" si="43"/>
        <v>0</v>
      </c>
      <c r="AH145" s="55">
        <f t="shared" ca="1" si="44"/>
        <v>0</v>
      </c>
      <c r="AI145" s="55">
        <f t="shared" ca="1" si="38"/>
        <v>-2.0683647054416054</v>
      </c>
      <c r="AJ145" s="55">
        <f t="shared" ca="1" si="39"/>
        <v>123.55574462375895</v>
      </c>
      <c r="AK145" s="55">
        <f t="shared" ca="1" si="40"/>
        <v>-57.82041498259305</v>
      </c>
    </row>
    <row r="146" spans="18:37">
      <c r="R146" s="83">
        <f ca="1"/>
        <v>45496</v>
      </c>
      <c r="S146" s="55">
        <f t="shared" ca="1" si="33"/>
        <v>45496</v>
      </c>
      <c r="T146" s="55">
        <f t="shared" ref="T146:T209" ca="1" si="45">VLOOKUP(S146,ModelOutputs,2,FALSE)</f>
        <v>37.819732516378053</v>
      </c>
      <c r="U146" s="55">
        <f t="shared" ref="U146:U209" ca="1" si="46">VLOOKUP(S146,ModelOutputs,7,FALSE)</f>
        <v>486.08999006683183</v>
      </c>
      <c r="V146" s="55">
        <f t="shared" ref="V146:V209" ca="1" si="47">VLOOKUP(S146,ModelOutputs,6,FALSE)</f>
        <v>0</v>
      </c>
      <c r="W146" s="55">
        <f t="shared" ca="1" si="34"/>
        <v>-140.74973851800272</v>
      </c>
      <c r="X146" s="55">
        <f t="shared" ca="1" si="35"/>
        <v>132.80262503420593</v>
      </c>
      <c r="Y146" s="55">
        <f t="shared" ca="1" si="36"/>
        <v>146.7358171639238</v>
      </c>
      <c r="Z146">
        <f t="shared" ref="Z146:Z209" ca="1" si="48">VLOOKUP(S146,ModelOutputs,10,FALSE)*AWC</f>
        <v>120</v>
      </c>
      <c r="AA146">
        <f t="shared" ca="1" si="37"/>
        <v>228.91045483672036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0.85159907157095316</v>
      </c>
      <c r="AD146" s="83">
        <f ca="1"/>
        <v>45637</v>
      </c>
      <c r="AE146" s="55">
        <f t="shared" ca="1" si="41"/>
        <v>45637</v>
      </c>
      <c r="AF146" s="55">
        <f t="shared" ca="1" si="42"/>
        <v>94.197464851003346</v>
      </c>
      <c r="AG146" s="55">
        <f t="shared" ca="1" si="43"/>
        <v>0</v>
      </c>
      <c r="AH146" s="55">
        <f t="shared" ca="1" si="44"/>
        <v>0</v>
      </c>
      <c r="AI146" s="55">
        <f t="shared" ca="1" si="38"/>
        <v>-2.0683647054416054</v>
      </c>
      <c r="AJ146" s="55">
        <f t="shared" ca="1" si="39"/>
        <v>124.61549160638123</v>
      </c>
      <c r="AK146" s="55">
        <f t="shared" ca="1" si="40"/>
        <v>-57.535498959212987</v>
      </c>
    </row>
    <row r="147" spans="18:37">
      <c r="R147" s="83">
        <f ca="1"/>
        <v>45497</v>
      </c>
      <c r="S147" s="55">
        <f t="shared" ref="S147:S210" ca="1" si="51">IF(R147&gt;1,R147,"")</f>
        <v>45497</v>
      </c>
      <c r="T147" s="55">
        <f t="shared" ca="1" si="45"/>
        <v>37.037329303604729</v>
      </c>
      <c r="U147" s="55">
        <f t="shared" ca="1" si="46"/>
        <v>487.65428716457069</v>
      </c>
      <c r="V147" s="55">
        <f t="shared" ca="1" si="47"/>
        <v>0</v>
      </c>
      <c r="W147" s="55">
        <f t="shared" ref="W147:W210" ca="1" si="52">-VLOOKUP(S147,ModelOutputs,9,FALSE)+W146</f>
        <v>-140.74973851800272</v>
      </c>
      <c r="X147" s="55">
        <f t="shared" ref="X147:X210" ca="1" si="53">VLOOKUP(S147,ModelOutputs,5,FALSE)+X146</f>
        <v>133.57378577123839</v>
      </c>
      <c r="Y147" s="55">
        <f t="shared" ref="Y147:Y210" ca="1" si="54">VLOOKUP(S147,ModelOutputs,4,FALSE)+Y146</f>
        <v>146.74655031185688</v>
      </c>
      <c r="Z147">
        <f t="shared" ca="1" si="48"/>
        <v>119.78499876293199</v>
      </c>
      <c r="AA147">
        <f t="shared" ref="AA147:AA210" ca="1" si="55">VLOOKUP(S147,ModelOutputs,11,FALSE)+AA146</f>
        <v>228.91045483672036</v>
      </c>
      <c r="AB147">
        <f t="shared" ca="1" si="49"/>
        <v>0</v>
      </c>
      <c r="AC147">
        <f t="shared" ca="1" si="50"/>
        <v>0.83528022258611823</v>
      </c>
      <c r="AD147" s="83">
        <f ca="1"/>
        <v>45638</v>
      </c>
      <c r="AE147" s="55">
        <f t="shared" ca="1" si="41"/>
        <v>45638</v>
      </c>
      <c r="AF147" s="55">
        <f t="shared" ca="1" si="42"/>
        <v>95.469726077620422</v>
      </c>
      <c r="AG147" s="55">
        <f t="shared" ca="1" si="43"/>
        <v>0</v>
      </c>
      <c r="AH147" s="55">
        <f t="shared" ca="1" si="44"/>
        <v>0</v>
      </c>
      <c r="AI147" s="55">
        <f t="shared" ref="AI147:AI210" ca="1" si="56">-VLOOKUP(AE147,ModelOutputs,9,FALSE)+AI146</f>
        <v>-2.0683647054416054</v>
      </c>
      <c r="AJ147" s="55">
        <f t="shared" ref="AJ147:AJ210" ca="1" si="57">VLOOKUP(AE147,ModelOutputs,5,FALSE)+AJ146</f>
        <v>125.62009972273688</v>
      </c>
      <c r="AK147" s="55">
        <f t="shared" ref="AK147:AK210" ca="1" si="58">VLOOKUP(AE147,ModelOutputs,4,FALSE)+AK146</f>
        <v>-57.267845848951566</v>
      </c>
    </row>
    <row r="148" spans="18:37">
      <c r="R148" s="83">
        <f ca="1"/>
        <v>45498</v>
      </c>
      <c r="S148" s="55">
        <f t="shared" ca="1" si="51"/>
        <v>45498</v>
      </c>
      <c r="T148" s="55">
        <f t="shared" ca="1" si="45"/>
        <v>36.328525332207008</v>
      </c>
      <c r="U148" s="55">
        <f t="shared" ca="1" si="46"/>
        <v>489.13168488608079</v>
      </c>
      <c r="V148" s="55">
        <f t="shared" ca="1" si="47"/>
        <v>0</v>
      </c>
      <c r="W148" s="55">
        <f t="shared" ca="1" si="52"/>
        <v>-140.74973851800272</v>
      </c>
      <c r="X148" s="55">
        <f t="shared" ca="1" si="53"/>
        <v>134.33188402038851</v>
      </c>
      <c r="Y148" s="55">
        <f t="shared" ca="1" si="54"/>
        <v>146.75704581281914</v>
      </c>
      <c r="Z148">
        <f t="shared" ca="1" si="48"/>
        <v>117.86370773342438</v>
      </c>
      <c r="AA148">
        <f t="shared" ca="1" si="55"/>
        <v>228.91045483672036</v>
      </c>
      <c r="AB148">
        <f t="shared" ca="1" si="49"/>
        <v>0</v>
      </c>
      <c r="AC148">
        <f t="shared" ca="1" si="50"/>
        <v>0.81926597180911942</v>
      </c>
      <c r="AD148" s="83">
        <f ca="1"/>
        <v>45639</v>
      </c>
      <c r="AE148" s="55">
        <f t="shared" ca="1" si="41"/>
        <v>45639</v>
      </c>
      <c r="AF148" s="55">
        <f t="shared" ca="1" si="42"/>
        <v>96.61988798352408</v>
      </c>
      <c r="AG148" s="55">
        <f t="shared" ca="1" si="43"/>
        <v>0</v>
      </c>
      <c r="AH148" s="55">
        <f t="shared" ca="1" si="44"/>
        <v>0</v>
      </c>
      <c r="AI148" s="55">
        <f t="shared" ca="1" si="56"/>
        <v>-2.0683647054416054</v>
      </c>
      <c r="AJ148" s="55">
        <f t="shared" ca="1" si="57"/>
        <v>126.52992356297941</v>
      </c>
      <c r="AK148" s="55">
        <f t="shared" ca="1" si="58"/>
        <v>-57.027507783290432</v>
      </c>
    </row>
    <row r="149" spans="18:37">
      <c r="R149" s="83">
        <f ca="1"/>
        <v>45499</v>
      </c>
      <c r="S149" s="55">
        <f t="shared" ca="1" si="51"/>
        <v>45499</v>
      </c>
      <c r="T149" s="55">
        <f t="shared" ca="1" si="45"/>
        <v>35.630239208404433</v>
      </c>
      <c r="U149" s="55">
        <f t="shared" ca="1" si="46"/>
        <v>490.64446955651556</v>
      </c>
      <c r="V149" s="55">
        <f t="shared" ca="1" si="47"/>
        <v>0</v>
      </c>
      <c r="W149" s="55">
        <f t="shared" ca="1" si="52"/>
        <v>-140.74973851800272</v>
      </c>
      <c r="X149" s="55">
        <f t="shared" ca="1" si="53"/>
        <v>135.13532032057216</v>
      </c>
      <c r="Y149" s="55">
        <f t="shared" ca="1" si="54"/>
        <v>146.76810805926769</v>
      </c>
      <c r="Z149">
        <f t="shared" ca="1" si="48"/>
        <v>119.86603236889428</v>
      </c>
      <c r="AA149">
        <f t="shared" ca="1" si="55"/>
        <v>228.91045483672036</v>
      </c>
      <c r="AB149">
        <f t="shared" ca="1" si="49"/>
        <v>0</v>
      </c>
      <c r="AC149">
        <f t="shared" ca="1" si="50"/>
        <v>0.80220847217028113</v>
      </c>
      <c r="AD149" s="83">
        <f ca="1"/>
        <v>45640</v>
      </c>
      <c r="AE149" s="55">
        <f t="shared" ref="AE149:AE212" ca="1" si="59">IF(AD149&gt;1,AD149,"")</f>
        <v>45640</v>
      </c>
      <c r="AF149" s="55">
        <f t="shared" ref="AF149:AF212" ca="1" si="60">VLOOKUP(AE149,ModelOutputs,2,FALSE)</f>
        <v>97.777686190170655</v>
      </c>
      <c r="AG149" s="55">
        <f t="shared" ref="AG149:AG212" ca="1" si="61">VLOOKUP(AE149,ModelOutputs,7,FALSE)</f>
        <v>0</v>
      </c>
      <c r="AH149" s="55">
        <f t="shared" ref="AH149:AH212" ca="1" si="62">VLOOKUP(AE149,ModelOutputs,6,FALSE)</f>
        <v>0</v>
      </c>
      <c r="AI149" s="55">
        <f t="shared" ca="1" si="56"/>
        <v>-2.0683647054416054</v>
      </c>
      <c r="AJ149" s="55">
        <f t="shared" ca="1" si="57"/>
        <v>127.4473668512631</v>
      </c>
      <c r="AK149" s="55">
        <f t="shared" ca="1" si="58"/>
        <v>-56.787152864927549</v>
      </c>
    </row>
    <row r="150" spans="18:37">
      <c r="R150" s="83">
        <f ca="1"/>
        <v>45500</v>
      </c>
      <c r="S150" s="55">
        <f t="shared" ca="1" si="51"/>
        <v>45500</v>
      </c>
      <c r="T150" s="55">
        <f t="shared" ca="1" si="45"/>
        <v>35.017298888026495</v>
      </c>
      <c r="U150" s="55">
        <f t="shared" ca="1" si="46"/>
        <v>492.04379778181368</v>
      </c>
      <c r="V150" s="55">
        <f t="shared" ca="1" si="47"/>
        <v>0</v>
      </c>
      <c r="W150" s="55">
        <f t="shared" ca="1" si="52"/>
        <v>-140.74973851800272</v>
      </c>
      <c r="X150" s="55">
        <f t="shared" ca="1" si="53"/>
        <v>135.91108693146842</v>
      </c>
      <c r="Y150" s="55">
        <f t="shared" ca="1" si="54"/>
        <v>146.77872935329162</v>
      </c>
      <c r="Z150">
        <f t="shared" ca="1" si="48"/>
        <v>119.82563279108082</v>
      </c>
      <c r="AA150">
        <f t="shared" ca="1" si="55"/>
        <v>228.91045483672036</v>
      </c>
      <c r="AB150">
        <f t="shared" ca="1" si="49"/>
        <v>0</v>
      </c>
      <c r="AC150">
        <f t="shared" ca="1" si="50"/>
        <v>0.78578301381270332</v>
      </c>
      <c r="AD150" s="83">
        <f ca="1"/>
        <v>45641</v>
      </c>
      <c r="AE150" s="55">
        <f t="shared" ca="1" si="59"/>
        <v>45641</v>
      </c>
      <c r="AF150" s="55">
        <f t="shared" ca="1" si="60"/>
        <v>98.97788406486012</v>
      </c>
      <c r="AG150" s="55">
        <f t="shared" ca="1" si="61"/>
        <v>0</v>
      </c>
      <c r="AH150" s="55">
        <f t="shared" ca="1" si="62"/>
        <v>0</v>
      </c>
      <c r="AI150" s="55">
        <f t="shared" ca="1" si="56"/>
        <v>-2.0683647054416054</v>
      </c>
      <c r="AJ150" s="55">
        <f t="shared" ca="1" si="57"/>
        <v>128.40009677948288</v>
      </c>
      <c r="AK150" s="55">
        <f t="shared" ca="1" si="58"/>
        <v>-56.539684918457851</v>
      </c>
    </row>
    <row r="151" spans="18:37">
      <c r="R151" s="83">
        <f ca="1"/>
        <v>45501</v>
      </c>
      <c r="S151" s="55">
        <f t="shared" ca="1" si="51"/>
        <v>45501</v>
      </c>
      <c r="T151" s="55">
        <f t="shared" ca="1" si="45"/>
        <v>34.2116823611263</v>
      </c>
      <c r="U151" s="55">
        <f t="shared" ca="1" si="46"/>
        <v>493.39601651441217</v>
      </c>
      <c r="V151" s="55">
        <f t="shared" ca="1" si="47"/>
        <v>0</v>
      </c>
      <c r="W151" s="55">
        <f t="shared" ca="1" si="52"/>
        <v>-140.99348058426907</v>
      </c>
      <c r="X151" s="55">
        <f t="shared" ca="1" si="53"/>
        <v>136.69081549215846</v>
      </c>
      <c r="Y151" s="55">
        <f t="shared" ca="1" si="54"/>
        <v>146.78934506456622</v>
      </c>
      <c r="Z151">
        <f t="shared" ca="1" si="48"/>
        <v>120</v>
      </c>
      <c r="AA151">
        <f t="shared" ca="1" si="55"/>
        <v>230.43645680433542</v>
      </c>
      <c r="AB151">
        <f t="shared" ca="1" si="49"/>
        <v>0</v>
      </c>
      <c r="AC151">
        <f t="shared" ca="1" si="50"/>
        <v>0.76926617599277469</v>
      </c>
      <c r="AD151" s="83">
        <f ca="1"/>
        <v>45642</v>
      </c>
      <c r="AE151" s="55">
        <f t="shared" ca="1" si="59"/>
        <v>45642</v>
      </c>
      <c r="AF151" s="55">
        <f t="shared" ca="1" si="60"/>
        <v>100.21059662505907</v>
      </c>
      <c r="AG151" s="55">
        <f t="shared" ca="1" si="61"/>
        <v>0</v>
      </c>
      <c r="AH151" s="55">
        <f t="shared" ca="1" si="62"/>
        <v>0</v>
      </c>
      <c r="AI151" s="55">
        <f t="shared" ca="1" si="56"/>
        <v>-2.0683647054416054</v>
      </c>
      <c r="AJ151" s="55">
        <f t="shared" ca="1" si="57"/>
        <v>129.3804443685371</v>
      </c>
      <c r="AK151" s="55">
        <f t="shared" ca="1" si="58"/>
        <v>-56.287319947313136</v>
      </c>
    </row>
    <row r="152" spans="18:37">
      <c r="R152" s="83">
        <f ca="1"/>
        <v>45502</v>
      </c>
      <c r="S152" s="55">
        <f t="shared" ca="1" si="51"/>
        <v>45502</v>
      </c>
      <c r="T152" s="55">
        <f t="shared" ca="1" si="45"/>
        <v>33.727978103222007</v>
      </c>
      <c r="U152" s="55">
        <f t="shared" ca="1" si="46"/>
        <v>494.57389664656785</v>
      </c>
      <c r="V152" s="55">
        <f t="shared" ca="1" si="47"/>
        <v>0</v>
      </c>
      <c r="W152" s="55">
        <f t="shared" ca="1" si="52"/>
        <v>-141.02247285672473</v>
      </c>
      <c r="X152" s="55">
        <f t="shared" ca="1" si="53"/>
        <v>137.40432242367015</v>
      </c>
      <c r="Y152" s="55">
        <f t="shared" ca="1" si="54"/>
        <v>146.79900627976158</v>
      </c>
      <c r="Z152">
        <f t="shared" ca="1" si="48"/>
        <v>120</v>
      </c>
      <c r="AA152">
        <f t="shared" ca="1" si="55"/>
        <v>230.62057257341095</v>
      </c>
      <c r="AB152">
        <f t="shared" ca="1" si="49"/>
        <v>0</v>
      </c>
      <c r="AC152">
        <f t="shared" ca="1" si="50"/>
        <v>0.75431801894320349</v>
      </c>
      <c r="AD152" s="83">
        <f ca="1"/>
        <v>45643</v>
      </c>
      <c r="AE152" s="55">
        <f t="shared" ca="1" si="59"/>
        <v>45643</v>
      </c>
      <c r="AF152" s="55">
        <f t="shared" ca="1" si="60"/>
        <v>101.42032139533725</v>
      </c>
      <c r="AG152" s="55">
        <f t="shared" ca="1" si="61"/>
        <v>0</v>
      </c>
      <c r="AH152" s="55">
        <f t="shared" ca="1" si="62"/>
        <v>0</v>
      </c>
      <c r="AI152" s="55">
        <f t="shared" ca="1" si="56"/>
        <v>-2.0683647054416054</v>
      </c>
      <c r="AJ152" s="55">
        <f t="shared" ca="1" si="57"/>
        <v>130.3443069914664</v>
      </c>
      <c r="AK152" s="55">
        <f t="shared" ca="1" si="58"/>
        <v>-56.041457799964249</v>
      </c>
    </row>
    <row r="153" spans="18:37">
      <c r="R153" s="83">
        <f ca="1"/>
        <v>45503</v>
      </c>
      <c r="S153" s="55">
        <f t="shared" ca="1" si="51"/>
        <v>45503</v>
      </c>
      <c r="T153" s="55">
        <f t="shared" ca="1" si="45"/>
        <v>33.042539853817715</v>
      </c>
      <c r="U153" s="55">
        <f t="shared" ca="1" si="46"/>
        <v>495.78726146923907</v>
      </c>
      <c r="V153" s="55">
        <f t="shared" ca="1" si="47"/>
        <v>0</v>
      </c>
      <c r="W153" s="55">
        <f t="shared" ca="1" si="52"/>
        <v>-141.26186680503704</v>
      </c>
      <c r="X153" s="55">
        <f t="shared" ca="1" si="53"/>
        <v>138.16144677939081</v>
      </c>
      <c r="Y153" s="55">
        <f t="shared" ca="1" si="54"/>
        <v>146.80920244562017</v>
      </c>
      <c r="Z153">
        <f t="shared" ca="1" si="48"/>
        <v>120</v>
      </c>
      <c r="AA153">
        <f t="shared" ca="1" si="55"/>
        <v>232.17238341398593</v>
      </c>
      <c r="AB153">
        <f t="shared" ca="1" si="49"/>
        <v>0</v>
      </c>
      <c r="AC153">
        <f t="shared" ca="1" si="50"/>
        <v>0.73832661303179248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45504</v>
      </c>
      <c r="S154" s="55">
        <f t="shared" ca="1" si="51"/>
        <v>45504</v>
      </c>
      <c r="T154" s="55">
        <f t="shared" ca="1" si="45"/>
        <v>31.924128924155209</v>
      </c>
      <c r="U154" s="55">
        <f t="shared" ca="1" si="46"/>
        <v>497.16068749244926</v>
      </c>
      <c r="V154" s="55">
        <f t="shared" ca="1" si="47"/>
        <v>0</v>
      </c>
      <c r="W154" s="55">
        <f t="shared" ca="1" si="52"/>
        <v>-141.90606154226629</v>
      </c>
      <c r="X154" s="55">
        <f t="shared" ca="1" si="53"/>
        <v>139.04878030488268</v>
      </c>
      <c r="Y154" s="55">
        <f t="shared" ca="1" si="54"/>
        <v>146.82107875090523</v>
      </c>
      <c r="Z154">
        <f t="shared" ca="1" si="48"/>
        <v>120</v>
      </c>
      <c r="AA154">
        <f t="shared" ca="1" si="55"/>
        <v>236.49450672084777</v>
      </c>
      <c r="AB154">
        <f t="shared" ca="1" si="49"/>
        <v>0</v>
      </c>
      <c r="AC154">
        <f t="shared" ca="1" si="50"/>
        <v>0.71943390919073957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45505</v>
      </c>
      <c r="S155" s="55">
        <f t="shared" ca="1" si="51"/>
        <v>45505</v>
      </c>
      <c r="T155" s="55">
        <f t="shared" ca="1" si="45"/>
        <v>31.031050725846718</v>
      </c>
      <c r="U155" s="55">
        <f t="shared" ca="1" si="46"/>
        <v>498.50343212230513</v>
      </c>
      <c r="V155" s="55">
        <f t="shared" ca="1" si="47"/>
        <v>0</v>
      </c>
      <c r="W155" s="55">
        <f t="shared" ca="1" si="52"/>
        <v>-142.37823577221488</v>
      </c>
      <c r="X155" s="55">
        <f t="shared" ca="1" si="53"/>
        <v>139.95852740568549</v>
      </c>
      <c r="Y155" s="55">
        <f t="shared" ca="1" si="54"/>
        <v>146.83317231159842</v>
      </c>
      <c r="Z155">
        <f t="shared" ca="1" si="48"/>
        <v>120</v>
      </c>
      <c r="AA155">
        <f t="shared" ca="1" si="55"/>
        <v>239.8279091307343</v>
      </c>
      <c r="AB155">
        <f t="shared" ca="1" si="49"/>
        <v>0</v>
      </c>
      <c r="AC155">
        <f t="shared" ca="1" si="50"/>
        <v>0.70006977039619489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45506</v>
      </c>
      <c r="S156" s="55">
        <f t="shared" ca="1" si="51"/>
        <v>45506</v>
      </c>
      <c r="T156" s="55">
        <f t="shared" ca="1" si="45"/>
        <v>30.591593112152903</v>
      </c>
      <c r="U156" s="55">
        <f t="shared" ca="1" si="46"/>
        <v>499.72514193598562</v>
      </c>
      <c r="V156" s="55">
        <f t="shared" ca="1" si="47"/>
        <v>0</v>
      </c>
      <c r="W156" s="55">
        <f t="shared" ca="1" si="52"/>
        <v>-142.47479922231292</v>
      </c>
      <c r="X156" s="55">
        <f t="shared" ca="1" si="53"/>
        <v>140.82589138033782</v>
      </c>
      <c r="Y156" s="55">
        <f t="shared" ca="1" si="54"/>
        <v>146.84462398703081</v>
      </c>
      <c r="Z156">
        <f t="shared" ca="1" si="48"/>
        <v>120</v>
      </c>
      <c r="AA156">
        <f t="shared" ca="1" si="55"/>
        <v>240.51940983306761</v>
      </c>
      <c r="AB156">
        <f t="shared" ca="1" si="49"/>
        <v>0</v>
      </c>
      <c r="AC156">
        <f t="shared" ca="1" si="50"/>
        <v>0.68160350404611325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45507</v>
      </c>
      <c r="S157" s="55">
        <f t="shared" ca="1" si="51"/>
        <v>45507</v>
      </c>
      <c r="T157" s="55">
        <f t="shared" ca="1" si="45"/>
        <v>29.631597967689107</v>
      </c>
      <c r="U157" s="55">
        <f t="shared" ca="1" si="46"/>
        <v>500.90073339917859</v>
      </c>
      <c r="V157" s="55">
        <f t="shared" ca="1" si="47"/>
        <v>0</v>
      </c>
      <c r="W157" s="55">
        <f t="shared" ca="1" si="52"/>
        <v>-143.14477267283746</v>
      </c>
      <c r="X157" s="55">
        <f t="shared" ca="1" si="53"/>
        <v>141.69999836923827</v>
      </c>
      <c r="Y157" s="55">
        <f t="shared" ca="1" si="54"/>
        <v>146.85608676738406</v>
      </c>
      <c r="Z157">
        <f t="shared" ca="1" si="48"/>
        <v>120</v>
      </c>
      <c r="AA157">
        <f t="shared" ca="1" si="55"/>
        <v>245.47259388452366</v>
      </c>
      <c r="AB157">
        <f t="shared" ca="1" si="49"/>
        <v>0</v>
      </c>
      <c r="AC157">
        <f t="shared" ca="1" si="50"/>
        <v>0.66299255354730913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45508</v>
      </c>
      <c r="S158" s="55">
        <f t="shared" ca="1" si="51"/>
        <v>45508</v>
      </c>
      <c r="T158" s="55">
        <f t="shared" ca="1" si="45"/>
        <v>29.185836909276691</v>
      </c>
      <c r="U158" s="55">
        <f t="shared" ca="1" si="46"/>
        <v>501.97825792870947</v>
      </c>
      <c r="V158" s="55">
        <f t="shared" ca="1" si="47"/>
        <v>0</v>
      </c>
      <c r="W158" s="55">
        <f t="shared" ca="1" si="52"/>
        <v>-143.36327789750325</v>
      </c>
      <c r="X158" s="55">
        <f t="shared" ca="1" si="53"/>
        <v>142.53933423968016</v>
      </c>
      <c r="Y158" s="55">
        <f t="shared" ca="1" si="54"/>
        <v>146.86701959272642</v>
      </c>
      <c r="Z158">
        <f t="shared" ca="1" si="48"/>
        <v>120</v>
      </c>
      <c r="AA158">
        <f t="shared" ca="1" si="55"/>
        <v>247.11269876182962</v>
      </c>
      <c r="AB158">
        <f t="shared" ca="1" si="49"/>
        <v>0</v>
      </c>
      <c r="AC158">
        <f t="shared" ca="1" si="50"/>
        <v>0.6451354836129003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zoomScale="105" workbookViewId="0">
      <selection activeCell="B6" sqref="B6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259</v>
      </c>
      <c r="B2" s="13" t="str">
        <f>H5</f>
        <v>Levin</v>
      </c>
      <c r="O2" s="127"/>
      <c r="Q2" s="103"/>
      <c r="S2" s="103"/>
      <c r="T2" s="103"/>
      <c r="U2" s="103"/>
      <c r="V2" s="103"/>
      <c r="W2" s="103"/>
      <c r="X2" s="128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</v>
      </c>
      <c r="D3" s="39" t="str">
        <f>ConceptDemo!C27</f>
        <v>Fertiliser already applied or planned</v>
      </c>
      <c r="E3" s="40"/>
      <c r="O3" s="12" t="s">
        <v>0</v>
      </c>
      <c r="P3" s="28">
        <f ca="1">B21+1</f>
        <v>45369</v>
      </c>
      <c r="Q3" s="3">
        <v>50</v>
      </c>
      <c r="R3" s="3"/>
      <c r="S3" s="3">
        <f ca="1">SUMIF($O$8:$O$1001,TRUE,S8:S1001)</f>
        <v>146.86701959272642</v>
      </c>
      <c r="T3" s="3">
        <f ca="1">SUMIF($O$8:$O$1001,TRUE,T8:T1001)</f>
        <v>141.25027514121049</v>
      </c>
      <c r="U3" s="3">
        <f ca="1">SUMIF($O$8:$O$1001,TRUE,U8:U1001)</f>
        <v>326.23842013320427</v>
      </c>
      <c r="V3" s="3">
        <f ca="1">VLOOKUP(B32,ModelOutputs,V5,FALSE)-W3</f>
        <v>3.1842266476197043</v>
      </c>
      <c r="W3">
        <f ca="1">VLOOKUP(B32,ModelOutputs,W5,FALSE)</f>
        <v>6.9874312207286025</v>
      </c>
      <c r="X3" s="13"/>
      <c r="AC3" s="3">
        <f ca="1">MAX(0,AD4-AD3)</f>
        <v>0</v>
      </c>
      <c r="AD3" s="3">
        <f ca="1">SUM(Q3:X3)</f>
        <v>674.52737273548939</v>
      </c>
      <c r="AG3" s="3"/>
    </row>
    <row r="4" spans="1:37" ht="15.7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 ca="1">B34</f>
        <v>45508</v>
      </c>
      <c r="Q4" s="24">
        <f ca="1">VLOOKUP(P4,ModelOutputs,2,FALSE)</f>
        <v>29.185836909276691</v>
      </c>
      <c r="R4" s="27"/>
      <c r="S4" s="25"/>
      <c r="T4" s="25"/>
      <c r="U4" s="25"/>
      <c r="V4" s="24">
        <f ca="1">(VLOOKUP($P$4,ModelOutputs,V5,FALSE)-VLOOKUP($P$3+1,ModelOutputs,V5,FALSE))-W4</f>
        <v>157.14375828508531</v>
      </c>
      <c r="W4" s="26">
        <f ca="1">VLOOKUP($P$4,ModelOutputs,W5,FALSE)-VLOOKUP($P$3+1,ModelOutputs,W5,FALSE)</f>
        <v>344.83449964362416</v>
      </c>
      <c r="X4" s="27">
        <f ca="1">SUMIF($O$8:$O$1001,TRUE,X8:X1001)</f>
        <v>143.36327789750325</v>
      </c>
      <c r="Y4" s="3"/>
      <c r="Z4" s="3"/>
      <c r="AA4" s="3"/>
      <c r="AB4" s="3"/>
      <c r="AC4" s="3">
        <f ca="1">MAX(0,AD3-AD4)</f>
        <v>0</v>
      </c>
      <c r="AD4" s="3">
        <f ca="1">SUM(Q4:X4)</f>
        <v>674.52737273548939</v>
      </c>
    </row>
    <row r="5" spans="1:37" ht="15.75" thickBot="1">
      <c r="A5" s="12" t="s">
        <v>240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Levin</v>
      </c>
      <c r="I5" t="s">
        <v>203</v>
      </c>
      <c r="J5">
        <f>VLOOKUP(InCropRain,ListMembers!$Z$7:$AA$11,2,FALSE)</f>
        <v>1</v>
      </c>
      <c r="R5">
        <f ca="1">SUMIF(N7:N1000,FALSE,R7:R1000)</f>
        <v>1.0775245295308764</v>
      </c>
      <c r="S5">
        <f ca="1">SUMIF(N7:N1000,TRUE,S7:S1000)</f>
        <v>146.85608676738406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100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 ca="1">H7-DATE(YEAR(H7),1,0)+1</f>
        <v>32</v>
      </c>
      <c r="H7" s="95">
        <f ca="1">B19-1</f>
        <v>45322</v>
      </c>
      <c r="I7" s="119">
        <f ca="1">HLOOKUP($H$5,'Met Data'!$A$2:$F$368,G7,FALSE)</f>
        <v>18.716666666666601</v>
      </c>
      <c r="J7" s="119">
        <f ca="1">HLOOKUP($H$5,'Met Data'!$H$2:$M$368,G7,FALSE)*L7</f>
        <v>1.6666666666666601E-2</v>
      </c>
      <c r="K7" s="96">
        <f ca="1">HLOOKUP($H$5,'Met Data'!$O$2:$T$368,G7,FALSE)</f>
        <v>3.9002627778438899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45368</v>
      </c>
      <c r="Q7">
        <f ca="1"/>
        <v>0</v>
      </c>
      <c r="R7">
        <f ca="1"/>
        <v>13.630948553209009</v>
      </c>
      <c r="S7">
        <f ca="1"/>
        <v>0</v>
      </c>
      <c r="T7" s="4">
        <f ca="1"/>
        <v>1.289059098469675</v>
      </c>
      <c r="U7">
        <f ca="1"/>
        <v>0</v>
      </c>
      <c r="V7">
        <f ca="1"/>
        <v>385.97828957283389</v>
      </c>
      <c r="W7">
        <f ca="1"/>
        <v>77.363840175818552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0.99999999967495001</v>
      </c>
      <c r="AD7" s="2">
        <f t="shared" ref="AD7:AD70" ca="1" si="2">IFERROR(P7,$AD$5)</f>
        <v>45368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ca="1" si="4">H8-DATE(YEAR(H8),1,0)+1</f>
        <v>33</v>
      </c>
      <c r="H8" s="95">
        <f ca="1">H7+1</f>
        <v>45323</v>
      </c>
      <c r="I8" s="119">
        <f ca="1">HLOOKUP($H$5,'Met Data'!$A$2:$F$368,G8,FALSE)</f>
        <v>18.720833333333299</v>
      </c>
      <c r="J8" s="119">
        <f ca="1">HLOOKUP($H$5,'Met Data'!$H$2:$M$368,G8,FALSE)*L8</f>
        <v>5.1333333333333302</v>
      </c>
      <c r="K8" s="96">
        <f ca="1">HLOOKUP($H$5,'Met Data'!$O$2:$T$368,G8,FALSE)</f>
        <v>3.3425533464765702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45369</v>
      </c>
      <c r="Q8">
        <f ca="1"/>
        <v>66.810907906839844</v>
      </c>
      <c r="R8">
        <f ca="1"/>
        <v>0</v>
      </c>
      <c r="S8">
        <f ca="1"/>
        <v>15.523098260044685</v>
      </c>
      <c r="T8" s="4">
        <f ca="1"/>
        <v>1.2878096467951516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0.86871396855287086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45369</v>
      </c>
      <c r="AE8">
        <f t="shared" ca="1" si="3"/>
        <v>0</v>
      </c>
      <c r="AF8" s="3"/>
      <c r="AG8" s="63">
        <f ca="1">Q7+S8+T8+U8</f>
        <v>16.810907906839837</v>
      </c>
      <c r="AH8" s="63">
        <f ca="1">Q8+R8+X8</f>
        <v>66.810907906839844</v>
      </c>
      <c r="AI8" s="3">
        <f ca="1">AH8-AG8</f>
        <v>50.000000000000007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ca="1" si="4"/>
        <v>34</v>
      </c>
      <c r="H9" s="95">
        <f t="shared" ref="H9:H72" ca="1" si="6">H8+1</f>
        <v>45324</v>
      </c>
      <c r="I9" s="119">
        <f ca="1">HLOOKUP($H$5,'Met Data'!$A$2:$F$368,G9,FALSE)</f>
        <v>18.558333333333302</v>
      </c>
      <c r="J9" s="119">
        <f ca="1">HLOOKUP($H$5,'Met Data'!$H$2:$M$368,G9,FALSE)*L9</f>
        <v>5.1666666666666599</v>
      </c>
      <c r="K9" s="96">
        <f ca="1">HLOOKUP($H$5,'Met Data'!$O$2:$T$368,G9,FALSE)</f>
        <v>3.37031285883524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45370</v>
      </c>
      <c r="Q9">
        <f ca="1"/>
        <v>81.664694670501419</v>
      </c>
      <c r="R9">
        <f ca="1"/>
        <v>0</v>
      </c>
      <c r="S9">
        <f ca="1"/>
        <v>13.599387665226628</v>
      </c>
      <c r="T9" s="4">
        <f ca="1"/>
        <v>1.2543990984349505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0.82601634046206918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45370</v>
      </c>
      <c r="AE9">
        <f t="shared" ca="1" si="3"/>
        <v>0</v>
      </c>
      <c r="AG9" s="63">
        <f t="shared" ref="AG9:AG72" ca="1" si="7">Q8+S9+T9+U9</f>
        <v>81.664694670501419</v>
      </c>
      <c r="AH9" s="63">
        <f t="shared" ref="AH9:AH72" ca="1" si="8">Q9+R9+X9</f>
        <v>81.664694670501419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ca="1" si="4"/>
        <v>35</v>
      </c>
      <c r="H10" s="95">
        <f t="shared" ca="1" si="6"/>
        <v>45325</v>
      </c>
      <c r="I10" s="119">
        <f ca="1">HLOOKUP($H$5,'Met Data'!$A$2:$F$368,G10,FALSE)</f>
        <v>18.841666666666601</v>
      </c>
      <c r="J10" s="119">
        <f ca="1">HLOOKUP($H$5,'Met Data'!$H$2:$M$368,G10,FALSE)*L10</f>
        <v>0.483333333333333</v>
      </c>
      <c r="K10" s="96">
        <f ca="1">HLOOKUP($H$5,'Met Data'!$O$2:$T$368,G10,FALSE)</f>
        <v>4.5373745966907704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45371</v>
      </c>
      <c r="Q10">
        <f ca="1"/>
        <v>95.103536099449869</v>
      </c>
      <c r="R10">
        <f ca="1"/>
        <v>0</v>
      </c>
      <c r="S10">
        <f ca="1"/>
        <v>12.189721890395411</v>
      </c>
      <c r="T10" s="4">
        <f ca="1"/>
        <v>1.2491195385530489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0.80647638308982161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45371</v>
      </c>
      <c r="AE10">
        <f t="shared" ca="1" si="3"/>
        <v>0</v>
      </c>
      <c r="AG10" s="63">
        <f t="shared" ca="1" si="7"/>
        <v>95.103536099449869</v>
      </c>
      <c r="AH10" s="63">
        <f t="shared" ca="1" si="8"/>
        <v>95.103536099449869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ca="1" si="4"/>
        <v>36</v>
      </c>
      <c r="H11" s="95">
        <f t="shared" ca="1" si="6"/>
        <v>45326</v>
      </c>
      <c r="I11" s="119">
        <f ca="1">HLOOKUP($H$5,'Met Data'!$A$2:$F$368,G11,FALSE)</f>
        <v>18.441666666666599</v>
      </c>
      <c r="J11" s="119">
        <f ca="1">HLOOKUP($H$5,'Met Data'!$H$2:$M$368,G11,FALSE)*L11</f>
        <v>4.8</v>
      </c>
      <c r="K11" s="96">
        <f ca="1">HLOOKUP($H$5,'Met Data'!$O$2:$T$368,G11,FALSE)</f>
        <v>3.5125215918157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45372</v>
      </c>
      <c r="Q11">
        <f ca="1"/>
        <v>107.42734876027696</v>
      </c>
      <c r="R11">
        <f ca="1"/>
        <v>0</v>
      </c>
      <c r="S11">
        <f ca="1"/>
        <v>11.063057429952465</v>
      </c>
      <c r="T11" s="4">
        <f ca="1"/>
        <v>1.260755230874629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0.80175556626186895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45372</v>
      </c>
      <c r="AE11">
        <f t="shared" ca="1" si="3"/>
        <v>0</v>
      </c>
      <c r="AG11" s="63">
        <f t="shared" ca="1" si="7"/>
        <v>107.42734876027696</v>
      </c>
      <c r="AH11" s="63">
        <f t="shared" ca="1" si="8"/>
        <v>107.42734876027696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Broccoli Vegetable General</v>
      </c>
      <c r="D12" s="145" t="str">
        <f>ConceptDemo!C36</f>
        <v>Soil Mineral N Test Results</v>
      </c>
      <c r="E12" s="146"/>
      <c r="G12" s="3">
        <f t="shared" ca="1" si="4"/>
        <v>37</v>
      </c>
      <c r="H12" s="95">
        <f t="shared" ca="1" si="6"/>
        <v>45327</v>
      </c>
      <c r="I12" s="119">
        <f ca="1">HLOOKUP($H$5,'Met Data'!$A$2:$F$368,G12,FALSE)</f>
        <v>17.975000000000001</v>
      </c>
      <c r="J12" s="119">
        <f ca="1">HLOOKUP($H$5,'Met Data'!$H$2:$M$368,G12,FALSE)*L12</f>
        <v>2.0166666666666599</v>
      </c>
      <c r="K12" s="96">
        <f ca="1">HLOOKUP($H$5,'Met Data'!$O$2:$T$368,G12,FALSE)</f>
        <v>3.7922889429532498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45373</v>
      </c>
      <c r="Q12">
        <f ca="1"/>
        <v>118.75493626357118</v>
      </c>
      <c r="R12">
        <f ca="1"/>
        <v>0</v>
      </c>
      <c r="S12">
        <f ca="1"/>
        <v>10.051290560798684</v>
      </c>
      <c r="T12" s="4">
        <f ca="1"/>
        <v>1.2762969424955484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0.80389442133982392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45373</v>
      </c>
      <c r="AE12">
        <f t="shared" ca="1" si="3"/>
        <v>0</v>
      </c>
      <c r="AG12" s="63">
        <f t="shared" ca="1" si="7"/>
        <v>118.75493626357118</v>
      </c>
      <c r="AH12" s="63">
        <f t="shared" ca="1" si="8"/>
        <v>118.75493626357118</v>
      </c>
      <c r="AI12" s="3">
        <f t="shared" ca="1" si="9"/>
        <v>0</v>
      </c>
    </row>
    <row r="13" spans="1:37" ht="15.75" thickBot="1">
      <c r="A13" s="6" t="s">
        <v>241</v>
      </c>
      <c r="B13" s="32">
        <f>PriorYield</f>
        <v>0.2</v>
      </c>
      <c r="D13" s="19" t="str">
        <f>ConceptDemo!C37</f>
        <v>Date</v>
      </c>
      <c r="E13" s="20" t="str">
        <f>ConceptDemo!D37</f>
        <v>Value</v>
      </c>
      <c r="G13" s="3">
        <f t="shared" ca="1" si="4"/>
        <v>38</v>
      </c>
      <c r="H13" s="95">
        <f t="shared" ca="1" si="6"/>
        <v>45328</v>
      </c>
      <c r="I13" s="119">
        <f ca="1">HLOOKUP($H$5,'Met Data'!$A$2:$F$368,G13,FALSE)</f>
        <v>17.383333333333301</v>
      </c>
      <c r="J13" s="119">
        <f ca="1">HLOOKUP($H$5,'Met Data'!$H$2:$M$368,G13,FALSE)*L13</f>
        <v>0.15</v>
      </c>
      <c r="K13" s="96">
        <f ca="1">HLOOKUP($H$5,'Met Data'!$O$2:$T$368,G13,FALSE)</f>
        <v>3.67022287265541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45374</v>
      </c>
      <c r="Q13">
        <f ca="1"/>
        <v>129.09008382874399</v>
      </c>
      <c r="R13">
        <f ca="1"/>
        <v>0</v>
      </c>
      <c r="S13">
        <f ca="1"/>
        <v>9.0522416879011232</v>
      </c>
      <c r="T13" s="4">
        <f ca="1"/>
        <v>1.2829058772716628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0.84211726874889703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45374</v>
      </c>
      <c r="AE13">
        <f t="shared" ca="1" si="3"/>
        <v>0</v>
      </c>
      <c r="AG13" s="63">
        <f t="shared" ca="1" si="7"/>
        <v>129.09008382874399</v>
      </c>
      <c r="AH13" s="63">
        <f t="shared" ca="1" si="8"/>
        <v>129.09008382874399</v>
      </c>
      <c r="AI13" s="3">
        <f t="shared" ca="1" si="9"/>
        <v>0</v>
      </c>
    </row>
    <row r="14" spans="1:37">
      <c r="A14" s="6" t="s">
        <v>234</v>
      </c>
      <c r="B14" s="32">
        <f>PriorPopulation</f>
        <v>100000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ca="1" si="4"/>
        <v>39</v>
      </c>
      <c r="H14" s="95">
        <f t="shared" ca="1" si="6"/>
        <v>45329</v>
      </c>
      <c r="I14" s="119">
        <f ca="1">HLOOKUP($H$5,'Met Data'!$A$2:$F$368,G14,FALSE)</f>
        <v>17.0416666666666</v>
      </c>
      <c r="J14" s="119">
        <f ca="1">HLOOKUP($H$5,'Met Data'!$H$2:$M$368,G14,FALSE)*L14</f>
        <v>3.0166666666666599</v>
      </c>
      <c r="K14" s="96">
        <f ca="1">HLOOKUP($H$5,'Met Data'!$O$2:$T$368,G14,FALSE)</f>
        <v>3.8754357428809398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45375</v>
      </c>
      <c r="Q14">
        <f ca="1"/>
        <v>139.12694130269358</v>
      </c>
      <c r="R14">
        <f ca="1"/>
        <v>0</v>
      </c>
      <c r="S14">
        <f ca="1"/>
        <v>8.6601487546363245</v>
      </c>
      <c r="T14" s="4">
        <f ca="1"/>
        <v>1.3767087193132812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0.85791312014632981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45375</v>
      </c>
      <c r="AE14">
        <f t="shared" ca="1" si="3"/>
        <v>0</v>
      </c>
      <c r="AG14" s="63">
        <f t="shared" ca="1" si="7"/>
        <v>139.12694130269358</v>
      </c>
      <c r="AH14" s="63">
        <f t="shared" ca="1" si="8"/>
        <v>139.12694130269358</v>
      </c>
      <c r="AI14" s="3">
        <f t="shared" ca="1" si="9"/>
        <v>0</v>
      </c>
    </row>
    <row r="15" spans="1:37">
      <c r="A15" s="6" t="s">
        <v>235</v>
      </c>
      <c r="B15" s="32" t="str">
        <f>PriorUnits</f>
        <v>kg/head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ca="1" si="4"/>
        <v>40</v>
      </c>
      <c r="H15" s="95">
        <f t="shared" ca="1" si="6"/>
        <v>45330</v>
      </c>
      <c r="I15" s="119">
        <f ca="1">HLOOKUP($H$5,'Met Data'!$A$2:$F$368,G15,FALSE)</f>
        <v>17.483333333333299</v>
      </c>
      <c r="J15" s="119">
        <f ca="1">HLOOKUP($H$5,'Met Data'!$H$2:$M$368,G15,FALSE)*L15</f>
        <v>2.69999999999999</v>
      </c>
      <c r="K15" s="96">
        <f ca="1">HLOOKUP($H$5,'Met Data'!$O$2:$T$368,G15,FALSE)</f>
        <v>3.8024866154372199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45376</v>
      </c>
      <c r="Q15">
        <f ca="1"/>
        <v>148.64095364870292</v>
      </c>
      <c r="R15">
        <f ca="1"/>
        <v>0</v>
      </c>
      <c r="S15">
        <f ca="1"/>
        <v>8.0644068801968416</v>
      </c>
      <c r="T15" s="4">
        <f ca="1"/>
        <v>1.4496054658125004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0.88913150547831654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45376</v>
      </c>
      <c r="AE15">
        <f t="shared" ca="1" si="3"/>
        <v>0</v>
      </c>
      <c r="AG15" s="63">
        <f t="shared" ca="1" si="7"/>
        <v>148.64095364870292</v>
      </c>
      <c r="AH15" s="63">
        <f t="shared" ca="1" si="8"/>
        <v>148.64095364870292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ca="1" si="4"/>
        <v>41</v>
      </c>
      <c r="H16" s="95">
        <f t="shared" ca="1" si="6"/>
        <v>45331</v>
      </c>
      <c r="I16" s="119">
        <f ca="1">HLOOKUP($H$5,'Met Data'!$A$2:$F$368,G16,FALSE)</f>
        <v>17.5625</v>
      </c>
      <c r="J16" s="119">
        <f ca="1">HLOOKUP($H$5,'Met Data'!$H$2:$M$368,G16,FALSE)*L16</f>
        <v>0.51666666666666605</v>
      </c>
      <c r="K16" s="96">
        <f ca="1">HLOOKUP($H$5,'Met Data'!$O$2:$T$368,G16,FALSE)</f>
        <v>3.9226252937625699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45377</v>
      </c>
      <c r="Q16">
        <f ca="1"/>
        <v>157.28556194847269</v>
      </c>
      <c r="R16">
        <f ca="1"/>
        <v>0</v>
      </c>
      <c r="S16">
        <f ca="1"/>
        <v>7.1785715269785157</v>
      </c>
      <c r="T16" s="4">
        <f ca="1"/>
        <v>1.4660367727912567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0.88129773847465231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45377</v>
      </c>
      <c r="AE16">
        <f t="shared" ca="1" si="3"/>
        <v>0</v>
      </c>
      <c r="AG16" s="63">
        <f t="shared" ca="1" si="7"/>
        <v>157.28556194847269</v>
      </c>
      <c r="AH16" s="63">
        <f t="shared" ca="1" si="8"/>
        <v>157.28556194847269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ca="1" si="4"/>
        <v>42</v>
      </c>
      <c r="H17" s="95">
        <f t="shared" ca="1" si="6"/>
        <v>45332</v>
      </c>
      <c r="I17" s="119">
        <f ca="1">HLOOKUP($H$5,'Met Data'!$A$2:$F$368,G17,FALSE)</f>
        <v>17.7083333333333</v>
      </c>
      <c r="J17" s="119">
        <f ca="1">HLOOKUP($H$5,'Met Data'!$H$2:$M$368,G17,FALSE)*L17</f>
        <v>2.7333333333333298</v>
      </c>
      <c r="K17" s="96">
        <f ca="1">HLOOKUP($H$5,'Met Data'!$O$2:$T$368,G17,FALSE)</f>
        <v>3.6312925833969301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45378</v>
      </c>
      <c r="Q17">
        <f ca="1"/>
        <v>164.21271054516055</v>
      </c>
      <c r="R17">
        <f ca="1"/>
        <v>0</v>
      </c>
      <c r="S17">
        <f ca="1"/>
        <v>5.6286008836662802</v>
      </c>
      <c r="T17" s="4">
        <f ca="1"/>
        <v>1.2985477130215712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0.86734820476504693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45378</v>
      </c>
      <c r="AE17">
        <f t="shared" ca="1" si="3"/>
        <v>0</v>
      </c>
      <c r="AG17" s="63">
        <f t="shared" ca="1" si="7"/>
        <v>164.21271054516055</v>
      </c>
      <c r="AH17" s="63">
        <f t="shared" ca="1" si="8"/>
        <v>164.21271054516055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89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ca="1" si="4"/>
        <v>43</v>
      </c>
      <c r="H18" s="95">
        <f t="shared" ca="1" si="6"/>
        <v>45333</v>
      </c>
      <c r="I18" s="119">
        <f ca="1">HLOOKUP($H$5,'Met Data'!$A$2:$F$368,G18,FALSE)</f>
        <v>17.654166666666601</v>
      </c>
      <c r="J18" s="119">
        <f ca="1">HLOOKUP($H$5,'Met Data'!$H$2:$M$368,G18,FALSE)*L18</f>
        <v>5.3166666666666602</v>
      </c>
      <c r="K18" s="96">
        <f ca="1">HLOOKUP($H$5,'Met Data'!$O$2:$T$368,G18,FALSE)</f>
        <v>3.7825096271499201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45379</v>
      </c>
      <c r="Q18">
        <f ca="1"/>
        <v>170.77778448597081</v>
      </c>
      <c r="R18">
        <f ca="1"/>
        <v>0</v>
      </c>
      <c r="S18">
        <f ca="1"/>
        <v>5.212690486425231</v>
      </c>
      <c r="T18" s="4">
        <f ca="1"/>
        <v>1.3523834543850406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0.87287345773040481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45379</v>
      </c>
      <c r="AE18">
        <f t="shared" ca="1" si="3"/>
        <v>0</v>
      </c>
      <c r="AG18" s="63">
        <f t="shared" ca="1" si="7"/>
        <v>170.77778448597081</v>
      </c>
      <c r="AH18" s="63">
        <f t="shared" ca="1" si="8"/>
        <v>170.77778448597081</v>
      </c>
      <c r="AI18" s="3">
        <f t="shared" ca="1" si="9"/>
        <v>0</v>
      </c>
    </row>
    <row r="19" spans="1:35" ht="15.75" thickBot="1">
      <c r="A19" s="6" t="s">
        <v>117</v>
      </c>
      <c r="B19" s="34">
        <f ca="1">PriorEstablishDate</f>
        <v>45323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ca="1" si="4"/>
        <v>44</v>
      </c>
      <c r="H19" s="95">
        <f t="shared" ca="1" si="6"/>
        <v>45334</v>
      </c>
      <c r="I19" s="119">
        <f ca="1">HLOOKUP($H$5,'Met Data'!$A$2:$F$368,G19,FALSE)</f>
        <v>18.245833333333302</v>
      </c>
      <c r="J19" s="119">
        <f ca="1">HLOOKUP($H$5,'Met Data'!$H$2:$M$368,G19,FALSE)*L19</f>
        <v>1.8</v>
      </c>
      <c r="K19" s="96">
        <f ca="1">HLOOKUP($H$5,'Met Data'!$O$2:$T$368,G19,FALSE)</f>
        <v>3.5345089397679601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45380</v>
      </c>
      <c r="Q19">
        <f ca="1"/>
        <v>176.85637880187153</v>
      </c>
      <c r="R19">
        <f ca="1"/>
        <v>0</v>
      </c>
      <c r="S19">
        <f ca="1"/>
        <v>4.7012611494604641</v>
      </c>
      <c r="T19" s="4">
        <f ca="1"/>
        <v>1.3773331664402648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0.8732865106901021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45380</v>
      </c>
      <c r="AE19">
        <f t="shared" ca="1" si="3"/>
        <v>0</v>
      </c>
      <c r="AG19" s="63">
        <f t="shared" ca="1" si="7"/>
        <v>176.85637880187153</v>
      </c>
      <c r="AH19" s="63">
        <f t="shared" ca="1" si="8"/>
        <v>176.85637880187153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Seedling</v>
      </c>
      <c r="G20" s="3">
        <f t="shared" ca="1" si="4"/>
        <v>45</v>
      </c>
      <c r="H20" s="95">
        <f t="shared" ca="1" si="6"/>
        <v>45335</v>
      </c>
      <c r="I20" s="119">
        <f ca="1">HLOOKUP($H$5,'Met Data'!$A$2:$F$368,G20,FALSE)</f>
        <v>18.674999999999901</v>
      </c>
      <c r="J20" s="119">
        <f ca="1">HLOOKUP($H$5,'Met Data'!$H$2:$M$368,G20,FALSE)*L20</f>
        <v>0.44999999999999901</v>
      </c>
      <c r="K20" s="96">
        <f ca="1">HLOOKUP($H$5,'Met Data'!$O$2:$T$368,G20,FALSE)</f>
        <v>3.2860966338213999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45381</v>
      </c>
      <c r="Q20">
        <f ca="1"/>
        <v>182.16875085466461</v>
      </c>
      <c r="R20">
        <f ca="1"/>
        <v>0</v>
      </c>
      <c r="S20">
        <f ca="1"/>
        <v>3.9925087768909293</v>
      </c>
      <c r="T20" s="4">
        <f ca="1"/>
        <v>1.3198632759021558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0.87198479489174097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45381</v>
      </c>
      <c r="AE20">
        <f t="shared" ca="1" si="3"/>
        <v>0</v>
      </c>
      <c r="AG20" s="63">
        <f t="shared" ca="1" si="7"/>
        <v>182.16875085466461</v>
      </c>
      <c r="AH20" s="63">
        <f t="shared" ca="1" si="8"/>
        <v>182.16875085466461</v>
      </c>
      <c r="AI20" s="3">
        <f t="shared" ca="1" si="9"/>
        <v>0</v>
      </c>
    </row>
    <row r="21" spans="1:35">
      <c r="A21" s="6" t="s">
        <v>119</v>
      </c>
      <c r="B21" s="34">
        <f ca="1">PriorHarvestDate</f>
        <v>45368</v>
      </c>
      <c r="G21" s="3">
        <f t="shared" ca="1" si="4"/>
        <v>46</v>
      </c>
      <c r="H21" s="95">
        <f t="shared" ca="1" si="6"/>
        <v>45336</v>
      </c>
      <c r="I21" s="119">
        <f ca="1">HLOOKUP($H$5,'Met Data'!$A$2:$F$368,G21,FALSE)</f>
        <v>18.670833333333299</v>
      </c>
      <c r="J21" s="119">
        <f ca="1">HLOOKUP($H$5,'Met Data'!$H$2:$M$368,G21,FALSE)*L21</f>
        <v>1.13333333333333</v>
      </c>
      <c r="K21" s="96">
        <f ca="1">HLOOKUP($H$5,'Met Data'!$O$2:$T$368,G21,FALSE)</f>
        <v>3.8932908527116399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45382</v>
      </c>
      <c r="Q21">
        <f ca="1"/>
        <v>186.86742524108729</v>
      </c>
      <c r="R21">
        <f ca="1"/>
        <v>0</v>
      </c>
      <c r="S21">
        <f ca="1"/>
        <v>3.425963027547823</v>
      </c>
      <c r="T21" s="4">
        <f ca="1"/>
        <v>1.2727113588748722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0.85925512144632121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45382</v>
      </c>
      <c r="AE21">
        <f t="shared" ca="1" si="3"/>
        <v>0</v>
      </c>
      <c r="AG21" s="63">
        <f t="shared" ca="1" si="7"/>
        <v>186.86742524108729</v>
      </c>
      <c r="AH21" s="63">
        <f t="shared" ca="1" si="8"/>
        <v>186.86742524108729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ca="1" si="4"/>
        <v>47</v>
      </c>
      <c r="H22" s="95">
        <f t="shared" ca="1" si="6"/>
        <v>45337</v>
      </c>
      <c r="I22" s="119">
        <f ca="1">HLOOKUP($H$5,'Met Data'!$A$2:$F$368,G22,FALSE)</f>
        <v>18.1666666666666</v>
      </c>
      <c r="J22" s="119">
        <f ca="1">HLOOKUP($H$5,'Met Data'!$H$2:$M$368,G22,FALSE)*L22</f>
        <v>1.7333333333333301</v>
      </c>
      <c r="K22" s="96">
        <f ca="1">HLOOKUP($H$5,'Met Data'!$O$2:$T$368,G22,FALSE)</f>
        <v>3.7918051722380999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45383</v>
      </c>
      <c r="Q22">
        <f ca="1"/>
        <v>190.8705819320779</v>
      </c>
      <c r="R22">
        <f ca="1"/>
        <v>0</v>
      </c>
      <c r="S22">
        <f ca="1"/>
        <v>2.8291961042040157</v>
      </c>
      <c r="T22" s="4">
        <f ca="1"/>
        <v>1.1739605867865819</v>
      </c>
      <c r="U22">
        <f ca="1"/>
        <v>0</v>
      </c>
      <c r="V22">
        <f ca="1"/>
        <v>10.171657868348307</v>
      </c>
      <c r="W22">
        <f ca="1"/>
        <v>6.9874312207286025</v>
      </c>
      <c r="X22">
        <f ca="1"/>
        <v>0</v>
      </c>
      <c r="Y22">
        <f ca="1"/>
        <v>0.83207453699183354</v>
      </c>
      <c r="Z22">
        <f ca="1"/>
        <v>0</v>
      </c>
      <c r="AA22">
        <f ca="1"/>
        <v>0</v>
      </c>
      <c r="AB22">
        <f ca="1"/>
        <v>1.0788418465718449E-2</v>
      </c>
      <c r="AD22" s="2">
        <f t="shared" ca="1" si="2"/>
        <v>45383</v>
      </c>
      <c r="AE22">
        <f t="shared" ca="1" si="3"/>
        <v>0</v>
      </c>
      <c r="AG22" s="63">
        <f t="shared" ca="1" si="7"/>
        <v>190.8705819320779</v>
      </c>
      <c r="AH22" s="63">
        <f t="shared" ca="1" si="8"/>
        <v>190.8705819320779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ca="1" si="4"/>
        <v>48</v>
      </c>
      <c r="H23" s="95">
        <f t="shared" ca="1" si="6"/>
        <v>45338</v>
      </c>
      <c r="I23" s="119">
        <f ca="1">HLOOKUP($H$5,'Met Data'!$A$2:$F$368,G23,FALSE)</f>
        <v>17.879166666666599</v>
      </c>
      <c r="J23" s="119">
        <f ca="1">HLOOKUP($H$5,'Met Data'!$H$2:$M$368,G23,FALSE)*L23</f>
        <v>0.73333333333333295</v>
      </c>
      <c r="K23" s="96">
        <f ca="1">HLOOKUP($H$5,'Met Data'!$O$2:$T$368,G23,FALSE)</f>
        <v>3.8813294167315999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45384</v>
      </c>
      <c r="Q23">
        <f ca="1"/>
        <v>194.26700625997265</v>
      </c>
      <c r="R23">
        <f ca="1"/>
        <v>0.85007511593916085</v>
      </c>
      <c r="S23">
        <f ca="1"/>
        <v>2.8982671373171485</v>
      </c>
      <c r="T23" s="4">
        <f ca="1"/>
        <v>1.3482323065167225</v>
      </c>
      <c r="U23">
        <f ca="1"/>
        <v>0</v>
      </c>
      <c r="V23">
        <f ca="1"/>
        <v>11.021732984287468</v>
      </c>
      <c r="W23">
        <f ca="1"/>
        <v>7.5713912282275881</v>
      </c>
      <c r="X23">
        <f ca="1"/>
        <v>0</v>
      </c>
      <c r="Y23">
        <f ca="1"/>
        <v>0.87900617757246968</v>
      </c>
      <c r="Z23">
        <f ca="1"/>
        <v>0</v>
      </c>
      <c r="AA23">
        <f ca="1"/>
        <v>0</v>
      </c>
      <c r="AB23">
        <f ca="1"/>
        <v>1.7872736834573535E-2</v>
      </c>
      <c r="AD23" s="2">
        <f t="shared" ca="1" si="2"/>
        <v>45384</v>
      </c>
      <c r="AE23">
        <f t="shared" ca="1" si="3"/>
        <v>0</v>
      </c>
      <c r="AG23" s="63">
        <f t="shared" ca="1" si="7"/>
        <v>195.11708137591179</v>
      </c>
      <c r="AH23" s="63">
        <f t="shared" ca="1" si="8"/>
        <v>195.11708137591179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ca="1" si="4"/>
        <v>49</v>
      </c>
      <c r="H24" s="95">
        <f t="shared" ca="1" si="6"/>
        <v>45339</v>
      </c>
      <c r="I24" s="119">
        <f ca="1">HLOOKUP($H$5,'Met Data'!$A$2:$F$368,G24,FALSE)</f>
        <v>18.2083333333333</v>
      </c>
      <c r="J24" s="119">
        <f ca="1">HLOOKUP($H$5,'Met Data'!$H$2:$M$368,G24,FALSE)*L24</f>
        <v>2.8833333333333302</v>
      </c>
      <c r="K24" s="96">
        <f ca="1">HLOOKUP($H$5,'Met Data'!$O$2:$T$368,G24,FALSE)</f>
        <v>3.5062121478789399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45385</v>
      </c>
      <c r="Q24">
        <f ca="1"/>
        <v>197.5251343163622</v>
      </c>
      <c r="R24">
        <f ca="1"/>
        <v>0.90429663793411486</v>
      </c>
      <c r="S24">
        <f ca="1"/>
        <v>2.7238711677936038</v>
      </c>
      <c r="T24" s="4">
        <f ca="1"/>
        <v>1.4385535265300973</v>
      </c>
      <c r="U24">
        <f ca="1"/>
        <v>0</v>
      </c>
      <c r="V24">
        <f ca="1"/>
        <v>11.926029622221582</v>
      </c>
      <c r="W24">
        <f ca="1"/>
        <v>8.1925987680882244</v>
      </c>
      <c r="X24">
        <f ca="1"/>
        <v>0</v>
      </c>
      <c r="Y24">
        <f ca="1"/>
        <v>0.94662957584371954</v>
      </c>
      <c r="Z24">
        <f ca="1"/>
        <v>0</v>
      </c>
      <c r="AA24">
        <f ca="1"/>
        <v>0</v>
      </c>
      <c r="AB24">
        <f ca="1"/>
        <v>2.9238774745569854E-2</v>
      </c>
      <c r="AD24" s="2">
        <f t="shared" ca="1" si="2"/>
        <v>45385</v>
      </c>
      <c r="AE24">
        <f t="shared" ca="1" si="3"/>
        <v>0</v>
      </c>
      <c r="AG24" s="63">
        <f t="shared" ca="1" si="7"/>
        <v>198.42943095429632</v>
      </c>
      <c r="AH24" s="63">
        <f t="shared" ca="1" si="8"/>
        <v>198.42943095429632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Kale Fodder General</v>
      </c>
      <c r="G25" s="3">
        <f t="shared" ca="1" si="4"/>
        <v>50</v>
      </c>
      <c r="H25" s="95">
        <f t="shared" ca="1" si="6"/>
        <v>45340</v>
      </c>
      <c r="I25" s="119">
        <f ca="1">HLOOKUP($H$5,'Met Data'!$A$2:$F$368,G25,FALSE)</f>
        <v>18.529166666666601</v>
      </c>
      <c r="J25" s="119">
        <f ca="1">HLOOKUP($H$5,'Met Data'!$H$2:$M$368,G25,FALSE)*L25</f>
        <v>2.85</v>
      </c>
      <c r="K25" s="96">
        <f ca="1">HLOOKUP($H$5,'Met Data'!$O$2:$T$368,G25,FALSE)</f>
        <v>3.5342235016405201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45386</v>
      </c>
      <c r="Q25">
        <f ca="1"/>
        <v>200.16489848505802</v>
      </c>
      <c r="R25">
        <f ca="1"/>
        <v>0.9007901341562512</v>
      </c>
      <c r="S25">
        <f ca="1"/>
        <v>2.2136120631473659</v>
      </c>
      <c r="T25" s="4">
        <f ca="1"/>
        <v>1.3269422397046864</v>
      </c>
      <c r="U25">
        <f ca="1"/>
        <v>0</v>
      </c>
      <c r="V25">
        <f ca="1"/>
        <v>12.826819756377834</v>
      </c>
      <c r="W25">
        <f ca="1"/>
        <v>8.811397511438976</v>
      </c>
      <c r="X25">
        <f ca="1"/>
        <v>0</v>
      </c>
      <c r="Y25">
        <f ca="1"/>
        <v>0.97976622072200226</v>
      </c>
      <c r="Z25">
        <f ca="1"/>
        <v>0</v>
      </c>
      <c r="AA25">
        <f ca="1"/>
        <v>0</v>
      </c>
      <c r="AB25">
        <f ca="1"/>
        <v>4.5804118032943021E-2</v>
      </c>
      <c r="AD25" s="2">
        <f t="shared" ca="1" si="2"/>
        <v>45386</v>
      </c>
      <c r="AE25">
        <f t="shared" ca="1" si="3"/>
        <v>0</v>
      </c>
      <c r="AG25" s="63">
        <f t="shared" ca="1" si="7"/>
        <v>201.06568861921426</v>
      </c>
      <c r="AH25" s="63">
        <f t="shared" ca="1" si="8"/>
        <v>201.06568861921426</v>
      </c>
      <c r="AI25" s="3">
        <f t="shared" ca="1" si="9"/>
        <v>0</v>
      </c>
    </row>
    <row r="26" spans="1:35">
      <c r="A26" s="9" t="s">
        <v>242</v>
      </c>
      <c r="B26" s="11">
        <f>CurrentYield</f>
        <v>25</v>
      </c>
      <c r="G26" s="3">
        <f t="shared" ca="1" si="4"/>
        <v>51</v>
      </c>
      <c r="H26" s="95">
        <f t="shared" ca="1" si="6"/>
        <v>45341</v>
      </c>
      <c r="I26" s="119">
        <f ca="1">HLOOKUP($H$5,'Met Data'!$A$2:$F$368,G26,FALSE)</f>
        <v>18.925000000000001</v>
      </c>
      <c r="J26" s="119">
        <f ca="1">HLOOKUP($H$5,'Met Data'!$H$2:$M$368,G26,FALSE)*L26</f>
        <v>3.86666666666666</v>
      </c>
      <c r="K26" s="96">
        <f ca="1">HLOOKUP($H$5,'Met Data'!$O$2:$T$368,G26,FALSE)</f>
        <v>3.6338116563958698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45387</v>
      </c>
      <c r="Q26">
        <f ca="1"/>
        <v>202.38266757594772</v>
      </c>
      <c r="R26">
        <f ca="1"/>
        <v>0.93153113300338575</v>
      </c>
      <c r="S26">
        <f ca="1"/>
        <v>1.8796836729912059</v>
      </c>
      <c r="T26" s="4">
        <f ca="1"/>
        <v>1.2696165509018864</v>
      </c>
      <c r="U26">
        <f ca="1"/>
        <v>0</v>
      </c>
      <c r="V26">
        <f ca="1"/>
        <v>13.758350889381219</v>
      </c>
      <c r="W26">
        <f ca="1"/>
        <v>9.451313816733018</v>
      </c>
      <c r="X26">
        <f ca="1"/>
        <v>0</v>
      </c>
      <c r="Y26">
        <f ca="1"/>
        <v>0.9615187248461966</v>
      </c>
      <c r="Z26">
        <f ca="1"/>
        <v>0</v>
      </c>
      <c r="AA26">
        <f ca="1"/>
        <v>0</v>
      </c>
      <c r="AB26">
        <f ca="1"/>
        <v>6.9984371371911186E-2</v>
      </c>
      <c r="AD26" s="2">
        <f t="shared" ca="1" si="2"/>
        <v>45387</v>
      </c>
      <c r="AE26">
        <f t="shared" ca="1" si="3"/>
        <v>0</v>
      </c>
      <c r="AG26" s="63">
        <f t="shared" ca="1" si="7"/>
        <v>203.3141987089511</v>
      </c>
      <c r="AH26" s="63">
        <f t="shared" ca="1" si="8"/>
        <v>203.3141987089511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ca="1" si="4"/>
        <v>52</v>
      </c>
      <c r="H27" s="95">
        <f t="shared" ca="1" si="6"/>
        <v>45342</v>
      </c>
      <c r="I27" s="119">
        <f ca="1">HLOOKUP($H$5,'Met Data'!$A$2:$F$368,G27,FALSE)</f>
        <v>19.195833333333301</v>
      </c>
      <c r="J27" s="119">
        <f ca="1">HLOOKUP($H$5,'Met Data'!$H$2:$M$368,G27,FALSE)*L27</f>
        <v>1.18333333333333</v>
      </c>
      <c r="K27" s="96">
        <f ca="1">HLOOKUP($H$5,'Met Data'!$O$2:$T$368,G27,FALSE)</f>
        <v>3.7477053916930299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45388</v>
      </c>
      <c r="Q27">
        <f ca="1"/>
        <v>204.12063817129533</v>
      </c>
      <c r="R27">
        <f ca="1"/>
        <v>0.92338784732745616</v>
      </c>
      <c r="S27">
        <f ca="1"/>
        <v>1.5163794071933978</v>
      </c>
      <c r="T27" s="4">
        <f ca="1"/>
        <v>1.144979035481672</v>
      </c>
      <c r="U27">
        <f ca="1"/>
        <v>0</v>
      </c>
      <c r="V27">
        <f ca="1"/>
        <v>14.681738736708676</v>
      </c>
      <c r="W27">
        <f ca="1"/>
        <v>10.085636083247175</v>
      </c>
      <c r="X27">
        <f ca="1"/>
        <v>0</v>
      </c>
      <c r="Y27">
        <f ca="1"/>
        <v>0.94864659737500168</v>
      </c>
      <c r="Z27">
        <f ca="1"/>
        <v>0</v>
      </c>
      <c r="AA27">
        <f ca="1"/>
        <v>0</v>
      </c>
      <c r="AB27">
        <f ca="1"/>
        <v>0.1025114735255884</v>
      </c>
      <c r="AD27" s="2">
        <f t="shared" ca="1" si="2"/>
        <v>45388</v>
      </c>
      <c r="AE27">
        <f t="shared" ca="1" si="3"/>
        <v>0</v>
      </c>
      <c r="AG27" s="63">
        <f t="shared" ca="1" si="7"/>
        <v>205.04402601862279</v>
      </c>
      <c r="AH27" s="63">
        <f t="shared" ca="1" si="8"/>
        <v>205.04402601862279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ca="1" si="4"/>
        <v>53</v>
      </c>
      <c r="H28" s="95">
        <f t="shared" ca="1" si="6"/>
        <v>45343</v>
      </c>
      <c r="I28" s="119">
        <f ca="1">HLOOKUP($H$5,'Met Data'!$A$2:$F$368,G28,FALSE)</f>
        <v>18.945833333333301</v>
      </c>
      <c r="J28" s="119">
        <f ca="1">HLOOKUP($H$5,'Met Data'!$H$2:$M$368,G28,FALSE)*L28</f>
        <v>1.3333333333333299</v>
      </c>
      <c r="K28" s="96">
        <f ca="1">HLOOKUP($H$5,'Met Data'!$O$2:$T$368,G28,FALSE)</f>
        <v>3.7395681594102799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45389</v>
      </c>
      <c r="Q28">
        <f ca="1"/>
        <v>205.23540747273336</v>
      </c>
      <c r="R28">
        <f ca="1"/>
        <v>1.0300838349598767</v>
      </c>
      <c r="S28">
        <f ca="1"/>
        <v>1.4542121560669727</v>
      </c>
      <c r="T28" s="4">
        <f ca="1"/>
        <v>1.2252125739070188</v>
      </c>
      <c r="U28">
        <f ca="1"/>
        <v>0</v>
      </c>
      <c r="V28">
        <f ca="1"/>
        <v>15.711822571668552</v>
      </c>
      <c r="W28">
        <f ca="1"/>
        <v>10.793253272256624</v>
      </c>
      <c r="X28">
        <f ca="1"/>
        <v>0.53457159357609974</v>
      </c>
      <c r="Y28">
        <f ca="1"/>
        <v>1</v>
      </c>
      <c r="Z28">
        <f ca="1"/>
        <v>0.38009279728770196</v>
      </c>
      <c r="AA28">
        <f ca="1"/>
        <v>0</v>
      </c>
      <c r="AB28">
        <f ca="1"/>
        <v>0.15018196589113719</v>
      </c>
      <c r="AD28" s="2">
        <f t="shared" ca="1" si="2"/>
        <v>45389</v>
      </c>
      <c r="AE28">
        <f t="shared" ca="1" si="3"/>
        <v>0</v>
      </c>
      <c r="AG28" s="63">
        <f t="shared" ca="1" si="7"/>
        <v>206.80006290126931</v>
      </c>
      <c r="AH28" s="63">
        <f t="shared" ca="1" si="8"/>
        <v>206.80006290126931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ca="1" si="4"/>
        <v>54</v>
      </c>
      <c r="H29" s="95">
        <f t="shared" ca="1" si="6"/>
        <v>45344</v>
      </c>
      <c r="I29" s="119">
        <f ca="1">HLOOKUP($H$5,'Met Data'!$A$2:$F$368,G29,FALSE)</f>
        <v>18.912499999999898</v>
      </c>
      <c r="J29" s="119">
        <f ca="1">HLOOKUP($H$5,'Met Data'!$H$2:$M$368,G29,FALSE)*L29</f>
        <v>6.18333333333333</v>
      </c>
      <c r="K29" s="96">
        <f ca="1">HLOOKUP($H$5,'Met Data'!$O$2:$T$368,G29,FALSE)</f>
        <v>3.0629444033618198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45390</v>
      </c>
      <c r="Q29">
        <f ca="1"/>
        <v>203.31592454805485</v>
      </c>
      <c r="R29">
        <f ca="1"/>
        <v>1.1440749942817554</v>
      </c>
      <c r="S29">
        <f ca="1"/>
        <v>1.3552087481521369</v>
      </c>
      <c r="T29" s="4">
        <f ca="1"/>
        <v>1.2826743741287903</v>
      </c>
      <c r="U29">
        <f ca="1"/>
        <v>0</v>
      </c>
      <c r="V29">
        <f ca="1"/>
        <v>16.855897565950308</v>
      </c>
      <c r="W29">
        <f ca="1"/>
        <v>11.579176809733742</v>
      </c>
      <c r="X29">
        <f ca="1"/>
        <v>3.4132910526776747</v>
      </c>
      <c r="Y29">
        <f ca="1"/>
        <v>1</v>
      </c>
      <c r="Z29">
        <f ca="1"/>
        <v>2.4498414431900812</v>
      </c>
      <c r="AA29">
        <f ca="1"/>
        <v>0</v>
      </c>
      <c r="AB29">
        <f ca="1"/>
        <v>0.21758327601477823</v>
      </c>
      <c r="AD29" s="2">
        <f t="shared" ca="1" si="2"/>
        <v>45390</v>
      </c>
      <c r="AE29">
        <f t="shared" ca="1" si="3"/>
        <v>0</v>
      </c>
      <c r="AG29" s="63">
        <f t="shared" ca="1" si="7"/>
        <v>207.87329059501428</v>
      </c>
      <c r="AH29" s="63">
        <f t="shared" ca="1" si="8"/>
        <v>207.87329059501428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ca="1" si="4"/>
        <v>55</v>
      </c>
      <c r="H30" s="95">
        <f t="shared" ca="1" si="6"/>
        <v>45345</v>
      </c>
      <c r="I30" s="119">
        <f ca="1">HLOOKUP($H$5,'Met Data'!$A$2:$F$368,G30,FALSE)</f>
        <v>17.745833333333302</v>
      </c>
      <c r="J30" s="119">
        <f ca="1">HLOOKUP($H$5,'Met Data'!$H$2:$M$368,G30,FALSE)*L30</f>
        <v>0.7</v>
      </c>
      <c r="K30" s="96">
        <f ca="1">HLOOKUP($H$5,'Met Data'!$O$2:$T$368,G30,FALSE)</f>
        <v>3.7397228058893299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45391</v>
      </c>
      <c r="Q30">
        <f ca="1"/>
        <v>201.20065662193821</v>
      </c>
      <c r="R30">
        <f ca="1"/>
        <v>1.2365126914160349</v>
      </c>
      <c r="S30">
        <f ca="1"/>
        <v>1.2158430773731368</v>
      </c>
      <c r="T30" s="4">
        <f ca="1"/>
        <v>1.297632262743164</v>
      </c>
      <c r="U30">
        <f ca="1"/>
        <v>0</v>
      </c>
      <c r="V30">
        <f ca="1"/>
        <v>18.092410257366343</v>
      </c>
      <c r="W30">
        <f ca="1"/>
        <v>12.428600521841997</v>
      </c>
      <c r="X30">
        <f ca="1"/>
        <v>3.3922305748168959</v>
      </c>
      <c r="Y30">
        <f ca="1"/>
        <v>1</v>
      </c>
      <c r="Z30">
        <f ca="1"/>
        <v>2.4603224023811734</v>
      </c>
      <c r="AA30">
        <f ca="1"/>
        <v>0</v>
      </c>
      <c r="AB30">
        <f ca="1"/>
        <v>0.30531609701216755</v>
      </c>
      <c r="AD30" s="2">
        <f t="shared" ca="1" si="2"/>
        <v>45391</v>
      </c>
      <c r="AE30">
        <f t="shared" ca="1" si="3"/>
        <v>0</v>
      </c>
      <c r="AG30" s="63">
        <f t="shared" ca="1" si="7"/>
        <v>205.82939988817114</v>
      </c>
      <c r="AH30" s="63">
        <f t="shared" ca="1" si="8"/>
        <v>205.82939988817114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0</v>
      </c>
      <c r="G31" s="3">
        <f t="shared" ca="1" si="4"/>
        <v>56</v>
      </c>
      <c r="H31" s="95">
        <f t="shared" ca="1" si="6"/>
        <v>45346</v>
      </c>
      <c r="I31" s="119">
        <f ca="1">HLOOKUP($H$5,'Met Data'!$A$2:$F$368,G31,FALSE)</f>
        <v>16.945833333333301</v>
      </c>
      <c r="J31" s="119">
        <f ca="1">HLOOKUP($H$5,'Met Data'!$H$2:$M$368,G31,FALSE)*L31</f>
        <v>1.5999999999999901</v>
      </c>
      <c r="K31" s="96">
        <f ca="1">HLOOKUP($H$5,'Met Data'!$O$2:$T$368,G31,FALSE)</f>
        <v>3.5683594386422701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45392</v>
      </c>
      <c r="Q31">
        <f ca="1"/>
        <v>202.22561069987364</v>
      </c>
      <c r="R31">
        <f ca="1"/>
        <v>1.2990486901932279</v>
      </c>
      <c r="S31">
        <f ca="1"/>
        <v>1.054835036559524</v>
      </c>
      <c r="T31" s="4">
        <f ca="1"/>
        <v>1.2691677315691241</v>
      </c>
      <c r="U31">
        <f ca="1"/>
        <v>0</v>
      </c>
      <c r="V31">
        <f ca="1"/>
        <v>19.39145894755957</v>
      </c>
      <c r="W31">
        <f ca="1"/>
        <v>13.320983405004847</v>
      </c>
      <c r="X31">
        <f ca="1"/>
        <v>0</v>
      </c>
      <c r="Y31">
        <f ca="1"/>
        <v>0.99435123161993544</v>
      </c>
      <c r="Z31">
        <f ca="1"/>
        <v>0</v>
      </c>
      <c r="AA31">
        <f ca="1"/>
        <v>0</v>
      </c>
      <c r="AB31">
        <f ca="1"/>
        <v>0.40789482726806464</v>
      </c>
      <c r="AD31" s="2">
        <f t="shared" ca="1" si="2"/>
        <v>45392</v>
      </c>
      <c r="AE31">
        <f t="shared" ca="1" si="3"/>
        <v>0</v>
      </c>
      <c r="AG31" s="63">
        <f t="shared" ca="1" si="7"/>
        <v>203.52465939006686</v>
      </c>
      <c r="AH31" s="63">
        <f t="shared" ca="1" si="8"/>
        <v>203.52465939006686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45383</v>
      </c>
      <c r="G32" s="3">
        <f t="shared" ca="1" si="4"/>
        <v>57</v>
      </c>
      <c r="H32" s="95">
        <f t="shared" ca="1" si="6"/>
        <v>45347</v>
      </c>
      <c r="I32" s="119">
        <f ca="1">HLOOKUP($H$5,'Met Data'!$A$2:$F$368,G32,FALSE)</f>
        <v>17.495833333333302</v>
      </c>
      <c r="J32" s="119">
        <f ca="1">HLOOKUP($H$5,'Met Data'!$H$2:$M$368,G32,FALSE)*L32</f>
        <v>0.86666666666666603</v>
      </c>
      <c r="K32" s="96">
        <f ca="1">HLOOKUP($H$5,'Met Data'!$O$2:$T$368,G32,FALSE)</f>
        <v>3.5556810366886502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45393</v>
      </c>
      <c r="Q32">
        <f ca="1"/>
        <v>200.9301120159671</v>
      </c>
      <c r="R32">
        <f ca="1"/>
        <v>1.4778703698026554</v>
      </c>
      <c r="S32">
        <f ca="1"/>
        <v>1.0042890575894603</v>
      </c>
      <c r="T32" s="4">
        <f ca="1"/>
        <v>1.3669535694280521</v>
      </c>
      <c r="U32">
        <f ca="1"/>
        <v>0</v>
      </c>
      <c r="V32">
        <f ca="1"/>
        <v>20.869329317362226</v>
      </c>
      <c r="W32">
        <f ca="1"/>
        <v>14.336208031688601</v>
      </c>
      <c r="X32">
        <f ca="1"/>
        <v>2.18887094112142</v>
      </c>
      <c r="Y32">
        <f ca="1"/>
        <v>1</v>
      </c>
      <c r="Z32">
        <f ca="1"/>
        <v>1.5896853793045764</v>
      </c>
      <c r="AA32">
        <f ca="1"/>
        <v>0</v>
      </c>
      <c r="AB32">
        <f ca="1"/>
        <v>0.52614946853080713</v>
      </c>
      <c r="AD32" s="2">
        <f t="shared" ca="1" si="2"/>
        <v>45393</v>
      </c>
      <c r="AE32">
        <f t="shared" ca="1" si="3"/>
        <v>0</v>
      </c>
      <c r="AG32" s="63">
        <f t="shared" ca="1" si="7"/>
        <v>204.59685332689116</v>
      </c>
      <c r="AH32" s="63">
        <f t="shared" ca="1" si="8"/>
        <v>204.59685332689116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ca="1" si="4"/>
        <v>58</v>
      </c>
      <c r="H33" s="95">
        <f t="shared" ca="1" si="6"/>
        <v>45348</v>
      </c>
      <c r="I33" s="119">
        <f ca="1">HLOOKUP($H$5,'Met Data'!$A$2:$F$368,G33,FALSE)</f>
        <v>16.954166666666602</v>
      </c>
      <c r="J33" s="119">
        <f ca="1">HLOOKUP($H$5,'Met Data'!$H$2:$M$368,G33,FALSE)*L33</f>
        <v>0.93333333333333302</v>
      </c>
      <c r="K33" s="96">
        <f ca="1">HLOOKUP($H$5,'Met Data'!$O$2:$T$368,G33,FALSE)</f>
        <v>3.6102637976598602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45394</v>
      </c>
      <c r="Q33">
        <f ca="1"/>
        <v>197.73951291707584</v>
      </c>
      <c r="R33">
        <f ca="1"/>
        <v>1.5323363988140635</v>
      </c>
      <c r="S33">
        <f ca="1"/>
        <v>0.85012227745664859</v>
      </c>
      <c r="T33" s="4">
        <f ca="1"/>
        <v>1.3122376122215373</v>
      </c>
      <c r="U33">
        <f ca="1"/>
        <v>0</v>
      </c>
      <c r="V33">
        <f ca="1"/>
        <v>22.401665716176289</v>
      </c>
      <c r="W33">
        <f ca="1"/>
        <v>15.388848155089732</v>
      </c>
      <c r="X33">
        <f ca="1"/>
        <v>3.8206225897553816</v>
      </c>
      <c r="Y33">
        <f ca="1"/>
        <v>1</v>
      </c>
      <c r="Z33">
        <f ca="1"/>
        <v>2.8195300638307614</v>
      </c>
      <c r="AA33">
        <f ca="1"/>
        <v>0</v>
      </c>
      <c r="AB33">
        <f ca="1"/>
        <v>0.63797517280080096</v>
      </c>
      <c r="AD33" s="2">
        <f t="shared" ca="1" si="2"/>
        <v>45394</v>
      </c>
      <c r="AE33">
        <f t="shared" ca="1" si="3"/>
        <v>0</v>
      </c>
      <c r="AG33" s="63">
        <f t="shared" ca="1" si="7"/>
        <v>203.09247190564528</v>
      </c>
      <c r="AH33" s="63">
        <f t="shared" ca="1" si="8"/>
        <v>203.09247190564528</v>
      </c>
      <c r="AI33" s="3">
        <f t="shared" ca="1" si="9"/>
        <v>0</v>
      </c>
    </row>
    <row r="34" spans="1:35">
      <c r="A34" s="9" t="s">
        <v>126</v>
      </c>
      <c r="B34" s="36">
        <f ca="1">CurrentHarvestDate</f>
        <v>45508</v>
      </c>
      <c r="G34" s="3">
        <f t="shared" ca="1" si="4"/>
        <v>59</v>
      </c>
      <c r="H34" s="95">
        <f t="shared" ca="1" si="6"/>
        <v>45349</v>
      </c>
      <c r="I34" s="119">
        <f ca="1">HLOOKUP($H$5,'Met Data'!$A$2:$F$368,G34,FALSE)</f>
        <v>16.829166666666602</v>
      </c>
      <c r="J34" s="119">
        <f ca="1">HLOOKUP($H$5,'Met Data'!$H$2:$M$368,G34,FALSE)*L34</f>
        <v>0.41666666666666602</v>
      </c>
      <c r="K34" s="96">
        <f ca="1">HLOOKUP($H$5,'Met Data'!$O$2:$T$368,G34,FALSE)</f>
        <v>3.6752740997587301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45395</v>
      </c>
      <c r="Q34">
        <f ca="1"/>
        <v>194.37265353707363</v>
      </c>
      <c r="R34">
        <f ca="1"/>
        <v>1.5045836824884837</v>
      </c>
      <c r="S34">
        <f ca="1"/>
        <v>0.6838201487408071</v>
      </c>
      <c r="T34" s="4">
        <f ca="1"/>
        <v>1.1873648467268787</v>
      </c>
      <c r="U34">
        <f ca="1"/>
        <v>0</v>
      </c>
      <c r="V34">
        <f ca="1"/>
        <v>23.906249398664773</v>
      </c>
      <c r="W34">
        <f ca="1"/>
        <v>16.42242352041275</v>
      </c>
      <c r="X34">
        <f ca="1"/>
        <v>3.7334606929813905</v>
      </c>
      <c r="Y34">
        <f ca="1"/>
        <v>1</v>
      </c>
      <c r="Z34">
        <f ca="1"/>
        <v>2.8029314095589726</v>
      </c>
      <c r="AA34">
        <f ca="1"/>
        <v>0</v>
      </c>
      <c r="AB34">
        <f ca="1"/>
        <v>0.72940935725489608</v>
      </c>
      <c r="AD34" s="2">
        <f t="shared" ca="1" si="2"/>
        <v>45395</v>
      </c>
      <c r="AE34">
        <f t="shared" ca="1" si="3"/>
        <v>0</v>
      </c>
      <c r="AG34" s="63">
        <f t="shared" ca="1" si="7"/>
        <v>199.61069791254351</v>
      </c>
      <c r="AH34" s="63">
        <f t="shared" ca="1" si="8"/>
        <v>199.61069791254351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LateReproductive</v>
      </c>
      <c r="G35" s="3">
        <f t="shared" ca="1" si="4"/>
        <v>60</v>
      </c>
      <c r="H35" s="95">
        <f t="shared" ca="1" si="6"/>
        <v>45350</v>
      </c>
      <c r="I35" s="119">
        <f ca="1">HLOOKUP($H$5,'Met Data'!$A$2:$F$368,G35,FALSE)</f>
        <v>17.512499999999999</v>
      </c>
      <c r="J35" s="119">
        <f ca="1">HLOOKUP($H$5,'Met Data'!$H$2:$M$368,G35,FALSE)*L35</f>
        <v>0.38333333333333303</v>
      </c>
      <c r="K35" s="96">
        <f ca="1">HLOOKUP($H$5,'Met Data'!$O$2:$T$368,G35,FALSE)</f>
        <v>3.6973328494211302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45396</v>
      </c>
      <c r="Q35">
        <f ca="1"/>
        <v>194.57988722892642</v>
      </c>
      <c r="R35">
        <f ca="1"/>
        <v>1.6341290213709492</v>
      </c>
      <c r="S35">
        <f ca="1"/>
        <v>0.62535246870479</v>
      </c>
      <c r="T35" s="4">
        <f ca="1"/>
        <v>1.2160102445189405</v>
      </c>
      <c r="U35">
        <f ca="1"/>
        <v>0</v>
      </c>
      <c r="V35">
        <f ca="1"/>
        <v>25.540378420035722</v>
      </c>
      <c r="W35">
        <f ca="1"/>
        <v>17.544990194441102</v>
      </c>
      <c r="X35">
        <f ca="1"/>
        <v>0</v>
      </c>
      <c r="Y35">
        <f ca="1"/>
        <v>0.97842705307845979</v>
      </c>
      <c r="Z35">
        <f ca="1"/>
        <v>0</v>
      </c>
      <c r="AA35">
        <f ca="1"/>
        <v>0</v>
      </c>
      <c r="AB35">
        <f ca="1"/>
        <v>0.80617184299751954</v>
      </c>
      <c r="AD35" s="2">
        <f t="shared" ca="1" si="2"/>
        <v>45396</v>
      </c>
      <c r="AE35">
        <f t="shared" ca="1" si="3"/>
        <v>0</v>
      </c>
      <c r="AG35" s="63">
        <f t="shared" ca="1" si="7"/>
        <v>196.21401625029736</v>
      </c>
      <c r="AH35" s="63">
        <f t="shared" ca="1" si="8"/>
        <v>196.21401625029736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ca="1" si="4"/>
        <v>61</v>
      </c>
      <c r="H36" s="95">
        <f t="shared" ca="1" si="6"/>
        <v>45351</v>
      </c>
      <c r="I36" s="119">
        <f ca="1">HLOOKUP($H$5,'Met Data'!$A$2:$F$368,G36,FALSE)</f>
        <v>17.1166666666666</v>
      </c>
      <c r="J36" s="119">
        <f ca="1">HLOOKUP($H$5,'Met Data'!$H$2:$M$368,G36,FALSE)*L36</f>
        <v>2.3166666666666602</v>
      </c>
      <c r="K36" s="96">
        <f ca="1">HLOOKUP($H$5,'Met Data'!$O$2:$T$368,G36,FALSE)</f>
        <v>3.5365052642272401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45397</v>
      </c>
      <c r="Q36">
        <f ca="1"/>
        <v>188.5044976192772</v>
      </c>
      <c r="R36">
        <f ca="1"/>
        <v>1.758197674854987</v>
      </c>
      <c r="S36">
        <f ca="1"/>
        <v>0.56400922264054998</v>
      </c>
      <c r="T36" s="4">
        <f ca="1"/>
        <v>1.2309305417415393</v>
      </c>
      <c r="U36">
        <f ca="1"/>
        <v>0</v>
      </c>
      <c r="V36">
        <f ca="1"/>
        <v>27.298576094890709</v>
      </c>
      <c r="W36">
        <f ca="1"/>
        <v>18.752785962299448</v>
      </c>
      <c r="X36">
        <f ca="1"/>
        <v>6.1121316991763432</v>
      </c>
      <c r="Y36">
        <f ca="1"/>
        <v>1</v>
      </c>
      <c r="Z36">
        <f ca="1"/>
        <v>4.7315892603620853</v>
      </c>
      <c r="AA36">
        <f ca="1"/>
        <v>0</v>
      </c>
      <c r="AB36">
        <f ca="1"/>
        <v>0.86570215455357258</v>
      </c>
      <c r="AD36" s="2">
        <f t="shared" ca="1" si="2"/>
        <v>45397</v>
      </c>
      <c r="AE36">
        <f t="shared" ca="1" si="3"/>
        <v>0</v>
      </c>
      <c r="AG36" s="63">
        <f t="shared" ca="1" si="7"/>
        <v>196.37482699330852</v>
      </c>
      <c r="AH36" s="63">
        <f t="shared" ca="1" si="8"/>
        <v>196.37482699330852</v>
      </c>
      <c r="AI36" s="3">
        <f t="shared" ca="1" si="9"/>
        <v>0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ca="1" si="4"/>
        <v>62</v>
      </c>
      <c r="H37" s="95">
        <f t="shared" ca="1" si="6"/>
        <v>45352</v>
      </c>
      <c r="I37" s="119">
        <f ca="1">HLOOKUP($H$5,'Met Data'!$A$2:$F$368,G37,FALSE)</f>
        <v>17.037500000000001</v>
      </c>
      <c r="J37" s="119">
        <f ca="1">HLOOKUP($H$5,'Met Data'!$H$2:$M$368,G37,FALSE)*L37</f>
        <v>2.18333333333333</v>
      </c>
      <c r="K37" s="96">
        <f ca="1">HLOOKUP($H$5,'Met Data'!$O$2:$T$368,G37,FALSE)</f>
        <v>3.0680063753167199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45398</v>
      </c>
      <c r="Q37">
        <f ca="1"/>
        <v>185.84186971248701</v>
      </c>
      <c r="R37">
        <f ca="1"/>
        <v>1.8334488859758125</v>
      </c>
      <c r="S37">
        <f ca="1"/>
        <v>0.49081546731360959</v>
      </c>
      <c r="T37">
        <f ca="1"/>
        <v>1.2016351964057381</v>
      </c>
      <c r="U37">
        <f ca="1"/>
        <v>0</v>
      </c>
      <c r="V37">
        <f ca="1"/>
        <v>29.132024980866522</v>
      </c>
      <c r="W37">
        <f ca="1"/>
        <v>20.012275629892621</v>
      </c>
      <c r="X37">
        <f ca="1"/>
        <v>2.5216296845337487</v>
      </c>
      <c r="Y37">
        <f ca="1"/>
        <v>1</v>
      </c>
      <c r="Z37">
        <f ca="1"/>
        <v>1.9800392202740653</v>
      </c>
      <c r="AA37">
        <f ca="1"/>
        <v>0</v>
      </c>
      <c r="AB37">
        <f ca="1"/>
        <v>0.90828314887743733</v>
      </c>
      <c r="AD37" s="2">
        <f t="shared" ca="1" si="2"/>
        <v>45398</v>
      </c>
      <c r="AE37">
        <f t="shared" ca="1" si="3"/>
        <v>0</v>
      </c>
      <c r="AG37" s="63">
        <f t="shared" ca="1" si="7"/>
        <v>190.19694828299654</v>
      </c>
      <c r="AH37" s="63">
        <f t="shared" ca="1" si="8"/>
        <v>190.19694828299654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Broccoli Vegetable General</v>
      </c>
      <c r="G38" s="3">
        <f t="shared" ca="1" si="4"/>
        <v>63</v>
      </c>
      <c r="H38" s="95">
        <f t="shared" ca="1" si="6"/>
        <v>45353</v>
      </c>
      <c r="I38" s="119">
        <f ca="1">HLOOKUP($H$5,'Met Data'!$A$2:$F$368,G38,FALSE)</f>
        <v>17.204166666666602</v>
      </c>
      <c r="J38" s="119">
        <f ca="1">HLOOKUP($H$5,'Met Data'!$H$2:$M$368,G38,FALSE)*L38</f>
        <v>0.61666666666666603</v>
      </c>
      <c r="K38" s="96">
        <f ca="1">HLOOKUP($H$5,'Met Data'!$O$2:$T$368,G38,FALSE)</f>
        <v>3.2161744467378801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45399</v>
      </c>
      <c r="Q38">
        <f ca="1"/>
        <v>184.55367076125304</v>
      </c>
      <c r="R38">
        <f ca="1"/>
        <v>1.9550241010090588</v>
      </c>
      <c r="S38">
        <f ca="1"/>
        <v>0.43961893040267341</v>
      </c>
      <c r="T38">
        <f ca="1"/>
        <v>1.2059802093048466</v>
      </c>
      <c r="U38">
        <f ca="1"/>
        <v>0</v>
      </c>
      <c r="V38">
        <f ca="1"/>
        <v>31.08704908187558</v>
      </c>
      <c r="W38">
        <f ca="1"/>
        <v>21.355281521112769</v>
      </c>
      <c r="X38">
        <f ca="1"/>
        <v>0.9787739899324257</v>
      </c>
      <c r="Y38">
        <f ca="1"/>
        <v>1</v>
      </c>
      <c r="Z38">
        <f ca="1"/>
        <v>0.77391948797650656</v>
      </c>
      <c r="AA38">
        <f ca="1"/>
        <v>0</v>
      </c>
      <c r="AB38">
        <f ca="1"/>
        <v>0.93840093945221248</v>
      </c>
      <c r="AD38" s="2">
        <f t="shared" ca="1" si="2"/>
        <v>45399</v>
      </c>
      <c r="AE38">
        <f t="shared" ca="1" si="3"/>
        <v>0</v>
      </c>
      <c r="AG38" s="63">
        <f t="shared" ca="1" si="7"/>
        <v>187.48746885219452</v>
      </c>
      <c r="AH38" s="63">
        <f t="shared" ca="1" si="8"/>
        <v>187.48746885219452</v>
      </c>
      <c r="AI38" s="3">
        <f t="shared" ca="1" si="9"/>
        <v>0</v>
      </c>
    </row>
    <row r="39" spans="1:35">
      <c r="A39" s="6" t="s">
        <v>243</v>
      </c>
      <c r="B39" s="32">
        <f>FollowingYIeld</f>
        <v>0</v>
      </c>
      <c r="G39" s="3">
        <f t="shared" ca="1" si="4"/>
        <v>64</v>
      </c>
      <c r="H39" s="95">
        <f t="shared" ca="1" si="6"/>
        <v>45354</v>
      </c>
      <c r="I39" s="119">
        <f ca="1">HLOOKUP($H$5,'Met Data'!$A$2:$F$368,G39,FALSE)</f>
        <v>16.720833333333299</v>
      </c>
      <c r="J39" s="119">
        <f ca="1">HLOOKUP($H$5,'Met Data'!$H$2:$M$368,G39,FALSE)*L39</f>
        <v>2.93333333333333</v>
      </c>
      <c r="K39" s="96">
        <f ca="1">HLOOKUP($H$5,'Met Data'!$O$2:$T$368,G39,FALSE)</f>
        <v>2.8476580172568502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45400</v>
      </c>
      <c r="Q39">
        <f ca="1"/>
        <v>184.09091621098102</v>
      </c>
      <c r="R39">
        <f ca="1"/>
        <v>1.9622412853667264</v>
      </c>
      <c r="S39">
        <f ca="1"/>
        <v>0.36899523158547254</v>
      </c>
      <c r="T39">
        <f ca="1"/>
        <v>1.1304915035092289</v>
      </c>
      <c r="U39">
        <f ca="1"/>
        <v>0</v>
      </c>
      <c r="V39">
        <f ca="1"/>
        <v>33.049290367242307</v>
      </c>
      <c r="W39">
        <f ca="1"/>
        <v>22.703245264824542</v>
      </c>
      <c r="X39">
        <f ca="1"/>
        <v>0</v>
      </c>
      <c r="Y39">
        <f ca="1"/>
        <v>0.99808465797299617</v>
      </c>
      <c r="Z39">
        <f ca="1"/>
        <v>0</v>
      </c>
      <c r="AA39">
        <f ca="1"/>
        <v>0</v>
      </c>
      <c r="AB39">
        <f ca="1"/>
        <v>0.95815345159705045</v>
      </c>
      <c r="AD39" s="2">
        <f t="shared" ca="1" si="2"/>
        <v>45400</v>
      </c>
      <c r="AE39">
        <f t="shared" ca="1" si="3"/>
        <v>0</v>
      </c>
      <c r="AG39" s="63">
        <f t="shared" ca="1" si="7"/>
        <v>186.05315749634775</v>
      </c>
      <c r="AH39" s="63">
        <f t="shared" ca="1" si="8"/>
        <v>186.05315749634775</v>
      </c>
      <c r="AI39" s="3">
        <f t="shared" ca="1" si="9"/>
        <v>0</v>
      </c>
    </row>
    <row r="40" spans="1:35">
      <c r="A40" s="6" t="s">
        <v>238</v>
      </c>
      <c r="B40" s="32">
        <f>FollowingPopulation</f>
        <v>20000</v>
      </c>
      <c r="G40" s="3">
        <f t="shared" ca="1" si="4"/>
        <v>65</v>
      </c>
      <c r="H40" s="95">
        <f t="shared" ca="1" si="6"/>
        <v>45355</v>
      </c>
      <c r="I40" s="119">
        <f ca="1">HLOOKUP($H$5,'Met Data'!$A$2:$F$368,G40,FALSE)</f>
        <v>17.05</v>
      </c>
      <c r="J40" s="119">
        <f ca="1">HLOOKUP($H$5,'Met Data'!$H$2:$M$368,G40,FALSE)*L40</f>
        <v>3.5</v>
      </c>
      <c r="K40" s="96">
        <f ca="1">HLOOKUP($H$5,'Met Data'!$O$2:$T$368,G40,FALSE)</f>
        <v>3.0856400612975601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45401</v>
      </c>
      <c r="Q40">
        <f ca="1"/>
        <v>183.43177559712785</v>
      </c>
      <c r="R40">
        <f ca="1"/>
        <v>2.2993646667779615</v>
      </c>
      <c r="S40">
        <f ca="1"/>
        <v>0.37015858602399021</v>
      </c>
      <c r="T40">
        <f ca="1"/>
        <v>1.2700654669008107</v>
      </c>
      <c r="U40">
        <f ca="1"/>
        <v>0</v>
      </c>
      <c r="V40">
        <f ca="1"/>
        <v>35.348655034020268</v>
      </c>
      <c r="W40">
        <f ca="1"/>
        <v>24.28279627493864</v>
      </c>
      <c r="X40">
        <f ca="1"/>
        <v>0</v>
      </c>
      <c r="Y40">
        <f ca="1"/>
        <v>0.98814652224045807</v>
      </c>
      <c r="Z40">
        <f ca="1"/>
        <v>0</v>
      </c>
      <c r="AA40">
        <f ca="1"/>
        <v>0</v>
      </c>
      <c r="AB40">
        <f ca="1"/>
        <v>0.97289862194606469</v>
      </c>
      <c r="AD40" s="2">
        <f t="shared" ca="1" si="2"/>
        <v>45401</v>
      </c>
      <c r="AE40">
        <f t="shared" ca="1" si="3"/>
        <v>0</v>
      </c>
      <c r="AG40" s="63">
        <f t="shared" ca="1" si="7"/>
        <v>185.73114026390581</v>
      </c>
      <c r="AH40" s="63">
        <f t="shared" ca="1" si="8"/>
        <v>185.73114026390581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kg/head</v>
      </c>
      <c r="G41" s="3">
        <f t="shared" ca="1" si="4"/>
        <v>66</v>
      </c>
      <c r="H41" s="95">
        <f t="shared" ca="1" si="6"/>
        <v>45356</v>
      </c>
      <c r="I41" s="119">
        <f ca="1">HLOOKUP($H$5,'Met Data'!$A$2:$F$368,G41,FALSE)</f>
        <v>16.5625</v>
      </c>
      <c r="J41" s="119">
        <f ca="1">HLOOKUP($H$5,'Met Data'!$H$2:$M$368,G41,FALSE)*L41</f>
        <v>1.9166666666666601</v>
      </c>
      <c r="K41" s="96">
        <f ca="1">HLOOKUP($H$5,'Met Data'!$O$2:$T$368,G41,FALSE)</f>
        <v>2.4477007585282702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45402</v>
      </c>
      <c r="Q41">
        <f ca="1"/>
        <v>182.58369216999844</v>
      </c>
      <c r="R41">
        <f ca="1"/>
        <v>2.4448254427758016</v>
      </c>
      <c r="S41">
        <f ca="1"/>
        <v>0.32802300674703133</v>
      </c>
      <c r="T41">
        <f ca="1"/>
        <v>1.268719008899359</v>
      </c>
      <c r="U41">
        <f ca="1"/>
        <v>0</v>
      </c>
      <c r="V41">
        <f ca="1"/>
        <v>37.79348047679607</v>
      </c>
      <c r="W41">
        <f ca="1"/>
        <v>25.962271720258276</v>
      </c>
      <c r="X41">
        <f ca="1"/>
        <v>0</v>
      </c>
      <c r="Y41">
        <f ca="1"/>
        <v>0.99867254203725364</v>
      </c>
      <c r="Z41">
        <f ca="1"/>
        <v>0</v>
      </c>
      <c r="AA41">
        <f ca="1"/>
        <v>0</v>
      </c>
      <c r="AB41">
        <f ca="1"/>
        <v>0.98253605473490235</v>
      </c>
      <c r="AD41" s="2">
        <f t="shared" ca="1" si="2"/>
        <v>45402</v>
      </c>
      <c r="AE41">
        <f t="shared" ca="1" si="3"/>
        <v>0</v>
      </c>
      <c r="AG41" s="63">
        <f t="shared" ca="1" si="7"/>
        <v>185.02851761277424</v>
      </c>
      <c r="AH41" s="63">
        <f t="shared" ca="1" si="8"/>
        <v>185.02851761277424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ca="1" si="4"/>
        <v>67</v>
      </c>
      <c r="H42" s="95">
        <f t="shared" ca="1" si="6"/>
        <v>45357</v>
      </c>
      <c r="I42" s="119">
        <f ca="1">HLOOKUP($H$5,'Met Data'!$A$2:$F$368,G42,FALSE)</f>
        <v>16.349999999999898</v>
      </c>
      <c r="J42" s="119">
        <f ca="1">HLOOKUP($H$5,'Met Data'!$H$2:$M$368,G42,FALSE)*L42</f>
        <v>5.4</v>
      </c>
      <c r="K42" s="96">
        <f ca="1">HLOOKUP($H$5,'Met Data'!$O$2:$T$368,G42,FALSE)</f>
        <v>3.2051572713162999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45403</v>
      </c>
      <c r="Q42">
        <f ca="1"/>
        <v>181.58344387565057</v>
      </c>
      <c r="R42">
        <f ca="1"/>
        <v>2.4726206084536244</v>
      </c>
      <c r="S42">
        <f ca="1"/>
        <v>0.27550552762110669</v>
      </c>
      <c r="T42">
        <f ca="1"/>
        <v>1.1968667864846649</v>
      </c>
      <c r="U42">
        <f ca="1"/>
        <v>0</v>
      </c>
      <c r="V42">
        <f ca="1"/>
        <v>40.266101085249694</v>
      </c>
      <c r="W42">
        <f ca="1"/>
        <v>27.66084108428382</v>
      </c>
      <c r="X42">
        <f ca="1"/>
        <v>0</v>
      </c>
      <c r="Y42">
        <f ca="1"/>
        <v>0.98221889187829603</v>
      </c>
      <c r="Z42">
        <f ca="1"/>
        <v>0</v>
      </c>
      <c r="AA42">
        <f ca="1"/>
        <v>0</v>
      </c>
      <c r="AB42">
        <f ca="1"/>
        <v>0.98854632814375332</v>
      </c>
      <c r="AD42" s="2">
        <f t="shared" ca="1" si="2"/>
        <v>45403</v>
      </c>
      <c r="AE42">
        <f t="shared" ca="1" si="3"/>
        <v>0</v>
      </c>
      <c r="AG42" s="63">
        <f t="shared" ca="1" si="7"/>
        <v>184.05606448410421</v>
      </c>
      <c r="AH42" s="63">
        <f t="shared" ca="1" si="8"/>
        <v>184.05606448410418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ca="1" si="4"/>
        <v>68</v>
      </c>
      <c r="H43" s="95">
        <f t="shared" ca="1" si="6"/>
        <v>45358</v>
      </c>
      <c r="I43" s="119">
        <f ca="1">HLOOKUP($H$5,'Met Data'!$A$2:$F$368,G43,FALSE)</f>
        <v>16.404166666666601</v>
      </c>
      <c r="J43" s="119">
        <f ca="1">HLOOKUP($H$5,'Met Data'!$H$2:$M$368,G43,FALSE)*L43</f>
        <v>1.7666666666666599</v>
      </c>
      <c r="K43" s="96">
        <f ca="1">HLOOKUP($H$5,'Met Data'!$O$2:$T$368,G43,FALSE)</f>
        <v>3.3473688975414899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45404</v>
      </c>
      <c r="Q43">
        <f ca="1"/>
        <v>180.3765598185758</v>
      </c>
      <c r="R43">
        <f ca="1"/>
        <v>2.6829714626452343</v>
      </c>
      <c r="S43">
        <f ca="1"/>
        <v>0.25157750981949789</v>
      </c>
      <c r="T43">
        <f ca="1"/>
        <v>1.2245098957509775</v>
      </c>
      <c r="U43">
        <f ca="1"/>
        <v>0</v>
      </c>
      <c r="V43">
        <f ca="1"/>
        <v>42.949072547894929</v>
      </c>
      <c r="W43">
        <f ca="1"/>
        <v>29.503911191935345</v>
      </c>
      <c r="X43">
        <f ca="1"/>
        <v>0</v>
      </c>
      <c r="Y43">
        <f ca="1"/>
        <v>0.95692930332022874</v>
      </c>
      <c r="Z43">
        <f ca="1"/>
        <v>0</v>
      </c>
      <c r="AA43">
        <f ca="1"/>
        <v>0</v>
      </c>
      <c r="AB43">
        <f ca="1"/>
        <v>0.99257771804231087</v>
      </c>
      <c r="AD43" s="2">
        <f t="shared" ca="1" si="2"/>
        <v>45404</v>
      </c>
      <c r="AE43">
        <f t="shared" ca="1" si="3"/>
        <v>0</v>
      </c>
      <c r="AG43" s="63">
        <f t="shared" ca="1" si="7"/>
        <v>183.05953128122104</v>
      </c>
      <c r="AH43" s="63">
        <f t="shared" ca="1" si="8"/>
        <v>183.05953128122104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89</v>
      </c>
      <c r="G44" s="3">
        <f t="shared" ca="1" si="4"/>
        <v>69</v>
      </c>
      <c r="H44" s="95">
        <f t="shared" ca="1" si="6"/>
        <v>45359</v>
      </c>
      <c r="I44" s="119">
        <f ca="1">HLOOKUP($H$5,'Met Data'!$A$2:$F$368,G44,FALSE)</f>
        <v>16.174999999999901</v>
      </c>
      <c r="J44" s="119">
        <f ca="1">HLOOKUP($H$5,'Met Data'!$H$2:$M$368,G44,FALSE)*L44</f>
        <v>0.54999999999999905</v>
      </c>
      <c r="K44" s="96">
        <f ca="1">HLOOKUP($H$5,'Met Data'!$O$2:$T$368,G44,FALSE)</f>
        <v>3.3552920602916099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45405</v>
      </c>
      <c r="Q44">
        <f ca="1"/>
        <v>178.91072069051316</v>
      </c>
      <c r="R44">
        <f ca="1"/>
        <v>3.0363722757949105</v>
      </c>
      <c r="S44">
        <f ca="1"/>
        <v>0.24220725589782433</v>
      </c>
      <c r="T44">
        <f ca="1"/>
        <v>1.3283258918344507</v>
      </c>
      <c r="U44">
        <f ca="1"/>
        <v>0</v>
      </c>
      <c r="V44">
        <f ca="1"/>
        <v>45.985444823689839</v>
      </c>
      <c r="W44">
        <f ca="1"/>
        <v>31.589750365081787</v>
      </c>
      <c r="X44">
        <f ca="1"/>
        <v>0</v>
      </c>
      <c r="Y44">
        <f ca="1"/>
        <v>0.97467397241974618</v>
      </c>
      <c r="Z44">
        <f ca="1"/>
        <v>0</v>
      </c>
      <c r="AA44">
        <f ca="1"/>
        <v>0</v>
      </c>
      <c r="AB44">
        <f ca="1"/>
        <v>0.99533179736480937</v>
      </c>
      <c r="AD44" s="2">
        <f t="shared" ca="1" si="2"/>
        <v>45405</v>
      </c>
      <c r="AE44">
        <f t="shared" ca="1" si="3"/>
        <v>0</v>
      </c>
      <c r="AG44" s="63">
        <f t="shared" ca="1" si="7"/>
        <v>181.94709296630808</v>
      </c>
      <c r="AH44" s="63">
        <f t="shared" ca="1" si="8"/>
        <v>181.94709296630808</v>
      </c>
      <c r="AI44" s="3">
        <f t="shared" ca="1" si="9"/>
        <v>0</v>
      </c>
    </row>
    <row r="45" spans="1:35">
      <c r="A45" s="6" t="s">
        <v>131</v>
      </c>
      <c r="B45" s="34">
        <f ca="1">FollowingEstablishDate</f>
        <v>45523</v>
      </c>
      <c r="G45" s="3">
        <f t="shared" ca="1" si="4"/>
        <v>70</v>
      </c>
      <c r="H45" s="95">
        <f t="shared" ca="1" si="6"/>
        <v>45360</v>
      </c>
      <c r="I45" s="119">
        <f ca="1">HLOOKUP($H$5,'Met Data'!$A$2:$F$368,G45,FALSE)</f>
        <v>16.625</v>
      </c>
      <c r="J45" s="119">
        <f ca="1">HLOOKUP($H$5,'Met Data'!$H$2:$M$368,G45,FALSE)*L45</f>
        <v>2.0666666666666602</v>
      </c>
      <c r="K45" s="96">
        <f ca="1">HLOOKUP($H$5,'Met Data'!$O$2:$T$368,G45,FALSE)</f>
        <v>3.2920876744510998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45406</v>
      </c>
      <c r="Q45">
        <f ca="1"/>
        <v>171.89956552555148</v>
      </c>
      <c r="R45">
        <f ca="1"/>
        <v>3.1383960842037908</v>
      </c>
      <c r="S45">
        <f ca="1"/>
        <v>0.20731498700405382</v>
      </c>
      <c r="T45">
        <f ca="1"/>
        <v>1.2840298264680341</v>
      </c>
      <c r="U45">
        <f ca="1"/>
        <v>0</v>
      </c>
      <c r="V45">
        <f ca="1"/>
        <v>49.12384090789363</v>
      </c>
      <c r="W45">
        <f ca="1"/>
        <v>33.74567490222303</v>
      </c>
      <c r="X45">
        <f ca="1"/>
        <v>5.3641038942299897</v>
      </c>
      <c r="Y45">
        <f ca="1"/>
        <v>1</v>
      </c>
      <c r="Z45">
        <f ca="1"/>
        <v>4.553637474062981</v>
      </c>
      <c r="AA45">
        <f ca="1"/>
        <v>0</v>
      </c>
      <c r="AB45">
        <f ca="1"/>
        <v>0.9970295418638061</v>
      </c>
      <c r="AD45" s="2">
        <f t="shared" ca="1" si="2"/>
        <v>45406</v>
      </c>
      <c r="AE45">
        <f t="shared" ca="1" si="3"/>
        <v>0</v>
      </c>
      <c r="AG45" s="63">
        <f t="shared" ca="1" si="7"/>
        <v>180.40206550398526</v>
      </c>
      <c r="AH45" s="63">
        <f t="shared" ca="1" si="8"/>
        <v>180.40206550398526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Seedling</v>
      </c>
      <c r="G46" s="3">
        <f t="shared" ca="1" si="4"/>
        <v>71</v>
      </c>
      <c r="H46" s="95">
        <f t="shared" ca="1" si="6"/>
        <v>45361</v>
      </c>
      <c r="I46" s="119">
        <f ca="1">HLOOKUP($H$5,'Met Data'!$A$2:$F$368,G46,FALSE)</f>
        <v>16.266666666666602</v>
      </c>
      <c r="J46" s="119">
        <f ca="1">HLOOKUP($H$5,'Met Data'!$H$2:$M$368,G46,FALSE)*L46</f>
        <v>3.44999999999999</v>
      </c>
      <c r="K46" s="96">
        <f ca="1">HLOOKUP($H$5,'Met Data'!$O$2:$T$368,G46,FALSE)</f>
        <v>2.5592177640993499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45407</v>
      </c>
      <c r="Q46">
        <f ca="1"/>
        <v>170.09411290986336</v>
      </c>
      <c r="R46">
        <f ca="1"/>
        <v>3.215296886531867</v>
      </c>
      <c r="S46">
        <f ca="1"/>
        <v>0.17715107785517148</v>
      </c>
      <c r="T46">
        <f ca="1"/>
        <v>1.2326931929885587</v>
      </c>
      <c r="U46">
        <f ca="1"/>
        <v>0</v>
      </c>
      <c r="V46">
        <f ca="1"/>
        <v>52.339137794425497</v>
      </c>
      <c r="W46">
        <f ca="1"/>
        <v>35.95442652753821</v>
      </c>
      <c r="X46">
        <f ca="1"/>
        <v>0</v>
      </c>
      <c r="Y46">
        <f ca="1"/>
        <v>0.98524940255229887</v>
      </c>
      <c r="Z46">
        <f ca="1"/>
        <v>0</v>
      </c>
      <c r="AA46">
        <f ca="1"/>
        <v>0</v>
      </c>
      <c r="AB46">
        <f ca="1"/>
        <v>0.99808236796305716</v>
      </c>
      <c r="AD46" s="2">
        <f t="shared" ca="1" si="2"/>
        <v>45407</v>
      </c>
      <c r="AE46">
        <f t="shared" ca="1" si="3"/>
        <v>0</v>
      </c>
      <c r="AG46" s="63">
        <f t="shared" ca="1" si="7"/>
        <v>173.30940979639522</v>
      </c>
      <c r="AH46" s="63">
        <f t="shared" ca="1" si="8"/>
        <v>173.30940979639522</v>
      </c>
      <c r="AI46" s="3">
        <f t="shared" ca="1" si="9"/>
        <v>0</v>
      </c>
    </row>
    <row r="47" spans="1:35">
      <c r="A47" s="6" t="s">
        <v>133</v>
      </c>
      <c r="B47" s="34">
        <f ca="1">FollowingHarvestDate</f>
        <v>45643</v>
      </c>
      <c r="G47" s="3">
        <f t="shared" ca="1" si="4"/>
        <v>72</v>
      </c>
      <c r="H47" s="95">
        <f t="shared" ca="1" si="6"/>
        <v>45362</v>
      </c>
      <c r="I47" s="119">
        <f ca="1">HLOOKUP($H$5,'Met Data'!$A$2:$F$368,G47,FALSE)</f>
        <v>16.404166666666601</v>
      </c>
      <c r="J47" s="119">
        <f ca="1">HLOOKUP($H$5,'Met Data'!$H$2:$M$368,G47,FALSE)*L47</f>
        <v>1.5833333333333299</v>
      </c>
      <c r="K47" s="96">
        <f ca="1">HLOOKUP($H$5,'Met Data'!$O$2:$T$368,G47,FALSE)</f>
        <v>2.85115032224514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45408</v>
      </c>
      <c r="Q47">
        <f ca="1"/>
        <v>165.4596758533674</v>
      </c>
      <c r="R47">
        <f ca="1"/>
        <v>3.6189489404057653</v>
      </c>
      <c r="S47">
        <f ca="1"/>
        <v>0.169532567697388</v>
      </c>
      <c r="T47">
        <f ca="1"/>
        <v>1.3265231236150992</v>
      </c>
      <c r="U47">
        <f ca="1"/>
        <v>0</v>
      </c>
      <c r="V47">
        <f ca="1"/>
        <v>55.958086734831262</v>
      </c>
      <c r="W47">
        <f ca="1"/>
        <v>38.440467361756731</v>
      </c>
      <c r="X47">
        <f ca="1"/>
        <v>2.5115438074026653</v>
      </c>
      <c r="Y47">
        <f ca="1"/>
        <v>1</v>
      </c>
      <c r="Z47">
        <f ca="1"/>
        <v>2.2150556368142844</v>
      </c>
      <c r="AA47">
        <f ca="1"/>
        <v>0</v>
      </c>
      <c r="AB47">
        <f ca="1"/>
        <v>0.99879577641319794</v>
      </c>
      <c r="AD47" s="2">
        <f t="shared" ca="1" si="2"/>
        <v>45408</v>
      </c>
      <c r="AE47">
        <f t="shared" ca="1" si="3"/>
        <v>0</v>
      </c>
      <c r="AG47" s="63">
        <f t="shared" ca="1" si="7"/>
        <v>171.59016860117583</v>
      </c>
      <c r="AH47" s="63">
        <f t="shared" ca="1" si="8"/>
        <v>171.59016860117583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ca="1" si="4"/>
        <v>73</v>
      </c>
      <c r="H48" s="95">
        <f t="shared" ca="1" si="6"/>
        <v>45363</v>
      </c>
      <c r="I48" s="119">
        <f ca="1">HLOOKUP($H$5,'Met Data'!$A$2:$F$368,G48,FALSE)</f>
        <v>15.324999999999999</v>
      </c>
      <c r="J48" s="119">
        <f ca="1">HLOOKUP($H$5,'Met Data'!$H$2:$M$368,G48,FALSE)*L48</f>
        <v>1.38333333333333</v>
      </c>
      <c r="K48" s="96">
        <f ca="1">HLOOKUP($H$5,'Met Data'!$O$2:$T$368,G48,FALSE)</f>
        <v>2.7545575054438101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45409</v>
      </c>
      <c r="Q48">
        <f ca="1"/>
        <v>158.55761801761403</v>
      </c>
      <c r="R48">
        <f ca="1"/>
        <v>3.6521895735313521</v>
      </c>
      <c r="S48">
        <f ca="1"/>
        <v>0.14219741048759715</v>
      </c>
      <c r="T48">
        <f ca="1"/>
        <v>1.2509302051801505</v>
      </c>
      <c r="U48">
        <f ca="1"/>
        <v>0</v>
      </c>
      <c r="V48">
        <f ca="1"/>
        <v>59.610276308362614</v>
      </c>
      <c r="W48">
        <f ca="1"/>
        <v>40.949342884351985</v>
      </c>
      <c r="X48">
        <f ca="1"/>
        <v>4.6429958778897449</v>
      </c>
      <c r="Y48">
        <f ca="1"/>
        <v>1</v>
      </c>
      <c r="Z48">
        <f ca="1"/>
        <v>4.2731411223713138</v>
      </c>
      <c r="AA48">
        <f ca="1"/>
        <v>0</v>
      </c>
      <c r="AB48">
        <f ca="1"/>
        <v>0.999227261315207</v>
      </c>
      <c r="AD48" s="2">
        <f t="shared" ca="1" si="2"/>
        <v>45409</v>
      </c>
      <c r="AE48">
        <f t="shared" ca="1" si="3"/>
        <v>0</v>
      </c>
      <c r="AG48" s="63">
        <f t="shared" ca="1" si="7"/>
        <v>166.85280346903514</v>
      </c>
      <c r="AH48" s="63">
        <f t="shared" ca="1" si="8"/>
        <v>166.85280346903514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ca="1" si="4"/>
        <v>74</v>
      </c>
      <c r="H49" s="95">
        <f t="shared" ca="1" si="6"/>
        <v>45364</v>
      </c>
      <c r="I49" s="119">
        <f ca="1">HLOOKUP($H$5,'Met Data'!$A$2:$F$368,G49,FALSE)</f>
        <v>15.8333333333333</v>
      </c>
      <c r="J49" s="119">
        <f ca="1">HLOOKUP($H$5,'Met Data'!$H$2:$M$368,G49,FALSE)*L49</f>
        <v>0.483333333333333</v>
      </c>
      <c r="K49" s="96">
        <f ca="1">HLOOKUP($H$5,'Met Data'!$O$2:$T$368,G49,FALSE)</f>
        <v>2.9925841251346701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45410</v>
      </c>
      <c r="Q49">
        <f ca="1"/>
        <v>152.79704808473397</v>
      </c>
      <c r="R49">
        <f ca="1"/>
        <v>3.7819950546556313</v>
      </c>
      <c r="S49">
        <f ca="1"/>
        <v>0.12432198714941478</v>
      </c>
      <c r="T49">
        <f ca="1"/>
        <v>1.2221404120098949</v>
      </c>
      <c r="U49">
        <f ca="1"/>
        <v>0</v>
      </c>
      <c r="V49">
        <f ca="1"/>
        <v>63.392271363018246</v>
      </c>
      <c r="W49">
        <f ca="1"/>
        <v>43.547388420643017</v>
      </c>
      <c r="X49">
        <f ca="1"/>
        <v>3.3250372773837591</v>
      </c>
      <c r="Y49">
        <f ca="1"/>
        <v>1</v>
      </c>
      <c r="Z49">
        <f ca="1"/>
        <v>3.1755401277680875</v>
      </c>
      <c r="AA49">
        <f ca="1"/>
        <v>0</v>
      </c>
      <c r="AB49">
        <f ca="1"/>
        <v>0.99949996364436144</v>
      </c>
      <c r="AD49" s="2">
        <f t="shared" ca="1" si="2"/>
        <v>45410</v>
      </c>
      <c r="AE49">
        <f t="shared" ca="1" si="3"/>
        <v>0</v>
      </c>
      <c r="AG49" s="63">
        <f t="shared" ca="1" si="7"/>
        <v>159.90408041677335</v>
      </c>
      <c r="AH49" s="63">
        <f t="shared" ca="1" si="8"/>
        <v>159.90408041677335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ca="1" si="4"/>
        <v>75</v>
      </c>
      <c r="H50" s="95">
        <f t="shared" ca="1" si="6"/>
        <v>45365</v>
      </c>
      <c r="I50" s="119">
        <f ca="1">HLOOKUP($H$5,'Met Data'!$A$2:$F$368,G50,FALSE)</f>
        <v>16.966666666666601</v>
      </c>
      <c r="J50" s="119">
        <f ca="1">HLOOKUP($H$5,'Met Data'!$H$2:$M$368,G50,FALSE)*L50</f>
        <v>0.31666666666666599</v>
      </c>
      <c r="K50" s="96">
        <f ca="1">HLOOKUP($H$5,'Met Data'!$O$2:$T$368,G50,FALSE)</f>
        <v>2.9125814341448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45411</v>
      </c>
      <c r="Q50">
        <f ca="1"/>
        <v>146.36993147662795</v>
      </c>
      <c r="R50">
        <f ca="1"/>
        <v>3.9304969408682027</v>
      </c>
      <c r="S50">
        <f ca="1"/>
        <v>0.10982849135518791</v>
      </c>
      <c r="T50">
        <f ca="1"/>
        <v>1.2020692649964186</v>
      </c>
      <c r="U50">
        <f ca="1"/>
        <v>0</v>
      </c>
      <c r="V50">
        <f ca="1"/>
        <v>67.322768303886448</v>
      </c>
      <c r="W50">
        <f ca="1"/>
        <v>46.247447486044948</v>
      </c>
      <c r="X50">
        <f ca="1"/>
        <v>3.808517423589409</v>
      </c>
      <c r="Y50">
        <f ca="1"/>
        <v>1</v>
      </c>
      <c r="Z50">
        <f ca="1"/>
        <v>3.7969958971419615</v>
      </c>
      <c r="AA50">
        <f ca="1"/>
        <v>0</v>
      </c>
      <c r="AB50">
        <f ca="1"/>
        <v>0.9996745024003646</v>
      </c>
      <c r="AD50" s="2">
        <f t="shared" ca="1" si="2"/>
        <v>45411</v>
      </c>
      <c r="AE50">
        <f t="shared" ca="1" si="3"/>
        <v>0</v>
      </c>
      <c r="AG50" s="63">
        <f t="shared" ca="1" si="7"/>
        <v>154.10894584108559</v>
      </c>
      <c r="AH50" s="63">
        <f t="shared" ca="1" si="8"/>
        <v>154.10894584108559</v>
      </c>
      <c r="AI50" s="3">
        <f t="shared" ca="1" si="9"/>
        <v>0</v>
      </c>
    </row>
    <row r="51" spans="1:35">
      <c r="A51" s="12"/>
      <c r="B51" s="13"/>
      <c r="G51" s="3">
        <f t="shared" ca="1" si="4"/>
        <v>76</v>
      </c>
      <c r="H51" s="95">
        <f t="shared" ca="1" si="6"/>
        <v>45366</v>
      </c>
      <c r="I51" s="119">
        <f ca="1">HLOOKUP($H$5,'Met Data'!$A$2:$F$368,G51,FALSE)</f>
        <v>17.766666666666602</v>
      </c>
      <c r="J51" s="119">
        <f ca="1">HLOOKUP($H$5,'Met Data'!$H$2:$M$368,G51,FALSE)*L51</f>
        <v>2.25</v>
      </c>
      <c r="K51" s="96">
        <f ca="1">HLOOKUP($H$5,'Met Data'!$O$2:$T$368,G51,FALSE)</f>
        <v>2.3685635659939601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45412</v>
      </c>
      <c r="Q51">
        <f ca="1"/>
        <v>143.89168444591527</v>
      </c>
      <c r="R51">
        <f ca="1"/>
        <v>3.5903600383223875</v>
      </c>
      <c r="S51">
        <f ca="1"/>
        <v>8.5123344883896834E-2</v>
      </c>
      <c r="T51">
        <f ca="1"/>
        <v>1.0269896627258226</v>
      </c>
      <c r="U51">
        <f ca="1"/>
        <v>0</v>
      </c>
      <c r="V51">
        <f ca="1"/>
        <v>70.913128342208836</v>
      </c>
      <c r="W51">
        <f ca="1"/>
        <v>48.713849143487238</v>
      </c>
      <c r="X51">
        <f ca="1"/>
        <v>0</v>
      </c>
      <c r="Y51">
        <f ca="1"/>
        <v>0.97354852714932549</v>
      </c>
      <c r="Z51">
        <f ca="1"/>
        <v>0</v>
      </c>
      <c r="AA51">
        <f ca="1"/>
        <v>0</v>
      </c>
      <c r="AB51">
        <f ca="1"/>
        <v>0.99977604822821142</v>
      </c>
      <c r="AD51" s="2">
        <f t="shared" ca="1" si="2"/>
        <v>45412</v>
      </c>
      <c r="AE51">
        <f t="shared" ca="1" si="3"/>
        <v>0</v>
      </c>
      <c r="AG51" s="63">
        <f t="shared" ca="1" si="7"/>
        <v>147.48204448423766</v>
      </c>
      <c r="AH51" s="63">
        <f t="shared" ca="1" si="8"/>
        <v>147.48204448423766</v>
      </c>
      <c r="AI51" s="3">
        <f t="shared" ca="1" si="9"/>
        <v>0</v>
      </c>
    </row>
    <row r="52" spans="1:35" ht="15.75" thickBot="1">
      <c r="A52" s="14"/>
      <c r="B52" s="15"/>
      <c r="G52" s="3">
        <f t="shared" ca="1" si="4"/>
        <v>77</v>
      </c>
      <c r="H52" s="95">
        <f t="shared" ca="1" si="6"/>
        <v>45367</v>
      </c>
      <c r="I52" s="119">
        <f ca="1">HLOOKUP($H$5,'Met Data'!$A$2:$F$368,G52,FALSE)</f>
        <v>16.100000000000001</v>
      </c>
      <c r="J52" s="119">
        <f ca="1">HLOOKUP($H$5,'Met Data'!$H$2:$M$368,G52,FALSE)*L52</f>
        <v>1.4</v>
      </c>
      <c r="K52" s="96">
        <f ca="1">HLOOKUP($H$5,'Met Data'!$O$2:$T$368,G52,FALSE)</f>
        <v>2.7759280674014901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45413</v>
      </c>
      <c r="Q52">
        <f ca="1"/>
        <v>141.23712146944513</v>
      </c>
      <c r="R52">
        <f ca="1"/>
        <v>3.7411496261373003</v>
      </c>
      <c r="S52">
        <f ca="1"/>
        <v>7.6693754987388729E-2</v>
      </c>
      <c r="T52">
        <f ca="1"/>
        <v>1.0098928946797785</v>
      </c>
      <c r="U52">
        <f ca="1"/>
        <v>0</v>
      </c>
      <c r="V52">
        <f ca="1"/>
        <v>74.654277968346136</v>
      </c>
      <c r="W52">
        <f ca="1"/>
        <v>51.283835869095988</v>
      </c>
      <c r="X52">
        <f ca="1"/>
        <v>0</v>
      </c>
      <c r="Y52">
        <f ca="1"/>
        <v>0.94924707172197131</v>
      </c>
      <c r="Z52">
        <f ca="1"/>
        <v>0</v>
      </c>
      <c r="AA52">
        <f ca="1"/>
        <v>0</v>
      </c>
      <c r="AB52">
        <f ca="1"/>
        <v>0.99984577808889818</v>
      </c>
      <c r="AD52" s="2">
        <f t="shared" ca="1" si="2"/>
        <v>45413</v>
      </c>
      <c r="AE52">
        <f t="shared" ca="1" si="3"/>
        <v>0</v>
      </c>
      <c r="AG52" s="63">
        <f t="shared" ca="1" si="7"/>
        <v>144.97827109558244</v>
      </c>
      <c r="AH52" s="63">
        <f t="shared" ca="1" si="8"/>
        <v>144.97827109558244</v>
      </c>
      <c r="AI52" s="3">
        <f t="shared" ca="1" si="9"/>
        <v>0</v>
      </c>
    </row>
    <row r="53" spans="1:35">
      <c r="G53" s="3">
        <f t="shared" ca="1" si="4"/>
        <v>78</v>
      </c>
      <c r="H53" s="95">
        <f t="shared" ca="1" si="6"/>
        <v>45368</v>
      </c>
      <c r="I53" s="119">
        <f ca="1">HLOOKUP($H$5,'Met Data'!$A$2:$F$368,G53,FALSE)</f>
        <v>15.379166666666601</v>
      </c>
      <c r="J53" s="119">
        <f ca="1">HLOOKUP($H$5,'Met Data'!$H$2:$M$368,G53,FALSE)*L53</f>
        <v>3.68333333333333</v>
      </c>
      <c r="K53" s="96">
        <f ca="1">HLOOKUP($H$5,'Met Data'!$O$2:$T$368,G53,FALSE)</f>
        <v>2.7162290778951999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45414</v>
      </c>
      <c r="Q53">
        <f ca="1"/>
        <v>138.14121468616099</v>
      </c>
      <c r="R53">
        <f ca="1"/>
        <v>4.3200550309923784</v>
      </c>
      <c r="S53">
        <f ca="1"/>
        <v>7.9388916251360797E-2</v>
      </c>
      <c r="T53">
        <f ca="1"/>
        <v>1.1447593314569007</v>
      </c>
      <c r="U53">
        <f ca="1"/>
        <v>0</v>
      </c>
      <c r="V53">
        <f ca="1"/>
        <v>78.974332999338515</v>
      </c>
      <c r="W53">
        <f ca="1"/>
        <v>54.251502279972172</v>
      </c>
      <c r="X53">
        <f ca="1"/>
        <v>0</v>
      </c>
      <c r="Y53">
        <f ca="1"/>
        <v>0.96223526546537974</v>
      </c>
      <c r="Z53">
        <f ca="1"/>
        <v>0</v>
      </c>
      <c r="AA53">
        <f ca="1"/>
        <v>0</v>
      </c>
      <c r="AB53">
        <f ca="1"/>
        <v>0.99989784229617118</v>
      </c>
      <c r="AD53" s="2">
        <f t="shared" ca="1" si="2"/>
        <v>45414</v>
      </c>
      <c r="AE53">
        <f t="shared" ca="1" si="3"/>
        <v>0</v>
      </c>
      <c r="AG53" s="63">
        <f t="shared" ca="1" si="7"/>
        <v>142.46126971715339</v>
      </c>
      <c r="AH53" s="63">
        <f t="shared" ca="1" si="8"/>
        <v>142.46126971715336</v>
      </c>
      <c r="AI53" s="3">
        <f t="shared" ca="1" si="9"/>
        <v>0</v>
      </c>
    </row>
    <row r="54" spans="1:35">
      <c r="G54" s="3">
        <f t="shared" ca="1" si="4"/>
        <v>79</v>
      </c>
      <c r="H54" s="95">
        <f t="shared" ca="1" si="6"/>
        <v>45369</v>
      </c>
      <c r="I54" s="119">
        <f ca="1">HLOOKUP($H$5,'Met Data'!$A$2:$F$368,G54,FALSE)</f>
        <v>15.858333333333301</v>
      </c>
      <c r="J54" s="119">
        <f ca="1">HLOOKUP($H$5,'Met Data'!$H$2:$M$368,G54,FALSE)*L54</f>
        <v>0.85</v>
      </c>
      <c r="K54" s="96">
        <f ca="1">HLOOKUP($H$5,'Met Data'!$O$2:$T$368,G54,FALSE)</f>
        <v>2.8216063312721902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45415</v>
      </c>
      <c r="Q54">
        <f ca="1"/>
        <v>134.8222600176224</v>
      </c>
      <c r="R54">
        <f ca="1"/>
        <v>4.5413056560396541</v>
      </c>
      <c r="S54">
        <f ca="1"/>
        <v>7.2529565918671324E-2</v>
      </c>
      <c r="T54">
        <f ca="1"/>
        <v>1.1498214215824081</v>
      </c>
      <c r="U54">
        <f ca="1"/>
        <v>0</v>
      </c>
      <c r="V54">
        <f ca="1"/>
        <v>83.515638655378169</v>
      </c>
      <c r="W54">
        <f ca="1"/>
        <v>57.371157043688257</v>
      </c>
      <c r="X54">
        <f ca="1"/>
        <v>0</v>
      </c>
      <c r="Y54">
        <f ca="1"/>
        <v>0.99623288206477567</v>
      </c>
      <c r="Z54">
        <f ca="1"/>
        <v>0</v>
      </c>
      <c r="AA54">
        <f ca="1"/>
        <v>0</v>
      </c>
      <c r="AB54">
        <f ca="1"/>
        <v>0.99993243759361461</v>
      </c>
      <c r="AD54" s="2">
        <f t="shared" ca="1" si="2"/>
        <v>45415</v>
      </c>
      <c r="AE54">
        <f t="shared" ca="1" si="3"/>
        <v>0</v>
      </c>
      <c r="AG54" s="63">
        <f t="shared" ca="1" si="7"/>
        <v>139.36356567366207</v>
      </c>
      <c r="AH54" s="63">
        <f t="shared" ca="1" si="8"/>
        <v>139.36356567366204</v>
      </c>
      <c r="AI54" s="3">
        <f t="shared" ca="1" si="9"/>
        <v>0</v>
      </c>
    </row>
    <row r="55" spans="1:35">
      <c r="G55" s="3">
        <f t="shared" ca="1" si="4"/>
        <v>80</v>
      </c>
      <c r="H55" s="95">
        <f t="shared" ca="1" si="6"/>
        <v>45370</v>
      </c>
      <c r="I55" s="119">
        <f ca="1">HLOOKUP($H$5,'Met Data'!$A$2:$F$368,G55,FALSE)</f>
        <v>16.216666666666601</v>
      </c>
      <c r="J55" s="119">
        <f ca="1">HLOOKUP($H$5,'Met Data'!$H$2:$M$368,G55,FALSE)*L55</f>
        <v>8.3333333333333301E-2</v>
      </c>
      <c r="K55" s="96">
        <f ca="1">HLOOKUP($H$5,'Met Data'!$O$2:$T$368,G55,FALSE)</f>
        <v>2.7500481593686201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45416</v>
      </c>
      <c r="Q55">
        <f ca="1"/>
        <v>128.28772235438524</v>
      </c>
      <c r="R55">
        <f ca="1"/>
        <v>4.9187156095377702</v>
      </c>
      <c r="S55">
        <f ca="1"/>
        <v>6.8667018410906167E-2</v>
      </c>
      <c r="T55">
        <f ca="1"/>
        <v>1.1964338713583946</v>
      </c>
      <c r="U55">
        <f ca="1"/>
        <v>0</v>
      </c>
      <c r="V55">
        <f ca="1"/>
        <v>88.434354264915939</v>
      </c>
      <c r="W55">
        <f ca="1"/>
        <v>60.750073977467331</v>
      </c>
      <c r="X55">
        <f ca="1"/>
        <v>2.8809229434687134</v>
      </c>
      <c r="Y55">
        <f ca="1"/>
        <v>1</v>
      </c>
      <c r="Z55">
        <f ca="1"/>
        <v>3.3416742335504139</v>
      </c>
      <c r="AA55">
        <f ca="1"/>
        <v>0</v>
      </c>
      <c r="AB55">
        <f ca="1"/>
        <v>0.99995595200734388</v>
      </c>
      <c r="AD55" s="2">
        <f t="shared" ca="1" si="2"/>
        <v>45416</v>
      </c>
      <c r="AE55">
        <f t="shared" ca="1" si="3"/>
        <v>0</v>
      </c>
      <c r="AG55" s="63">
        <f t="shared" ca="1" si="7"/>
        <v>136.08736090739171</v>
      </c>
      <c r="AH55" s="63">
        <f t="shared" ca="1" si="8"/>
        <v>136.08736090739171</v>
      </c>
      <c r="AI55" s="3">
        <f t="shared" ca="1" si="9"/>
        <v>0</v>
      </c>
    </row>
    <row r="56" spans="1:35">
      <c r="G56" s="3">
        <f t="shared" ca="1" si="4"/>
        <v>81</v>
      </c>
      <c r="H56" s="95">
        <f t="shared" ca="1" si="6"/>
        <v>45371</v>
      </c>
      <c r="I56" s="119">
        <f ca="1">HLOOKUP($H$5,'Met Data'!$A$2:$F$368,G56,FALSE)</f>
        <v>16.483333333333299</v>
      </c>
      <c r="J56" s="119">
        <f ca="1">HLOOKUP($H$5,'Met Data'!$H$2:$M$368,G56,FALSE)*L56</f>
        <v>1.11666666666666</v>
      </c>
      <c r="K56" s="96">
        <f ca="1">HLOOKUP($H$5,'Met Data'!$O$2:$T$368,G56,FALSE)</f>
        <v>2.6292753041097501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45417</v>
      </c>
      <c r="Q56">
        <f ca="1"/>
        <v>123.60116871386879</v>
      </c>
      <c r="R56">
        <f ca="1"/>
        <v>5.0227593416488787</v>
      </c>
      <c r="S56">
        <f ca="1"/>
        <v>6.0879745132552898E-2</v>
      </c>
      <c r="T56">
        <f ca="1"/>
        <v>1.1633877060079865</v>
      </c>
      <c r="U56">
        <f ca="1"/>
        <v>0</v>
      </c>
      <c r="V56">
        <f ca="1"/>
        <v>93.457113606564818</v>
      </c>
      <c r="W56">
        <f ca="1"/>
        <v>64.200463863982719</v>
      </c>
      <c r="X56">
        <f ca="1"/>
        <v>0.88806175000811804</v>
      </c>
      <c r="Y56">
        <f ca="1"/>
        <v>1</v>
      </c>
      <c r="Z56">
        <f ca="1"/>
        <v>1.0691487928222756</v>
      </c>
      <c r="AA56">
        <f ca="1"/>
        <v>0</v>
      </c>
      <c r="AB56">
        <f ca="1"/>
        <v>0.99997099124870281</v>
      </c>
      <c r="AD56" s="2">
        <f t="shared" ca="1" si="2"/>
        <v>45417</v>
      </c>
      <c r="AE56">
        <f t="shared" ca="1" si="3"/>
        <v>0</v>
      </c>
      <c r="AG56" s="63">
        <f t="shared" ca="1" si="7"/>
        <v>129.51198980552579</v>
      </c>
      <c r="AH56" s="63">
        <f t="shared" ca="1" si="8"/>
        <v>129.51198980552579</v>
      </c>
      <c r="AI56" s="3">
        <f t="shared" ca="1" si="9"/>
        <v>0</v>
      </c>
    </row>
    <row r="57" spans="1:35">
      <c r="G57" s="3">
        <f t="shared" ca="1" si="4"/>
        <v>82</v>
      </c>
      <c r="H57" s="95">
        <f t="shared" ca="1" si="6"/>
        <v>45372</v>
      </c>
      <c r="I57" s="119">
        <f ca="1">HLOOKUP($H$5,'Met Data'!$A$2:$F$368,G57,FALSE)</f>
        <v>16.6791666666666</v>
      </c>
      <c r="J57" s="119">
        <f ca="1">HLOOKUP($H$5,'Met Data'!$H$2:$M$368,G57,FALSE)*L57</f>
        <v>1.63333333333333</v>
      </c>
      <c r="K57" s="96">
        <f ca="1">HLOOKUP($H$5,'Met Data'!$O$2:$T$368,G57,FALSE)</f>
        <v>2.3413673129625598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45418</v>
      </c>
      <c r="Q57">
        <f ca="1"/>
        <v>116.53489479956967</v>
      </c>
      <c r="R57">
        <f ca="1"/>
        <v>5.0049312809103128</v>
      </c>
      <c r="S57">
        <f ca="1"/>
        <v>5.3010607163344048E-2</v>
      </c>
      <c r="T57">
        <f ca="1"/>
        <v>1.103933748231299</v>
      </c>
      <c r="U57">
        <f ca="1"/>
        <v>0</v>
      </c>
      <c r="V57">
        <f ca="1"/>
        <v>98.46204488747513</v>
      </c>
      <c r="W57">
        <f ca="1"/>
        <v>67.638606745160132</v>
      </c>
      <c r="X57">
        <f ca="1"/>
        <v>3.2182869887834418</v>
      </c>
      <c r="Y57">
        <f ca="1"/>
        <v>1</v>
      </c>
      <c r="Z57">
        <f ca="1"/>
        <v>4.1094750054948008</v>
      </c>
      <c r="AA57">
        <f ca="1"/>
        <v>0</v>
      </c>
      <c r="AB57">
        <f ca="1"/>
        <v>0.99998053666497388</v>
      </c>
      <c r="AD57" s="2">
        <f t="shared" ca="1" si="2"/>
        <v>45418</v>
      </c>
      <c r="AE57">
        <f t="shared" ca="1" si="3"/>
        <v>0</v>
      </c>
      <c r="AG57" s="63">
        <f t="shared" ca="1" si="7"/>
        <v>124.75811306926343</v>
      </c>
      <c r="AH57" s="63">
        <f t="shared" ca="1" si="8"/>
        <v>124.75811306926343</v>
      </c>
      <c r="AI57" s="3">
        <f t="shared" ca="1" si="9"/>
        <v>0</v>
      </c>
    </row>
    <row r="58" spans="1:35">
      <c r="G58" s="3">
        <f t="shared" ca="1" si="4"/>
        <v>83</v>
      </c>
      <c r="H58" s="95">
        <f t="shared" ca="1" si="6"/>
        <v>45373</v>
      </c>
      <c r="I58" s="119">
        <f ca="1">HLOOKUP($H$5,'Met Data'!$A$2:$F$368,G58,FALSE)</f>
        <v>16.8</v>
      </c>
      <c r="J58" s="119">
        <f ca="1">HLOOKUP($H$5,'Met Data'!$H$2:$M$368,G58,FALSE)*L58</f>
        <v>2.2833333333333301</v>
      </c>
      <c r="K58" s="96">
        <f ca="1">HLOOKUP($H$5,'Met Data'!$O$2:$T$368,G58,FALSE)</f>
        <v>2.7038604411954998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45419</v>
      </c>
      <c r="Q58">
        <f ca="1"/>
        <v>111.76847692087928</v>
      </c>
      <c r="R58">
        <f ca="1"/>
        <v>5.2590950934624914</v>
      </c>
      <c r="S58">
        <f ca="1"/>
        <v>4.9406075394472282E-2</v>
      </c>
      <c r="T58">
        <f ca="1"/>
        <v>1.115919338949912</v>
      </c>
      <c r="U58">
        <f ca="1"/>
        <v>0</v>
      </c>
      <c r="V58">
        <f ca="1"/>
        <v>103.72113998093762</v>
      </c>
      <c r="W58">
        <f ca="1"/>
        <v>71.251347728435817</v>
      </c>
      <c r="X58">
        <f ca="1"/>
        <v>0.67264819957227828</v>
      </c>
      <c r="Y58">
        <f ca="1"/>
        <v>1</v>
      </c>
      <c r="Z58">
        <f ca="1"/>
        <v>0.89554252585418226</v>
      </c>
      <c r="AA58">
        <f ca="1"/>
        <v>0</v>
      </c>
      <c r="AB58">
        <f ca="1"/>
        <v>0.99998699074499842</v>
      </c>
      <c r="AD58" s="2">
        <f t="shared" ca="1" si="2"/>
        <v>45419</v>
      </c>
      <c r="AE58">
        <f t="shared" ca="1" si="3"/>
        <v>0</v>
      </c>
      <c r="AG58" s="63">
        <f t="shared" ca="1" si="7"/>
        <v>117.70022021391405</v>
      </c>
      <c r="AH58" s="63">
        <f t="shared" ca="1" si="8"/>
        <v>117.70022021391405</v>
      </c>
      <c r="AI58" s="3">
        <f t="shared" ca="1" si="9"/>
        <v>0</v>
      </c>
    </row>
    <row r="59" spans="1:35">
      <c r="G59" s="3">
        <f t="shared" ca="1" si="4"/>
        <v>84</v>
      </c>
      <c r="H59" s="95">
        <f t="shared" ca="1" si="6"/>
        <v>45374</v>
      </c>
      <c r="I59" s="119">
        <f ca="1">HLOOKUP($H$5,'Met Data'!$A$2:$F$368,G59,FALSE)</f>
        <v>16.237500000000001</v>
      </c>
      <c r="J59" s="119">
        <f ca="1">HLOOKUP($H$5,'Met Data'!$H$2:$M$368,G59,FALSE)*L59</f>
        <v>3.7833333333333301</v>
      </c>
      <c r="K59" s="96">
        <f ca="1">HLOOKUP($H$5,'Met Data'!$O$2:$T$368,G59,FALSE)</f>
        <v>2.1387131538714801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45420</v>
      </c>
      <c r="Q59">
        <f ca="1"/>
        <v>107.03432786618495</v>
      </c>
      <c r="R59">
        <f ca="1"/>
        <v>6.0350364647206334</v>
      </c>
      <c r="S59">
        <f ca="1"/>
        <v>5.0927509070078258E-2</v>
      </c>
      <c r="T59">
        <f ca="1"/>
        <v>1.2499599009562317</v>
      </c>
      <c r="U59">
        <f ca="1"/>
        <v>0</v>
      </c>
      <c r="V59">
        <f ca="1"/>
        <v>109.75617644565826</v>
      </c>
      <c r="W59">
        <f ca="1"/>
        <v>75.397122464238251</v>
      </c>
      <c r="X59">
        <f ca="1"/>
        <v>0</v>
      </c>
      <c r="Y59">
        <f ca="1"/>
        <v>0.99766630265981671</v>
      </c>
      <c r="Z59">
        <f ca="1"/>
        <v>0</v>
      </c>
      <c r="AA59">
        <f ca="1"/>
        <v>0</v>
      </c>
      <c r="AB59">
        <f ca="1"/>
        <v>0.99999165326420958</v>
      </c>
      <c r="AD59" s="2">
        <f t="shared" ca="1" si="2"/>
        <v>45420</v>
      </c>
      <c r="AE59">
        <f t="shared" ca="1" si="3"/>
        <v>0</v>
      </c>
      <c r="AG59" s="63">
        <f t="shared" ca="1" si="7"/>
        <v>113.06936433090559</v>
      </c>
      <c r="AH59" s="63">
        <f t="shared" ca="1" si="8"/>
        <v>113.06936433090559</v>
      </c>
      <c r="AI59" s="3">
        <f t="shared" ca="1" si="9"/>
        <v>0</v>
      </c>
    </row>
    <row r="60" spans="1:35">
      <c r="A60" s="1"/>
      <c r="B60" s="1"/>
      <c r="G60" s="3">
        <f t="shared" ca="1" si="4"/>
        <v>85</v>
      </c>
      <c r="H60" s="95">
        <f t="shared" ca="1" si="6"/>
        <v>45375</v>
      </c>
      <c r="I60" s="119">
        <f ca="1">HLOOKUP($H$5,'Met Data'!$A$2:$F$368,G60,FALSE)</f>
        <v>16.875</v>
      </c>
      <c r="J60" s="119">
        <f ca="1">HLOOKUP($H$5,'Met Data'!$H$2:$M$368,G60,FALSE)*L60</f>
        <v>2.9</v>
      </c>
      <c r="K60" s="96">
        <f ca="1">HLOOKUP($H$5,'Met Data'!$O$2:$T$368,G60,FALSE)</f>
        <v>2.4308063740099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45421</v>
      </c>
      <c r="Q60">
        <f ca="1"/>
        <v>101.99925783947225</v>
      </c>
      <c r="R60">
        <f ca="1"/>
        <v>6.1263246126772657</v>
      </c>
      <c r="S60">
        <f ca="1"/>
        <v>4.5465150385496145E-2</v>
      </c>
      <c r="T60">
        <f ca="1"/>
        <v>1.2120793861153534</v>
      </c>
      <c r="U60">
        <f ca="1"/>
        <v>0</v>
      </c>
      <c r="V60">
        <f ca="1"/>
        <v>115.88250105833552</v>
      </c>
      <c r="W60">
        <f ca="1"/>
        <v>79.605607690638251</v>
      </c>
      <c r="X60">
        <f ca="1"/>
        <v>0.16628995053628037</v>
      </c>
      <c r="Y60">
        <f ca="1"/>
        <v>1</v>
      </c>
      <c r="Z60">
        <f ca="1"/>
        <v>0.24259763049283833</v>
      </c>
      <c r="AA60">
        <f ca="1"/>
        <v>0</v>
      </c>
      <c r="AB60">
        <f ca="1"/>
        <v>0.99999458400397856</v>
      </c>
      <c r="AD60" s="2">
        <f t="shared" ca="1" si="2"/>
        <v>45421</v>
      </c>
      <c r="AE60">
        <f t="shared" ca="1" si="3"/>
        <v>0</v>
      </c>
      <c r="AG60" s="63">
        <f t="shared" ca="1" si="7"/>
        <v>108.2918724026858</v>
      </c>
      <c r="AH60" s="63">
        <f t="shared" ca="1" si="8"/>
        <v>108.2918724026858</v>
      </c>
      <c r="AI60" s="3">
        <f t="shared" ca="1" si="9"/>
        <v>0</v>
      </c>
    </row>
    <row r="61" spans="1:35">
      <c r="G61" s="3">
        <f t="shared" ca="1" si="4"/>
        <v>86</v>
      </c>
      <c r="H61" s="95">
        <f t="shared" ca="1" si="6"/>
        <v>45376</v>
      </c>
      <c r="I61" s="119">
        <f ca="1">HLOOKUP($H$5,'Met Data'!$A$2:$F$368,G61,FALSE)</f>
        <v>17.024999999999999</v>
      </c>
      <c r="J61" s="119">
        <f ca="1">HLOOKUP($H$5,'Met Data'!$H$2:$M$368,G61,FALSE)*L61</f>
        <v>3.7333333333333298</v>
      </c>
      <c r="K61" s="96">
        <f ca="1">HLOOKUP($H$5,'Met Data'!$O$2:$T$368,G61,FALSE)</f>
        <v>2.3866525377963699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45422</v>
      </c>
      <c r="Q61">
        <f ca="1"/>
        <v>95.43064633672391</v>
      </c>
      <c r="R61">
        <f ca="1"/>
        <v>6.0647718446898153</v>
      </c>
      <c r="S61">
        <f ca="1"/>
        <v>3.9871646082133338E-2</v>
      </c>
      <c r="T61">
        <f ca="1"/>
        <v>1.1460235626866051</v>
      </c>
      <c r="U61">
        <f ca="1"/>
        <v>0</v>
      </c>
      <c r="V61">
        <f ca="1"/>
        <v>121.94727290302534</v>
      </c>
      <c r="W61">
        <f ca="1"/>
        <v>83.771809177423279</v>
      </c>
      <c r="X61">
        <f ca="1"/>
        <v>1.6897348668272598</v>
      </c>
      <c r="Y61">
        <f ca="1"/>
        <v>1</v>
      </c>
      <c r="Z61">
        <f ca="1"/>
        <v>2.6348036883795629</v>
      </c>
      <c r="AA61">
        <f ca="1"/>
        <v>0</v>
      </c>
      <c r="AB61">
        <f ca="1"/>
        <v>0.99999641399663486</v>
      </c>
      <c r="AD61" s="2">
        <f t="shared" ca="1" si="2"/>
        <v>45422</v>
      </c>
      <c r="AE61">
        <f t="shared" ca="1" si="3"/>
        <v>0</v>
      </c>
      <c r="AG61" s="63">
        <f t="shared" ca="1" si="7"/>
        <v>103.18515304824099</v>
      </c>
      <c r="AH61" s="63">
        <f t="shared" ca="1" si="8"/>
        <v>103.18515304824099</v>
      </c>
      <c r="AI61" s="3">
        <f t="shared" ca="1" si="9"/>
        <v>0</v>
      </c>
    </row>
    <row r="62" spans="1:35">
      <c r="G62" s="3">
        <f t="shared" ca="1" si="4"/>
        <v>87</v>
      </c>
      <c r="H62" s="95">
        <f t="shared" ca="1" si="6"/>
        <v>45377</v>
      </c>
      <c r="I62" s="119">
        <f ca="1">HLOOKUP($H$5,'Met Data'!$A$2:$F$368,G62,FALSE)</f>
        <v>17.3</v>
      </c>
      <c r="J62" s="119">
        <f ca="1">HLOOKUP($H$5,'Met Data'!$H$2:$M$368,G62,FALSE)*L62</f>
        <v>1.93333333333333</v>
      </c>
      <c r="K62" s="96">
        <f ca="1">HLOOKUP($H$5,'Met Data'!$O$2:$T$368,G62,FALSE)</f>
        <v>2.6501779961824399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45423</v>
      </c>
      <c r="Q62">
        <f ca="1"/>
        <v>87.260091620192171</v>
      </c>
      <c r="R62">
        <f ca="1"/>
        <v>6.510325502731618</v>
      </c>
      <c r="S62">
        <f ca="1"/>
        <v>3.8704866615290712E-2</v>
      </c>
      <c r="T62">
        <f ca="1"/>
        <v>1.1938383985355783</v>
      </c>
      <c r="U62">
        <f ca="1"/>
        <v>0</v>
      </c>
      <c r="V62">
        <f ca="1"/>
        <v>128.45759840575695</v>
      </c>
      <c r="W62">
        <f ca="1"/>
        <v>88.244084224782853</v>
      </c>
      <c r="X62">
        <f ca="1"/>
        <v>2.8927724789509943</v>
      </c>
      <c r="Y62">
        <f ca="1"/>
        <v>1</v>
      </c>
      <c r="Z62">
        <f ca="1"/>
        <v>4.9330574671925902</v>
      </c>
      <c r="AA62">
        <f ca="1"/>
        <v>0</v>
      </c>
      <c r="AB62">
        <f ca="1"/>
        <v>0.99999766028064863</v>
      </c>
      <c r="AD62" s="2">
        <f t="shared" ca="1" si="2"/>
        <v>45423</v>
      </c>
      <c r="AE62">
        <f t="shared" ca="1" si="3"/>
        <v>0</v>
      </c>
      <c r="AG62" s="63">
        <f t="shared" ca="1" si="7"/>
        <v>96.663189601874777</v>
      </c>
      <c r="AH62" s="63">
        <f t="shared" ca="1" si="8"/>
        <v>96.663189601874777</v>
      </c>
      <c r="AI62" s="3">
        <f t="shared" ca="1" si="9"/>
        <v>0</v>
      </c>
    </row>
    <row r="63" spans="1:35">
      <c r="G63" s="3">
        <f t="shared" ca="1" si="4"/>
        <v>88</v>
      </c>
      <c r="H63" s="95">
        <f t="shared" ca="1" si="6"/>
        <v>45378</v>
      </c>
      <c r="I63" s="119">
        <f ca="1">HLOOKUP($H$5,'Met Data'!$A$2:$F$368,G63,FALSE)</f>
        <v>15.983333333333301</v>
      </c>
      <c r="J63" s="119">
        <f ca="1">HLOOKUP($H$5,'Met Data'!$H$2:$M$368,G63,FALSE)*L63</f>
        <v>1.2166666666666599</v>
      </c>
      <c r="K63" s="96">
        <f ca="1">HLOOKUP($H$5,'Met Data'!$O$2:$T$368,G63,FALSE)</f>
        <v>2.2352735074469998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45424</v>
      </c>
      <c r="Q63">
        <f ca="1"/>
        <v>79.962286942816235</v>
      </c>
      <c r="R63">
        <f ca="1"/>
        <v>6.3982125095685376</v>
      </c>
      <c r="S63">
        <f ca="1"/>
        <v>3.4135124987841436E-2</v>
      </c>
      <c r="T63">
        <f ca="1"/>
        <v>1.1246486102832467</v>
      </c>
      <c r="U63">
        <f ca="1"/>
        <v>0</v>
      </c>
      <c r="V63">
        <f ca="1"/>
        <v>134.85581091532549</v>
      </c>
      <c r="W63">
        <f ca="1"/>
        <v>92.639343131920555</v>
      </c>
      <c r="X63">
        <f ca="1"/>
        <v>2.0583759030784909</v>
      </c>
      <c r="Y63">
        <f ca="1"/>
        <v>1</v>
      </c>
      <c r="Z63">
        <f ca="1"/>
        <v>3.8305139195310716</v>
      </c>
      <c r="AA63">
        <f ca="1"/>
        <v>0</v>
      </c>
      <c r="AB63">
        <f ca="1"/>
        <v>0.99999844044604858</v>
      </c>
      <c r="AD63" s="2">
        <f t="shared" ca="1" si="2"/>
        <v>45424</v>
      </c>
      <c r="AE63">
        <f t="shared" ca="1" si="3"/>
        <v>0</v>
      </c>
      <c r="AG63" s="63">
        <f t="shared" ca="1" si="7"/>
        <v>88.418875355463257</v>
      </c>
      <c r="AH63" s="63">
        <f t="shared" ca="1" si="8"/>
        <v>88.418875355463257</v>
      </c>
      <c r="AI63" s="3">
        <f t="shared" ca="1" si="9"/>
        <v>0</v>
      </c>
    </row>
    <row r="64" spans="1:35">
      <c r="G64" s="3">
        <f t="shared" ca="1" si="4"/>
        <v>89</v>
      </c>
      <c r="H64" s="95">
        <f t="shared" ca="1" si="6"/>
        <v>45379</v>
      </c>
      <c r="I64" s="119">
        <f ca="1">HLOOKUP($H$5,'Met Data'!$A$2:$F$368,G64,FALSE)</f>
        <v>16.404166666666601</v>
      </c>
      <c r="J64" s="119">
        <f ca="1">HLOOKUP($H$5,'Met Data'!$H$2:$M$368,G64,FALSE)*L64</f>
        <v>2.3333333333333299</v>
      </c>
      <c r="K64" s="96">
        <f ca="1">HLOOKUP($H$5,'Met Data'!$O$2:$T$368,G64,FALSE)</f>
        <v>2.3461969045698901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45425</v>
      </c>
      <c r="Q64">
        <f ca="1"/>
        <v>72.673881107936154</v>
      </c>
      <c r="R64">
        <f ca="1"/>
        <v>6.661551372737506</v>
      </c>
      <c r="S64">
        <f ca="1"/>
        <v>3.2461511759976247E-2</v>
      </c>
      <c r="T64">
        <f ca="1"/>
        <v>1.1359338059356874</v>
      </c>
      <c r="U64">
        <f ca="1"/>
        <v>0</v>
      </c>
      <c r="V64">
        <f ca="1"/>
        <v>141.517362288063</v>
      </c>
      <c r="W64">
        <f ca="1"/>
        <v>97.215502951962975</v>
      </c>
      <c r="X64">
        <f ca="1"/>
        <v>1.7952497798382507</v>
      </c>
      <c r="Y64">
        <f ca="1"/>
        <v>1</v>
      </c>
      <c r="Z64">
        <f ca="1"/>
        <v>3.6759034042223391</v>
      </c>
      <c r="AA64">
        <f ca="1"/>
        <v>0</v>
      </c>
      <c r="AB64">
        <f ca="1"/>
        <v>0.9999989641446182</v>
      </c>
      <c r="AD64" s="2">
        <f t="shared" ca="1" si="2"/>
        <v>45425</v>
      </c>
      <c r="AE64">
        <f t="shared" ca="1" si="3"/>
        <v>0</v>
      </c>
      <c r="AG64" s="63">
        <f t="shared" ca="1" si="7"/>
        <v>81.130682260511904</v>
      </c>
      <c r="AH64" s="63">
        <f t="shared" ca="1" si="8"/>
        <v>81.130682260511904</v>
      </c>
      <c r="AI64" s="3">
        <f t="shared" ca="1" si="9"/>
        <v>0</v>
      </c>
    </row>
    <row r="65" spans="7:35">
      <c r="G65" s="3">
        <f t="shared" ca="1" si="4"/>
        <v>90</v>
      </c>
      <c r="H65" s="95">
        <f t="shared" ca="1" si="6"/>
        <v>45380</v>
      </c>
      <c r="I65" s="119">
        <f ca="1">HLOOKUP($H$5,'Met Data'!$A$2:$F$368,G65,FALSE)</f>
        <v>16.629166666666599</v>
      </c>
      <c r="J65" s="119">
        <f ca="1">HLOOKUP($H$5,'Met Data'!$H$2:$M$368,G65,FALSE)*L65</f>
        <v>2.2333333333333298</v>
      </c>
      <c r="K65" s="96">
        <f ca="1">HLOOKUP($H$5,'Met Data'!$O$2:$T$368,G65,FALSE)</f>
        <v>2.5330458314755799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45426</v>
      </c>
      <c r="Q65">
        <f ca="1"/>
        <v>63.521453176296873</v>
      </c>
      <c r="R65">
        <f ca="1"/>
        <v>7.1176486587570764</v>
      </c>
      <c r="S65">
        <f ca="1"/>
        <v>3.1936559983847701E-2</v>
      </c>
      <c r="T65">
        <f ca="1"/>
        <v>1.1839211204463831</v>
      </c>
      <c r="U65">
        <f ca="1"/>
        <v>0</v>
      </c>
      <c r="V65">
        <f ca="1"/>
        <v>148.63501094682007</v>
      </c>
      <c r="W65">
        <f ca="1"/>
        <v>102.10497928906398</v>
      </c>
      <c r="X65">
        <f ca="1"/>
        <v>3.2506369533124384</v>
      </c>
      <c r="Y65">
        <f ca="1"/>
        <v>1</v>
      </c>
      <c r="Z65">
        <f ca="1"/>
        <v>7.6149245672803048</v>
      </c>
      <c r="AA65">
        <f ca="1"/>
        <v>0</v>
      </c>
      <c r="AB65">
        <f ca="1"/>
        <v>0.99999932210599318</v>
      </c>
      <c r="AD65" s="2">
        <f t="shared" ca="1" si="2"/>
        <v>45426</v>
      </c>
      <c r="AE65">
        <f t="shared" ca="1" si="3"/>
        <v>0</v>
      </c>
      <c r="AG65" s="63">
        <f t="shared" ca="1" si="7"/>
        <v>73.889738788366387</v>
      </c>
      <c r="AH65" s="63">
        <f t="shared" ca="1" si="8"/>
        <v>73.889738788366387</v>
      </c>
      <c r="AI65" s="3">
        <f t="shared" ca="1" si="9"/>
        <v>0</v>
      </c>
    </row>
    <row r="66" spans="7:35">
      <c r="G66" s="3">
        <f t="shared" ca="1" si="4"/>
        <v>91</v>
      </c>
      <c r="H66" s="95">
        <f t="shared" ca="1" si="6"/>
        <v>45381</v>
      </c>
      <c r="I66" s="119">
        <f ca="1">HLOOKUP($H$5,'Met Data'!$A$2:$F$368,G66,FALSE)</f>
        <v>16.112499999999901</v>
      </c>
      <c r="J66" s="119">
        <f ca="1">HLOOKUP($H$5,'Met Data'!$H$2:$M$368,G66,FALSE)*L66</f>
        <v>2.0833333333333299</v>
      </c>
      <c r="K66" s="96">
        <f ca="1">HLOOKUP($H$5,'Met Data'!$O$2:$T$368,G66,FALSE)</f>
        <v>2.4661161715906501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45427</v>
      </c>
      <c r="Q66">
        <f ca="1"/>
        <v>56.303317149735207</v>
      </c>
      <c r="R66">
        <f ca="1"/>
        <v>6.9966094555462064</v>
      </c>
      <c r="S66">
        <f ca="1"/>
        <v>2.8711326401264614E-2</v>
      </c>
      <c r="T66">
        <f ca="1"/>
        <v>1.1225663964297876</v>
      </c>
      <c r="U66">
        <f ca="1"/>
        <v>0</v>
      </c>
      <c r="V66">
        <f ca="1"/>
        <v>155.63162040236628</v>
      </c>
      <c r="W66">
        <f ca="1"/>
        <v>106.91130761643102</v>
      </c>
      <c r="X66">
        <f ca="1"/>
        <v>1.372804293846517</v>
      </c>
      <c r="Y66">
        <f ca="1"/>
        <v>1</v>
      </c>
      <c r="Z66">
        <f ca="1"/>
        <v>3.6282082697318501</v>
      </c>
      <c r="AA66">
        <f ca="1"/>
        <v>0</v>
      </c>
      <c r="AB66">
        <f ca="1"/>
        <v>0.99999954784954947</v>
      </c>
      <c r="AD66" s="2">
        <f t="shared" ca="1" si="2"/>
        <v>45427</v>
      </c>
      <c r="AE66">
        <f t="shared" ca="1" si="3"/>
        <v>0</v>
      </c>
      <c r="AG66" s="63">
        <f t="shared" ca="1" si="7"/>
        <v>64.672730899127927</v>
      </c>
      <c r="AH66" s="63">
        <f t="shared" ca="1" si="8"/>
        <v>64.672730899127927</v>
      </c>
      <c r="AI66" s="3">
        <f t="shared" ca="1" si="9"/>
        <v>0</v>
      </c>
    </row>
    <row r="67" spans="7:35">
      <c r="G67" s="3">
        <f t="shared" ca="1" si="4"/>
        <v>92</v>
      </c>
      <c r="H67" s="95">
        <f t="shared" ca="1" si="6"/>
        <v>45382</v>
      </c>
      <c r="I67" s="119">
        <f ca="1">HLOOKUP($H$5,'Met Data'!$A$2:$F$368,G67,FALSE)</f>
        <v>15.862500000000001</v>
      </c>
      <c r="J67" s="119">
        <f ca="1">HLOOKUP($H$5,'Met Data'!$H$2:$M$368,G67,FALSE)*L67</f>
        <v>1.3333333333333299</v>
      </c>
      <c r="K67" s="96">
        <f ca="1">HLOOKUP($H$5,'Met Data'!$O$2:$T$368,G67,FALSE)</f>
        <v>2.3173978620084501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45428</v>
      </c>
      <c r="Q67">
        <f ca="1"/>
        <v>49.75669155298268</v>
      </c>
      <c r="R67">
        <f ca="1"/>
        <v>6.8277577258274107</v>
      </c>
      <c r="S67">
        <f ca="1"/>
        <v>2.5896045686067737E-2</v>
      </c>
      <c r="T67">
        <f ca="1"/>
        <v>1.0608048404367543</v>
      </c>
      <c r="U67">
        <f ca="1"/>
        <v>0</v>
      </c>
      <c r="V67">
        <f ca="1"/>
        <v>162.45937812819369</v>
      </c>
      <c r="W67">
        <f ca="1"/>
        <v>111.6016430679875</v>
      </c>
      <c r="X67">
        <f ca="1"/>
        <v>0.80556875704793729</v>
      </c>
      <c r="Y67">
        <f ca="1"/>
        <v>1</v>
      </c>
      <c r="Z67">
        <f ca="1"/>
        <v>2.4091768500751201</v>
      </c>
      <c r="AA67">
        <f ca="1"/>
        <v>0</v>
      </c>
      <c r="AB67">
        <f ca="1"/>
        <v>0.99999969238719966</v>
      </c>
      <c r="AD67" s="2">
        <f t="shared" ca="1" si="2"/>
        <v>45428</v>
      </c>
      <c r="AE67">
        <f t="shared" ca="1" si="3"/>
        <v>0</v>
      </c>
      <c r="AG67" s="63">
        <f t="shared" ca="1" si="7"/>
        <v>57.390018035858027</v>
      </c>
      <c r="AH67" s="63">
        <f t="shared" ca="1" si="8"/>
        <v>57.390018035858027</v>
      </c>
      <c r="AI67" s="3">
        <f t="shared" ca="1" si="9"/>
        <v>0</v>
      </c>
    </row>
    <row r="68" spans="7:35">
      <c r="G68" s="3">
        <f t="shared" ca="1" si="4"/>
        <v>93</v>
      </c>
      <c r="H68" s="95">
        <f t="shared" ca="1" si="6"/>
        <v>45383</v>
      </c>
      <c r="I68" s="119">
        <f ca="1">HLOOKUP($H$5,'Met Data'!$A$2:$F$368,G68,FALSE)</f>
        <v>15.299999999999899</v>
      </c>
      <c r="J68" s="119">
        <f ca="1">HLOOKUP($H$5,'Met Data'!$H$2:$M$368,G68,FALSE)*L68</f>
        <v>0.36666666666666597</v>
      </c>
      <c r="K68" s="96">
        <f ca="1">HLOOKUP($H$5,'Met Data'!$O$2:$T$368,G68,FALSE)</f>
        <v>2.1311275850035698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45429</v>
      </c>
      <c r="Q68">
        <f ca="1"/>
        <v>43.782975230617424</v>
      </c>
      <c r="R68">
        <f ca="1"/>
        <v>6.6192428462255464</v>
      </c>
      <c r="S68">
        <f ca="1"/>
        <v>2.3439694009084633E-2</v>
      </c>
      <c r="T68">
        <f ca="1"/>
        <v>1.0000410259412769</v>
      </c>
      <c r="U68">
        <f ca="1"/>
        <v>0</v>
      </c>
      <c r="V68">
        <f ca="1"/>
        <v>169.07862097441924</v>
      </c>
      <c r="W68">
        <f ca="1"/>
        <v>116.14873900062047</v>
      </c>
      <c r="X68">
        <f ca="1"/>
        <v>0.3779541960900708</v>
      </c>
      <c r="Y68">
        <f ca="1"/>
        <v>1</v>
      </c>
      <c r="Z68">
        <f ca="1"/>
        <v>1.2845513306234366</v>
      </c>
      <c r="AA68">
        <f ca="1"/>
        <v>0</v>
      </c>
      <c r="AB68">
        <f ca="1"/>
        <v>0.99999978645127607</v>
      </c>
      <c r="AD68" s="2">
        <f t="shared" ca="1" si="2"/>
        <v>45429</v>
      </c>
      <c r="AE68">
        <f t="shared" ca="1" si="3"/>
        <v>0</v>
      </c>
      <c r="AG68" s="63">
        <f t="shared" ca="1" si="7"/>
        <v>50.780172272933044</v>
      </c>
      <c r="AH68" s="63">
        <f t="shared" ca="1" si="8"/>
        <v>50.780172272933044</v>
      </c>
      <c r="AI68" s="3">
        <f t="shared" ca="1" si="9"/>
        <v>0</v>
      </c>
    </row>
    <row r="69" spans="7:35">
      <c r="G69" s="3">
        <f t="shared" ca="1" si="4"/>
        <v>94</v>
      </c>
      <c r="H69" s="95">
        <f t="shared" ca="1" si="6"/>
        <v>45384</v>
      </c>
      <c r="I69" s="119">
        <f ca="1">HLOOKUP($H$5,'Met Data'!$A$2:$F$368,G69,FALSE)</f>
        <v>16.266666666666602</v>
      </c>
      <c r="J69" s="119">
        <f ca="1">HLOOKUP($H$5,'Met Data'!$H$2:$M$368,G69,FALSE)*L69</f>
        <v>4.36666666666666</v>
      </c>
      <c r="K69" s="96">
        <f ca="1">HLOOKUP($H$5,'Met Data'!$O$2:$T$368,G69,FALSE)</f>
        <v>2.1942415542804201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45430</v>
      </c>
      <c r="Q69">
        <f ca="1"/>
        <v>37.62927905645212</v>
      </c>
      <c r="R69">
        <f ca="1"/>
        <v>6.9394121108591378</v>
      </c>
      <c r="S69">
        <f ca="1"/>
        <v>2.3242868033094055E-2</v>
      </c>
      <c r="T69">
        <f ca="1"/>
        <v>1.0289598946641281</v>
      </c>
      <c r="U69">
        <f ca="1"/>
        <v>0</v>
      </c>
      <c r="V69">
        <f ca="1"/>
        <v>176.01803308527838</v>
      </c>
      <c r="W69">
        <f ca="1"/>
        <v>120.91577555105383</v>
      </c>
      <c r="X69">
        <f ca="1"/>
        <v>0.2664868260033853</v>
      </c>
      <c r="Y69">
        <f ca="1"/>
        <v>1</v>
      </c>
      <c r="Z69">
        <f ca="1"/>
        <v>1.0538223591370297</v>
      </c>
      <c r="AA69">
        <f ca="1"/>
        <v>0</v>
      </c>
      <c r="AB69">
        <f ca="1"/>
        <v>0.99999985318351192</v>
      </c>
      <c r="AD69" s="2">
        <f t="shared" ca="1" si="2"/>
        <v>45430</v>
      </c>
      <c r="AE69">
        <f t="shared" ca="1" si="3"/>
        <v>0</v>
      </c>
      <c r="AG69" s="63">
        <f t="shared" ca="1" si="7"/>
        <v>44.835177993314645</v>
      </c>
      <c r="AH69" s="63">
        <f t="shared" ca="1" si="8"/>
        <v>44.835177993314645</v>
      </c>
      <c r="AI69" s="3">
        <f t="shared" ca="1" si="9"/>
        <v>0</v>
      </c>
    </row>
    <row r="70" spans="7:35">
      <c r="G70" s="3">
        <f t="shared" ca="1" si="4"/>
        <v>95</v>
      </c>
      <c r="H70" s="95">
        <f t="shared" ca="1" si="6"/>
        <v>45385</v>
      </c>
      <c r="I70" s="119">
        <f ca="1">HLOOKUP($H$5,'Met Data'!$A$2:$F$368,G70,FALSE)</f>
        <v>16.008333333333301</v>
      </c>
      <c r="J70" s="119">
        <f ca="1">HLOOKUP($H$5,'Met Data'!$H$2:$M$368,G70,FALSE)*L70</f>
        <v>5.5833333333333304</v>
      </c>
      <c r="K70" s="96">
        <f ca="1">HLOOKUP($H$5,'Met Data'!$O$2:$T$368,G70,FALSE)</f>
        <v>2.18875214188912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45431</v>
      </c>
      <c r="Q70">
        <f ca="1"/>
        <v>31.674622433770494</v>
      </c>
      <c r="R70">
        <f ca="1"/>
        <v>6.9924341032011341</v>
      </c>
      <c r="S70">
        <f ca="1"/>
        <v>2.2168675682138428E-2</v>
      </c>
      <c r="T70">
        <f ca="1"/>
        <v>1.0156088048373673</v>
      </c>
      <c r="U70">
        <f ca="1"/>
        <v>0</v>
      </c>
      <c r="V70">
        <f ca="1"/>
        <v>183.01046718847951</v>
      </c>
      <c r="W70">
        <f ca="1"/>
        <v>125.71923561567442</v>
      </c>
      <c r="X70">
        <f ca="1"/>
        <v>0</v>
      </c>
      <c r="Y70">
        <f ca="1"/>
        <v>0.98242000874267033</v>
      </c>
      <c r="Z70">
        <f ca="1"/>
        <v>0</v>
      </c>
      <c r="AA70">
        <f ca="1"/>
        <v>0</v>
      </c>
      <c r="AB70">
        <f ca="1"/>
        <v>0.99999989861139149</v>
      </c>
      <c r="AD70" s="2">
        <f t="shared" ca="1" si="2"/>
        <v>45431</v>
      </c>
      <c r="AE70">
        <f t="shared" ca="1" si="3"/>
        <v>0</v>
      </c>
      <c r="AG70" s="63">
        <f t="shared" ca="1" si="7"/>
        <v>38.667056536971629</v>
      </c>
      <c r="AH70" s="63">
        <f t="shared" ca="1" si="8"/>
        <v>38.667056536971629</v>
      </c>
      <c r="AI70" s="3">
        <f t="shared" ca="1" si="9"/>
        <v>0</v>
      </c>
    </row>
    <row r="71" spans="7:35">
      <c r="G71" s="3">
        <f t="shared" ca="1" si="4"/>
        <v>96</v>
      </c>
      <c r="H71" s="95">
        <f t="shared" ca="1" si="6"/>
        <v>45386</v>
      </c>
      <c r="I71" s="119">
        <f ca="1">HLOOKUP($H$5,'Met Data'!$A$2:$F$368,G71,FALSE)</f>
        <v>14.8083333333333</v>
      </c>
      <c r="J71" s="119">
        <f ca="1">HLOOKUP($H$5,'Met Data'!$H$2:$M$368,G71,FALSE)*L71</f>
        <v>3.93333333333333</v>
      </c>
      <c r="K71" s="96">
        <f ca="1">HLOOKUP($H$5,'Met Data'!$O$2:$T$368,G71,FALSE)</f>
        <v>2.25899576438928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45432</v>
      </c>
      <c r="Q71">
        <f ca="1"/>
        <v>112.63193298795326</v>
      </c>
      <c r="R71">
        <f ca="1"/>
        <v>7.0270554835497592</v>
      </c>
      <c r="S71">
        <f ca="1"/>
        <v>2.119571784842833E-2</v>
      </c>
      <c r="T71">
        <f ca="1"/>
        <v>1.0015910314234524</v>
      </c>
      <c r="U71">
        <f ca="1"/>
        <v>86.961579288460655</v>
      </c>
      <c r="V71">
        <f ca="1"/>
        <v>190.03752267202927</v>
      </c>
      <c r="W71">
        <f ca="1"/>
        <v>130.54647887444921</v>
      </c>
      <c r="X71">
        <f ca="1"/>
        <v>0</v>
      </c>
      <c r="Y71">
        <f ca="1"/>
        <v>0.99981433474748749</v>
      </c>
      <c r="Z71">
        <f ca="1"/>
        <v>0</v>
      </c>
      <c r="AA71">
        <f ca="1"/>
        <v>0</v>
      </c>
      <c r="AB71">
        <f ca="1"/>
        <v>0.99999992965165407</v>
      </c>
      <c r="AD71" s="2">
        <f t="shared" ref="AD71:AD134" ca="1" si="12">IFERROR(P71,$AD$5)</f>
        <v>45432</v>
      </c>
      <c r="AE71">
        <f t="shared" ref="AE71:AE134" ca="1" si="13">IFERROR(U71,0)</f>
        <v>86.961579288460655</v>
      </c>
      <c r="AG71" s="63">
        <f t="shared" ca="1" si="7"/>
        <v>119.65898847150302</v>
      </c>
      <c r="AH71" s="63">
        <f t="shared" ca="1" si="8"/>
        <v>119.65898847150302</v>
      </c>
      <c r="AI71" s="3">
        <f t="shared" ca="1" si="9"/>
        <v>0</v>
      </c>
    </row>
    <row r="72" spans="7:35">
      <c r="G72" s="3">
        <f t="shared" ref="G72:G135" ca="1" si="14">H72-DATE(YEAR(H72),1,0)+1</f>
        <v>97</v>
      </c>
      <c r="H72" s="95">
        <f t="shared" ca="1" si="6"/>
        <v>45387</v>
      </c>
      <c r="I72" s="119">
        <f ca="1">HLOOKUP($H$5,'Met Data'!$A$2:$F$368,G72,FALSE)</f>
        <v>14.283333333333299</v>
      </c>
      <c r="J72" s="119">
        <f ca="1">HLOOKUP($H$5,'Met Data'!$H$2:$M$368,G72,FALSE)*L72</f>
        <v>1.2666666666666599</v>
      </c>
      <c r="K72" s="96">
        <f ca="1">HLOOKUP($H$5,'Met Data'!$O$2:$T$368,G72,FALSE)</f>
        <v>2.2952223200603901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45433</v>
      </c>
      <c r="Q72">
        <f ca="1"/>
        <v>105.97883134518912</v>
      </c>
      <c r="R72">
        <f ca="1"/>
        <v>6.2511710893247425</v>
      </c>
      <c r="S72">
        <f ca="1"/>
        <v>1.8000697937907262E-2</v>
      </c>
      <c r="T72">
        <f ca="1"/>
        <v>0.87339563380429142</v>
      </c>
      <c r="U72">
        <f ca="1"/>
        <v>0</v>
      </c>
      <c r="V72">
        <f ca="1"/>
        <v>196.28869376135401</v>
      </c>
      <c r="W72">
        <f ca="1"/>
        <v>134.84072752113087</v>
      </c>
      <c r="X72">
        <f ca="1"/>
        <v>1.2933268851815953</v>
      </c>
      <c r="Y72">
        <f ca="1"/>
        <v>1</v>
      </c>
      <c r="Z72">
        <f ca="1"/>
        <v>1.8159619389796759</v>
      </c>
      <c r="AA72">
        <f ca="1"/>
        <v>0</v>
      </c>
      <c r="AB72">
        <f ca="1"/>
        <v>0.99999994892971278</v>
      </c>
      <c r="AD72" s="2">
        <f t="shared" ca="1" si="12"/>
        <v>45433</v>
      </c>
      <c r="AE72">
        <f t="shared" ca="1" si="13"/>
        <v>0</v>
      </c>
      <c r="AG72" s="63">
        <f t="shared" ca="1" si="7"/>
        <v>113.52332931969546</v>
      </c>
      <c r="AH72" s="63">
        <f t="shared" ca="1" si="8"/>
        <v>113.52332931969546</v>
      </c>
      <c r="AI72" s="3">
        <f t="shared" ca="1" si="9"/>
        <v>0</v>
      </c>
    </row>
    <row r="73" spans="7:35">
      <c r="G73" s="3">
        <f t="shared" ca="1" si="14"/>
        <v>98</v>
      </c>
      <c r="H73" s="95">
        <f t="shared" ref="H73:H136" ca="1" si="16">H72+1</f>
        <v>45388</v>
      </c>
      <c r="I73" s="119">
        <f ca="1">HLOOKUP($H$5,'Met Data'!$A$2:$F$368,G73,FALSE)</f>
        <v>13.258333333333301</v>
      </c>
      <c r="J73" s="119">
        <f ca="1">HLOOKUP($H$5,'Met Data'!$H$2:$M$368,G73,FALSE)*L73</f>
        <v>1.18333333333333</v>
      </c>
      <c r="K73" s="96">
        <f ca="1">HLOOKUP($H$5,'Met Data'!$O$2:$T$368,G73,FALSE)</f>
        <v>1.94562323949851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45434</v>
      </c>
      <c r="Q73">
        <f ca="1"/>
        <v>99.001604044636693</v>
      </c>
      <c r="R73">
        <f ca="1"/>
        <v>6.6870645779120821</v>
      </c>
      <c r="S73">
        <f ca="1"/>
        <v>1.8578561986146269E-2</v>
      </c>
      <c r="T73">
        <f ca="1"/>
        <v>0.92260901534940909</v>
      </c>
      <c r="U73">
        <f ca="1"/>
        <v>0</v>
      </c>
      <c r="V73">
        <f ca="1"/>
        <v>202.97575833926609</v>
      </c>
      <c r="W73">
        <f ca="1"/>
        <v>139.43441366467775</v>
      </c>
      <c r="X73">
        <f ca="1"/>
        <v>1.2313502999758952</v>
      </c>
      <c r="Y73">
        <f ca="1"/>
        <v>1</v>
      </c>
      <c r="Z73">
        <f ca="1"/>
        <v>1.8507891791923328</v>
      </c>
      <c r="AA73">
        <f ca="1"/>
        <v>0</v>
      </c>
      <c r="AB73">
        <f ca="1"/>
        <v>0.99999996358026833</v>
      </c>
      <c r="AD73" s="2">
        <f t="shared" ca="1" si="12"/>
        <v>45434</v>
      </c>
      <c r="AE73">
        <f t="shared" ca="1" si="13"/>
        <v>0</v>
      </c>
      <c r="AG73" s="63">
        <f t="shared" ref="AG73:AG136" ca="1" si="17">Q72+S73+T73+U73</f>
        <v>106.92001892252468</v>
      </c>
      <c r="AH73" s="63">
        <f t="shared" ref="AH73:AH136" ca="1" si="18">Q73+R73+X73</f>
        <v>106.92001892252468</v>
      </c>
      <c r="AI73" s="3">
        <f t="shared" ref="AI73:AI136" ca="1" si="19">AH73-AG73</f>
        <v>0</v>
      </c>
    </row>
    <row r="74" spans="7:35">
      <c r="G74" s="3">
        <f t="shared" ca="1" si="14"/>
        <v>99</v>
      </c>
      <c r="H74" s="95">
        <f t="shared" ca="1" si="16"/>
        <v>45389</v>
      </c>
      <c r="I74" s="119">
        <f ca="1">HLOOKUP($H$5,'Met Data'!$A$2:$F$368,G74,FALSE)</f>
        <v>13.8666666666666</v>
      </c>
      <c r="J74" s="119">
        <f ca="1">HLOOKUP($H$5,'Met Data'!$H$2:$M$368,G74,FALSE)*L74</f>
        <v>4.7333333333333298</v>
      </c>
      <c r="K74" s="96">
        <f ca="1">HLOOKUP($H$5,'Met Data'!$O$2:$T$368,G74,FALSE)</f>
        <v>1.65226329552866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45435</v>
      </c>
      <c r="Q74">
        <f ca="1"/>
        <v>90.216254532565728</v>
      </c>
      <c r="R74">
        <f ca="1"/>
        <v>6.9223958424247485</v>
      </c>
      <c r="S74">
        <f ca="1"/>
        <v>1.8595685891341418E-2</v>
      </c>
      <c r="T74">
        <f ca="1"/>
        <v>0.944118634928651</v>
      </c>
      <c r="U74">
        <f ca="1"/>
        <v>0</v>
      </c>
      <c r="V74">
        <f ca="1"/>
        <v>209.89815418169084</v>
      </c>
      <c r="W74">
        <f ca="1"/>
        <v>144.18976087136227</v>
      </c>
      <c r="X74">
        <f ca="1"/>
        <v>2.8256679904662136</v>
      </c>
      <c r="Y74">
        <f ca="1"/>
        <v>1</v>
      </c>
      <c r="Z74">
        <f ca="1"/>
        <v>4.6607295375658992</v>
      </c>
      <c r="AA74">
        <f ca="1"/>
        <v>0</v>
      </c>
      <c r="AB74">
        <f ca="1"/>
        <v>0.9999999742248169</v>
      </c>
      <c r="AD74" s="2">
        <f t="shared" ca="1" si="12"/>
        <v>45435</v>
      </c>
      <c r="AE74">
        <f t="shared" ca="1" si="13"/>
        <v>0</v>
      </c>
      <c r="AG74" s="63">
        <f t="shared" ca="1" si="17"/>
        <v>99.964318365456691</v>
      </c>
      <c r="AH74" s="63">
        <f t="shared" ca="1" si="18"/>
        <v>99.964318365456691</v>
      </c>
      <c r="AI74" s="3">
        <f t="shared" ca="1" si="19"/>
        <v>0</v>
      </c>
    </row>
    <row r="75" spans="7:35">
      <c r="G75" s="3">
        <f t="shared" ca="1" si="14"/>
        <v>100</v>
      </c>
      <c r="H75" s="95">
        <f t="shared" ca="1" si="16"/>
        <v>45390</v>
      </c>
      <c r="I75" s="119">
        <f ca="1">HLOOKUP($H$5,'Met Data'!$A$2:$F$368,G75,FALSE)</f>
        <v>14.404166666666599</v>
      </c>
      <c r="J75" s="119">
        <f ca="1">HLOOKUP($H$5,'Met Data'!$H$2:$M$368,G75,FALSE)*L75</f>
        <v>4.3166666666666602</v>
      </c>
      <c r="K75" s="96">
        <f ca="1">HLOOKUP($H$5,'Met Data'!$O$2:$T$368,G75,FALSE)</f>
        <v>1.8668252234765801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45436</v>
      </c>
      <c r="Q75">
        <f ca="1"/>
        <v>83.081010931774372</v>
      </c>
      <c r="R75">
        <f ca="1"/>
        <v>6.8603892738785532</v>
      </c>
      <c r="S75">
        <f ca="1"/>
        <v>1.7850884469197581E-2</v>
      </c>
      <c r="T75">
        <f ca="1"/>
        <v>0.92481964297152341</v>
      </c>
      <c r="U75">
        <f ca="1"/>
        <v>0</v>
      </c>
      <c r="V75">
        <f ca="1"/>
        <v>216.7585434555694</v>
      </c>
      <c r="W75">
        <f ca="1"/>
        <v>148.90251259965399</v>
      </c>
      <c r="X75">
        <f ca="1"/>
        <v>1.217524854353528</v>
      </c>
      <c r="Y75">
        <f ca="1"/>
        <v>1</v>
      </c>
      <c r="Z75">
        <f ca="1"/>
        <v>2.1806884610571799</v>
      </c>
      <c r="AA75">
        <f ca="1"/>
        <v>0</v>
      </c>
      <c r="AB75">
        <f ca="1"/>
        <v>0.99999998163341275</v>
      </c>
      <c r="AD75" s="2">
        <f t="shared" ca="1" si="12"/>
        <v>45436</v>
      </c>
      <c r="AE75">
        <f t="shared" ca="1" si="13"/>
        <v>0</v>
      </c>
      <c r="AG75" s="63">
        <f t="shared" ca="1" si="17"/>
        <v>91.158925060006453</v>
      </c>
      <c r="AH75" s="63">
        <f t="shared" ca="1" si="18"/>
        <v>91.158925060006453</v>
      </c>
      <c r="AI75" s="3">
        <f t="shared" ca="1" si="19"/>
        <v>0</v>
      </c>
    </row>
    <row r="76" spans="7:35">
      <c r="G76" s="3">
        <f t="shared" ca="1" si="14"/>
        <v>101</v>
      </c>
      <c r="H76" s="95">
        <f t="shared" ca="1" si="16"/>
        <v>45391</v>
      </c>
      <c r="I76" s="119">
        <f ca="1">HLOOKUP($H$5,'Met Data'!$A$2:$F$368,G76,FALSE)</f>
        <v>14.5416666666666</v>
      </c>
      <c r="J76" s="119">
        <f ca="1">HLOOKUP($H$5,'Met Data'!$H$2:$M$368,G76,FALSE)*L76</f>
        <v>4.43333333333333</v>
      </c>
      <c r="K76" s="96">
        <f ca="1">HLOOKUP($H$5,'Met Data'!$O$2:$T$368,G76,FALSE)</f>
        <v>1.97301093095216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45437</v>
      </c>
      <c r="Q76">
        <f ca="1"/>
        <v>74.308021919522375</v>
      </c>
      <c r="R76">
        <f ca="1"/>
        <v>7.1942829480475723</v>
      </c>
      <c r="S76">
        <f ca="1"/>
        <v>1.8229854833208492E-2</v>
      </c>
      <c r="T76">
        <f ca="1"/>
        <v>0.96215673160743465</v>
      </c>
      <c r="U76">
        <f ca="1"/>
        <v>0</v>
      </c>
      <c r="V76">
        <f ca="1"/>
        <v>223.95282640361697</v>
      </c>
      <c r="W76">
        <f ca="1"/>
        <v>153.84463294351352</v>
      </c>
      <c r="X76">
        <f ca="1"/>
        <v>2.5590926506450762</v>
      </c>
      <c r="Y76">
        <f ca="1"/>
        <v>1</v>
      </c>
      <c r="Z76">
        <f ca="1"/>
        <v>5.1246932094789415</v>
      </c>
      <c r="AA76">
        <f ca="1"/>
        <v>0</v>
      </c>
      <c r="AB76">
        <f ca="1"/>
        <v>0.99999998708306115</v>
      </c>
      <c r="AD76" s="2">
        <f t="shared" ca="1" si="12"/>
        <v>45437</v>
      </c>
      <c r="AE76">
        <f t="shared" ca="1" si="13"/>
        <v>0</v>
      </c>
      <c r="AG76" s="63">
        <f t="shared" ca="1" si="17"/>
        <v>84.061397518215017</v>
      </c>
      <c r="AH76" s="63">
        <f t="shared" ca="1" si="18"/>
        <v>84.061397518215017</v>
      </c>
      <c r="AI76" s="3">
        <f t="shared" ca="1" si="19"/>
        <v>0</v>
      </c>
    </row>
    <row r="77" spans="7:35">
      <c r="G77" s="3">
        <f t="shared" ca="1" si="14"/>
        <v>102</v>
      </c>
      <c r="H77" s="95">
        <f t="shared" ca="1" si="16"/>
        <v>45392</v>
      </c>
      <c r="I77" s="119">
        <f ca="1">HLOOKUP($H$5,'Met Data'!$A$2:$F$368,G77,FALSE)</f>
        <v>14.279166666666599</v>
      </c>
      <c r="J77" s="119">
        <f ca="1">HLOOKUP($H$5,'Met Data'!$H$2:$M$368,G77,FALSE)*L77</f>
        <v>1.3333333333333299</v>
      </c>
      <c r="K77" s="96">
        <f ca="1">HLOOKUP($H$5,'Met Data'!$O$2:$T$368,G77,FALSE)</f>
        <v>1.63836682585681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45438</v>
      </c>
      <c r="Q77">
        <f ca="1"/>
        <v>67.602340505691004</v>
      </c>
      <c r="R77">
        <f ca="1"/>
        <v>6.8522397124365568</v>
      </c>
      <c r="S77">
        <f ca="1"/>
        <v>1.690406614440576E-2</v>
      </c>
      <c r="T77">
        <f ca="1"/>
        <v>0.90722815444014016</v>
      </c>
      <c r="U77">
        <f ca="1"/>
        <v>0</v>
      </c>
      <c r="V77">
        <f ca="1"/>
        <v>230.80506611605352</v>
      </c>
      <c r="W77">
        <f ca="1"/>
        <v>158.55178632188117</v>
      </c>
      <c r="X77">
        <f ca="1"/>
        <v>0.77757392197935571</v>
      </c>
      <c r="Y77">
        <f ca="1"/>
        <v>1</v>
      </c>
      <c r="Z77">
        <f ca="1"/>
        <v>1.7115812375993897</v>
      </c>
      <c r="AA77">
        <f ca="1"/>
        <v>0</v>
      </c>
      <c r="AB77">
        <f ca="1"/>
        <v>0.99999999073767143</v>
      </c>
      <c r="AD77" s="2">
        <f t="shared" ca="1" si="12"/>
        <v>45438</v>
      </c>
      <c r="AE77">
        <f t="shared" ca="1" si="13"/>
        <v>0</v>
      </c>
      <c r="AG77" s="63">
        <f t="shared" ca="1" si="17"/>
        <v>75.232154140106914</v>
      </c>
      <c r="AH77" s="63">
        <f t="shared" ca="1" si="18"/>
        <v>75.232154140106914</v>
      </c>
      <c r="AI77" s="3">
        <f t="shared" ca="1" si="19"/>
        <v>0</v>
      </c>
    </row>
    <row r="78" spans="7:35">
      <c r="G78" s="3">
        <f t="shared" ca="1" si="14"/>
        <v>103</v>
      </c>
      <c r="H78" s="95">
        <f t="shared" ca="1" si="16"/>
        <v>45393</v>
      </c>
      <c r="I78" s="119">
        <f ca="1">HLOOKUP($H$5,'Met Data'!$A$2:$F$368,G78,FALSE)</f>
        <v>15.1666666666666</v>
      </c>
      <c r="J78" s="119">
        <f ca="1">HLOOKUP($H$5,'Met Data'!$H$2:$M$368,G78,FALSE)*L78</f>
        <v>3.7833333333333301</v>
      </c>
      <c r="K78" s="96">
        <f ca="1">HLOOKUP($H$5,'Met Data'!$O$2:$T$368,G78,FALSE)</f>
        <v>1.8936832301932101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45439</v>
      </c>
      <c r="Q78">
        <f ca="1"/>
        <v>61.064039854194</v>
      </c>
      <c r="R78">
        <f ca="1"/>
        <v>6.7105941589020119</v>
      </c>
      <c r="S78">
        <f ca="1"/>
        <v>1.620900608111242E-2</v>
      </c>
      <c r="T78">
        <f ca="1"/>
        <v>0.88267198428052462</v>
      </c>
      <c r="U78">
        <f ca="1"/>
        <v>0</v>
      </c>
      <c r="V78">
        <f ca="1"/>
        <v>237.51566027495554</v>
      </c>
      <c r="W78">
        <f ca="1"/>
        <v>163.16163613618335</v>
      </c>
      <c r="X78">
        <f ca="1"/>
        <v>0.72658748295662345</v>
      </c>
      <c r="Y78">
        <f ca="1"/>
        <v>1</v>
      </c>
      <c r="Z78">
        <f ca="1"/>
        <v>1.7705978864165601</v>
      </c>
      <c r="AA78">
        <f ca="1"/>
        <v>0</v>
      </c>
      <c r="AB78">
        <f ca="1"/>
        <v>0.99999999329878198</v>
      </c>
      <c r="AD78" s="2">
        <f t="shared" ca="1" si="12"/>
        <v>45439</v>
      </c>
      <c r="AE78">
        <f t="shared" ca="1" si="13"/>
        <v>0</v>
      </c>
      <c r="AG78" s="63">
        <f t="shared" ca="1" si="17"/>
        <v>68.501221496052636</v>
      </c>
      <c r="AH78" s="63">
        <f t="shared" ca="1" si="18"/>
        <v>68.501221496052622</v>
      </c>
      <c r="AI78" s="3">
        <f t="shared" ca="1" si="19"/>
        <v>0</v>
      </c>
    </row>
    <row r="79" spans="7:35">
      <c r="G79" s="3">
        <f t="shared" ca="1" si="14"/>
        <v>104</v>
      </c>
      <c r="H79" s="95">
        <f t="shared" ca="1" si="16"/>
        <v>45394</v>
      </c>
      <c r="I79" s="119">
        <f ca="1">HLOOKUP($H$5,'Met Data'!$A$2:$F$368,G79,FALSE)</f>
        <v>14.675000000000001</v>
      </c>
      <c r="J79" s="119">
        <f ca="1">HLOOKUP($H$5,'Met Data'!$H$2:$M$368,G79,FALSE)*L79</f>
        <v>4.5166666666666604</v>
      </c>
      <c r="K79" s="96">
        <f ca="1">HLOOKUP($H$5,'Met Data'!$O$2:$T$368,G79,FALSE)</f>
        <v>1.6971366028359001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45440</v>
      </c>
      <c r="Q79">
        <f ca="1"/>
        <v>54.145208565572496</v>
      </c>
      <c r="R79">
        <f ca="1"/>
        <v>7.0828602465635413</v>
      </c>
      <c r="S79">
        <f ca="1"/>
        <v>1.6811005790657418E-2</v>
      </c>
      <c r="T79">
        <f ca="1"/>
        <v>0.92777234881856074</v>
      </c>
      <c r="U79">
        <f ca="1"/>
        <v>0</v>
      </c>
      <c r="V79">
        <f ca="1"/>
        <v>244.59852052151908</v>
      </c>
      <c r="W79">
        <f ca="1"/>
        <v>168.02721453642619</v>
      </c>
      <c r="X79">
        <f ca="1"/>
        <v>0.78055439666717519</v>
      </c>
      <c r="Y79">
        <f ca="1"/>
        <v>1</v>
      </c>
      <c r="Z79">
        <f ca="1"/>
        <v>2.1451650160618456</v>
      </c>
      <c r="AA79">
        <f ca="1"/>
        <v>0</v>
      </c>
      <c r="AB79">
        <f ca="1"/>
        <v>0.99999999522992944</v>
      </c>
      <c r="AD79" s="2">
        <f t="shared" ca="1" si="12"/>
        <v>45440</v>
      </c>
      <c r="AE79">
        <f t="shared" ca="1" si="13"/>
        <v>0</v>
      </c>
      <c r="AG79" s="63">
        <f t="shared" ca="1" si="17"/>
        <v>62.008623208803215</v>
      </c>
      <c r="AH79" s="63">
        <f t="shared" ca="1" si="18"/>
        <v>62.008623208803215</v>
      </c>
      <c r="AI79" s="3">
        <f t="shared" ca="1" si="19"/>
        <v>0</v>
      </c>
    </row>
    <row r="80" spans="7:35">
      <c r="G80" s="3">
        <f t="shared" ca="1" si="14"/>
        <v>105</v>
      </c>
      <c r="H80" s="95">
        <f t="shared" ca="1" si="16"/>
        <v>45395</v>
      </c>
      <c r="I80" s="119">
        <f ca="1">HLOOKUP($H$5,'Met Data'!$A$2:$F$368,G80,FALSE)</f>
        <v>13.504166666666601</v>
      </c>
      <c r="J80" s="119">
        <f ca="1">HLOOKUP($H$5,'Met Data'!$H$2:$M$368,G80,FALSE)*L80</f>
        <v>4.5</v>
      </c>
      <c r="K80" s="96">
        <f ca="1">HLOOKUP($H$5,'Met Data'!$O$2:$T$368,G80,FALSE)</f>
        <v>1.6970685904410301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45441</v>
      </c>
      <c r="Q80">
        <f ca="1"/>
        <v>48.350398665749523</v>
      </c>
      <c r="R80">
        <f ca="1"/>
        <v>6.3590925844904405</v>
      </c>
      <c r="S80">
        <f ca="1"/>
        <v>1.4869088595759195E-2</v>
      </c>
      <c r="T80">
        <f ca="1"/>
        <v>0.83035286856971202</v>
      </c>
      <c r="U80">
        <f ca="1"/>
        <v>0</v>
      </c>
      <c r="V80">
        <f ca="1"/>
        <v>250.95761310600952</v>
      </c>
      <c r="W80">
        <f ca="1"/>
        <v>172.39559996931015</v>
      </c>
      <c r="X80">
        <f ca="1"/>
        <v>0.2809392724980046</v>
      </c>
      <c r="Y80">
        <f ca="1"/>
        <v>1</v>
      </c>
      <c r="Z80">
        <f ca="1"/>
        <v>0.86462931580987146</v>
      </c>
      <c r="AA80">
        <f ca="1"/>
        <v>0</v>
      </c>
      <c r="AB80">
        <f ca="1"/>
        <v>0.99999999648079352</v>
      </c>
      <c r="AD80" s="2">
        <f t="shared" ca="1" si="12"/>
        <v>45441</v>
      </c>
      <c r="AE80">
        <f t="shared" ca="1" si="13"/>
        <v>0</v>
      </c>
      <c r="AG80" s="63">
        <f t="shared" ca="1" si="17"/>
        <v>54.990430522737967</v>
      </c>
      <c r="AH80" s="63">
        <f t="shared" ca="1" si="18"/>
        <v>54.990430522737967</v>
      </c>
      <c r="AI80" s="3">
        <f t="shared" ca="1" si="19"/>
        <v>0</v>
      </c>
    </row>
    <row r="81" spans="7:35">
      <c r="G81" s="3">
        <f t="shared" ca="1" si="14"/>
        <v>106</v>
      </c>
      <c r="H81" s="95">
        <f t="shared" ca="1" si="16"/>
        <v>45396</v>
      </c>
      <c r="I81" s="119">
        <f ca="1">HLOOKUP($H$5,'Met Data'!$A$2:$F$368,G81,FALSE)</f>
        <v>13.779166666666599</v>
      </c>
      <c r="J81" s="119">
        <f ca="1">HLOOKUP($H$5,'Met Data'!$H$2:$M$368,G81,FALSE)*L81</f>
        <v>0.9</v>
      </c>
      <c r="K81" s="96">
        <f ca="1">HLOOKUP($H$5,'Met Data'!$O$2:$T$368,G81,FALSE)</f>
        <v>2.0649391337631702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45442</v>
      </c>
      <c r="Q81">
        <f ca="1"/>
        <v>41.781688653071733</v>
      </c>
      <c r="R81">
        <f ca="1"/>
        <v>6.4080843565327825</v>
      </c>
      <c r="S81">
        <f ca="1"/>
        <v>1.4797785164006427E-2</v>
      </c>
      <c r="T81">
        <f ca="1"/>
        <v>0.83483665215192748</v>
      </c>
      <c r="U81">
        <f ca="1"/>
        <v>0</v>
      </c>
      <c r="V81">
        <f ca="1"/>
        <v>257.3656974625423</v>
      </c>
      <c r="W81">
        <f ca="1"/>
        <v>176.79764035224829</v>
      </c>
      <c r="X81">
        <f ca="1"/>
        <v>1.0102600934609447</v>
      </c>
      <c r="Y81">
        <f ca="1"/>
        <v>1</v>
      </c>
      <c r="Z81">
        <f ca="1"/>
        <v>3.5980299328115279</v>
      </c>
      <c r="AA81">
        <f ca="1"/>
        <v>0</v>
      </c>
      <c r="AB81">
        <f ca="1"/>
        <v>0.999999997408064</v>
      </c>
      <c r="AD81" s="2">
        <f t="shared" ca="1" si="12"/>
        <v>45442</v>
      </c>
      <c r="AE81">
        <f t="shared" ca="1" si="13"/>
        <v>0</v>
      </c>
      <c r="AG81" s="63">
        <f t="shared" ca="1" si="17"/>
        <v>49.200033103065458</v>
      </c>
      <c r="AH81" s="63">
        <f t="shared" ca="1" si="18"/>
        <v>49.200033103065458</v>
      </c>
      <c r="AI81" s="3">
        <f t="shared" ca="1" si="19"/>
        <v>0</v>
      </c>
    </row>
    <row r="82" spans="7:35">
      <c r="G82" s="3">
        <f t="shared" ca="1" si="14"/>
        <v>107</v>
      </c>
      <c r="H82" s="95">
        <f t="shared" ca="1" si="16"/>
        <v>45397</v>
      </c>
      <c r="I82" s="119">
        <f ca="1">HLOOKUP($H$5,'Met Data'!$A$2:$F$368,G82,FALSE)</f>
        <v>13.920833333333301</v>
      </c>
      <c r="J82" s="119">
        <f ca="1">HLOOKUP($H$5,'Met Data'!$H$2:$M$368,G82,FALSE)*L82</f>
        <v>7.6</v>
      </c>
      <c r="K82" s="96">
        <f ca="1">HLOOKUP($H$5,'Met Data'!$O$2:$T$368,G82,FALSE)</f>
        <v>1.7084212444020199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45443</v>
      </c>
      <c r="Q82">
        <f ca="1"/>
        <v>35.732437319658032</v>
      </c>
      <c r="R82">
        <f ca="1"/>
        <v>6.6036163193935522</v>
      </c>
      <c r="S82">
        <f ca="1"/>
        <v>1.5080763924800067E-2</v>
      </c>
      <c r="T82">
        <f ca="1"/>
        <v>0.8588939141939046</v>
      </c>
      <c r="U82">
        <f ca="1"/>
        <v>0</v>
      </c>
      <c r="V82">
        <f ca="1"/>
        <v>263.96931378193585</v>
      </c>
      <c r="W82">
        <f ca="1"/>
        <v>181.33400162560835</v>
      </c>
      <c r="X82">
        <f ca="1"/>
        <v>0.31960969213885121</v>
      </c>
      <c r="Y82">
        <f ca="1"/>
        <v>1</v>
      </c>
      <c r="Z82">
        <f ca="1"/>
        <v>1.3309902146425969</v>
      </c>
      <c r="AA82">
        <f ca="1"/>
        <v>0</v>
      </c>
      <c r="AB82">
        <f ca="1"/>
        <v>0.99999999810820595</v>
      </c>
      <c r="AD82" s="2">
        <f t="shared" ca="1" si="12"/>
        <v>45443</v>
      </c>
      <c r="AE82">
        <f t="shared" ca="1" si="13"/>
        <v>0</v>
      </c>
      <c r="AG82" s="63">
        <f t="shared" ca="1" si="17"/>
        <v>42.655663331190439</v>
      </c>
      <c r="AH82" s="63">
        <f t="shared" ca="1" si="18"/>
        <v>42.655663331190439</v>
      </c>
      <c r="AI82" s="3">
        <f t="shared" ca="1" si="19"/>
        <v>0</v>
      </c>
    </row>
    <row r="83" spans="7:35">
      <c r="G83" s="3">
        <f t="shared" ca="1" si="14"/>
        <v>108</v>
      </c>
      <c r="H83" s="95">
        <f t="shared" ca="1" si="16"/>
        <v>45398</v>
      </c>
      <c r="I83" s="119">
        <f ca="1">HLOOKUP($H$5,'Met Data'!$A$2:$F$368,G83,FALSE)</f>
        <v>13.6416666666666</v>
      </c>
      <c r="J83" s="119">
        <f ca="1">HLOOKUP($H$5,'Met Data'!$H$2:$M$368,G83,FALSE)*L83</f>
        <v>3.44999999999999</v>
      </c>
      <c r="K83" s="96">
        <f ca="1">HLOOKUP($H$5,'Met Data'!$O$2:$T$368,G83,FALSE)</f>
        <v>1.46996077972592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45444</v>
      </c>
      <c r="Q83">
        <f ca="1"/>
        <v>126.21985654757196</v>
      </c>
      <c r="R83">
        <f ca="1"/>
        <v>6.5958396532543588</v>
      </c>
      <c r="S83">
        <f ca="1"/>
        <v>1.4937028223727111E-2</v>
      </c>
      <c r="T83">
        <f ca="1"/>
        <v>0.85819046329298521</v>
      </c>
      <c r="U83">
        <f ca="1"/>
        <v>97.487027493395445</v>
      </c>
      <c r="V83">
        <f ca="1"/>
        <v>270.56515343519021</v>
      </c>
      <c r="W83">
        <f ca="1"/>
        <v>185.86502070987029</v>
      </c>
      <c r="X83">
        <f ca="1"/>
        <v>1.2768961037438771</v>
      </c>
      <c r="Y83">
        <f ca="1"/>
        <v>1</v>
      </c>
      <c r="Z83">
        <f ca="1"/>
        <v>1.7552437564817325</v>
      </c>
      <c r="AA83">
        <f ca="1"/>
        <v>0</v>
      </c>
      <c r="AB83">
        <f ca="1"/>
        <v>0.99999999861886124</v>
      </c>
      <c r="AD83" s="2">
        <f t="shared" ca="1" si="12"/>
        <v>45444</v>
      </c>
      <c r="AE83">
        <f t="shared" ca="1" si="13"/>
        <v>97.487027493395445</v>
      </c>
      <c r="AG83" s="63">
        <f t="shared" ca="1" si="17"/>
        <v>134.09259230457019</v>
      </c>
      <c r="AH83" s="63">
        <f t="shared" ca="1" si="18"/>
        <v>134.09259230457019</v>
      </c>
      <c r="AI83" s="3">
        <f t="shared" ca="1" si="19"/>
        <v>0</v>
      </c>
    </row>
    <row r="84" spans="7:35">
      <c r="G84" s="3">
        <f t="shared" ca="1" si="14"/>
        <v>109</v>
      </c>
      <c r="H84" s="95">
        <f t="shared" ca="1" si="16"/>
        <v>45399</v>
      </c>
      <c r="I84" s="119">
        <f ca="1">HLOOKUP($H$5,'Met Data'!$A$2:$F$368,G84,FALSE)</f>
        <v>13.6833333333333</v>
      </c>
      <c r="J84" s="119">
        <f ca="1">HLOOKUP($H$5,'Met Data'!$H$2:$M$368,G84,FALSE)*L84</f>
        <v>2.4166666666666599</v>
      </c>
      <c r="K84" s="96">
        <f ca="1">HLOOKUP($H$5,'Met Data'!$O$2:$T$368,G84,FALSE)</f>
        <v>1.64274717869015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45445</v>
      </c>
      <c r="Q84">
        <f ca="1"/>
        <v>119.99940018592821</v>
      </c>
      <c r="R84">
        <f ca="1"/>
        <v>6.5221616819817427</v>
      </c>
      <c r="S84">
        <f ca="1"/>
        <v>1.4679507598543751E-2</v>
      </c>
      <c r="T84">
        <f ca="1"/>
        <v>0.85012714778848131</v>
      </c>
      <c r="U84">
        <f ca="1"/>
        <v>0</v>
      </c>
      <c r="V84">
        <f ca="1"/>
        <v>277.08731511717195</v>
      </c>
      <c r="W84">
        <f ca="1"/>
        <v>190.34542663318896</v>
      </c>
      <c r="X84">
        <f ca="1"/>
        <v>0.56310133504904714</v>
      </c>
      <c r="Y84">
        <f ca="1"/>
        <v>1</v>
      </c>
      <c r="Z84">
        <f ca="1"/>
        <v>0.81223036395612525</v>
      </c>
      <c r="AA84">
        <f ca="1"/>
        <v>0</v>
      </c>
      <c r="AB84">
        <f ca="1"/>
        <v>0.99999999898862835</v>
      </c>
      <c r="AD84" s="2">
        <f t="shared" ca="1" si="12"/>
        <v>45445</v>
      </c>
      <c r="AE84">
        <f t="shared" ca="1" si="13"/>
        <v>0</v>
      </c>
      <c r="AG84" s="63">
        <f t="shared" ca="1" si="17"/>
        <v>127.08466320295899</v>
      </c>
      <c r="AH84" s="63">
        <f t="shared" ca="1" si="18"/>
        <v>127.08466320295899</v>
      </c>
      <c r="AI84" s="3">
        <f t="shared" ca="1" si="19"/>
        <v>0</v>
      </c>
    </row>
    <row r="85" spans="7:35">
      <c r="G85" s="3">
        <f t="shared" ca="1" si="14"/>
        <v>110</v>
      </c>
      <c r="H85" s="95">
        <f t="shared" ca="1" si="16"/>
        <v>45400</v>
      </c>
      <c r="I85" s="119">
        <f ca="1">HLOOKUP($H$5,'Met Data'!$A$2:$F$368,G85,FALSE)</f>
        <v>12.945833333333301</v>
      </c>
      <c r="J85" s="119">
        <f ca="1">HLOOKUP($H$5,'Met Data'!$H$2:$M$368,G85,FALSE)*L85</f>
        <v>1.5999999999999901</v>
      </c>
      <c r="K85" s="96">
        <f ca="1">HLOOKUP($H$5,'Met Data'!$O$2:$T$368,G85,FALSE)</f>
        <v>1.70342846945819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45446</v>
      </c>
      <c r="Q85">
        <f ca="1"/>
        <v>112.79414006764277</v>
      </c>
      <c r="R85">
        <f ca="1"/>
        <v>7.1920642435948139</v>
      </c>
      <c r="S85">
        <f ca="1"/>
        <v>1.6127996944533152E-2</v>
      </c>
      <c r="T85">
        <f ca="1"/>
        <v>0.94113317732850454</v>
      </c>
      <c r="U85">
        <f ca="1"/>
        <v>0</v>
      </c>
      <c r="V85">
        <f ca="1"/>
        <v>284.27937936076677</v>
      </c>
      <c r="W85">
        <f ca="1"/>
        <v>195.28602283565846</v>
      </c>
      <c r="X85">
        <f ca="1"/>
        <v>0.97045704896367213</v>
      </c>
      <c r="Y85">
        <f ca="1"/>
        <v>1</v>
      </c>
      <c r="Z85">
        <f ca="1"/>
        <v>1.4892291225065009</v>
      </c>
      <c r="AA85">
        <f ca="1"/>
        <v>0</v>
      </c>
      <c r="AB85">
        <f ca="1"/>
        <v>0.99999999928347472</v>
      </c>
      <c r="AD85" s="2">
        <f t="shared" ca="1" si="12"/>
        <v>45446</v>
      </c>
      <c r="AE85">
        <f t="shared" ca="1" si="13"/>
        <v>0</v>
      </c>
      <c r="AG85" s="63">
        <f t="shared" ca="1" si="17"/>
        <v>120.95666136020125</v>
      </c>
      <c r="AH85" s="63">
        <f t="shared" ca="1" si="18"/>
        <v>120.95666136020125</v>
      </c>
      <c r="AI85" s="3">
        <f t="shared" ca="1" si="19"/>
        <v>0</v>
      </c>
    </row>
    <row r="86" spans="7:35">
      <c r="G86" s="3">
        <f t="shared" ca="1" si="14"/>
        <v>111</v>
      </c>
      <c r="H86" s="95">
        <f t="shared" ca="1" si="16"/>
        <v>45401</v>
      </c>
      <c r="I86" s="119">
        <f ca="1">HLOOKUP($H$5,'Met Data'!$A$2:$F$368,G86,FALSE)</f>
        <v>14.2875</v>
      </c>
      <c r="J86" s="119">
        <f ca="1">HLOOKUP($H$5,'Met Data'!$H$2:$M$368,G86,FALSE)*L86</f>
        <v>1.1499999999999999</v>
      </c>
      <c r="K86" s="96">
        <f ca="1">HLOOKUP($H$5,'Met Data'!$O$2:$T$368,G86,FALSE)</f>
        <v>1.68674688590323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45447</v>
      </c>
      <c r="Q86">
        <f ca="1"/>
        <v>104.74900499451225</v>
      </c>
      <c r="R86">
        <f ca="1"/>
        <v>6.9875652610877523</v>
      </c>
      <c r="S86">
        <f ca="1"/>
        <v>1.5616151277157542E-2</v>
      </c>
      <c r="T86">
        <f ca="1"/>
        <v>0.91783078874571222</v>
      </c>
      <c r="U86">
        <f ca="1"/>
        <v>0</v>
      </c>
      <c r="V86">
        <f ca="1"/>
        <v>291.26694462185452</v>
      </c>
      <c r="W86">
        <f ca="1"/>
        <v>200.0861382439966</v>
      </c>
      <c r="X86">
        <f ca="1"/>
        <v>1.9910167520656477</v>
      </c>
      <c r="Y86">
        <f ca="1"/>
        <v>1</v>
      </c>
      <c r="Z86">
        <f ca="1"/>
        <v>3.2900064313517277</v>
      </c>
      <c r="AA86">
        <f ca="1"/>
        <v>0</v>
      </c>
      <c r="AB86">
        <f ca="1"/>
        <v>0.99999999948815277</v>
      </c>
      <c r="AD86" s="2">
        <f t="shared" ca="1" si="12"/>
        <v>45447</v>
      </c>
      <c r="AE86">
        <f t="shared" ca="1" si="13"/>
        <v>0</v>
      </c>
      <c r="AG86" s="63">
        <f t="shared" ca="1" si="17"/>
        <v>113.72758700766565</v>
      </c>
      <c r="AH86" s="63">
        <f t="shared" ca="1" si="18"/>
        <v>113.72758700766565</v>
      </c>
      <c r="AI86" s="3">
        <f t="shared" ca="1" si="19"/>
        <v>0</v>
      </c>
    </row>
    <row r="87" spans="7:35">
      <c r="G87" s="3">
        <f t="shared" ca="1" si="14"/>
        <v>112</v>
      </c>
      <c r="H87" s="95">
        <f t="shared" ca="1" si="16"/>
        <v>45402</v>
      </c>
      <c r="I87" s="119">
        <f ca="1">HLOOKUP($H$5,'Met Data'!$A$2:$F$368,G87,FALSE)</f>
        <v>14.275</v>
      </c>
      <c r="J87" s="119">
        <f ca="1">HLOOKUP($H$5,'Met Data'!$H$2:$M$368,G87,FALSE)*L87</f>
        <v>2.0833333333333299</v>
      </c>
      <c r="K87" s="96">
        <f ca="1">HLOOKUP($H$5,'Met Data'!$O$2:$T$368,G87,FALSE)</f>
        <v>1.5152419322458901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45448</v>
      </c>
      <c r="Q87">
        <f ca="1"/>
        <v>96.374388043152933</v>
      </c>
      <c r="R87">
        <f ca="1"/>
        <v>6.8649996117920864</v>
      </c>
      <c r="S87">
        <f ca="1"/>
        <v>1.5330780570451452E-2</v>
      </c>
      <c r="T87">
        <f ca="1"/>
        <v>0.90686393638701968</v>
      </c>
      <c r="U87">
        <f ca="1"/>
        <v>0</v>
      </c>
      <c r="V87">
        <f ca="1"/>
        <v>298.13194423364661</v>
      </c>
      <c r="W87">
        <f ca="1"/>
        <v>204.802057048835</v>
      </c>
      <c r="X87">
        <f ca="1"/>
        <v>2.431812056524703</v>
      </c>
      <c r="Y87">
        <f ca="1"/>
        <v>1</v>
      </c>
      <c r="Z87">
        <f ca="1"/>
        <v>4.3675724012378865</v>
      </c>
      <c r="AA87">
        <f ca="1"/>
        <v>0</v>
      </c>
      <c r="AB87">
        <f ca="1"/>
        <v>0.99999999963292252</v>
      </c>
      <c r="AD87" s="2">
        <f t="shared" ca="1" si="12"/>
        <v>45448</v>
      </c>
      <c r="AE87">
        <f t="shared" ca="1" si="13"/>
        <v>0</v>
      </c>
      <c r="AG87" s="63">
        <f t="shared" ca="1" si="17"/>
        <v>105.67119971146973</v>
      </c>
      <c r="AH87" s="63">
        <f t="shared" ca="1" si="18"/>
        <v>105.67119971146973</v>
      </c>
      <c r="AI87" s="3">
        <f t="shared" ca="1" si="19"/>
        <v>0</v>
      </c>
    </row>
    <row r="88" spans="7:35">
      <c r="G88" s="3">
        <f t="shared" ca="1" si="14"/>
        <v>113</v>
      </c>
      <c r="H88" s="95">
        <f t="shared" ca="1" si="16"/>
        <v>45403</v>
      </c>
      <c r="I88" s="119">
        <f ca="1">HLOOKUP($H$5,'Met Data'!$A$2:$F$368,G88,FALSE)</f>
        <v>13.595833333333299</v>
      </c>
      <c r="J88" s="119">
        <f ca="1">HLOOKUP($H$5,'Met Data'!$H$2:$M$368,G88,FALSE)*L88</f>
        <v>0.76666666666666605</v>
      </c>
      <c r="K88" s="96">
        <f ca="1">HLOOKUP($H$5,'Met Data'!$O$2:$T$368,G88,FALSE)</f>
        <v>1.65518894118648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45449</v>
      </c>
      <c r="Q88">
        <f ca="1"/>
        <v>89.784199194922394</v>
      </c>
      <c r="R88">
        <f ca="1"/>
        <v>6.7508455190279051</v>
      </c>
      <c r="S88">
        <f ca="1"/>
        <v>1.509539182072217E-2</v>
      </c>
      <c r="T88">
        <f ca="1"/>
        <v>0.898150471480753</v>
      </c>
      <c r="U88">
        <f ca="1"/>
        <v>0</v>
      </c>
      <c r="V88">
        <f ca="1"/>
        <v>304.88278975267451</v>
      </c>
      <c r="W88">
        <f ca="1"/>
        <v>209.43955757790368</v>
      </c>
      <c r="X88">
        <f ca="1"/>
        <v>0.75258919250410827</v>
      </c>
      <c r="Y88">
        <f ca="1"/>
        <v>1</v>
      </c>
      <c r="Z88">
        <f ca="1"/>
        <v>1.4508743505761714</v>
      </c>
      <c r="AA88">
        <f ca="1"/>
        <v>0</v>
      </c>
      <c r="AB88">
        <f ca="1"/>
        <v>0.99999999973591591</v>
      </c>
      <c r="AD88" s="2">
        <f t="shared" ca="1" si="12"/>
        <v>45449</v>
      </c>
      <c r="AE88">
        <f t="shared" ca="1" si="13"/>
        <v>0</v>
      </c>
      <c r="AG88" s="63">
        <f t="shared" ca="1" si="17"/>
        <v>97.287633906454403</v>
      </c>
      <c r="AH88" s="63">
        <f t="shared" ca="1" si="18"/>
        <v>97.287633906454403</v>
      </c>
      <c r="AI88" s="3">
        <f t="shared" ca="1" si="19"/>
        <v>0</v>
      </c>
    </row>
    <row r="89" spans="7:35">
      <c r="G89" s="3">
        <f t="shared" ca="1" si="14"/>
        <v>114</v>
      </c>
      <c r="H89" s="95">
        <f t="shared" ca="1" si="16"/>
        <v>45404</v>
      </c>
      <c r="I89" s="119">
        <f ca="1">HLOOKUP($H$5,'Met Data'!$A$2:$F$368,G89,FALSE)</f>
        <v>13.9125</v>
      </c>
      <c r="J89" s="119">
        <f ca="1">HLOOKUP($H$5,'Met Data'!$H$2:$M$368,G89,FALSE)*L89</f>
        <v>0.3</v>
      </c>
      <c r="K89" s="96">
        <f ca="1">HLOOKUP($H$5,'Met Data'!$O$2:$T$368,G89,FALSE)</f>
        <v>1.66585763602601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45450</v>
      </c>
      <c r="Q89">
        <f ca="1"/>
        <v>84.170530227516252</v>
      </c>
      <c r="R89">
        <f ca="1"/>
        <v>6.1358149001618472</v>
      </c>
      <c r="S89">
        <f ca="1"/>
        <v>1.3781253883138334E-2</v>
      </c>
      <c r="T89">
        <f ca="1"/>
        <v>0.82417000659144757</v>
      </c>
      <c r="U89">
        <f ca="1"/>
        <v>0</v>
      </c>
      <c r="V89">
        <f ca="1"/>
        <v>311.01860465283636</v>
      </c>
      <c r="W89">
        <f ca="1"/>
        <v>213.65456216741262</v>
      </c>
      <c r="X89">
        <f ca="1"/>
        <v>0.31580532771887637</v>
      </c>
      <c r="Y89">
        <f ca="1"/>
        <v>1</v>
      </c>
      <c r="Z89">
        <f ca="1"/>
        <v>0.64942817835037658</v>
      </c>
      <c r="AA89">
        <f ca="1"/>
        <v>0</v>
      </c>
      <c r="AB89">
        <f ca="1"/>
        <v>0.99999999980470666</v>
      </c>
      <c r="AD89" s="2">
        <f t="shared" ca="1" si="12"/>
        <v>45450</v>
      </c>
      <c r="AE89">
        <f t="shared" ca="1" si="13"/>
        <v>0</v>
      </c>
      <c r="AG89" s="63">
        <f t="shared" ca="1" si="17"/>
        <v>90.622150455396977</v>
      </c>
      <c r="AH89" s="63">
        <f t="shared" ca="1" si="18"/>
        <v>90.622150455396977</v>
      </c>
      <c r="AI89" s="3">
        <f t="shared" ca="1" si="19"/>
        <v>0</v>
      </c>
    </row>
    <row r="90" spans="7:35">
      <c r="G90" s="3">
        <f t="shared" ca="1" si="14"/>
        <v>115</v>
      </c>
      <c r="H90" s="95">
        <f t="shared" ca="1" si="16"/>
        <v>45405</v>
      </c>
      <c r="I90" s="119">
        <f ca="1">HLOOKUP($H$5,'Met Data'!$A$2:$F$368,G90,FALSE)</f>
        <v>14.820833333333301</v>
      </c>
      <c r="J90" s="119">
        <f ca="1">HLOOKUP($H$5,'Met Data'!$H$2:$M$368,G90,FALSE)*L90</f>
        <v>2.5333333333333301</v>
      </c>
      <c r="K90" s="96">
        <f ca="1">HLOOKUP($H$5,'Met Data'!$O$2:$T$368,G90,FALSE)</f>
        <v>1.5754379638326901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45451</v>
      </c>
      <c r="Q90">
        <f ca="1"/>
        <v>78.707530999974523</v>
      </c>
      <c r="R90">
        <f ca="1"/>
        <v>6.0177553408644258</v>
      </c>
      <c r="S90">
        <f ca="1"/>
        <v>1.3582540889643724E-2</v>
      </c>
      <c r="T90">
        <f ca="1"/>
        <v>0.8159721096163618</v>
      </c>
      <c r="U90">
        <f ca="1"/>
        <v>0</v>
      </c>
      <c r="V90">
        <f ca="1"/>
        <v>317.03635999370078</v>
      </c>
      <c r="W90">
        <f ca="1"/>
        <v>217.78846561675178</v>
      </c>
      <c r="X90">
        <f ca="1"/>
        <v>0.27479853718331559</v>
      </c>
      <c r="Y90">
        <f ca="1"/>
        <v>1</v>
      </c>
      <c r="Z90">
        <f ca="1"/>
        <v>0.60432403407104118</v>
      </c>
      <c r="AA90">
        <f ca="1"/>
        <v>0</v>
      </c>
      <c r="AB90">
        <f ca="1"/>
        <v>0.999999999855123</v>
      </c>
      <c r="AD90" s="2">
        <f t="shared" ca="1" si="12"/>
        <v>45451</v>
      </c>
      <c r="AE90">
        <f t="shared" ca="1" si="13"/>
        <v>0</v>
      </c>
      <c r="AG90" s="63">
        <f t="shared" ca="1" si="17"/>
        <v>85.000084878022264</v>
      </c>
      <c r="AH90" s="63">
        <f t="shared" ca="1" si="18"/>
        <v>85.000084878022264</v>
      </c>
      <c r="AI90" s="3">
        <f t="shared" ca="1" si="19"/>
        <v>0</v>
      </c>
    </row>
    <row r="91" spans="7:35">
      <c r="G91" s="3">
        <f t="shared" ca="1" si="14"/>
        <v>116</v>
      </c>
      <c r="H91" s="95">
        <f t="shared" ca="1" si="16"/>
        <v>45406</v>
      </c>
      <c r="I91" s="119">
        <f ca="1">HLOOKUP($H$5,'Met Data'!$A$2:$F$368,G91,FALSE)</f>
        <v>14.4166666666666</v>
      </c>
      <c r="J91" s="119">
        <f ca="1">HLOOKUP($H$5,'Met Data'!$H$2:$M$368,G91,FALSE)*L91</f>
        <v>7.3833333333333302</v>
      </c>
      <c r="K91" s="96">
        <f ca="1">HLOOKUP($H$5,'Met Data'!$O$2:$T$368,G91,FALSE)</f>
        <v>1.4622003711311999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45452</v>
      </c>
      <c r="Q91">
        <f ca="1"/>
        <v>71.149405291213213</v>
      </c>
      <c r="R91">
        <f ca="1"/>
        <v>6.8394292731894097</v>
      </c>
      <c r="S91">
        <f ca="1"/>
        <v>1.5521422228999882E-2</v>
      </c>
      <c r="T91">
        <f ca="1"/>
        <v>0.9366661677091892</v>
      </c>
      <c r="U91">
        <f ca="1"/>
        <v>0</v>
      </c>
      <c r="V91">
        <f ca="1"/>
        <v>323.87578926689019</v>
      </c>
      <c r="W91">
        <f ca="1"/>
        <v>222.48681885021622</v>
      </c>
      <c r="X91">
        <f ca="1"/>
        <v>1.6708840255100892</v>
      </c>
      <c r="Y91">
        <f ca="1"/>
        <v>1</v>
      </c>
      <c r="Z91">
        <f ca="1"/>
        <v>4.0648710380177562</v>
      </c>
      <c r="AA91">
        <f ca="1"/>
        <v>0</v>
      </c>
      <c r="AB91">
        <f ca="1"/>
        <v>0.99999999989719757</v>
      </c>
      <c r="AD91" s="2">
        <f t="shared" ca="1" si="12"/>
        <v>45452</v>
      </c>
      <c r="AE91">
        <f t="shared" ca="1" si="13"/>
        <v>0</v>
      </c>
      <c r="AG91" s="63">
        <f t="shared" ca="1" si="17"/>
        <v>79.659718589912714</v>
      </c>
      <c r="AH91" s="63">
        <f t="shared" ca="1" si="18"/>
        <v>79.659718589912714</v>
      </c>
      <c r="AI91" s="3">
        <f t="shared" ca="1" si="19"/>
        <v>0</v>
      </c>
    </row>
    <row r="92" spans="7:35">
      <c r="G92" s="3">
        <f t="shared" ca="1" si="14"/>
        <v>117</v>
      </c>
      <c r="H92" s="95">
        <f t="shared" ca="1" si="16"/>
        <v>45407</v>
      </c>
      <c r="I92" s="119">
        <f ca="1">HLOOKUP($H$5,'Met Data'!$A$2:$F$368,G92,FALSE)</f>
        <v>13.9375</v>
      </c>
      <c r="J92" s="119">
        <f ca="1">HLOOKUP($H$5,'Met Data'!$H$2:$M$368,G92,FALSE)*L92</f>
        <v>0.7</v>
      </c>
      <c r="K92" s="96">
        <f ca="1">HLOOKUP($H$5,'Met Data'!$O$2:$T$368,G92,FALSE)</f>
        <v>1.4965322621758601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45453</v>
      </c>
      <c r="Q92">
        <f ca="1"/>
        <v>63.030236085747475</v>
      </c>
      <c r="R92">
        <f ca="1"/>
        <v>6.7488606279750343</v>
      </c>
      <c r="S92">
        <f ca="1"/>
        <v>1.5444918482955927E-2</v>
      </c>
      <c r="T92">
        <f ca="1"/>
        <v>0.93626074070546739</v>
      </c>
      <c r="U92">
        <f ca="1"/>
        <v>0</v>
      </c>
      <c r="V92">
        <f ca="1"/>
        <v>330.62464989486523</v>
      </c>
      <c r="W92">
        <f ca="1"/>
        <v>227.12295585625932</v>
      </c>
      <c r="X92">
        <f ca="1"/>
        <v>2.3220142366791272</v>
      </c>
      <c r="Y92">
        <f ca="1"/>
        <v>1</v>
      </c>
      <c r="Z92">
        <f ca="1"/>
        <v>6.3765781024554542</v>
      </c>
      <c r="AA92">
        <f ca="1"/>
        <v>0</v>
      </c>
      <c r="AB92">
        <f ca="1"/>
        <v>0.99999999992704258</v>
      </c>
      <c r="AD92" s="2">
        <f t="shared" ca="1" si="12"/>
        <v>45453</v>
      </c>
      <c r="AE92">
        <f t="shared" ca="1" si="13"/>
        <v>0</v>
      </c>
      <c r="AG92" s="63">
        <f t="shared" ca="1" si="17"/>
        <v>72.101110950401633</v>
      </c>
      <c r="AH92" s="63">
        <f t="shared" ca="1" si="18"/>
        <v>72.101110950401633</v>
      </c>
      <c r="AI92" s="3">
        <f t="shared" ca="1" si="19"/>
        <v>0</v>
      </c>
    </row>
    <row r="93" spans="7:35">
      <c r="G93" s="3">
        <f t="shared" ca="1" si="14"/>
        <v>118</v>
      </c>
      <c r="H93" s="95">
        <f t="shared" ca="1" si="16"/>
        <v>45408</v>
      </c>
      <c r="I93" s="119">
        <f ca="1">HLOOKUP($H$5,'Met Data'!$A$2:$F$368,G93,FALSE)</f>
        <v>14.8045454545454</v>
      </c>
      <c r="J93" s="119">
        <f ca="1">HLOOKUP($H$5,'Met Data'!$H$2:$M$368,G93,FALSE)*L93</f>
        <v>4.5818181818181802</v>
      </c>
      <c r="K93" s="96">
        <f ca="1">HLOOKUP($H$5,'Met Data'!$O$2:$T$368,G93,FALSE)</f>
        <v>1.5702581753512701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45454</v>
      </c>
      <c r="Q93">
        <f ca="1"/>
        <v>56.846352798893761</v>
      </c>
      <c r="R93">
        <f ca="1"/>
        <v>7.2233425982078074</v>
      </c>
      <c r="S93">
        <f ca="1"/>
        <v>1.6795858322836921E-2</v>
      </c>
      <c r="T93">
        <f ca="1"/>
        <v>1.0226634530312515</v>
      </c>
      <c r="U93">
        <f ca="1"/>
        <v>0</v>
      </c>
      <c r="V93">
        <f ca="1"/>
        <v>337.84799249307304</v>
      </c>
      <c r="W93">
        <f ca="1"/>
        <v>232.08503875778854</v>
      </c>
      <c r="X93">
        <f ca="1"/>
        <v>0</v>
      </c>
      <c r="Y93">
        <f ca="1"/>
        <v>0.99994000143380579</v>
      </c>
      <c r="Z93">
        <f ca="1"/>
        <v>0</v>
      </c>
      <c r="AA93">
        <f ca="1"/>
        <v>0</v>
      </c>
      <c r="AB93">
        <f ca="1"/>
        <v>0.99999999994973576</v>
      </c>
      <c r="AD93" s="2">
        <f t="shared" ca="1" si="12"/>
        <v>45454</v>
      </c>
      <c r="AE93">
        <f t="shared" ca="1" si="13"/>
        <v>0</v>
      </c>
      <c r="AG93" s="63">
        <f t="shared" ca="1" si="17"/>
        <v>64.069695397101569</v>
      </c>
      <c r="AH93" s="63">
        <f t="shared" ca="1" si="18"/>
        <v>64.069695397101569</v>
      </c>
      <c r="AI93" s="3">
        <f t="shared" ca="1" si="19"/>
        <v>0</v>
      </c>
    </row>
    <row r="94" spans="7:35">
      <c r="G94" s="3">
        <f t="shared" ca="1" si="14"/>
        <v>119</v>
      </c>
      <c r="H94" s="95">
        <f t="shared" ca="1" si="16"/>
        <v>45409</v>
      </c>
      <c r="I94" s="119">
        <f ca="1">HLOOKUP($H$5,'Met Data'!$A$2:$F$368,G94,FALSE)</f>
        <v>14.1090909090909</v>
      </c>
      <c r="J94" s="119">
        <f ca="1">HLOOKUP($H$5,'Met Data'!$H$2:$M$368,G94,FALSE)*L94</f>
        <v>5.5454545454545396</v>
      </c>
      <c r="K94" s="96">
        <f ca="1">HLOOKUP($H$5,'Met Data'!$O$2:$T$368,G94,FALSE)</f>
        <v>1.27231342308323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45455</v>
      </c>
      <c r="Q94">
        <f ca="1"/>
        <v>50.141278485727419</v>
      </c>
      <c r="R94">
        <f ca="1"/>
        <v>6.2994143869723871</v>
      </c>
      <c r="S94">
        <f ca="1"/>
        <v>1.4731971196937366E-2</v>
      </c>
      <c r="T94">
        <f ca="1"/>
        <v>0.90068639349163937</v>
      </c>
      <c r="U94">
        <f ca="1"/>
        <v>0</v>
      </c>
      <c r="V94">
        <f ca="1"/>
        <v>344.14740688004542</v>
      </c>
      <c r="W94">
        <f ca="1"/>
        <v>236.41242818924073</v>
      </c>
      <c r="X94">
        <f ca="1"/>
        <v>1.3210782908825298</v>
      </c>
      <c r="Y94">
        <f ca="1"/>
        <v>1</v>
      </c>
      <c r="Z94">
        <f ca="1"/>
        <v>4.5604205264416962</v>
      </c>
      <c r="AA94">
        <f ca="1"/>
        <v>0</v>
      </c>
      <c r="AB94">
        <f ca="1"/>
        <v>0.99999999996387201</v>
      </c>
      <c r="AD94" s="2">
        <f t="shared" ca="1" si="12"/>
        <v>45455</v>
      </c>
      <c r="AE94">
        <f t="shared" ca="1" si="13"/>
        <v>0</v>
      </c>
      <c r="AG94" s="63">
        <f t="shared" ca="1" si="17"/>
        <v>57.761771163582338</v>
      </c>
      <c r="AH94" s="63">
        <f t="shared" ca="1" si="18"/>
        <v>57.761771163582338</v>
      </c>
      <c r="AI94" s="3">
        <f t="shared" ca="1" si="19"/>
        <v>0</v>
      </c>
    </row>
    <row r="95" spans="7:35">
      <c r="G95" s="3">
        <f t="shared" ca="1" si="14"/>
        <v>120</v>
      </c>
      <c r="H95" s="95">
        <f t="shared" ca="1" si="16"/>
        <v>45410</v>
      </c>
      <c r="I95" s="119">
        <f ca="1">HLOOKUP($H$5,'Met Data'!$A$2:$F$368,G95,FALSE)</f>
        <v>13.8375</v>
      </c>
      <c r="J95" s="119">
        <f ca="1">HLOOKUP($H$5,'Met Data'!$H$2:$M$368,G95,FALSE)*L95</f>
        <v>4.68333333333333</v>
      </c>
      <c r="K95" s="96">
        <f ca="1">HLOOKUP($H$5,'Met Data'!$O$2:$T$368,G95,FALSE)</f>
        <v>1.5077932055652401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45456</v>
      </c>
      <c r="Q95">
        <f ca="1"/>
        <v>45.011628904918091</v>
      </c>
      <c r="R95">
        <f ca="1"/>
        <v>5.986360458314266</v>
      </c>
      <c r="S95">
        <f ca="1"/>
        <v>1.417629536913978E-2</v>
      </c>
      <c r="T95">
        <f ca="1"/>
        <v>0.8698443796363361</v>
      </c>
      <c r="U95">
        <f ca="1"/>
        <v>0</v>
      </c>
      <c r="V95">
        <f ca="1"/>
        <v>350.13376733835969</v>
      </c>
      <c r="W95">
        <f ca="1"/>
        <v>240.52476489052938</v>
      </c>
      <c r="X95">
        <f ca="1"/>
        <v>2.7309797500537112E-2</v>
      </c>
      <c r="Y95">
        <f ca="1"/>
        <v>1</v>
      </c>
      <c r="Z95">
        <f ca="1"/>
        <v>0.10501842223930424</v>
      </c>
      <c r="AA95">
        <f ca="1"/>
        <v>0</v>
      </c>
      <c r="AB95">
        <f ca="1"/>
        <v>0.9999999999737379</v>
      </c>
      <c r="AD95" s="2">
        <f t="shared" ca="1" si="12"/>
        <v>45456</v>
      </c>
      <c r="AE95">
        <f t="shared" ca="1" si="13"/>
        <v>0</v>
      </c>
      <c r="AG95" s="63">
        <f t="shared" ca="1" si="17"/>
        <v>51.025299160732892</v>
      </c>
      <c r="AH95" s="63">
        <f t="shared" ca="1" si="18"/>
        <v>51.025299160732892</v>
      </c>
      <c r="AI95" s="3">
        <f t="shared" ca="1" si="19"/>
        <v>0</v>
      </c>
    </row>
    <row r="96" spans="7:35">
      <c r="G96" s="3">
        <f t="shared" ca="1" si="14"/>
        <v>121</v>
      </c>
      <c r="H96" s="95">
        <f t="shared" ca="1" si="16"/>
        <v>45411</v>
      </c>
      <c r="I96" s="119">
        <f ca="1">HLOOKUP($H$5,'Met Data'!$A$2:$F$368,G96,FALSE)</f>
        <v>13.6458333333333</v>
      </c>
      <c r="J96" s="119">
        <f ca="1">HLOOKUP($H$5,'Met Data'!$H$2:$M$368,G96,FALSE)*L96</f>
        <v>5.3999999999999897</v>
      </c>
      <c r="K96" s="96">
        <f ca="1">HLOOKUP($H$5,'Met Data'!$O$2:$T$368,G96,FALSE)</f>
        <v>1.60300410285803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45457</v>
      </c>
      <c r="Q96">
        <f ca="1"/>
        <v>40.255565494453258</v>
      </c>
      <c r="R96">
        <f ca="1"/>
        <v>5.2486157599230978</v>
      </c>
      <c r="S96">
        <f ca="1"/>
        <v>1.2655753719400309E-2</v>
      </c>
      <c r="T96">
        <f ca="1"/>
        <v>0.77906733400052175</v>
      </c>
      <c r="U96">
        <f ca="1"/>
        <v>0</v>
      </c>
      <c r="V96">
        <f ca="1"/>
        <v>355.38238309828279</v>
      </c>
      <c r="W96">
        <f ca="1"/>
        <v>244.13030708445393</v>
      </c>
      <c r="X96">
        <f ca="1"/>
        <v>0.29917073826166091</v>
      </c>
      <c r="Y96">
        <f ca="1"/>
        <v>1</v>
      </c>
      <c r="Z96">
        <f ca="1"/>
        <v>1.2863670892341759</v>
      </c>
      <c r="AA96">
        <f ca="1"/>
        <v>0</v>
      </c>
      <c r="AB96">
        <f ca="1"/>
        <v>0.99999999998023448</v>
      </c>
      <c r="AD96" s="2">
        <f t="shared" ca="1" si="12"/>
        <v>45457</v>
      </c>
      <c r="AE96">
        <f t="shared" ca="1" si="13"/>
        <v>0</v>
      </c>
      <c r="AG96" s="63">
        <f t="shared" ca="1" si="17"/>
        <v>45.803351992638014</v>
      </c>
      <c r="AH96" s="63">
        <f t="shared" ca="1" si="18"/>
        <v>45.803351992638014</v>
      </c>
      <c r="AI96" s="3">
        <f t="shared" ca="1" si="19"/>
        <v>0</v>
      </c>
    </row>
    <row r="97" spans="7:35">
      <c r="G97" s="3">
        <f t="shared" ca="1" si="14"/>
        <v>122</v>
      </c>
      <c r="H97" s="95">
        <f t="shared" ca="1" si="16"/>
        <v>45412</v>
      </c>
      <c r="I97" s="119">
        <f ca="1">HLOOKUP($H$5,'Met Data'!$A$2:$F$368,G97,FALSE)</f>
        <v>11.883333333333301</v>
      </c>
      <c r="J97" s="119">
        <f ca="1">HLOOKUP($H$5,'Met Data'!$H$2:$M$368,G97,FALSE)*L97</f>
        <v>0.25</v>
      </c>
      <c r="K97" s="96">
        <f ca="1">HLOOKUP($H$5,'Met Data'!$O$2:$T$368,G97,FALSE)</f>
        <v>1.67837953393642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45458</v>
      </c>
      <c r="Q97">
        <f ca="1"/>
        <v>34.982146350692176</v>
      </c>
      <c r="R97">
        <f ca="1"/>
        <v>5.7853647329147293</v>
      </c>
      <c r="S97">
        <f ca="1"/>
        <v>1.4074453191568637E-2</v>
      </c>
      <c r="T97">
        <f ca="1"/>
        <v>0.86913523271359372</v>
      </c>
      <c r="U97">
        <f ca="1"/>
        <v>0</v>
      </c>
      <c r="V97">
        <f ca="1"/>
        <v>361.16774783119752</v>
      </c>
      <c r="W97">
        <f ca="1"/>
        <v>248.1045695578176</v>
      </c>
      <c r="X97">
        <f ca="1"/>
        <v>0.37126409675151645</v>
      </c>
      <c r="Y97">
        <f ca="1"/>
        <v>1</v>
      </c>
      <c r="Z97">
        <f ca="1"/>
        <v>1.8369961215502073</v>
      </c>
      <c r="AA97">
        <f ca="1"/>
        <v>0</v>
      </c>
      <c r="AB97">
        <f ca="1"/>
        <v>0.99999999998562838</v>
      </c>
      <c r="AD97" s="2">
        <f t="shared" ca="1" si="12"/>
        <v>45458</v>
      </c>
      <c r="AE97">
        <f t="shared" ca="1" si="13"/>
        <v>0</v>
      </c>
      <c r="AG97" s="63">
        <f t="shared" ca="1" si="17"/>
        <v>41.138775180358422</v>
      </c>
      <c r="AH97" s="63">
        <f t="shared" ca="1" si="18"/>
        <v>41.138775180358422</v>
      </c>
      <c r="AI97" s="3">
        <f t="shared" ca="1" si="19"/>
        <v>0</v>
      </c>
    </row>
    <row r="98" spans="7:35">
      <c r="G98" s="3">
        <f t="shared" ca="1" si="14"/>
        <v>123</v>
      </c>
      <c r="H98" s="95">
        <f t="shared" ca="1" si="16"/>
        <v>45413</v>
      </c>
      <c r="I98" s="119">
        <f ca="1">HLOOKUP($H$5,'Met Data'!$A$2:$F$368,G98,FALSE)</f>
        <v>11.8541666666666</v>
      </c>
      <c r="J98" s="119">
        <f ca="1">HLOOKUP($H$5,'Met Data'!$H$2:$M$368,G98,FALSE)*L98</f>
        <v>0.133333333333333</v>
      </c>
      <c r="K98" s="96">
        <f ca="1">HLOOKUP($H$5,'Met Data'!$O$2:$T$368,G98,FALSE)</f>
        <v>1.44561782365903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45459</v>
      </c>
      <c r="Q98">
        <f ca="1"/>
        <v>170.34236148155574</v>
      </c>
      <c r="R98">
        <f ca="1"/>
        <v>5.7328584842753685</v>
      </c>
      <c r="S98">
        <f ca="1"/>
        <v>1.4171996230658124E-2</v>
      </c>
      <c r="T98">
        <f ca="1"/>
        <v>0.87802602492564152</v>
      </c>
      <c r="U98">
        <f ca="1"/>
        <v>141.78981335134822</v>
      </c>
      <c r="V98">
        <f ca="1"/>
        <v>366.90060631547288</v>
      </c>
      <c r="W98">
        <f ca="1"/>
        <v>252.0427628076805</v>
      </c>
      <c r="X98">
        <f ca="1"/>
        <v>1.5889377573655812</v>
      </c>
      <c r="Y98">
        <f ca="1"/>
        <v>1</v>
      </c>
      <c r="Z98">
        <f ca="1"/>
        <v>1.6172154967759411</v>
      </c>
      <c r="AA98">
        <f ca="1"/>
        <v>0</v>
      </c>
      <c r="AB98">
        <f ca="1"/>
        <v>0.99999999998958455</v>
      </c>
      <c r="AD98" s="2">
        <f t="shared" ca="1" si="12"/>
        <v>45459</v>
      </c>
      <c r="AE98">
        <f t="shared" ca="1" si="13"/>
        <v>141.78981335134822</v>
      </c>
      <c r="AG98" s="63">
        <f t="shared" ca="1" si="17"/>
        <v>177.66415772319669</v>
      </c>
      <c r="AH98" s="63">
        <f t="shared" ca="1" si="18"/>
        <v>177.66415772319669</v>
      </c>
      <c r="AI98" s="3">
        <f t="shared" ca="1" si="19"/>
        <v>0</v>
      </c>
    </row>
    <row r="99" spans="7:35">
      <c r="G99" s="3">
        <f t="shared" ca="1" si="14"/>
        <v>124</v>
      </c>
      <c r="H99" s="95">
        <f t="shared" ca="1" si="16"/>
        <v>45414</v>
      </c>
      <c r="I99" s="119">
        <f ca="1">HLOOKUP($H$5,'Met Data'!$A$2:$F$368,G99,FALSE)</f>
        <v>13.0875</v>
      </c>
      <c r="J99" s="119">
        <f ca="1">HLOOKUP($H$5,'Met Data'!$H$2:$M$368,G99,FALSE)*L99</f>
        <v>2.1333333333333302</v>
      </c>
      <c r="K99" s="96">
        <f ca="1">HLOOKUP($H$5,'Met Data'!$O$2:$T$368,G99,FALSE)</f>
        <v>1.4319782957140901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45460</v>
      </c>
      <c r="Q99">
        <f ca="1"/>
        <v>161.15590789287049</v>
      </c>
      <c r="R99">
        <f ca="1"/>
        <v>5.6636388688762054</v>
      </c>
      <c r="S99">
        <f ca="1"/>
        <v>1.4246868153804826E-2</v>
      </c>
      <c r="T99">
        <f ca="1"/>
        <v>0.88553878015507759</v>
      </c>
      <c r="U99">
        <f ca="1"/>
        <v>0</v>
      </c>
      <c r="V99">
        <f ca="1"/>
        <v>372.56424518434909</v>
      </c>
      <c r="W99">
        <f ca="1"/>
        <v>255.93340556892232</v>
      </c>
      <c r="X99">
        <f ca="1"/>
        <v>4.422600368117938</v>
      </c>
      <c r="Y99">
        <f ca="1"/>
        <v>1</v>
      </c>
      <c r="Z99">
        <f ca="1"/>
        <v>4.7501049560178359</v>
      </c>
      <c r="AA99">
        <f ca="1"/>
        <v>0</v>
      </c>
      <c r="AB99">
        <f ca="1"/>
        <v>0.99999999999247247</v>
      </c>
      <c r="AD99" s="2">
        <f t="shared" ca="1" si="12"/>
        <v>45460</v>
      </c>
      <c r="AE99">
        <f t="shared" ca="1" si="13"/>
        <v>0</v>
      </c>
      <c r="AG99" s="63">
        <f t="shared" ca="1" si="17"/>
        <v>171.24214712986463</v>
      </c>
      <c r="AH99" s="63">
        <f t="shared" ca="1" si="18"/>
        <v>171.24214712986463</v>
      </c>
      <c r="AI99" s="3">
        <f t="shared" ca="1" si="19"/>
        <v>0</v>
      </c>
    </row>
    <row r="100" spans="7:35">
      <c r="G100" s="3">
        <f t="shared" ca="1" si="14"/>
        <v>125</v>
      </c>
      <c r="H100" s="95">
        <f t="shared" ca="1" si="16"/>
        <v>45415</v>
      </c>
      <c r="I100" s="119">
        <f ca="1">HLOOKUP($H$5,'Met Data'!$A$2:$F$368,G100,FALSE)</f>
        <v>13.137499999999999</v>
      </c>
      <c r="J100" s="119">
        <f ca="1">HLOOKUP($H$5,'Met Data'!$H$2:$M$368,G100,FALSE)*L100</f>
        <v>3</v>
      </c>
      <c r="K100" s="96">
        <f ca="1">HLOOKUP($H$5,'Met Data'!$O$2:$T$368,G100,FALSE)</f>
        <v>1.16413167388704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45461</v>
      </c>
      <c r="Q100">
        <f ca="1"/>
        <v>146.88659514709173</v>
      </c>
      <c r="R100">
        <f ca="1"/>
        <v>5.7269015940776171</v>
      </c>
      <c r="S100">
        <f ca="1"/>
        <v>1.4688481622016525E-2</v>
      </c>
      <c r="T100">
        <f ca="1"/>
        <v>0.91599718528494578</v>
      </c>
      <c r="U100">
        <f ca="1"/>
        <v>0</v>
      </c>
      <c r="V100">
        <f ca="1"/>
        <v>378.29114677842671</v>
      </c>
      <c r="W100">
        <f ca="1"/>
        <v>259.86750672671087</v>
      </c>
      <c r="X100">
        <f ca="1"/>
        <v>9.4730968186080915</v>
      </c>
      <c r="Y100">
        <f ca="1"/>
        <v>1</v>
      </c>
      <c r="Z100">
        <f ca="1"/>
        <v>11.163016101227555</v>
      </c>
      <c r="AA100">
        <f ca="1"/>
        <v>0</v>
      </c>
      <c r="AB100">
        <f ca="1"/>
        <v>0.99999999999461919</v>
      </c>
      <c r="AD100" s="2">
        <f t="shared" ca="1" si="12"/>
        <v>45461</v>
      </c>
      <c r="AE100">
        <f t="shared" ca="1" si="13"/>
        <v>0</v>
      </c>
      <c r="AG100" s="63">
        <f t="shared" ca="1" si="17"/>
        <v>162.08659355977744</v>
      </c>
      <c r="AH100" s="63">
        <f t="shared" ca="1" si="18"/>
        <v>162.08659355977744</v>
      </c>
      <c r="AI100" s="3">
        <f t="shared" ca="1" si="19"/>
        <v>0</v>
      </c>
    </row>
    <row r="101" spans="7:35">
      <c r="G101" s="3">
        <f t="shared" ca="1" si="14"/>
        <v>126</v>
      </c>
      <c r="H101" s="95">
        <f t="shared" ca="1" si="16"/>
        <v>45416</v>
      </c>
      <c r="I101" s="119">
        <f ca="1">HLOOKUP($H$5,'Met Data'!$A$2:$F$368,G101,FALSE)</f>
        <v>13.591666666666599</v>
      </c>
      <c r="J101" s="119">
        <f ca="1">HLOOKUP($H$5,'Met Data'!$H$2:$M$368,G101,FALSE)*L101</f>
        <v>4.8499999999999996</v>
      </c>
      <c r="K101" s="96">
        <f ca="1">HLOOKUP($H$5,'Met Data'!$O$2:$T$368,G101,FALSE)</f>
        <v>1.3049016144750001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45462</v>
      </c>
      <c r="Q101">
        <f ca="1"/>
        <v>135.82012266333933</v>
      </c>
      <c r="R101">
        <f ca="1"/>
        <v>5.5671697592498504</v>
      </c>
      <c r="S101">
        <f ca="1"/>
        <v>1.4571619225847598E-2</v>
      </c>
      <c r="T101">
        <f ca="1"/>
        <v>0.9117388667758477</v>
      </c>
      <c r="U101">
        <f ca="1"/>
        <v>0</v>
      </c>
      <c r="V101">
        <f ca="1"/>
        <v>383.85831653767656</v>
      </c>
      <c r="W101">
        <f ca="1"/>
        <v>263.69187993021069</v>
      </c>
      <c r="X101">
        <f ca="1"/>
        <v>6.4256132105042143</v>
      </c>
      <c r="Y101">
        <f ca="1"/>
        <v>1</v>
      </c>
      <c r="Z101">
        <f ca="1"/>
        <v>8.1888365082086096</v>
      </c>
      <c r="AA101">
        <f ca="1"/>
        <v>0</v>
      </c>
      <c r="AB101">
        <f ca="1"/>
        <v>0.99999999999614775</v>
      </c>
      <c r="AD101" s="2">
        <f t="shared" ca="1" si="12"/>
        <v>45462</v>
      </c>
      <c r="AE101">
        <f t="shared" ca="1" si="13"/>
        <v>0</v>
      </c>
      <c r="AG101" s="63">
        <f t="shared" ca="1" si="17"/>
        <v>147.81290563309341</v>
      </c>
      <c r="AH101" s="63">
        <f t="shared" ca="1" si="18"/>
        <v>147.81290563309341</v>
      </c>
      <c r="AI101" s="3">
        <f t="shared" ca="1" si="19"/>
        <v>0</v>
      </c>
    </row>
    <row r="102" spans="7:35">
      <c r="G102" s="3">
        <f t="shared" ca="1" si="14"/>
        <v>127</v>
      </c>
      <c r="H102" s="95">
        <f t="shared" ca="1" si="16"/>
        <v>45417</v>
      </c>
      <c r="I102" s="119">
        <f ca="1">HLOOKUP($H$5,'Met Data'!$A$2:$F$368,G102,FALSE)</f>
        <v>13.2708333333333</v>
      </c>
      <c r="J102" s="119">
        <f ca="1">HLOOKUP($H$5,'Met Data'!$H$2:$M$368,G102,FALSE)*L102</f>
        <v>2.36666666666666</v>
      </c>
      <c r="K102" s="96">
        <f ca="1">HLOOKUP($H$5,'Met Data'!$O$2:$T$368,G102,FALSE)</f>
        <v>1.29751787384439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45463</v>
      </c>
      <c r="Q102">
        <f ca="1"/>
        <v>130.80242539156814</v>
      </c>
      <c r="R102">
        <f ca="1"/>
        <v>5.1344267721611345</v>
      </c>
      <c r="S102">
        <f ca="1"/>
        <v>1.3719909918535222E-2</v>
      </c>
      <c r="T102">
        <f ca="1"/>
        <v>0.86123072257991851</v>
      </c>
      <c r="U102">
        <f ca="1"/>
        <v>0</v>
      </c>
      <c r="V102">
        <f ca="1"/>
        <v>388.99274330983769</v>
      </c>
      <c r="W102">
        <f ca="1"/>
        <v>267.21897987720968</v>
      </c>
      <c r="X102">
        <f ca="1"/>
        <v>0.75822113210852249</v>
      </c>
      <c r="Y102">
        <f ca="1"/>
        <v>1</v>
      </c>
      <c r="Z102">
        <f ca="1"/>
        <v>1.0033485479809272</v>
      </c>
      <c r="AA102">
        <f ca="1"/>
        <v>0</v>
      </c>
      <c r="AB102">
        <f ca="1"/>
        <v>0.99999999999719091</v>
      </c>
      <c r="AD102" s="2">
        <f t="shared" ca="1" si="12"/>
        <v>45463</v>
      </c>
      <c r="AE102">
        <f t="shared" ca="1" si="13"/>
        <v>0</v>
      </c>
      <c r="AG102" s="63">
        <f t="shared" ca="1" si="17"/>
        <v>136.6950732958378</v>
      </c>
      <c r="AH102" s="63">
        <f t="shared" ca="1" si="18"/>
        <v>136.6950732958378</v>
      </c>
      <c r="AI102" s="3">
        <f t="shared" ca="1" si="19"/>
        <v>0</v>
      </c>
    </row>
    <row r="103" spans="7:35">
      <c r="G103" s="3">
        <f t="shared" ca="1" si="14"/>
        <v>128</v>
      </c>
      <c r="H103" s="95">
        <f t="shared" ca="1" si="16"/>
        <v>45418</v>
      </c>
      <c r="I103" s="119">
        <f ca="1">HLOOKUP($H$5,'Met Data'!$A$2:$F$368,G103,FALSE)</f>
        <v>12.6791666666666</v>
      </c>
      <c r="J103" s="119">
        <f ca="1">HLOOKUP($H$5,'Met Data'!$H$2:$M$368,G103,FALSE)*L103</f>
        <v>5.4166666666666599</v>
      </c>
      <c r="K103" s="96">
        <f ca="1">HLOOKUP($H$5,'Met Data'!$O$2:$T$368,G103,FALSE)</f>
        <v>1.3071916611718599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45464</v>
      </c>
      <c r="Q103">
        <f ca="1"/>
        <v>126.32494273104591</v>
      </c>
      <c r="R103">
        <f ca="1"/>
        <v>4.4874235008242067</v>
      </c>
      <c r="S103">
        <f ca="1"/>
        <v>1.2302762961695635E-2</v>
      </c>
      <c r="T103">
        <f ca="1"/>
        <v>0.77459851888363862</v>
      </c>
      <c r="U103">
        <f ca="1"/>
        <v>0</v>
      </c>
      <c r="V103">
        <f ca="1"/>
        <v>393.4801668106619</v>
      </c>
      <c r="W103">
        <f ca="1"/>
        <v>270.30162023693521</v>
      </c>
      <c r="X103">
        <f ca="1"/>
        <v>0.77696044154335597</v>
      </c>
      <c r="Y103">
        <f ca="1"/>
        <v>1</v>
      </c>
      <c r="Z103">
        <f ca="1"/>
        <v>1.0645879267232488</v>
      </c>
      <c r="AA103">
        <f ca="1"/>
        <v>0</v>
      </c>
      <c r="AB103">
        <f ca="1"/>
        <v>0.99999999999788192</v>
      </c>
      <c r="AD103" s="2">
        <f t="shared" ca="1" si="12"/>
        <v>45464</v>
      </c>
      <c r="AE103">
        <f t="shared" ca="1" si="13"/>
        <v>0</v>
      </c>
      <c r="AG103" s="63">
        <f t="shared" ca="1" si="17"/>
        <v>131.58932667341347</v>
      </c>
      <c r="AH103" s="63">
        <f t="shared" ca="1" si="18"/>
        <v>131.58932667341347</v>
      </c>
      <c r="AI103" s="3">
        <f t="shared" ca="1" si="19"/>
        <v>0</v>
      </c>
    </row>
    <row r="104" spans="7:35">
      <c r="G104" s="3">
        <f t="shared" ca="1" si="14"/>
        <v>129</v>
      </c>
      <c r="H104" s="95">
        <f t="shared" ca="1" si="16"/>
        <v>45419</v>
      </c>
      <c r="I104" s="119">
        <f ca="1">HLOOKUP($H$5,'Met Data'!$A$2:$F$368,G104,FALSE)</f>
        <v>12.799999999999899</v>
      </c>
      <c r="J104" s="119">
        <f ca="1">HLOOKUP($H$5,'Met Data'!$H$2:$M$368,G104,FALSE)*L104</f>
        <v>2.1666666666666599</v>
      </c>
      <c r="K104" s="96">
        <f ca="1">HLOOKUP($H$5,'Met Data'!$O$2:$T$368,G104,FALSE)</f>
        <v>1.27112414081248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45465</v>
      </c>
      <c r="Q104">
        <f ca="1"/>
        <v>121.17219859914509</v>
      </c>
      <c r="R104">
        <f ca="1"/>
        <v>4.4111816489884745</v>
      </c>
      <c r="S104">
        <f ca="1"/>
        <v>1.233002693538765E-2</v>
      </c>
      <c r="T104">
        <f ca="1"/>
        <v>0.77855663320203317</v>
      </c>
      <c r="U104">
        <f ca="1"/>
        <v>0</v>
      </c>
      <c r="V104">
        <f ca="1"/>
        <v>397.89134845965037</v>
      </c>
      <c r="W104">
        <f ca="1"/>
        <v>273.3318861752303</v>
      </c>
      <c r="X104">
        <f ca="1"/>
        <v>1.5324491430497638</v>
      </c>
      <c r="Y104">
        <f ca="1"/>
        <v>1</v>
      </c>
      <c r="Z104">
        <f ca="1"/>
        <v>2.1890456670604266</v>
      </c>
      <c r="AA104">
        <f ca="1"/>
        <v>0</v>
      </c>
      <c r="AB104">
        <f ca="1"/>
        <v>0.99999999999840572</v>
      </c>
      <c r="AD104" s="2">
        <f t="shared" ca="1" si="12"/>
        <v>45465</v>
      </c>
      <c r="AE104">
        <f t="shared" ca="1" si="13"/>
        <v>0</v>
      </c>
      <c r="AG104" s="63">
        <f t="shared" ca="1" si="17"/>
        <v>127.11582939118333</v>
      </c>
      <c r="AH104" s="63">
        <f t="shared" ca="1" si="18"/>
        <v>127.11582939118333</v>
      </c>
      <c r="AI104" s="3">
        <f t="shared" ca="1" si="19"/>
        <v>0</v>
      </c>
    </row>
    <row r="105" spans="7:35">
      <c r="G105" s="3">
        <f t="shared" ca="1" si="14"/>
        <v>130</v>
      </c>
      <c r="H105" s="95">
        <f t="shared" ca="1" si="16"/>
        <v>45420</v>
      </c>
      <c r="I105" s="119">
        <f ca="1">HLOOKUP($H$5,'Met Data'!$A$2:$F$368,G105,FALSE)</f>
        <v>14.1</v>
      </c>
      <c r="J105" s="119">
        <f ca="1">HLOOKUP($H$5,'Met Data'!$H$2:$M$368,G105,FALSE)*L105</f>
        <v>1.2333333333333301</v>
      </c>
      <c r="K105" s="96">
        <f ca="1">HLOOKUP($H$5,'Met Data'!$O$2:$T$368,G105,FALSE)</f>
        <v>1.3593529897032299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45466</v>
      </c>
      <c r="Q105">
        <f ca="1"/>
        <v>115.23468993812743</v>
      </c>
      <c r="R105">
        <f ca="1"/>
        <v>4.9380330462394113</v>
      </c>
      <c r="S105">
        <f ca="1"/>
        <v>1.4038120503187201E-2</v>
      </c>
      <c r="T105">
        <f ca="1"/>
        <v>0.88919596867827244</v>
      </c>
      <c r="U105">
        <f ca="1"/>
        <v>0</v>
      </c>
      <c r="V105">
        <f ca="1"/>
        <v>402.82938150588978</v>
      </c>
      <c r="W105">
        <f ca="1"/>
        <v>276.7240732427536</v>
      </c>
      <c r="X105">
        <f ca="1"/>
        <v>1.9027097039597047</v>
      </c>
      <c r="Y105">
        <f ca="1"/>
        <v>1</v>
      </c>
      <c r="Z105">
        <f ca="1"/>
        <v>2.8579921700218662</v>
      </c>
      <c r="AA105">
        <f ca="1"/>
        <v>0</v>
      </c>
      <c r="AB105">
        <f ca="1"/>
        <v>0.99999999999884914</v>
      </c>
      <c r="AD105" s="2">
        <f t="shared" ca="1" si="12"/>
        <v>45466</v>
      </c>
      <c r="AE105">
        <f t="shared" ca="1" si="13"/>
        <v>0</v>
      </c>
      <c r="AG105" s="63">
        <f t="shared" ca="1" si="17"/>
        <v>122.07543268832654</v>
      </c>
      <c r="AH105" s="63">
        <f t="shared" ca="1" si="18"/>
        <v>122.07543268832654</v>
      </c>
      <c r="AI105" s="3">
        <f t="shared" ca="1" si="19"/>
        <v>0</v>
      </c>
    </row>
    <row r="106" spans="7:35">
      <c r="G106" s="3">
        <f t="shared" ca="1" si="14"/>
        <v>131</v>
      </c>
      <c r="H106" s="95">
        <f t="shared" ca="1" si="16"/>
        <v>45421</v>
      </c>
      <c r="I106" s="119">
        <f ca="1">HLOOKUP($H$5,'Met Data'!$A$2:$F$368,G106,FALSE)</f>
        <v>13.7416666666666</v>
      </c>
      <c r="J106" s="119">
        <f ca="1">HLOOKUP($H$5,'Met Data'!$H$2:$M$368,G106,FALSE)*L106</f>
        <v>1.56666666666666</v>
      </c>
      <c r="K106" s="96">
        <f ca="1">HLOOKUP($H$5,'Met Data'!$O$2:$T$368,G106,FALSE)</f>
        <v>1.1980493949464299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45467</v>
      </c>
      <c r="Q106">
        <f ca="1"/>
        <v>110.29485357196191</v>
      </c>
      <c r="R106">
        <f ca="1"/>
        <v>4.4129110096242812</v>
      </c>
      <c r="S106">
        <f ca="1"/>
        <v>1.2867927537172363E-2</v>
      </c>
      <c r="T106">
        <f ca="1"/>
        <v>0.81773767200325065</v>
      </c>
      <c r="U106">
        <f ca="1"/>
        <v>0</v>
      </c>
      <c r="V106">
        <f ca="1"/>
        <v>407.24229251551407</v>
      </c>
      <c r="W106">
        <f ca="1"/>
        <v>279.75552716718187</v>
      </c>
      <c r="X106">
        <f ca="1"/>
        <v>1.3575309560816615</v>
      </c>
      <c r="Y106">
        <f ca="1"/>
        <v>1</v>
      </c>
      <c r="Z106">
        <f ca="1"/>
        <v>2.1304249143843919</v>
      </c>
      <c r="AA106">
        <f ca="1"/>
        <v>0</v>
      </c>
      <c r="AB106">
        <f ca="1"/>
        <v>0.9999999999991469</v>
      </c>
      <c r="AD106" s="2">
        <f t="shared" ca="1" si="12"/>
        <v>45467</v>
      </c>
      <c r="AE106">
        <f t="shared" ca="1" si="13"/>
        <v>0</v>
      </c>
      <c r="AG106" s="63">
        <f t="shared" ca="1" si="17"/>
        <v>116.06529553766785</v>
      </c>
      <c r="AH106" s="63">
        <f t="shared" ca="1" si="18"/>
        <v>116.06529553766785</v>
      </c>
      <c r="AI106" s="3">
        <f t="shared" ca="1" si="19"/>
        <v>0</v>
      </c>
    </row>
    <row r="107" spans="7:35">
      <c r="G107" s="3">
        <f t="shared" ca="1" si="14"/>
        <v>132</v>
      </c>
      <c r="H107" s="95">
        <f t="shared" ca="1" si="16"/>
        <v>45422</v>
      </c>
      <c r="I107" s="119">
        <f ca="1">HLOOKUP($H$5,'Met Data'!$A$2:$F$368,G107,FALSE)</f>
        <v>13.1</v>
      </c>
      <c r="J107" s="119">
        <f ca="1">HLOOKUP($H$5,'Met Data'!$H$2:$M$368,G107,FALSE)*L107</f>
        <v>3.7166666666666601</v>
      </c>
      <c r="K107" s="96">
        <f ca="1">HLOOKUP($H$5,'Met Data'!$O$2:$T$368,G107,FALSE)</f>
        <v>1.0818629782871001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45468</v>
      </c>
      <c r="Q107">
        <f ca="1"/>
        <v>106.8123013755324</v>
      </c>
      <c r="R107">
        <f ca="1"/>
        <v>4.1271962182829611</v>
      </c>
      <c r="S107">
        <f ca="1"/>
        <v>1.2343655170326429E-2</v>
      </c>
      <c r="T107">
        <f ca="1"/>
        <v>0.78687466789800264</v>
      </c>
      <c r="U107">
        <f ca="1"/>
        <v>0</v>
      </c>
      <c r="V107">
        <f ca="1"/>
        <v>411.36948873379703</v>
      </c>
      <c r="W107">
        <f ca="1"/>
        <v>282.59070901098346</v>
      </c>
      <c r="X107">
        <f ca="1"/>
        <v>0.15457430121488505</v>
      </c>
      <c r="Y107">
        <f ca="1"/>
        <v>1</v>
      </c>
      <c r="Z107">
        <f ca="1"/>
        <v>0.2504884806367258</v>
      </c>
      <c r="AA107">
        <f ca="1"/>
        <v>0</v>
      </c>
      <c r="AB107">
        <f ca="1"/>
        <v>0.99999999999935985</v>
      </c>
      <c r="AD107" s="2">
        <f t="shared" ca="1" si="12"/>
        <v>45468</v>
      </c>
      <c r="AE107">
        <f t="shared" ca="1" si="13"/>
        <v>0</v>
      </c>
      <c r="AG107" s="63">
        <f t="shared" ca="1" si="17"/>
        <v>111.09407189503024</v>
      </c>
      <c r="AH107" s="63">
        <f t="shared" ca="1" si="18"/>
        <v>111.09407189503024</v>
      </c>
      <c r="AI107" s="3">
        <f t="shared" ca="1" si="19"/>
        <v>0</v>
      </c>
    </row>
    <row r="108" spans="7:35">
      <c r="G108" s="3">
        <f t="shared" ca="1" si="14"/>
        <v>133</v>
      </c>
      <c r="H108" s="95">
        <f t="shared" ca="1" si="16"/>
        <v>45423</v>
      </c>
      <c r="I108" s="119">
        <f ca="1">HLOOKUP($H$5,'Met Data'!$A$2:$F$368,G108,FALSE)</f>
        <v>13.566666666666601</v>
      </c>
      <c r="J108" s="119">
        <f ca="1">HLOOKUP($H$5,'Met Data'!$H$2:$M$368,G108,FALSE)*L108</f>
        <v>5.86666666666666</v>
      </c>
      <c r="K108" s="96">
        <f ca="1">HLOOKUP($H$5,'Met Data'!$O$2:$T$368,G108,FALSE)</f>
        <v>0.93360919947406795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45469</v>
      </c>
      <c r="Q108">
        <f ca="1"/>
        <v>102.47846733178473</v>
      </c>
      <c r="R108">
        <f ca="1"/>
        <v>3.8664586604202213</v>
      </c>
      <c r="S108">
        <f ca="1"/>
        <v>1.1868305151523373E-2</v>
      </c>
      <c r="T108">
        <f ca="1"/>
        <v>0.75889567168183236</v>
      </c>
      <c r="U108">
        <f ca="1"/>
        <v>0</v>
      </c>
      <c r="V108">
        <f ca="1"/>
        <v>415.23594739421725</v>
      </c>
      <c r="W108">
        <f ca="1"/>
        <v>285.24677691133485</v>
      </c>
      <c r="X108">
        <f ca="1"/>
        <v>1.238139360160796</v>
      </c>
      <c r="Y108">
        <f ca="1"/>
        <v>1</v>
      </c>
      <c r="Z108">
        <f ca="1"/>
        <v>2.0912629704932257</v>
      </c>
      <c r="AA108">
        <f ca="1"/>
        <v>0</v>
      </c>
      <c r="AB108">
        <f ca="1"/>
        <v>0.99999999999951439</v>
      </c>
      <c r="AD108" s="2">
        <f t="shared" ca="1" si="12"/>
        <v>45469</v>
      </c>
      <c r="AE108">
        <f t="shared" ca="1" si="13"/>
        <v>0</v>
      </c>
      <c r="AG108" s="63">
        <f t="shared" ca="1" si="17"/>
        <v>107.58306535236575</v>
      </c>
      <c r="AH108" s="63">
        <f t="shared" ca="1" si="18"/>
        <v>107.58306535236575</v>
      </c>
      <c r="AI108" s="3">
        <f t="shared" ca="1" si="19"/>
        <v>0</v>
      </c>
    </row>
    <row r="109" spans="7:35">
      <c r="G109" s="3">
        <f t="shared" ca="1" si="14"/>
        <v>134</v>
      </c>
      <c r="H109" s="95">
        <f t="shared" ca="1" si="16"/>
        <v>45424</v>
      </c>
      <c r="I109" s="119">
        <f ca="1">HLOOKUP($H$5,'Met Data'!$A$2:$F$368,G109,FALSE)</f>
        <v>12.887499999999999</v>
      </c>
      <c r="J109" s="119">
        <f ca="1">HLOOKUP($H$5,'Met Data'!$H$2:$M$368,G109,FALSE)*L109</f>
        <v>5.1666666666666599</v>
      </c>
      <c r="K109" s="96">
        <f ca="1">HLOOKUP($H$5,'Met Data'!$O$2:$T$368,G109,FALSE)</f>
        <v>1.3361527471355901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45470</v>
      </c>
      <c r="Q109">
        <f ca="1"/>
        <v>99.459257729574986</v>
      </c>
      <c r="R109">
        <f ca="1"/>
        <v>3.7949885139119601</v>
      </c>
      <c r="S109">
        <f ca="1"/>
        <v>1.1909346758926631E-2</v>
      </c>
      <c r="T109">
        <f ca="1"/>
        <v>0.76386956494328806</v>
      </c>
      <c r="U109">
        <f ca="1"/>
        <v>0</v>
      </c>
      <c r="V109">
        <f ca="1"/>
        <v>419.03093590812921</v>
      </c>
      <c r="W109">
        <f ca="1"/>
        <v>287.85374831831962</v>
      </c>
      <c r="X109">
        <f ca="1"/>
        <v>0</v>
      </c>
      <c r="Y109">
        <f ca="1"/>
        <v>0.99925472063176879</v>
      </c>
      <c r="Z109">
        <f ca="1"/>
        <v>0</v>
      </c>
      <c r="AA109">
        <f ca="1"/>
        <v>0</v>
      </c>
      <c r="AB109">
        <f ca="1"/>
        <v>0.99999999999963229</v>
      </c>
      <c r="AD109" s="2">
        <f t="shared" ca="1" si="12"/>
        <v>45470</v>
      </c>
      <c r="AE109">
        <f t="shared" ca="1" si="13"/>
        <v>0</v>
      </c>
      <c r="AG109" s="63">
        <f t="shared" ca="1" si="17"/>
        <v>103.25424624348695</v>
      </c>
      <c r="AH109" s="63">
        <f t="shared" ca="1" si="18"/>
        <v>103.25424624348695</v>
      </c>
      <c r="AI109" s="3">
        <f t="shared" ca="1" si="19"/>
        <v>0</v>
      </c>
    </row>
    <row r="110" spans="7:35">
      <c r="G110" s="3">
        <f t="shared" ca="1" si="14"/>
        <v>135</v>
      </c>
      <c r="H110" s="95">
        <f t="shared" ca="1" si="16"/>
        <v>45425</v>
      </c>
      <c r="I110" s="119">
        <f ca="1">HLOOKUP($H$5,'Met Data'!$A$2:$F$368,G110,FALSE)</f>
        <v>13</v>
      </c>
      <c r="J110" s="119">
        <f ca="1">HLOOKUP($H$5,'Met Data'!$H$2:$M$368,G110,FALSE)*L110</f>
        <v>4.86666666666666</v>
      </c>
      <c r="K110" s="96">
        <f ca="1">HLOOKUP($H$5,'Met Data'!$O$2:$T$368,G110,FALSE)</f>
        <v>1.1907632624443201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45471</v>
      </c>
      <c r="Q110">
        <f ca="1"/>
        <v>96.126514509090228</v>
      </c>
      <c r="R110">
        <f ca="1"/>
        <v>3.6446496438323379</v>
      </c>
      <c r="S110">
        <f ca="1"/>
        <v>1.1723278411665206E-2</v>
      </c>
      <c r="T110">
        <f ca="1"/>
        <v>0.7542958009300752</v>
      </c>
      <c r="U110">
        <f ca="1"/>
        <v>0</v>
      </c>
      <c r="V110">
        <f ca="1"/>
        <v>422.67558555196155</v>
      </c>
      <c r="W110">
        <f ca="1"/>
        <v>290.35744427816672</v>
      </c>
      <c r="X110">
        <f ca="1"/>
        <v>0.45411265599416423</v>
      </c>
      <c r="Y110">
        <f ca="1"/>
        <v>1</v>
      </c>
      <c r="Z110">
        <f ca="1"/>
        <v>0.81769652010066807</v>
      </c>
      <c r="AA110">
        <f ca="1"/>
        <v>0</v>
      </c>
      <c r="AB110">
        <f ca="1"/>
        <v>0.99999999999972045</v>
      </c>
      <c r="AD110" s="2">
        <f t="shared" ca="1" si="12"/>
        <v>45471</v>
      </c>
      <c r="AE110">
        <f t="shared" ca="1" si="13"/>
        <v>0</v>
      </c>
      <c r="AG110" s="63">
        <f t="shared" ca="1" si="17"/>
        <v>100.22527680891673</v>
      </c>
      <c r="AH110" s="63">
        <f t="shared" ca="1" si="18"/>
        <v>100.22527680891673</v>
      </c>
      <c r="AI110" s="3">
        <f t="shared" ca="1" si="19"/>
        <v>0</v>
      </c>
    </row>
    <row r="111" spans="7:35">
      <c r="G111" s="3">
        <f t="shared" ca="1" si="14"/>
        <v>136</v>
      </c>
      <c r="H111" s="95">
        <f t="shared" ca="1" si="16"/>
        <v>45426</v>
      </c>
      <c r="I111" s="119">
        <f ca="1">HLOOKUP($H$5,'Met Data'!$A$2:$F$368,G111,FALSE)</f>
        <v>13.470833333333299</v>
      </c>
      <c r="J111" s="119">
        <f ca="1">HLOOKUP($H$5,'Met Data'!$H$2:$M$368,G111,FALSE)*L111</f>
        <v>8.7833333333333297</v>
      </c>
      <c r="K111" s="96">
        <f ca="1">HLOOKUP($H$5,'Met Data'!$O$2:$T$368,G111,FALSE)</f>
        <v>1.16840876605303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45472</v>
      </c>
      <c r="Q111">
        <f ca="1"/>
        <v>92.46545016350521</v>
      </c>
      <c r="R111">
        <f ca="1"/>
        <v>3.4739341674992943</v>
      </c>
      <c r="S111">
        <f ca="1"/>
        <v>1.1465716645545854E-2</v>
      </c>
      <c r="T111">
        <f ca="1"/>
        <v>0.74005184140442304</v>
      </c>
      <c r="U111">
        <f ca="1"/>
        <v>0</v>
      </c>
      <c r="V111">
        <f ca="1"/>
        <v>426.14951971946084</v>
      </c>
      <c r="W111">
        <f ca="1"/>
        <v>292.74386705947904</v>
      </c>
      <c r="X111">
        <f ca="1"/>
        <v>0.93864773613569774</v>
      </c>
      <c r="Y111">
        <f ca="1"/>
        <v>1</v>
      </c>
      <c r="Z111">
        <f ca="1"/>
        <v>1.7570935632686613</v>
      </c>
      <c r="AA111">
        <f ca="1"/>
        <v>0</v>
      </c>
      <c r="AB111">
        <f ca="1"/>
        <v>0.99999999999978639</v>
      </c>
      <c r="AD111" s="2">
        <f t="shared" ca="1" si="12"/>
        <v>45472</v>
      </c>
      <c r="AE111">
        <f t="shared" ca="1" si="13"/>
        <v>0</v>
      </c>
      <c r="AG111" s="63">
        <f t="shared" ca="1" si="17"/>
        <v>96.878032067140197</v>
      </c>
      <c r="AH111" s="63">
        <f t="shared" ca="1" si="18"/>
        <v>96.878032067140197</v>
      </c>
      <c r="AI111" s="3">
        <f t="shared" ca="1" si="19"/>
        <v>0</v>
      </c>
    </row>
    <row r="112" spans="7:35">
      <c r="G112" s="3">
        <f t="shared" ca="1" si="14"/>
        <v>137</v>
      </c>
      <c r="H112" s="95">
        <f t="shared" ca="1" si="16"/>
        <v>45427</v>
      </c>
      <c r="I112" s="119">
        <f ca="1">HLOOKUP($H$5,'Met Data'!$A$2:$F$368,G112,FALSE)</f>
        <v>12.8666666666666</v>
      </c>
      <c r="J112" s="119">
        <f ca="1">HLOOKUP($H$5,'Met Data'!$H$2:$M$368,G112,FALSE)*L112</f>
        <v>4.86666666666666</v>
      </c>
      <c r="K112" s="96">
        <f ca="1">HLOOKUP($H$5,'Met Data'!$O$2:$T$368,G112,FALSE)</f>
        <v>1.23845839693481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45473</v>
      </c>
      <c r="Q112">
        <f ca="1"/>
        <v>89.061497391534857</v>
      </c>
      <c r="R112">
        <f ca="1"/>
        <v>3.4958828843457468</v>
      </c>
      <c r="S112">
        <f ca="1"/>
        <v>1.1777706269299415E-2</v>
      </c>
      <c r="T112">
        <f ca="1"/>
        <v>0.76265376574234089</v>
      </c>
      <c r="U112">
        <f ca="1"/>
        <v>0</v>
      </c>
      <c r="V112">
        <f ca="1"/>
        <v>429.64540260380659</v>
      </c>
      <c r="W112">
        <f ca="1"/>
        <v>295.1453675352372</v>
      </c>
      <c r="X112">
        <f ca="1"/>
        <v>0.68250135963624381</v>
      </c>
      <c r="Y112">
        <f ca="1"/>
        <v>1</v>
      </c>
      <c r="Z112">
        <f ca="1"/>
        <v>1.326432845154919</v>
      </c>
      <c r="AA112">
        <f ca="1"/>
        <v>0</v>
      </c>
      <c r="AB112">
        <f ca="1"/>
        <v>0.99999999999983813</v>
      </c>
      <c r="AD112" s="2">
        <f t="shared" ca="1" si="12"/>
        <v>45473</v>
      </c>
      <c r="AE112">
        <f t="shared" ca="1" si="13"/>
        <v>0</v>
      </c>
      <c r="AG112" s="63">
        <f t="shared" ca="1" si="17"/>
        <v>93.239881635516852</v>
      </c>
      <c r="AH112" s="63">
        <f t="shared" ca="1" si="18"/>
        <v>93.239881635516852</v>
      </c>
      <c r="AI112" s="3">
        <f t="shared" ca="1" si="19"/>
        <v>0</v>
      </c>
    </row>
    <row r="113" spans="7:35">
      <c r="G113" s="3">
        <f t="shared" ca="1" si="14"/>
        <v>138</v>
      </c>
      <c r="H113" s="95">
        <f t="shared" ca="1" si="16"/>
        <v>45428</v>
      </c>
      <c r="I113" s="119">
        <f ca="1">HLOOKUP($H$5,'Met Data'!$A$2:$F$368,G113,FALSE)</f>
        <v>12.237499999999899</v>
      </c>
      <c r="J113" s="119">
        <f ca="1">HLOOKUP($H$5,'Met Data'!$H$2:$M$368,G113,FALSE)*L113</f>
        <v>3.7166666666666601</v>
      </c>
      <c r="K113" s="96">
        <f ca="1">HLOOKUP($H$5,'Met Data'!$O$2:$T$368,G113,FALSE)</f>
        <v>1.3074898165915401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45474</v>
      </c>
      <c r="Q113">
        <f ca="1"/>
        <v>86.617866099860507</v>
      </c>
      <c r="R113">
        <f ca="1"/>
        <v>3.1716145132765519</v>
      </c>
      <c r="S113">
        <f ca="1"/>
        <v>1.1035866657607585E-2</v>
      </c>
      <c r="T113">
        <f ca="1"/>
        <v>0.71694735494459816</v>
      </c>
      <c r="U113">
        <f ca="1"/>
        <v>0</v>
      </c>
      <c r="V113">
        <f ca="1"/>
        <v>432.81701711708314</v>
      </c>
      <c r="W113">
        <f ca="1"/>
        <v>297.32411150765745</v>
      </c>
      <c r="X113">
        <f ca="1"/>
        <v>0</v>
      </c>
      <c r="Y113">
        <f ca="1"/>
        <v>0.9966373090597449</v>
      </c>
      <c r="Z113">
        <f ca="1"/>
        <v>0</v>
      </c>
      <c r="AA113">
        <f ca="1"/>
        <v>0</v>
      </c>
      <c r="AB113">
        <f ca="1"/>
        <v>0.99999999999987499</v>
      </c>
      <c r="AD113" s="2">
        <f t="shared" ca="1" si="12"/>
        <v>45474</v>
      </c>
      <c r="AE113">
        <f t="shared" ca="1" si="13"/>
        <v>0</v>
      </c>
      <c r="AG113" s="63">
        <f t="shared" ca="1" si="17"/>
        <v>89.789480613137059</v>
      </c>
      <c r="AH113" s="63">
        <f t="shared" ca="1" si="18"/>
        <v>89.789480613137059</v>
      </c>
      <c r="AI113" s="3">
        <f t="shared" ca="1" si="19"/>
        <v>0</v>
      </c>
    </row>
    <row r="114" spans="7:35">
      <c r="G114" s="3">
        <f t="shared" ca="1" si="14"/>
        <v>139</v>
      </c>
      <c r="H114" s="95">
        <f t="shared" ca="1" si="16"/>
        <v>45429</v>
      </c>
      <c r="I114" s="119">
        <f ca="1">HLOOKUP($H$5,'Met Data'!$A$2:$F$368,G114,FALSE)</f>
        <v>11.595833333333299</v>
      </c>
      <c r="J114" s="119">
        <f ca="1">HLOOKUP($H$5,'Met Data'!$H$2:$M$368,G114,FALSE)*L114</f>
        <v>2.61666666666666</v>
      </c>
      <c r="K114" s="96">
        <f ca="1">HLOOKUP($H$5,'Met Data'!$O$2:$T$368,G114,FALSE)</f>
        <v>1.3321153360432201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45475</v>
      </c>
      <c r="Q114">
        <f ca="1"/>
        <v>83.113257298140809</v>
      </c>
      <c r="R114">
        <f ca="1"/>
        <v>3.3122632466164532</v>
      </c>
      <c r="S114">
        <f ca="1"/>
        <v>1.1715402224666605E-2</v>
      </c>
      <c r="T114">
        <f ca="1"/>
        <v>0.76363223781785927</v>
      </c>
      <c r="U114">
        <f ca="1"/>
        <v>0</v>
      </c>
      <c r="V114">
        <f ca="1"/>
        <v>436.12928036369959</v>
      </c>
      <c r="W114">
        <f ca="1"/>
        <v>299.59947427744731</v>
      </c>
      <c r="X114">
        <f ca="1"/>
        <v>0.96769319514576391</v>
      </c>
      <c r="Y114">
        <f ca="1"/>
        <v>1</v>
      </c>
      <c r="Z114">
        <f ca="1"/>
        <v>2.4938275608524663</v>
      </c>
      <c r="AA114">
        <f ca="1"/>
        <v>0</v>
      </c>
      <c r="AB114">
        <f ca="1"/>
        <v>0.99999999999990541</v>
      </c>
      <c r="AD114" s="2">
        <f t="shared" ca="1" si="12"/>
        <v>45475</v>
      </c>
      <c r="AE114">
        <f t="shared" ca="1" si="13"/>
        <v>0</v>
      </c>
      <c r="AG114" s="63">
        <f t="shared" ca="1" si="17"/>
        <v>87.393213739903032</v>
      </c>
      <c r="AH114" s="63">
        <f t="shared" ca="1" si="18"/>
        <v>87.393213739903032</v>
      </c>
      <c r="AI114" s="3">
        <f t="shared" ca="1" si="19"/>
        <v>0</v>
      </c>
    </row>
    <row r="115" spans="7:35">
      <c r="G115" s="3">
        <f t="shared" ca="1" si="14"/>
        <v>140</v>
      </c>
      <c r="H115" s="95">
        <f t="shared" ca="1" si="16"/>
        <v>45430</v>
      </c>
      <c r="I115" s="119">
        <f ca="1">HLOOKUP($H$5,'Met Data'!$A$2:$F$368,G115,FALSE)</f>
        <v>11.904166666666599</v>
      </c>
      <c r="J115" s="119">
        <f ca="1">HLOOKUP($H$5,'Met Data'!$H$2:$M$368,G115,FALSE)*L115</f>
        <v>2.35</v>
      </c>
      <c r="K115" s="96">
        <f ca="1">HLOOKUP($H$5,'Met Data'!$O$2:$T$368,G115,FALSE)</f>
        <v>1.2961776408629699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45476</v>
      </c>
      <c r="Q115">
        <f ca="1"/>
        <v>80.737941402003003</v>
      </c>
      <c r="R115">
        <f ca="1"/>
        <v>3.13221407067266</v>
      </c>
      <c r="S115">
        <f ca="1"/>
        <v>1.1397625326566185E-2</v>
      </c>
      <c r="T115">
        <f ca="1"/>
        <v>0.74550054920829345</v>
      </c>
      <c r="U115">
        <f ca="1"/>
        <v>0</v>
      </c>
      <c r="V115">
        <f ca="1"/>
        <v>439.26149443437225</v>
      </c>
      <c r="W115">
        <f ca="1"/>
        <v>301.75115207380026</v>
      </c>
      <c r="X115">
        <f ca="1"/>
        <v>0</v>
      </c>
      <c r="Y115">
        <f ca="1"/>
        <v>0.99742763825195346</v>
      </c>
      <c r="Z115">
        <f ca="1"/>
        <v>0</v>
      </c>
      <c r="AA115">
        <f ca="1"/>
        <v>0</v>
      </c>
      <c r="AB115">
        <f ca="1"/>
        <v>0.99999999999992784</v>
      </c>
      <c r="AD115" s="2">
        <f t="shared" ca="1" si="12"/>
        <v>45476</v>
      </c>
      <c r="AE115">
        <f t="shared" ca="1" si="13"/>
        <v>0</v>
      </c>
      <c r="AG115" s="63">
        <f t="shared" ca="1" si="17"/>
        <v>83.870155472675663</v>
      </c>
      <c r="AH115" s="63">
        <f t="shared" ca="1" si="18"/>
        <v>83.870155472675663</v>
      </c>
      <c r="AI115" s="3">
        <f t="shared" ca="1" si="19"/>
        <v>0</v>
      </c>
    </row>
    <row r="116" spans="7:35">
      <c r="G116" s="3">
        <f t="shared" ca="1" si="14"/>
        <v>141</v>
      </c>
      <c r="H116" s="95">
        <f t="shared" ca="1" si="16"/>
        <v>45431</v>
      </c>
      <c r="I116" s="119">
        <f ca="1">HLOOKUP($H$5,'Met Data'!$A$2:$F$368,G116,FALSE)</f>
        <v>11.762499999999999</v>
      </c>
      <c r="J116" s="119">
        <f ca="1">HLOOKUP($H$5,'Met Data'!$H$2:$M$368,G116,FALSE)*L116</f>
        <v>0.31666666666666599</v>
      </c>
      <c r="K116" s="96">
        <f ca="1">HLOOKUP($H$5,'Met Data'!$O$2:$T$368,G116,FALSE)</f>
        <v>1.26598619456247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45477</v>
      </c>
      <c r="Q116">
        <f ca="1"/>
        <v>78.238769100269948</v>
      </c>
      <c r="R116">
        <f ca="1"/>
        <v>3.3203351489178203</v>
      </c>
      <c r="S116">
        <f ca="1"/>
        <v>1.2320915535781296E-2</v>
      </c>
      <c r="T116">
        <f ca="1"/>
        <v>0.80884193164898321</v>
      </c>
      <c r="U116">
        <f ca="1"/>
        <v>0</v>
      </c>
      <c r="V116">
        <f ca="1"/>
        <v>442.58182958329007</v>
      </c>
      <c r="W116">
        <f ca="1"/>
        <v>304.03205984548464</v>
      </c>
      <c r="X116">
        <f ca="1"/>
        <v>0</v>
      </c>
      <c r="Y116">
        <f ca="1"/>
        <v>0.98132776167161828</v>
      </c>
      <c r="Z116">
        <f ca="1"/>
        <v>0</v>
      </c>
      <c r="AA116">
        <f ca="1"/>
        <v>0</v>
      </c>
      <c r="AB116">
        <f ca="1"/>
        <v>0.99999999999994627</v>
      </c>
      <c r="AD116" s="2">
        <f t="shared" ca="1" si="12"/>
        <v>45477</v>
      </c>
      <c r="AE116">
        <f t="shared" ca="1" si="13"/>
        <v>0</v>
      </c>
      <c r="AG116" s="63">
        <f t="shared" ca="1" si="17"/>
        <v>81.559104249187769</v>
      </c>
      <c r="AH116" s="63">
        <f t="shared" ca="1" si="18"/>
        <v>81.559104249187769</v>
      </c>
      <c r="AI116" s="3">
        <f t="shared" ca="1" si="19"/>
        <v>0</v>
      </c>
    </row>
    <row r="117" spans="7:35">
      <c r="G117" s="3">
        <f t="shared" ca="1" si="14"/>
        <v>142</v>
      </c>
      <c r="H117" s="95">
        <f t="shared" ca="1" si="16"/>
        <v>45432</v>
      </c>
      <c r="I117" s="119">
        <f ca="1">HLOOKUP($H$5,'Met Data'!$A$2:$F$368,G117,FALSE)</f>
        <v>11.612500000000001</v>
      </c>
      <c r="J117" s="119">
        <f ca="1">HLOOKUP($H$5,'Met Data'!$H$2:$M$368,G117,FALSE)*L117</f>
        <v>2</v>
      </c>
      <c r="K117" s="96">
        <f ca="1">HLOOKUP($H$5,'Met Data'!$O$2:$T$368,G117,FALSE)</f>
        <v>1.0607063970516699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45478</v>
      </c>
      <c r="Q117">
        <f ca="1"/>
        <v>75.802612322809097</v>
      </c>
      <c r="R117">
        <f ca="1"/>
        <v>3.1199963061622498</v>
      </c>
      <c r="S117">
        <f ca="1"/>
        <v>1.1932594097856963E-2</v>
      </c>
      <c r="T117">
        <f ca="1"/>
        <v>0.78636068231104406</v>
      </c>
      <c r="U117">
        <f ca="1"/>
        <v>0</v>
      </c>
      <c r="V117">
        <f ca="1"/>
        <v>445.70182588945232</v>
      </c>
      <c r="W117">
        <f ca="1"/>
        <v>306.17534463547696</v>
      </c>
      <c r="X117">
        <f ca="1"/>
        <v>0.11445374770750007</v>
      </c>
      <c r="Y117">
        <f ca="1"/>
        <v>1</v>
      </c>
      <c r="Z117">
        <f ca="1"/>
        <v>0.323403623542454</v>
      </c>
      <c r="AA117">
        <f ca="1"/>
        <v>0</v>
      </c>
      <c r="AB117">
        <f ca="1"/>
        <v>0.99999999999995959</v>
      </c>
      <c r="AD117" s="2">
        <f t="shared" ca="1" si="12"/>
        <v>45478</v>
      </c>
      <c r="AE117">
        <f t="shared" ca="1" si="13"/>
        <v>0</v>
      </c>
      <c r="AG117" s="63">
        <f t="shared" ca="1" si="17"/>
        <v>79.037062376678847</v>
      </c>
      <c r="AH117" s="63">
        <f t="shared" ca="1" si="18"/>
        <v>79.037062376678847</v>
      </c>
      <c r="AI117" s="3">
        <f t="shared" ca="1" si="19"/>
        <v>0</v>
      </c>
    </row>
    <row r="118" spans="7:35">
      <c r="G118" s="3">
        <f t="shared" ca="1" si="14"/>
        <v>143</v>
      </c>
      <c r="H118" s="95">
        <f t="shared" ca="1" si="16"/>
        <v>45433</v>
      </c>
      <c r="I118" s="119">
        <f ca="1">HLOOKUP($H$5,'Met Data'!$A$2:$F$368,G118,FALSE)</f>
        <v>10.174999999999899</v>
      </c>
      <c r="J118" s="119">
        <f ca="1">HLOOKUP($H$5,'Met Data'!$H$2:$M$368,G118,FALSE)*L118</f>
        <v>2.93333333333333</v>
      </c>
      <c r="K118" s="96">
        <f ca="1">HLOOKUP($H$5,'Met Data'!$O$2:$T$368,G118,FALSE)</f>
        <v>1.10734547072848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45479</v>
      </c>
      <c r="Q118">
        <f ca="1"/>
        <v>72.182384459221907</v>
      </c>
      <c r="R118">
        <f ca="1"/>
        <v>3.1962788363131835</v>
      </c>
      <c r="S118">
        <f ca="1"/>
        <v>1.2544910901453932E-2</v>
      </c>
      <c r="T118">
        <f ca="1"/>
        <v>0.83000860102959029</v>
      </c>
      <c r="U118">
        <f ca="1"/>
        <v>0</v>
      </c>
      <c r="V118">
        <f ca="1"/>
        <v>448.89810472576551</v>
      </c>
      <c r="W118">
        <f ca="1"/>
        <v>308.37103179091167</v>
      </c>
      <c r="X118">
        <f ca="1"/>
        <v>1.2665025392050431</v>
      </c>
      <c r="Y118">
        <f ca="1"/>
        <v>1</v>
      </c>
      <c r="Z118">
        <f ca="1"/>
        <v>3.7581479801069193</v>
      </c>
      <c r="AA118">
        <f ca="1"/>
        <v>0</v>
      </c>
      <c r="AB118">
        <f ca="1"/>
        <v>0.99999999999997025</v>
      </c>
      <c r="AD118" s="2">
        <f t="shared" ca="1" si="12"/>
        <v>45479</v>
      </c>
      <c r="AE118">
        <f t="shared" ca="1" si="13"/>
        <v>0</v>
      </c>
      <c r="AG118" s="63">
        <f t="shared" ca="1" si="17"/>
        <v>76.645165834740141</v>
      </c>
      <c r="AH118" s="63">
        <f t="shared" ca="1" si="18"/>
        <v>76.645165834740141</v>
      </c>
      <c r="AI118" s="3">
        <f t="shared" ca="1" si="19"/>
        <v>0</v>
      </c>
    </row>
    <row r="119" spans="7:35">
      <c r="G119" s="3">
        <f t="shared" ca="1" si="14"/>
        <v>144</v>
      </c>
      <c r="H119" s="95">
        <f t="shared" ca="1" si="16"/>
        <v>45434</v>
      </c>
      <c r="I119" s="119">
        <f ca="1">HLOOKUP($H$5,'Met Data'!$A$2:$F$368,G119,FALSE)</f>
        <v>10.7416666666666</v>
      </c>
      <c r="J119" s="119">
        <f ca="1">HLOOKUP($H$5,'Met Data'!$H$2:$M$368,G119,FALSE)*L119</f>
        <v>2.8</v>
      </c>
      <c r="K119" s="96">
        <f ca="1">HLOOKUP($H$5,'Met Data'!$O$2:$T$368,G119,FALSE)</f>
        <v>0.94921082080766905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45480</v>
      </c>
      <c r="Q119">
        <f ca="1"/>
        <v>69.331314514620345</v>
      </c>
      <c r="R119">
        <f ca="1"/>
        <v>2.7320539346098371</v>
      </c>
      <c r="S119">
        <f ca="1"/>
        <v>1.1141163131895837E-2</v>
      </c>
      <c r="T119">
        <f ca="1"/>
        <v>0.74005184140442304</v>
      </c>
      <c r="U119">
        <f ca="1"/>
        <v>0</v>
      </c>
      <c r="V119">
        <f ca="1"/>
        <v>451.63015866037534</v>
      </c>
      <c r="W119">
        <f ca="1"/>
        <v>310.2478191550257</v>
      </c>
      <c r="X119">
        <f ca="1"/>
        <v>0.87020901452803801</v>
      </c>
      <c r="Y119">
        <f ca="1"/>
        <v>1</v>
      </c>
      <c r="Z119">
        <f ca="1"/>
        <v>2.6883956233886579</v>
      </c>
      <c r="AA119">
        <f ca="1"/>
        <v>0</v>
      </c>
      <c r="AB119">
        <f ca="1"/>
        <v>0.99999999999997735</v>
      </c>
      <c r="AD119" s="2">
        <f t="shared" ca="1" si="12"/>
        <v>45480</v>
      </c>
      <c r="AE119">
        <f t="shared" ca="1" si="13"/>
        <v>0</v>
      </c>
      <c r="AG119" s="63">
        <f t="shared" ca="1" si="17"/>
        <v>72.933577463758226</v>
      </c>
      <c r="AH119" s="63">
        <f t="shared" ca="1" si="18"/>
        <v>72.933577463758226</v>
      </c>
      <c r="AI119" s="3">
        <f t="shared" ca="1" si="19"/>
        <v>0</v>
      </c>
    </row>
    <row r="120" spans="7:35">
      <c r="G120" s="3">
        <f t="shared" ca="1" si="14"/>
        <v>145</v>
      </c>
      <c r="H120" s="95">
        <f t="shared" ca="1" si="16"/>
        <v>45435</v>
      </c>
      <c r="I120" s="119">
        <f ca="1">HLOOKUP($H$5,'Met Data'!$A$2:$F$368,G120,FALSE)</f>
        <v>10.983333333333301</v>
      </c>
      <c r="J120" s="119">
        <f ca="1">HLOOKUP($H$5,'Met Data'!$H$2:$M$368,G120,FALSE)*L120</f>
        <v>5.61666666666666</v>
      </c>
      <c r="K120" s="96">
        <f ca="1">HLOOKUP($H$5,'Met Data'!$O$2:$T$368,G120,FALSE)</f>
        <v>0.95593712910075901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45481</v>
      </c>
      <c r="Q120">
        <f ca="1"/>
        <v>66.496463424529935</v>
      </c>
      <c r="R120">
        <f ca="1"/>
        <v>2.5351219474794107</v>
      </c>
      <c r="S120">
        <f ca="1"/>
        <v>1.0678104394457932E-2</v>
      </c>
      <c r="T120">
        <f ca="1"/>
        <v>0.71194664968977839</v>
      </c>
      <c r="U120">
        <f ca="1"/>
        <v>0</v>
      </c>
      <c r="V120">
        <f ca="1"/>
        <v>454.16528060785475</v>
      </c>
      <c r="W120">
        <f ca="1"/>
        <v>311.9893238805526</v>
      </c>
      <c r="X120">
        <f ca="1"/>
        <v>1.0223538966952415</v>
      </c>
      <c r="Y120">
        <f ca="1"/>
        <v>1</v>
      </c>
      <c r="Z120">
        <f ca="1"/>
        <v>3.2930759313261149</v>
      </c>
      <c r="AA120">
        <f ca="1"/>
        <v>0</v>
      </c>
      <c r="AB120">
        <f ca="1"/>
        <v>0.99999999999998246</v>
      </c>
      <c r="AD120" s="2">
        <f t="shared" ca="1" si="12"/>
        <v>45481</v>
      </c>
      <c r="AE120">
        <f t="shared" ca="1" si="13"/>
        <v>0</v>
      </c>
      <c r="AG120" s="63">
        <f t="shared" ca="1" si="17"/>
        <v>70.053939268704582</v>
      </c>
      <c r="AH120" s="63">
        <f t="shared" ca="1" si="18"/>
        <v>70.053939268704582</v>
      </c>
      <c r="AI120" s="3">
        <f t="shared" ca="1" si="19"/>
        <v>0</v>
      </c>
    </row>
    <row r="121" spans="7:35">
      <c r="G121" s="3">
        <f t="shared" ca="1" si="14"/>
        <v>146</v>
      </c>
      <c r="H121" s="95">
        <f t="shared" ca="1" si="16"/>
        <v>45436</v>
      </c>
      <c r="I121" s="119">
        <f ca="1">HLOOKUP($H$5,'Met Data'!$A$2:$F$368,G121,FALSE)</f>
        <v>10.7666666666666</v>
      </c>
      <c r="J121" s="119">
        <f ca="1">HLOOKUP($H$5,'Met Data'!$H$2:$M$368,G121,FALSE)*L121</f>
        <v>3.1666666666666599</v>
      </c>
      <c r="K121" s="96">
        <f ca="1">HLOOKUP($H$5,'Met Data'!$O$2:$T$368,G121,FALSE)</f>
        <v>0.98597820560947502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45482</v>
      </c>
      <c r="Q121">
        <f ca="1"/>
        <v>64.37937897553644</v>
      </c>
      <c r="R121">
        <f ca="1"/>
        <v>2.484731339103007</v>
      </c>
      <c r="S121">
        <f ca="1"/>
        <v>1.0731571992465661E-2</v>
      </c>
      <c r="T121">
        <f ca="1"/>
        <v>0.71820107983576909</v>
      </c>
      <c r="U121">
        <f ca="1"/>
        <v>0</v>
      </c>
      <c r="V121">
        <f ca="1"/>
        <v>456.65001194695776</v>
      </c>
      <c r="W121">
        <f ca="1"/>
        <v>313.69621272391385</v>
      </c>
      <c r="X121">
        <f ca="1"/>
        <v>0.3612857617187159</v>
      </c>
      <c r="Y121">
        <f ca="1"/>
        <v>1</v>
      </c>
      <c r="Z121">
        <f ca="1"/>
        <v>1.2019962137111975</v>
      </c>
      <c r="AA121">
        <f ca="1"/>
        <v>0</v>
      </c>
      <c r="AB121">
        <f ca="1"/>
        <v>0.99999999999998646</v>
      </c>
      <c r="AD121" s="2">
        <f t="shared" ca="1" si="12"/>
        <v>45482</v>
      </c>
      <c r="AE121">
        <f t="shared" ca="1" si="13"/>
        <v>0</v>
      </c>
      <c r="AG121" s="63">
        <f t="shared" ca="1" si="17"/>
        <v>67.225396076358166</v>
      </c>
      <c r="AH121" s="63">
        <f t="shared" ca="1" si="18"/>
        <v>67.225396076358166</v>
      </c>
      <c r="AI121" s="3">
        <f t="shared" ca="1" si="19"/>
        <v>0</v>
      </c>
    </row>
    <row r="122" spans="7:35">
      <c r="G122" s="3">
        <f t="shared" ca="1" si="14"/>
        <v>147</v>
      </c>
      <c r="H122" s="95">
        <f t="shared" ca="1" si="16"/>
        <v>45437</v>
      </c>
      <c r="I122" s="119">
        <f ca="1">HLOOKUP($H$5,'Met Data'!$A$2:$F$368,G122,FALSE)</f>
        <v>11.1833333333333</v>
      </c>
      <c r="J122" s="119">
        <f ca="1">HLOOKUP($H$5,'Met Data'!$H$2:$M$368,G122,FALSE)*L122</f>
        <v>6.1499999999999897</v>
      </c>
      <c r="K122" s="96">
        <f ca="1">HLOOKUP($H$5,'Met Data'!$O$2:$T$368,G122,FALSE)</f>
        <v>1.02530679052105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45483</v>
      </c>
      <c r="Q122">
        <f ca="1"/>
        <v>61.701487740370673</v>
      </c>
      <c r="R122">
        <f ca="1"/>
        <v>2.3494128802305454</v>
      </c>
      <c r="S122">
        <f ca="1"/>
        <v>1.045910621087387E-2</v>
      </c>
      <c r="T122">
        <f ca="1"/>
        <v>0.70263144990495019</v>
      </c>
      <c r="U122">
        <f ca="1"/>
        <v>0</v>
      </c>
      <c r="V122">
        <f ca="1"/>
        <v>458.99942482718831</v>
      </c>
      <c r="W122">
        <f ca="1"/>
        <v>315.31014440763562</v>
      </c>
      <c r="X122">
        <f ca="1"/>
        <v>1.0415689110510495</v>
      </c>
      <c r="Y122">
        <f ca="1"/>
        <v>1</v>
      </c>
      <c r="Z122">
        <f ca="1"/>
        <v>3.6156918390833539</v>
      </c>
      <c r="AA122">
        <f ca="1"/>
        <v>0</v>
      </c>
      <c r="AB122">
        <f ca="1"/>
        <v>0.99999999999998956</v>
      </c>
      <c r="AD122" s="2">
        <f t="shared" ca="1" si="12"/>
        <v>45483</v>
      </c>
      <c r="AE122">
        <f t="shared" ca="1" si="13"/>
        <v>0</v>
      </c>
      <c r="AG122" s="63">
        <f t="shared" ca="1" si="17"/>
        <v>65.09246953165227</v>
      </c>
      <c r="AH122" s="63">
        <f t="shared" ca="1" si="18"/>
        <v>65.09246953165227</v>
      </c>
      <c r="AI122" s="3">
        <f t="shared" ca="1" si="19"/>
        <v>0</v>
      </c>
    </row>
    <row r="123" spans="7:35">
      <c r="G123" s="3">
        <f t="shared" ca="1" si="14"/>
        <v>148</v>
      </c>
      <c r="H123" s="95">
        <f t="shared" ca="1" si="16"/>
        <v>45438</v>
      </c>
      <c r="I123" s="119">
        <f ca="1">HLOOKUP($H$5,'Met Data'!$A$2:$F$368,G123,FALSE)</f>
        <v>10.566666666666601</v>
      </c>
      <c r="J123" s="119">
        <f ca="1">HLOOKUP($H$5,'Met Data'!$H$2:$M$368,G123,FALSE)*L123</f>
        <v>2.7666666666666599</v>
      </c>
      <c r="K123" s="96">
        <f ca="1">HLOOKUP($H$5,'Met Data'!$O$2:$T$368,G123,FALSE)</f>
        <v>1.05508542906727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45484</v>
      </c>
      <c r="Q123">
        <f ca="1"/>
        <v>59.895537080075982</v>
      </c>
      <c r="R123">
        <f ca="1"/>
        <v>2.3733651379916978</v>
      </c>
      <c r="S123">
        <f ca="1"/>
        <v>1.0794047423189568E-2</v>
      </c>
      <c r="T123">
        <f ca="1"/>
        <v>0.72796564719413337</v>
      </c>
      <c r="U123">
        <f ca="1"/>
        <v>0</v>
      </c>
      <c r="V123">
        <f ca="1"/>
        <v>461.37278996518</v>
      </c>
      <c r="W123">
        <f ca="1"/>
        <v>316.94053012037142</v>
      </c>
      <c r="X123">
        <f ca="1"/>
        <v>0.17134521692031246</v>
      </c>
      <c r="Y123">
        <f ca="1"/>
        <v>1</v>
      </c>
      <c r="Z123">
        <f ca="1"/>
        <v>0.61274046019860862</v>
      </c>
      <c r="AA123">
        <f ca="1"/>
        <v>0</v>
      </c>
      <c r="AB123">
        <f ca="1"/>
        <v>0.99999999999999201</v>
      </c>
      <c r="AD123" s="2">
        <f t="shared" ca="1" si="12"/>
        <v>45484</v>
      </c>
      <c r="AE123">
        <f t="shared" ca="1" si="13"/>
        <v>0</v>
      </c>
      <c r="AG123" s="63">
        <f t="shared" ca="1" si="17"/>
        <v>62.440247434987995</v>
      </c>
      <c r="AH123" s="63">
        <f t="shared" ca="1" si="18"/>
        <v>62.440247434987995</v>
      </c>
      <c r="AI123" s="3">
        <f t="shared" ca="1" si="19"/>
        <v>0</v>
      </c>
    </row>
    <row r="124" spans="7:35">
      <c r="G124" s="3">
        <f t="shared" ca="1" si="14"/>
        <v>149</v>
      </c>
      <c r="H124" s="95">
        <f t="shared" ca="1" si="16"/>
        <v>45439</v>
      </c>
      <c r="I124" s="119">
        <f ca="1">HLOOKUP($H$5,'Met Data'!$A$2:$F$368,G124,FALSE)</f>
        <v>10.283333333333299</v>
      </c>
      <c r="J124" s="119">
        <f ca="1">HLOOKUP($H$5,'Met Data'!$H$2:$M$368,G124,FALSE)*L124</f>
        <v>2.7333333333333298</v>
      </c>
      <c r="K124" s="96">
        <f ca="1">HLOOKUP($H$5,'Met Data'!$O$2:$T$368,G124,FALSE)</f>
        <v>0.96273544691676505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45485</v>
      </c>
      <c r="Q124">
        <f ca="1"/>
        <v>57.269089515355134</v>
      </c>
      <c r="R124">
        <f ca="1"/>
        <v>2.2230878938057685</v>
      </c>
      <c r="S124">
        <f ca="1"/>
        <v>1.0441022456433302E-2</v>
      </c>
      <c r="T124">
        <f ca="1"/>
        <v>0.7069686312197343</v>
      </c>
      <c r="U124">
        <f ca="1"/>
        <v>0</v>
      </c>
      <c r="V124">
        <f ca="1"/>
        <v>463.59587785898577</v>
      </c>
      <c r="W124">
        <f ca="1"/>
        <v>318.46768271994313</v>
      </c>
      <c r="X124">
        <f ca="1"/>
        <v>1.1207693245912504</v>
      </c>
      <c r="Y124">
        <f ca="1"/>
        <v>1</v>
      </c>
      <c r="Z124">
        <f ca="1"/>
        <v>4.191746337407146</v>
      </c>
      <c r="AA124">
        <f ca="1"/>
        <v>0</v>
      </c>
      <c r="AB124">
        <f ca="1"/>
        <v>0.99999999999999378</v>
      </c>
      <c r="AD124" s="2">
        <f t="shared" ca="1" si="12"/>
        <v>45485</v>
      </c>
      <c r="AE124">
        <f t="shared" ca="1" si="13"/>
        <v>0</v>
      </c>
      <c r="AG124" s="63">
        <f t="shared" ca="1" si="17"/>
        <v>60.612946733752153</v>
      </c>
      <c r="AH124" s="63">
        <f t="shared" ca="1" si="18"/>
        <v>60.612946733752153</v>
      </c>
      <c r="AI124" s="3">
        <f t="shared" ca="1" si="19"/>
        <v>0</v>
      </c>
    </row>
    <row r="125" spans="7:35">
      <c r="G125" s="3">
        <f t="shared" ca="1" si="14"/>
        <v>150</v>
      </c>
      <c r="H125" s="95">
        <f t="shared" ca="1" si="16"/>
        <v>45440</v>
      </c>
      <c r="I125" s="119">
        <f ca="1">HLOOKUP($H$5,'Met Data'!$A$2:$F$368,G125,FALSE)</f>
        <v>10.8</v>
      </c>
      <c r="J125" s="119">
        <f ca="1">HLOOKUP($H$5,'Met Data'!$H$2:$M$368,G125,FALSE)*L125</f>
        <v>3.2333333333333298</v>
      </c>
      <c r="K125" s="96">
        <f ca="1">HLOOKUP($H$5,'Met Data'!$O$2:$T$368,G125,FALSE)</f>
        <v>1.08816831727148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45486</v>
      </c>
      <c r="Q125">
        <f ca="1"/>
        <v>55.000945760328506</v>
      </c>
      <c r="R125">
        <f ca="1"/>
        <v>2.1084149850802305</v>
      </c>
      <c r="S125">
        <f ca="1"/>
        <v>1.0207976504659655E-2</v>
      </c>
      <c r="T125">
        <f ca="1"/>
        <v>0.69393236016888893</v>
      </c>
      <c r="U125">
        <f ca="1"/>
        <v>0</v>
      </c>
      <c r="V125">
        <f ca="1"/>
        <v>465.704292844066</v>
      </c>
      <c r="W125">
        <f ca="1"/>
        <v>319.91606064256723</v>
      </c>
      <c r="X125">
        <f ca="1"/>
        <v>0.86386910661994543</v>
      </c>
      <c r="Y125">
        <f ca="1"/>
        <v>1</v>
      </c>
      <c r="Z125">
        <f ca="1"/>
        <v>3.3641613895058953</v>
      </c>
      <c r="AA125">
        <f ca="1"/>
        <v>0</v>
      </c>
      <c r="AB125">
        <f ca="1"/>
        <v>0.99999999999999512</v>
      </c>
      <c r="AD125" s="2">
        <f t="shared" ca="1" si="12"/>
        <v>45486</v>
      </c>
      <c r="AE125">
        <f t="shared" ca="1" si="13"/>
        <v>0</v>
      </c>
      <c r="AG125" s="63">
        <f t="shared" ca="1" si="17"/>
        <v>57.97322985202868</v>
      </c>
      <c r="AH125" s="63">
        <f t="shared" ca="1" si="18"/>
        <v>57.97322985202868</v>
      </c>
      <c r="AI125" s="3">
        <f t="shared" ca="1" si="19"/>
        <v>0</v>
      </c>
    </row>
    <row r="126" spans="7:35">
      <c r="G126" s="3">
        <f t="shared" ca="1" si="14"/>
        <v>151</v>
      </c>
      <c r="H126" s="95">
        <f t="shared" ca="1" si="16"/>
        <v>45441</v>
      </c>
      <c r="I126" s="119">
        <f ca="1">HLOOKUP($H$5,'Met Data'!$A$2:$F$368,G126,FALSE)</f>
        <v>9.6624999999999996</v>
      </c>
      <c r="J126" s="119">
        <f ca="1">HLOOKUP($H$5,'Met Data'!$H$2:$M$368,G126,FALSE)*L126</f>
        <v>1.88333333333333</v>
      </c>
      <c r="K126" s="96">
        <f ca="1">HLOOKUP($H$5,'Met Data'!$O$2:$T$368,G126,FALSE)</f>
        <v>1.0187040175234601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45487</v>
      </c>
      <c r="Q126">
        <f ca="1"/>
        <v>53.223755469361109</v>
      </c>
      <c r="R126">
        <f ca="1"/>
        <v>2.2835913835011183</v>
      </c>
      <c r="S126">
        <f ca="1"/>
        <v>1.1215753319049782E-2</v>
      </c>
      <c r="T126">
        <f ca="1"/>
        <v>0.76565103350901365</v>
      </c>
      <c r="U126">
        <f ca="1"/>
        <v>0</v>
      </c>
      <c r="V126">
        <f ca="1"/>
        <v>467.98788422756712</v>
      </c>
      <c r="W126">
        <f ca="1"/>
        <v>321.48477617891217</v>
      </c>
      <c r="X126">
        <f ca="1"/>
        <v>0.27046569429434192</v>
      </c>
      <c r="Y126">
        <f ca="1"/>
        <v>1</v>
      </c>
      <c r="Z126">
        <f ca="1"/>
        <v>1.0884430446214779</v>
      </c>
      <c r="AA126">
        <f ca="1"/>
        <v>0</v>
      </c>
      <c r="AB126">
        <f ca="1"/>
        <v>0.99999999999999623</v>
      </c>
      <c r="AD126" s="2">
        <f t="shared" ca="1" si="12"/>
        <v>45487</v>
      </c>
      <c r="AE126">
        <f t="shared" ca="1" si="13"/>
        <v>0</v>
      </c>
      <c r="AG126" s="63">
        <f t="shared" ca="1" si="17"/>
        <v>55.777812547156572</v>
      </c>
      <c r="AH126" s="63">
        <f t="shared" ca="1" si="18"/>
        <v>55.777812547156572</v>
      </c>
      <c r="AI126" s="3">
        <f t="shared" ca="1" si="19"/>
        <v>0</v>
      </c>
    </row>
    <row r="127" spans="7:35">
      <c r="G127" s="3">
        <f t="shared" ca="1" si="14"/>
        <v>152</v>
      </c>
      <c r="H127" s="95">
        <f t="shared" ca="1" si="16"/>
        <v>45442</v>
      </c>
      <c r="I127" s="119">
        <f ca="1">HLOOKUP($H$5,'Met Data'!$A$2:$F$368,G127,FALSE)</f>
        <v>9.7166666666666597</v>
      </c>
      <c r="J127" s="119">
        <f ca="1">HLOOKUP($H$5,'Met Data'!$H$2:$M$368,G127,FALSE)*L127</f>
        <v>4.7</v>
      </c>
      <c r="K127" s="96">
        <f ca="1">HLOOKUP($H$5,'Met Data'!$O$2:$T$368,G127,FALSE)</f>
        <v>1.10197006718848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45488</v>
      </c>
      <c r="Q127">
        <f ca="1"/>
        <v>50.549788692501011</v>
      </c>
      <c r="R127">
        <f ca="1"/>
        <v>2.2049996717529439</v>
      </c>
      <c r="S127">
        <f ca="1"/>
        <v>1.1165517004769754E-2</v>
      </c>
      <c r="T127">
        <f ca="1"/>
        <v>0.76565103350901365</v>
      </c>
      <c r="U127">
        <f ca="1"/>
        <v>0</v>
      </c>
      <c r="V127">
        <f ca="1"/>
        <v>470.19288389932007</v>
      </c>
      <c r="W127">
        <f ca="1"/>
        <v>322.99950305505359</v>
      </c>
      <c r="X127">
        <f ca="1"/>
        <v>1.2457836556209367</v>
      </c>
      <c r="Y127">
        <f ca="1"/>
        <v>1</v>
      </c>
      <c r="Z127">
        <f ca="1"/>
        <v>5.2786433565918145</v>
      </c>
      <c r="AA127">
        <f ca="1"/>
        <v>0</v>
      </c>
      <c r="AB127">
        <f ca="1"/>
        <v>0.98979237093798023</v>
      </c>
      <c r="AD127" s="2">
        <f t="shared" ca="1" si="12"/>
        <v>45488</v>
      </c>
      <c r="AE127">
        <f t="shared" ca="1" si="13"/>
        <v>0</v>
      </c>
      <c r="AG127" s="63">
        <f t="shared" ca="1" si="17"/>
        <v>54.000572019874895</v>
      </c>
      <c r="AH127" s="63">
        <f t="shared" ca="1" si="18"/>
        <v>54.000572019874895</v>
      </c>
      <c r="AI127" s="3">
        <f t="shared" ca="1" si="19"/>
        <v>0</v>
      </c>
    </row>
    <row r="128" spans="7:35">
      <c r="G128" s="3">
        <f t="shared" ca="1" si="14"/>
        <v>153</v>
      </c>
      <c r="H128" s="95">
        <f t="shared" ca="1" si="16"/>
        <v>45443</v>
      </c>
      <c r="I128" s="119">
        <f ca="1">HLOOKUP($H$5,'Met Data'!$A$2:$F$368,G128,FALSE)</f>
        <v>10.004166666666601</v>
      </c>
      <c r="J128" s="119">
        <f ca="1">HLOOKUP($H$5,'Met Data'!$H$2:$M$368,G128,FALSE)*L128</f>
        <v>2.5</v>
      </c>
      <c r="K128" s="96">
        <f ca="1">HLOOKUP($H$5,'Met Data'!$O$2:$T$368,G128,FALSE)</f>
        <v>1.1690097853574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45489</v>
      </c>
      <c r="Q128">
        <f ca="1"/>
        <v>48.261837354540724</v>
      </c>
      <c r="R128">
        <f ca="1"/>
        <v>2.3007569587691705</v>
      </c>
      <c r="S128">
        <f ca="1"/>
        <v>1.1966026258477314E-2</v>
      </c>
      <c r="T128">
        <f ca="1"/>
        <v>0.8244504049816046</v>
      </c>
      <c r="U128">
        <f ca="1"/>
        <v>0</v>
      </c>
      <c r="V128">
        <f ca="1"/>
        <v>472.49364085808924</v>
      </c>
      <c r="W128">
        <f ca="1"/>
        <v>324.58001050163591</v>
      </c>
      <c r="X128">
        <f ca="1"/>
        <v>0.82361081043119677</v>
      </c>
      <c r="Y128">
        <f ca="1"/>
        <v>1</v>
      </c>
      <c r="Z128">
        <f ca="1"/>
        <v>3.6552511547499762</v>
      </c>
      <c r="AA128">
        <f ca="1"/>
        <v>0</v>
      </c>
      <c r="AB128">
        <f ca="1"/>
        <v>0.97226412861430389</v>
      </c>
      <c r="AD128" s="2">
        <f t="shared" ca="1" si="12"/>
        <v>45489</v>
      </c>
      <c r="AE128">
        <f t="shared" ca="1" si="13"/>
        <v>0</v>
      </c>
      <c r="AG128" s="63">
        <f t="shared" ca="1" si="17"/>
        <v>51.386205123741092</v>
      </c>
      <c r="AH128" s="63">
        <f t="shared" ca="1" si="18"/>
        <v>51.386205123741092</v>
      </c>
      <c r="AI128" s="3">
        <f t="shared" ca="1" si="19"/>
        <v>0</v>
      </c>
    </row>
    <row r="129" spans="7:35">
      <c r="G129" s="3">
        <f t="shared" ca="1" si="14"/>
        <v>154</v>
      </c>
      <c r="H129" s="95">
        <f t="shared" ca="1" si="16"/>
        <v>45444</v>
      </c>
      <c r="I129" s="119">
        <f ca="1">HLOOKUP($H$5,'Met Data'!$A$2:$F$368,G129,FALSE)</f>
        <v>9.99583333333333</v>
      </c>
      <c r="J129" s="119">
        <f ca="1">HLOOKUP($H$5,'Met Data'!$H$2:$M$368,G129,FALSE)*L129</f>
        <v>2.7833333333333301</v>
      </c>
      <c r="K129" s="96">
        <f ca="1">HLOOKUP($H$5,'Met Data'!$O$2:$T$368,G129,FALSE)</f>
        <v>1.0280895768516001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45490</v>
      </c>
      <c r="Q129">
        <f ca="1"/>
        <v>46.976499117904176</v>
      </c>
      <c r="R129">
        <f ca="1"/>
        <v>2.0442631765797046</v>
      </c>
      <c r="S129">
        <f ca="1"/>
        <v>1.104307781443481E-2</v>
      </c>
      <c r="T129">
        <f ca="1"/>
        <v>0.76454620800657569</v>
      </c>
      <c r="U129">
        <f ca="1"/>
        <v>0</v>
      </c>
      <c r="V129">
        <f ca="1"/>
        <v>474.53790403466894</v>
      </c>
      <c r="W129">
        <f ca="1"/>
        <v>325.98431927099267</v>
      </c>
      <c r="X129">
        <f ca="1"/>
        <v>1.6664345877857138E-2</v>
      </c>
      <c r="Y129">
        <f ca="1"/>
        <v>1</v>
      </c>
      <c r="Z129">
        <f ca="1"/>
        <v>7.5981289381815031E-2</v>
      </c>
      <c r="AA129">
        <f ca="1"/>
        <v>0</v>
      </c>
      <c r="AB129">
        <f ca="1"/>
        <v>0.95609910172442603</v>
      </c>
      <c r="AD129" s="2">
        <f t="shared" ca="1" si="12"/>
        <v>45490</v>
      </c>
      <c r="AE129">
        <f t="shared" ca="1" si="13"/>
        <v>0</v>
      </c>
      <c r="AG129" s="63">
        <f t="shared" ca="1" si="17"/>
        <v>49.037426640361737</v>
      </c>
      <c r="AH129" s="63">
        <f t="shared" ca="1" si="18"/>
        <v>49.037426640361737</v>
      </c>
      <c r="AI129" s="3">
        <f t="shared" ca="1" si="19"/>
        <v>0</v>
      </c>
    </row>
    <row r="130" spans="7:35">
      <c r="G130" s="3">
        <f t="shared" ca="1" si="14"/>
        <v>155</v>
      </c>
      <c r="H130" s="95">
        <f t="shared" ca="1" si="16"/>
        <v>45445</v>
      </c>
      <c r="I130" s="119">
        <f ca="1">HLOOKUP($H$5,'Met Data'!$A$2:$F$368,G130,FALSE)</f>
        <v>9.8999999999999897</v>
      </c>
      <c r="J130" s="119">
        <f ca="1">HLOOKUP($H$5,'Met Data'!$H$2:$M$368,G130,FALSE)*L130</f>
        <v>1.7833333333333301</v>
      </c>
      <c r="K130" s="96">
        <f ca="1">HLOOKUP($H$5,'Met Data'!$O$2:$T$368,G130,FALSE)</f>
        <v>0.97110296937720297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45491</v>
      </c>
      <c r="Q130">
        <f ca="1"/>
        <v>45.719649222532354</v>
      </c>
      <c r="R130">
        <f ca="1"/>
        <v>2.003919058236761</v>
      </c>
      <c r="S130">
        <f ca="1"/>
        <v>1.1156564071512776E-2</v>
      </c>
      <c r="T130">
        <f ca="1"/>
        <v>0.77609627754947585</v>
      </c>
      <c r="U130">
        <f ca="1"/>
        <v>0</v>
      </c>
      <c r="V130">
        <f ca="1"/>
        <v>476.5418230929057</v>
      </c>
      <c r="W130">
        <f ca="1"/>
        <v>327.36091360522693</v>
      </c>
      <c r="X130">
        <f ca="1"/>
        <v>4.018367875605288E-2</v>
      </c>
      <c r="Y130">
        <f ca="1"/>
        <v>1</v>
      </c>
      <c r="Z130">
        <f ca="1"/>
        <v>0.18825470529201027</v>
      </c>
      <c r="AA130">
        <f ca="1"/>
        <v>0</v>
      </c>
      <c r="AB130">
        <f ca="1"/>
        <v>0.93966602841165248</v>
      </c>
      <c r="AD130" s="2">
        <f t="shared" ca="1" si="12"/>
        <v>45491</v>
      </c>
      <c r="AE130">
        <f t="shared" ca="1" si="13"/>
        <v>0</v>
      </c>
      <c r="AG130" s="63">
        <f t="shared" ca="1" si="17"/>
        <v>47.763751959525166</v>
      </c>
      <c r="AH130" s="63">
        <f t="shared" ca="1" si="18"/>
        <v>47.763751959525166</v>
      </c>
      <c r="AI130" s="3">
        <f t="shared" ca="1" si="19"/>
        <v>0</v>
      </c>
    </row>
    <row r="131" spans="7:35">
      <c r="G131" s="3">
        <f t="shared" ca="1" si="14"/>
        <v>156</v>
      </c>
      <c r="H131" s="95">
        <f t="shared" ca="1" si="16"/>
        <v>45446</v>
      </c>
      <c r="I131" s="119">
        <f ca="1">HLOOKUP($H$5,'Met Data'!$A$2:$F$368,G131,FALSE)</f>
        <v>10.95</v>
      </c>
      <c r="J131" s="119">
        <f ca="1">HLOOKUP($H$5,'Met Data'!$H$2:$M$368,G131,FALSE)*L131</f>
        <v>2.44999999999999</v>
      </c>
      <c r="K131" s="96">
        <f ca="1">HLOOKUP($H$5,'Met Data'!$O$2:$T$368,G131,FALSE)</f>
        <v>0.960770877493487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45492</v>
      </c>
      <c r="Q131">
        <f ca="1"/>
        <v>44.138597550947857</v>
      </c>
      <c r="R131">
        <f ca="1"/>
        <v>2.0381209963620108</v>
      </c>
      <c r="S131">
        <f ca="1"/>
        <v>1.1685694166203575E-2</v>
      </c>
      <c r="T131">
        <f ca="1"/>
        <v>0.81699397956510811</v>
      </c>
      <c r="U131">
        <f ca="1"/>
        <v>0</v>
      </c>
      <c r="V131">
        <f ca="1"/>
        <v>478.57994408926771</v>
      </c>
      <c r="W131">
        <f ca="1"/>
        <v>328.76100299733253</v>
      </c>
      <c r="X131">
        <f ca="1"/>
        <v>0.37161034895379236</v>
      </c>
      <c r="Y131">
        <f ca="1"/>
        <v>1</v>
      </c>
      <c r="Z131">
        <f ca="1"/>
        <v>1.8033013448346153</v>
      </c>
      <c r="AA131">
        <f ca="1"/>
        <v>0</v>
      </c>
      <c r="AB131">
        <f ca="1"/>
        <v>0.92230393056497761</v>
      </c>
      <c r="AD131" s="2">
        <f t="shared" ca="1" si="12"/>
        <v>45492</v>
      </c>
      <c r="AE131">
        <f t="shared" ca="1" si="13"/>
        <v>0</v>
      </c>
      <c r="AG131" s="63">
        <f t="shared" ca="1" si="17"/>
        <v>46.548328896263662</v>
      </c>
      <c r="AH131" s="63">
        <f t="shared" ca="1" si="18"/>
        <v>46.548328896263662</v>
      </c>
      <c r="AI131" s="3">
        <f t="shared" ca="1" si="19"/>
        <v>0</v>
      </c>
    </row>
    <row r="132" spans="7:35">
      <c r="G132" s="3">
        <f t="shared" ca="1" si="14"/>
        <v>157</v>
      </c>
      <c r="H132" s="95">
        <f t="shared" ca="1" si="16"/>
        <v>45447</v>
      </c>
      <c r="I132" s="119">
        <f ca="1">HLOOKUP($H$5,'Met Data'!$A$2:$F$368,G132,FALSE)</f>
        <v>10.6875</v>
      </c>
      <c r="J132" s="119">
        <f ca="1">HLOOKUP($H$5,'Met Data'!$H$2:$M$368,G132,FALSE)*L132</f>
        <v>4.1333333333333302</v>
      </c>
      <c r="K132" s="96">
        <f ca="1">HLOOKUP($H$5,'Met Data'!$O$2:$T$368,G132,FALSE)</f>
        <v>0.84332690198160198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45493</v>
      </c>
      <c r="Q132">
        <f ca="1"/>
        <v>42.462724245487621</v>
      </c>
      <c r="R132">
        <f ca="1"/>
        <v>2.0265473917196459</v>
      </c>
      <c r="S132">
        <f ca="1"/>
        <v>1.2015634718153478E-2</v>
      </c>
      <c r="T132">
        <f ca="1"/>
        <v>0.84454647433290242</v>
      </c>
      <c r="U132">
        <f ca="1"/>
        <v>0</v>
      </c>
      <c r="V132">
        <f ca="1"/>
        <v>480.60649148098736</v>
      </c>
      <c r="W132">
        <f ca="1"/>
        <v>330.15314188938584</v>
      </c>
      <c r="X132">
        <f ca="1"/>
        <v>0.50588802279164657</v>
      </c>
      <c r="Y132">
        <f ca="1"/>
        <v>1</v>
      </c>
      <c r="Z132">
        <f ca="1"/>
        <v>2.5517938138543315</v>
      </c>
      <c r="AA132">
        <f ca="1"/>
        <v>0</v>
      </c>
      <c r="AB132">
        <f ca="1"/>
        <v>0.90433263630263017</v>
      </c>
      <c r="AD132" s="2">
        <f t="shared" ca="1" si="12"/>
        <v>45493</v>
      </c>
      <c r="AE132">
        <f t="shared" ca="1" si="13"/>
        <v>0</v>
      </c>
      <c r="AG132" s="63">
        <f t="shared" ca="1" si="17"/>
        <v>44.995159659998912</v>
      </c>
      <c r="AH132" s="63">
        <f t="shared" ca="1" si="18"/>
        <v>44.995159659998912</v>
      </c>
      <c r="AI132" s="3">
        <f t="shared" ca="1" si="19"/>
        <v>0</v>
      </c>
    </row>
    <row r="133" spans="7:35">
      <c r="G133" s="3">
        <f t="shared" ca="1" si="14"/>
        <v>158</v>
      </c>
      <c r="H133" s="95">
        <f t="shared" ca="1" si="16"/>
        <v>45448</v>
      </c>
      <c r="I133" s="119">
        <f ca="1">HLOOKUP($H$5,'Met Data'!$A$2:$F$368,G133,FALSE)</f>
        <v>10.5625</v>
      </c>
      <c r="J133" s="119">
        <f ca="1">HLOOKUP($H$5,'Met Data'!$H$2:$M$368,G133,FALSE)*L133</f>
        <v>5.3</v>
      </c>
      <c r="K133" s="96">
        <f ca="1">HLOOKUP($H$5,'Met Data'!$O$2:$T$368,G133,FALSE)</f>
        <v>0.93242759876210701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45494</v>
      </c>
      <c r="Q133">
        <f ca="1"/>
        <v>40.668641590918398</v>
      </c>
      <c r="R133">
        <f ca="1"/>
        <v>1.9825539297686419</v>
      </c>
      <c r="S133">
        <f ca="1"/>
        <v>1.2181877663721252E-2</v>
      </c>
      <c r="T133">
        <f ca="1"/>
        <v>0.86100646979757833</v>
      </c>
      <c r="U133">
        <f ca="1"/>
        <v>0</v>
      </c>
      <c r="V133">
        <f ca="1"/>
        <v>482.589045410756</v>
      </c>
      <c r="W133">
        <f ca="1"/>
        <v>331.51505942583299</v>
      </c>
      <c r="X133">
        <f ca="1"/>
        <v>0.68471707226188383</v>
      </c>
      <c r="Y133">
        <f ca="1"/>
        <v>1</v>
      </c>
      <c r="Z133">
        <f ca="1"/>
        <v>3.6062059559819915</v>
      </c>
      <c r="AA133">
        <f ca="1"/>
        <v>0</v>
      </c>
      <c r="AB133">
        <f ca="1"/>
        <v>0.88600343914607471</v>
      </c>
      <c r="AD133" s="2">
        <f t="shared" ca="1" si="12"/>
        <v>45494</v>
      </c>
      <c r="AE133">
        <f t="shared" ca="1" si="13"/>
        <v>0</v>
      </c>
      <c r="AG133" s="63">
        <f t="shared" ca="1" si="17"/>
        <v>43.335912592948922</v>
      </c>
      <c r="AH133" s="63">
        <f t="shared" ca="1" si="18"/>
        <v>43.335912592948922</v>
      </c>
      <c r="AI133" s="3">
        <f t="shared" ca="1" si="19"/>
        <v>0</v>
      </c>
    </row>
    <row r="134" spans="7:35">
      <c r="G134" s="3">
        <f t="shared" ca="1" si="14"/>
        <v>159</v>
      </c>
      <c r="H134" s="95">
        <f t="shared" ca="1" si="16"/>
        <v>45449</v>
      </c>
      <c r="I134" s="119">
        <f ca="1">HLOOKUP($H$5,'Met Data'!$A$2:$F$368,G134,FALSE)</f>
        <v>10.4625</v>
      </c>
      <c r="J134" s="119">
        <f ca="1">HLOOKUP($H$5,'Met Data'!$H$2:$M$368,G134,FALSE)*L134</f>
        <v>2.44999999999999</v>
      </c>
      <c r="K134" s="96">
        <f ca="1">HLOOKUP($H$5,'Met Data'!$O$2:$T$368,G134,FALSE)</f>
        <v>0.99912564942381998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45495</v>
      </c>
      <c r="Q134">
        <f ca="1"/>
        <v>38.906086285740564</v>
      </c>
      <c r="R134">
        <f ca="1"/>
        <v>1.7879523710778926</v>
      </c>
      <c r="S134">
        <f ca="1"/>
        <v>1.140916579589657E-2</v>
      </c>
      <c r="T134">
        <f ca="1"/>
        <v>0.81087503582882647</v>
      </c>
      <c r="U134">
        <f ca="1"/>
        <v>0</v>
      </c>
      <c r="V134">
        <f ca="1"/>
        <v>484.37699778183389</v>
      </c>
      <c r="W134">
        <f ca="1"/>
        <v>332.74329521399505</v>
      </c>
      <c r="X134">
        <f ca="1"/>
        <v>0.79688713572466674</v>
      </c>
      <c r="Y134">
        <f ca="1"/>
        <v>1</v>
      </c>
      <c r="Z134">
        <f ca="1"/>
        <v>4.3871078066843197</v>
      </c>
      <c r="AA134">
        <f ca="1"/>
        <v>0</v>
      </c>
      <c r="AB134">
        <f ca="1"/>
        <v>0.86877841049292637</v>
      </c>
      <c r="AD134" s="2">
        <f t="shared" ca="1" si="12"/>
        <v>45495</v>
      </c>
      <c r="AE134">
        <f t="shared" ca="1" si="13"/>
        <v>0</v>
      </c>
      <c r="AG134" s="63">
        <f t="shared" ca="1" si="17"/>
        <v>41.490925792543123</v>
      </c>
      <c r="AH134" s="63">
        <f t="shared" ca="1" si="18"/>
        <v>41.490925792543123</v>
      </c>
      <c r="AI134" s="3">
        <f t="shared" ca="1" si="19"/>
        <v>0</v>
      </c>
    </row>
    <row r="135" spans="7:35">
      <c r="G135" s="3">
        <f t="shared" ca="1" si="14"/>
        <v>160</v>
      </c>
      <c r="H135" s="95">
        <f t="shared" ca="1" si="16"/>
        <v>45450</v>
      </c>
      <c r="I135" s="119">
        <f ca="1">HLOOKUP($H$5,'Met Data'!$A$2:$F$368,G135,FALSE)</f>
        <v>9.5875000000000004</v>
      </c>
      <c r="J135" s="119">
        <f ca="1">HLOOKUP($H$5,'Met Data'!$H$2:$M$368,G135,FALSE)*L135</f>
        <v>1.7333333333333301</v>
      </c>
      <c r="K135" s="96">
        <f ca="1">HLOOKUP($H$5,'Met Data'!$O$2:$T$368,G135,FALSE)</f>
        <v>1.0839051549829499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45496</v>
      </c>
      <c r="Q135">
        <f ca="1"/>
        <v>37.819732516378053</v>
      </c>
      <c r="R135">
        <f ca="1"/>
        <v>1.712992284997938</v>
      </c>
      <c r="S135">
        <f ca="1"/>
        <v>1.1318612520256011E-2</v>
      </c>
      <c r="T135">
        <f ca="1"/>
        <v>0.80884193164898321</v>
      </c>
      <c r="U135">
        <f ca="1"/>
        <v>0</v>
      </c>
      <c r="V135">
        <f ca="1"/>
        <v>486.08999006683183</v>
      </c>
      <c r="W135">
        <f ca="1"/>
        <v>333.92003709107951</v>
      </c>
      <c r="X135">
        <f ca="1"/>
        <v>0.19352202853381612</v>
      </c>
      <c r="Y135">
        <f ca="1"/>
        <v>1</v>
      </c>
      <c r="Z135">
        <f ca="1"/>
        <v>1.0960011027519698</v>
      </c>
      <c r="AA135">
        <f ca="1"/>
        <v>0</v>
      </c>
      <c r="AB135">
        <f ca="1"/>
        <v>0.85159907157095316</v>
      </c>
      <c r="AD135" s="2">
        <f t="shared" ref="AD135:AD198" ca="1" si="22">IFERROR(P135,$AD$5)</f>
        <v>45496</v>
      </c>
      <c r="AE135">
        <f t="shared" ref="AE135:AE198" ca="1" si="23">IFERROR(U135,0)</f>
        <v>0</v>
      </c>
      <c r="AG135" s="63">
        <f t="shared" ca="1" si="17"/>
        <v>39.726246829909805</v>
      </c>
      <c r="AH135" s="63">
        <f t="shared" ca="1" si="18"/>
        <v>39.726246829909805</v>
      </c>
      <c r="AI135" s="3">
        <f t="shared" ca="1" si="19"/>
        <v>0</v>
      </c>
    </row>
    <row r="136" spans="7:35">
      <c r="G136" s="3">
        <f t="shared" ref="G136:G199" ca="1" si="24">H136-DATE(YEAR(H136),1,0)+1</f>
        <v>161</v>
      </c>
      <c r="H136" s="95">
        <f t="shared" ca="1" si="16"/>
        <v>45451</v>
      </c>
      <c r="I136" s="119">
        <f ca="1">HLOOKUP($H$5,'Met Data'!$A$2:$F$368,G136,FALSE)</f>
        <v>9.4875000000000007</v>
      </c>
      <c r="J136" s="119">
        <f ca="1">HLOOKUP($H$5,'Met Data'!$H$2:$M$368,G136,FALSE)*L136</f>
        <v>1.55</v>
      </c>
      <c r="K136" s="96">
        <f ca="1">HLOOKUP($H$5,'Met Data'!$O$2:$T$368,G136,FALSE)</f>
        <v>0.94567596592895498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45497</v>
      </c>
      <c r="Q136">
        <f ca="1"/>
        <v>37.037329303604729</v>
      </c>
      <c r="R136">
        <f ca="1"/>
        <v>1.5642970977388586</v>
      </c>
      <c r="S136">
        <f ca="1"/>
        <v>1.0733147933081E-2</v>
      </c>
      <c r="T136">
        <f ca="1"/>
        <v>0.77116073703245547</v>
      </c>
      <c r="U136">
        <f ca="1"/>
        <v>0</v>
      </c>
      <c r="V136">
        <f ca="1"/>
        <v>487.65428716457069</v>
      </c>
      <c r="W136">
        <f ca="1"/>
        <v>334.99463265069312</v>
      </c>
      <c r="X136">
        <f ca="1"/>
        <v>0</v>
      </c>
      <c r="Y136">
        <f ca="1"/>
        <v>0.9982083230244333</v>
      </c>
      <c r="Z136">
        <f ca="1"/>
        <v>0</v>
      </c>
      <c r="AA136">
        <f ca="1"/>
        <v>0</v>
      </c>
      <c r="AB136">
        <f ca="1"/>
        <v>0.83528022258611823</v>
      </c>
      <c r="AD136" s="2">
        <f t="shared" ca="1" si="22"/>
        <v>45497</v>
      </c>
      <c r="AE136">
        <f t="shared" ca="1" si="23"/>
        <v>0</v>
      </c>
      <c r="AG136" s="63">
        <f t="shared" ca="1" si="17"/>
        <v>38.601626401343587</v>
      </c>
      <c r="AH136" s="63">
        <f t="shared" ca="1" si="18"/>
        <v>38.601626401343587</v>
      </c>
      <c r="AI136" s="3">
        <f t="shared" ca="1" si="19"/>
        <v>0</v>
      </c>
    </row>
    <row r="137" spans="7:35">
      <c r="G137" s="3">
        <f t="shared" ca="1" si="24"/>
        <v>162</v>
      </c>
      <c r="H137" s="95">
        <f t="shared" ref="H137:H200" ca="1" si="26">H136+1</f>
        <v>45452</v>
      </c>
      <c r="I137" s="119">
        <f ca="1">HLOOKUP($H$5,'Met Data'!$A$2:$F$368,G137,FALSE)</f>
        <v>10.9</v>
      </c>
      <c r="J137" s="119">
        <f ca="1">HLOOKUP($H$5,'Met Data'!$H$2:$M$368,G137,FALSE)*L137</f>
        <v>4.8363636363636298</v>
      </c>
      <c r="K137" s="96">
        <f ca="1">HLOOKUP($H$5,'Met Data'!$O$2:$T$368,G137,FALSE)</f>
        <v>0.77149259834587403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45498</v>
      </c>
      <c r="Q137">
        <f ca="1"/>
        <v>36.328525332207008</v>
      </c>
      <c r="R137">
        <f ca="1"/>
        <v>1.4773977215101013</v>
      </c>
      <c r="S137">
        <f ca="1"/>
        <v>1.0495500962264259E-2</v>
      </c>
      <c r="T137">
        <f ca="1"/>
        <v>0.75809824915011792</v>
      </c>
      <c r="U137">
        <f ca="1"/>
        <v>0</v>
      </c>
      <c r="V137">
        <f ca="1"/>
        <v>489.13168488608079</v>
      </c>
      <c r="W137">
        <f ca="1"/>
        <v>336.00953259112822</v>
      </c>
      <c r="X137">
        <f ca="1"/>
        <v>0</v>
      </c>
      <c r="Y137">
        <f ca="1"/>
        <v>0.98219756444520312</v>
      </c>
      <c r="Z137">
        <f ca="1"/>
        <v>0</v>
      </c>
      <c r="AA137">
        <f ca="1"/>
        <v>0</v>
      </c>
      <c r="AB137">
        <f ca="1"/>
        <v>0.81926597180911942</v>
      </c>
      <c r="AD137" s="2">
        <f t="shared" ca="1" si="22"/>
        <v>45498</v>
      </c>
      <c r="AE137">
        <f t="shared" ca="1" si="23"/>
        <v>0</v>
      </c>
      <c r="AG137" s="63">
        <f t="shared" ref="AG137:AG200" ca="1" si="27">Q136+S137+T137+U137</f>
        <v>37.805923053717109</v>
      </c>
      <c r="AH137" s="63">
        <f t="shared" ref="AH137:AH200" ca="1" si="28">Q137+R137+X137</f>
        <v>37.805923053717109</v>
      </c>
      <c r="AI137" s="3">
        <f t="shared" ref="AI137:AI200" ca="1" si="29">AH137-AG137</f>
        <v>0</v>
      </c>
    </row>
    <row r="138" spans="7:35">
      <c r="G138" s="3">
        <f t="shared" ca="1" si="24"/>
        <v>163</v>
      </c>
      <c r="H138" s="95">
        <f t="shared" ca="1" si="26"/>
        <v>45453</v>
      </c>
      <c r="I138" s="119">
        <f ca="1">HLOOKUP($H$5,'Met Data'!$A$2:$F$368,G138,FALSE)</f>
        <v>10.8954545454545</v>
      </c>
      <c r="J138" s="119">
        <f ca="1">HLOOKUP($H$5,'Met Data'!$H$2:$M$368,G138,FALSE)*L138</f>
        <v>7.1454545454545402</v>
      </c>
      <c r="K138" s="96">
        <f ca="1">HLOOKUP($H$5,'Met Data'!$O$2:$T$368,G138,FALSE)</f>
        <v>0.76887644299908198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45499</v>
      </c>
      <c r="Q138">
        <f ca="1"/>
        <v>35.630239208404433</v>
      </c>
      <c r="R138">
        <f ca="1"/>
        <v>1.5127846704347689</v>
      </c>
      <c r="S138">
        <f ca="1"/>
        <v>1.106224644854592E-2</v>
      </c>
      <c r="T138">
        <f ca="1"/>
        <v>0.80343630018365153</v>
      </c>
      <c r="U138">
        <f ca="1"/>
        <v>0</v>
      </c>
      <c r="V138">
        <f ca="1"/>
        <v>490.64446955651556</v>
      </c>
      <c r="W138">
        <f ca="1"/>
        <v>337.04874163386728</v>
      </c>
      <c r="X138">
        <f ca="1"/>
        <v>0</v>
      </c>
      <c r="Y138">
        <f ca="1"/>
        <v>0.99888360307411905</v>
      </c>
      <c r="Z138">
        <f ca="1"/>
        <v>0</v>
      </c>
      <c r="AA138">
        <f ca="1"/>
        <v>0</v>
      </c>
      <c r="AB138">
        <f ca="1"/>
        <v>0.80220847217028113</v>
      </c>
      <c r="AD138" s="2">
        <f t="shared" ca="1" si="22"/>
        <v>45499</v>
      </c>
      <c r="AE138">
        <f t="shared" ca="1" si="23"/>
        <v>0</v>
      </c>
      <c r="AG138" s="63">
        <f t="shared" ca="1" si="27"/>
        <v>37.143023878839202</v>
      </c>
      <c r="AH138" s="63">
        <f t="shared" ca="1" si="28"/>
        <v>37.143023878839202</v>
      </c>
      <c r="AI138" s="3">
        <f t="shared" ca="1" si="29"/>
        <v>0</v>
      </c>
    </row>
    <row r="139" spans="7:35">
      <c r="G139" s="3">
        <f t="shared" ca="1" si="24"/>
        <v>164</v>
      </c>
      <c r="H139" s="95">
        <f t="shared" ca="1" si="26"/>
        <v>45454</v>
      </c>
      <c r="I139" s="119">
        <f ca="1">HLOOKUP($H$5,'Met Data'!$A$2:$F$368,G139,FALSE)</f>
        <v>11.8375</v>
      </c>
      <c r="J139" s="119">
        <f ca="1">HLOOKUP($H$5,'Met Data'!$H$2:$M$368,G139,FALSE)*L139</f>
        <v>0.88333333333333297</v>
      </c>
      <c r="K139" s="96">
        <f ca="1">HLOOKUP($H$5,'Met Data'!$O$2:$T$368,G139,FALSE)</f>
        <v>0.886573255907814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45500</v>
      </c>
      <c r="Q139">
        <f ca="1"/>
        <v>35.017298888026495</v>
      </c>
      <c r="R139">
        <f ca="1"/>
        <v>1.3993282252981203</v>
      </c>
      <c r="S139">
        <f ca="1"/>
        <v>1.0621294023934524E-2</v>
      </c>
      <c r="T139">
        <f ca="1"/>
        <v>0.77576661089625121</v>
      </c>
      <c r="U139">
        <f ca="1"/>
        <v>0</v>
      </c>
      <c r="V139">
        <f ca="1"/>
        <v>492.04379778181368</v>
      </c>
      <c r="W139">
        <f ca="1"/>
        <v>338.01001165061854</v>
      </c>
      <c r="X139">
        <f ca="1"/>
        <v>0</v>
      </c>
      <c r="Y139">
        <f ca="1"/>
        <v>0.99854693992567356</v>
      </c>
      <c r="Z139">
        <f ca="1"/>
        <v>0</v>
      </c>
      <c r="AA139">
        <f ca="1"/>
        <v>0</v>
      </c>
      <c r="AB139">
        <f ca="1"/>
        <v>0.78578301381270332</v>
      </c>
      <c r="AD139" s="2">
        <f t="shared" ca="1" si="22"/>
        <v>45500</v>
      </c>
      <c r="AE139">
        <f t="shared" ca="1" si="23"/>
        <v>0</v>
      </c>
      <c r="AG139" s="63">
        <f t="shared" ca="1" si="27"/>
        <v>36.416627113324616</v>
      </c>
      <c r="AH139" s="63">
        <f t="shared" ca="1" si="28"/>
        <v>36.416627113324616</v>
      </c>
      <c r="AI139" s="3">
        <f t="shared" ca="1" si="29"/>
        <v>0</v>
      </c>
    </row>
    <row r="140" spans="7:35">
      <c r="G140" s="3">
        <f t="shared" ca="1" si="24"/>
        <v>165</v>
      </c>
      <c r="H140" s="95">
        <f t="shared" ca="1" si="26"/>
        <v>45455</v>
      </c>
      <c r="I140" s="119">
        <f ca="1">HLOOKUP($H$5,'Met Data'!$A$2:$F$368,G140,FALSE)</f>
        <v>10.4916666666666</v>
      </c>
      <c r="J140" s="119">
        <f ca="1">HLOOKUP($H$5,'Met Data'!$H$2:$M$368,G140,FALSE)*L140</f>
        <v>5.3166666666666602</v>
      </c>
      <c r="K140" s="96">
        <f ca="1">HLOOKUP($H$5,'Met Data'!$O$2:$T$368,G140,FALSE)</f>
        <v>0.75300621765048603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45501</v>
      </c>
      <c r="Q140">
        <f ca="1"/>
        <v>34.2116823611263</v>
      </c>
      <c r="R140">
        <f ca="1"/>
        <v>1.3522187325984873</v>
      </c>
      <c r="S140">
        <f ca="1"/>
        <v>1.0615711274596151E-2</v>
      </c>
      <c r="T140">
        <f ca="1"/>
        <v>0.77972856069005092</v>
      </c>
      <c r="U140">
        <f ca="1"/>
        <v>0</v>
      </c>
      <c r="V140">
        <f ca="1"/>
        <v>493.39601651441217</v>
      </c>
      <c r="W140">
        <f ca="1"/>
        <v>338.93891975111745</v>
      </c>
      <c r="X140">
        <f ca="1"/>
        <v>0.24374206626635492</v>
      </c>
      <c r="Y140">
        <f ca="1"/>
        <v>1</v>
      </c>
      <c r="Z140">
        <f ca="1"/>
        <v>1.5260019676150449</v>
      </c>
      <c r="AA140">
        <f ca="1"/>
        <v>0</v>
      </c>
      <c r="AB140">
        <f ca="1"/>
        <v>0.76926617599277469</v>
      </c>
      <c r="AD140" s="2">
        <f t="shared" ca="1" si="22"/>
        <v>45501</v>
      </c>
      <c r="AE140">
        <f t="shared" ca="1" si="23"/>
        <v>0</v>
      </c>
      <c r="AG140" s="63">
        <f t="shared" ca="1" si="27"/>
        <v>35.807643159991144</v>
      </c>
      <c r="AH140" s="63">
        <f t="shared" ca="1" si="28"/>
        <v>35.807643159991144</v>
      </c>
      <c r="AI140" s="3">
        <f t="shared" ca="1" si="29"/>
        <v>0</v>
      </c>
    </row>
    <row r="141" spans="7:35">
      <c r="G141" s="3">
        <f t="shared" ca="1" si="24"/>
        <v>166</v>
      </c>
      <c r="H141" s="95">
        <f t="shared" ca="1" si="26"/>
        <v>45456</v>
      </c>
      <c r="I141" s="119">
        <f ca="1">HLOOKUP($H$5,'Met Data'!$A$2:$F$368,G141,FALSE)</f>
        <v>10.133333333333301</v>
      </c>
      <c r="J141" s="119">
        <f ca="1">HLOOKUP($H$5,'Met Data'!$H$2:$M$368,G141,FALSE)*L141</f>
        <v>1.2</v>
      </c>
      <c r="K141" s="96">
        <f ca="1">HLOOKUP($H$5,'Met Data'!$O$2:$T$368,G141,FALSE)</f>
        <v>1.0949815777606999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45502</v>
      </c>
      <c r="Q141">
        <f ca="1"/>
        <v>33.727978103222007</v>
      </c>
      <c r="R141">
        <f ca="1"/>
        <v>1.1778801321556784</v>
      </c>
      <c r="S141">
        <f ca="1"/>
        <v>9.6612151953650027E-3</v>
      </c>
      <c r="T141">
        <f ca="1"/>
        <v>0.71350693151168676</v>
      </c>
      <c r="U141">
        <f ca="1"/>
        <v>0</v>
      </c>
      <c r="V141">
        <f ca="1"/>
        <v>494.57389664656785</v>
      </c>
      <c r="W141">
        <f ca="1"/>
        <v>339.74806576411021</v>
      </c>
      <c r="X141">
        <f ca="1"/>
        <v>2.8992272455669092E-2</v>
      </c>
      <c r="Y141">
        <f ca="1"/>
        <v>1</v>
      </c>
      <c r="Z141">
        <f ca="1"/>
        <v>0.18411576907552529</v>
      </c>
      <c r="AA141">
        <f ca="1"/>
        <v>0</v>
      </c>
      <c r="AB141">
        <f ca="1"/>
        <v>0.75431801894320349</v>
      </c>
      <c r="AD141" s="2">
        <f t="shared" ca="1" si="22"/>
        <v>45502</v>
      </c>
      <c r="AE141">
        <f t="shared" ca="1" si="23"/>
        <v>0</v>
      </c>
      <c r="AG141" s="63">
        <f t="shared" ca="1" si="27"/>
        <v>34.934850507833353</v>
      </c>
      <c r="AH141" s="63">
        <f t="shared" ca="1" si="28"/>
        <v>34.934850507833353</v>
      </c>
      <c r="AI141" s="3">
        <f t="shared" ca="1" si="29"/>
        <v>0</v>
      </c>
    </row>
    <row r="142" spans="7:35">
      <c r="G142" s="3">
        <f t="shared" ca="1" si="24"/>
        <v>167</v>
      </c>
      <c r="H142" s="95">
        <f t="shared" ca="1" si="26"/>
        <v>45457</v>
      </c>
      <c r="I142" s="119">
        <f ca="1">HLOOKUP($H$5,'Met Data'!$A$2:$F$368,G142,FALSE)</f>
        <v>9.0291666666666597</v>
      </c>
      <c r="J142" s="119">
        <f ca="1">HLOOKUP($H$5,'Met Data'!$H$2:$M$368,G142,FALSE)*L142</f>
        <v>2.0499999999999998</v>
      </c>
      <c r="K142" s="96">
        <f ca="1">HLOOKUP($H$5,'Met Data'!$O$2:$T$368,G142,FALSE)</f>
        <v>0.76363291076582096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45503</v>
      </c>
      <c r="Q142">
        <f ca="1"/>
        <v>33.042539853817715</v>
      </c>
      <c r="R142">
        <f ca="1"/>
        <v>1.2133648226712239</v>
      </c>
      <c r="S142">
        <f ca="1"/>
        <v>1.0196165858587847E-2</v>
      </c>
      <c r="T142">
        <f ca="1"/>
        <v>0.75712435572065784</v>
      </c>
      <c r="U142">
        <f ca="1"/>
        <v>0</v>
      </c>
      <c r="V142">
        <f ca="1"/>
        <v>495.78726146923907</v>
      </c>
      <c r="W142">
        <f ca="1"/>
        <v>340.58158802309708</v>
      </c>
      <c r="X142">
        <f ca="1"/>
        <v>0.239393948312315</v>
      </c>
      <c r="Y142">
        <f ca="1"/>
        <v>1</v>
      </c>
      <c r="Z142">
        <f ca="1"/>
        <v>1.55181084057498</v>
      </c>
      <c r="AA142">
        <f ca="1"/>
        <v>0</v>
      </c>
      <c r="AB142">
        <f ca="1"/>
        <v>0.73832661303179248</v>
      </c>
      <c r="AD142" s="2">
        <f t="shared" ca="1" si="22"/>
        <v>45503</v>
      </c>
      <c r="AE142">
        <f t="shared" ca="1" si="23"/>
        <v>0</v>
      </c>
      <c r="AG142" s="63">
        <f t="shared" ca="1" si="27"/>
        <v>34.495298624801251</v>
      </c>
      <c r="AH142" s="63">
        <f t="shared" ca="1" si="28"/>
        <v>34.495298624801251</v>
      </c>
      <c r="AI142" s="3">
        <f t="shared" ca="1" si="29"/>
        <v>0</v>
      </c>
    </row>
    <row r="143" spans="7:35">
      <c r="G143" s="3">
        <f t="shared" ca="1" si="24"/>
        <v>168</v>
      </c>
      <c r="H143" s="95">
        <f t="shared" ca="1" si="26"/>
        <v>45458</v>
      </c>
      <c r="I143" s="119">
        <f ca="1">HLOOKUP($H$5,'Met Data'!$A$2:$F$368,G143,FALSE)</f>
        <v>10.125</v>
      </c>
      <c r="J143" s="119">
        <f ca="1">HLOOKUP($H$5,'Met Data'!$H$2:$M$368,G143,FALSE)*L143</f>
        <v>2.68333333333333</v>
      </c>
      <c r="K143" s="96">
        <f ca="1">HLOOKUP($H$5,'Met Data'!$O$2:$T$368,G143,FALSE)</f>
        <v>0.84633721178312304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45504</v>
      </c>
      <c r="Q143">
        <f ca="1"/>
        <v>31.924128924155209</v>
      </c>
      <c r="R143">
        <f ca="1"/>
        <v>1.373426023210186</v>
      </c>
      <c r="S143">
        <f ca="1"/>
        <v>1.1876305285056787E-2</v>
      </c>
      <c r="T143">
        <f ca="1"/>
        <v>0.8873335254918755</v>
      </c>
      <c r="U143">
        <f ca="1"/>
        <v>0</v>
      </c>
      <c r="V143">
        <f ca="1"/>
        <v>497.16068749244926</v>
      </c>
      <c r="W143">
        <f ca="1"/>
        <v>341.52506449449925</v>
      </c>
      <c r="X143">
        <f ca="1"/>
        <v>0.64419473722925369</v>
      </c>
      <c r="Y143">
        <f ca="1"/>
        <v>1</v>
      </c>
      <c r="Z143">
        <f ca="1"/>
        <v>4.3221233068618332</v>
      </c>
      <c r="AA143">
        <f ca="1"/>
        <v>0</v>
      </c>
      <c r="AB143">
        <f ca="1"/>
        <v>0.71943390919073957</v>
      </c>
      <c r="AD143" s="2">
        <f t="shared" ca="1" si="22"/>
        <v>45504</v>
      </c>
      <c r="AE143">
        <f t="shared" ca="1" si="23"/>
        <v>0</v>
      </c>
      <c r="AG143" s="63">
        <f t="shared" ca="1" si="27"/>
        <v>33.941749684594647</v>
      </c>
      <c r="AH143" s="63">
        <f t="shared" ca="1" si="28"/>
        <v>33.941749684594654</v>
      </c>
      <c r="AI143" s="3">
        <f t="shared" ca="1" si="29"/>
        <v>0</v>
      </c>
    </row>
    <row r="144" spans="7:35">
      <c r="G144" s="3">
        <f t="shared" ca="1" si="24"/>
        <v>169</v>
      </c>
      <c r="H144" s="95">
        <f t="shared" ca="1" si="26"/>
        <v>45459</v>
      </c>
      <c r="I144" s="119">
        <f ca="1">HLOOKUP($H$5,'Met Data'!$A$2:$F$368,G144,FALSE)</f>
        <v>10.2291666666666</v>
      </c>
      <c r="J144" s="119">
        <f ca="1">HLOOKUP($H$5,'Met Data'!$H$2:$M$368,G144,FALSE)*L144</f>
        <v>2.5333333333333301</v>
      </c>
      <c r="K144" s="96">
        <f ca="1">HLOOKUP($H$5,'Met Data'!$O$2:$T$368,G144,FALSE)</f>
        <v>0.91611783655738799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45505</v>
      </c>
      <c r="Q144">
        <f ca="1"/>
        <v>31.031050725846718</v>
      </c>
      <c r="R144">
        <f ca="1"/>
        <v>1.3427446298558721</v>
      </c>
      <c r="S144">
        <f ca="1"/>
        <v>1.209356069318801E-2</v>
      </c>
      <c r="T144">
        <f ca="1"/>
        <v>0.90974710080279464</v>
      </c>
      <c r="U144">
        <f ca="1"/>
        <v>0</v>
      </c>
      <c r="V144">
        <f ca="1"/>
        <v>498.50343212230513</v>
      </c>
      <c r="W144">
        <f ca="1"/>
        <v>342.44746435001508</v>
      </c>
      <c r="X144">
        <f ca="1"/>
        <v>0.47217422994859926</v>
      </c>
      <c r="Y144">
        <f ca="1"/>
        <v>1</v>
      </c>
      <c r="Z144">
        <f ca="1"/>
        <v>3.3334024098865385</v>
      </c>
      <c r="AA144">
        <f ca="1"/>
        <v>0</v>
      </c>
      <c r="AB144">
        <f ca="1"/>
        <v>0.70006977039619489</v>
      </c>
      <c r="AD144" s="2">
        <f t="shared" ca="1" si="22"/>
        <v>45505</v>
      </c>
      <c r="AE144">
        <f t="shared" ca="1" si="23"/>
        <v>0</v>
      </c>
      <c r="AG144" s="63">
        <f t="shared" ca="1" si="27"/>
        <v>32.84596958565119</v>
      </c>
      <c r="AH144" s="63">
        <f t="shared" ca="1" si="28"/>
        <v>32.84596958565119</v>
      </c>
      <c r="AI144" s="3">
        <f t="shared" ca="1" si="29"/>
        <v>0</v>
      </c>
    </row>
    <row r="145" spans="7:35">
      <c r="G145" s="3">
        <f t="shared" ca="1" si="24"/>
        <v>170</v>
      </c>
      <c r="H145" s="95">
        <f t="shared" ca="1" si="26"/>
        <v>45460</v>
      </c>
      <c r="I145" s="119">
        <f ca="1">HLOOKUP($H$5,'Met Data'!$A$2:$F$368,G145,FALSE)</f>
        <v>10.316666666666601</v>
      </c>
      <c r="J145" s="119">
        <f ca="1">HLOOKUP($H$5,'Met Data'!$H$2:$M$368,G145,FALSE)*L145</f>
        <v>5.5</v>
      </c>
      <c r="K145" s="96">
        <f ca="1">HLOOKUP($H$5,'Met Data'!$O$2:$T$368,G145,FALSE)</f>
        <v>0.749895043982166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45506</v>
      </c>
      <c r="Q145">
        <f ca="1"/>
        <v>30.591593112152903</v>
      </c>
      <c r="R145">
        <f ca="1"/>
        <v>1.2217098136804907</v>
      </c>
      <c r="S145">
        <f ca="1"/>
        <v>1.1451675432397224E-2</v>
      </c>
      <c r="T145">
        <f ca="1"/>
        <v>0.86736397465232962</v>
      </c>
      <c r="U145">
        <f ca="1"/>
        <v>0</v>
      </c>
      <c r="V145">
        <f ca="1"/>
        <v>499.72514193598562</v>
      </c>
      <c r="W145">
        <f ca="1"/>
        <v>343.28671920947562</v>
      </c>
      <c r="X145">
        <f ca="1"/>
        <v>9.6563450098049092E-2</v>
      </c>
      <c r="Y145">
        <f ca="1"/>
        <v>1</v>
      </c>
      <c r="Z145">
        <f ca="1"/>
        <v>0.69150070233330752</v>
      </c>
      <c r="AA145">
        <f ca="1"/>
        <v>0</v>
      </c>
      <c r="AB145">
        <f ca="1"/>
        <v>0.68160350404611325</v>
      </c>
      <c r="AD145" s="2">
        <f t="shared" ca="1" si="22"/>
        <v>45506</v>
      </c>
      <c r="AE145">
        <f t="shared" ca="1" si="23"/>
        <v>0</v>
      </c>
      <c r="AG145" s="63">
        <f t="shared" ca="1" si="27"/>
        <v>31.909866375931443</v>
      </c>
      <c r="AH145" s="63">
        <f t="shared" ca="1" si="28"/>
        <v>31.909866375931443</v>
      </c>
      <c r="AI145" s="3">
        <f t="shared" ca="1" si="29"/>
        <v>0</v>
      </c>
    </row>
    <row r="146" spans="7:35">
      <c r="G146" s="3">
        <f t="shared" ca="1" si="24"/>
        <v>171</v>
      </c>
      <c r="H146" s="95">
        <f t="shared" ca="1" si="26"/>
        <v>45461</v>
      </c>
      <c r="I146" s="119">
        <f ca="1">HLOOKUP($H$5,'Met Data'!$A$2:$F$368,G146,FALSE)</f>
        <v>10.6666666666666</v>
      </c>
      <c r="J146" s="119">
        <f ca="1">HLOOKUP($H$5,'Met Data'!$H$2:$M$368,G146,FALSE)*L146</f>
        <v>11.883333333333301</v>
      </c>
      <c r="K146" s="96">
        <f ca="1">HLOOKUP($H$5,'Met Data'!$O$2:$T$368,G146,FALSE)</f>
        <v>0.72031723210574305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45507</v>
      </c>
      <c r="Q146">
        <f ca="1"/>
        <v>29.631597967689107</v>
      </c>
      <c r="R146">
        <f ca="1"/>
        <v>1.1755914631929727</v>
      </c>
      <c r="S146">
        <f ca="1"/>
        <v>1.1462780353241442E-2</v>
      </c>
      <c r="T146">
        <f ca="1"/>
        <v>0.87410698890046468</v>
      </c>
      <c r="U146">
        <f ca="1"/>
        <v>0</v>
      </c>
      <c r="V146">
        <f ca="1"/>
        <v>500.90073339917859</v>
      </c>
      <c r="W146">
        <f ca="1"/>
        <v>344.0942930188836</v>
      </c>
      <c r="X146">
        <f ca="1"/>
        <v>0.66997345052453072</v>
      </c>
      <c r="Y146">
        <f ca="1"/>
        <v>1</v>
      </c>
      <c r="Z146">
        <f ca="1"/>
        <v>4.9531840514560415</v>
      </c>
      <c r="AA146">
        <f ca="1"/>
        <v>0</v>
      </c>
      <c r="AB146">
        <f ca="1"/>
        <v>0.66299255354730913</v>
      </c>
      <c r="AD146" s="2">
        <f t="shared" ca="1" si="22"/>
        <v>45507</v>
      </c>
      <c r="AE146">
        <f t="shared" ca="1" si="23"/>
        <v>0</v>
      </c>
      <c r="AG146" s="63">
        <f t="shared" ca="1" si="27"/>
        <v>31.47716288140661</v>
      </c>
      <c r="AH146" s="63">
        <f t="shared" ca="1" si="28"/>
        <v>31.47716288140661</v>
      </c>
      <c r="AI146" s="3">
        <f t="shared" ca="1" si="29"/>
        <v>0</v>
      </c>
    </row>
    <row r="147" spans="7:35">
      <c r="G147" s="3">
        <f t="shared" ca="1" si="24"/>
        <v>172</v>
      </c>
      <c r="H147" s="95">
        <f t="shared" ca="1" si="26"/>
        <v>45462</v>
      </c>
      <c r="I147" s="119">
        <f ca="1">HLOOKUP($H$5,'Met Data'!$A$2:$F$368,G147,FALSE)</f>
        <v>10.6181818181818</v>
      </c>
      <c r="J147" s="119">
        <f ca="1">HLOOKUP($H$5,'Met Data'!$H$2:$M$368,G147,FALSE)*L147</f>
        <v>9.0181818181818105</v>
      </c>
      <c r="K147" s="96">
        <f ca="1">HLOOKUP($H$5,'Met Data'!$O$2:$T$368,G147,FALSE)</f>
        <v>0.829345309973199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45508</v>
      </c>
      <c r="Q147">
        <f ca="1"/>
        <v>29.185836909276691</v>
      </c>
      <c r="R147">
        <f ca="1"/>
        <v>1.0775245295308764</v>
      </c>
      <c r="S147">
        <f ca="1"/>
        <v>1.0932825342365504E-2</v>
      </c>
      <c r="T147">
        <f ca="1"/>
        <v>0.83933587044187596</v>
      </c>
      <c r="U147">
        <f ca="1"/>
        <v>0</v>
      </c>
      <c r="V147">
        <f ca="1"/>
        <v>501.97825792870947</v>
      </c>
      <c r="W147">
        <f ca="1"/>
        <v>344.83449964362416</v>
      </c>
      <c r="X147">
        <f ca="1"/>
        <v>0.2185052246657784</v>
      </c>
      <c r="Y147">
        <f ca="1"/>
        <v>1</v>
      </c>
      <c r="Z147">
        <f ca="1"/>
        <v>1.6401048773059443</v>
      </c>
      <c r="AA147">
        <f ca="1"/>
        <v>0</v>
      </c>
      <c r="AB147">
        <f ca="1"/>
        <v>0.6451354836129003</v>
      </c>
      <c r="AD147" s="2">
        <f t="shared" ca="1" si="22"/>
        <v>45508</v>
      </c>
      <c r="AE147">
        <f t="shared" ca="1" si="23"/>
        <v>0</v>
      </c>
      <c r="AG147" s="63">
        <f t="shared" ca="1" si="27"/>
        <v>30.481866663473348</v>
      </c>
      <c r="AH147" s="63">
        <f t="shared" ca="1" si="28"/>
        <v>30.481866663473348</v>
      </c>
      <c r="AI147" s="3">
        <f t="shared" ca="1" si="29"/>
        <v>0</v>
      </c>
    </row>
    <row r="148" spans="7:35">
      <c r="G148" s="3">
        <f t="shared" ca="1" si="24"/>
        <v>173</v>
      </c>
      <c r="H148" s="95">
        <f t="shared" ca="1" si="26"/>
        <v>45463</v>
      </c>
      <c r="I148" s="119">
        <f ca="1">HLOOKUP($H$5,'Met Data'!$A$2:$F$368,G148,FALSE)</f>
        <v>10.0318181818181</v>
      </c>
      <c r="J148" s="119">
        <f ca="1">HLOOKUP($H$5,'Met Data'!$H$2:$M$368,G148,FALSE)*L148</f>
        <v>1.9090909090909001</v>
      </c>
      <c r="K148" s="96">
        <f ca="1">HLOOKUP($H$5,'Met Data'!$O$2:$T$368,G148,FALSE)</f>
        <v>0.90574236110997597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45509</v>
      </c>
      <c r="Q148">
        <f ca="1"/>
        <v>25.825307815038183</v>
      </c>
      <c r="R148">
        <f ca="1"/>
        <v>0</v>
      </c>
      <c r="S148">
        <f ca="1"/>
        <v>-3.8013354155189916</v>
      </c>
      <c r="T148">
        <f ca="1"/>
        <v>0.84838066908840382</v>
      </c>
      <c r="U148">
        <f ca="1"/>
        <v>0</v>
      </c>
      <c r="V148">
        <f ca="1"/>
        <v>0</v>
      </c>
      <c r="W148">
        <f ca="1"/>
        <v>0</v>
      </c>
      <c r="X148">
        <f ca="1"/>
        <v>0.40757434780791818</v>
      </c>
      <c r="Y148">
        <f ca="1"/>
        <v>1</v>
      </c>
      <c r="Z148">
        <f ca="1"/>
        <v>3.4573494766818769</v>
      </c>
      <c r="AA148">
        <f ca="1"/>
        <v>0</v>
      </c>
      <c r="AB148">
        <f ca="1"/>
        <v>0</v>
      </c>
      <c r="AD148" s="2">
        <f t="shared" ca="1" si="22"/>
        <v>45509</v>
      </c>
      <c r="AE148">
        <f t="shared" ca="1" si="23"/>
        <v>0</v>
      </c>
      <c r="AG148" s="63">
        <f t="shared" ca="1" si="27"/>
        <v>26.232882162846103</v>
      </c>
      <c r="AH148" s="63">
        <f t="shared" ca="1" si="28"/>
        <v>26.232882162846103</v>
      </c>
      <c r="AI148" s="3">
        <f t="shared" ca="1" si="29"/>
        <v>0</v>
      </c>
    </row>
    <row r="149" spans="7:35">
      <c r="G149" s="3">
        <f t="shared" ca="1" si="24"/>
        <v>174</v>
      </c>
      <c r="H149" s="95">
        <f t="shared" ca="1" si="26"/>
        <v>45464</v>
      </c>
      <c r="I149" s="119">
        <f ca="1">HLOOKUP($H$5,'Met Data'!$A$2:$F$368,G149,FALSE)</f>
        <v>8.9727272727272709</v>
      </c>
      <c r="J149" s="119">
        <f ca="1">HLOOKUP($H$5,'Met Data'!$H$2:$M$368,G149,FALSE)*L149</f>
        <v>1.9636363636363601</v>
      </c>
      <c r="K149" s="96">
        <f ca="1">HLOOKUP($H$5,'Met Data'!$O$2:$T$368,G149,FALSE)</f>
        <v>0.89904843691310898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45510</v>
      </c>
      <c r="Q149">
        <f ca="1"/>
        <v>22.881981511446391</v>
      </c>
      <c r="R149">
        <f ca="1"/>
        <v>0</v>
      </c>
      <c r="S149">
        <f ca="1"/>
        <v>-3.6862257952112714</v>
      </c>
      <c r="T149">
        <f ca="1"/>
        <v>0.8574873794568949</v>
      </c>
      <c r="U149">
        <f ca="1"/>
        <v>0</v>
      </c>
      <c r="V149">
        <f ca="1"/>
        <v>0</v>
      </c>
      <c r="W149">
        <f ca="1"/>
        <v>0</v>
      </c>
      <c r="X149">
        <f ca="1"/>
        <v>0.11458788783741541</v>
      </c>
      <c r="Y149">
        <f ca="1"/>
        <v>1</v>
      </c>
      <c r="Z149">
        <f ca="1"/>
        <v>1.0970515352017429</v>
      </c>
      <c r="AA149">
        <f ca="1"/>
        <v>0</v>
      </c>
      <c r="AB149">
        <f ca="1"/>
        <v>0</v>
      </c>
      <c r="AD149" s="2">
        <f t="shared" ca="1" si="22"/>
        <v>45510</v>
      </c>
      <c r="AE149">
        <f t="shared" ca="1" si="23"/>
        <v>0</v>
      </c>
      <c r="AG149" s="63">
        <f t="shared" ca="1" si="27"/>
        <v>22.996569399283807</v>
      </c>
      <c r="AH149" s="63">
        <f t="shared" ca="1" si="28"/>
        <v>22.996569399283807</v>
      </c>
      <c r="AI149" s="3">
        <f t="shared" ca="1" si="29"/>
        <v>0</v>
      </c>
    </row>
    <row r="150" spans="7:35">
      <c r="G150" s="3">
        <f t="shared" ca="1" si="24"/>
        <v>175</v>
      </c>
      <c r="H150" s="95">
        <f t="shared" ca="1" si="26"/>
        <v>45465</v>
      </c>
      <c r="I150" s="119">
        <f ca="1">HLOOKUP($H$5,'Met Data'!$A$2:$F$368,G150,FALSE)</f>
        <v>9.0227272727272698</v>
      </c>
      <c r="J150" s="119">
        <f ca="1">HLOOKUP($H$5,'Met Data'!$H$2:$M$368,G150,FALSE)*L150</f>
        <v>3.0181818181818101</v>
      </c>
      <c r="K150" s="96">
        <f ca="1">HLOOKUP($H$5,'Met Data'!$O$2:$T$368,G150,FALSE)</f>
        <v>0.82913615112138495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45511</v>
      </c>
      <c r="Q150">
        <f ca="1"/>
        <v>20.106699290467247</v>
      </c>
      <c r="R150">
        <f ca="1"/>
        <v>0</v>
      </c>
      <c r="S150">
        <f ca="1"/>
        <v>-3.3589528930647248</v>
      </c>
      <c r="T150">
        <f ca="1"/>
        <v>0.81393082546266371</v>
      </c>
      <c r="U150">
        <f ca="1"/>
        <v>0</v>
      </c>
      <c r="V150">
        <f ca="1"/>
        <v>0</v>
      </c>
      <c r="W150">
        <f ca="1"/>
        <v>0</v>
      </c>
      <c r="X150">
        <f ca="1"/>
        <v>0.23026015337708153</v>
      </c>
      <c r="Y150">
        <f ca="1"/>
        <v>1</v>
      </c>
      <c r="Z150">
        <f ca="1"/>
        <v>2.5087648280373287</v>
      </c>
      <c r="AA150">
        <f ca="1"/>
        <v>0</v>
      </c>
      <c r="AB150">
        <f ca="1"/>
        <v>0</v>
      </c>
      <c r="AD150" s="2">
        <f t="shared" ca="1" si="22"/>
        <v>45511</v>
      </c>
      <c r="AE150">
        <f t="shared" ca="1" si="23"/>
        <v>0</v>
      </c>
      <c r="AG150" s="63">
        <f t="shared" ca="1" si="27"/>
        <v>20.336959443844329</v>
      </c>
      <c r="AH150" s="63">
        <f t="shared" ca="1" si="28"/>
        <v>20.336959443844329</v>
      </c>
      <c r="AI150" s="3">
        <f t="shared" ca="1" si="29"/>
        <v>0</v>
      </c>
    </row>
    <row r="151" spans="7:35">
      <c r="G151" s="3">
        <f t="shared" ca="1" si="24"/>
        <v>176</v>
      </c>
      <c r="H151" s="95">
        <f t="shared" ca="1" si="26"/>
        <v>45466</v>
      </c>
      <c r="I151" s="119">
        <f ca="1">HLOOKUP($H$5,'Met Data'!$A$2:$F$368,G151,FALSE)</f>
        <v>10.3590909090909</v>
      </c>
      <c r="J151" s="119">
        <f ca="1">HLOOKUP($H$5,'Met Data'!$H$2:$M$368,G151,FALSE)*L151</f>
        <v>3.7454545454545398</v>
      </c>
      <c r="K151" s="96">
        <f ca="1">HLOOKUP($H$5,'Met Data'!$O$2:$T$368,G151,FALSE)</f>
        <v>0.88746237543267503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45512</v>
      </c>
      <c r="Q151">
        <f ca="1"/>
        <v>17.761036571775435</v>
      </c>
      <c r="R151">
        <f ca="1"/>
        <v>0</v>
      </c>
      <c r="S151">
        <f ca="1"/>
        <v>-2.9097567889178038</v>
      </c>
      <c r="T151">
        <f ca="1"/>
        <v>0.73240347840218134</v>
      </c>
      <c r="U151">
        <f ca="1"/>
        <v>0</v>
      </c>
      <c r="V151">
        <f ca="1"/>
        <v>0</v>
      </c>
      <c r="W151">
        <f ca="1"/>
        <v>0</v>
      </c>
      <c r="X151">
        <f ca="1"/>
        <v>0.16830940817618847</v>
      </c>
      <c r="Y151">
        <f ca="1"/>
        <v>1</v>
      </c>
      <c r="Z151">
        <f ca="1"/>
        <v>2.0759745733569659</v>
      </c>
      <c r="AA151">
        <f ca="1"/>
        <v>0</v>
      </c>
      <c r="AB151">
        <f ca="1"/>
        <v>0</v>
      </c>
      <c r="AD151" s="2">
        <f t="shared" ca="1" si="22"/>
        <v>45512</v>
      </c>
      <c r="AE151">
        <f t="shared" ca="1" si="23"/>
        <v>0</v>
      </c>
      <c r="AG151" s="63">
        <f t="shared" ca="1" si="27"/>
        <v>17.929345979951623</v>
      </c>
      <c r="AH151" s="63">
        <f t="shared" ca="1" si="28"/>
        <v>17.929345979951623</v>
      </c>
      <c r="AI151" s="3">
        <f t="shared" ca="1" si="29"/>
        <v>0</v>
      </c>
    </row>
    <row r="152" spans="7:35">
      <c r="G152" s="3">
        <f t="shared" ca="1" si="24"/>
        <v>177</v>
      </c>
      <c r="H152" s="95">
        <f t="shared" ca="1" si="26"/>
        <v>45467</v>
      </c>
      <c r="I152" s="119">
        <f ca="1">HLOOKUP($H$5,'Met Data'!$A$2:$F$368,G152,FALSE)</f>
        <v>9.5090909090909097</v>
      </c>
      <c r="J152" s="119">
        <f ca="1">HLOOKUP($H$5,'Met Data'!$H$2:$M$368,G152,FALSE)*L152</f>
        <v>3.1090909090909</v>
      </c>
      <c r="K152" s="96">
        <f ca="1">HLOOKUP($H$5,'Met Data'!$O$2:$T$368,G152,FALSE)</f>
        <v>0.97866599470650895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45513</v>
      </c>
      <c r="Q152">
        <f ca="1"/>
        <v>15.801747157739902</v>
      </c>
      <c r="R152">
        <f ca="1"/>
        <v>0</v>
      </c>
      <c r="S152">
        <f ca="1"/>
        <v>-2.6409318720209569</v>
      </c>
      <c r="T152">
        <f ca="1"/>
        <v>0.68850256176972391</v>
      </c>
      <c r="U152">
        <f ca="1"/>
        <v>0</v>
      </c>
      <c r="V152">
        <f ca="1"/>
        <v>0</v>
      </c>
      <c r="W152">
        <f ca="1"/>
        <v>0</v>
      </c>
      <c r="X152">
        <f ca="1"/>
        <v>6.8601037842997937E-3</v>
      </c>
      <c r="Y152">
        <f ca="1"/>
        <v>1</v>
      </c>
      <c r="Z152">
        <f ca="1"/>
        <v>9.5105913910252582E-2</v>
      </c>
      <c r="AA152">
        <f ca="1"/>
        <v>0</v>
      </c>
      <c r="AB152">
        <f ca="1"/>
        <v>0</v>
      </c>
      <c r="AD152" s="2">
        <f t="shared" ca="1" si="22"/>
        <v>45513</v>
      </c>
      <c r="AE152">
        <f t="shared" ca="1" si="23"/>
        <v>0</v>
      </c>
      <c r="AG152" s="63">
        <f t="shared" ca="1" si="27"/>
        <v>15.808607261524202</v>
      </c>
      <c r="AH152" s="63">
        <f t="shared" ca="1" si="28"/>
        <v>15.808607261524202</v>
      </c>
      <c r="AI152" s="3">
        <f t="shared" ca="1" si="29"/>
        <v>0</v>
      </c>
    </row>
    <row r="153" spans="7:35">
      <c r="G153" s="3">
        <f t="shared" ca="1" si="24"/>
        <v>178</v>
      </c>
      <c r="H153" s="95">
        <f t="shared" ca="1" si="26"/>
        <v>45468</v>
      </c>
      <c r="I153" s="119">
        <f ca="1">HLOOKUP($H$5,'Met Data'!$A$2:$F$368,G153,FALSE)</f>
        <v>9.1272727272727199</v>
      </c>
      <c r="J153" s="119">
        <f ca="1">HLOOKUP($H$5,'Met Data'!$H$2:$M$368,G153,FALSE)*L153</f>
        <v>1.25454545454545</v>
      </c>
      <c r="K153" s="96">
        <f ca="1">HLOOKUP($H$5,'Met Data'!$O$2:$T$368,G153,FALSE)</f>
        <v>1.0040569739087299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45514</v>
      </c>
      <c r="Q153">
        <f ca="1"/>
        <v>13.536707217236591</v>
      </c>
      <c r="R153">
        <f ca="1"/>
        <v>0</v>
      </c>
      <c r="S153">
        <f ca="1"/>
        <v>-2.8134727791077978</v>
      </c>
      <c r="T153">
        <f ca="1"/>
        <v>0.76037380789989795</v>
      </c>
      <c r="U153">
        <f ca="1"/>
        <v>0</v>
      </c>
      <c r="V153">
        <f ca="1"/>
        <v>0</v>
      </c>
      <c r="W153">
        <f ca="1"/>
        <v>0</v>
      </c>
      <c r="X153">
        <f ca="1"/>
        <v>0.21194096929541101</v>
      </c>
      <c r="Y153">
        <f ca="1"/>
        <v>1</v>
      </c>
      <c r="Z153">
        <f ca="1"/>
        <v>3.4299187004357634</v>
      </c>
      <c r="AA153">
        <f ca="1"/>
        <v>0</v>
      </c>
      <c r="AB153">
        <f ca="1"/>
        <v>0</v>
      </c>
      <c r="AD153" s="2">
        <f t="shared" ca="1" si="22"/>
        <v>45514</v>
      </c>
      <c r="AE153">
        <f t="shared" ca="1" si="23"/>
        <v>0</v>
      </c>
      <c r="AG153" s="63">
        <f t="shared" ca="1" si="27"/>
        <v>13.748648186532002</v>
      </c>
      <c r="AH153" s="63">
        <f t="shared" ca="1" si="28"/>
        <v>13.748648186532002</v>
      </c>
      <c r="AI153" s="3">
        <f t="shared" ca="1" si="29"/>
        <v>0</v>
      </c>
    </row>
    <row r="154" spans="7:35">
      <c r="G154" s="3">
        <f t="shared" ca="1" si="24"/>
        <v>179</v>
      </c>
      <c r="H154" s="95">
        <f t="shared" ca="1" si="26"/>
        <v>45469</v>
      </c>
      <c r="I154" s="119">
        <f ca="1">HLOOKUP($H$5,'Met Data'!$A$2:$F$368,G154,FALSE)</f>
        <v>8.7727272727272698</v>
      </c>
      <c r="J154" s="119">
        <f ca="1">HLOOKUP($H$5,'Met Data'!$H$2:$M$368,G154,FALSE)*L154</f>
        <v>2.9818181818181801</v>
      </c>
      <c r="K154" s="96">
        <f ca="1">HLOOKUP($H$5,'Met Data'!$O$2:$T$368,G154,FALSE)</f>
        <v>0.89055521132494797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45515</v>
      </c>
      <c r="Q154">
        <f ca="1"/>
        <v>11.313554909965045</v>
      </c>
      <c r="R154">
        <f ca="1"/>
        <v>0</v>
      </c>
      <c r="S154">
        <f ca="1"/>
        <v>-2.8225180611089371</v>
      </c>
      <c r="T154">
        <f ca="1"/>
        <v>0.79302894328333395</v>
      </c>
      <c r="U154">
        <f ca="1"/>
        <v>0</v>
      </c>
      <c r="V154">
        <f ca="1"/>
        <v>0</v>
      </c>
      <c r="W154">
        <f ca="1"/>
        <v>0</v>
      </c>
      <c r="X154">
        <f ca="1"/>
        <v>0.19366318944594321</v>
      </c>
      <c r="Y154">
        <f ca="1"/>
        <v>1</v>
      </c>
      <c r="Z154">
        <f ca="1"/>
        <v>3.7499885056706646</v>
      </c>
      <c r="AA154">
        <f ca="1"/>
        <v>0</v>
      </c>
      <c r="AB154">
        <f ca="1"/>
        <v>0</v>
      </c>
      <c r="AD154" s="2">
        <f t="shared" ca="1" si="22"/>
        <v>45515</v>
      </c>
      <c r="AE154">
        <f t="shared" ca="1" si="23"/>
        <v>0</v>
      </c>
      <c r="AG154" s="63">
        <f t="shared" ca="1" si="27"/>
        <v>11.507218099410988</v>
      </c>
      <c r="AH154" s="63">
        <f t="shared" ca="1" si="28"/>
        <v>11.507218099410988</v>
      </c>
      <c r="AI154" s="3">
        <f t="shared" ca="1" si="29"/>
        <v>0</v>
      </c>
    </row>
    <row r="155" spans="7:35">
      <c r="G155" s="3">
        <f t="shared" ca="1" si="24"/>
        <v>180</v>
      </c>
      <c r="H155" s="95">
        <f t="shared" ca="1" si="26"/>
        <v>45470</v>
      </c>
      <c r="I155" s="119">
        <f ca="1">HLOOKUP($H$5,'Met Data'!$A$2:$F$368,G155,FALSE)</f>
        <v>8.8363636363636306</v>
      </c>
      <c r="J155" s="119">
        <f ca="1">HLOOKUP($H$5,'Met Data'!$H$2:$M$368,G155,FALSE)*L155</f>
        <v>0.90909090909090895</v>
      </c>
      <c r="K155" s="96">
        <f ca="1">HLOOKUP($H$5,'Met Data'!$O$2:$T$368,G155,FALSE)</f>
        <v>0.949335994975394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45516</v>
      </c>
      <c r="Q155">
        <f ca="1"/>
        <v>9.2581840221752429</v>
      </c>
      <c r="R155">
        <f ca="1"/>
        <v>0</v>
      </c>
      <c r="S155">
        <f ca="1"/>
        <v>-2.791199609592482</v>
      </c>
      <c r="T155">
        <f ca="1"/>
        <v>0.81665326527723148</v>
      </c>
      <c r="U155">
        <f ca="1"/>
        <v>0</v>
      </c>
      <c r="V155">
        <f ca="1"/>
        <v>0</v>
      </c>
      <c r="W155">
        <f ca="1"/>
        <v>0</v>
      </c>
      <c r="X155">
        <f ca="1"/>
        <v>8.082454347455191E-2</v>
      </c>
      <c r="Y155">
        <f ca="1"/>
        <v>1</v>
      </c>
      <c r="Z155">
        <f ca="1"/>
        <v>1.9124909862252579</v>
      </c>
      <c r="AA155">
        <f ca="1"/>
        <v>0</v>
      </c>
      <c r="AB155">
        <f ca="1"/>
        <v>0</v>
      </c>
      <c r="AD155" s="2">
        <f t="shared" ca="1" si="22"/>
        <v>45516</v>
      </c>
      <c r="AE155">
        <f t="shared" ca="1" si="23"/>
        <v>0</v>
      </c>
      <c r="AG155" s="63">
        <f t="shared" ca="1" si="27"/>
        <v>9.3390085656497952</v>
      </c>
      <c r="AH155" s="63">
        <f t="shared" ca="1" si="28"/>
        <v>9.3390085656497952</v>
      </c>
      <c r="AI155" s="3">
        <f t="shared" ca="1" si="29"/>
        <v>0</v>
      </c>
    </row>
    <row r="156" spans="7:35">
      <c r="G156" s="3">
        <f t="shared" ca="1" si="24"/>
        <v>181</v>
      </c>
      <c r="H156" s="95">
        <f t="shared" ca="1" si="26"/>
        <v>45471</v>
      </c>
      <c r="I156" s="119">
        <f ca="1">HLOOKUP($H$5,'Met Data'!$A$2:$F$368,G156,FALSE)</f>
        <v>8.7136363636363594</v>
      </c>
      <c r="J156" s="119">
        <f ca="1">HLOOKUP($H$5,'Met Data'!$H$2:$M$368,G156,FALSE)*L156</f>
        <v>1.7833333333333301</v>
      </c>
      <c r="K156" s="96">
        <f ca="1">HLOOKUP($H$5,'Met Data'!$O$2:$T$368,G156,FALSE)</f>
        <v>0.92539172734817898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45517</v>
      </c>
      <c r="Q156">
        <f ca="1"/>
        <v>7.1632310685664304</v>
      </c>
      <c r="R156">
        <f ca="1"/>
        <v>0</v>
      </c>
      <c r="S156">
        <f ca="1"/>
        <v>-2.7530394241415763</v>
      </c>
      <c r="T156">
        <f ca="1"/>
        <v>0.84002942874142128</v>
      </c>
      <c r="U156">
        <f ca="1"/>
        <v>0</v>
      </c>
      <c r="V156">
        <f ca="1"/>
        <v>0</v>
      </c>
      <c r="W156">
        <f ca="1"/>
        <v>0</v>
      </c>
      <c r="X156">
        <f ca="1"/>
        <v>0.1819429582086575</v>
      </c>
      <c r="Y156">
        <f ca="1"/>
        <v>1</v>
      </c>
      <c r="Z156">
        <f ca="1"/>
        <v>5.5642705258588023</v>
      </c>
      <c r="AA156">
        <f ca="1"/>
        <v>0</v>
      </c>
      <c r="AB156">
        <f ca="1"/>
        <v>0</v>
      </c>
      <c r="AD156" s="2">
        <f t="shared" ca="1" si="22"/>
        <v>45517</v>
      </c>
      <c r="AE156">
        <f t="shared" ca="1" si="23"/>
        <v>0</v>
      </c>
      <c r="AG156" s="63">
        <f t="shared" ca="1" si="27"/>
        <v>7.345174026775088</v>
      </c>
      <c r="AH156" s="63">
        <f t="shared" ca="1" si="28"/>
        <v>7.345174026775088</v>
      </c>
      <c r="AI156" s="3">
        <f t="shared" ca="1" si="29"/>
        <v>0</v>
      </c>
    </row>
    <row r="157" spans="7:35">
      <c r="G157" s="3">
        <f t="shared" ca="1" si="24"/>
        <v>182</v>
      </c>
      <c r="H157" s="95">
        <f t="shared" ca="1" si="26"/>
        <v>45472</v>
      </c>
      <c r="I157" s="119">
        <f ca="1">HLOOKUP($H$5,'Met Data'!$A$2:$F$368,G157,FALSE)</f>
        <v>8.5291666666666597</v>
      </c>
      <c r="J157" s="119">
        <f ca="1">HLOOKUP($H$5,'Met Data'!$H$2:$M$368,G157,FALSE)*L157</f>
        <v>2.5833333333333299</v>
      </c>
      <c r="K157" s="96">
        <f ca="1">HLOOKUP($H$5,'Met Data'!$O$2:$T$368,G157,FALSE)</f>
        <v>0.82623977006466498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45518</v>
      </c>
      <c r="Q157">
        <f ca="1"/>
        <v>5.3741030486806398</v>
      </c>
      <c r="R157">
        <f ca="1"/>
        <v>0</v>
      </c>
      <c r="S157">
        <f ca="1"/>
        <v>-2.5509202867484078</v>
      </c>
      <c r="T157">
        <f ca="1"/>
        <v>0.81189281440657302</v>
      </c>
      <c r="U157">
        <f ca="1"/>
        <v>0</v>
      </c>
      <c r="V157">
        <f ca="1"/>
        <v>0</v>
      </c>
      <c r="W157">
        <f ca="1"/>
        <v>0</v>
      </c>
      <c r="X157">
        <f ca="1"/>
        <v>5.0100547543955827E-2</v>
      </c>
      <c r="Y157">
        <f ca="1"/>
        <v>1</v>
      </c>
      <c r="Z157">
        <f ca="1"/>
        <v>2.0422947834481633</v>
      </c>
      <c r="AA157">
        <f ca="1"/>
        <v>0</v>
      </c>
      <c r="AB157">
        <f ca="1"/>
        <v>0</v>
      </c>
      <c r="AD157" s="2">
        <f t="shared" ca="1" si="22"/>
        <v>45518</v>
      </c>
      <c r="AE157">
        <f t="shared" ca="1" si="23"/>
        <v>0</v>
      </c>
      <c r="AG157" s="63">
        <f t="shared" ca="1" si="27"/>
        <v>5.4242035962245954</v>
      </c>
      <c r="AH157" s="63">
        <f t="shared" ca="1" si="28"/>
        <v>5.4242035962245954</v>
      </c>
      <c r="AI157" s="3">
        <f t="shared" ca="1" si="29"/>
        <v>0</v>
      </c>
    </row>
    <row r="158" spans="7:35">
      <c r="G158" s="3">
        <f t="shared" ca="1" si="24"/>
        <v>183</v>
      </c>
      <c r="H158" s="95">
        <f t="shared" ca="1" si="26"/>
        <v>45473</v>
      </c>
      <c r="I158" s="119">
        <f ca="1">HLOOKUP($H$5,'Met Data'!$A$2:$F$368,G158,FALSE)</f>
        <v>8.8208333333333293</v>
      </c>
      <c r="J158" s="119">
        <f ca="1">HLOOKUP($H$5,'Met Data'!$H$2:$M$368,G158,FALSE)*L158</f>
        <v>2.1333333333333302</v>
      </c>
      <c r="K158" s="96">
        <f ca="1">HLOOKUP($H$5,'Met Data'!$O$2:$T$368,G158,FALSE)</f>
        <v>0.80690048817841498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45519</v>
      </c>
      <c r="Q158">
        <f ca="1"/>
        <v>3.6923840548053781</v>
      </c>
      <c r="R158">
        <f ca="1"/>
        <v>0</v>
      </c>
      <c r="S158">
        <f ca="1"/>
        <v>-2.5101446158903684</v>
      </c>
      <c r="T158">
        <f ca="1"/>
        <v>0.833455383177098</v>
      </c>
      <c r="U158">
        <f ca="1"/>
        <v>0</v>
      </c>
      <c r="V158">
        <f ca="1"/>
        <v>0</v>
      </c>
      <c r="W158">
        <f ca="1"/>
        <v>0</v>
      </c>
      <c r="X158">
        <f ca="1"/>
        <v>5.0297611619910055E-3</v>
      </c>
      <c r="Y158">
        <f ca="1"/>
        <v>1</v>
      </c>
      <c r="Z158">
        <f ca="1"/>
        <v>0.2984162316246568</v>
      </c>
      <c r="AA158">
        <f ca="1"/>
        <v>0</v>
      </c>
      <c r="AB158">
        <f ca="1"/>
        <v>0</v>
      </c>
      <c r="AD158" s="2">
        <f t="shared" ca="1" si="22"/>
        <v>45519</v>
      </c>
      <c r="AE158">
        <f t="shared" ca="1" si="23"/>
        <v>0</v>
      </c>
      <c r="AG158" s="63">
        <f t="shared" ca="1" si="27"/>
        <v>3.6974138159673693</v>
      </c>
      <c r="AH158" s="63">
        <f t="shared" ca="1" si="28"/>
        <v>3.6974138159673693</v>
      </c>
      <c r="AI158" s="3">
        <f t="shared" ca="1" si="29"/>
        <v>0</v>
      </c>
    </row>
    <row r="159" spans="7:35">
      <c r="G159" s="3">
        <f t="shared" ca="1" si="24"/>
        <v>184</v>
      </c>
      <c r="H159" s="95">
        <f t="shared" ca="1" si="26"/>
        <v>45474</v>
      </c>
      <c r="I159" s="119">
        <f ca="1">HLOOKUP($H$5,'Met Data'!$A$2:$F$368,G159,FALSE)</f>
        <v>8.2249999999999996</v>
      </c>
      <c r="J159" s="119">
        <f ca="1">HLOOKUP($H$5,'Met Data'!$H$2:$M$368,G159,FALSE)*L159</f>
        <v>0.83333333333333304</v>
      </c>
      <c r="K159" s="96">
        <f ca="1">HLOOKUP($H$5,'Met Data'!$O$2:$T$368,G159,FALSE)</f>
        <v>1.0149186441071101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45520</v>
      </c>
      <c r="Q159">
        <f ca="1"/>
        <v>2.0846672927523975</v>
      </c>
      <c r="R159">
        <f ca="1"/>
        <v>0</v>
      </c>
      <c r="S159">
        <f ca="1"/>
        <v>-2.3845321574229672</v>
      </c>
      <c r="T159">
        <f ca="1"/>
        <v>0.82657094253907715</v>
      </c>
      <c r="U159">
        <f ca="1"/>
        <v>0</v>
      </c>
      <c r="V159">
        <f ca="1"/>
        <v>0</v>
      </c>
      <c r="W159">
        <f ca="1"/>
        <v>0</v>
      </c>
      <c r="X159">
        <f ca="1"/>
        <v>4.9755547169090752E-2</v>
      </c>
      <c r="Y159">
        <f ca="1"/>
        <v>1</v>
      </c>
      <c r="Z159">
        <f ca="1"/>
        <v>5.2286154223918473</v>
      </c>
      <c r="AA159">
        <f ca="1"/>
        <v>0</v>
      </c>
      <c r="AB159">
        <f ca="1"/>
        <v>0</v>
      </c>
      <c r="AD159" s="2">
        <f t="shared" ca="1" si="22"/>
        <v>45520</v>
      </c>
      <c r="AE159">
        <f t="shared" ca="1" si="23"/>
        <v>0</v>
      </c>
      <c r="AG159" s="63">
        <f t="shared" ca="1" si="27"/>
        <v>2.1344228399214882</v>
      </c>
      <c r="AH159" s="63">
        <f t="shared" ca="1" si="28"/>
        <v>2.1344228399214882</v>
      </c>
      <c r="AI159" s="3">
        <f t="shared" ca="1" si="29"/>
        <v>0</v>
      </c>
    </row>
    <row r="160" spans="7:35">
      <c r="G160" s="3">
        <f t="shared" ca="1" si="24"/>
        <v>185</v>
      </c>
      <c r="H160" s="95">
        <f t="shared" ca="1" si="26"/>
        <v>45475</v>
      </c>
      <c r="I160" s="119">
        <f ca="1">HLOOKUP($H$5,'Met Data'!$A$2:$F$368,G160,FALSE)</f>
        <v>8.8333333333333304</v>
      </c>
      <c r="J160" s="119">
        <f ca="1">HLOOKUP($H$5,'Met Data'!$H$2:$M$368,G160,FALSE)*L160</f>
        <v>3.5666666666666602</v>
      </c>
      <c r="K160" s="96">
        <f ca="1">HLOOKUP($H$5,'Met Data'!$O$2:$T$368,G160,FALSE)</f>
        <v>0.89125379504041602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45521</v>
      </c>
      <c r="Q160">
        <f ca="1"/>
        <v>0.72867681410311058</v>
      </c>
      <c r="R160">
        <f ca="1"/>
        <v>0</v>
      </c>
      <c r="S160">
        <f ca="1"/>
        <v>-2.1132628874573243</v>
      </c>
      <c r="T160">
        <f ca="1"/>
        <v>0.76363223781785927</v>
      </c>
      <c r="U160">
        <f ca="1"/>
        <v>0</v>
      </c>
      <c r="V160">
        <f ca="1"/>
        <v>0</v>
      </c>
      <c r="W160">
        <f ca="1"/>
        <v>0</v>
      </c>
      <c r="X160">
        <f ca="1"/>
        <v>6.3598290098218976E-3</v>
      </c>
      <c r="Y160">
        <f ca="1"/>
        <v>1</v>
      </c>
      <c r="Z160">
        <f ca="1"/>
        <v>1.9120200148195678</v>
      </c>
      <c r="AA160">
        <f ca="1"/>
        <v>0</v>
      </c>
      <c r="AB160">
        <f ca="1"/>
        <v>0</v>
      </c>
      <c r="AD160" s="2">
        <f t="shared" ca="1" si="22"/>
        <v>45521</v>
      </c>
      <c r="AE160">
        <f t="shared" ca="1" si="23"/>
        <v>0</v>
      </c>
      <c r="AG160" s="63">
        <f t="shared" ca="1" si="27"/>
        <v>0.73503664311293249</v>
      </c>
      <c r="AH160" s="63">
        <f t="shared" ca="1" si="28"/>
        <v>0.73503664311293249</v>
      </c>
      <c r="AI160" s="3">
        <f t="shared" ca="1" si="29"/>
        <v>0</v>
      </c>
    </row>
    <row r="161" spans="7:35">
      <c r="G161" s="3">
        <f t="shared" ca="1" si="24"/>
        <v>186</v>
      </c>
      <c r="H161" s="95">
        <f t="shared" ca="1" si="26"/>
        <v>45476</v>
      </c>
      <c r="I161" s="119">
        <f ca="1">HLOOKUP($H$5,'Met Data'!$A$2:$F$368,G161,FALSE)</f>
        <v>8.6</v>
      </c>
      <c r="J161" s="119">
        <f ca="1">HLOOKUP($H$5,'Met Data'!$H$2:$M$368,G161,FALSE)*L161</f>
        <v>0.73333333333333295</v>
      </c>
      <c r="K161" s="96">
        <f ca="1">HLOOKUP($H$5,'Met Data'!$O$2:$T$368,G161,FALSE)</f>
        <v>0.87224086772784204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45522</v>
      </c>
      <c r="Q161">
        <f ca="1"/>
        <v>-0.62088400558132495</v>
      </c>
      <c r="R161">
        <f ca="1"/>
        <v>0</v>
      </c>
      <c r="S161">
        <f ca="1"/>
        <v>-2.1651924879141973</v>
      </c>
      <c r="T161">
        <f ca="1"/>
        <v>0.81563166822976174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1</v>
      </c>
      <c r="Z161">
        <f ca="1"/>
        <v>0.57240704758539351</v>
      </c>
      <c r="AA161">
        <f ca="1"/>
        <v>0</v>
      </c>
      <c r="AB161">
        <f ca="1"/>
        <v>0</v>
      </c>
      <c r="AD161" s="2">
        <f t="shared" ca="1" si="22"/>
        <v>45522</v>
      </c>
      <c r="AE161">
        <f t="shared" ca="1" si="23"/>
        <v>0</v>
      </c>
      <c r="AG161" s="63">
        <f t="shared" ca="1" si="27"/>
        <v>-0.62088400558132495</v>
      </c>
      <c r="AH161" s="63">
        <f t="shared" ca="1" si="28"/>
        <v>-0.62088400558132495</v>
      </c>
      <c r="AI161" s="3">
        <f t="shared" ca="1" si="29"/>
        <v>0</v>
      </c>
    </row>
    <row r="162" spans="7:35">
      <c r="G162" s="3">
        <f t="shared" ca="1" si="24"/>
        <v>187</v>
      </c>
      <c r="H162" s="95">
        <f t="shared" ca="1" si="26"/>
        <v>45477</v>
      </c>
      <c r="I162" s="119">
        <f ca="1">HLOOKUP($H$5,'Met Data'!$A$2:$F$368,G162,FALSE)</f>
        <v>9.4</v>
      </c>
      <c r="J162" s="119">
        <f ca="1">HLOOKUP($H$5,'Met Data'!$H$2:$M$368,G162,FALSE)*L162</f>
        <v>9.9999999999999895E-2</v>
      </c>
      <c r="K162" s="96">
        <f ca="1">HLOOKUP($H$5,'Met Data'!$O$2:$T$368,G162,FALSE)</f>
        <v>0.96939333533810901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45523</v>
      </c>
      <c r="Q162">
        <f ca="1"/>
        <v>-1.8514482744049947</v>
      </c>
      <c r="R162">
        <f ca="1"/>
        <v>0</v>
      </c>
      <c r="S162">
        <f ca="1"/>
        <v>-2.0279469882598846</v>
      </c>
      <c r="T162">
        <f ca="1"/>
        <v>0.79738271943621475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1</v>
      </c>
      <c r="Z162">
        <f ca="1"/>
        <v>2.2077225249515067</v>
      </c>
      <c r="AA162">
        <f ca="1"/>
        <v>0</v>
      </c>
      <c r="AB162">
        <f ca="1"/>
        <v>7.8395947962074629E-3</v>
      </c>
      <c r="AD162" s="2">
        <f t="shared" ca="1" si="22"/>
        <v>45523</v>
      </c>
      <c r="AE162">
        <f t="shared" ca="1" si="23"/>
        <v>0</v>
      </c>
      <c r="AG162" s="63">
        <f t="shared" ca="1" si="27"/>
        <v>-1.8514482744049947</v>
      </c>
      <c r="AH162" s="63">
        <f t="shared" ca="1" si="28"/>
        <v>-1.8514482744049947</v>
      </c>
      <c r="AI162" s="3">
        <f t="shared" ca="1" si="29"/>
        <v>0</v>
      </c>
    </row>
    <row r="163" spans="7:35">
      <c r="G163" s="3">
        <f t="shared" ca="1" si="24"/>
        <v>188</v>
      </c>
      <c r="H163" s="95">
        <f t="shared" ca="1" si="26"/>
        <v>45478</v>
      </c>
      <c r="I163" s="119">
        <f ca="1">HLOOKUP($H$5,'Met Data'!$A$2:$F$368,G163,FALSE)</f>
        <v>9.12083333333333</v>
      </c>
      <c r="J163" s="119">
        <f ca="1">HLOOKUP($H$5,'Met Data'!$H$2:$M$368,G163,FALSE)*L163</f>
        <v>2.18333333333333</v>
      </c>
      <c r="K163" s="96">
        <f ca="1">HLOOKUP($H$5,'Met Data'!$O$2:$T$368,G163,FALSE)</f>
        <v>0.851628840058262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45524</v>
      </c>
      <c r="Q163">
        <f ca="1"/>
        <v>-3.0551487653860394</v>
      </c>
      <c r="R163">
        <f ca="1"/>
        <v>0</v>
      </c>
      <c r="S163">
        <f ca="1"/>
        <v>-2.0430363614229208</v>
      </c>
      <c r="T163">
        <f ca="1"/>
        <v>0.83933587044187596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1</v>
      </c>
      <c r="Z163">
        <f ca="1"/>
        <v>0.66201845026684225</v>
      </c>
      <c r="AA163">
        <f ca="1"/>
        <v>0</v>
      </c>
      <c r="AB163">
        <f ca="1"/>
        <v>9.2615695614509021E-3</v>
      </c>
      <c r="AD163" s="2">
        <f t="shared" ca="1" si="22"/>
        <v>45524</v>
      </c>
      <c r="AE163">
        <f t="shared" ca="1" si="23"/>
        <v>0</v>
      </c>
      <c r="AG163" s="63">
        <f t="shared" ca="1" si="27"/>
        <v>-3.0551487653860394</v>
      </c>
      <c r="AH163" s="63">
        <f t="shared" ca="1" si="28"/>
        <v>-3.0551487653860394</v>
      </c>
      <c r="AI163" s="3">
        <f t="shared" ca="1" si="29"/>
        <v>0</v>
      </c>
    </row>
    <row r="164" spans="7:35">
      <c r="G164" s="3">
        <f t="shared" ca="1" si="24"/>
        <v>189</v>
      </c>
      <c r="H164" s="95">
        <f t="shared" ca="1" si="26"/>
        <v>45479</v>
      </c>
      <c r="I164" s="119">
        <f ca="1">HLOOKUP($H$5,'Met Data'!$A$2:$F$368,G164,FALSE)</f>
        <v>9.6583333333333297</v>
      </c>
      <c r="J164" s="119">
        <f ca="1">HLOOKUP($H$5,'Met Data'!$H$2:$M$368,G164,FALSE)*L164</f>
        <v>4.5666666666666602</v>
      </c>
      <c r="K164" s="96">
        <f ca="1">HLOOKUP($H$5,'Met Data'!$O$2:$T$368,G164,FALSE)</f>
        <v>0.80851868655974801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45525</v>
      </c>
      <c r="Q164">
        <f ca="1"/>
        <v>-4.1418355400798035</v>
      </c>
      <c r="R164">
        <f ca="1"/>
        <v>0</v>
      </c>
      <c r="S164">
        <f ca="1"/>
        <v>-1.9053856905445201</v>
      </c>
      <c r="T164">
        <f ca="1"/>
        <v>0.81869891585075616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1</v>
      </c>
      <c r="Z164">
        <f ca="1"/>
        <v>2.7903834843362318</v>
      </c>
      <c r="AA164">
        <f ca="1"/>
        <v>0</v>
      </c>
      <c r="AB164">
        <f ca="1"/>
        <v>1.0892182721319687E-2</v>
      </c>
      <c r="AD164" s="2">
        <f t="shared" ca="1" si="22"/>
        <v>45525</v>
      </c>
      <c r="AE164">
        <f t="shared" ca="1" si="23"/>
        <v>0</v>
      </c>
      <c r="AG164" s="63">
        <f t="shared" ca="1" si="27"/>
        <v>-4.1418355400798035</v>
      </c>
      <c r="AH164" s="63">
        <f t="shared" ca="1" si="28"/>
        <v>-4.1418355400798035</v>
      </c>
      <c r="AI164" s="3">
        <f t="shared" ca="1" si="29"/>
        <v>0</v>
      </c>
    </row>
    <row r="165" spans="7:35">
      <c r="G165" s="3">
        <f t="shared" ca="1" si="24"/>
        <v>190</v>
      </c>
      <c r="H165" s="95">
        <f t="shared" ca="1" si="26"/>
        <v>45480</v>
      </c>
      <c r="I165" s="119">
        <f ca="1">HLOOKUP($H$5,'Met Data'!$A$2:$F$368,G165,FALSE)</f>
        <v>8.5291666666666597</v>
      </c>
      <c r="J165" s="119">
        <f ca="1">HLOOKUP($H$5,'Met Data'!$H$2:$M$368,G165,FALSE)*L165</f>
        <v>3.7833333333333301</v>
      </c>
      <c r="K165" s="96">
        <f ca="1">HLOOKUP($H$5,'Met Data'!$O$2:$T$368,G165,FALSE)</f>
        <v>1.09493770994468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45526</v>
      </c>
      <c r="Q165">
        <f ca="1"/>
        <v>-5.1508081853601393</v>
      </c>
      <c r="R165">
        <f ca="1"/>
        <v>0</v>
      </c>
      <c r="S165">
        <f ca="1"/>
        <v>-1.8324574903776067</v>
      </c>
      <c r="T165">
        <f ca="1"/>
        <v>0.8234848450972706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1</v>
      </c>
      <c r="Z165">
        <f ca="1"/>
        <v>4.0593681295796102E-2</v>
      </c>
      <c r="AA165">
        <f ca="1"/>
        <v>0</v>
      </c>
      <c r="AB165">
        <f ca="1"/>
        <v>1.2818869709148294E-2</v>
      </c>
      <c r="AD165" s="2">
        <f t="shared" ca="1" si="22"/>
        <v>45526</v>
      </c>
      <c r="AE165">
        <f t="shared" ca="1" si="23"/>
        <v>0</v>
      </c>
      <c r="AG165" s="63">
        <f t="shared" ca="1" si="27"/>
        <v>-5.1508081853601393</v>
      </c>
      <c r="AH165" s="63">
        <f t="shared" ca="1" si="28"/>
        <v>-5.1508081853601393</v>
      </c>
      <c r="AI165" s="3">
        <f t="shared" ca="1" si="29"/>
        <v>0</v>
      </c>
    </row>
    <row r="166" spans="7:35">
      <c r="G166" s="3">
        <f t="shared" ca="1" si="24"/>
        <v>191</v>
      </c>
      <c r="H166" s="95">
        <f t="shared" ca="1" si="26"/>
        <v>45481</v>
      </c>
      <c r="I166" s="119">
        <f ca="1">HLOOKUP($H$5,'Met Data'!$A$2:$F$368,G166,FALSE)</f>
        <v>8.1583333333333297</v>
      </c>
      <c r="J166" s="119">
        <f ca="1">HLOOKUP($H$5,'Met Data'!$H$2:$M$368,G166,FALSE)*L166</f>
        <v>4.18333333333333</v>
      </c>
      <c r="K166" s="96">
        <f ca="1">HLOOKUP($H$5,'Met Data'!$O$2:$T$368,G166,FALSE)</f>
        <v>0.89025740200721304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45527</v>
      </c>
      <c r="Q166">
        <f ca="1"/>
        <v>-6.1059382464347953</v>
      </c>
      <c r="R166">
        <f ca="1"/>
        <v>0</v>
      </c>
      <c r="S166">
        <f ca="1"/>
        <v>-1.8042090468409242</v>
      </c>
      <c r="T166">
        <f ca="1"/>
        <v>0.84907898576626806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0.97829616941121145</v>
      </c>
      <c r="Z166">
        <f ca="1"/>
        <v>0</v>
      </c>
      <c r="AA166">
        <f ca="1"/>
        <v>0</v>
      </c>
      <c r="AB166">
        <f ca="1"/>
        <v>1.5160173004718856E-2</v>
      </c>
      <c r="AD166" s="2">
        <f t="shared" ca="1" si="22"/>
        <v>45527</v>
      </c>
      <c r="AE166">
        <f t="shared" ca="1" si="23"/>
        <v>0</v>
      </c>
      <c r="AG166" s="63">
        <f t="shared" ca="1" si="27"/>
        <v>-6.1059382464347953</v>
      </c>
      <c r="AH166" s="63">
        <f t="shared" ca="1" si="28"/>
        <v>-6.1059382464347953</v>
      </c>
      <c r="AI166" s="3">
        <f t="shared" ca="1" si="29"/>
        <v>0</v>
      </c>
    </row>
    <row r="167" spans="7:35">
      <c r="G167" s="3">
        <f t="shared" ca="1" si="24"/>
        <v>192</v>
      </c>
      <c r="H167" s="95">
        <f t="shared" ca="1" si="26"/>
        <v>45482</v>
      </c>
      <c r="I167" s="119">
        <f ca="1">HLOOKUP($H$5,'Met Data'!$A$2:$F$368,G167,FALSE)</f>
        <v>8.24166666666666</v>
      </c>
      <c r="J167" s="119">
        <f ca="1">HLOOKUP($H$5,'Met Data'!$H$2:$M$368,G167,FALSE)*L167</f>
        <v>2.2666666666666599</v>
      </c>
      <c r="K167" s="96">
        <f ca="1">HLOOKUP($H$5,'Met Data'!$O$2:$T$368,G167,FALSE)</f>
        <v>1.06467045295546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45528</v>
      </c>
      <c r="Q167">
        <f ca="1"/>
        <v>-6.9640139231216374</v>
      </c>
      <c r="R167">
        <f ca="1"/>
        <v>0</v>
      </c>
      <c r="S167">
        <f ca="1"/>
        <v>-1.693257874390099</v>
      </c>
      <c r="T167">
        <f ca="1"/>
        <v>0.83518219770325652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0.99759819078969869</v>
      </c>
      <c r="Z167">
        <f ca="1"/>
        <v>0</v>
      </c>
      <c r="AA167">
        <f ca="1"/>
        <v>0</v>
      </c>
      <c r="AB167">
        <f ca="1"/>
        <v>1.7870937825482856E-2</v>
      </c>
      <c r="AD167" s="2">
        <f t="shared" ca="1" si="22"/>
        <v>45528</v>
      </c>
      <c r="AE167">
        <f t="shared" ca="1" si="23"/>
        <v>0</v>
      </c>
      <c r="AG167" s="63">
        <f t="shared" ca="1" si="27"/>
        <v>-6.9640139231216374</v>
      </c>
      <c r="AH167" s="63">
        <f t="shared" ca="1" si="28"/>
        <v>-6.9640139231216374</v>
      </c>
      <c r="AI167" s="3">
        <f t="shared" ca="1" si="29"/>
        <v>0</v>
      </c>
    </row>
    <row r="168" spans="7:35">
      <c r="G168" s="3">
        <f t="shared" ca="1" si="24"/>
        <v>193</v>
      </c>
      <c r="H168" s="95">
        <f t="shared" ca="1" si="26"/>
        <v>45483</v>
      </c>
      <c r="I168" s="119">
        <f ca="1">HLOOKUP($H$5,'Met Data'!$A$2:$F$368,G168,FALSE)</f>
        <v>8.0333333333333297</v>
      </c>
      <c r="J168" s="119">
        <f ca="1">HLOOKUP($H$5,'Met Data'!$H$2:$M$368,G168,FALSE)*L168</f>
        <v>4.6500000000000004</v>
      </c>
      <c r="K168" s="96">
        <f ca="1">HLOOKUP($H$5,'Met Data'!$O$2:$T$368,G168,FALSE)</f>
        <v>1.03430816091664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45529</v>
      </c>
      <c r="Q168">
        <f ca="1"/>
        <v>-7.8195409234298126</v>
      </c>
      <c r="R168">
        <f ca="1"/>
        <v>0</v>
      </c>
      <c r="S168">
        <f ca="1"/>
        <v>-1.7759287310094862</v>
      </c>
      <c r="T168">
        <f ca="1"/>
        <v>0.92040173070131137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1</v>
      </c>
      <c r="Z168">
        <f ca="1"/>
        <v>1.4505097224527788</v>
      </c>
      <c r="AA168">
        <f ca="1"/>
        <v>0</v>
      </c>
      <c r="AB168">
        <f ca="1"/>
        <v>2.1412152346225836E-2</v>
      </c>
      <c r="AD168" s="2">
        <f t="shared" ca="1" si="22"/>
        <v>45529</v>
      </c>
      <c r="AE168">
        <f t="shared" ca="1" si="23"/>
        <v>0</v>
      </c>
      <c r="AG168" s="63">
        <f t="shared" ca="1" si="27"/>
        <v>-7.8195409234298126</v>
      </c>
      <c r="AH168" s="63">
        <f t="shared" ca="1" si="28"/>
        <v>-7.8195409234298126</v>
      </c>
      <c r="AI168" s="3">
        <f t="shared" ca="1" si="29"/>
        <v>0</v>
      </c>
    </row>
    <row r="169" spans="7:35">
      <c r="G169" s="3">
        <f t="shared" ca="1" si="24"/>
        <v>194</v>
      </c>
      <c r="H169" s="95">
        <f t="shared" ca="1" si="26"/>
        <v>45484</v>
      </c>
      <c r="I169" s="119">
        <f ca="1">HLOOKUP($H$5,'Met Data'!$A$2:$F$368,G169,FALSE)</f>
        <v>8.37083333333333</v>
      </c>
      <c r="J169" s="119">
        <f ca="1">HLOOKUP($H$5,'Met Data'!$H$2:$M$368,G169,FALSE)*L169</f>
        <v>1.61666666666666</v>
      </c>
      <c r="K169" s="96">
        <f ca="1">HLOOKUP($H$5,'Met Data'!$O$2:$T$368,G169,FALSE)</f>
        <v>1.0039262064680501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45530</v>
      </c>
      <c r="Q169">
        <f ca="1"/>
        <v>-8.5867434350103178</v>
      </c>
      <c r="R169">
        <f ca="1"/>
        <v>0</v>
      </c>
      <c r="S169">
        <f ca="1"/>
        <v>-1.6909164227906643</v>
      </c>
      <c r="T169">
        <f ca="1"/>
        <v>0.92371391121015833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0.98849971538888204</v>
      </c>
      <c r="Z169">
        <f ca="1"/>
        <v>0</v>
      </c>
      <c r="AA169">
        <f ca="1"/>
        <v>0</v>
      </c>
      <c r="AB169">
        <f ca="1"/>
        <v>2.5652881805285702E-2</v>
      </c>
      <c r="AD169" s="2">
        <f t="shared" ca="1" si="22"/>
        <v>45530</v>
      </c>
      <c r="AE169">
        <f t="shared" ca="1" si="23"/>
        <v>0</v>
      </c>
      <c r="AG169" s="63">
        <f t="shared" ca="1" si="27"/>
        <v>-8.5867434350103178</v>
      </c>
      <c r="AH169" s="63">
        <f t="shared" ca="1" si="28"/>
        <v>-8.5867434350103178</v>
      </c>
      <c r="AI169" s="3">
        <f t="shared" ca="1" si="29"/>
        <v>0</v>
      </c>
    </row>
    <row r="170" spans="7:35">
      <c r="G170" s="3">
        <f t="shared" ca="1" si="24"/>
        <v>195</v>
      </c>
      <c r="H170" s="95">
        <f t="shared" ca="1" si="26"/>
        <v>45485</v>
      </c>
      <c r="I170" s="119">
        <f ca="1">HLOOKUP($H$5,'Met Data'!$A$2:$F$368,G170,FALSE)</f>
        <v>8.0916666666666597</v>
      </c>
      <c r="J170" s="119">
        <f ca="1">HLOOKUP($H$5,'Met Data'!$H$2:$M$368,G170,FALSE)*L170</f>
        <v>5.0666666666666602</v>
      </c>
      <c r="K170" s="96">
        <f ca="1">HLOOKUP($H$5,'Met Data'!$O$2:$T$368,G170,FALSE)</f>
        <v>0.87492032925951801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45531</v>
      </c>
      <c r="Q170">
        <f ca="1"/>
        <v>-9.2861670644363326</v>
      </c>
      <c r="R170">
        <f ca="1"/>
        <v>0</v>
      </c>
      <c r="S170">
        <f ca="1"/>
        <v>-1.6525344346008666</v>
      </c>
      <c r="T170">
        <f ca="1"/>
        <v>0.95311080517485169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0.9936069029469321</v>
      </c>
      <c r="Z170">
        <f ca="1"/>
        <v>0</v>
      </c>
      <c r="AA170">
        <f ca="1"/>
        <v>0</v>
      </c>
      <c r="AB170">
        <f ca="1"/>
        <v>3.0876169662345417E-2</v>
      </c>
      <c r="AD170" s="2">
        <f t="shared" ca="1" si="22"/>
        <v>45531</v>
      </c>
      <c r="AE170">
        <f t="shared" ca="1" si="23"/>
        <v>0</v>
      </c>
      <c r="AG170" s="63">
        <f t="shared" ca="1" si="27"/>
        <v>-9.2861670644363326</v>
      </c>
      <c r="AH170" s="63">
        <f t="shared" ca="1" si="28"/>
        <v>-9.2861670644363326</v>
      </c>
      <c r="AI170" s="3">
        <f t="shared" ca="1" si="29"/>
        <v>0</v>
      </c>
    </row>
    <row r="171" spans="7:35">
      <c r="G171" s="3">
        <f t="shared" ca="1" si="24"/>
        <v>196</v>
      </c>
      <c r="H171" s="95">
        <f t="shared" ca="1" si="26"/>
        <v>45486</v>
      </c>
      <c r="I171" s="119">
        <f ca="1">HLOOKUP($H$5,'Met Data'!$A$2:$F$368,G171,FALSE)</f>
        <v>7.9156250000000004</v>
      </c>
      <c r="J171" s="119">
        <f ca="1">HLOOKUP($H$5,'Met Data'!$H$2:$M$368,G171,FALSE)*L171</f>
        <v>4.1666666666666599</v>
      </c>
      <c r="K171" s="96">
        <f ca="1">HLOOKUP($H$5,'Met Data'!$O$2:$T$368,G171,FALSE)</f>
        <v>0.80250527716076203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45532</v>
      </c>
      <c r="Q171">
        <f ca="1"/>
        <v>-9.8690173898138358</v>
      </c>
      <c r="R171">
        <f ca="1"/>
        <v>0</v>
      </c>
      <c r="S171">
        <f ca="1"/>
        <v>-1.4911716896790779</v>
      </c>
      <c r="T171">
        <f ca="1"/>
        <v>0.9083213643015754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1</v>
      </c>
      <c r="Z171">
        <f ca="1"/>
        <v>1.1742120197456742</v>
      </c>
      <c r="AA171">
        <f ca="1"/>
        <v>0</v>
      </c>
      <c r="AB171">
        <f ca="1"/>
        <v>3.6813635626947269E-2</v>
      </c>
      <c r="AD171" s="2">
        <f t="shared" ca="1" si="22"/>
        <v>45532</v>
      </c>
      <c r="AE171">
        <f t="shared" ca="1" si="23"/>
        <v>0</v>
      </c>
      <c r="AG171" s="63">
        <f t="shared" ca="1" si="27"/>
        <v>-9.8690173898138358</v>
      </c>
      <c r="AH171" s="63">
        <f t="shared" ca="1" si="28"/>
        <v>-9.8690173898138358</v>
      </c>
      <c r="AI171" s="3">
        <f t="shared" ca="1" si="29"/>
        <v>0</v>
      </c>
    </row>
    <row r="172" spans="7:35">
      <c r="G172" s="3">
        <f t="shared" ca="1" si="24"/>
        <v>197</v>
      </c>
      <c r="H172" s="95">
        <f t="shared" ca="1" si="26"/>
        <v>45487</v>
      </c>
      <c r="I172" s="119">
        <f ca="1">HLOOKUP($H$5,'Met Data'!$A$2:$F$368,G172,FALSE)</f>
        <v>8.8590909090909093</v>
      </c>
      <c r="J172" s="119">
        <f ca="1">HLOOKUP($H$5,'Met Data'!$H$2:$M$368,G172,FALSE)*L172</f>
        <v>2.0666666666666602</v>
      </c>
      <c r="K172" s="96">
        <f ca="1">HLOOKUP($H$5,'Met Data'!$O$2:$T$368,G172,FALSE)</f>
        <v>0.97822362204517799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45533</v>
      </c>
      <c r="Q172">
        <f ca="1"/>
        <v>-10.398007940019056</v>
      </c>
      <c r="R172">
        <f ca="1"/>
        <v>0</v>
      </c>
      <c r="S172">
        <f ca="1"/>
        <v>-1.4854872741190945</v>
      </c>
      <c r="T172">
        <f ca="1"/>
        <v>0.95649672391387364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0.99608193388153721</v>
      </c>
      <c r="Z172">
        <f ca="1"/>
        <v>0</v>
      </c>
      <c r="AA172">
        <f ca="1"/>
        <v>0</v>
      </c>
      <c r="AB172">
        <f ca="1"/>
        <v>4.4233577673193379E-2</v>
      </c>
      <c r="AD172" s="2">
        <f t="shared" ca="1" si="22"/>
        <v>45533</v>
      </c>
      <c r="AE172">
        <f t="shared" ca="1" si="23"/>
        <v>0</v>
      </c>
      <c r="AG172" s="63">
        <f t="shared" ca="1" si="27"/>
        <v>-10.398007940019056</v>
      </c>
      <c r="AH172" s="63">
        <f t="shared" ca="1" si="28"/>
        <v>-10.398007940019056</v>
      </c>
      <c r="AI172" s="3">
        <f t="shared" ca="1" si="29"/>
        <v>0</v>
      </c>
    </row>
    <row r="173" spans="7:35">
      <c r="G173" s="3">
        <f t="shared" ca="1" si="24"/>
        <v>198</v>
      </c>
      <c r="H173" s="95">
        <f t="shared" ca="1" si="26"/>
        <v>45488</v>
      </c>
      <c r="I173" s="119">
        <f ca="1">HLOOKUP($H$5,'Met Data'!$A$2:$F$368,G173,FALSE)</f>
        <v>8.8590909090909093</v>
      </c>
      <c r="J173" s="119">
        <f ca="1">HLOOKUP($H$5,'Met Data'!$H$2:$M$368,G173,FALSE)*L173</f>
        <v>6.0666666666666602</v>
      </c>
      <c r="K173" s="96">
        <f ca="1">HLOOKUP($H$5,'Met Data'!$O$2:$T$368,G173,FALSE)</f>
        <v>0.78802331007485205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45534</v>
      </c>
      <c r="Q173">
        <f ca="1"/>
        <v>-10.826310859144561</v>
      </c>
      <c r="R173">
        <f ca="1"/>
        <v>0</v>
      </c>
      <c r="S173">
        <f ca="1"/>
        <v>-1.3443001044104506</v>
      </c>
      <c r="T173">
        <f ca="1"/>
        <v>0.91599718528494578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0.99483248090820886</v>
      </c>
      <c r="Z173">
        <f ca="1"/>
        <v>0</v>
      </c>
      <c r="AA173">
        <f ca="1"/>
        <v>0</v>
      </c>
      <c r="AB173">
        <f ca="1"/>
        <v>5.2675326973447234E-2</v>
      </c>
      <c r="AD173" s="2">
        <f t="shared" ca="1" si="22"/>
        <v>45534</v>
      </c>
      <c r="AE173">
        <f t="shared" ca="1" si="23"/>
        <v>0</v>
      </c>
      <c r="AG173" s="63">
        <f t="shared" ca="1" si="27"/>
        <v>-10.826310859144561</v>
      </c>
      <c r="AH173" s="63">
        <f t="shared" ca="1" si="28"/>
        <v>-10.826310859144561</v>
      </c>
      <c r="AI173" s="3">
        <f t="shared" ca="1" si="29"/>
        <v>0</v>
      </c>
    </row>
    <row r="174" spans="7:35">
      <c r="G174" s="3">
        <f t="shared" ca="1" si="24"/>
        <v>199</v>
      </c>
      <c r="H174" s="95">
        <f t="shared" ca="1" si="26"/>
        <v>45489</v>
      </c>
      <c r="I174" s="119">
        <f ca="1">HLOOKUP($H$5,'Met Data'!$A$2:$F$368,G174,FALSE)</f>
        <v>9.5909090909090899</v>
      </c>
      <c r="J174" s="119">
        <f ca="1">HLOOKUP($H$5,'Met Data'!$H$2:$M$368,G174,FALSE)*L174</f>
        <v>4.5999999999999996</v>
      </c>
      <c r="K174" s="96">
        <f ca="1">HLOOKUP($H$5,'Met Data'!$O$2:$T$368,G174,FALSE)</f>
        <v>0.944748845250029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45535</v>
      </c>
      <c r="Q174">
        <f ca="1"/>
        <v>-11.164533825498648</v>
      </c>
      <c r="R174">
        <f ca="1"/>
        <v>0</v>
      </c>
      <c r="S174">
        <f ca="1"/>
        <v>-1.2070037635542548</v>
      </c>
      <c r="T174">
        <f ca="1"/>
        <v>0.8687807972001681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0.9763934831236436</v>
      </c>
      <c r="Z174">
        <f ca="1"/>
        <v>0</v>
      </c>
      <c r="AA174">
        <f ca="1"/>
        <v>0</v>
      </c>
      <c r="AB174">
        <f ca="1"/>
        <v>6.2073532846470304E-2</v>
      </c>
      <c r="AD174" s="2">
        <f t="shared" ca="1" si="22"/>
        <v>45535</v>
      </c>
      <c r="AE174">
        <f t="shared" ca="1" si="23"/>
        <v>0</v>
      </c>
      <c r="AG174" s="63">
        <f t="shared" ca="1" si="27"/>
        <v>-11.164533825498648</v>
      </c>
      <c r="AH174" s="63">
        <f t="shared" ca="1" si="28"/>
        <v>-11.164533825498648</v>
      </c>
      <c r="AI174" s="3">
        <f t="shared" ca="1" si="29"/>
        <v>0</v>
      </c>
    </row>
    <row r="175" spans="7:35">
      <c r="G175" s="3">
        <f t="shared" ca="1" si="24"/>
        <v>200</v>
      </c>
      <c r="H175" s="95">
        <f t="shared" ca="1" si="26"/>
        <v>45490</v>
      </c>
      <c r="I175" s="119">
        <f ca="1">HLOOKUP($H$5,'Met Data'!$A$2:$F$368,G175,FALSE)</f>
        <v>8.8450000000000006</v>
      </c>
      <c r="J175" s="119">
        <f ca="1">HLOOKUP($H$5,'Met Data'!$H$2:$M$368,G175,FALSE)*L175</f>
        <v>1.1000000000000001</v>
      </c>
      <c r="K175" s="96">
        <f ca="1">HLOOKUP($H$5,'Met Data'!$O$2:$T$368,G175,FALSE)</f>
        <v>1.0240187106181899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45536</v>
      </c>
      <c r="Q175">
        <f ca="1"/>
        <v>-11.42824255553349</v>
      </c>
      <c r="R175">
        <f ca="1"/>
        <v>0</v>
      </c>
      <c r="S175">
        <f ca="1"/>
        <v>-1.0940615986045543</v>
      </c>
      <c r="T175">
        <f ca="1"/>
        <v>0.83035286856971202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1</v>
      </c>
      <c r="Z175">
        <f ca="1"/>
        <v>0.38861968790997281</v>
      </c>
      <c r="AA175">
        <f ca="1"/>
        <v>0</v>
      </c>
      <c r="AB175">
        <f ca="1"/>
        <v>7.2487290275453642E-2</v>
      </c>
      <c r="AD175" s="2">
        <f t="shared" ca="1" si="22"/>
        <v>45536</v>
      </c>
      <c r="AE175">
        <f t="shared" ca="1" si="23"/>
        <v>0</v>
      </c>
      <c r="AG175" s="63">
        <f t="shared" ca="1" si="27"/>
        <v>-11.42824255553349</v>
      </c>
      <c r="AH175" s="63">
        <f t="shared" ca="1" si="28"/>
        <v>-11.42824255553349</v>
      </c>
      <c r="AI175" s="3">
        <f t="shared" ca="1" si="29"/>
        <v>0</v>
      </c>
    </row>
    <row r="176" spans="7:35">
      <c r="G176" s="3">
        <f t="shared" ca="1" si="24"/>
        <v>201</v>
      </c>
      <c r="H176" s="95">
        <f t="shared" ca="1" si="26"/>
        <v>45491</v>
      </c>
      <c r="I176" s="119">
        <f ca="1">HLOOKUP($H$5,'Met Data'!$A$2:$F$368,G176,FALSE)</f>
        <v>8.99166666666666</v>
      </c>
      <c r="J176" s="119">
        <f ca="1">HLOOKUP($H$5,'Met Data'!$H$2:$M$368,G176,FALSE)*L176</f>
        <v>1.3499999999999901</v>
      </c>
      <c r="K176" s="96">
        <f ca="1">HLOOKUP($H$5,'Met Data'!$O$2:$T$368,G176,FALSE)</f>
        <v>1.16174529470798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45537</v>
      </c>
      <c r="Q176">
        <f ca="1"/>
        <v>-11.637511016811377</v>
      </c>
      <c r="R176">
        <f ca="1"/>
        <v>0</v>
      </c>
      <c r="S176">
        <f ca="1"/>
        <v>-1.0472183120543548</v>
      </c>
      <c r="T176">
        <f ca="1"/>
        <v>0.83794985077646778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0.98750025082441928</v>
      </c>
      <c r="Z176">
        <f ca="1"/>
        <v>0</v>
      </c>
      <c r="AA176">
        <f ca="1"/>
        <v>0</v>
      </c>
      <c r="AB176">
        <f ca="1"/>
        <v>8.4612814118233889E-2</v>
      </c>
      <c r="AD176" s="2">
        <f t="shared" ca="1" si="22"/>
        <v>45537</v>
      </c>
      <c r="AE176">
        <f t="shared" ca="1" si="23"/>
        <v>0</v>
      </c>
      <c r="AG176" s="63">
        <f t="shared" ca="1" si="27"/>
        <v>-11.637511016811377</v>
      </c>
      <c r="AH176" s="63">
        <f t="shared" ca="1" si="28"/>
        <v>-11.637511016811377</v>
      </c>
      <c r="AI176" s="3">
        <f t="shared" ca="1" si="29"/>
        <v>0</v>
      </c>
    </row>
    <row r="177" spans="7:35">
      <c r="G177" s="3">
        <f t="shared" ca="1" si="24"/>
        <v>202</v>
      </c>
      <c r="H177" s="95">
        <f t="shared" ca="1" si="26"/>
        <v>45492</v>
      </c>
      <c r="I177" s="119">
        <f ca="1">HLOOKUP($H$5,'Met Data'!$A$2:$F$368,G177,FALSE)</f>
        <v>9.5</v>
      </c>
      <c r="J177" s="119">
        <f ca="1">HLOOKUP($H$5,'Met Data'!$H$2:$M$368,G177,FALSE)*L177</f>
        <v>2.75</v>
      </c>
      <c r="K177" s="96">
        <f ca="1">HLOOKUP($H$5,'Met Data'!$O$2:$T$368,G177,FALSE)</f>
        <v>0.94669865516537999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45538</v>
      </c>
      <c r="Q177">
        <f ca="1"/>
        <v>-11.795590201110565</v>
      </c>
      <c r="R177">
        <f ca="1"/>
        <v>0</v>
      </c>
      <c r="S177">
        <f ca="1"/>
        <v>-1.0215544800865786</v>
      </c>
      <c r="T177">
        <f ca="1"/>
        <v>0.86347529578739046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0.99990340742411632</v>
      </c>
      <c r="Z177">
        <f ca="1"/>
        <v>0</v>
      </c>
      <c r="AA177">
        <f ca="1"/>
        <v>0</v>
      </c>
      <c r="AB177">
        <f ca="1"/>
        <v>9.9017078987153395E-2</v>
      </c>
      <c r="AD177" s="2">
        <f t="shared" ca="1" si="22"/>
        <v>45538</v>
      </c>
      <c r="AE177">
        <f t="shared" ca="1" si="23"/>
        <v>0</v>
      </c>
      <c r="AG177" s="63">
        <f t="shared" ca="1" si="27"/>
        <v>-11.795590201110565</v>
      </c>
      <c r="AH177" s="63">
        <f t="shared" ca="1" si="28"/>
        <v>-11.795590201110565</v>
      </c>
      <c r="AI177" s="3">
        <f t="shared" ca="1" si="29"/>
        <v>0</v>
      </c>
    </row>
    <row r="178" spans="7:35">
      <c r="G178" s="3">
        <f t="shared" ca="1" si="24"/>
        <v>203</v>
      </c>
      <c r="H178" s="95">
        <f t="shared" ca="1" si="26"/>
        <v>45493</v>
      </c>
      <c r="I178" s="119">
        <f ca="1">HLOOKUP($H$5,'Met Data'!$A$2:$F$368,G178,FALSE)</f>
        <v>9.8333333333333304</v>
      </c>
      <c r="J178" s="119">
        <f ca="1">HLOOKUP($H$5,'Met Data'!$H$2:$M$368,G178,FALSE)*L178</f>
        <v>3.6333333333333302</v>
      </c>
      <c r="K178" s="96">
        <f ca="1">HLOOKUP($H$5,'Met Data'!$O$2:$T$368,G178,FALSE)</f>
        <v>1.0815395194790001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45539</v>
      </c>
      <c r="Q178">
        <f ca="1"/>
        <v>-11.895340997975943</v>
      </c>
      <c r="R178">
        <f ca="1"/>
        <v>0</v>
      </c>
      <c r="S178">
        <f ca="1"/>
        <v>-0.93943340074596904</v>
      </c>
      <c r="T178">
        <f ca="1"/>
        <v>0.83968260388059235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1</v>
      </c>
      <c r="Z178">
        <f ca="1"/>
        <v>1.6957125258558676</v>
      </c>
      <c r="AA178">
        <f ca="1"/>
        <v>0</v>
      </c>
      <c r="AB178">
        <f ca="1"/>
        <v>0.1150665655345464</v>
      </c>
      <c r="AD178" s="2">
        <f t="shared" ca="1" si="22"/>
        <v>45539</v>
      </c>
      <c r="AE178">
        <f t="shared" ca="1" si="23"/>
        <v>0</v>
      </c>
      <c r="AG178" s="63">
        <f t="shared" ca="1" si="27"/>
        <v>-11.895340997975943</v>
      </c>
      <c r="AH178" s="63">
        <f t="shared" ca="1" si="28"/>
        <v>-11.895340997975943</v>
      </c>
      <c r="AI178" s="3">
        <f t="shared" ca="1" si="29"/>
        <v>0</v>
      </c>
    </row>
    <row r="179" spans="7:35">
      <c r="G179" s="3">
        <f t="shared" ca="1" si="24"/>
        <v>204</v>
      </c>
      <c r="H179" s="95">
        <f t="shared" ca="1" si="26"/>
        <v>45494</v>
      </c>
      <c r="I179" s="119">
        <f ca="1">HLOOKUP($H$5,'Met Data'!$A$2:$F$368,G179,FALSE)</f>
        <v>10.029166666666599</v>
      </c>
      <c r="J179" s="119">
        <f ca="1">HLOOKUP($H$5,'Met Data'!$H$2:$M$368,G179,FALSE)*L179</f>
        <v>4.68333333333333</v>
      </c>
      <c r="K179" s="96">
        <f ca="1">HLOOKUP($H$5,'Met Data'!$O$2:$T$368,G179,FALSE)</f>
        <v>1.0771273773513399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45540</v>
      </c>
      <c r="Q179">
        <f ca="1"/>
        <v>-11.945085115856175</v>
      </c>
      <c r="R179">
        <f ca="1"/>
        <v>0</v>
      </c>
      <c r="S179">
        <f ca="1"/>
        <v>-0.93671850976843984</v>
      </c>
      <c r="T179">
        <f ca="1"/>
        <v>0.88697439188820826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1</v>
      </c>
      <c r="Z179">
        <f ca="1"/>
        <v>4.4597669175513701</v>
      </c>
      <c r="AA179">
        <f ca="1"/>
        <v>0</v>
      </c>
      <c r="AB179">
        <f ca="1"/>
        <v>0.13444654772479447</v>
      </c>
      <c r="AD179" s="2">
        <f t="shared" ca="1" si="22"/>
        <v>45540</v>
      </c>
      <c r="AE179">
        <f t="shared" ca="1" si="23"/>
        <v>0</v>
      </c>
      <c r="AG179" s="63">
        <f t="shared" ca="1" si="27"/>
        <v>-11.945085115856175</v>
      </c>
      <c r="AH179" s="63">
        <f t="shared" ca="1" si="28"/>
        <v>-11.945085115856175</v>
      </c>
      <c r="AI179" s="3">
        <f t="shared" ca="1" si="29"/>
        <v>0</v>
      </c>
    </row>
    <row r="180" spans="7:35">
      <c r="G180" s="3">
        <f t="shared" ca="1" si="24"/>
        <v>205</v>
      </c>
      <c r="H180" s="95">
        <f t="shared" ca="1" si="26"/>
        <v>45495</v>
      </c>
      <c r="I180" s="119">
        <f ca="1">HLOOKUP($H$5,'Met Data'!$A$2:$F$368,G180,FALSE)</f>
        <v>9.4250000000000007</v>
      </c>
      <c r="J180" s="119">
        <f ca="1">HLOOKUP($H$5,'Met Data'!$H$2:$M$368,G180,FALSE)*L180</f>
        <v>5.2666666666666604</v>
      </c>
      <c r="K180" s="96">
        <f ca="1">HLOOKUP($H$5,'Met Data'!$O$2:$T$368,G180,FALSE)</f>
        <v>0.87955885998233896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45541</v>
      </c>
      <c r="Q180">
        <f ca="1"/>
        <v>-11.938429505131387</v>
      </c>
      <c r="R180">
        <f ca="1"/>
        <v>0</v>
      </c>
      <c r="S180">
        <f ca="1"/>
        <v>-0.91853279528332621</v>
      </c>
      <c r="T180">
        <f ca="1"/>
        <v>0.92518840600811436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0.98857369845778686</v>
      </c>
      <c r="Z180">
        <f ca="1"/>
        <v>0</v>
      </c>
      <c r="AA180">
        <f ca="1"/>
        <v>0</v>
      </c>
      <c r="AB180">
        <f ca="1"/>
        <v>0.15750965715247164</v>
      </c>
      <c r="AD180" s="2">
        <f t="shared" ca="1" si="22"/>
        <v>45541</v>
      </c>
      <c r="AE180">
        <f t="shared" ca="1" si="23"/>
        <v>0</v>
      </c>
      <c r="AG180" s="63">
        <f t="shared" ca="1" si="27"/>
        <v>-11.938429505131387</v>
      </c>
      <c r="AH180" s="63">
        <f t="shared" ca="1" si="28"/>
        <v>-11.938429505131387</v>
      </c>
      <c r="AI180" s="3">
        <f t="shared" ca="1" si="29"/>
        <v>0</v>
      </c>
    </row>
    <row r="181" spans="7:35">
      <c r="G181" s="3">
        <f t="shared" ca="1" si="24"/>
        <v>206</v>
      </c>
      <c r="H181" s="95">
        <f t="shared" ca="1" si="26"/>
        <v>45496</v>
      </c>
      <c r="I181" s="119">
        <f ca="1">HLOOKUP($H$5,'Met Data'!$A$2:$F$368,G181,FALSE)</f>
        <v>9.4</v>
      </c>
      <c r="J181" s="119">
        <f ca="1">HLOOKUP($H$5,'Met Data'!$H$2:$M$368,G181,FALSE)*L181</f>
        <v>2.0499999999999998</v>
      </c>
      <c r="K181" s="96">
        <f ca="1">HLOOKUP($H$5,'Met Data'!$O$2:$T$368,G181,FALSE)</f>
        <v>0.953998897248024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45542</v>
      </c>
      <c r="Q181">
        <f ca="1"/>
        <v>-11.876054008514517</v>
      </c>
      <c r="R181">
        <f ca="1"/>
        <v>0</v>
      </c>
      <c r="S181">
        <f ca="1"/>
        <v>-0.84594586768470492</v>
      </c>
      <c r="T181">
        <f ca="1"/>
        <v>0.9083213643015754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0.97049043336952279</v>
      </c>
      <c r="Z181">
        <f ca="1"/>
        <v>0</v>
      </c>
      <c r="AA181">
        <f ca="1"/>
        <v>0</v>
      </c>
      <c r="AB181">
        <f ca="1"/>
        <v>0.18319543552175185</v>
      </c>
      <c r="AD181" s="2">
        <f t="shared" ca="1" si="22"/>
        <v>45542</v>
      </c>
      <c r="AE181">
        <f t="shared" ca="1" si="23"/>
        <v>0</v>
      </c>
      <c r="AG181" s="63">
        <f t="shared" ca="1" si="27"/>
        <v>-11.876054008514517</v>
      </c>
      <c r="AH181" s="63">
        <f t="shared" ca="1" si="28"/>
        <v>-11.876054008514517</v>
      </c>
      <c r="AI181" s="3">
        <f t="shared" ca="1" si="29"/>
        <v>0</v>
      </c>
    </row>
    <row r="182" spans="7:35">
      <c r="G182" s="3">
        <f t="shared" ca="1" si="24"/>
        <v>207</v>
      </c>
      <c r="H182" s="95">
        <f t="shared" ca="1" si="26"/>
        <v>45497</v>
      </c>
      <c r="I182" s="119">
        <f ca="1">HLOOKUP($H$5,'Met Data'!$A$2:$F$368,G182,FALSE)</f>
        <v>8.92916666666666</v>
      </c>
      <c r="J182" s="119">
        <f ca="1">HLOOKUP($H$5,'Met Data'!$H$2:$M$368,G182,FALSE)*L182</f>
        <v>1.1499999999999999</v>
      </c>
      <c r="K182" s="96">
        <f ca="1">HLOOKUP($H$5,'Met Data'!$O$2:$T$368,G182,FALSE)</f>
        <v>1.2467505566806001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45543</v>
      </c>
      <c r="Q182">
        <f ca="1"/>
        <v>-11.77313899499806</v>
      </c>
      <c r="R182">
        <f ca="1"/>
        <v>0</v>
      </c>
      <c r="S182">
        <f ca="1"/>
        <v>-0.723312664717497</v>
      </c>
      <c r="T182">
        <f ca="1"/>
        <v>0.82622767823395338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1</v>
      </c>
      <c r="Z182">
        <f ca="1"/>
        <v>0.96386187062215356</v>
      </c>
      <c r="AA182">
        <f ca="1"/>
        <v>0</v>
      </c>
      <c r="AB182">
        <f ca="1"/>
        <v>0.20925034991753361</v>
      </c>
      <c r="AD182" s="2">
        <f t="shared" ca="1" si="22"/>
        <v>45543</v>
      </c>
      <c r="AE182">
        <f t="shared" ca="1" si="23"/>
        <v>0</v>
      </c>
      <c r="AG182" s="63">
        <f t="shared" ca="1" si="27"/>
        <v>-11.77313899499806</v>
      </c>
      <c r="AH182" s="63">
        <f t="shared" ca="1" si="28"/>
        <v>-11.77313899499806</v>
      </c>
      <c r="AI182" s="3">
        <f t="shared" ca="1" si="29"/>
        <v>0</v>
      </c>
    </row>
    <row r="183" spans="7:35">
      <c r="G183" s="3">
        <f t="shared" ca="1" si="24"/>
        <v>208</v>
      </c>
      <c r="H183" s="95">
        <f t="shared" ca="1" si="26"/>
        <v>45498</v>
      </c>
      <c r="I183" s="119">
        <f ca="1">HLOOKUP($H$5,'Met Data'!$A$2:$F$368,G183,FALSE)</f>
        <v>8.7624999999999993</v>
      </c>
      <c r="J183" s="119">
        <f ca="1">HLOOKUP($H$5,'Met Data'!$H$2:$M$368,G183,FALSE)*L183</f>
        <v>0.45</v>
      </c>
      <c r="K183" s="96">
        <f ca="1">HLOOKUP($H$5,'Met Data'!$O$2:$T$368,G183,FALSE)</f>
        <v>1.3150067848265401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45544</v>
      </c>
      <c r="Q183">
        <f ca="1"/>
        <v>-11.619870824516548</v>
      </c>
      <c r="R183">
        <f ca="1"/>
        <v>0</v>
      </c>
      <c r="S183">
        <f ca="1"/>
        <v>-0.71268045252915613</v>
      </c>
      <c r="T183">
        <f ca="1"/>
        <v>0.86594862301066888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1</v>
      </c>
      <c r="Z183">
        <f ca="1"/>
        <v>1.774097938804239</v>
      </c>
      <c r="AA183">
        <f ca="1"/>
        <v>0</v>
      </c>
      <c r="AB183">
        <f ca="1"/>
        <v>0.23941658363163631</v>
      </c>
      <c r="AD183" s="2">
        <f t="shared" ca="1" si="22"/>
        <v>45544</v>
      </c>
      <c r="AE183">
        <f t="shared" ca="1" si="23"/>
        <v>0</v>
      </c>
      <c r="AG183" s="63">
        <f t="shared" ca="1" si="27"/>
        <v>-11.619870824516548</v>
      </c>
      <c r="AH183" s="63">
        <f t="shared" ca="1" si="28"/>
        <v>-11.619870824516548</v>
      </c>
      <c r="AI183" s="3">
        <f t="shared" ca="1" si="29"/>
        <v>0</v>
      </c>
    </row>
    <row r="184" spans="7:35">
      <c r="G184" s="3">
        <f t="shared" ca="1" si="24"/>
        <v>209</v>
      </c>
      <c r="H184" s="95">
        <f t="shared" ca="1" si="26"/>
        <v>45499</v>
      </c>
      <c r="I184" s="119">
        <f ca="1">HLOOKUP($H$5,'Met Data'!$A$2:$F$368,G184,FALSE)</f>
        <v>9.3333333333333304</v>
      </c>
      <c r="J184" s="119">
        <f ca="1">HLOOKUP($H$5,'Met Data'!$H$2:$M$368,G184,FALSE)*L184</f>
        <v>2.0166666666666599</v>
      </c>
      <c r="K184" s="96">
        <f ca="1">HLOOKUP($H$5,'Met Data'!$O$2:$T$368,G184,FALSE)</f>
        <v>1.11956275252086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45545</v>
      </c>
      <c r="Q184">
        <f ca="1"/>
        <v>-11.409680480343738</v>
      </c>
      <c r="R184">
        <f ca="1"/>
        <v>0</v>
      </c>
      <c r="S184">
        <f ca="1"/>
        <v>-0.703609577812216</v>
      </c>
      <c r="T184">
        <f ca="1"/>
        <v>0.91379992198502591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1</v>
      </c>
      <c r="Z184">
        <f ca="1"/>
        <v>4.7596296112462042</v>
      </c>
      <c r="AA184">
        <f ca="1"/>
        <v>0</v>
      </c>
      <c r="AB184">
        <f ca="1"/>
        <v>0.27432748835758097</v>
      </c>
      <c r="AD184" s="2">
        <f t="shared" ca="1" si="22"/>
        <v>45545</v>
      </c>
      <c r="AE184">
        <f t="shared" ca="1" si="23"/>
        <v>0</v>
      </c>
      <c r="AG184" s="63">
        <f t="shared" ca="1" si="27"/>
        <v>-11.409680480343738</v>
      </c>
      <c r="AH184" s="63">
        <f t="shared" ca="1" si="28"/>
        <v>-11.409680480343738</v>
      </c>
      <c r="AI184" s="3">
        <f t="shared" ca="1" si="29"/>
        <v>0</v>
      </c>
    </row>
    <row r="185" spans="7:35">
      <c r="G185" s="3">
        <f t="shared" ca="1" si="24"/>
        <v>210</v>
      </c>
      <c r="H185" s="95">
        <f t="shared" ca="1" si="26"/>
        <v>45500</v>
      </c>
      <c r="I185" s="119">
        <f ca="1">HLOOKUP($H$5,'Met Data'!$A$2:$F$368,G185,FALSE)</f>
        <v>8.9875000000000007</v>
      </c>
      <c r="J185" s="119">
        <f ca="1">HLOOKUP($H$5,'Met Data'!$H$2:$M$368,G185,FALSE)*L185</f>
        <v>1.2666666666666599</v>
      </c>
      <c r="K185" s="96">
        <f ca="1">HLOOKUP($H$5,'Met Data'!$O$2:$T$368,G185,FALSE)</f>
        <v>1.28515382274214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45546</v>
      </c>
      <c r="Q185">
        <f ca="1"/>
        <v>-11.156753536602286</v>
      </c>
      <c r="R185">
        <f ca="1"/>
        <v>0</v>
      </c>
      <c r="S185">
        <f ca="1"/>
        <v>-0.64449981085152785</v>
      </c>
      <c r="T185">
        <f ca="1"/>
        <v>0.89742675459298027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1</v>
      </c>
      <c r="Z185">
        <f ca="1"/>
        <v>9.4680063959351912E-2</v>
      </c>
      <c r="AA185">
        <f ca="1"/>
        <v>0</v>
      </c>
      <c r="AB185">
        <f ca="1"/>
        <v>0.31154677115543228</v>
      </c>
      <c r="AD185" s="2">
        <f t="shared" ca="1" si="22"/>
        <v>45546</v>
      </c>
      <c r="AE185">
        <f t="shared" ca="1" si="23"/>
        <v>0</v>
      </c>
      <c r="AG185" s="63">
        <f t="shared" ca="1" si="27"/>
        <v>-11.156753536602286</v>
      </c>
      <c r="AH185" s="63">
        <f t="shared" ca="1" si="28"/>
        <v>-11.156753536602286</v>
      </c>
      <c r="AI185" s="3">
        <f t="shared" ca="1" si="29"/>
        <v>0</v>
      </c>
    </row>
    <row r="186" spans="7:35">
      <c r="G186" s="3">
        <f t="shared" ca="1" si="24"/>
        <v>211</v>
      </c>
      <c r="H186" s="95">
        <f t="shared" ca="1" si="26"/>
        <v>45501</v>
      </c>
      <c r="I186" s="119">
        <f ca="1">HLOOKUP($H$5,'Met Data'!$A$2:$F$368,G186,FALSE)</f>
        <v>9.0374999999999996</v>
      </c>
      <c r="J186" s="119">
        <f ca="1">HLOOKUP($H$5,'Met Data'!$H$2:$M$368,G186,FALSE)*L186</f>
        <v>2.7999999999999901</v>
      </c>
      <c r="K186" s="96">
        <f ca="1">HLOOKUP($H$5,'Met Data'!$O$2:$T$368,G186,FALSE)</f>
        <v>1.1959337492079301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45547</v>
      </c>
      <c r="Q186">
        <f ca="1"/>
        <v>-10.835423339020219</v>
      </c>
      <c r="R186">
        <f ca="1"/>
        <v>0</v>
      </c>
      <c r="S186">
        <f ca="1"/>
        <v>-0.64385380186948282</v>
      </c>
      <c r="T186">
        <f ca="1"/>
        <v>0.96518399945155109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0.9930112777620026</v>
      </c>
      <c r="Z186">
        <f ca="1"/>
        <v>0</v>
      </c>
      <c r="AA186">
        <f ca="1"/>
        <v>0</v>
      </c>
      <c r="AB186">
        <f ca="1"/>
        <v>0.35436663314665778</v>
      </c>
      <c r="AD186" s="2">
        <f t="shared" ca="1" si="22"/>
        <v>45547</v>
      </c>
      <c r="AE186">
        <f t="shared" ca="1" si="23"/>
        <v>0</v>
      </c>
      <c r="AG186" s="63">
        <f t="shared" ca="1" si="27"/>
        <v>-10.835423339020219</v>
      </c>
      <c r="AH186" s="63">
        <f t="shared" ca="1" si="28"/>
        <v>-10.835423339020219</v>
      </c>
      <c r="AI186" s="3">
        <f t="shared" ca="1" si="29"/>
        <v>0</v>
      </c>
    </row>
    <row r="187" spans="7:35">
      <c r="G187" s="3">
        <f t="shared" ca="1" si="24"/>
        <v>212</v>
      </c>
      <c r="H187" s="95">
        <f t="shared" ca="1" si="26"/>
        <v>45502</v>
      </c>
      <c r="I187" s="119">
        <f ca="1">HLOOKUP($H$5,'Met Data'!$A$2:$F$368,G187,FALSE)</f>
        <v>8.17916666666666</v>
      </c>
      <c r="J187" s="119">
        <f ca="1">HLOOKUP($H$5,'Met Data'!$H$2:$M$368,G187,FALSE)*L187</f>
        <v>1.55</v>
      </c>
      <c r="K187" s="96">
        <f ca="1">HLOOKUP($H$5,'Met Data'!$O$2:$T$368,G187,FALSE)</f>
        <v>1.3658842309244701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45548</v>
      </c>
      <c r="Q187">
        <f ca="1"/>
        <v>-10.469464374974045</v>
      </c>
      <c r="R187">
        <f ca="1"/>
        <v>0</v>
      </c>
      <c r="S187">
        <f ca="1"/>
        <v>-0.58865576039249845</v>
      </c>
      <c r="T187">
        <f ca="1"/>
        <v>0.95461472443867157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1</v>
      </c>
      <c r="Z187">
        <f ca="1"/>
        <v>0.39462144839627911</v>
      </c>
      <c r="AA187">
        <f ca="1"/>
        <v>0</v>
      </c>
      <c r="AB187">
        <f ca="1"/>
        <v>0.39917375808207306</v>
      </c>
      <c r="AD187" s="2">
        <f t="shared" ca="1" si="22"/>
        <v>45548</v>
      </c>
      <c r="AE187">
        <f t="shared" ca="1" si="23"/>
        <v>0</v>
      </c>
      <c r="AG187" s="63">
        <f t="shared" ca="1" si="27"/>
        <v>-10.469464374974045</v>
      </c>
      <c r="AH187" s="63">
        <f t="shared" ca="1" si="28"/>
        <v>-10.469464374974045</v>
      </c>
      <c r="AI187" s="3">
        <f t="shared" ca="1" si="29"/>
        <v>0</v>
      </c>
    </row>
    <row r="188" spans="7:35">
      <c r="G188" s="3">
        <f t="shared" ca="1" si="24"/>
        <v>213</v>
      </c>
      <c r="H188" s="95">
        <f t="shared" ca="1" si="26"/>
        <v>45503</v>
      </c>
      <c r="I188" s="119">
        <f ca="1">HLOOKUP($H$5,'Met Data'!$A$2:$F$368,G188,FALSE)</f>
        <v>8.75</v>
      </c>
      <c r="J188" s="119">
        <f ca="1">HLOOKUP($H$5,'Met Data'!$H$2:$M$368,G188,FALSE)*L188</f>
        <v>2.44999999999999</v>
      </c>
      <c r="K188" s="96">
        <f ca="1">HLOOKUP($H$5,'Met Data'!$O$2:$T$368,G188,FALSE)</f>
        <v>0.89818915942500899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45549</v>
      </c>
      <c r="Q188">
        <f ca="1"/>
        <v>-10.046468506829024</v>
      </c>
      <c r="R188">
        <f ca="1"/>
        <v>0</v>
      </c>
      <c r="S188">
        <f ca="1"/>
        <v>-0.55626712997825223</v>
      </c>
      <c r="T188">
        <f ca="1"/>
        <v>0.97926299812327289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0.99066645966323685</v>
      </c>
      <c r="Z188">
        <f ca="1"/>
        <v>0</v>
      </c>
      <c r="AA188">
        <f ca="1"/>
        <v>0</v>
      </c>
      <c r="AB188">
        <f ca="1"/>
        <v>0.4468866059465153</v>
      </c>
      <c r="AD188" s="2">
        <f t="shared" ca="1" si="22"/>
        <v>45549</v>
      </c>
      <c r="AE188">
        <f t="shared" ca="1" si="23"/>
        <v>0</v>
      </c>
      <c r="AG188" s="63">
        <f t="shared" ca="1" si="27"/>
        <v>-10.046468506829024</v>
      </c>
      <c r="AH188" s="63">
        <f t="shared" ca="1" si="28"/>
        <v>-10.046468506829024</v>
      </c>
      <c r="AI188" s="3">
        <f t="shared" ca="1" si="29"/>
        <v>0</v>
      </c>
    </row>
    <row r="189" spans="7:35">
      <c r="G189" s="3">
        <f t="shared" ca="1" si="24"/>
        <v>214</v>
      </c>
      <c r="H189" s="95">
        <f t="shared" ca="1" si="26"/>
        <v>45504</v>
      </c>
      <c r="I189" s="119">
        <f ca="1">HLOOKUP($H$5,'Met Data'!$A$2:$F$368,G189,FALSE)</f>
        <v>10.3375</v>
      </c>
      <c r="J189" s="119">
        <f ca="1">HLOOKUP($H$5,'Met Data'!$H$2:$M$368,G189,FALSE)*L189</f>
        <v>5.2666666666666604</v>
      </c>
      <c r="K189" s="96">
        <f ca="1">HLOOKUP($H$5,'Met Data'!$O$2:$T$368,G189,FALSE)</f>
        <v>0.94454335980482496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45550</v>
      </c>
      <c r="Q189">
        <f ca="1"/>
        <v>-9.5810307401747892</v>
      </c>
      <c r="R189">
        <f ca="1"/>
        <v>0</v>
      </c>
      <c r="S189">
        <f ca="1"/>
        <v>-0.50657946939072929</v>
      </c>
      <c r="T189">
        <f ca="1"/>
        <v>0.97201723604496382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1</v>
      </c>
      <c r="Z189">
        <f ca="1"/>
        <v>0.21681028911016398</v>
      </c>
      <c r="AA189">
        <f ca="1"/>
        <v>0</v>
      </c>
      <c r="AB189">
        <f ca="1"/>
        <v>0.49525776801838756</v>
      </c>
      <c r="AD189" s="2">
        <f t="shared" ca="1" si="22"/>
        <v>45550</v>
      </c>
      <c r="AE189">
        <f t="shared" ca="1" si="23"/>
        <v>0</v>
      </c>
      <c r="AG189" s="63">
        <f t="shared" ca="1" si="27"/>
        <v>-9.5810307401747892</v>
      </c>
      <c r="AH189" s="63">
        <f t="shared" ca="1" si="28"/>
        <v>-9.5810307401747892</v>
      </c>
      <c r="AI189" s="3">
        <f t="shared" ca="1" si="29"/>
        <v>0</v>
      </c>
    </row>
    <row r="190" spans="7:35">
      <c r="G190" s="3">
        <f t="shared" ca="1" si="24"/>
        <v>215</v>
      </c>
      <c r="H190" s="95">
        <f t="shared" ca="1" si="26"/>
        <v>45505</v>
      </c>
      <c r="I190" s="119">
        <f ca="1">HLOOKUP($H$5,'Met Data'!$A$2:$F$368,G190,FALSE)</f>
        <v>10.595454545454499</v>
      </c>
      <c r="J190" s="119">
        <f ca="1">HLOOKUP($H$5,'Met Data'!$H$2:$M$368,G190,FALSE)*L190</f>
        <v>4.4166666666666599</v>
      </c>
      <c r="K190" s="96">
        <f ca="1">HLOOKUP($H$5,'Met Data'!$O$2:$T$368,G190,FALSE)</f>
        <v>1.0832642567801201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45551</v>
      </c>
      <c r="Q190">
        <f ca="1"/>
        <v>-9.0249518446232244</v>
      </c>
      <c r="R190">
        <f ca="1"/>
        <v>0</v>
      </c>
      <c r="S190">
        <f ca="1"/>
        <v>-0.50231657109998196</v>
      </c>
      <c r="T190">
        <f ca="1"/>
        <v>1.0583954666515465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1</v>
      </c>
      <c r="Z190">
        <f ca="1"/>
        <v>2.5617247807118702</v>
      </c>
      <c r="AA190">
        <f ca="1"/>
        <v>0</v>
      </c>
      <c r="AB190">
        <f ca="1"/>
        <v>0.54764583281804347</v>
      </c>
      <c r="AD190" s="2">
        <f t="shared" ca="1" si="22"/>
        <v>45551</v>
      </c>
      <c r="AE190">
        <f t="shared" ca="1" si="23"/>
        <v>0</v>
      </c>
      <c r="AG190" s="63">
        <f t="shared" ca="1" si="27"/>
        <v>-9.0249518446232244</v>
      </c>
      <c r="AH190" s="63">
        <f t="shared" ca="1" si="28"/>
        <v>-9.0249518446232244</v>
      </c>
      <c r="AI190" s="3">
        <f t="shared" ca="1" si="29"/>
        <v>0</v>
      </c>
    </row>
    <row r="191" spans="7:35">
      <c r="G191" s="3">
        <f t="shared" ca="1" si="24"/>
        <v>216</v>
      </c>
      <c r="H191" s="95">
        <f t="shared" ca="1" si="26"/>
        <v>45506</v>
      </c>
      <c r="I191" s="119">
        <f ca="1">HLOOKUP($H$5,'Met Data'!$A$2:$F$368,G191,FALSE)</f>
        <v>10.1041666666666</v>
      </c>
      <c r="J191" s="119">
        <f ca="1">HLOOKUP($H$5,'Met Data'!$H$2:$M$368,G191,FALSE)*L191</f>
        <v>2.0833333333333299</v>
      </c>
      <c r="K191" s="96">
        <f ca="1">HLOOKUP($H$5,'Met Data'!$O$2:$T$368,G191,FALSE)</f>
        <v>1.39183263100002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45552</v>
      </c>
      <c r="Q191">
        <f ca="1"/>
        <v>-8.4679168022544289</v>
      </c>
      <c r="R191">
        <f ca="1"/>
        <v>0</v>
      </c>
      <c r="S191">
        <f ca="1"/>
        <v>-0.42031789816779508</v>
      </c>
      <c r="T191">
        <f ca="1"/>
        <v>0.97735294053659127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1</v>
      </c>
      <c r="Z191">
        <f ca="1"/>
        <v>1.9258837330422409</v>
      </c>
      <c r="AA191">
        <f ca="1"/>
        <v>0</v>
      </c>
      <c r="AB191">
        <f ca="1"/>
        <v>0.59542919467774658</v>
      </c>
      <c r="AD191" s="2">
        <f t="shared" ca="1" si="22"/>
        <v>45552</v>
      </c>
      <c r="AE191">
        <f t="shared" ca="1" si="23"/>
        <v>0</v>
      </c>
      <c r="AG191" s="63">
        <f t="shared" ca="1" si="27"/>
        <v>-8.4679168022544289</v>
      </c>
      <c r="AH191" s="63">
        <f t="shared" ca="1" si="28"/>
        <v>-8.4679168022544289</v>
      </c>
      <c r="AI191" s="3">
        <f t="shared" ca="1" si="29"/>
        <v>0</v>
      </c>
    </row>
    <row r="192" spans="7:35">
      <c r="G192" s="3">
        <f t="shared" ca="1" si="24"/>
        <v>217</v>
      </c>
      <c r="H192" s="95">
        <f t="shared" ca="1" si="26"/>
        <v>45507</v>
      </c>
      <c r="I192" s="119">
        <f ca="1">HLOOKUP($H$5,'Met Data'!$A$2:$F$368,G192,FALSE)</f>
        <v>10.1833333333333</v>
      </c>
      <c r="J192" s="119">
        <f ca="1">HLOOKUP($H$5,'Met Data'!$H$2:$M$368,G192,FALSE)*L192</f>
        <v>5.9833333333333298</v>
      </c>
      <c r="K192" s="96">
        <f ca="1">HLOOKUP($H$5,'Met Data'!$O$2:$T$368,G192,FALSE)</f>
        <v>1.0301492818772899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45553</v>
      </c>
      <c r="Q192">
        <f ca="1"/>
        <v>-7.9185486252087864</v>
      </c>
      <c r="R192">
        <f ca="1"/>
        <v>0</v>
      </c>
      <c r="S192">
        <f ca="1"/>
        <v>-0.35240642762356345</v>
      </c>
      <c r="T192">
        <f ca="1"/>
        <v>0.90177460466920567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1</v>
      </c>
      <c r="Z192">
        <f ca="1"/>
        <v>6.7945774165971287</v>
      </c>
      <c r="AA192">
        <f ca="1"/>
        <v>0</v>
      </c>
      <c r="AB192">
        <f ca="1"/>
        <v>0.63811553372203011</v>
      </c>
      <c r="AD192" s="2">
        <f t="shared" ca="1" si="22"/>
        <v>45553</v>
      </c>
      <c r="AE192">
        <f t="shared" ca="1" si="23"/>
        <v>0</v>
      </c>
      <c r="AG192" s="63">
        <f t="shared" ca="1" si="27"/>
        <v>-7.9185486252087864</v>
      </c>
      <c r="AH192" s="63">
        <f t="shared" ca="1" si="28"/>
        <v>-7.9185486252087864</v>
      </c>
      <c r="AI192" s="3">
        <f t="shared" ca="1" si="29"/>
        <v>0</v>
      </c>
    </row>
    <row r="193" spans="7:35">
      <c r="G193" s="3">
        <f t="shared" ca="1" si="24"/>
        <v>218</v>
      </c>
      <c r="H193" s="95">
        <f t="shared" ca="1" si="26"/>
        <v>45508</v>
      </c>
      <c r="I193" s="119">
        <f ca="1">HLOOKUP($H$5,'Met Data'!$A$2:$F$368,G193,FALSE)</f>
        <v>9.7708333333333304</v>
      </c>
      <c r="J193" s="119">
        <f ca="1">HLOOKUP($H$5,'Met Data'!$H$2:$M$368,G193,FALSE)*L193</f>
        <v>2.9833333333333298</v>
      </c>
      <c r="K193" s="96">
        <f ca="1">HLOOKUP($H$5,'Met Data'!$O$2:$T$368,G193,FALSE)</f>
        <v>1.3432284560273799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45554</v>
      </c>
      <c r="Q193">
        <f ca="1"/>
        <v>-7.3433632501802979</v>
      </c>
      <c r="R193">
        <f ca="1"/>
        <v>0</v>
      </c>
      <c r="S193">
        <f ca="1"/>
        <v>-0.31646495333384905</v>
      </c>
      <c r="T193">
        <f ca="1"/>
        <v>0.89165032836233649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1</v>
      </c>
      <c r="Z193">
        <f ca="1"/>
        <v>1.7638169905054895</v>
      </c>
      <c r="AA193">
        <f ca="1"/>
        <v>0</v>
      </c>
      <c r="AB193">
        <f ca="1"/>
        <v>0.67829025354072148</v>
      </c>
      <c r="AD193" s="2">
        <f t="shared" ca="1" si="22"/>
        <v>45554</v>
      </c>
      <c r="AE193">
        <f t="shared" ca="1" si="23"/>
        <v>0</v>
      </c>
      <c r="AG193" s="63">
        <f t="shared" ca="1" si="27"/>
        <v>-7.3433632501802979</v>
      </c>
      <c r="AH193" s="63">
        <f t="shared" ca="1" si="28"/>
        <v>-7.3433632501802979</v>
      </c>
      <c r="AI193" s="3">
        <f t="shared" ca="1" si="29"/>
        <v>0</v>
      </c>
    </row>
    <row r="194" spans="7:35">
      <c r="G194" s="3">
        <f t="shared" ca="1" si="24"/>
        <v>219</v>
      </c>
      <c r="H194" s="95">
        <f t="shared" ca="1" si="26"/>
        <v>45509</v>
      </c>
      <c r="I194" s="119">
        <f ca="1">HLOOKUP($H$5,'Met Data'!$A$2:$F$368,G194,FALSE)</f>
        <v>9.8791666666666593</v>
      </c>
      <c r="J194" s="119">
        <f ca="1">HLOOKUP($H$5,'Met Data'!$H$2:$M$368,G194,FALSE)*L194</f>
        <v>4.4833333333333298</v>
      </c>
      <c r="K194" s="96">
        <f ca="1">HLOOKUP($H$5,'Met Data'!$O$2:$T$368,G194,FALSE)</f>
        <v>1.0259838566514501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45555</v>
      </c>
      <c r="Q194">
        <f ca="1"/>
        <v>-6.7694700225181146</v>
      </c>
      <c r="R194">
        <f ca="1"/>
        <v>0</v>
      </c>
      <c r="S194">
        <f ca="1"/>
        <v>-0.27204621765778825</v>
      </c>
      <c r="T194">
        <f ca="1"/>
        <v>0.84593944531997189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0.99370710280189967</v>
      </c>
      <c r="Z194">
        <f ca="1"/>
        <v>0</v>
      </c>
      <c r="AA194">
        <f ca="1"/>
        <v>0</v>
      </c>
      <c r="AB194">
        <f ca="1"/>
        <v>0.71410560492610786</v>
      </c>
      <c r="AD194" s="2">
        <f t="shared" ca="1" si="22"/>
        <v>45555</v>
      </c>
      <c r="AE194">
        <f t="shared" ca="1" si="23"/>
        <v>0</v>
      </c>
      <c r="AG194" s="63">
        <f t="shared" ca="1" si="27"/>
        <v>-6.7694700225181146</v>
      </c>
      <c r="AH194" s="63">
        <f t="shared" ca="1" si="28"/>
        <v>-6.7694700225181146</v>
      </c>
      <c r="AI194" s="3">
        <f t="shared" ca="1" si="29"/>
        <v>0</v>
      </c>
    </row>
    <row r="195" spans="7:35">
      <c r="G195" s="3">
        <f t="shared" ca="1" si="24"/>
        <v>220</v>
      </c>
      <c r="H195" s="95">
        <f t="shared" ca="1" si="26"/>
        <v>45510</v>
      </c>
      <c r="I195" s="119">
        <f ca="1">HLOOKUP($H$5,'Met Data'!$A$2:$F$368,G195,FALSE)</f>
        <v>9.9874999999999901</v>
      </c>
      <c r="J195" s="119">
        <f ca="1">HLOOKUP($H$5,'Met Data'!$H$2:$M$368,G195,FALSE)*L195</f>
        <v>2.2000000000000002</v>
      </c>
      <c r="K195" s="96">
        <f ca="1">HLOOKUP($H$5,'Met Data'!$O$2:$T$368,G195,FALSE)</f>
        <v>1.1029484647982599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45556</v>
      </c>
      <c r="Q195">
        <f ca="1"/>
        <v>-6.150352423150391</v>
      </c>
      <c r="R195">
        <f ca="1"/>
        <v>0</v>
      </c>
      <c r="S195">
        <f ca="1"/>
        <v>-0.25285642865739533</v>
      </c>
      <c r="T195">
        <f ca="1"/>
        <v>0.87197402802511881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1</v>
      </c>
      <c r="Z195">
        <f ca="1"/>
        <v>1.2830596888632613</v>
      </c>
      <c r="AA195">
        <f ca="1"/>
        <v>0</v>
      </c>
      <c r="AB195">
        <f ca="1"/>
        <v>0.74841871379465874</v>
      </c>
      <c r="AD195" s="2">
        <f t="shared" ca="1" si="22"/>
        <v>45556</v>
      </c>
      <c r="AE195">
        <f t="shared" ca="1" si="23"/>
        <v>0</v>
      </c>
      <c r="AG195" s="63">
        <f t="shared" ca="1" si="27"/>
        <v>-6.150352423150391</v>
      </c>
      <c r="AH195" s="63">
        <f t="shared" ca="1" si="28"/>
        <v>-6.150352423150391</v>
      </c>
      <c r="AI195" s="3">
        <f t="shared" ca="1" si="29"/>
        <v>0</v>
      </c>
    </row>
    <row r="196" spans="7:35">
      <c r="G196" s="3">
        <f t="shared" ca="1" si="24"/>
        <v>221</v>
      </c>
      <c r="H196" s="95">
        <f t="shared" ca="1" si="26"/>
        <v>45511</v>
      </c>
      <c r="I196" s="119">
        <f ca="1">HLOOKUP($H$5,'Met Data'!$A$2:$F$368,G196,FALSE)</f>
        <v>9.4625000000000004</v>
      </c>
      <c r="J196" s="119">
        <f ca="1">HLOOKUP($H$5,'Met Data'!$H$2:$M$368,G196,FALSE)*L196</f>
        <v>3.61666666666666</v>
      </c>
      <c r="K196" s="96">
        <f ca="1">HLOOKUP($H$5,'Met Data'!$O$2:$T$368,G196,FALSE)</f>
        <v>1.10790183862933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45557</v>
      </c>
      <c r="Q196">
        <f ca="1"/>
        <v>-5.451196154350991</v>
      </c>
      <c r="R196">
        <f ca="1"/>
        <v>0</v>
      </c>
      <c r="S196">
        <f ca="1"/>
        <v>-0.243095756368092</v>
      </c>
      <c r="T196">
        <f ca="1"/>
        <v>0.94225202516749185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0.99371677783737011</v>
      </c>
      <c r="Z196">
        <f ca="1"/>
        <v>0</v>
      </c>
      <c r="AA196">
        <f ca="1"/>
        <v>0</v>
      </c>
      <c r="AB196">
        <f ca="1"/>
        <v>0.78224907612660477</v>
      </c>
      <c r="AD196" s="2">
        <f t="shared" ca="1" si="22"/>
        <v>45557</v>
      </c>
      <c r="AE196">
        <f t="shared" ca="1" si="23"/>
        <v>0</v>
      </c>
      <c r="AG196" s="63">
        <f t="shared" ca="1" si="27"/>
        <v>-5.451196154350991</v>
      </c>
      <c r="AH196" s="63">
        <f t="shared" ca="1" si="28"/>
        <v>-5.451196154350991</v>
      </c>
      <c r="AI196" s="3">
        <f t="shared" ca="1" si="29"/>
        <v>0</v>
      </c>
    </row>
    <row r="197" spans="7:35">
      <c r="G197" s="3">
        <f t="shared" ca="1" si="24"/>
        <v>222</v>
      </c>
      <c r="H197" s="95">
        <f t="shared" ca="1" si="26"/>
        <v>45512</v>
      </c>
      <c r="I197" s="119">
        <f ca="1">HLOOKUP($H$5,'Met Data'!$A$2:$F$368,G197,FALSE)</f>
        <v>8.42916666666666</v>
      </c>
      <c r="J197" s="119">
        <f ca="1">HLOOKUP($H$5,'Met Data'!$H$2:$M$368,G197,FALSE)*L197</f>
        <v>3.4</v>
      </c>
      <c r="K197" s="96">
        <f ca="1">HLOOKUP($H$5,'Met Data'!$O$2:$T$368,G197,FALSE)</f>
        <v>1.32402542664303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45558</v>
      </c>
      <c r="Q197">
        <f ca="1"/>
        <v>-4.6727513198566299</v>
      </c>
      <c r="R197">
        <f ca="1"/>
        <v>0</v>
      </c>
      <c r="S197">
        <f ca="1"/>
        <v>-0.226250720539241</v>
      </c>
      <c r="T197">
        <f ca="1"/>
        <v>1.0046955550336023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1</v>
      </c>
      <c r="Z197">
        <f ca="1"/>
        <v>3.5038162818548173</v>
      </c>
      <c r="AA197">
        <f ca="1"/>
        <v>0</v>
      </c>
      <c r="AB197">
        <f ca="1"/>
        <v>0.81445230730855744</v>
      </c>
      <c r="AD197" s="2">
        <f t="shared" ca="1" si="22"/>
        <v>45558</v>
      </c>
      <c r="AE197">
        <f t="shared" ca="1" si="23"/>
        <v>0</v>
      </c>
      <c r="AG197" s="63">
        <f t="shared" ca="1" si="27"/>
        <v>-4.6727513198566299</v>
      </c>
      <c r="AH197" s="63">
        <f t="shared" ca="1" si="28"/>
        <v>-4.6727513198566299</v>
      </c>
      <c r="AI197" s="3">
        <f t="shared" ca="1" si="29"/>
        <v>0</v>
      </c>
    </row>
    <row r="198" spans="7:35">
      <c r="G198" s="3">
        <f t="shared" ca="1" si="24"/>
        <v>223</v>
      </c>
      <c r="H198" s="95">
        <f t="shared" ca="1" si="26"/>
        <v>45513</v>
      </c>
      <c r="I198" s="119">
        <f ca="1">HLOOKUP($H$5,'Met Data'!$A$2:$F$368,G198,FALSE)</f>
        <v>7.8416666666666597</v>
      </c>
      <c r="J198" s="119">
        <f ca="1">HLOOKUP($H$5,'Met Data'!$H$2:$M$368,G198,FALSE)*L198</f>
        <v>1.38333333333333</v>
      </c>
      <c r="K198" s="96">
        <f ca="1">HLOOKUP($H$5,'Met Data'!$O$2:$T$368,G198,FALSE)</f>
        <v>1.2882274194230801</v>
      </c>
      <c r="L198">
        <f t="shared" ca="1" si="20"/>
        <v>1</v>
      </c>
      <c r="N198" t="b">
        <f t="shared" ca="1" si="25"/>
        <v>0</v>
      </c>
      <c r="O198" t="b">
        <f t="shared" ca="1" si="21"/>
        <v>0</v>
      </c>
      <c r="P198" s="2">
        <f ca="1"/>
        <v>45559</v>
      </c>
      <c r="Q198">
        <f ca="1"/>
        <v>-3.8255796799109882</v>
      </c>
      <c r="R198">
        <f ca="1"/>
        <v>0</v>
      </c>
      <c r="S198">
        <f ca="1"/>
        <v>-0.2016204188366828</v>
      </c>
      <c r="T198">
        <f ca="1"/>
        <v>1.0487920587823247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0.98888336667063315</v>
      </c>
      <c r="Z198">
        <f ca="1"/>
        <v>0</v>
      </c>
      <c r="AA198">
        <f ca="1"/>
        <v>0</v>
      </c>
      <c r="AB198">
        <f ca="1"/>
        <v>0.84391040143156704</v>
      </c>
      <c r="AD198" s="2">
        <f t="shared" ca="1" si="22"/>
        <v>45559</v>
      </c>
      <c r="AE198">
        <f t="shared" ca="1" si="23"/>
        <v>0</v>
      </c>
      <c r="AG198" s="63">
        <f t="shared" ca="1" si="27"/>
        <v>-3.8255796799109882</v>
      </c>
      <c r="AH198" s="63">
        <f t="shared" ca="1" si="28"/>
        <v>-3.8255796799109882</v>
      </c>
      <c r="AI198" s="3">
        <f t="shared" ca="1" si="29"/>
        <v>0</v>
      </c>
    </row>
    <row r="199" spans="7:35">
      <c r="G199" s="3">
        <f t="shared" ca="1" si="24"/>
        <v>224</v>
      </c>
      <c r="H199" s="95">
        <f t="shared" ca="1" si="26"/>
        <v>45514</v>
      </c>
      <c r="I199" s="119">
        <f ca="1">HLOOKUP($H$5,'Met Data'!$A$2:$F$368,G199,FALSE)</f>
        <v>8.7916666666666607</v>
      </c>
      <c r="J199" s="119">
        <f ca="1">HLOOKUP($H$5,'Met Data'!$H$2:$M$368,G199,FALSE)*L199</f>
        <v>4.7</v>
      </c>
      <c r="K199" s="96">
        <f ca="1">HLOOKUP($H$5,'Met Data'!$O$2:$T$368,G199,FALSE)</f>
        <v>1.2700812995642401</v>
      </c>
      <c r="L199">
        <f t="shared" ref="L199:L262" ca="1" si="30">IF(H199&lt;$B$32,$J$4,$J$5)</f>
        <v>1</v>
      </c>
      <c r="N199" t="b">
        <f t="shared" ca="1" si="25"/>
        <v>0</v>
      </c>
      <c r="O199" t="b">
        <f t="shared" ref="O199:O262" ca="1" si="31">AND(IF(P199&gt;($P$3-1),TRUE,FALSE),IF(P199&lt;($P$4+1),TRUE,FALSE))</f>
        <v>0</v>
      </c>
      <c r="P199" s="2">
        <f ca="1"/>
        <v>45560</v>
      </c>
      <c r="Q199">
        <f ca="1"/>
        <v>-2.979215473096283</v>
      </c>
      <c r="R199">
        <f ca="1"/>
        <v>0</v>
      </c>
      <c r="S199">
        <f ca="1"/>
        <v>-0.16222046732926287</v>
      </c>
      <c r="T199">
        <f ca="1"/>
        <v>1.0085846741439679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0.96748108417909651</v>
      </c>
      <c r="Z199">
        <f ca="1"/>
        <v>0</v>
      </c>
      <c r="AA199">
        <f ca="1"/>
        <v>0</v>
      </c>
      <c r="AB199">
        <f ca="1"/>
        <v>0.86860901997134243</v>
      </c>
      <c r="AD199" s="2">
        <f t="shared" ref="AD199:AD262" ca="1" si="32">IFERROR(P199,$AD$5)</f>
        <v>45560</v>
      </c>
      <c r="AE199">
        <f t="shared" ref="AE199:AE262" ca="1" si="33">IFERROR(U199,0)</f>
        <v>0</v>
      </c>
      <c r="AG199" s="63">
        <f t="shared" ca="1" si="27"/>
        <v>-2.979215473096283</v>
      </c>
      <c r="AH199" s="63">
        <f t="shared" ca="1" si="28"/>
        <v>-2.979215473096283</v>
      </c>
      <c r="AI199" s="3">
        <f t="shared" ca="1" si="29"/>
        <v>0</v>
      </c>
    </row>
    <row r="200" spans="7:35">
      <c r="G200" s="3">
        <f t="shared" ref="G200:G263" ca="1" si="34">H200-DATE(YEAR(H200),1,0)+1</f>
        <v>225</v>
      </c>
      <c r="H200" s="95">
        <f t="shared" ca="1" si="26"/>
        <v>45515</v>
      </c>
      <c r="I200" s="119">
        <f ca="1">HLOOKUP($H$5,'Met Data'!$A$2:$F$368,G200,FALSE)</f>
        <v>9.2041666666666604</v>
      </c>
      <c r="J200" s="119">
        <f ca="1">HLOOKUP($H$5,'Met Data'!$H$2:$M$368,G200,FALSE)*L200</f>
        <v>4.9666666666666597</v>
      </c>
      <c r="K200" s="96">
        <f ca="1">HLOOKUP($H$5,'Met Data'!$O$2:$T$368,G200,FALSE)</f>
        <v>1.216678160996</v>
      </c>
      <c r="L200">
        <f t="shared" ca="1" si="30"/>
        <v>1</v>
      </c>
      <c r="N200" t="b">
        <f t="shared" ref="N200:N263" ca="1" si="35">IF(P200&lt;$P$4,TRUE,FALSE)</f>
        <v>0</v>
      </c>
      <c r="O200" t="b">
        <f t="shared" ca="1" si="31"/>
        <v>0</v>
      </c>
      <c r="P200" s="2">
        <f ca="1"/>
        <v>45561</v>
      </c>
      <c r="Q200">
        <f ca="1"/>
        <v>-2.0941403719378835</v>
      </c>
      <c r="R200">
        <f ca="1"/>
        <v>0</v>
      </c>
      <c r="S200">
        <f ca="1"/>
        <v>-0.13392196664221956</v>
      </c>
      <c r="T200">
        <f ca="1"/>
        <v>1.018997067800619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0.94174470570786462</v>
      </c>
      <c r="Z200">
        <f ca="1"/>
        <v>0</v>
      </c>
      <c r="AA200">
        <f ca="1"/>
        <v>0</v>
      </c>
      <c r="AB200">
        <f ca="1"/>
        <v>0.89052589642452351</v>
      </c>
      <c r="AD200" s="2">
        <f t="shared" ca="1" si="32"/>
        <v>45561</v>
      </c>
      <c r="AE200">
        <f t="shared" ca="1" si="33"/>
        <v>0</v>
      </c>
      <c r="AG200" s="63">
        <f t="shared" ca="1" si="27"/>
        <v>-2.0941403719378835</v>
      </c>
      <c r="AH200" s="63">
        <f t="shared" ca="1" si="28"/>
        <v>-2.0941403719378835</v>
      </c>
      <c r="AI200" s="3">
        <f t="shared" ca="1" si="29"/>
        <v>0</v>
      </c>
    </row>
    <row r="201" spans="7:35">
      <c r="G201" s="3">
        <f t="shared" ca="1" si="34"/>
        <v>226</v>
      </c>
      <c r="H201" s="95">
        <f t="shared" ref="H201:H264" ca="1" si="36">H200+1</f>
        <v>45516</v>
      </c>
      <c r="I201" s="119">
        <f ca="1">HLOOKUP($H$5,'Met Data'!$A$2:$F$368,G201,FALSE)</f>
        <v>9.49583333333333</v>
      </c>
      <c r="J201" s="119">
        <f ca="1">HLOOKUP($H$5,'Met Data'!$H$2:$M$368,G201,FALSE)*L201</f>
        <v>3.11666666666666</v>
      </c>
      <c r="K201" s="96">
        <f ca="1">HLOOKUP($H$5,'Met Data'!$O$2:$T$368,G201,FALSE)</f>
        <v>1.2041756804414001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45562</v>
      </c>
      <c r="Q201">
        <f ca="1"/>
        <v>-1.1342690610933666</v>
      </c>
      <c r="R201">
        <f ca="1"/>
        <v>0</v>
      </c>
      <c r="S201">
        <f ca="1"/>
        <v>-0.10979708870473814</v>
      </c>
      <c r="T201">
        <f ca="1"/>
        <v>1.0696683995492551</v>
      </c>
      <c r="U201">
        <f ca="1"/>
        <v>0</v>
      </c>
      <c r="V201">
        <f ca="1"/>
        <v>0</v>
      </c>
      <c r="W201">
        <f ca="1"/>
        <v>0</v>
      </c>
      <c r="X201">
        <f ca="1"/>
        <v>0</v>
      </c>
      <c r="Y201">
        <f ca="1"/>
        <v>0.99782403710112899</v>
      </c>
      <c r="Z201">
        <f ca="1"/>
        <v>0</v>
      </c>
      <c r="AA201">
        <f ca="1"/>
        <v>0</v>
      </c>
      <c r="AB201">
        <f ca="1"/>
        <v>0.90955918611895092</v>
      </c>
      <c r="AD201" s="2">
        <f t="shared" ca="1" si="32"/>
        <v>45562</v>
      </c>
      <c r="AE201">
        <f t="shared" ca="1" si="33"/>
        <v>0</v>
      </c>
      <c r="AG201" s="63">
        <f ca="1">Q200+S201+T201+U201</f>
        <v>-1.1342690610933666</v>
      </c>
      <c r="AH201" s="63">
        <f ca="1">Q201+R201+X201</f>
        <v>-1.1342690610933666</v>
      </c>
      <c r="AI201" s="3">
        <f ca="1">AH201-AG201</f>
        <v>0</v>
      </c>
    </row>
    <row r="202" spans="7:35">
      <c r="G202" s="3">
        <f t="shared" ca="1" si="34"/>
        <v>227</v>
      </c>
      <c r="H202" s="95">
        <f t="shared" ca="1" si="36"/>
        <v>45517</v>
      </c>
      <c r="I202" s="119">
        <f ca="1">HLOOKUP($H$5,'Met Data'!$A$2:$F$368,G202,FALSE)</f>
        <v>9.7791666666666597</v>
      </c>
      <c r="J202" s="119">
        <f ca="1">HLOOKUP($H$5,'Met Data'!$H$2:$M$368,G202,FALSE)*L202</f>
        <v>6.7</v>
      </c>
      <c r="K202" s="96">
        <f ca="1">HLOOKUP($H$5,'Met Data'!$O$2:$T$368,G202,FALSE)</f>
        <v>1.1357294741412001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45563</v>
      </c>
      <c r="Q202">
        <f ca="1"/>
        <v>-0.11501813687016438</v>
      </c>
      <c r="R202">
        <f ca="1"/>
        <v>0</v>
      </c>
      <c r="S202">
        <f ca="1"/>
        <v>-8.1801752235918457E-2</v>
      </c>
      <c r="T202">
        <f ca="1"/>
        <v>1.1010526764591206</v>
      </c>
      <c r="U202">
        <f ca="1"/>
        <v>0</v>
      </c>
      <c r="V202">
        <f ca="1"/>
        <v>0</v>
      </c>
      <c r="W202">
        <f ca="1"/>
        <v>0</v>
      </c>
      <c r="X202">
        <f ca="1"/>
        <v>0</v>
      </c>
      <c r="Y202">
        <f ca="1"/>
        <v>0.99492804136152768</v>
      </c>
      <c r="Z202">
        <f ca="1"/>
        <v>0</v>
      </c>
      <c r="AA202">
        <f ca="1"/>
        <v>0</v>
      </c>
      <c r="AB202">
        <f ca="1"/>
        <v>0.92593939702976569</v>
      </c>
      <c r="AD202" s="2">
        <f t="shared" ca="1" si="32"/>
        <v>45563</v>
      </c>
      <c r="AE202">
        <f t="shared" ca="1" si="33"/>
        <v>0</v>
      </c>
      <c r="AG202" s="63">
        <f ca="1">Q201+S202+T202+U202</f>
        <v>-0.11501813687016438</v>
      </c>
      <c r="AH202" s="63">
        <f ca="1">Q202+R202+X202</f>
        <v>-0.11501813687016438</v>
      </c>
      <c r="AI202" s="3">
        <f ca="1">AH202-AG202</f>
        <v>0</v>
      </c>
    </row>
    <row r="203" spans="7:35">
      <c r="G203" s="3">
        <f t="shared" ca="1" si="34"/>
        <v>228</v>
      </c>
      <c r="H203" s="95">
        <f t="shared" ca="1" si="36"/>
        <v>45518</v>
      </c>
      <c r="I203" s="119">
        <f ca="1">HLOOKUP($H$5,'Met Data'!$A$2:$F$368,G203,FALSE)</f>
        <v>9.4375</v>
      </c>
      <c r="J203" s="119">
        <f ca="1">HLOOKUP($H$5,'Met Data'!$H$2:$M$368,G203,FALSE)*L203</f>
        <v>3.2833333333333301</v>
      </c>
      <c r="K203" s="96">
        <f ca="1">HLOOKUP($H$5,'Met Data'!$O$2:$T$368,G203,FALSE)</f>
        <v>1.2410385498851699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45564</v>
      </c>
      <c r="Q203">
        <f ca="1"/>
        <v>0.90833411534759956</v>
      </c>
      <c r="R203">
        <f ca="1"/>
        <v>0</v>
      </c>
      <c r="S203">
        <f ca="1"/>
        <v>-5.1406762057681021E-2</v>
      </c>
      <c r="T203">
        <f ca="1"/>
        <v>1.088349690919431</v>
      </c>
      <c r="U203">
        <f ca="1"/>
        <v>0</v>
      </c>
      <c r="V203">
        <f ca="1"/>
        <v>0</v>
      </c>
      <c r="W203">
        <f ca="1"/>
        <v>0</v>
      </c>
      <c r="X203">
        <f ca="1"/>
        <v>1.3590676643986074E-2</v>
      </c>
      <c r="Y203">
        <f ca="1"/>
        <v>1</v>
      </c>
      <c r="Z203">
        <f ca="1"/>
        <v>2.8969407270441749</v>
      </c>
      <c r="AA203">
        <f ca="1"/>
        <v>0</v>
      </c>
      <c r="AB203">
        <f ca="1"/>
        <v>0.93942371987709294</v>
      </c>
      <c r="AD203" s="2">
        <f t="shared" ca="1" si="32"/>
        <v>45564</v>
      </c>
      <c r="AE203">
        <f t="shared" ca="1" si="33"/>
        <v>0</v>
      </c>
      <c r="AG203" s="63">
        <f ca="1">Q202+S203+T203+U203</f>
        <v>0.92192479199158561</v>
      </c>
      <c r="AH203" s="63">
        <f ca="1">Q203+R203+X203</f>
        <v>0.92192479199158561</v>
      </c>
      <c r="AI203" s="3">
        <f ca="1">AH203-AG203</f>
        <v>0</v>
      </c>
    </row>
    <row r="204" spans="7:35">
      <c r="G204" s="3">
        <f t="shared" ca="1" si="34"/>
        <v>229</v>
      </c>
      <c r="H204" s="95">
        <f t="shared" ca="1" si="36"/>
        <v>45519</v>
      </c>
      <c r="I204" s="119">
        <f ca="1">HLOOKUP($H$5,'Met Data'!$A$2:$F$368,G204,FALSE)</f>
        <v>9.6999999999999993</v>
      </c>
      <c r="J204" s="119">
        <f ca="1">HLOOKUP($H$5,'Met Data'!$H$2:$M$368,G204,FALSE)*L204</f>
        <v>1.5999999999999901</v>
      </c>
      <c r="K204" s="96">
        <f ca="1">HLOOKUP($H$5,'Met Data'!$O$2:$T$368,G204,FALSE)</f>
        <v>1.30158376837533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45565</v>
      </c>
      <c r="Q204">
        <f ca="1"/>
        <v>1.8905673674470997</v>
      </c>
      <c r="R204">
        <f ca="1"/>
        <v>0</v>
      </c>
      <c r="S204">
        <f ca="1"/>
        <v>-2.2850791546119353E-2</v>
      </c>
      <c r="T204">
        <f ca="1"/>
        <v>1.0050840436456197</v>
      </c>
      <c r="U204">
        <f ca="1"/>
        <v>0</v>
      </c>
      <c r="V204">
        <f ca="1"/>
        <v>0</v>
      </c>
      <c r="W204">
        <f ca="1"/>
        <v>0</v>
      </c>
      <c r="X204">
        <f ca="1"/>
        <v>0</v>
      </c>
      <c r="Y204">
        <f ca="1"/>
        <v>0.99782684565902025</v>
      </c>
      <c r="Z204">
        <f ca="1"/>
        <v>0</v>
      </c>
      <c r="AA204">
        <f ca="1"/>
        <v>0</v>
      </c>
      <c r="AB204">
        <f ca="1"/>
        <v>0.94987533243764166</v>
      </c>
      <c r="AD204" s="2">
        <f t="shared" ca="1" si="32"/>
        <v>45565</v>
      </c>
      <c r="AE204">
        <f t="shared" ca="1" si="33"/>
        <v>0</v>
      </c>
      <c r="AG204" s="63">
        <f t="shared" ref="AG204:AG267" ca="1" si="37">Q203+S204+T204+U204</f>
        <v>1.8905673674470997</v>
      </c>
      <c r="AH204" s="63">
        <f t="shared" ref="AH204:AH267" ca="1" si="38">Q204+R204+X204</f>
        <v>1.8905673674470997</v>
      </c>
      <c r="AI204" s="3">
        <f t="shared" ref="AI204:AI267" ca="1" si="39">AH204-AG204</f>
        <v>0</v>
      </c>
    </row>
    <row r="205" spans="7:35">
      <c r="G205" s="3">
        <f t="shared" ca="1" si="34"/>
        <v>230</v>
      </c>
      <c r="H205" s="95">
        <f t="shared" ca="1" si="36"/>
        <v>45520</v>
      </c>
      <c r="I205" s="119">
        <f ca="1">HLOOKUP($H$5,'Met Data'!$A$2:$F$368,G205,FALSE)</f>
        <v>9.61666666666666</v>
      </c>
      <c r="J205" s="119">
        <f ca="1">HLOOKUP($H$5,'Met Data'!$H$2:$M$368,G205,FALSE)*L205</f>
        <v>6.5999999999999899</v>
      </c>
      <c r="K205" s="96">
        <f ca="1">HLOOKUP($H$5,'Met Data'!$O$2:$T$368,G205,FALSE)</f>
        <v>1.3713845776081399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45566</v>
      </c>
      <c r="Q205">
        <f ca="1"/>
        <v>2.9294124744404475</v>
      </c>
      <c r="R205">
        <f ca="1"/>
        <v>0</v>
      </c>
      <c r="S205">
        <f ca="1"/>
        <v>-6.9855922873784948E-5</v>
      </c>
      <c r="T205">
        <f ca="1"/>
        <v>1.0396399258579798</v>
      </c>
      <c r="U205">
        <f ca="1"/>
        <v>0</v>
      </c>
      <c r="V205">
        <f ca="1"/>
        <v>0</v>
      </c>
      <c r="W205">
        <f ca="1"/>
        <v>0</v>
      </c>
      <c r="X205">
        <f ca="1"/>
        <v>7.2496294175809523E-4</v>
      </c>
      <c r="Y205">
        <f ca="1"/>
        <v>1</v>
      </c>
      <c r="Z205">
        <f ca="1"/>
        <v>4.6269970268014049E-2</v>
      </c>
      <c r="AA205">
        <f ca="1"/>
        <v>0</v>
      </c>
      <c r="AB205">
        <f ca="1"/>
        <v>0.95885276364258709</v>
      </c>
      <c r="AD205" s="2">
        <f t="shared" ca="1" si="32"/>
        <v>45566</v>
      </c>
      <c r="AE205">
        <f t="shared" ca="1" si="33"/>
        <v>0</v>
      </c>
      <c r="AG205" s="63">
        <f t="shared" ca="1" si="37"/>
        <v>2.9301374373822058</v>
      </c>
      <c r="AH205" s="63">
        <f t="shared" ca="1" si="38"/>
        <v>2.9301374373822058</v>
      </c>
      <c r="AI205" s="3">
        <f t="shared" ca="1" si="39"/>
        <v>0</v>
      </c>
    </row>
    <row r="206" spans="7:35">
      <c r="G206" s="3">
        <f t="shared" ca="1" si="34"/>
        <v>231</v>
      </c>
      <c r="H206" s="95">
        <f t="shared" ca="1" si="36"/>
        <v>45521</v>
      </c>
      <c r="I206" s="119">
        <f ca="1">HLOOKUP($H$5,'Met Data'!$A$2:$F$368,G206,FALSE)</f>
        <v>8.8333333333333304</v>
      </c>
      <c r="J206" s="119">
        <f ca="1">HLOOKUP($H$5,'Met Data'!$H$2:$M$368,G206,FALSE)*L206</f>
        <v>3.3</v>
      </c>
      <c r="K206" s="96">
        <f ca="1">HLOOKUP($H$5,'Met Data'!$O$2:$T$368,G206,FALSE)</f>
        <v>1.38797998518043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45567</v>
      </c>
      <c r="Q206">
        <f ca="1"/>
        <v>4.0496264983770267</v>
      </c>
      <c r="R206">
        <f ca="1"/>
        <v>0</v>
      </c>
      <c r="S206">
        <f ca="1"/>
        <v>2.5642337295280981E-2</v>
      </c>
      <c r="T206">
        <f ca="1"/>
        <v>1.1300735334256384</v>
      </c>
      <c r="U206">
        <f ca="1"/>
        <v>0</v>
      </c>
      <c r="V206">
        <f ca="1"/>
        <v>0</v>
      </c>
      <c r="W206">
        <f ca="1"/>
        <v>0</v>
      </c>
      <c r="X206">
        <f ca="1"/>
        <v>3.5501846784340284E-2</v>
      </c>
      <c r="Y206">
        <f ca="1"/>
        <v>1</v>
      </c>
      <c r="Z206">
        <f ca="1"/>
        <v>1.6390791116568693</v>
      </c>
      <c r="AA206">
        <f ca="1"/>
        <v>0</v>
      </c>
      <c r="AB206">
        <f ca="1"/>
        <v>0.9667941630116611</v>
      </c>
      <c r="AD206" s="2">
        <f t="shared" ca="1" si="32"/>
        <v>45567</v>
      </c>
      <c r="AE206">
        <f t="shared" ca="1" si="33"/>
        <v>0</v>
      </c>
      <c r="AG206" s="63">
        <f t="shared" ca="1" si="37"/>
        <v>4.0851283451613671</v>
      </c>
      <c r="AH206" s="63">
        <f t="shared" ca="1" si="38"/>
        <v>4.0851283451613671</v>
      </c>
      <c r="AI206" s="3">
        <f t="shared" ca="1" si="39"/>
        <v>0</v>
      </c>
    </row>
    <row r="207" spans="7:35">
      <c r="G207" s="3">
        <f t="shared" ca="1" si="34"/>
        <v>232</v>
      </c>
      <c r="H207" s="95">
        <f t="shared" ca="1" si="36"/>
        <v>45522</v>
      </c>
      <c r="I207" s="119">
        <f ca="1">HLOOKUP($H$5,'Met Data'!$A$2:$F$368,G207,FALSE)</f>
        <v>9.4833333333333307</v>
      </c>
      <c r="J207" s="119">
        <f ca="1">HLOOKUP($H$5,'Met Data'!$H$2:$M$368,G207,FALSE)*L207</f>
        <v>2.1333333333333302</v>
      </c>
      <c r="K207" s="96">
        <f ca="1">HLOOKUP($H$5,'Met Data'!$O$2:$T$368,G207,FALSE)</f>
        <v>1.56092628574794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45568</v>
      </c>
      <c r="Q207">
        <f ca="1"/>
        <v>5.1285349949071328</v>
      </c>
      <c r="R207">
        <f ca="1"/>
        <v>0</v>
      </c>
      <c r="S207">
        <f ca="1"/>
        <v>4.5605787123889741E-2</v>
      </c>
      <c r="T207">
        <f ca="1"/>
        <v>1.0333027094062162</v>
      </c>
      <c r="U207">
        <f ca="1"/>
        <v>0</v>
      </c>
      <c r="V207">
        <f ca="1"/>
        <v>0</v>
      </c>
      <c r="W207">
        <f ca="1"/>
        <v>0</v>
      </c>
      <c r="X207">
        <f ca="1"/>
        <v>0</v>
      </c>
      <c r="Y207">
        <f ca="1"/>
        <v>0.97978097742490833</v>
      </c>
      <c r="Z207">
        <f ca="1"/>
        <v>0</v>
      </c>
      <c r="AA207">
        <f ca="1"/>
        <v>0</v>
      </c>
      <c r="AB207">
        <f ca="1"/>
        <v>0.9727977397398847</v>
      </c>
      <c r="AD207" s="2">
        <f t="shared" ca="1" si="32"/>
        <v>45568</v>
      </c>
      <c r="AE207">
        <f t="shared" ca="1" si="33"/>
        <v>0</v>
      </c>
      <c r="AG207" s="63">
        <f t="shared" ca="1" si="37"/>
        <v>5.1285349949071328</v>
      </c>
      <c r="AH207" s="63">
        <f t="shared" ca="1" si="38"/>
        <v>5.1285349949071328</v>
      </c>
      <c r="AI207" s="3">
        <f t="shared" ca="1" si="39"/>
        <v>0</v>
      </c>
    </row>
    <row r="208" spans="7:35">
      <c r="G208" s="3">
        <f t="shared" ca="1" si="34"/>
        <v>233</v>
      </c>
      <c r="H208" s="95">
        <f t="shared" ca="1" si="36"/>
        <v>45523</v>
      </c>
      <c r="I208" s="119">
        <f ca="1">HLOOKUP($H$5,'Met Data'!$A$2:$F$368,G208,FALSE)</f>
        <v>9.2583333333333293</v>
      </c>
      <c r="J208" s="119">
        <f ca="1">HLOOKUP($H$5,'Met Data'!$H$2:$M$368,G208,FALSE)*L208</f>
        <v>3.65</v>
      </c>
      <c r="K208" s="96">
        <f ca="1">HLOOKUP($H$5,'Met Data'!$O$2:$T$368,G208,FALSE)</f>
        <v>1.4422774750484899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45569</v>
      </c>
      <c r="Q208">
        <f ca="1"/>
        <v>6.2219330735560261</v>
      </c>
      <c r="R208">
        <f ca="1"/>
        <v>0</v>
      </c>
      <c r="S208">
        <f ca="1"/>
        <v>6.5226559803278406E-2</v>
      </c>
      <c r="T208">
        <f ca="1"/>
        <v>1.0281715188456146</v>
      </c>
      <c r="U208">
        <f ca="1"/>
        <v>0</v>
      </c>
      <c r="V208">
        <f ca="1"/>
        <v>0</v>
      </c>
      <c r="W208">
        <f ca="1"/>
        <v>0</v>
      </c>
      <c r="X208">
        <f ca="1"/>
        <v>0</v>
      </c>
      <c r="Y208">
        <f ca="1"/>
        <v>0.97706600601763849</v>
      </c>
      <c r="Z208">
        <f ca="1"/>
        <v>0</v>
      </c>
      <c r="AA208">
        <f ca="1"/>
        <v>0</v>
      </c>
      <c r="AB208">
        <f ca="1"/>
        <v>0.97772057453085781</v>
      </c>
      <c r="AD208" s="2">
        <f t="shared" ca="1" si="32"/>
        <v>45569</v>
      </c>
      <c r="AE208">
        <f t="shared" ca="1" si="33"/>
        <v>0</v>
      </c>
      <c r="AG208" s="63">
        <f t="shared" ca="1" si="37"/>
        <v>6.2219330735560261</v>
      </c>
      <c r="AH208" s="63">
        <f t="shared" ca="1" si="38"/>
        <v>6.2219330735560261</v>
      </c>
      <c r="AI208" s="3">
        <f t="shared" ca="1" si="39"/>
        <v>0</v>
      </c>
    </row>
    <row r="209" spans="7:35">
      <c r="G209" s="3">
        <f t="shared" ca="1" si="34"/>
        <v>234</v>
      </c>
      <c r="H209" s="95">
        <f t="shared" ca="1" si="36"/>
        <v>45524</v>
      </c>
      <c r="I209" s="119">
        <f ca="1">HLOOKUP($H$5,'Met Data'!$A$2:$F$368,G209,FALSE)</f>
        <v>9.7708333333333304</v>
      </c>
      <c r="J209" s="119">
        <f ca="1">HLOOKUP($H$5,'Met Data'!$H$2:$M$368,G209,FALSE)*L209</f>
        <v>2.36666666666666</v>
      </c>
      <c r="K209" s="96">
        <f ca="1">HLOOKUP($H$5,'Met Data'!$O$2:$T$368,G209,FALSE)</f>
        <v>1.70464821639982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45570</v>
      </c>
      <c r="Q209">
        <f ca="1"/>
        <v>7.3226012313399584</v>
      </c>
      <c r="R209">
        <f ca="1"/>
        <v>0</v>
      </c>
      <c r="S209">
        <f ca="1"/>
        <v>8.300142714365677E-2</v>
      </c>
      <c r="T209">
        <f ca="1"/>
        <v>1.0176667306402758</v>
      </c>
      <c r="U209">
        <f ca="1"/>
        <v>0</v>
      </c>
      <c r="V209">
        <f ca="1"/>
        <v>0</v>
      </c>
      <c r="W209">
        <f ca="1"/>
        <v>0</v>
      </c>
      <c r="X209">
        <f ca="1"/>
        <v>0</v>
      </c>
      <c r="Y209">
        <f ca="1"/>
        <v>0.9569293875466891</v>
      </c>
      <c r="Z209">
        <f ca="1"/>
        <v>0</v>
      </c>
      <c r="AA209">
        <f ca="1"/>
        <v>0</v>
      </c>
      <c r="AB209">
        <f ca="1"/>
        <v>0.98174995428404821</v>
      </c>
      <c r="AD209" s="2">
        <f t="shared" ca="1" si="32"/>
        <v>45570</v>
      </c>
      <c r="AE209">
        <f t="shared" ca="1" si="33"/>
        <v>0</v>
      </c>
      <c r="AG209" s="63">
        <f t="shared" ca="1" si="37"/>
        <v>7.3226012313399584</v>
      </c>
      <c r="AH209" s="63">
        <f t="shared" ca="1" si="38"/>
        <v>7.3226012313399584</v>
      </c>
      <c r="AI209" s="3">
        <f t="shared" ca="1" si="39"/>
        <v>0</v>
      </c>
    </row>
    <row r="210" spans="7:35">
      <c r="G210" s="3">
        <f t="shared" ca="1" si="34"/>
        <v>235</v>
      </c>
      <c r="H210" s="95">
        <f t="shared" ca="1" si="36"/>
        <v>45525</v>
      </c>
      <c r="I210" s="119">
        <f ca="1">HLOOKUP($H$5,'Met Data'!$A$2:$F$368,G210,FALSE)</f>
        <v>9.5208333333333304</v>
      </c>
      <c r="J210" s="119">
        <f ca="1">HLOOKUP($H$5,'Met Data'!$H$2:$M$368,G210,FALSE)*L210</f>
        <v>4.4666666666666597</v>
      </c>
      <c r="K210" s="96">
        <f ca="1">HLOOKUP($H$5,'Met Data'!$O$2:$T$368,G210,FALSE)</f>
        <v>1.6762831823304301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45571</v>
      </c>
      <c r="Q210">
        <f ca="1"/>
        <v>8.4457677808682874</v>
      </c>
      <c r="R210">
        <f ca="1"/>
        <v>0</v>
      </c>
      <c r="S210">
        <f ca="1"/>
        <v>0.10084646350524906</v>
      </c>
      <c r="T210">
        <f ca="1"/>
        <v>1.0223200860230794</v>
      </c>
      <c r="U210">
        <f ca="1"/>
        <v>0</v>
      </c>
      <c r="V210">
        <f ca="1"/>
        <v>0</v>
      </c>
      <c r="W210">
        <f ca="1"/>
        <v>0</v>
      </c>
      <c r="X210">
        <f ca="1"/>
        <v>0</v>
      </c>
      <c r="Y210">
        <f ca="1"/>
        <v>0.93857123158149269</v>
      </c>
      <c r="Z210">
        <f ca="1"/>
        <v>0</v>
      </c>
      <c r="AA210">
        <f ca="1"/>
        <v>0</v>
      </c>
      <c r="AB210">
        <f ca="1"/>
        <v>0.98513749681914209</v>
      </c>
      <c r="AD210" s="2">
        <f t="shared" ca="1" si="32"/>
        <v>45571</v>
      </c>
      <c r="AE210">
        <f t="shared" ca="1" si="33"/>
        <v>0</v>
      </c>
      <c r="AG210" s="63">
        <f t="shared" ca="1" si="37"/>
        <v>8.4457677808682874</v>
      </c>
      <c r="AH210" s="63">
        <f t="shared" ca="1" si="38"/>
        <v>8.4457677808682874</v>
      </c>
      <c r="AI210" s="3">
        <f t="shared" ca="1" si="39"/>
        <v>0</v>
      </c>
    </row>
    <row r="211" spans="7:35">
      <c r="G211" s="3">
        <f t="shared" ca="1" si="34"/>
        <v>236</v>
      </c>
      <c r="H211" s="95">
        <f t="shared" ca="1" si="36"/>
        <v>45526</v>
      </c>
      <c r="I211" s="119">
        <f ca="1">HLOOKUP($H$5,'Met Data'!$A$2:$F$368,G211,FALSE)</f>
        <v>9.5791666666666604</v>
      </c>
      <c r="J211" s="119">
        <f ca="1">HLOOKUP($H$5,'Met Data'!$H$2:$M$368,G211,FALSE)*L211</f>
        <v>1.4833333333333301</v>
      </c>
      <c r="K211" s="96">
        <f ca="1">HLOOKUP($H$5,'Met Data'!$O$2:$T$368,G211,FALSE)</f>
        <v>1.44273965203753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45572</v>
      </c>
      <c r="Q211">
        <f ca="1"/>
        <v>9.5893917559066981</v>
      </c>
      <c r="R211">
        <f ca="1"/>
        <v>0</v>
      </c>
      <c r="S211">
        <f ca="1"/>
        <v>0.11781531942132517</v>
      </c>
      <c r="T211">
        <f ca="1"/>
        <v>1.0258086556170858</v>
      </c>
      <c r="U211">
        <f ca="1"/>
        <v>0</v>
      </c>
      <c r="V211">
        <f ca="1"/>
        <v>0</v>
      </c>
      <c r="W211">
        <f ca="1"/>
        <v>0</v>
      </c>
      <c r="X211">
        <f ca="1"/>
        <v>0</v>
      </c>
      <c r="Y211">
        <f ca="1"/>
        <v>0.97730523420737803</v>
      </c>
      <c r="Z211">
        <f ca="1"/>
        <v>0</v>
      </c>
      <c r="AA211">
        <f ca="1"/>
        <v>0</v>
      </c>
      <c r="AB211">
        <f ca="1"/>
        <v>0.98784990472757983</v>
      </c>
      <c r="AD211" s="2">
        <f t="shared" ca="1" si="32"/>
        <v>45572</v>
      </c>
      <c r="AE211">
        <f t="shared" ca="1" si="33"/>
        <v>0</v>
      </c>
      <c r="AG211" s="63">
        <f t="shared" ca="1" si="37"/>
        <v>9.5893917559066981</v>
      </c>
      <c r="AH211" s="63">
        <f t="shared" ca="1" si="38"/>
        <v>9.5893917559066981</v>
      </c>
      <c r="AI211" s="3">
        <f t="shared" ca="1" si="39"/>
        <v>0</v>
      </c>
    </row>
    <row r="212" spans="7:35">
      <c r="G212" s="3">
        <f t="shared" ca="1" si="34"/>
        <v>237</v>
      </c>
      <c r="H212" s="95">
        <f t="shared" ca="1" si="36"/>
        <v>45527</v>
      </c>
      <c r="I212" s="119">
        <f ca="1">HLOOKUP($H$5,'Met Data'!$A$2:$F$368,G212,FALSE)</f>
        <v>9.8874999999999993</v>
      </c>
      <c r="J212" s="119">
        <f ca="1">HLOOKUP($H$5,'Met Data'!$H$2:$M$368,G212,FALSE)*L212</f>
        <v>0.56666666666666599</v>
      </c>
      <c r="K212" s="96">
        <f ca="1">HLOOKUP($H$5,'Met Data'!$O$2:$T$368,G212,FALSE)</f>
        <v>1.7386735184612501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45573</v>
      </c>
      <c r="Q212">
        <f ca="1"/>
        <v>10.712395762729916</v>
      </c>
      <c r="R212">
        <f ca="1"/>
        <v>0</v>
      </c>
      <c r="S212">
        <f ca="1"/>
        <v>0.12914796836616915</v>
      </c>
      <c r="T212">
        <f ca="1"/>
        <v>0.99385603845704862</v>
      </c>
      <c r="U212">
        <f ca="1"/>
        <v>0</v>
      </c>
      <c r="V212">
        <f ca="1"/>
        <v>0</v>
      </c>
      <c r="W212">
        <f ca="1"/>
        <v>0</v>
      </c>
      <c r="X212">
        <f ca="1"/>
        <v>0</v>
      </c>
      <c r="Y212">
        <f ca="1"/>
        <v>0.97546346432015785</v>
      </c>
      <c r="Z212">
        <f ca="1"/>
        <v>0</v>
      </c>
      <c r="AA212">
        <f ca="1"/>
        <v>0</v>
      </c>
      <c r="AB212">
        <f ca="1"/>
        <v>0.99001433563719465</v>
      </c>
      <c r="AD212" s="2">
        <f t="shared" ca="1" si="32"/>
        <v>45573</v>
      </c>
      <c r="AE212">
        <f t="shared" ca="1" si="33"/>
        <v>0</v>
      </c>
      <c r="AG212" s="63">
        <f t="shared" ca="1" si="37"/>
        <v>10.712395762729916</v>
      </c>
      <c r="AH212" s="63">
        <f t="shared" ca="1" si="38"/>
        <v>10.712395762729916</v>
      </c>
      <c r="AI212" s="3">
        <f t="shared" ca="1" si="39"/>
        <v>0</v>
      </c>
    </row>
    <row r="213" spans="7:35">
      <c r="G213" s="3">
        <f t="shared" ca="1" si="34"/>
        <v>238</v>
      </c>
      <c r="H213" s="95">
        <f t="shared" ca="1" si="36"/>
        <v>45528</v>
      </c>
      <c r="I213" s="119">
        <f ca="1">HLOOKUP($H$5,'Met Data'!$A$2:$F$368,G213,FALSE)</f>
        <v>9.7208333333333297</v>
      </c>
      <c r="J213" s="119">
        <f ca="1">HLOOKUP($H$5,'Met Data'!$H$2:$M$368,G213,FALSE)*L213</f>
        <v>2.4666666666666601</v>
      </c>
      <c r="K213" s="96">
        <f ca="1">HLOOKUP($H$5,'Met Data'!$O$2:$T$368,G213,FALSE)</f>
        <v>1.45538034550647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45574</v>
      </c>
      <c r="Q213">
        <f ca="1"/>
        <v>11.826843707864164</v>
      </c>
      <c r="R213">
        <f ca="1"/>
        <v>0</v>
      </c>
      <c r="S213">
        <f ca="1"/>
        <v>0.14014622586979897</v>
      </c>
      <c r="T213">
        <f ca="1"/>
        <v>0.97430171926444864</v>
      </c>
      <c r="U213">
        <f ca="1"/>
        <v>0</v>
      </c>
      <c r="V213">
        <f ca="1"/>
        <v>0</v>
      </c>
      <c r="W213">
        <f ca="1"/>
        <v>0</v>
      </c>
      <c r="X213">
        <f ca="1"/>
        <v>0</v>
      </c>
      <c r="Y213">
        <f ca="1"/>
        <v>0.98307939603407801</v>
      </c>
      <c r="Z213">
        <f ca="1"/>
        <v>0</v>
      </c>
      <c r="AA213">
        <f ca="1"/>
        <v>0</v>
      </c>
      <c r="AB213">
        <f ca="1"/>
        <v>0.99176659174209558</v>
      </c>
      <c r="AD213" s="2">
        <f t="shared" ca="1" si="32"/>
        <v>45574</v>
      </c>
      <c r="AE213">
        <f t="shared" ca="1" si="33"/>
        <v>0</v>
      </c>
      <c r="AG213" s="63">
        <f t="shared" ca="1" si="37"/>
        <v>11.826843707864164</v>
      </c>
      <c r="AH213" s="63">
        <f t="shared" ca="1" si="38"/>
        <v>11.826843707864164</v>
      </c>
      <c r="AI213" s="3">
        <f t="shared" ca="1" si="39"/>
        <v>0</v>
      </c>
    </row>
    <row r="214" spans="7:35">
      <c r="G214" s="3">
        <f t="shared" ca="1" si="34"/>
        <v>239</v>
      </c>
      <c r="H214" s="95">
        <f t="shared" ca="1" si="36"/>
        <v>45529</v>
      </c>
      <c r="I214" s="119">
        <f ca="1">HLOOKUP($H$5,'Met Data'!$A$2:$F$368,G214,FALSE)</f>
        <v>10.716666666666599</v>
      </c>
      <c r="J214" s="119">
        <f ca="1">HLOOKUP($H$5,'Met Data'!$H$2:$M$368,G214,FALSE)*L214</f>
        <v>3.0666666666666602</v>
      </c>
      <c r="K214" s="96">
        <f ca="1">HLOOKUP($H$5,'Met Data'!$O$2:$T$368,G214,FALSE)</f>
        <v>1.4899612238642299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45575</v>
      </c>
      <c r="Q214">
        <f ca="1"/>
        <v>13.06845624028375</v>
      </c>
      <c r="R214">
        <f ca="1"/>
        <v>0</v>
      </c>
      <c r="S214">
        <f ca="1"/>
        <v>0.17062284985865972</v>
      </c>
      <c r="T214">
        <f ca="1"/>
        <v>1.0830498254649579</v>
      </c>
      <c r="U214">
        <f ca="1"/>
        <v>0</v>
      </c>
      <c r="V214">
        <f ca="1"/>
        <v>0</v>
      </c>
      <c r="W214">
        <f ca="1"/>
        <v>0</v>
      </c>
      <c r="X214">
        <f ca="1"/>
        <v>1.2060142904032092E-2</v>
      </c>
      <c r="Y214">
        <f ca="1"/>
        <v>1</v>
      </c>
      <c r="Z214">
        <f ca="1"/>
        <v>0.17254091859399523</v>
      </c>
      <c r="AA214">
        <f ca="1"/>
        <v>0</v>
      </c>
      <c r="AB214">
        <f ca="1"/>
        <v>0.99334555721089546</v>
      </c>
      <c r="AD214" s="2">
        <f t="shared" ca="1" si="32"/>
        <v>45575</v>
      </c>
      <c r="AE214">
        <f t="shared" ca="1" si="33"/>
        <v>0</v>
      </c>
      <c r="AG214" s="63">
        <f t="shared" ca="1" si="37"/>
        <v>13.080516383187781</v>
      </c>
      <c r="AH214" s="63">
        <f t="shared" ca="1" si="38"/>
        <v>13.080516383187781</v>
      </c>
      <c r="AI214" s="3">
        <f t="shared" ca="1" si="39"/>
        <v>0</v>
      </c>
    </row>
    <row r="215" spans="7:35">
      <c r="G215" s="3">
        <f t="shared" ca="1" si="34"/>
        <v>240</v>
      </c>
      <c r="H215" s="95">
        <f t="shared" ca="1" si="36"/>
        <v>45530</v>
      </c>
      <c r="I215" s="119">
        <f ca="1">HLOOKUP($H$5,'Met Data'!$A$2:$F$368,G215,FALSE)</f>
        <v>10.754166666666601</v>
      </c>
      <c r="J215" s="119">
        <f ca="1">HLOOKUP($H$5,'Met Data'!$H$2:$M$368,G215,FALSE)*L215</f>
        <v>1.0333333333333301</v>
      </c>
      <c r="K215" s="96">
        <f ca="1">HLOOKUP($H$5,'Met Data'!$O$2:$T$368,G215,FALSE)</f>
        <v>1.6543487023337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45576</v>
      </c>
      <c r="Q215">
        <f ca="1"/>
        <v>14.348353311472732</v>
      </c>
      <c r="R215">
        <f ca="1"/>
        <v>0</v>
      </c>
      <c r="S215">
        <f ca="1"/>
        <v>0.18705033202272148</v>
      </c>
      <c r="T215">
        <f ca="1"/>
        <v>1.0928467391662602</v>
      </c>
      <c r="U215">
        <f ca="1"/>
        <v>0</v>
      </c>
      <c r="V215">
        <f ca="1"/>
        <v>0</v>
      </c>
      <c r="W215">
        <f ca="1"/>
        <v>0</v>
      </c>
      <c r="X215">
        <f ca="1"/>
        <v>0</v>
      </c>
      <c r="Y215">
        <f ca="1"/>
        <v>0.98542017841335083</v>
      </c>
      <c r="Z215">
        <f ca="1"/>
        <v>0</v>
      </c>
      <c r="AA215">
        <f ca="1"/>
        <v>0</v>
      </c>
      <c r="AB215">
        <f ca="1"/>
        <v>0.99463255117171434</v>
      </c>
      <c r="AD215" s="2">
        <f t="shared" ca="1" si="32"/>
        <v>45576</v>
      </c>
      <c r="AE215">
        <f t="shared" ca="1" si="33"/>
        <v>0</v>
      </c>
      <c r="AG215" s="63">
        <f t="shared" ca="1" si="37"/>
        <v>14.348353311472732</v>
      </c>
      <c r="AH215" s="63">
        <f t="shared" ca="1" si="38"/>
        <v>14.348353311472732</v>
      </c>
      <c r="AI215" s="3">
        <f t="shared" ca="1" si="39"/>
        <v>0</v>
      </c>
    </row>
    <row r="216" spans="7:35">
      <c r="G216" s="3">
        <f t="shared" ca="1" si="34"/>
        <v>241</v>
      </c>
      <c r="H216" s="95">
        <f t="shared" ca="1" si="36"/>
        <v>45531</v>
      </c>
      <c r="I216" s="119">
        <f ca="1">HLOOKUP($H$5,'Met Data'!$A$2:$F$368,G216,FALSE)</f>
        <v>11.0833333333333</v>
      </c>
      <c r="J216" s="119">
        <f ca="1">HLOOKUP($H$5,'Met Data'!$H$2:$M$368,G216,FALSE)*L216</f>
        <v>1.9</v>
      </c>
      <c r="K216" s="96">
        <f ca="1">HLOOKUP($H$5,'Met Data'!$O$2:$T$368,G216,FALSE)</f>
        <v>1.6425180639822501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45577</v>
      </c>
      <c r="Q216">
        <f ca="1"/>
        <v>15.59221489004266</v>
      </c>
      <c r="R216">
        <f ca="1"/>
        <v>0</v>
      </c>
      <c r="S216">
        <f ca="1"/>
        <v>0.19307330557182922</v>
      </c>
      <c r="T216">
        <f ca="1"/>
        <v>1.0507882729980997</v>
      </c>
      <c r="U216">
        <f ca="1"/>
        <v>0</v>
      </c>
      <c r="V216">
        <f ca="1"/>
        <v>0</v>
      </c>
      <c r="W216">
        <f ca="1"/>
        <v>0</v>
      </c>
      <c r="X216">
        <f ca="1"/>
        <v>0</v>
      </c>
      <c r="Y216">
        <f ca="1"/>
        <v>0.99914224969918641</v>
      </c>
      <c r="Z216">
        <f ca="1"/>
        <v>0</v>
      </c>
      <c r="AA216">
        <f ca="1"/>
        <v>0</v>
      </c>
      <c r="AB216">
        <f ca="1"/>
        <v>0.9956394688546959</v>
      </c>
      <c r="AD216" s="2">
        <f t="shared" ca="1" si="32"/>
        <v>45577</v>
      </c>
      <c r="AE216">
        <f t="shared" ca="1" si="33"/>
        <v>0</v>
      </c>
      <c r="AG216" s="63">
        <f t="shared" ca="1" si="37"/>
        <v>15.59221489004266</v>
      </c>
      <c r="AH216" s="63">
        <f t="shared" ca="1" si="38"/>
        <v>15.59221489004266</v>
      </c>
      <c r="AI216" s="3">
        <f t="shared" ca="1" si="39"/>
        <v>0</v>
      </c>
    </row>
    <row r="217" spans="7:35">
      <c r="G217" s="3">
        <f t="shared" ca="1" si="34"/>
        <v>242</v>
      </c>
      <c r="H217" s="95">
        <f t="shared" ca="1" si="36"/>
        <v>45532</v>
      </c>
      <c r="I217" s="119">
        <f ca="1">HLOOKUP($H$5,'Met Data'!$A$2:$F$368,G217,FALSE)</f>
        <v>10.5791666666666</v>
      </c>
      <c r="J217" s="119">
        <f ca="1">HLOOKUP($H$5,'Met Data'!$H$2:$M$368,G217,FALSE)*L217</f>
        <v>3.0166666666666599</v>
      </c>
      <c r="K217" s="96">
        <f ca="1">HLOOKUP($H$5,'Met Data'!$O$2:$T$368,G217,FALSE)</f>
        <v>1.5065040723285099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45578</v>
      </c>
      <c r="Q217">
        <f ca="1"/>
        <v>16.798991321961402</v>
      </c>
      <c r="R217">
        <f ca="1"/>
        <v>0</v>
      </c>
      <c r="S217">
        <f ca="1"/>
        <v>0.21757425578705636</v>
      </c>
      <c r="T217">
        <f ca="1"/>
        <v>1.1121910966239354</v>
      </c>
      <c r="U217">
        <f ca="1"/>
        <v>0</v>
      </c>
      <c r="V217">
        <f ca="1"/>
        <v>0</v>
      </c>
      <c r="W217">
        <f ca="1"/>
        <v>0</v>
      </c>
      <c r="X217">
        <f ca="1"/>
        <v>0.12298892049225058</v>
      </c>
      <c r="Y217">
        <f ca="1"/>
        <v>1</v>
      </c>
      <c r="Z217">
        <f ca="1"/>
        <v>1.3688212029275704</v>
      </c>
      <c r="AA217">
        <f ca="1"/>
        <v>0</v>
      </c>
      <c r="AB217">
        <f ca="1"/>
        <v>0.9964961667259522</v>
      </c>
      <c r="AD217" s="2">
        <f t="shared" ca="1" si="32"/>
        <v>45578</v>
      </c>
      <c r="AE217">
        <f t="shared" ca="1" si="33"/>
        <v>0</v>
      </c>
      <c r="AG217" s="63">
        <f t="shared" ca="1" si="37"/>
        <v>16.921980242453653</v>
      </c>
      <c r="AH217" s="63">
        <f t="shared" ca="1" si="38"/>
        <v>16.921980242453653</v>
      </c>
      <c r="AI217" s="3">
        <f t="shared" ca="1" si="39"/>
        <v>0</v>
      </c>
    </row>
    <row r="218" spans="7:35">
      <c r="G218" s="3">
        <f t="shared" ca="1" si="34"/>
        <v>243</v>
      </c>
      <c r="H218" s="95">
        <f t="shared" ca="1" si="36"/>
        <v>45533</v>
      </c>
      <c r="I218" s="119">
        <f ca="1">HLOOKUP($H$5,'Met Data'!$A$2:$F$368,G218,FALSE)</f>
        <v>11.1208333333333</v>
      </c>
      <c r="J218" s="119">
        <f ca="1">HLOOKUP($H$5,'Met Data'!$H$2:$M$368,G218,FALSE)*L218</f>
        <v>1.56666666666666</v>
      </c>
      <c r="K218" s="96">
        <f ca="1">HLOOKUP($H$5,'Met Data'!$O$2:$T$368,G218,FALSE)</f>
        <v>1.7782422370636499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45579</v>
      </c>
      <c r="Q218">
        <f ca="1"/>
        <v>17.954661287996004</v>
      </c>
      <c r="R218">
        <f ca="1"/>
        <v>0</v>
      </c>
      <c r="S218">
        <f ca="1"/>
        <v>0.22843699449647659</v>
      </c>
      <c r="T218">
        <f ca="1"/>
        <v>1.103521880921035</v>
      </c>
      <c r="U218">
        <f ca="1"/>
        <v>0</v>
      </c>
      <c r="V218">
        <f ca="1"/>
        <v>0</v>
      </c>
      <c r="W218">
        <f ca="1"/>
        <v>0</v>
      </c>
      <c r="X218">
        <f ca="1"/>
        <v>0.17628890938291189</v>
      </c>
      <c r="Y218">
        <f ca="1"/>
        <v>1</v>
      </c>
      <c r="Z218">
        <f ca="1"/>
        <v>1.8357422959121621</v>
      </c>
      <c r="AA218">
        <f ca="1"/>
        <v>0</v>
      </c>
      <c r="AB218">
        <f ca="1"/>
        <v>0.99718079877935395</v>
      </c>
      <c r="AD218" s="2">
        <f t="shared" ca="1" si="32"/>
        <v>45579</v>
      </c>
      <c r="AE218">
        <f t="shared" ca="1" si="33"/>
        <v>0</v>
      </c>
      <c r="AG218" s="63">
        <f t="shared" ca="1" si="37"/>
        <v>18.130950197378915</v>
      </c>
      <c r="AH218" s="63">
        <f t="shared" ca="1" si="38"/>
        <v>18.130950197378915</v>
      </c>
      <c r="AI218" s="3">
        <f t="shared" ca="1" si="39"/>
        <v>0</v>
      </c>
    </row>
    <row r="219" spans="7:35">
      <c r="G219" s="3">
        <f t="shared" ca="1" si="34"/>
        <v>244</v>
      </c>
      <c r="H219" s="95">
        <f t="shared" ca="1" si="36"/>
        <v>45534</v>
      </c>
      <c r="I219" s="119">
        <f ca="1">HLOOKUP($H$5,'Met Data'!$A$2:$F$368,G219,FALSE)</f>
        <v>10.6666666666666</v>
      </c>
      <c r="J219" s="119">
        <f ca="1">HLOOKUP($H$5,'Met Data'!$H$2:$M$368,G219,FALSE)*L219</f>
        <v>1.7333333333333301</v>
      </c>
      <c r="K219" s="96">
        <f ca="1">HLOOKUP($H$5,'Met Data'!$O$2:$T$368,G219,FALSE)</f>
        <v>1.8075127039194601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45580</v>
      </c>
      <c r="Q219">
        <f ca="1"/>
        <v>19.253938901702899</v>
      </c>
      <c r="R219">
        <f ca="1"/>
        <v>0</v>
      </c>
      <c r="S219">
        <f ca="1"/>
        <v>0.23203109896500962</v>
      </c>
      <c r="T219">
        <f ca="1"/>
        <v>1.0672465147418841</v>
      </c>
      <c r="U219">
        <f ca="1"/>
        <v>0</v>
      </c>
      <c r="V219">
        <f ca="1"/>
        <v>0</v>
      </c>
      <c r="W219">
        <f ca="1"/>
        <v>0</v>
      </c>
      <c r="X219">
        <f ca="1"/>
        <v>0</v>
      </c>
      <c r="Y219">
        <f ca="1"/>
        <v>0.97567831351785628</v>
      </c>
      <c r="Z219">
        <f ca="1"/>
        <v>0</v>
      </c>
      <c r="AA219">
        <f ca="1"/>
        <v>0</v>
      </c>
      <c r="AB219">
        <f ca="1"/>
        <v>0.99771747671816491</v>
      </c>
      <c r="AD219" s="2">
        <f t="shared" ca="1" si="32"/>
        <v>45580</v>
      </c>
      <c r="AE219">
        <f t="shared" ca="1" si="33"/>
        <v>0</v>
      </c>
      <c r="AG219" s="63">
        <f t="shared" ca="1" si="37"/>
        <v>19.253938901702899</v>
      </c>
      <c r="AH219" s="63">
        <f t="shared" ca="1" si="38"/>
        <v>19.253938901702899</v>
      </c>
      <c r="AI219" s="3">
        <f t="shared" ca="1" si="39"/>
        <v>0</v>
      </c>
    </row>
    <row r="220" spans="7:35">
      <c r="G220" s="3">
        <f t="shared" ca="1" si="34"/>
        <v>245</v>
      </c>
      <c r="H220" s="95">
        <f t="shared" ca="1" si="36"/>
        <v>45535</v>
      </c>
      <c r="I220" s="119">
        <f ca="1">HLOOKUP($H$5,'Met Data'!$A$2:$F$368,G220,FALSE)</f>
        <v>10.1208333333333</v>
      </c>
      <c r="J220" s="119">
        <f ca="1">HLOOKUP($H$5,'Met Data'!$H$2:$M$368,G220,FALSE)*L220</f>
        <v>0.8</v>
      </c>
      <c r="K220" s="96">
        <f ca="1">HLOOKUP($H$5,'Met Data'!$O$2:$T$368,G220,FALSE)</f>
        <v>1.80445161149383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45581</v>
      </c>
      <c r="Q220">
        <f ca="1"/>
        <v>20.64645748204746</v>
      </c>
      <c r="R220">
        <f ca="1"/>
        <v>0</v>
      </c>
      <c r="S220">
        <f ca="1"/>
        <v>0.2578421232189072</v>
      </c>
      <c r="T220">
        <f ca="1"/>
        <v>1.1346764571256547</v>
      </c>
      <c r="U220">
        <f ca="1"/>
        <v>0</v>
      </c>
      <c r="V220">
        <f ca="1"/>
        <v>0</v>
      </c>
      <c r="W220">
        <f ca="1"/>
        <v>0</v>
      </c>
      <c r="X220">
        <f ca="1"/>
        <v>0</v>
      </c>
      <c r="Y220">
        <f ca="1"/>
        <v>0.97750421028599843</v>
      </c>
      <c r="Z220">
        <f ca="1"/>
        <v>0</v>
      </c>
      <c r="AA220">
        <f ca="1"/>
        <v>0</v>
      </c>
      <c r="AB220">
        <f ca="1"/>
        <v>0.99817373857785285</v>
      </c>
      <c r="AD220" s="2">
        <f t="shared" ca="1" si="32"/>
        <v>45581</v>
      </c>
      <c r="AE220">
        <f t="shared" ca="1" si="33"/>
        <v>0</v>
      </c>
      <c r="AG220" s="63">
        <f t="shared" ca="1" si="37"/>
        <v>20.64645748204746</v>
      </c>
      <c r="AH220" s="63">
        <f t="shared" ca="1" si="38"/>
        <v>20.64645748204746</v>
      </c>
      <c r="AI220" s="3">
        <f t="shared" ca="1" si="39"/>
        <v>0</v>
      </c>
    </row>
    <row r="221" spans="7:35">
      <c r="G221" s="3">
        <f t="shared" ca="1" si="34"/>
        <v>246</v>
      </c>
      <c r="H221" s="95">
        <f t="shared" ca="1" si="36"/>
        <v>45536</v>
      </c>
      <c r="I221" s="119">
        <f ca="1">HLOOKUP($H$5,'Met Data'!$A$2:$F$368,G221,FALSE)</f>
        <v>9.6624999999999996</v>
      </c>
      <c r="J221" s="119">
        <f ca="1">HLOOKUP($H$5,'Met Data'!$H$2:$M$368,G221,FALSE)*L221</f>
        <v>3.0833333333333299</v>
      </c>
      <c r="K221" s="96">
        <f ca="1">HLOOKUP($H$5,'Met Data'!$O$2:$T$368,G221,FALSE)</f>
        <v>1.4517482623371101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45582</v>
      </c>
      <c r="Q221">
        <f ca="1"/>
        <v>22.019181976020043</v>
      </c>
      <c r="R221">
        <f ca="1"/>
        <v>0</v>
      </c>
      <c r="S221">
        <f ca="1"/>
        <v>0.26260130712923058</v>
      </c>
      <c r="T221">
        <f ca="1"/>
        <v>1.1101231868433534</v>
      </c>
      <c r="U221">
        <f ca="1"/>
        <v>0</v>
      </c>
      <c r="V221">
        <f ca="1"/>
        <v>0</v>
      </c>
      <c r="W221">
        <f ca="1"/>
        <v>0</v>
      </c>
      <c r="X221">
        <f ca="1"/>
        <v>0</v>
      </c>
      <c r="Y221">
        <f ca="1"/>
        <v>0.99291340705107178</v>
      </c>
      <c r="Z221">
        <f ca="1"/>
        <v>0</v>
      </c>
      <c r="AA221">
        <f ca="1"/>
        <v>0</v>
      </c>
      <c r="AB221">
        <f ca="1"/>
        <v>0.99853274597691455</v>
      </c>
      <c r="AD221" s="2">
        <f t="shared" ca="1" si="32"/>
        <v>45582</v>
      </c>
      <c r="AE221">
        <f t="shared" ca="1" si="33"/>
        <v>0</v>
      </c>
      <c r="AG221" s="63">
        <f t="shared" ca="1" si="37"/>
        <v>22.019181976020043</v>
      </c>
      <c r="AH221" s="63">
        <f t="shared" ca="1" si="38"/>
        <v>22.019181976020043</v>
      </c>
      <c r="AI221" s="3">
        <f t="shared" ca="1" si="39"/>
        <v>0</v>
      </c>
    </row>
    <row r="222" spans="7:35">
      <c r="G222" s="3">
        <f t="shared" ca="1" si="34"/>
        <v>247</v>
      </c>
      <c r="H222" s="95">
        <f t="shared" ca="1" si="36"/>
        <v>45537</v>
      </c>
      <c r="I222" s="119">
        <f ca="1">HLOOKUP($H$5,'Met Data'!$A$2:$F$368,G222,FALSE)</f>
        <v>9.7541666666666593</v>
      </c>
      <c r="J222" s="119">
        <f ca="1">HLOOKUP($H$5,'Met Data'!$H$2:$M$368,G222,FALSE)*L222</f>
        <v>1.0833333333333299</v>
      </c>
      <c r="K222" s="96">
        <f ca="1">HLOOKUP($H$5,'Met Data'!$O$2:$T$368,G222,FALSE)</f>
        <v>1.75831978881469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45583</v>
      </c>
      <c r="Q222">
        <f ca="1"/>
        <v>23.325445984063602</v>
      </c>
      <c r="R222">
        <f ca="1"/>
        <v>0</v>
      </c>
      <c r="S222">
        <f ca="1"/>
        <v>0.25694398598783152</v>
      </c>
      <c r="T222">
        <f ca="1"/>
        <v>1.0493200220557268</v>
      </c>
      <c r="U222">
        <f ca="1"/>
        <v>0</v>
      </c>
      <c r="V222">
        <f ca="1"/>
        <v>0</v>
      </c>
      <c r="W222">
        <f ca="1"/>
        <v>0</v>
      </c>
      <c r="X222">
        <f ca="1"/>
        <v>0</v>
      </c>
      <c r="Y222">
        <f ca="1"/>
        <v>0.95790460769585961</v>
      </c>
      <c r="Z222">
        <f ca="1"/>
        <v>0</v>
      </c>
      <c r="AA222">
        <f ca="1"/>
        <v>0</v>
      </c>
      <c r="AB222">
        <f ca="1"/>
        <v>0.99880930113622779</v>
      </c>
      <c r="AD222" s="2">
        <f t="shared" ca="1" si="32"/>
        <v>45583</v>
      </c>
      <c r="AE222">
        <f t="shared" ca="1" si="33"/>
        <v>0</v>
      </c>
      <c r="AG222" s="63">
        <f t="shared" ca="1" si="37"/>
        <v>23.325445984063602</v>
      </c>
      <c r="AH222" s="63">
        <f t="shared" ca="1" si="38"/>
        <v>23.325445984063602</v>
      </c>
      <c r="AI222" s="3">
        <f t="shared" ca="1" si="39"/>
        <v>0</v>
      </c>
    </row>
    <row r="223" spans="7:35">
      <c r="G223" s="3">
        <f t="shared" ca="1" si="34"/>
        <v>248</v>
      </c>
      <c r="H223" s="95">
        <f t="shared" ca="1" si="36"/>
        <v>45538</v>
      </c>
      <c r="I223" s="119">
        <f ca="1">HLOOKUP($H$5,'Met Data'!$A$2:$F$368,G223,FALSE)</f>
        <v>10.0583333333333</v>
      </c>
      <c r="J223" s="119">
        <f ca="1">HLOOKUP($H$5,'Met Data'!$H$2:$M$368,G223,FALSE)*L223</f>
        <v>2.44999999999999</v>
      </c>
      <c r="K223" s="96">
        <f ca="1">HLOOKUP($H$5,'Met Data'!$O$2:$T$368,G223,FALSE)</f>
        <v>1.8005069619965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45584</v>
      </c>
      <c r="Q223">
        <f ca="1"/>
        <v>24.652408925468151</v>
      </c>
      <c r="R223">
        <f ca="1"/>
        <v>0</v>
      </c>
      <c r="S223">
        <f ca="1"/>
        <v>0.26742962209729626</v>
      </c>
      <c r="T223">
        <f ca="1"/>
        <v>1.0595333193072529</v>
      </c>
      <c r="U223">
        <f ca="1"/>
        <v>0</v>
      </c>
      <c r="V223">
        <f ca="1"/>
        <v>0</v>
      </c>
      <c r="W223">
        <f ca="1"/>
        <v>0</v>
      </c>
      <c r="X223">
        <f ca="1"/>
        <v>0</v>
      </c>
      <c r="Y223">
        <f ca="1"/>
        <v>0.92864565388118236</v>
      </c>
      <c r="Z223">
        <f ca="1"/>
        <v>0</v>
      </c>
      <c r="AA223">
        <f ca="1"/>
        <v>0</v>
      </c>
      <c r="AB223">
        <f ca="1"/>
        <v>0.99904225507843725</v>
      </c>
      <c r="AD223" s="2">
        <f t="shared" ca="1" si="32"/>
        <v>45584</v>
      </c>
      <c r="AE223">
        <f t="shared" ca="1" si="33"/>
        <v>0</v>
      </c>
      <c r="AG223" s="63">
        <f t="shared" ca="1" si="37"/>
        <v>24.652408925468151</v>
      </c>
      <c r="AH223" s="63">
        <f t="shared" ca="1" si="38"/>
        <v>24.652408925468151</v>
      </c>
      <c r="AI223" s="3">
        <f t="shared" ca="1" si="39"/>
        <v>0</v>
      </c>
    </row>
    <row r="224" spans="7:35">
      <c r="G224" s="3">
        <f t="shared" ca="1" si="34"/>
        <v>249</v>
      </c>
      <c r="H224" s="95">
        <f t="shared" ca="1" si="36"/>
        <v>45539</v>
      </c>
      <c r="I224" s="119">
        <f ca="1">HLOOKUP($H$5,'Met Data'!$A$2:$F$368,G224,FALSE)</f>
        <v>9.7750000000000004</v>
      </c>
      <c r="J224" s="119">
        <f ca="1">HLOOKUP($H$5,'Met Data'!$H$2:$M$368,G224,FALSE)*L224</f>
        <v>3.2</v>
      </c>
      <c r="K224" s="96">
        <f ca="1">HLOOKUP($H$5,'Met Data'!$O$2:$T$368,G224,FALSE)</f>
        <v>1.49919962363172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45585</v>
      </c>
      <c r="Q224">
        <f ca="1"/>
        <v>25.912462693455311</v>
      </c>
      <c r="R224">
        <f ca="1"/>
        <v>0</v>
      </c>
      <c r="S224">
        <f ca="1"/>
        <v>0.25940681639524144</v>
      </c>
      <c r="T224">
        <f ca="1"/>
        <v>1.0006469515919176</v>
      </c>
      <c r="U224">
        <f ca="1"/>
        <v>0</v>
      </c>
      <c r="V224">
        <f ca="1"/>
        <v>0</v>
      </c>
      <c r="W224">
        <f ca="1"/>
        <v>0</v>
      </c>
      <c r="X224">
        <f ca="1"/>
        <v>0</v>
      </c>
      <c r="Y224">
        <f ca="1"/>
        <v>0.89585528765940259</v>
      </c>
      <c r="Z224">
        <f ca="1"/>
        <v>0</v>
      </c>
      <c r="AA224">
        <f ca="1"/>
        <v>0</v>
      </c>
      <c r="AB224">
        <f ca="1"/>
        <v>0.99922734670355751</v>
      </c>
      <c r="AD224" s="2">
        <f t="shared" ca="1" si="32"/>
        <v>45585</v>
      </c>
      <c r="AE224">
        <f t="shared" ca="1" si="33"/>
        <v>0</v>
      </c>
      <c r="AG224" s="63">
        <f t="shared" ca="1" si="37"/>
        <v>25.912462693455311</v>
      </c>
      <c r="AH224" s="63">
        <f t="shared" ca="1" si="38"/>
        <v>25.912462693455311</v>
      </c>
      <c r="AI224" s="3">
        <f t="shared" ca="1" si="39"/>
        <v>0</v>
      </c>
    </row>
    <row r="225" spans="7:35">
      <c r="G225" s="3">
        <f t="shared" ca="1" si="34"/>
        <v>250</v>
      </c>
      <c r="H225" s="95">
        <f t="shared" ca="1" si="36"/>
        <v>45540</v>
      </c>
      <c r="I225" s="119">
        <f ca="1">HLOOKUP($H$5,'Met Data'!$A$2:$F$368,G225,FALSE)</f>
        <v>10.3333333333333</v>
      </c>
      <c r="J225" s="119">
        <f ca="1">HLOOKUP($H$5,'Met Data'!$H$2:$M$368,G225,FALSE)*L225</f>
        <v>5.93333333333333</v>
      </c>
      <c r="K225" s="96">
        <f ca="1">HLOOKUP($H$5,'Met Data'!$O$2:$T$368,G225,FALSE)</f>
        <v>1.4735664157819599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45586</v>
      </c>
      <c r="Q225">
        <f ca="1"/>
        <v>27.27280819875979</v>
      </c>
      <c r="R225">
        <f ca="1"/>
        <v>0</v>
      </c>
      <c r="S225">
        <f ca="1"/>
        <v>0.28549688491986558</v>
      </c>
      <c r="T225">
        <f ca="1"/>
        <v>1.0748486203846157</v>
      </c>
      <c r="U225">
        <f ca="1"/>
        <v>0</v>
      </c>
      <c r="V225">
        <f ca="1"/>
        <v>0</v>
      </c>
      <c r="W225">
        <f ca="1"/>
        <v>0</v>
      </c>
      <c r="X225">
        <f ca="1"/>
        <v>0</v>
      </c>
      <c r="Y225">
        <f ca="1"/>
        <v>0.92174363300863704</v>
      </c>
      <c r="Z225">
        <f ca="1"/>
        <v>0</v>
      </c>
      <c r="AA225">
        <f ca="1"/>
        <v>0</v>
      </c>
      <c r="AB225">
        <f ca="1"/>
        <v>0.99938131756538229</v>
      </c>
      <c r="AD225" s="2">
        <f t="shared" ca="1" si="32"/>
        <v>45586</v>
      </c>
      <c r="AE225">
        <f t="shared" ca="1" si="33"/>
        <v>0</v>
      </c>
      <c r="AG225" s="63">
        <f t="shared" ca="1" si="37"/>
        <v>27.27280819875979</v>
      </c>
      <c r="AH225" s="63">
        <f t="shared" ca="1" si="38"/>
        <v>27.27280819875979</v>
      </c>
      <c r="AI225" s="3">
        <f t="shared" ca="1" si="39"/>
        <v>0</v>
      </c>
    </row>
    <row r="226" spans="7:35">
      <c r="G226" s="3">
        <f t="shared" ca="1" si="34"/>
        <v>251</v>
      </c>
      <c r="H226" s="95">
        <f t="shared" ca="1" si="36"/>
        <v>45541</v>
      </c>
      <c r="I226" s="119">
        <f ca="1">HLOOKUP($H$5,'Met Data'!$A$2:$F$368,G226,FALSE)</f>
        <v>10.7708333333333</v>
      </c>
      <c r="J226" s="119">
        <f ca="1">HLOOKUP($H$5,'Met Data'!$H$2:$M$368,G226,FALSE)*L226</f>
        <v>1.2</v>
      </c>
      <c r="K226" s="96">
        <f ca="1">HLOOKUP($H$5,'Met Data'!$O$2:$T$368,G226,FALSE)</f>
        <v>1.8170202832795099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45587</v>
      </c>
      <c r="Q226">
        <f ca="1"/>
        <v>28.560231853474875</v>
      </c>
      <c r="R226">
        <f ca="1"/>
        <v>0</v>
      </c>
      <c r="S226">
        <f ca="1"/>
        <v>0.27493768271587271</v>
      </c>
      <c r="T226">
        <f ca="1"/>
        <v>1.012485971999211</v>
      </c>
      <c r="U226">
        <f ca="1"/>
        <v>0</v>
      </c>
      <c r="V226">
        <f ca="1"/>
        <v>0</v>
      </c>
      <c r="W226">
        <f ca="1"/>
        <v>0</v>
      </c>
      <c r="X226">
        <f ca="1"/>
        <v>0</v>
      </c>
      <c r="Y226">
        <f ca="1"/>
        <v>0.92393511349444268</v>
      </c>
      <c r="Z226">
        <f ca="1"/>
        <v>0</v>
      </c>
      <c r="AA226">
        <f ca="1"/>
        <v>0</v>
      </c>
      <c r="AB226">
        <f ca="1"/>
        <v>0.99949865730542164</v>
      </c>
      <c r="AD226" s="2">
        <f t="shared" ca="1" si="32"/>
        <v>45587</v>
      </c>
      <c r="AE226">
        <f t="shared" ca="1" si="33"/>
        <v>0</v>
      </c>
      <c r="AG226" s="63">
        <f t="shared" ca="1" si="37"/>
        <v>28.560231853474875</v>
      </c>
      <c r="AH226" s="63">
        <f t="shared" ca="1" si="38"/>
        <v>28.560231853474875</v>
      </c>
      <c r="AI226" s="3">
        <f t="shared" ca="1" si="39"/>
        <v>0</v>
      </c>
    </row>
    <row r="227" spans="7:35">
      <c r="G227" s="3">
        <f t="shared" ca="1" si="34"/>
        <v>252</v>
      </c>
      <c r="H227" s="95">
        <f t="shared" ca="1" si="36"/>
        <v>45542</v>
      </c>
      <c r="I227" s="119">
        <f ca="1">HLOOKUP($H$5,'Met Data'!$A$2:$F$368,G227,FALSE)</f>
        <v>10.5791666666666</v>
      </c>
      <c r="J227" s="119">
        <f ca="1">HLOOKUP($H$5,'Met Data'!$H$2:$M$368,G227,FALSE)*L227</f>
        <v>0.88333333333333297</v>
      </c>
      <c r="K227" s="96">
        <f ca="1">HLOOKUP($H$5,'Met Data'!$O$2:$T$368,G227,FALSE)</f>
        <v>1.8773510693625799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45588</v>
      </c>
      <c r="Q227">
        <f ca="1"/>
        <v>29.795392847510904</v>
      </c>
      <c r="R227">
        <f ca="1"/>
        <v>0</v>
      </c>
      <c r="S227">
        <f ca="1"/>
        <v>0.26772857786079385</v>
      </c>
      <c r="T227">
        <f ca="1"/>
        <v>0.96743241617523468</v>
      </c>
      <c r="U227">
        <f ca="1"/>
        <v>0</v>
      </c>
      <c r="V227">
        <f ca="1"/>
        <v>0</v>
      </c>
      <c r="W227">
        <f ca="1"/>
        <v>0</v>
      </c>
      <c r="X227">
        <f ca="1"/>
        <v>0</v>
      </c>
      <c r="Y227">
        <f ca="1"/>
        <v>0.88502881321530225</v>
      </c>
      <c r="Z227">
        <f ca="1"/>
        <v>0</v>
      </c>
      <c r="AA227">
        <f ca="1"/>
        <v>0</v>
      </c>
      <c r="AB227">
        <f ca="1"/>
        <v>0.99959404238566074</v>
      </c>
      <c r="AD227" s="2">
        <f t="shared" ca="1" si="32"/>
        <v>45588</v>
      </c>
      <c r="AE227">
        <f t="shared" ca="1" si="33"/>
        <v>0</v>
      </c>
      <c r="AG227" s="63">
        <f t="shared" ca="1" si="37"/>
        <v>29.795392847510904</v>
      </c>
      <c r="AH227" s="63">
        <f t="shared" ca="1" si="38"/>
        <v>29.795392847510904</v>
      </c>
      <c r="AI227" s="3">
        <f t="shared" ca="1" si="39"/>
        <v>0</v>
      </c>
    </row>
    <row r="228" spans="7:35">
      <c r="G228" s="3">
        <f t="shared" ca="1" si="34"/>
        <v>253</v>
      </c>
      <c r="H228" s="95">
        <f t="shared" ca="1" si="36"/>
        <v>45543</v>
      </c>
      <c r="I228" s="119">
        <f ca="1">HLOOKUP($H$5,'Met Data'!$A$2:$F$368,G228,FALSE)</f>
        <v>9.6125000000000007</v>
      </c>
      <c r="J228" s="119">
        <f ca="1">HLOOKUP($H$5,'Met Data'!$H$2:$M$368,G228,FALSE)*L228</f>
        <v>4.36666666666666</v>
      </c>
      <c r="K228" s="96">
        <f ca="1">HLOOKUP($H$5,'Met Data'!$O$2:$T$368,G228,FALSE)</f>
        <v>1.8525160666589899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45589</v>
      </c>
      <c r="Q228">
        <f ca="1"/>
        <v>31.052196344303699</v>
      </c>
      <c r="R228">
        <f ca="1"/>
        <v>0</v>
      </c>
      <c r="S228">
        <f ca="1"/>
        <v>0.27604379737667273</v>
      </c>
      <c r="T228">
        <f ca="1"/>
        <v>0.98075969941612151</v>
      </c>
      <c r="U228">
        <f ca="1"/>
        <v>0</v>
      </c>
      <c r="V228">
        <f ca="1"/>
        <v>0</v>
      </c>
      <c r="W228">
        <f ca="1"/>
        <v>0</v>
      </c>
      <c r="X228">
        <f ca="1"/>
        <v>0</v>
      </c>
      <c r="Y228">
        <f ca="1"/>
        <v>0.85445772573269008</v>
      </c>
      <c r="Z228">
        <f ca="1"/>
        <v>0</v>
      </c>
      <c r="AA228">
        <f ca="1"/>
        <v>0</v>
      </c>
      <c r="AB228">
        <f ca="1"/>
        <v>0.9996745906176816</v>
      </c>
      <c r="AD228" s="2">
        <f t="shared" ca="1" si="32"/>
        <v>45589</v>
      </c>
      <c r="AE228">
        <f t="shared" ca="1" si="33"/>
        <v>0</v>
      </c>
      <c r="AG228" s="63">
        <f t="shared" ca="1" si="37"/>
        <v>31.052196344303699</v>
      </c>
      <c r="AH228" s="63">
        <f t="shared" ca="1" si="38"/>
        <v>31.052196344303699</v>
      </c>
      <c r="AI228" s="3">
        <f t="shared" ca="1" si="39"/>
        <v>0</v>
      </c>
    </row>
    <row r="229" spans="7:35">
      <c r="G229" s="3">
        <f t="shared" ca="1" si="34"/>
        <v>254</v>
      </c>
      <c r="H229" s="95">
        <f t="shared" ca="1" si="36"/>
        <v>45544</v>
      </c>
      <c r="I229" s="119">
        <f ca="1">HLOOKUP($H$5,'Met Data'!$A$2:$F$368,G229,FALSE)</f>
        <v>10.0875</v>
      </c>
      <c r="J229" s="119">
        <f ca="1">HLOOKUP($H$5,'Met Data'!$H$2:$M$368,G229,FALSE)*L229</f>
        <v>3.44999999999999</v>
      </c>
      <c r="K229" s="96">
        <f ca="1">HLOOKUP($H$5,'Met Data'!$O$2:$T$368,G229,FALSE)</f>
        <v>1.67590206119575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45590</v>
      </c>
      <c r="Q229">
        <f ca="1"/>
        <v>32.438251479301705</v>
      </c>
      <c r="R229">
        <f ca="1"/>
        <v>0</v>
      </c>
      <c r="S229">
        <f ca="1"/>
        <v>0.30828424256580433</v>
      </c>
      <c r="T229">
        <f ca="1"/>
        <v>1.0777708924322047</v>
      </c>
      <c r="U229">
        <f ca="1"/>
        <v>0</v>
      </c>
      <c r="V229">
        <f ca="1"/>
        <v>0</v>
      </c>
      <c r="W229">
        <f ca="1"/>
        <v>0</v>
      </c>
      <c r="X229">
        <f ca="1"/>
        <v>0</v>
      </c>
      <c r="Y229">
        <f ca="1"/>
        <v>0.86563061450583723</v>
      </c>
      <c r="Z229">
        <f ca="1"/>
        <v>0</v>
      </c>
      <c r="AA229">
        <f ca="1"/>
        <v>0</v>
      </c>
      <c r="AB229">
        <f ca="1"/>
        <v>0.99974322337156063</v>
      </c>
      <c r="AD229" s="2">
        <f t="shared" ca="1" si="32"/>
        <v>45590</v>
      </c>
      <c r="AE229">
        <f t="shared" ca="1" si="33"/>
        <v>0</v>
      </c>
      <c r="AG229" s="63">
        <f t="shared" ca="1" si="37"/>
        <v>32.438251479301705</v>
      </c>
      <c r="AH229" s="63">
        <f t="shared" ca="1" si="38"/>
        <v>32.438251479301705</v>
      </c>
      <c r="AI229" s="3">
        <f t="shared" ca="1" si="39"/>
        <v>0</v>
      </c>
    </row>
    <row r="230" spans="7:35">
      <c r="G230" s="3">
        <f t="shared" ca="1" si="34"/>
        <v>255</v>
      </c>
      <c r="H230" s="95">
        <f t="shared" ca="1" si="36"/>
        <v>45545</v>
      </c>
      <c r="I230" s="119">
        <f ca="1">HLOOKUP($H$5,'Met Data'!$A$2:$F$368,G230,FALSE)</f>
        <v>10.6416666666666</v>
      </c>
      <c r="J230" s="119">
        <f ca="1">HLOOKUP($H$5,'Met Data'!$H$2:$M$368,G230,FALSE)*L230</f>
        <v>6.4666666666666597</v>
      </c>
      <c r="K230" s="96">
        <f ca="1">HLOOKUP($H$5,'Met Data'!$O$2:$T$368,G230,FALSE)</f>
        <v>1.7070370554204599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45591</v>
      </c>
      <c r="Q230">
        <f ca="1"/>
        <v>33.922984213229746</v>
      </c>
      <c r="R230">
        <f ca="1"/>
        <v>0</v>
      </c>
      <c r="S230">
        <f ca="1"/>
        <v>0.33426982854354037</v>
      </c>
      <c r="T230">
        <f ca="1"/>
        <v>1.1504629053845037</v>
      </c>
      <c r="U230">
        <f ca="1"/>
        <v>0</v>
      </c>
      <c r="V230">
        <f ca="1"/>
        <v>0</v>
      </c>
      <c r="W230">
        <f ca="1"/>
        <v>0</v>
      </c>
      <c r="X230">
        <f ca="1"/>
        <v>0</v>
      </c>
      <c r="Y230">
        <f ca="1"/>
        <v>0.90813367141920431</v>
      </c>
      <c r="Z230">
        <f ca="1"/>
        <v>0</v>
      </c>
      <c r="AA230">
        <f ca="1"/>
        <v>0</v>
      </c>
      <c r="AB230">
        <f ca="1"/>
        <v>0.99979783330782057</v>
      </c>
      <c r="AD230" s="2">
        <f t="shared" ca="1" si="32"/>
        <v>45591</v>
      </c>
      <c r="AE230">
        <f t="shared" ca="1" si="33"/>
        <v>0</v>
      </c>
      <c r="AG230" s="63">
        <f t="shared" ca="1" si="37"/>
        <v>33.922984213229746</v>
      </c>
      <c r="AH230" s="63">
        <f t="shared" ca="1" si="38"/>
        <v>33.922984213229746</v>
      </c>
      <c r="AI230" s="3">
        <f t="shared" ca="1" si="39"/>
        <v>0</v>
      </c>
    </row>
    <row r="231" spans="7:35">
      <c r="G231" s="3">
        <f t="shared" ca="1" si="34"/>
        <v>256</v>
      </c>
      <c r="H231" s="95">
        <f t="shared" ca="1" si="36"/>
        <v>45546</v>
      </c>
      <c r="I231" s="119">
        <f ca="1">HLOOKUP($H$5,'Met Data'!$A$2:$F$368,G231,FALSE)</f>
        <v>10.4541666666666</v>
      </c>
      <c r="J231" s="119">
        <f ca="1">HLOOKUP($H$5,'Met Data'!$H$2:$M$368,G231,FALSE)*L231</f>
        <v>2.0166666666666599</v>
      </c>
      <c r="K231" s="96">
        <f ca="1">HLOOKUP($H$5,'Met Data'!$O$2:$T$368,G231,FALSE)</f>
        <v>1.9219866027073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45592</v>
      </c>
      <c r="Q231">
        <f ca="1"/>
        <v>35.44981172125582</v>
      </c>
      <c r="R231">
        <f ca="1"/>
        <v>0</v>
      </c>
      <c r="S231">
        <f ca="1"/>
        <v>0.34763148060005733</v>
      </c>
      <c r="T231">
        <f ca="1"/>
        <v>1.179196027426016</v>
      </c>
      <c r="U231">
        <f ca="1"/>
        <v>0</v>
      </c>
      <c r="V231">
        <f ca="1"/>
        <v>0</v>
      </c>
      <c r="W231">
        <f ca="1"/>
        <v>0</v>
      </c>
      <c r="X231">
        <f ca="1"/>
        <v>0</v>
      </c>
      <c r="Y231">
        <f ca="1"/>
        <v>0.96467162174629006</v>
      </c>
      <c r="Z231">
        <f ca="1"/>
        <v>0</v>
      </c>
      <c r="AA231">
        <f ca="1"/>
        <v>0</v>
      </c>
      <c r="AB231">
        <f ca="1"/>
        <v>0.99983952491774652</v>
      </c>
      <c r="AD231" s="2">
        <f t="shared" ca="1" si="32"/>
        <v>45592</v>
      </c>
      <c r="AE231">
        <f t="shared" ca="1" si="33"/>
        <v>0</v>
      </c>
      <c r="AG231" s="63">
        <f t="shared" ca="1" si="37"/>
        <v>35.44981172125582</v>
      </c>
      <c r="AH231" s="63">
        <f t="shared" ca="1" si="38"/>
        <v>35.44981172125582</v>
      </c>
      <c r="AI231" s="3">
        <f t="shared" ca="1" si="39"/>
        <v>0</v>
      </c>
    </row>
    <row r="232" spans="7:35">
      <c r="G232" s="3">
        <f t="shared" ca="1" si="34"/>
        <v>257</v>
      </c>
      <c r="H232" s="95">
        <f t="shared" ca="1" si="36"/>
        <v>45547</v>
      </c>
      <c r="I232" s="119">
        <f ca="1">HLOOKUP($H$5,'Met Data'!$A$2:$F$368,G232,FALSE)</f>
        <v>11.216666666666599</v>
      </c>
      <c r="J232" s="119">
        <f ca="1">HLOOKUP($H$5,'Met Data'!$H$2:$M$368,G232,FALSE)*L232</f>
        <v>1.4833333333333301</v>
      </c>
      <c r="K232" s="96">
        <f ca="1">HLOOKUP($H$5,'Met Data'!$O$2:$T$368,G232,FALSE)</f>
        <v>1.86072433418519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45593</v>
      </c>
      <c r="Q232">
        <f ca="1"/>
        <v>37.05418438556832</v>
      </c>
      <c r="R232">
        <f ca="1"/>
        <v>0</v>
      </c>
      <c r="S232">
        <f ca="1"/>
        <v>0.36903260260935156</v>
      </c>
      <c r="T232">
        <f ca="1"/>
        <v>1.2353400617031485</v>
      </c>
      <c r="U232">
        <f ca="1"/>
        <v>0</v>
      </c>
      <c r="V232">
        <f ca="1"/>
        <v>0</v>
      </c>
      <c r="W232">
        <f ca="1"/>
        <v>0</v>
      </c>
      <c r="X232">
        <f ca="1"/>
        <v>0</v>
      </c>
      <c r="Y232">
        <f ca="1"/>
        <v>0.98082334892727063</v>
      </c>
      <c r="Z232">
        <f ca="1"/>
        <v>0</v>
      </c>
      <c r="AA232">
        <f ca="1"/>
        <v>0</v>
      </c>
      <c r="AB232">
        <f ca="1"/>
        <v>0.99987379230282392</v>
      </c>
      <c r="AD232" s="2">
        <f t="shared" ca="1" si="32"/>
        <v>45593</v>
      </c>
      <c r="AE232">
        <f t="shared" ca="1" si="33"/>
        <v>0</v>
      </c>
      <c r="AG232" s="63">
        <f t="shared" ca="1" si="37"/>
        <v>37.05418438556832</v>
      </c>
      <c r="AH232" s="63">
        <f t="shared" ca="1" si="38"/>
        <v>37.05418438556832</v>
      </c>
      <c r="AI232" s="3">
        <f t="shared" ca="1" si="39"/>
        <v>0</v>
      </c>
    </row>
    <row r="233" spans="7:35">
      <c r="G233" s="3">
        <f t="shared" ca="1" si="34"/>
        <v>258</v>
      </c>
      <c r="H233" s="95">
        <f t="shared" ca="1" si="36"/>
        <v>45548</v>
      </c>
      <c r="I233" s="119">
        <f ca="1">HLOOKUP($H$5,'Met Data'!$A$2:$F$368,G233,FALSE)</f>
        <v>11.1</v>
      </c>
      <c r="J233" s="119">
        <f ca="1">HLOOKUP($H$5,'Met Data'!$H$2:$M$368,G233,FALSE)*L233</f>
        <v>2.4166666666666599</v>
      </c>
      <c r="K233" s="96">
        <f ca="1">HLOOKUP($H$5,'Met Data'!$O$2:$T$368,G233,FALSE)</f>
        <v>1.6515892534407901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45594</v>
      </c>
      <c r="Q233">
        <f ca="1"/>
        <v>38.482020696121396</v>
      </c>
      <c r="R233">
        <f ca="1"/>
        <v>0</v>
      </c>
      <c r="S233">
        <f ca="1"/>
        <v>0.33126227627812455</v>
      </c>
      <c r="T233">
        <f ca="1"/>
        <v>1.0965740342749515</v>
      </c>
      <c r="U233">
        <f ca="1"/>
        <v>0</v>
      </c>
      <c r="V233">
        <f ca="1"/>
        <v>0</v>
      </c>
      <c r="W233">
        <f ca="1"/>
        <v>0</v>
      </c>
      <c r="X233">
        <f ca="1"/>
        <v>0</v>
      </c>
      <c r="Y233">
        <f ca="1"/>
        <v>0.92913117412809731</v>
      </c>
      <c r="Z233">
        <f ca="1"/>
        <v>0</v>
      </c>
      <c r="AA233">
        <f ca="1"/>
        <v>0</v>
      </c>
      <c r="AB233">
        <f ca="1"/>
        <v>0.99989916527256162</v>
      </c>
      <c r="AD233" s="2">
        <f t="shared" ca="1" si="32"/>
        <v>45594</v>
      </c>
      <c r="AE233">
        <f t="shared" ca="1" si="33"/>
        <v>0</v>
      </c>
      <c r="AG233" s="63">
        <f t="shared" ca="1" si="37"/>
        <v>38.482020696121396</v>
      </c>
      <c r="AH233" s="63">
        <f t="shared" ca="1" si="38"/>
        <v>38.482020696121396</v>
      </c>
      <c r="AI233" s="3">
        <f t="shared" ca="1" si="39"/>
        <v>0</v>
      </c>
    </row>
    <row r="234" spans="7:35">
      <c r="G234" s="3">
        <f t="shared" ca="1" si="34"/>
        <v>259</v>
      </c>
      <c r="H234" s="95">
        <f t="shared" ca="1" si="36"/>
        <v>45549</v>
      </c>
      <c r="I234" s="119">
        <f ca="1">HLOOKUP($H$5,'Met Data'!$A$2:$F$368,G234,FALSE)</f>
        <v>11.3708333333333</v>
      </c>
      <c r="J234" s="119">
        <f ca="1">HLOOKUP($H$5,'Met Data'!$H$2:$M$368,G234,FALSE)*L234</f>
        <v>1.3</v>
      </c>
      <c r="K234" s="96">
        <f ca="1">HLOOKUP($H$5,'Met Data'!$O$2:$T$368,G234,FALSE)</f>
        <v>1.8040111781852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45595</v>
      </c>
      <c r="Q234">
        <f ca="1"/>
        <v>39.868360255201139</v>
      </c>
      <c r="R234">
        <f ca="1"/>
        <v>0</v>
      </c>
      <c r="S234">
        <f ca="1"/>
        <v>0.32387314898893749</v>
      </c>
      <c r="T234">
        <f ca="1"/>
        <v>1.0624664100908068</v>
      </c>
      <c r="U234">
        <f ca="1"/>
        <v>0</v>
      </c>
      <c r="V234">
        <f ca="1"/>
        <v>0</v>
      </c>
      <c r="W234">
        <f ca="1"/>
        <v>0</v>
      </c>
      <c r="X234">
        <f ca="1"/>
        <v>0</v>
      </c>
      <c r="Y234">
        <f ca="1"/>
        <v>0.93441273604092601</v>
      </c>
      <c r="Z234">
        <f ca="1"/>
        <v>0</v>
      </c>
      <c r="AA234">
        <f ca="1"/>
        <v>0</v>
      </c>
      <c r="AB234">
        <f ca="1"/>
        <v>0.99991884057802971</v>
      </c>
      <c r="AD234" s="2">
        <f t="shared" ca="1" si="32"/>
        <v>45595</v>
      </c>
      <c r="AE234">
        <f t="shared" ca="1" si="33"/>
        <v>0</v>
      </c>
      <c r="AG234" s="63">
        <f t="shared" ca="1" si="37"/>
        <v>39.868360255201139</v>
      </c>
      <c r="AH234" s="63">
        <f t="shared" ca="1" si="38"/>
        <v>39.868360255201139</v>
      </c>
      <c r="AI234" s="3">
        <f t="shared" ca="1" si="39"/>
        <v>0</v>
      </c>
    </row>
    <row r="235" spans="7:35">
      <c r="G235" s="3">
        <f t="shared" ca="1" si="34"/>
        <v>260</v>
      </c>
      <c r="H235" s="95">
        <f t="shared" ca="1" si="36"/>
        <v>45550</v>
      </c>
      <c r="I235" s="119">
        <f ca="1">HLOOKUP($H$5,'Met Data'!$A$2:$F$368,G235,FALSE)</f>
        <v>11.2916666666666</v>
      </c>
      <c r="J235" s="119">
        <f ca="1">HLOOKUP($H$5,'Met Data'!$H$2:$M$368,G235,FALSE)*L235</f>
        <v>2.6</v>
      </c>
      <c r="K235" s="96">
        <f ca="1">HLOOKUP($H$5,'Met Data'!$O$2:$T$368,G235,FALSE)</f>
        <v>1.8880733064353601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45596</v>
      </c>
      <c r="Q235">
        <f ca="1"/>
        <v>41.226861383683826</v>
      </c>
      <c r="R235">
        <f ca="1"/>
        <v>0</v>
      </c>
      <c r="S235">
        <f ca="1"/>
        <v>0.31924224353656427</v>
      </c>
      <c r="T235">
        <f ca="1"/>
        <v>1.0392588849461195</v>
      </c>
      <c r="U235">
        <f ca="1"/>
        <v>0</v>
      </c>
      <c r="V235">
        <f ca="1"/>
        <v>0</v>
      </c>
      <c r="W235">
        <f ca="1"/>
        <v>0</v>
      </c>
      <c r="X235">
        <f ca="1"/>
        <v>0</v>
      </c>
      <c r="Y235">
        <f ca="1"/>
        <v>0.92668370848565706</v>
      </c>
      <c r="Z235">
        <f ca="1"/>
        <v>0</v>
      </c>
      <c r="AA235">
        <f ca="1"/>
        <v>0</v>
      </c>
      <c r="AB235">
        <f ca="1"/>
        <v>0.99993452228515001</v>
      </c>
      <c r="AD235" s="2">
        <f t="shared" ca="1" si="32"/>
        <v>45596</v>
      </c>
      <c r="AE235">
        <f t="shared" ca="1" si="33"/>
        <v>0</v>
      </c>
      <c r="AG235" s="63">
        <f t="shared" ca="1" si="37"/>
        <v>41.226861383683826</v>
      </c>
      <c r="AH235" s="63">
        <f t="shared" ca="1" si="38"/>
        <v>41.226861383683826</v>
      </c>
      <c r="AI235" s="3">
        <f t="shared" ca="1" si="39"/>
        <v>0</v>
      </c>
    </row>
    <row r="236" spans="7:35">
      <c r="G236" s="3">
        <f t="shared" ca="1" si="34"/>
        <v>261</v>
      </c>
      <c r="H236" s="95">
        <f t="shared" ca="1" si="36"/>
        <v>45551</v>
      </c>
      <c r="I236" s="119">
        <f ca="1">HLOOKUP($H$5,'Met Data'!$A$2:$F$368,G236,FALSE)</f>
        <v>12.2125</v>
      </c>
      <c r="J236" s="119">
        <f ca="1">HLOOKUP($H$5,'Met Data'!$H$2:$M$368,G236,FALSE)*L236</f>
        <v>4.5999999999999996</v>
      </c>
      <c r="K236" s="96">
        <f ca="1">HLOOKUP($H$5,'Met Data'!$O$2:$T$368,G236,FALSE)</f>
        <v>2.0382752192881299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45597</v>
      </c>
      <c r="Q236">
        <f ca="1"/>
        <v>42.630937901157544</v>
      </c>
      <c r="R236">
        <f ca="1"/>
        <v>0</v>
      </c>
      <c r="S236">
        <f ca="1"/>
        <v>0.33164242359546847</v>
      </c>
      <c r="T236">
        <f ca="1"/>
        <v>1.0724340938782519</v>
      </c>
      <c r="U236">
        <f ca="1"/>
        <v>0</v>
      </c>
      <c r="V236">
        <f ca="1"/>
        <v>0</v>
      </c>
      <c r="W236">
        <f ca="1"/>
        <v>0</v>
      </c>
      <c r="X236">
        <f ca="1"/>
        <v>0</v>
      </c>
      <c r="Y236">
        <f ca="1"/>
        <v>0.89296686977913475</v>
      </c>
      <c r="Z236">
        <f ca="1"/>
        <v>0</v>
      </c>
      <c r="AA236">
        <f ca="1"/>
        <v>0</v>
      </c>
      <c r="AB236">
        <f ca="1"/>
        <v>0.99994792612466188</v>
      </c>
      <c r="AD236" s="2">
        <f t="shared" ca="1" si="32"/>
        <v>45597</v>
      </c>
      <c r="AE236">
        <f t="shared" ca="1" si="33"/>
        <v>0</v>
      </c>
      <c r="AG236" s="63">
        <f t="shared" ca="1" si="37"/>
        <v>42.630937901157544</v>
      </c>
      <c r="AH236" s="63">
        <f t="shared" ca="1" si="38"/>
        <v>42.630937901157544</v>
      </c>
      <c r="AI236" s="3">
        <f t="shared" ca="1" si="39"/>
        <v>0</v>
      </c>
    </row>
    <row r="237" spans="7:35">
      <c r="G237" s="3">
        <f t="shared" ca="1" si="34"/>
        <v>262</v>
      </c>
      <c r="H237" s="95">
        <f t="shared" ca="1" si="36"/>
        <v>45552</v>
      </c>
      <c r="I237" s="119">
        <f ca="1">HLOOKUP($H$5,'Met Data'!$A$2:$F$368,G237,FALSE)</f>
        <v>11.35</v>
      </c>
      <c r="J237" s="119">
        <f ca="1">HLOOKUP($H$5,'Met Data'!$H$2:$M$368,G237,FALSE)*L237</f>
        <v>3.93333333333333</v>
      </c>
      <c r="K237" s="96">
        <f ca="1">HLOOKUP($H$5,'Met Data'!$O$2:$T$368,G237,FALSE)</f>
        <v>2.00744960029109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45598</v>
      </c>
      <c r="Q237">
        <f ca="1"/>
        <v>44.261713579261439</v>
      </c>
      <c r="R237">
        <f ca="1"/>
        <v>0</v>
      </c>
      <c r="S237">
        <f ca="1"/>
        <v>0.38701973943868495</v>
      </c>
      <c r="T237">
        <f ca="1"/>
        <v>1.2437559386652079</v>
      </c>
      <c r="U237">
        <f ca="1"/>
        <v>0</v>
      </c>
      <c r="V237">
        <f ca="1"/>
        <v>0</v>
      </c>
      <c r="W237">
        <f ca="1"/>
        <v>0</v>
      </c>
      <c r="X237">
        <f ca="1"/>
        <v>0</v>
      </c>
      <c r="Y237">
        <f ca="1"/>
        <v>0.93955735752766645</v>
      </c>
      <c r="Z237">
        <f ca="1"/>
        <v>0</v>
      </c>
      <c r="AA237">
        <f ca="1"/>
        <v>0</v>
      </c>
      <c r="AB237">
        <f ca="1"/>
        <v>0.99995931891261625</v>
      </c>
      <c r="AD237" s="2">
        <f t="shared" ca="1" si="32"/>
        <v>45598</v>
      </c>
      <c r="AE237">
        <f t="shared" ca="1" si="33"/>
        <v>0</v>
      </c>
      <c r="AG237" s="63">
        <f t="shared" ca="1" si="37"/>
        <v>44.261713579261439</v>
      </c>
      <c r="AH237" s="63">
        <f t="shared" ca="1" si="38"/>
        <v>44.261713579261439</v>
      </c>
      <c r="AI237" s="3">
        <f t="shared" ca="1" si="39"/>
        <v>0</v>
      </c>
    </row>
    <row r="238" spans="7:35">
      <c r="G238" s="3">
        <f t="shared" ca="1" si="34"/>
        <v>263</v>
      </c>
      <c r="H238" s="95">
        <f t="shared" ca="1" si="36"/>
        <v>45553</v>
      </c>
      <c r="I238" s="119">
        <f ca="1">HLOOKUP($H$5,'Met Data'!$A$2:$F$368,G238,FALSE)</f>
        <v>10.504166666666601</v>
      </c>
      <c r="J238" s="119">
        <f ca="1">HLOOKUP($H$5,'Met Data'!$H$2:$M$368,G238,FALSE)*L238</f>
        <v>8.7333333333333307</v>
      </c>
      <c r="K238" s="96">
        <f ca="1">HLOOKUP($H$5,'Met Data'!$O$2:$T$368,G238,FALSE)</f>
        <v>1.9387559167362001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45599</v>
      </c>
      <c r="Q238">
        <f ca="1"/>
        <v>45.798179866641163</v>
      </c>
      <c r="R238">
        <f ca="1"/>
        <v>0</v>
      </c>
      <c r="S238">
        <f ca="1"/>
        <v>0.36612732525499325</v>
      </c>
      <c r="T238">
        <f ca="1"/>
        <v>1.1703389621247298</v>
      </c>
      <c r="U238">
        <f ca="1"/>
        <v>0</v>
      </c>
      <c r="V238">
        <f ca="1"/>
        <v>0</v>
      </c>
      <c r="W238">
        <f ca="1"/>
        <v>0</v>
      </c>
      <c r="X238">
        <f ca="1"/>
        <v>0</v>
      </c>
      <c r="Y238">
        <f ca="1"/>
        <v>0.92339830686715496</v>
      </c>
      <c r="Z238">
        <f ca="1"/>
        <v>0</v>
      </c>
      <c r="AA238">
        <f ca="1"/>
        <v>0</v>
      </c>
      <c r="AB238">
        <f ca="1"/>
        <v>0.99996795845036224</v>
      </c>
      <c r="AD238" s="2">
        <f t="shared" ca="1" si="32"/>
        <v>45599</v>
      </c>
      <c r="AE238">
        <f t="shared" ca="1" si="33"/>
        <v>0</v>
      </c>
      <c r="AG238" s="63">
        <f t="shared" ca="1" si="37"/>
        <v>45.798179866641163</v>
      </c>
      <c r="AH238" s="63">
        <f t="shared" ca="1" si="38"/>
        <v>45.798179866641163</v>
      </c>
      <c r="AI238" s="3">
        <f t="shared" ca="1" si="39"/>
        <v>0</v>
      </c>
    </row>
    <row r="239" spans="7:35">
      <c r="G239" s="3">
        <f t="shared" ca="1" si="34"/>
        <v>264</v>
      </c>
      <c r="H239" s="95">
        <f t="shared" ca="1" si="36"/>
        <v>45554</v>
      </c>
      <c r="I239" s="119">
        <f ca="1">HLOOKUP($H$5,'Met Data'!$A$2:$F$368,G239,FALSE)</f>
        <v>10.387499999999999</v>
      </c>
      <c r="J239" s="119">
        <f ca="1">HLOOKUP($H$5,'Met Data'!$H$2:$M$368,G239,FALSE)*L239</f>
        <v>3.85</v>
      </c>
      <c r="K239" s="96">
        <f ca="1">HLOOKUP($H$5,'Met Data'!$O$2:$T$368,G239,FALSE)</f>
        <v>2.0861830094945102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45600</v>
      </c>
      <c r="Q239">
        <f ca="1"/>
        <v>47.186937617052699</v>
      </c>
      <c r="R239">
        <f ca="1"/>
        <v>0</v>
      </c>
      <c r="S239">
        <f ca="1"/>
        <v>0.33193078808221799</v>
      </c>
      <c r="T239">
        <f ca="1"/>
        <v>1.0568269623293163</v>
      </c>
      <c r="U239">
        <f ca="1"/>
        <v>0</v>
      </c>
      <c r="V239">
        <f ca="1"/>
        <v>0</v>
      </c>
      <c r="W239">
        <f ca="1"/>
        <v>0</v>
      </c>
      <c r="X239">
        <f ca="1"/>
        <v>0</v>
      </c>
      <c r="Y239">
        <f ca="1"/>
        <v>0.88117211167098541</v>
      </c>
      <c r="Z239">
        <f ca="1"/>
        <v>0</v>
      </c>
      <c r="AA239">
        <f ca="1"/>
        <v>0</v>
      </c>
      <c r="AB239">
        <f ca="1"/>
        <v>0.99997451962656103</v>
      </c>
      <c r="AD239" s="2">
        <f t="shared" ca="1" si="32"/>
        <v>45600</v>
      </c>
      <c r="AE239">
        <f t="shared" ca="1" si="33"/>
        <v>0</v>
      </c>
      <c r="AG239" s="63">
        <f t="shared" ca="1" si="37"/>
        <v>47.186937617052699</v>
      </c>
      <c r="AH239" s="63">
        <f t="shared" ca="1" si="38"/>
        <v>47.186937617052699</v>
      </c>
      <c r="AI239" s="3">
        <f t="shared" ca="1" si="39"/>
        <v>0</v>
      </c>
    </row>
    <row r="240" spans="7:35">
      <c r="G240" s="3">
        <f t="shared" ca="1" si="34"/>
        <v>265</v>
      </c>
      <c r="H240" s="95">
        <f t="shared" ca="1" si="36"/>
        <v>45555</v>
      </c>
      <c r="I240" s="119">
        <f ca="1">HLOOKUP($H$5,'Met Data'!$A$2:$F$368,G240,FALSE)</f>
        <v>9.85</v>
      </c>
      <c r="J240" s="119">
        <f ca="1">HLOOKUP($H$5,'Met Data'!$H$2:$M$368,G240,FALSE)*L240</f>
        <v>1.7999999999999901</v>
      </c>
      <c r="K240" s="96">
        <f ca="1">HLOOKUP($H$5,'Met Data'!$O$2:$T$368,G240,FALSE)</f>
        <v>2.1398164486974101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45601</v>
      </c>
      <c r="Q240">
        <f ca="1"/>
        <v>48.466905620078059</v>
      </c>
      <c r="R240">
        <f ca="1"/>
        <v>0</v>
      </c>
      <c r="S240">
        <f ca="1"/>
        <v>0.30659428701555669</v>
      </c>
      <c r="T240">
        <f ca="1"/>
        <v>0.97337371600980616</v>
      </c>
      <c r="U240">
        <f ca="1"/>
        <v>0</v>
      </c>
      <c r="V240">
        <f ca="1"/>
        <v>0</v>
      </c>
      <c r="W240">
        <f ca="1"/>
        <v>0</v>
      </c>
      <c r="X240">
        <f ca="1"/>
        <v>0</v>
      </c>
      <c r="Y240">
        <f ca="1"/>
        <v>0.82888363119173281</v>
      </c>
      <c r="Z240">
        <f ca="1"/>
        <v>0</v>
      </c>
      <c r="AA240">
        <f ca="1"/>
        <v>0</v>
      </c>
      <c r="AB240">
        <f ca="1"/>
        <v>0.99997967751266614</v>
      </c>
      <c r="AD240" s="2">
        <f t="shared" ca="1" si="32"/>
        <v>45601</v>
      </c>
      <c r="AE240">
        <f t="shared" ca="1" si="33"/>
        <v>0</v>
      </c>
      <c r="AG240" s="63">
        <f t="shared" ca="1" si="37"/>
        <v>48.466905620078059</v>
      </c>
      <c r="AH240" s="63">
        <f t="shared" ca="1" si="38"/>
        <v>48.466905620078059</v>
      </c>
      <c r="AI240" s="3">
        <f t="shared" ca="1" si="39"/>
        <v>0</v>
      </c>
    </row>
    <row r="241" spans="7:35">
      <c r="G241" s="3">
        <f t="shared" ca="1" si="34"/>
        <v>266</v>
      </c>
      <c r="H241" s="95">
        <f t="shared" ca="1" si="36"/>
        <v>45556</v>
      </c>
      <c r="I241" s="119">
        <f ca="1">HLOOKUP($H$5,'Met Data'!$A$2:$F$368,G241,FALSE)</f>
        <v>10.158333333333299</v>
      </c>
      <c r="J241" s="119">
        <f ca="1">HLOOKUP($H$5,'Met Data'!$H$2:$M$368,G241,FALSE)*L241</f>
        <v>3.93333333333333</v>
      </c>
      <c r="K241" s="96">
        <f ca="1">HLOOKUP($H$5,'Met Data'!$O$2:$T$368,G241,FALSE)</f>
        <v>2.31412085445224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45602</v>
      </c>
      <c r="Q241">
        <f ca="1"/>
        <v>49.744664683254904</v>
      </c>
      <c r="R241">
        <f ca="1"/>
        <v>0</v>
      </c>
      <c r="S241">
        <f ca="1"/>
        <v>0.30655285529169873</v>
      </c>
      <c r="T241">
        <f ca="1"/>
        <v>0.97120620788514822</v>
      </c>
      <c r="U241">
        <f ca="1"/>
        <v>0</v>
      </c>
      <c r="V241">
        <f ca="1"/>
        <v>0</v>
      </c>
      <c r="W241">
        <f ca="1"/>
        <v>0</v>
      </c>
      <c r="X241">
        <f ca="1"/>
        <v>0</v>
      </c>
      <c r="Y241">
        <f ca="1"/>
        <v>0.80882531549749337</v>
      </c>
      <c r="Z241">
        <f ca="1"/>
        <v>0</v>
      </c>
      <c r="AA241">
        <f ca="1"/>
        <v>0</v>
      </c>
      <c r="AB241">
        <f ca="1"/>
        <v>0.99998386678784668</v>
      </c>
      <c r="AD241" s="2">
        <f t="shared" ca="1" si="32"/>
        <v>45602</v>
      </c>
      <c r="AE241">
        <f t="shared" ca="1" si="33"/>
        <v>0</v>
      </c>
      <c r="AG241" s="63">
        <f t="shared" ca="1" si="37"/>
        <v>49.744664683254904</v>
      </c>
      <c r="AH241" s="63">
        <f t="shared" ca="1" si="38"/>
        <v>49.744664683254904</v>
      </c>
      <c r="AI241" s="3">
        <f t="shared" ca="1" si="39"/>
        <v>0</v>
      </c>
    </row>
    <row r="242" spans="7:35">
      <c r="G242" s="3">
        <f t="shared" ca="1" si="34"/>
        <v>267</v>
      </c>
      <c r="H242" s="95">
        <f t="shared" ca="1" si="36"/>
        <v>45557</v>
      </c>
      <c r="I242" s="119">
        <f ca="1">HLOOKUP($H$5,'Met Data'!$A$2:$F$368,G242,FALSE)</f>
        <v>10.9625</v>
      </c>
      <c r="J242" s="119">
        <f ca="1">HLOOKUP($H$5,'Met Data'!$H$2:$M$368,G242,FALSE)*L242</f>
        <v>1.86666666666666</v>
      </c>
      <c r="K242" s="96">
        <f ca="1">HLOOKUP($H$5,'Met Data'!$O$2:$T$368,G242,FALSE)</f>
        <v>2.2059606634486699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45603</v>
      </c>
      <c r="Q242">
        <f ca="1"/>
        <v>51.06683313456233</v>
      </c>
      <c r="R242">
        <f ca="1"/>
        <v>0</v>
      </c>
      <c r="S242">
        <f ca="1"/>
        <v>0.31757435534630929</v>
      </c>
      <c r="T242">
        <f ca="1"/>
        <v>1.0045940959611137</v>
      </c>
      <c r="U242">
        <f ca="1"/>
        <v>0</v>
      </c>
      <c r="V242">
        <f ca="1"/>
        <v>0</v>
      </c>
      <c r="W242">
        <f ca="1"/>
        <v>0</v>
      </c>
      <c r="X242">
        <f ca="1"/>
        <v>0</v>
      </c>
      <c r="Y242">
        <f ca="1"/>
        <v>0.80454697375723072</v>
      </c>
      <c r="Z242">
        <f ca="1"/>
        <v>0</v>
      </c>
      <c r="AA242">
        <f ca="1"/>
        <v>0</v>
      </c>
      <c r="AB242">
        <f ca="1"/>
        <v>0.99998729219110094</v>
      </c>
      <c r="AD242" s="2">
        <f t="shared" ca="1" si="32"/>
        <v>45603</v>
      </c>
      <c r="AE242">
        <f t="shared" ca="1" si="33"/>
        <v>0</v>
      </c>
      <c r="AG242" s="63">
        <f t="shared" ca="1" si="37"/>
        <v>51.06683313456233</v>
      </c>
      <c r="AH242" s="63">
        <f t="shared" ca="1" si="38"/>
        <v>51.06683313456233</v>
      </c>
      <c r="AI242" s="3">
        <f t="shared" ca="1" si="39"/>
        <v>0</v>
      </c>
    </row>
    <row r="243" spans="7:35">
      <c r="G243" s="3">
        <f t="shared" ca="1" si="34"/>
        <v>268</v>
      </c>
      <c r="H243" s="95">
        <f t="shared" ca="1" si="36"/>
        <v>45558</v>
      </c>
      <c r="I243" s="119">
        <f ca="1">HLOOKUP($H$5,'Met Data'!$A$2:$F$368,G243,FALSE)</f>
        <v>11.6458333333333</v>
      </c>
      <c r="J243" s="119">
        <f ca="1">HLOOKUP($H$5,'Met Data'!$H$2:$M$368,G243,FALSE)*L243</f>
        <v>5.5166666666666604</v>
      </c>
      <c r="K243" s="96">
        <f ca="1">HLOOKUP($H$5,'Met Data'!$O$2:$T$368,G243,FALSE)</f>
        <v>1.6755097599300399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45604</v>
      </c>
      <c r="Q243">
        <f ca="1"/>
        <v>52.419460466060976</v>
      </c>
      <c r="R243">
        <f ca="1"/>
        <v>0</v>
      </c>
      <c r="S243">
        <f ca="1"/>
        <v>0.32512846208526014</v>
      </c>
      <c r="T243">
        <f ca="1"/>
        <v>1.0274988694133864</v>
      </c>
      <c r="U243">
        <f ca="1"/>
        <v>0</v>
      </c>
      <c r="V243">
        <f ca="1"/>
        <v>0</v>
      </c>
      <c r="W243">
        <f ca="1"/>
        <v>0</v>
      </c>
      <c r="X243">
        <f ca="1"/>
        <v>0</v>
      </c>
      <c r="Y243">
        <f ca="1"/>
        <v>0.80295764517003698</v>
      </c>
      <c r="Z243">
        <f ca="1"/>
        <v>0</v>
      </c>
      <c r="AA243">
        <f ca="1"/>
        <v>0</v>
      </c>
      <c r="AB243">
        <f ca="1"/>
        <v>0.99999003971353939</v>
      </c>
      <c r="AD243" s="2">
        <f t="shared" ca="1" si="32"/>
        <v>45604</v>
      </c>
      <c r="AE243">
        <f t="shared" ca="1" si="33"/>
        <v>0</v>
      </c>
      <c r="AG243" s="63">
        <f t="shared" ca="1" si="37"/>
        <v>52.419460466060976</v>
      </c>
      <c r="AH243" s="63">
        <f t="shared" ca="1" si="38"/>
        <v>52.419460466060976</v>
      </c>
      <c r="AI243" s="3">
        <f t="shared" ca="1" si="39"/>
        <v>0</v>
      </c>
    </row>
    <row r="244" spans="7:35">
      <c r="G244" s="3">
        <f t="shared" ca="1" si="34"/>
        <v>269</v>
      </c>
      <c r="H244" s="95">
        <f t="shared" ca="1" si="36"/>
        <v>45559</v>
      </c>
      <c r="I244" s="119">
        <f ca="1">HLOOKUP($H$5,'Met Data'!$A$2:$F$368,G244,FALSE)</f>
        <v>12.112500000000001</v>
      </c>
      <c r="J244" s="119">
        <f ca="1">HLOOKUP($H$5,'Met Data'!$H$2:$M$368,G244,FALSE)*L244</f>
        <v>1.56666666666666</v>
      </c>
      <c r="K244" s="96">
        <f ca="1">HLOOKUP($H$5,'Met Data'!$O$2:$T$368,G244,FALSE)</f>
        <v>2.1669648664524801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45605</v>
      </c>
      <c r="Q244">
        <f ca="1"/>
        <v>53.697343251557974</v>
      </c>
      <c r="R244">
        <f ca="1"/>
        <v>0</v>
      </c>
      <c r="S244">
        <f ca="1"/>
        <v>0.3072529671231905</v>
      </c>
      <c r="T244">
        <f ca="1"/>
        <v>0.97062981837380724</v>
      </c>
      <c r="U244">
        <f ca="1"/>
        <v>0</v>
      </c>
      <c r="V244">
        <f ca="1"/>
        <v>0</v>
      </c>
      <c r="W244">
        <f ca="1"/>
        <v>0</v>
      </c>
      <c r="X244">
        <f ca="1"/>
        <v>0</v>
      </c>
      <c r="Y244">
        <f ca="1"/>
        <v>0.79168566195297674</v>
      </c>
      <c r="Z244">
        <f ca="1"/>
        <v>0</v>
      </c>
      <c r="AA244">
        <f ca="1"/>
        <v>0</v>
      </c>
      <c r="AB244">
        <f ca="1"/>
        <v>0.99999212688235573</v>
      </c>
      <c r="AD244" s="2">
        <f t="shared" ca="1" si="32"/>
        <v>45605</v>
      </c>
      <c r="AE244">
        <f t="shared" ca="1" si="33"/>
        <v>0</v>
      </c>
      <c r="AG244" s="63">
        <f t="shared" ca="1" si="37"/>
        <v>53.697343251557974</v>
      </c>
      <c r="AH244" s="63">
        <f t="shared" ca="1" si="38"/>
        <v>53.697343251557974</v>
      </c>
      <c r="AI244" s="3">
        <f t="shared" ca="1" si="39"/>
        <v>0</v>
      </c>
    </row>
    <row r="245" spans="7:35">
      <c r="G245" s="3">
        <f t="shared" ca="1" si="34"/>
        <v>270</v>
      </c>
      <c r="H245" s="95">
        <f t="shared" ca="1" si="36"/>
        <v>45560</v>
      </c>
      <c r="I245" s="119">
        <f ca="1">HLOOKUP($H$5,'Met Data'!$A$2:$F$368,G245,FALSE)</f>
        <v>11.6875</v>
      </c>
      <c r="J245" s="119">
        <f ca="1">HLOOKUP($H$5,'Met Data'!$H$2:$M$368,G245,FALSE)*L245</f>
        <v>1.0833333333333299</v>
      </c>
      <c r="K245" s="96">
        <f ca="1">HLOOKUP($H$5,'Met Data'!$O$2:$T$368,G245,FALSE)</f>
        <v>2.2423317945335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45606</v>
      </c>
      <c r="Q245">
        <f ca="1"/>
        <v>55.034922545800967</v>
      </c>
      <c r="R245">
        <f ca="1"/>
        <v>0</v>
      </c>
      <c r="S245">
        <f ca="1"/>
        <v>0.32157142628008728</v>
      </c>
      <c r="T245">
        <f ca="1"/>
        <v>1.0160078679629057</v>
      </c>
      <c r="U245">
        <f ca="1"/>
        <v>0</v>
      </c>
      <c r="V245">
        <f ca="1"/>
        <v>0</v>
      </c>
      <c r="W245">
        <f ca="1"/>
        <v>0</v>
      </c>
      <c r="X245">
        <f ca="1"/>
        <v>0</v>
      </c>
      <c r="Y245">
        <f ca="1"/>
        <v>0.81157869779784075</v>
      </c>
      <c r="Z245">
        <f ca="1"/>
        <v>0</v>
      </c>
      <c r="AA245">
        <f ca="1"/>
        <v>0</v>
      </c>
      <c r="AB245">
        <f ca="1"/>
        <v>0.99999380118043668</v>
      </c>
      <c r="AD245" s="2">
        <f t="shared" ca="1" si="32"/>
        <v>45606</v>
      </c>
      <c r="AE245">
        <f t="shared" ca="1" si="33"/>
        <v>0</v>
      </c>
      <c r="AG245" s="63">
        <f t="shared" ca="1" si="37"/>
        <v>55.034922545800967</v>
      </c>
      <c r="AH245" s="63">
        <f t="shared" ca="1" si="38"/>
        <v>55.034922545800967</v>
      </c>
      <c r="AI245" s="3">
        <f t="shared" ca="1" si="39"/>
        <v>0</v>
      </c>
    </row>
    <row r="246" spans="7:35">
      <c r="G246" s="3">
        <f t="shared" ca="1" si="34"/>
        <v>271</v>
      </c>
      <c r="H246" s="95">
        <f t="shared" ca="1" si="36"/>
        <v>45561</v>
      </c>
      <c r="I246" s="119">
        <f ca="1">HLOOKUP($H$5,'Met Data'!$A$2:$F$368,G246,FALSE)</f>
        <v>12.0541666666666</v>
      </c>
      <c r="J246" s="119">
        <f ca="1">HLOOKUP($H$5,'Met Data'!$H$2:$M$368,G246,FALSE)*L246</f>
        <v>1.05</v>
      </c>
      <c r="K246" s="96">
        <f ca="1">HLOOKUP($H$5,'Met Data'!$O$2:$T$368,G246,FALSE)</f>
        <v>2.4484809787012698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45607</v>
      </c>
      <c r="Q246">
        <f ca="1"/>
        <v>56.283757528967293</v>
      </c>
      <c r="R246">
        <f ca="1"/>
        <v>0</v>
      </c>
      <c r="S246">
        <f ca="1"/>
        <v>0.30009348866610708</v>
      </c>
      <c r="T246">
        <f ca="1"/>
        <v>0.94874149450022083</v>
      </c>
      <c r="U246">
        <f ca="1"/>
        <v>0</v>
      </c>
      <c r="V246">
        <f ca="1"/>
        <v>0</v>
      </c>
      <c r="W246">
        <f ca="1"/>
        <v>0</v>
      </c>
      <c r="X246">
        <f ca="1"/>
        <v>0</v>
      </c>
      <c r="Y246">
        <f ca="1"/>
        <v>0.8147625895560574</v>
      </c>
      <c r="Z246">
        <f ca="1"/>
        <v>0</v>
      </c>
      <c r="AA246">
        <f ca="1"/>
        <v>0</v>
      </c>
      <c r="AB246">
        <f ca="1"/>
        <v>0.99999504893921165</v>
      </c>
      <c r="AD246" s="2">
        <f t="shared" ca="1" si="32"/>
        <v>45607</v>
      </c>
      <c r="AE246">
        <f t="shared" ca="1" si="33"/>
        <v>0</v>
      </c>
      <c r="AG246" s="63">
        <f t="shared" ca="1" si="37"/>
        <v>56.283757528967293</v>
      </c>
      <c r="AH246" s="63">
        <f t="shared" ca="1" si="38"/>
        <v>56.283757528967293</v>
      </c>
      <c r="AI246" s="3">
        <f t="shared" ca="1" si="39"/>
        <v>0</v>
      </c>
    </row>
    <row r="247" spans="7:35">
      <c r="G247" s="3">
        <f t="shared" ca="1" si="34"/>
        <v>272</v>
      </c>
      <c r="H247" s="95">
        <f t="shared" ca="1" si="36"/>
        <v>45562</v>
      </c>
      <c r="I247" s="119">
        <f ca="1">HLOOKUP($H$5,'Met Data'!$A$2:$F$368,G247,FALSE)</f>
        <v>12.3291666666666</v>
      </c>
      <c r="J247" s="119">
        <f ca="1">HLOOKUP($H$5,'Met Data'!$H$2:$M$368,G247,FALSE)*L247</f>
        <v>5.1499999999999897</v>
      </c>
      <c r="K247" s="96">
        <f ca="1">HLOOKUP($H$5,'Met Data'!$O$2:$T$368,G247,FALSE)</f>
        <v>2.13295390564413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45608</v>
      </c>
      <c r="Q247">
        <f ca="1"/>
        <v>57.418265676657164</v>
      </c>
      <c r="R247">
        <f ca="1"/>
        <v>0</v>
      </c>
      <c r="S247">
        <f ca="1"/>
        <v>0.27241671881517959</v>
      </c>
      <c r="T247">
        <f ca="1"/>
        <v>0.86209142887469137</v>
      </c>
      <c r="U247">
        <f ca="1"/>
        <v>0</v>
      </c>
      <c r="V247">
        <f ca="1"/>
        <v>0</v>
      </c>
      <c r="W247">
        <f ca="1"/>
        <v>0</v>
      </c>
      <c r="X247">
        <f ca="1"/>
        <v>0</v>
      </c>
      <c r="Y247">
        <f ca="1"/>
        <v>0.77637894537173024</v>
      </c>
      <c r="Z247">
        <f ca="1"/>
        <v>0</v>
      </c>
      <c r="AA247">
        <f ca="1"/>
        <v>0</v>
      </c>
      <c r="AB247">
        <f ca="1"/>
        <v>0.99999601051237141</v>
      </c>
      <c r="AD247" s="2">
        <f t="shared" ca="1" si="32"/>
        <v>45608</v>
      </c>
      <c r="AE247">
        <f t="shared" ca="1" si="33"/>
        <v>0</v>
      </c>
      <c r="AG247" s="63">
        <f t="shared" ca="1" si="37"/>
        <v>57.418265676657164</v>
      </c>
      <c r="AH247" s="63">
        <f t="shared" ca="1" si="38"/>
        <v>57.418265676657164</v>
      </c>
      <c r="AI247" s="3">
        <f t="shared" ca="1" si="39"/>
        <v>0</v>
      </c>
    </row>
    <row r="248" spans="7:35">
      <c r="G248" s="3">
        <f t="shared" ca="1" si="34"/>
        <v>273</v>
      </c>
      <c r="H248" s="95">
        <f t="shared" ca="1" si="36"/>
        <v>45563</v>
      </c>
      <c r="I248" s="119">
        <f ca="1">HLOOKUP($H$5,'Met Data'!$A$2:$F$368,G248,FALSE)</f>
        <v>12.65</v>
      </c>
      <c r="J248" s="119">
        <f ca="1">HLOOKUP($H$5,'Met Data'!$H$2:$M$368,G248,FALSE)*L248</f>
        <v>2.15</v>
      </c>
      <c r="K248" s="96">
        <f ca="1">HLOOKUP($H$5,'Met Data'!$O$2:$T$368,G248,FALSE)</f>
        <v>2.3067555107961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45609</v>
      </c>
      <c r="Q248">
        <f ca="1"/>
        <v>58.502459048671795</v>
      </c>
      <c r="R248">
        <f ca="1"/>
        <v>0</v>
      </c>
      <c r="S248">
        <f ca="1"/>
        <v>0.26008648149810654</v>
      </c>
      <c r="T248">
        <f ca="1"/>
        <v>0.82410689051652508</v>
      </c>
      <c r="U248">
        <f ca="1"/>
        <v>0</v>
      </c>
      <c r="V248">
        <f ca="1"/>
        <v>0</v>
      </c>
      <c r="W248">
        <f ca="1"/>
        <v>0</v>
      </c>
      <c r="X248">
        <f ca="1"/>
        <v>0</v>
      </c>
      <c r="Y248">
        <f ca="1"/>
        <v>0.73926275850895584</v>
      </c>
      <c r="Z248">
        <f ca="1"/>
        <v>0</v>
      </c>
      <c r="AA248">
        <f ca="1"/>
        <v>0</v>
      </c>
      <c r="AB248">
        <f ca="1"/>
        <v>0.99999678763750421</v>
      </c>
      <c r="AD248" s="2">
        <f t="shared" ca="1" si="32"/>
        <v>45609</v>
      </c>
      <c r="AE248">
        <f t="shared" ca="1" si="33"/>
        <v>0</v>
      </c>
      <c r="AG248" s="63">
        <f t="shared" ca="1" si="37"/>
        <v>58.502459048671795</v>
      </c>
      <c r="AH248" s="63">
        <f t="shared" ca="1" si="38"/>
        <v>58.502459048671795</v>
      </c>
      <c r="AI248" s="3">
        <f t="shared" ca="1" si="39"/>
        <v>0</v>
      </c>
    </row>
    <row r="249" spans="7:35">
      <c r="G249" s="3">
        <f t="shared" ca="1" si="34"/>
        <v>274</v>
      </c>
      <c r="H249" s="95">
        <f t="shared" ca="1" si="36"/>
        <v>45564</v>
      </c>
      <c r="I249" s="119">
        <f ca="1">HLOOKUP($H$5,'Met Data'!$A$2:$F$368,G249,FALSE)</f>
        <v>12.5208333333333</v>
      </c>
      <c r="J249" s="119">
        <f ca="1">HLOOKUP($H$5,'Met Data'!$H$2:$M$368,G249,FALSE)*L249</f>
        <v>5.61666666666666</v>
      </c>
      <c r="K249" s="96">
        <f ca="1">HLOOKUP($H$5,'Met Data'!$O$2:$T$368,G249,FALSE)</f>
        <v>2.4465918649770302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45610</v>
      </c>
      <c r="Q249">
        <f ca="1"/>
        <v>59.635748362603032</v>
      </c>
      <c r="R249">
        <f ca="1"/>
        <v>0</v>
      </c>
      <c r="S249">
        <f ca="1"/>
        <v>0.27153942226624395</v>
      </c>
      <c r="T249">
        <f ca="1"/>
        <v>0.86174989166499338</v>
      </c>
      <c r="U249">
        <f ca="1"/>
        <v>0</v>
      </c>
      <c r="V249">
        <f ca="1"/>
        <v>0</v>
      </c>
      <c r="W249">
        <f ca="1"/>
        <v>0</v>
      </c>
      <c r="X249">
        <f ca="1"/>
        <v>0</v>
      </c>
      <c r="Y249">
        <f ca="1"/>
        <v>0.71474987457872907</v>
      </c>
      <c r="Z249">
        <f ca="1"/>
        <v>0</v>
      </c>
      <c r="AA249">
        <f ca="1"/>
        <v>0</v>
      </c>
      <c r="AB249">
        <f ca="1"/>
        <v>0.99999745185285227</v>
      </c>
      <c r="AD249" s="2">
        <f t="shared" ca="1" si="32"/>
        <v>45610</v>
      </c>
      <c r="AE249">
        <f t="shared" ca="1" si="33"/>
        <v>0</v>
      </c>
      <c r="AG249" s="63">
        <f t="shared" ca="1" si="37"/>
        <v>59.635748362603032</v>
      </c>
      <c r="AH249" s="63">
        <f t="shared" ca="1" si="38"/>
        <v>59.635748362603032</v>
      </c>
      <c r="AI249" s="3">
        <f t="shared" ca="1" si="39"/>
        <v>0</v>
      </c>
    </row>
    <row r="250" spans="7:35">
      <c r="G250" s="3">
        <f t="shared" ca="1" si="34"/>
        <v>275</v>
      </c>
      <c r="H250" s="95">
        <f t="shared" ca="1" si="36"/>
        <v>45565</v>
      </c>
      <c r="I250" s="119">
        <f ca="1">HLOOKUP($H$5,'Met Data'!$A$2:$F$368,G250,FALSE)</f>
        <v>11.65</v>
      </c>
      <c r="J250" s="119">
        <f ca="1">HLOOKUP($H$5,'Met Data'!$H$2:$M$368,G250,FALSE)*L250</f>
        <v>2.35</v>
      </c>
      <c r="K250" s="96">
        <f ca="1">HLOOKUP($H$5,'Met Data'!$O$2:$T$368,G250,FALSE)</f>
        <v>2.46735033441291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45611</v>
      </c>
      <c r="Q250">
        <f ca="1"/>
        <v>60.957247979323185</v>
      </c>
      <c r="R250">
        <f ca="1"/>
        <v>0</v>
      </c>
      <c r="S250">
        <f ca="1"/>
        <v>0.31613155765307965</v>
      </c>
      <c r="T250">
        <f ca="1"/>
        <v>1.0053680590670735</v>
      </c>
      <c r="U250">
        <f ca="1"/>
        <v>0</v>
      </c>
      <c r="V250">
        <f ca="1"/>
        <v>0</v>
      </c>
      <c r="W250">
        <f ca="1"/>
        <v>0</v>
      </c>
      <c r="X250">
        <f ca="1"/>
        <v>0</v>
      </c>
      <c r="Y250">
        <f ca="1"/>
        <v>0.7485022853265394</v>
      </c>
      <c r="Z250">
        <f ca="1"/>
        <v>0</v>
      </c>
      <c r="AA250">
        <f ca="1"/>
        <v>0</v>
      </c>
      <c r="AB250">
        <f ca="1"/>
        <v>0.99999802287312389</v>
      </c>
      <c r="AD250" s="2">
        <f t="shared" ca="1" si="32"/>
        <v>45611</v>
      </c>
      <c r="AE250">
        <f t="shared" ca="1" si="33"/>
        <v>0</v>
      </c>
      <c r="AG250" s="63">
        <f t="shared" ca="1" si="37"/>
        <v>60.957247979323185</v>
      </c>
      <c r="AH250" s="63">
        <f t="shared" ca="1" si="38"/>
        <v>60.957247979323185</v>
      </c>
      <c r="AI250" s="3">
        <f t="shared" ca="1" si="39"/>
        <v>0</v>
      </c>
    </row>
    <row r="251" spans="7:35">
      <c r="G251" s="3">
        <f t="shared" ca="1" si="34"/>
        <v>276</v>
      </c>
      <c r="H251" s="95">
        <f t="shared" ca="1" si="36"/>
        <v>45566</v>
      </c>
      <c r="I251" s="119">
        <f ca="1">HLOOKUP($H$5,'Met Data'!$A$2:$F$368,G251,FALSE)</f>
        <v>12.0166666666666</v>
      </c>
      <c r="J251" s="119">
        <f ca="1">HLOOKUP($H$5,'Met Data'!$H$2:$M$368,G251,FALSE)*L251</f>
        <v>2.2833333333333301</v>
      </c>
      <c r="K251" s="96">
        <f ca="1">HLOOKUP($H$5,'Met Data'!$O$2:$T$368,G251,FALSE)</f>
        <v>2.1199025888480301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45612</v>
      </c>
      <c r="Q251">
        <f ca="1"/>
        <v>62.383098115444348</v>
      </c>
      <c r="R251">
        <f ca="1"/>
        <v>0</v>
      </c>
      <c r="S251">
        <f ca="1"/>
        <v>0.34037953443204572</v>
      </c>
      <c r="T251">
        <f ca="1"/>
        <v>1.0854706016891138</v>
      </c>
      <c r="U251">
        <f ca="1"/>
        <v>0</v>
      </c>
      <c r="V251">
        <f ca="1"/>
        <v>0</v>
      </c>
      <c r="W251">
        <f ca="1"/>
        <v>0</v>
      </c>
      <c r="X251">
        <f ca="1"/>
        <v>0</v>
      </c>
      <c r="Y251">
        <f ca="1"/>
        <v>0.79425594904444397</v>
      </c>
      <c r="Z251">
        <f ca="1"/>
        <v>0</v>
      </c>
      <c r="AA251">
        <f ca="1"/>
        <v>0</v>
      </c>
      <c r="AB251">
        <f ca="1"/>
        <v>0.99999847120238727</v>
      </c>
      <c r="AD251" s="2">
        <f t="shared" ca="1" si="32"/>
        <v>45612</v>
      </c>
      <c r="AE251">
        <f t="shared" ca="1" si="33"/>
        <v>0</v>
      </c>
      <c r="AG251" s="63">
        <f t="shared" ca="1" si="37"/>
        <v>62.383098115444348</v>
      </c>
      <c r="AH251" s="63">
        <f t="shared" ca="1" si="38"/>
        <v>62.383098115444348</v>
      </c>
      <c r="AI251" s="3">
        <f t="shared" ca="1" si="39"/>
        <v>0</v>
      </c>
    </row>
    <row r="252" spans="7:35">
      <c r="G252" s="3">
        <f t="shared" ca="1" si="34"/>
        <v>277</v>
      </c>
      <c r="H252" s="95">
        <f t="shared" ca="1" si="36"/>
        <v>45567</v>
      </c>
      <c r="I252" s="119">
        <f ca="1">HLOOKUP($H$5,'Met Data'!$A$2:$F$368,G252,FALSE)</f>
        <v>12.941666666666601</v>
      </c>
      <c r="J252" s="119">
        <f ca="1">HLOOKUP($H$5,'Met Data'!$H$2:$M$368,G252,FALSE)*L252</f>
        <v>4.2666666666666604</v>
      </c>
      <c r="K252" s="96">
        <f ca="1">HLOOKUP($H$5,'Met Data'!$O$2:$T$368,G252,FALSE)</f>
        <v>2.6275875550097898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45613</v>
      </c>
      <c r="Q252">
        <f ca="1"/>
        <v>63.845599677134715</v>
      </c>
      <c r="R252">
        <f ca="1"/>
        <v>0</v>
      </c>
      <c r="S252">
        <f ca="1"/>
        <v>0.34823911747596981</v>
      </c>
      <c r="T252">
        <f ca="1"/>
        <v>1.1142624442143934</v>
      </c>
      <c r="U252">
        <f ca="1"/>
        <v>0</v>
      </c>
      <c r="V252">
        <f ca="1"/>
        <v>0</v>
      </c>
      <c r="W252">
        <f ca="1"/>
        <v>0</v>
      </c>
      <c r="X252">
        <f ca="1"/>
        <v>0</v>
      </c>
      <c r="Y252">
        <f ca="1"/>
        <v>0.8464382801038135</v>
      </c>
      <c r="Z252">
        <f ca="1"/>
        <v>0</v>
      </c>
      <c r="AA252">
        <f ca="1"/>
        <v>0</v>
      </c>
      <c r="AB252">
        <f ca="1"/>
        <v>0.99999880774106886</v>
      </c>
      <c r="AD252" s="2">
        <f t="shared" ca="1" si="32"/>
        <v>45613</v>
      </c>
      <c r="AE252">
        <f t="shared" ca="1" si="33"/>
        <v>0</v>
      </c>
      <c r="AG252" s="63">
        <f t="shared" ca="1" si="37"/>
        <v>63.845599677134715</v>
      </c>
      <c r="AH252" s="63">
        <f t="shared" ca="1" si="38"/>
        <v>63.845599677134715</v>
      </c>
      <c r="AI252" s="3">
        <f t="shared" ca="1" si="39"/>
        <v>0</v>
      </c>
    </row>
    <row r="253" spans="7:35">
      <c r="G253" s="3">
        <f t="shared" ca="1" si="34"/>
        <v>278</v>
      </c>
      <c r="H253" s="95">
        <f t="shared" ca="1" si="36"/>
        <v>45568</v>
      </c>
      <c r="I253" s="119">
        <f ca="1">HLOOKUP($H$5,'Met Data'!$A$2:$F$368,G253,FALSE)</f>
        <v>11.95</v>
      </c>
      <c r="J253" s="119">
        <f ca="1">HLOOKUP($H$5,'Met Data'!$H$2:$M$368,G253,FALSE)*L253</f>
        <v>1.13333333333333</v>
      </c>
      <c r="K253" s="96">
        <f ca="1">HLOOKUP($H$5,'Met Data'!$O$2:$T$368,G253,FALSE)</f>
        <v>2.2251605523882798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45614</v>
      </c>
      <c r="Q253">
        <f ca="1"/>
        <v>65.159845765365446</v>
      </c>
      <c r="R253">
        <f ca="1"/>
        <v>0</v>
      </c>
      <c r="S253">
        <f ca="1"/>
        <v>0.31207151951065271</v>
      </c>
      <c r="T253">
        <f ca="1"/>
        <v>1.0021745687200807</v>
      </c>
      <c r="U253">
        <f ca="1"/>
        <v>0</v>
      </c>
      <c r="V253">
        <f ca="1"/>
        <v>0</v>
      </c>
      <c r="W253">
        <f ca="1"/>
        <v>0</v>
      </c>
      <c r="X253">
        <f ca="1"/>
        <v>0</v>
      </c>
      <c r="Y253">
        <f ca="1"/>
        <v>0.7980254607274091</v>
      </c>
      <c r="Z253">
        <f ca="1"/>
        <v>0</v>
      </c>
      <c r="AA253">
        <f ca="1"/>
        <v>0</v>
      </c>
      <c r="AB253">
        <f ca="1"/>
        <v>0.9999990620283199</v>
      </c>
      <c r="AD253" s="2">
        <f t="shared" ca="1" si="32"/>
        <v>45614</v>
      </c>
      <c r="AE253">
        <f t="shared" ca="1" si="33"/>
        <v>0</v>
      </c>
      <c r="AG253" s="63">
        <f t="shared" ca="1" si="37"/>
        <v>65.159845765365446</v>
      </c>
      <c r="AH253" s="63">
        <f t="shared" ca="1" si="38"/>
        <v>65.159845765365446</v>
      </c>
      <c r="AI253" s="3">
        <f t="shared" ca="1" si="39"/>
        <v>0</v>
      </c>
    </row>
    <row r="254" spans="7:35">
      <c r="G254" s="3">
        <f t="shared" ca="1" si="34"/>
        <v>279</v>
      </c>
      <c r="H254" s="95">
        <f t="shared" ca="1" si="36"/>
        <v>45569</v>
      </c>
      <c r="I254" s="119">
        <f ca="1">HLOOKUP($H$5,'Met Data'!$A$2:$F$368,G254,FALSE)</f>
        <v>11.8958333333333</v>
      </c>
      <c r="J254" s="119">
        <f ca="1">HLOOKUP($H$5,'Met Data'!$H$2:$M$368,G254,FALSE)*L254</f>
        <v>2.0666666666666602</v>
      </c>
      <c r="K254" s="96">
        <f ca="1">HLOOKUP($H$5,'Met Data'!$O$2:$T$368,G254,FALSE)</f>
        <v>2.2142725820580198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45615</v>
      </c>
      <c r="Q254">
        <f ca="1"/>
        <v>66.464767895437404</v>
      </c>
      <c r="R254">
        <f ca="1"/>
        <v>0</v>
      </c>
      <c r="S254">
        <f ca="1"/>
        <v>0.30896201280175717</v>
      </c>
      <c r="T254">
        <f ca="1"/>
        <v>0.99596011727020728</v>
      </c>
      <c r="U254">
        <f ca="1"/>
        <v>0</v>
      </c>
      <c r="V254">
        <f ca="1"/>
        <v>0</v>
      </c>
      <c r="W254">
        <f ca="1"/>
        <v>0</v>
      </c>
      <c r="X254">
        <f ca="1"/>
        <v>0</v>
      </c>
      <c r="Y254">
        <f ca="1"/>
        <v>0.78152901487578863</v>
      </c>
      <c r="Z254">
        <f ca="1"/>
        <v>0</v>
      </c>
      <c r="AA254">
        <f ca="1"/>
        <v>0</v>
      </c>
      <c r="AB254">
        <f ca="1"/>
        <v>0.9999992643521024</v>
      </c>
      <c r="AD254" s="2">
        <f t="shared" ca="1" si="32"/>
        <v>45615</v>
      </c>
      <c r="AE254">
        <f t="shared" ca="1" si="33"/>
        <v>0</v>
      </c>
      <c r="AG254" s="63">
        <f t="shared" ca="1" si="37"/>
        <v>66.464767895437404</v>
      </c>
      <c r="AH254" s="63">
        <f t="shared" ca="1" si="38"/>
        <v>66.464767895437404</v>
      </c>
      <c r="AI254" s="3">
        <f t="shared" ca="1" si="39"/>
        <v>0</v>
      </c>
    </row>
    <row r="255" spans="7:35">
      <c r="G255" s="3">
        <f t="shared" ca="1" si="34"/>
        <v>280</v>
      </c>
      <c r="H255" s="95">
        <f t="shared" ca="1" si="36"/>
        <v>45570</v>
      </c>
      <c r="I255" s="119">
        <f ca="1">HLOOKUP($H$5,'Met Data'!$A$2:$F$368,G255,FALSE)</f>
        <v>11.8333333333333</v>
      </c>
      <c r="J255" s="119">
        <f ca="1">HLOOKUP($H$5,'Met Data'!$H$2:$M$368,G255,FALSE)*L255</f>
        <v>1.43333333333333</v>
      </c>
      <c r="K255" s="96">
        <f ca="1">HLOOKUP($H$5,'Met Data'!$O$2:$T$368,G255,FALSE)</f>
        <v>2.5217662070296001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45616</v>
      </c>
      <c r="Q255">
        <f ca="1"/>
        <v>67.72080639102974</v>
      </c>
      <c r="R255">
        <f ca="1"/>
        <v>0</v>
      </c>
      <c r="S255">
        <f ca="1"/>
        <v>0.29647348435355525</v>
      </c>
      <c r="T255">
        <f ca="1"/>
        <v>0.95956501123877858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0.74804431739851629</v>
      </c>
      <c r="Z255">
        <f ca="1"/>
        <v>0</v>
      </c>
      <c r="AA255">
        <f ca="1"/>
        <v>0</v>
      </c>
      <c r="AB255">
        <f ca="1"/>
        <v>0.99999942381935125</v>
      </c>
      <c r="AD255" s="2">
        <f t="shared" ca="1" si="32"/>
        <v>45616</v>
      </c>
      <c r="AE255">
        <f t="shared" ca="1" si="33"/>
        <v>0</v>
      </c>
      <c r="AG255" s="63">
        <f t="shared" ca="1" si="37"/>
        <v>67.72080639102974</v>
      </c>
      <c r="AH255" s="63">
        <f t="shared" ca="1" si="38"/>
        <v>67.72080639102974</v>
      </c>
      <c r="AI255" s="3">
        <f t="shared" ca="1" si="39"/>
        <v>0</v>
      </c>
    </row>
    <row r="256" spans="7:35">
      <c r="G256" s="3">
        <f t="shared" ca="1" si="34"/>
        <v>281</v>
      </c>
      <c r="H256" s="95">
        <f t="shared" ca="1" si="36"/>
        <v>45571</v>
      </c>
      <c r="I256" s="119">
        <f ca="1">HLOOKUP($H$5,'Met Data'!$A$2:$F$368,G256,FALSE)</f>
        <v>12.133333333333301</v>
      </c>
      <c r="J256" s="119">
        <f ca="1">HLOOKUP($H$5,'Met Data'!$H$2:$M$368,G256,FALSE)*L256</f>
        <v>1.5</v>
      </c>
      <c r="K256" s="96">
        <f ca="1">HLOOKUP($H$5,'Met Data'!$O$2:$T$368,G256,FALSE)</f>
        <v>2.4929362431341402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45617</v>
      </c>
      <c r="Q256">
        <f ca="1"/>
        <v>68.925106232847583</v>
      </c>
      <c r="R256">
        <f ca="1"/>
        <v>0</v>
      </c>
      <c r="S256">
        <f ca="1"/>
        <v>0.28335748849508491</v>
      </c>
      <c r="T256">
        <f ca="1"/>
        <v>0.92094235332275232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0.71106334525757553</v>
      </c>
      <c r="Z256">
        <f ca="1"/>
        <v>0</v>
      </c>
      <c r="AA256">
        <f ca="1"/>
        <v>0</v>
      </c>
      <c r="AB256">
        <f ca="1"/>
        <v>0.99999954942993752</v>
      </c>
      <c r="AD256" s="2">
        <f t="shared" ca="1" si="32"/>
        <v>45617</v>
      </c>
      <c r="AE256">
        <f t="shared" ca="1" si="33"/>
        <v>0</v>
      </c>
      <c r="AG256" s="63">
        <f t="shared" ca="1" si="37"/>
        <v>68.925106232847583</v>
      </c>
      <c r="AH256" s="63">
        <f t="shared" ca="1" si="38"/>
        <v>68.925106232847583</v>
      </c>
      <c r="AI256" s="3">
        <f t="shared" ca="1" si="39"/>
        <v>0</v>
      </c>
    </row>
    <row r="257" spans="7:35">
      <c r="G257" s="3">
        <f t="shared" ca="1" si="34"/>
        <v>282</v>
      </c>
      <c r="H257" s="95">
        <f t="shared" ca="1" si="36"/>
        <v>45572</v>
      </c>
      <c r="I257" s="119">
        <f ca="1">HLOOKUP($H$5,'Met Data'!$A$2:$F$368,G257,FALSE)</f>
        <v>11.8708333333333</v>
      </c>
      <c r="J257" s="119">
        <f ca="1">HLOOKUP($H$5,'Met Data'!$H$2:$M$368,G257,FALSE)*L257</f>
        <v>4.18333333333333</v>
      </c>
      <c r="K257" s="96">
        <f ca="1">HLOOKUP($H$5,'Met Data'!$O$2:$T$368,G257,FALSE)</f>
        <v>2.0932595279969002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45618</v>
      </c>
      <c r="Q257">
        <f ca="1"/>
        <v>70.079958498865594</v>
      </c>
      <c r="R257">
        <f ca="1"/>
        <v>0</v>
      </c>
      <c r="S257">
        <f ca="1"/>
        <v>0.27084037393977667</v>
      </c>
      <c r="T257">
        <f ca="1"/>
        <v>0.88401189207823549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0.64396933856263694</v>
      </c>
      <c r="Z257">
        <f ca="1"/>
        <v>0</v>
      </c>
      <c r="AA257">
        <f ca="1"/>
        <v>0</v>
      </c>
      <c r="AB257">
        <f ca="1"/>
        <v>0.99999965112550449</v>
      </c>
      <c r="AD257" s="2">
        <f t="shared" ca="1" si="32"/>
        <v>45618</v>
      </c>
      <c r="AE257">
        <f t="shared" ca="1" si="33"/>
        <v>0</v>
      </c>
      <c r="AG257" s="63">
        <f t="shared" ca="1" si="37"/>
        <v>70.079958498865594</v>
      </c>
      <c r="AH257" s="63">
        <f t="shared" ca="1" si="38"/>
        <v>70.079958498865594</v>
      </c>
      <c r="AI257" s="3">
        <f t="shared" ca="1" si="39"/>
        <v>0</v>
      </c>
    </row>
    <row r="258" spans="7:35">
      <c r="G258" s="3">
        <f t="shared" ca="1" si="34"/>
        <v>283</v>
      </c>
      <c r="H258" s="95">
        <f t="shared" ca="1" si="36"/>
        <v>45573</v>
      </c>
      <c r="I258" s="119">
        <f ca="1">HLOOKUP($H$5,'Met Data'!$A$2:$F$368,G258,FALSE)</f>
        <v>11.529166666666599</v>
      </c>
      <c r="J258" s="119">
        <f ca="1">HLOOKUP($H$5,'Met Data'!$H$2:$M$368,G258,FALSE)*L258</f>
        <v>2.2166666666666601</v>
      </c>
      <c r="K258" s="96">
        <f ca="1">HLOOKUP($H$5,'Met Data'!$O$2:$T$368,G258,FALSE)</f>
        <v>2.3166472445358202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45619</v>
      </c>
      <c r="Q258">
        <f ca="1"/>
        <v>71.192194483951127</v>
      </c>
      <c r="R258">
        <f ca="1"/>
        <v>0</v>
      </c>
      <c r="S258">
        <f ca="1"/>
        <v>0.2599848359734267</v>
      </c>
      <c r="T258">
        <f ca="1"/>
        <v>0.85225114911210209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0.61602362918851383</v>
      </c>
      <c r="Z258">
        <f ca="1"/>
        <v>0</v>
      </c>
      <c r="AA258">
        <f ca="1"/>
        <v>0</v>
      </c>
      <c r="AB258">
        <f ca="1"/>
        <v>0.99999972990668906</v>
      </c>
      <c r="AD258" s="2">
        <f t="shared" ca="1" si="32"/>
        <v>45619</v>
      </c>
      <c r="AE258">
        <f t="shared" ca="1" si="33"/>
        <v>0</v>
      </c>
      <c r="AG258" s="63">
        <f t="shared" ca="1" si="37"/>
        <v>71.192194483951127</v>
      </c>
      <c r="AH258" s="63">
        <f t="shared" ca="1" si="38"/>
        <v>71.192194483951127</v>
      </c>
      <c r="AI258" s="3">
        <f t="shared" ca="1" si="39"/>
        <v>0</v>
      </c>
    </row>
    <row r="259" spans="7:35">
      <c r="G259" s="3">
        <f t="shared" ca="1" si="34"/>
        <v>284</v>
      </c>
      <c r="H259" s="95">
        <f t="shared" ca="1" si="36"/>
        <v>45574</v>
      </c>
      <c r="I259" s="119">
        <f ca="1">HLOOKUP($H$5,'Met Data'!$A$2:$F$368,G259,FALSE)</f>
        <v>11.316666666666601</v>
      </c>
      <c r="J259" s="119">
        <f ca="1">HLOOKUP($H$5,'Met Data'!$H$2:$M$368,G259,FALSE)*L259</f>
        <v>2.9833333333333298</v>
      </c>
      <c r="K259" s="96">
        <f ca="1">HLOOKUP($H$5,'Met Data'!$O$2:$T$368,G259,FALSE)</f>
        <v>2.57259273420483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45620</v>
      </c>
      <c r="Q259">
        <f ca="1"/>
        <v>72.35542537529868</v>
      </c>
      <c r="R259">
        <f ca="1"/>
        <v>0</v>
      </c>
      <c r="S259">
        <f ca="1"/>
        <v>0.27095723336891808</v>
      </c>
      <c r="T259">
        <f ca="1"/>
        <v>0.89227365797863667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0.59283538219088883</v>
      </c>
      <c r="Z259">
        <f ca="1"/>
        <v>0</v>
      </c>
      <c r="AA259">
        <f ca="1"/>
        <v>0</v>
      </c>
      <c r="AB259">
        <f ca="1"/>
        <v>0.99999979424384511</v>
      </c>
      <c r="AD259" s="2">
        <f t="shared" ca="1" si="32"/>
        <v>45620</v>
      </c>
      <c r="AE259">
        <f t="shared" ca="1" si="33"/>
        <v>0</v>
      </c>
      <c r="AG259" s="63">
        <f t="shared" ca="1" si="37"/>
        <v>72.35542537529868</v>
      </c>
      <c r="AH259" s="63">
        <f t="shared" ca="1" si="38"/>
        <v>72.35542537529868</v>
      </c>
      <c r="AI259" s="3">
        <f t="shared" ca="1" si="39"/>
        <v>0</v>
      </c>
    </row>
    <row r="260" spans="7:35">
      <c r="G260" s="3">
        <f t="shared" ca="1" si="34"/>
        <v>285</v>
      </c>
      <c r="H260" s="95">
        <f t="shared" ca="1" si="36"/>
        <v>45575</v>
      </c>
      <c r="I260" s="119">
        <f ca="1">HLOOKUP($H$5,'Met Data'!$A$2:$F$368,G260,FALSE)</f>
        <v>12.466666666666599</v>
      </c>
      <c r="J260" s="119">
        <f ca="1">HLOOKUP($H$5,'Met Data'!$H$2:$M$368,G260,FALSE)*L260</f>
        <v>3.5333333333333301</v>
      </c>
      <c r="K260" s="96">
        <f ca="1">HLOOKUP($H$5,'Met Data'!$O$2:$T$368,G260,FALSE)</f>
        <v>2.44735536591925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45621</v>
      </c>
      <c r="Q260">
        <f ca="1"/>
        <v>73.610281885660612</v>
      </c>
      <c r="R260">
        <f ca="1"/>
        <v>0</v>
      </c>
      <c r="S260">
        <f ca="1"/>
        <v>0.29116410298286155</v>
      </c>
      <c r="T260">
        <f ca="1"/>
        <v>0.96369240737907258</v>
      </c>
      <c r="U260">
        <f ca="1"/>
        <v>0</v>
      </c>
      <c r="V260">
        <f ca="1"/>
        <v>0</v>
      </c>
      <c r="W260">
        <f ca="1"/>
        <v>0</v>
      </c>
      <c r="X260">
        <f ca="1"/>
        <v>0</v>
      </c>
      <c r="Y260">
        <f ca="1"/>
        <v>0.64250245564506092</v>
      </c>
      <c r="Z260">
        <f ca="1"/>
        <v>0</v>
      </c>
      <c r="AA260">
        <f ca="1"/>
        <v>0</v>
      </c>
      <c r="AB260">
        <f ca="1"/>
        <v>0.99999984361485961</v>
      </c>
      <c r="AD260" s="2">
        <f t="shared" ca="1" si="32"/>
        <v>45621</v>
      </c>
      <c r="AE260">
        <f t="shared" ca="1" si="33"/>
        <v>0</v>
      </c>
      <c r="AG260" s="63">
        <f t="shared" ca="1" si="37"/>
        <v>73.610281885660612</v>
      </c>
      <c r="AH260" s="63">
        <f t="shared" ca="1" si="38"/>
        <v>73.610281885660612</v>
      </c>
      <c r="AI260" s="3">
        <f t="shared" ca="1" si="39"/>
        <v>0</v>
      </c>
    </row>
    <row r="261" spans="7:35">
      <c r="G261" s="3">
        <f t="shared" ca="1" si="34"/>
        <v>286</v>
      </c>
      <c r="H261" s="95">
        <f t="shared" ca="1" si="36"/>
        <v>45576</v>
      </c>
      <c r="I261" s="119">
        <f ca="1">HLOOKUP($H$5,'Met Data'!$A$2:$F$368,G261,FALSE)</f>
        <v>12.566666666666601</v>
      </c>
      <c r="J261" s="119">
        <f ca="1">HLOOKUP($H$5,'Met Data'!$H$2:$M$368,G261,FALSE)*L261</f>
        <v>1.88333333333333</v>
      </c>
      <c r="K261" s="96">
        <f ca="1">HLOOKUP($H$5,'Met Data'!$O$2:$T$368,G261,FALSE)</f>
        <v>2.6706436990123898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45622</v>
      </c>
      <c r="Q261">
        <f ca="1"/>
        <v>74.844222279843052</v>
      </c>
      <c r="R261">
        <f ca="1"/>
        <v>0</v>
      </c>
      <c r="S261">
        <f ca="1"/>
        <v>0.28511153655782095</v>
      </c>
      <c r="T261">
        <f ca="1"/>
        <v>0.94882885762461666</v>
      </c>
      <c r="U261">
        <f ca="1"/>
        <v>0</v>
      </c>
      <c r="V261">
        <f ca="1"/>
        <v>0</v>
      </c>
      <c r="W261">
        <f ca="1"/>
        <v>0</v>
      </c>
      <c r="X261">
        <f ca="1"/>
        <v>0</v>
      </c>
      <c r="Y261">
        <f ca="1"/>
        <v>0.61088229507547309</v>
      </c>
      <c r="Z261">
        <f ca="1"/>
        <v>0</v>
      </c>
      <c r="AA261">
        <f ca="1"/>
        <v>0</v>
      </c>
      <c r="AB261">
        <f ca="1"/>
        <v>0.99999988181911137</v>
      </c>
      <c r="AD261" s="2">
        <f t="shared" ca="1" si="32"/>
        <v>45622</v>
      </c>
      <c r="AE261">
        <f t="shared" ca="1" si="33"/>
        <v>0</v>
      </c>
      <c r="AG261" s="63">
        <f t="shared" ca="1" si="37"/>
        <v>74.844222279843052</v>
      </c>
      <c r="AH261" s="63">
        <f t="shared" ca="1" si="38"/>
        <v>74.844222279843052</v>
      </c>
      <c r="AI261" s="3">
        <f t="shared" ca="1" si="39"/>
        <v>0</v>
      </c>
    </row>
    <row r="262" spans="7:35">
      <c r="G262" s="3">
        <f t="shared" ca="1" si="34"/>
        <v>287</v>
      </c>
      <c r="H262" s="95">
        <f t="shared" ca="1" si="36"/>
        <v>45577</v>
      </c>
      <c r="I262" s="119">
        <f ca="1">HLOOKUP($H$5,'Met Data'!$A$2:$F$368,G262,FALSE)</f>
        <v>12.133333333333301</v>
      </c>
      <c r="J262" s="119">
        <f ca="1">HLOOKUP($H$5,'Met Data'!$H$2:$M$368,G262,FALSE)*L262</f>
        <v>2.6666666666666599</v>
      </c>
      <c r="K262" s="96">
        <f ca="1">HLOOKUP($H$5,'Met Data'!$O$2:$T$368,G262,FALSE)</f>
        <v>1.9257972512671799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45623</v>
      </c>
      <c r="Q262">
        <f ca="1"/>
        <v>76.195937821326666</v>
      </c>
      <c r="R262">
        <f ca="1"/>
        <v>0</v>
      </c>
      <c r="S262">
        <f ca="1"/>
        <v>0.31090250063036251</v>
      </c>
      <c r="T262">
        <f ca="1"/>
        <v>1.0408130408532505</v>
      </c>
      <c r="U262">
        <f ca="1"/>
        <v>0</v>
      </c>
      <c r="V262">
        <f ca="1"/>
        <v>0</v>
      </c>
      <c r="W262">
        <f ca="1"/>
        <v>0</v>
      </c>
      <c r="X262">
        <f ca="1"/>
        <v>0</v>
      </c>
      <c r="Y262">
        <f ca="1"/>
        <v>0.69279588174352869</v>
      </c>
      <c r="Z262">
        <f ca="1"/>
        <v>0</v>
      </c>
      <c r="AA262">
        <f ca="1"/>
        <v>0</v>
      </c>
      <c r="AB262">
        <f ca="1"/>
        <v>0.99999991036950142</v>
      </c>
      <c r="AD262" s="2">
        <f t="shared" ca="1" si="32"/>
        <v>45623</v>
      </c>
      <c r="AE262">
        <f t="shared" ca="1" si="33"/>
        <v>0</v>
      </c>
      <c r="AG262" s="63">
        <f t="shared" ca="1" si="37"/>
        <v>76.195937821326666</v>
      </c>
      <c r="AH262" s="63">
        <f t="shared" ca="1" si="38"/>
        <v>76.195937821326666</v>
      </c>
      <c r="AI262" s="3">
        <f t="shared" ca="1" si="39"/>
        <v>0</v>
      </c>
    </row>
    <row r="263" spans="7:35">
      <c r="G263" s="3">
        <f t="shared" ca="1" si="34"/>
        <v>288</v>
      </c>
      <c r="H263" s="95">
        <f t="shared" ca="1" si="36"/>
        <v>45578</v>
      </c>
      <c r="I263" s="119">
        <f ca="1">HLOOKUP($H$5,'Met Data'!$A$2:$F$368,G263,FALSE)</f>
        <v>12.762499999999999</v>
      </c>
      <c r="J263" s="119">
        <f ca="1">HLOOKUP($H$5,'Met Data'!$H$2:$M$368,G263,FALSE)*L263</f>
        <v>3.6333333333333302</v>
      </c>
      <c r="K263" s="96">
        <f ca="1">HLOOKUP($H$5,'Met Data'!$O$2:$T$368,G263,FALSE)</f>
        <v>2.2182002807721002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45624</v>
      </c>
      <c r="Q263">
        <f ca="1"/>
        <v>77.345910693412208</v>
      </c>
      <c r="R263">
        <f ca="1"/>
        <v>0</v>
      </c>
      <c r="S263">
        <f ca="1"/>
        <v>0.26328657454607196</v>
      </c>
      <c r="T263">
        <f ca="1"/>
        <v>0.88668629753946471</v>
      </c>
      <c r="U263">
        <f ca="1"/>
        <v>0</v>
      </c>
      <c r="V263">
        <f ca="1"/>
        <v>0</v>
      </c>
      <c r="W263">
        <f ca="1"/>
        <v>0</v>
      </c>
      <c r="X263">
        <f ca="1"/>
        <v>0</v>
      </c>
      <c r="Y263">
        <f ca="1"/>
        <v>0.63586196887915203</v>
      </c>
      <c r="Z263">
        <f ca="1"/>
        <v>0</v>
      </c>
      <c r="AA263">
        <f ca="1"/>
        <v>0</v>
      </c>
      <c r="AB263">
        <f ca="1"/>
        <v>0.99999993079822624</v>
      </c>
      <c r="AD263" s="2">
        <f t="shared" ref="AD263:AD326" ca="1" si="42">IFERROR(P263,$AD$5)</f>
        <v>45624</v>
      </c>
      <c r="AE263">
        <f t="shared" ref="AE263:AE326" ca="1" si="43">IFERROR(U263,0)</f>
        <v>0</v>
      </c>
      <c r="AG263" s="63">
        <f t="shared" ca="1" si="37"/>
        <v>77.345910693412208</v>
      </c>
      <c r="AH263" s="63">
        <f t="shared" ca="1" si="38"/>
        <v>77.345910693412208</v>
      </c>
      <c r="AI263" s="3">
        <f t="shared" ca="1" si="39"/>
        <v>0</v>
      </c>
    </row>
    <row r="264" spans="7:35">
      <c r="G264" s="3">
        <f t="shared" ref="G264:G327" ca="1" si="44">H264-DATE(YEAR(H264),1,0)+1</f>
        <v>289</v>
      </c>
      <c r="H264" s="95">
        <f t="shared" ca="1" si="36"/>
        <v>45579</v>
      </c>
      <c r="I264" s="119">
        <f ca="1">HLOOKUP($H$5,'Met Data'!$A$2:$F$368,G264,FALSE)</f>
        <v>12.675000000000001</v>
      </c>
      <c r="J264" s="119">
        <f ca="1">HLOOKUP($H$5,'Met Data'!$H$2:$M$368,G264,FALSE)*L264</f>
        <v>4.2166666666666597</v>
      </c>
      <c r="K264" s="96">
        <f ca="1">HLOOKUP($H$5,'Met Data'!$O$2:$T$368,G264,FALSE)</f>
        <v>2.3809243707544998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45625</v>
      </c>
      <c r="Q264">
        <f ca="1"/>
        <v>78.657030232465473</v>
      </c>
      <c r="R264">
        <f ca="1"/>
        <v>0</v>
      </c>
      <c r="S264">
        <f ca="1"/>
        <v>0.29877196812317663</v>
      </c>
      <c r="T264">
        <f ca="1"/>
        <v>1.0123475709300951</v>
      </c>
      <c r="U264">
        <f ca="1"/>
        <v>0</v>
      </c>
      <c r="V264">
        <f ca="1"/>
        <v>0</v>
      </c>
      <c r="W264">
        <f ca="1"/>
        <v>0</v>
      </c>
      <c r="X264">
        <f ca="1"/>
        <v>0</v>
      </c>
      <c r="Y264">
        <f ca="1"/>
        <v>0.66918934991230661</v>
      </c>
      <c r="Z264">
        <f ca="1"/>
        <v>0</v>
      </c>
      <c r="AA264">
        <f ca="1"/>
        <v>0</v>
      </c>
      <c r="AB264">
        <f ca="1"/>
        <v>0.9999999475575122</v>
      </c>
      <c r="AD264" s="2">
        <f t="shared" ca="1" si="42"/>
        <v>45625</v>
      </c>
      <c r="AE264">
        <f t="shared" ca="1" si="43"/>
        <v>0</v>
      </c>
      <c r="AG264" s="63">
        <f t="shared" ca="1" si="37"/>
        <v>78.657030232465473</v>
      </c>
      <c r="AH264" s="63">
        <f t="shared" ca="1" si="38"/>
        <v>78.657030232465473</v>
      </c>
      <c r="AI264" s="3">
        <f t="shared" ca="1" si="39"/>
        <v>0</v>
      </c>
    </row>
    <row r="265" spans="7:35">
      <c r="G265" s="3">
        <f t="shared" ca="1" si="44"/>
        <v>290</v>
      </c>
      <c r="H265" s="95">
        <f t="shared" ref="H265:H328" ca="1" si="46">H264+1</f>
        <v>45580</v>
      </c>
      <c r="I265" s="119">
        <f ca="1">HLOOKUP($H$5,'Met Data'!$A$2:$F$368,G265,FALSE)</f>
        <v>12.3041666666666</v>
      </c>
      <c r="J265" s="119">
        <f ca="1">HLOOKUP($H$5,'Met Data'!$H$2:$M$368,G265,FALSE)*L265</f>
        <v>1.4666666666666599</v>
      </c>
      <c r="K265" s="96">
        <f ca="1">HLOOKUP($H$5,'Met Data'!$O$2:$T$368,G265,FALSE)</f>
        <v>2.7800377367024298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45626</v>
      </c>
      <c r="Q265">
        <f ca="1"/>
        <v>80.057664545437532</v>
      </c>
      <c r="R265">
        <f ca="1"/>
        <v>0</v>
      </c>
      <c r="S265">
        <f ca="1"/>
        <v>0.31745737632201099</v>
      </c>
      <c r="T265">
        <f ca="1"/>
        <v>1.0831769366500426</v>
      </c>
      <c r="U265">
        <f ca="1"/>
        <v>0</v>
      </c>
      <c r="V265">
        <f ca="1"/>
        <v>0</v>
      </c>
      <c r="W265">
        <f ca="1"/>
        <v>0</v>
      </c>
      <c r="X265">
        <f ca="1"/>
        <v>0</v>
      </c>
      <c r="Y265">
        <f ca="1"/>
        <v>0.73402260638190742</v>
      </c>
      <c r="Z265">
        <f ca="1"/>
        <v>0</v>
      </c>
      <c r="AA265">
        <f ca="1"/>
        <v>0</v>
      </c>
      <c r="AB265">
        <f ca="1"/>
        <v>0.99999996010101722</v>
      </c>
      <c r="AD265" s="2">
        <f t="shared" ca="1" si="42"/>
        <v>45626</v>
      </c>
      <c r="AE265">
        <f t="shared" ca="1" si="43"/>
        <v>0</v>
      </c>
      <c r="AG265" s="63">
        <f t="shared" ca="1" si="37"/>
        <v>80.057664545437532</v>
      </c>
      <c r="AH265" s="63">
        <f t="shared" ca="1" si="38"/>
        <v>80.057664545437532</v>
      </c>
      <c r="AI265" s="3">
        <f t="shared" ca="1" si="39"/>
        <v>0</v>
      </c>
    </row>
    <row r="266" spans="7:35">
      <c r="G266" s="3">
        <f t="shared" ca="1" si="44"/>
        <v>291</v>
      </c>
      <c r="H266" s="95">
        <f t="shared" ca="1" si="46"/>
        <v>45581</v>
      </c>
      <c r="I266" s="119">
        <f ca="1">HLOOKUP($H$5,'Met Data'!$A$2:$F$368,G266,FALSE)</f>
        <v>12.987499999999899</v>
      </c>
      <c r="J266" s="119">
        <f ca="1">HLOOKUP($H$5,'Met Data'!$H$2:$M$368,G266,FALSE)*L266</f>
        <v>2.75</v>
      </c>
      <c r="K266" s="96">
        <f ca="1">HLOOKUP($H$5,'Met Data'!$O$2:$T$368,G266,FALSE)</f>
        <v>2.65151934906442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45627</v>
      </c>
      <c r="Q266">
        <f ca="1"/>
        <v>81.391039431796841</v>
      </c>
      <c r="R266">
        <f ca="1"/>
        <v>0</v>
      </c>
      <c r="S266">
        <f ca="1"/>
        <v>0.30051705303816334</v>
      </c>
      <c r="T266">
        <f ca="1"/>
        <v>1.032857833321144</v>
      </c>
      <c r="U266">
        <f ca="1"/>
        <v>0</v>
      </c>
      <c r="V266">
        <f ca="1"/>
        <v>0</v>
      </c>
      <c r="W266">
        <f ca="1"/>
        <v>0</v>
      </c>
      <c r="X266">
        <f ca="1"/>
        <v>0</v>
      </c>
      <c r="Y266">
        <f ca="1"/>
        <v>0.68251200512606847</v>
      </c>
      <c r="Z266">
        <f ca="1"/>
        <v>0</v>
      </c>
      <c r="AA266">
        <f ca="1"/>
        <v>0</v>
      </c>
      <c r="AB266">
        <f ca="1"/>
        <v>0.99999996977892347</v>
      </c>
      <c r="AD266" s="2">
        <f t="shared" ca="1" si="42"/>
        <v>45627</v>
      </c>
      <c r="AE266">
        <f t="shared" ca="1" si="43"/>
        <v>0</v>
      </c>
      <c r="AG266" s="63">
        <f t="shared" ca="1" si="37"/>
        <v>81.391039431796841</v>
      </c>
      <c r="AH266" s="63">
        <f t="shared" ca="1" si="38"/>
        <v>81.391039431796841</v>
      </c>
      <c r="AI266" s="3">
        <f t="shared" ca="1" si="39"/>
        <v>0</v>
      </c>
    </row>
    <row r="267" spans="7:35">
      <c r="G267" s="3">
        <f t="shared" ca="1" si="44"/>
        <v>292</v>
      </c>
      <c r="H267" s="95">
        <f t="shared" ca="1" si="46"/>
        <v>45582</v>
      </c>
      <c r="I267" s="119">
        <f ca="1">HLOOKUP($H$5,'Met Data'!$A$2:$F$368,G267,FALSE)</f>
        <v>12.7416666666666</v>
      </c>
      <c r="J267" s="119">
        <f ca="1">HLOOKUP($H$5,'Met Data'!$H$2:$M$368,G267,FALSE)*L267</f>
        <v>3.0666666666666602</v>
      </c>
      <c r="K267" s="96">
        <f ca="1">HLOOKUP($H$5,'Met Data'!$O$2:$T$368,G267,FALSE)</f>
        <v>2.2346438003254501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45628</v>
      </c>
      <c r="Q267">
        <f ca="1"/>
        <v>82.678151703033279</v>
      </c>
      <c r="R267">
        <f ca="1"/>
        <v>0</v>
      </c>
      <c r="S267">
        <f ca="1"/>
        <v>0.28847596205346804</v>
      </c>
      <c r="T267">
        <f ca="1"/>
        <v>0.99863630918297697</v>
      </c>
      <c r="U267">
        <f ca="1"/>
        <v>0</v>
      </c>
      <c r="V267">
        <f ca="1"/>
        <v>0</v>
      </c>
      <c r="W267">
        <f ca="1"/>
        <v>0</v>
      </c>
      <c r="X267">
        <f ca="1"/>
        <v>0</v>
      </c>
      <c r="Y267">
        <f ca="1"/>
        <v>0.66220339710201948</v>
      </c>
      <c r="Z267">
        <f ca="1"/>
        <v>0</v>
      </c>
      <c r="AA267">
        <f ca="1"/>
        <v>0</v>
      </c>
      <c r="AB267">
        <f ca="1"/>
        <v>0.99999997707650923</v>
      </c>
      <c r="AD267" s="2">
        <f t="shared" ca="1" si="42"/>
        <v>45628</v>
      </c>
      <c r="AE267">
        <f t="shared" ca="1" si="43"/>
        <v>0</v>
      </c>
      <c r="AG267" s="63">
        <f t="shared" ca="1" si="37"/>
        <v>82.678151703033279</v>
      </c>
      <c r="AH267" s="63">
        <f t="shared" ca="1" si="38"/>
        <v>82.678151703033279</v>
      </c>
      <c r="AI267" s="3">
        <f t="shared" ca="1" si="39"/>
        <v>0</v>
      </c>
    </row>
    <row r="268" spans="7:35">
      <c r="G268" s="3">
        <f t="shared" ca="1" si="44"/>
        <v>293</v>
      </c>
      <c r="H268" s="95">
        <f t="shared" ca="1" si="46"/>
        <v>45583</v>
      </c>
      <c r="I268" s="119">
        <f ca="1">HLOOKUP($H$5,'Met Data'!$A$2:$F$368,G268,FALSE)</f>
        <v>12.154166666666599</v>
      </c>
      <c r="J268" s="119">
        <f ca="1">HLOOKUP($H$5,'Met Data'!$H$2:$M$368,G268,FALSE)*L268</f>
        <v>1.1000000000000001</v>
      </c>
      <c r="K268" s="96">
        <f ca="1">HLOOKUP($H$5,'Met Data'!$O$2:$T$368,G268,FALSE)</f>
        <v>2.9905003990183601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45629</v>
      </c>
      <c r="Q268">
        <f ca="1"/>
        <v>84.000443995258607</v>
      </c>
      <c r="R268">
        <f ca="1"/>
        <v>0</v>
      </c>
      <c r="S268">
        <f ca="1"/>
        <v>0.29466592636816813</v>
      </c>
      <c r="T268">
        <f ca="1"/>
        <v>1.0276263658571645</v>
      </c>
      <c r="U268">
        <f ca="1"/>
        <v>0</v>
      </c>
      <c r="V268">
        <f ca="1"/>
        <v>0</v>
      </c>
      <c r="W268">
        <f ca="1"/>
        <v>0</v>
      </c>
      <c r="X268">
        <f ca="1"/>
        <v>0</v>
      </c>
      <c r="Y268">
        <f ca="1"/>
        <v>0.65215589608803759</v>
      </c>
      <c r="Z268">
        <f ca="1"/>
        <v>0</v>
      </c>
      <c r="AA268">
        <f ca="1"/>
        <v>0</v>
      </c>
      <c r="AB268">
        <f ca="1"/>
        <v>0.99999998276952284</v>
      </c>
      <c r="AD268" s="2">
        <f t="shared" ca="1" si="42"/>
        <v>45629</v>
      </c>
      <c r="AE268">
        <f t="shared" ca="1" si="43"/>
        <v>0</v>
      </c>
      <c r="AG268" s="63">
        <f t="shared" ref="AG268:AG331" ca="1" si="47">Q267+S268+T268+U268</f>
        <v>84.000443995258607</v>
      </c>
      <c r="AH268" s="63">
        <f t="shared" ref="AH268:AH331" ca="1" si="48">Q268+R268+X268</f>
        <v>84.000443995258607</v>
      </c>
      <c r="AI268" s="3">
        <f t="shared" ref="AI268:AI331" ca="1" si="49">AH268-AG268</f>
        <v>0</v>
      </c>
    </row>
    <row r="269" spans="7:35">
      <c r="G269" s="3">
        <f t="shared" ca="1" si="44"/>
        <v>294</v>
      </c>
      <c r="H269" s="95">
        <f t="shared" ca="1" si="46"/>
        <v>45584</v>
      </c>
      <c r="I269" s="119">
        <f ca="1">HLOOKUP($H$5,'Met Data'!$A$2:$F$368,G269,FALSE)</f>
        <v>12.6666666666666</v>
      </c>
      <c r="J269" s="119">
        <f ca="1">HLOOKUP($H$5,'Met Data'!$H$2:$M$368,G269,FALSE)*L269</f>
        <v>1.13333333333333</v>
      </c>
      <c r="K269" s="96">
        <f ca="1">HLOOKUP($H$5,'Met Data'!$O$2:$T$368,G269,FALSE)</f>
        <v>2.7134262355768599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45630</v>
      </c>
      <c r="Q269">
        <f ca="1"/>
        <v>85.233208213361081</v>
      </c>
      <c r="R269">
        <f ca="1"/>
        <v>0</v>
      </c>
      <c r="S269">
        <f ca="1"/>
        <v>0.27313122209592677</v>
      </c>
      <c r="T269">
        <f ca="1"/>
        <v>0.95963299600654517</v>
      </c>
      <c r="U269">
        <f ca="1"/>
        <v>0</v>
      </c>
      <c r="V269">
        <f ca="1"/>
        <v>0</v>
      </c>
      <c r="W269">
        <f ca="1"/>
        <v>0</v>
      </c>
      <c r="X269">
        <f ca="1"/>
        <v>0</v>
      </c>
      <c r="Y269">
        <f ca="1"/>
        <v>0.60971095793724361</v>
      </c>
      <c r="Z269">
        <f ca="1"/>
        <v>0</v>
      </c>
      <c r="AA269">
        <f ca="1"/>
        <v>0</v>
      </c>
      <c r="AB269">
        <f ca="1"/>
        <v>0.9999999870152152</v>
      </c>
      <c r="AD269" s="2">
        <f t="shared" ca="1" si="42"/>
        <v>45630</v>
      </c>
      <c r="AE269">
        <f t="shared" ca="1" si="43"/>
        <v>0</v>
      </c>
      <c r="AG269" s="63">
        <f t="shared" ca="1" si="47"/>
        <v>85.233208213361081</v>
      </c>
      <c r="AH269" s="63">
        <f t="shared" ca="1" si="48"/>
        <v>85.233208213361081</v>
      </c>
      <c r="AI269" s="3">
        <f t="shared" ca="1" si="49"/>
        <v>0</v>
      </c>
    </row>
    <row r="270" spans="7:35">
      <c r="G270" s="3">
        <f t="shared" ca="1" si="44"/>
        <v>295</v>
      </c>
      <c r="H270" s="95">
        <f t="shared" ca="1" si="46"/>
        <v>45585</v>
      </c>
      <c r="I270" s="119">
        <f ca="1">HLOOKUP($H$5,'Met Data'!$A$2:$F$368,G270,FALSE)</f>
        <v>12.4916666666666</v>
      </c>
      <c r="J270" s="119">
        <f ca="1">HLOOKUP($H$5,'Met Data'!$H$2:$M$368,G270,FALSE)*L270</f>
        <v>0.51666666666666605</v>
      </c>
      <c r="K270" s="96">
        <f ca="1">HLOOKUP($H$5,'Met Data'!$O$2:$T$368,G270,FALSE)</f>
        <v>2.2874725559703002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45631</v>
      </c>
      <c r="Q270">
        <f ca="1"/>
        <v>86.457168945214903</v>
      </c>
      <c r="R270">
        <f ca="1"/>
        <v>0</v>
      </c>
      <c r="S270">
        <f ca="1"/>
        <v>0.2696358898360387</v>
      </c>
      <c r="T270">
        <f ca="1"/>
        <v>0.95432484201778101</v>
      </c>
      <c r="U270">
        <f ca="1"/>
        <v>0</v>
      </c>
      <c r="V270">
        <f ca="1"/>
        <v>0</v>
      </c>
      <c r="W270">
        <f ca="1"/>
        <v>0</v>
      </c>
      <c r="X270">
        <f ca="1"/>
        <v>0</v>
      </c>
      <c r="Y270">
        <f ca="1"/>
        <v>0.60481282406370196</v>
      </c>
      <c r="Z270">
        <f ca="1"/>
        <v>0</v>
      </c>
      <c r="AA270">
        <f ca="1"/>
        <v>0</v>
      </c>
      <c r="AB270">
        <f ca="1"/>
        <v>0.99999999021684804</v>
      </c>
      <c r="AD270" s="2">
        <f t="shared" ca="1" si="42"/>
        <v>45631</v>
      </c>
      <c r="AE270">
        <f t="shared" ca="1" si="43"/>
        <v>0</v>
      </c>
      <c r="AG270" s="63">
        <f t="shared" ca="1" si="47"/>
        <v>86.457168945214903</v>
      </c>
      <c r="AH270" s="63">
        <f t="shared" ca="1" si="48"/>
        <v>86.457168945214903</v>
      </c>
      <c r="AI270" s="3">
        <f t="shared" ca="1" si="49"/>
        <v>0</v>
      </c>
    </row>
    <row r="271" spans="7:35">
      <c r="G271" s="3">
        <f t="shared" ca="1" si="44"/>
        <v>296</v>
      </c>
      <c r="H271" s="95">
        <f t="shared" ca="1" si="46"/>
        <v>45586</v>
      </c>
      <c r="I271" s="119">
        <f ca="1">HLOOKUP($H$5,'Met Data'!$A$2:$F$368,G271,FALSE)</f>
        <v>12.925000000000001</v>
      </c>
      <c r="J271" s="119">
        <f ca="1">HLOOKUP($H$5,'Met Data'!$H$2:$M$368,G271,FALSE)*L271</f>
        <v>3.7166666666666601</v>
      </c>
      <c r="K271" s="96">
        <f ca="1">HLOOKUP($H$5,'Met Data'!$O$2:$T$368,G271,FALSE)</f>
        <v>2.31884542682567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45632</v>
      </c>
      <c r="Q271">
        <f ca="1"/>
        <v>87.619595557101789</v>
      </c>
      <c r="R271">
        <f ca="1"/>
        <v>0</v>
      </c>
      <c r="S271">
        <f ca="1"/>
        <v>0.254627254285964</v>
      </c>
      <c r="T271">
        <f ca="1"/>
        <v>0.90779935760091923</v>
      </c>
      <c r="U271">
        <f ca="1"/>
        <v>0</v>
      </c>
      <c r="V271">
        <f ca="1"/>
        <v>0</v>
      </c>
      <c r="W271">
        <f ca="1"/>
        <v>0</v>
      </c>
      <c r="X271">
        <f ca="1"/>
        <v>0</v>
      </c>
      <c r="Y271">
        <f ca="1"/>
        <v>0.60173894877971312</v>
      </c>
      <c r="Z271">
        <f ca="1"/>
        <v>0</v>
      </c>
      <c r="AA271">
        <f ca="1"/>
        <v>0</v>
      </c>
      <c r="AB271">
        <f ca="1"/>
        <v>0.99999999255577299</v>
      </c>
      <c r="AD271" s="2">
        <f t="shared" ca="1" si="42"/>
        <v>45632</v>
      </c>
      <c r="AE271">
        <f t="shared" ca="1" si="43"/>
        <v>0</v>
      </c>
      <c r="AG271" s="63">
        <f t="shared" ca="1" si="47"/>
        <v>87.619595557101789</v>
      </c>
      <c r="AH271" s="63">
        <f t="shared" ca="1" si="48"/>
        <v>87.619595557101789</v>
      </c>
      <c r="AI271" s="3">
        <f t="shared" ca="1" si="49"/>
        <v>0</v>
      </c>
    </row>
    <row r="272" spans="7:35">
      <c r="G272" s="3">
        <f t="shared" ca="1" si="44"/>
        <v>297</v>
      </c>
      <c r="H272" s="95">
        <f t="shared" ca="1" si="46"/>
        <v>45587</v>
      </c>
      <c r="I272" s="119">
        <f ca="1">HLOOKUP($H$5,'Met Data'!$A$2:$F$368,G272,FALSE)</f>
        <v>12.2291666666666</v>
      </c>
      <c r="J272" s="119">
        <f ca="1">HLOOKUP($H$5,'Met Data'!$H$2:$M$368,G272,FALSE)*L272</f>
        <v>2.8333333333333299</v>
      </c>
      <c r="K272" s="96">
        <f ca="1">HLOOKUP($H$5,'Met Data'!$O$2:$T$368,G272,FALSE)</f>
        <v>2.7150999093147798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45633</v>
      </c>
      <c r="Q272">
        <f ca="1"/>
        <v>88.81373205474118</v>
      </c>
      <c r="R272">
        <f ca="1"/>
        <v>0</v>
      </c>
      <c r="S272">
        <f ca="1"/>
        <v>0.26007299802813577</v>
      </c>
      <c r="T272">
        <f ca="1"/>
        <v>0.93406349961125945</v>
      </c>
      <c r="U272">
        <f ca="1"/>
        <v>0</v>
      </c>
      <c r="V272">
        <f ca="1"/>
        <v>0</v>
      </c>
      <c r="W272">
        <f ca="1"/>
        <v>0</v>
      </c>
      <c r="X272">
        <f ca="1"/>
        <v>0</v>
      </c>
      <c r="Y272">
        <f ca="1"/>
        <v>0.66093921383586596</v>
      </c>
      <c r="Z272">
        <f ca="1"/>
        <v>0</v>
      </c>
      <c r="AA272">
        <f ca="1"/>
        <v>0</v>
      </c>
      <c r="AB272">
        <f ca="1"/>
        <v>0.99999999427475594</v>
      </c>
      <c r="AD272" s="2">
        <f t="shared" ca="1" si="42"/>
        <v>45633</v>
      </c>
      <c r="AE272">
        <f t="shared" ca="1" si="43"/>
        <v>0</v>
      </c>
      <c r="AG272" s="63">
        <f t="shared" ca="1" si="47"/>
        <v>88.81373205474118</v>
      </c>
      <c r="AH272" s="63">
        <f t="shared" ca="1" si="48"/>
        <v>88.81373205474118</v>
      </c>
      <c r="AI272" s="3">
        <f t="shared" ca="1" si="49"/>
        <v>0</v>
      </c>
    </row>
    <row r="273" spans="7:35">
      <c r="G273" s="3">
        <f t="shared" ca="1" si="44"/>
        <v>298</v>
      </c>
      <c r="H273" s="95">
        <f t="shared" ca="1" si="46"/>
        <v>45588</v>
      </c>
      <c r="I273" s="119">
        <f ca="1">HLOOKUP($H$5,'Met Data'!$A$2:$F$368,G273,FALSE)</f>
        <v>12.2708333333333</v>
      </c>
      <c r="J273" s="119">
        <f ca="1">HLOOKUP($H$5,'Met Data'!$H$2:$M$368,G273,FALSE)*L273</f>
        <v>0.85</v>
      </c>
      <c r="K273" s="96">
        <f ca="1">HLOOKUP($H$5,'Met Data'!$O$2:$T$368,G273,FALSE)</f>
        <v>2.95103134032406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45634</v>
      </c>
      <c r="Q273">
        <f ca="1"/>
        <v>90.016699865099767</v>
      </c>
      <c r="R273">
        <f ca="1"/>
        <v>0</v>
      </c>
      <c r="S273">
        <f ca="1"/>
        <v>0.26043334078386238</v>
      </c>
      <c r="T273">
        <f ca="1"/>
        <v>0.94253446957472664</v>
      </c>
      <c r="U273">
        <f ca="1"/>
        <v>0</v>
      </c>
      <c r="V273">
        <f ca="1"/>
        <v>0</v>
      </c>
      <c r="W273">
        <f ca="1"/>
        <v>0</v>
      </c>
      <c r="X273">
        <f ca="1"/>
        <v>0</v>
      </c>
      <c r="Y273">
        <f ca="1"/>
        <v>0.62786998361246582</v>
      </c>
      <c r="Z273">
        <f ca="1"/>
        <v>0</v>
      </c>
      <c r="AA273">
        <f ca="1"/>
        <v>0</v>
      </c>
      <c r="AB273">
        <f ca="1"/>
        <v>0.99999999564602704</v>
      </c>
      <c r="AD273" s="2">
        <f t="shared" ca="1" si="42"/>
        <v>45634</v>
      </c>
      <c r="AE273">
        <f t="shared" ca="1" si="43"/>
        <v>0</v>
      </c>
      <c r="AG273" s="63">
        <f t="shared" ca="1" si="47"/>
        <v>90.016699865099767</v>
      </c>
      <c r="AH273" s="63">
        <f t="shared" ca="1" si="48"/>
        <v>90.016699865099767</v>
      </c>
      <c r="AI273" s="3">
        <f t="shared" ca="1" si="49"/>
        <v>0</v>
      </c>
    </row>
    <row r="274" spans="7:35">
      <c r="G274" s="3">
        <f t="shared" ca="1" si="44"/>
        <v>299</v>
      </c>
      <c r="H274" s="95">
        <f t="shared" ca="1" si="46"/>
        <v>45589</v>
      </c>
      <c r="I274" s="119">
        <f ca="1">HLOOKUP($H$5,'Met Data'!$A$2:$F$368,G274,FALSE)</f>
        <v>12.858333333333301</v>
      </c>
      <c r="J274" s="119">
        <f ca="1">HLOOKUP($H$5,'Met Data'!$H$2:$M$368,G274,FALSE)*L274</f>
        <v>1.0333333333333301</v>
      </c>
      <c r="K274" s="96">
        <f ca="1">HLOOKUP($H$5,'Met Data'!$O$2:$T$368,G274,FALSE)</f>
        <v>2.6842724832832401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45635</v>
      </c>
      <c r="Q274">
        <f ca="1"/>
        <v>91.409872574341193</v>
      </c>
      <c r="R274">
        <f ca="1"/>
        <v>0</v>
      </c>
      <c r="S274">
        <f ca="1"/>
        <v>0.29961811102781155</v>
      </c>
      <c r="T274">
        <f ca="1"/>
        <v>1.0935545982136134</v>
      </c>
      <c r="U274">
        <f ca="1"/>
        <v>0</v>
      </c>
      <c r="V274">
        <f ca="1"/>
        <v>0</v>
      </c>
      <c r="W274">
        <f ca="1"/>
        <v>0</v>
      </c>
      <c r="X274">
        <f ca="1"/>
        <v>0</v>
      </c>
      <c r="Y274">
        <f ca="1"/>
        <v>0.69125043197089342</v>
      </c>
      <c r="Z274">
        <f ca="1"/>
        <v>0</v>
      </c>
      <c r="AA274">
        <f ca="1"/>
        <v>0</v>
      </c>
      <c r="AB274">
        <f ca="1"/>
        <v>0.99999999673459494</v>
      </c>
      <c r="AD274" s="2">
        <f t="shared" ca="1" si="42"/>
        <v>45635</v>
      </c>
      <c r="AE274">
        <f t="shared" ca="1" si="43"/>
        <v>0</v>
      </c>
      <c r="AG274" s="63">
        <f t="shared" ca="1" si="47"/>
        <v>91.409872574341193</v>
      </c>
      <c r="AH274" s="63">
        <f t="shared" ca="1" si="48"/>
        <v>91.409872574341193</v>
      </c>
      <c r="AI274" s="3">
        <f t="shared" ca="1" si="49"/>
        <v>0</v>
      </c>
    </row>
    <row r="275" spans="7:35">
      <c r="G275" s="3">
        <f t="shared" ca="1" si="44"/>
        <v>300</v>
      </c>
      <c r="H275" s="95">
        <f t="shared" ca="1" si="46"/>
        <v>45590</v>
      </c>
      <c r="I275" s="119">
        <f ca="1">HLOOKUP($H$5,'Met Data'!$A$2:$F$368,G275,FALSE)</f>
        <v>13.7708333333333</v>
      </c>
      <c r="J275" s="119">
        <f ca="1">HLOOKUP($H$5,'Met Data'!$H$2:$M$368,G275,FALSE)*L275</f>
        <v>3.5166666666666599</v>
      </c>
      <c r="K275" s="96">
        <f ca="1">HLOOKUP($H$5,'Met Data'!$O$2:$T$368,G275,FALSE)</f>
        <v>2.91343955355575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45636</v>
      </c>
      <c r="Q275">
        <f ca="1"/>
        <v>92.852801845001011</v>
      </c>
      <c r="R275">
        <f ca="1"/>
        <v>0</v>
      </c>
      <c r="S275">
        <f ca="1"/>
        <v>0.30802641051938906</v>
      </c>
      <c r="T275">
        <f ca="1"/>
        <v>1.1349028601404252</v>
      </c>
      <c r="U275">
        <f ca="1"/>
        <v>0</v>
      </c>
      <c r="V275">
        <f ca="1"/>
        <v>0</v>
      </c>
      <c r="W275">
        <f ca="1"/>
        <v>0</v>
      </c>
      <c r="X275">
        <f ca="1"/>
        <v>0</v>
      </c>
      <c r="Y275">
        <f ca="1"/>
        <v>0.67211903926948646</v>
      </c>
      <c r="Z275">
        <f ca="1"/>
        <v>0</v>
      </c>
      <c r="AA275">
        <f ca="1"/>
        <v>0</v>
      </c>
      <c r="AB275">
        <f ca="1"/>
        <v>0.99999999758482838</v>
      </c>
      <c r="AD275" s="2">
        <f t="shared" ca="1" si="42"/>
        <v>45636</v>
      </c>
      <c r="AE275">
        <f t="shared" ca="1" si="43"/>
        <v>0</v>
      </c>
      <c r="AG275" s="63">
        <f t="shared" ca="1" si="47"/>
        <v>92.852801845001011</v>
      </c>
      <c r="AH275" s="63">
        <f t="shared" ca="1" si="48"/>
        <v>92.852801845001011</v>
      </c>
      <c r="AI275" s="3">
        <f t="shared" ca="1" si="49"/>
        <v>0</v>
      </c>
    </row>
    <row r="276" spans="7:35">
      <c r="G276" s="3">
        <f t="shared" ca="1" si="44"/>
        <v>301</v>
      </c>
      <c r="H276" s="95">
        <f t="shared" ca="1" si="46"/>
        <v>45591</v>
      </c>
      <c r="I276" s="119">
        <f ca="1">HLOOKUP($H$5,'Met Data'!$A$2:$F$368,G276,FALSE)</f>
        <v>13.899999999999901</v>
      </c>
      <c r="J276" s="119">
        <f ca="1">HLOOKUP($H$5,'Met Data'!$H$2:$M$368,G276,FALSE)*L276</f>
        <v>4.75</v>
      </c>
      <c r="K276" s="96">
        <f ca="1">HLOOKUP($H$5,'Met Data'!$O$2:$T$368,G276,FALSE)</f>
        <v>2.4549016141153701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45637</v>
      </c>
      <c r="Q276">
        <f ca="1"/>
        <v>94.197464851003346</v>
      </c>
      <c r="R276">
        <f ca="1"/>
        <v>0</v>
      </c>
      <c r="S276">
        <f ca="1"/>
        <v>0.28491602338006317</v>
      </c>
      <c r="T276">
        <f ca="1"/>
        <v>1.059746982622279</v>
      </c>
      <c r="U276">
        <f ca="1"/>
        <v>0</v>
      </c>
      <c r="V276">
        <f ca="1"/>
        <v>0</v>
      </c>
      <c r="W276">
        <f ca="1"/>
        <v>0</v>
      </c>
      <c r="X276">
        <f ca="1"/>
        <v>0</v>
      </c>
      <c r="Y276">
        <f ca="1"/>
        <v>0.65104809790333029</v>
      </c>
      <c r="Z276">
        <f ca="1"/>
        <v>0</v>
      </c>
      <c r="AA276">
        <f ca="1"/>
        <v>0</v>
      </c>
      <c r="AB276">
        <f ca="1"/>
        <v>0.99999999819747165</v>
      </c>
      <c r="AD276" s="2">
        <f t="shared" ca="1" si="42"/>
        <v>45637</v>
      </c>
      <c r="AE276">
        <f t="shared" ca="1" si="43"/>
        <v>0</v>
      </c>
      <c r="AG276" s="63">
        <f t="shared" ca="1" si="47"/>
        <v>94.197464851003346</v>
      </c>
      <c r="AH276" s="63">
        <f t="shared" ca="1" si="48"/>
        <v>94.197464851003346</v>
      </c>
      <c r="AI276" s="3">
        <f t="shared" ca="1" si="49"/>
        <v>0</v>
      </c>
    </row>
    <row r="277" spans="7:35">
      <c r="G277" s="3">
        <f t="shared" ca="1" si="44"/>
        <v>302</v>
      </c>
      <c r="H277" s="95">
        <f t="shared" ca="1" si="46"/>
        <v>45592</v>
      </c>
      <c r="I277" s="119">
        <f ca="1">HLOOKUP($H$5,'Met Data'!$A$2:$F$368,G277,FALSE)</f>
        <v>13.425000000000001</v>
      </c>
      <c r="J277" s="119">
        <f ca="1">HLOOKUP($H$5,'Met Data'!$H$2:$M$368,G277,FALSE)*L277</f>
        <v>5.6333333333333302</v>
      </c>
      <c r="K277" s="96">
        <f ca="1">HLOOKUP($H$5,'Met Data'!$O$2:$T$368,G277,FALSE)</f>
        <v>2.5803220554406501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45638</v>
      </c>
      <c r="Q277">
        <f ca="1"/>
        <v>95.469726077620422</v>
      </c>
      <c r="R277">
        <f ca="1"/>
        <v>0</v>
      </c>
      <c r="S277">
        <f ca="1"/>
        <v>0.26765311026142058</v>
      </c>
      <c r="T277">
        <f ca="1"/>
        <v>1.0046081163556482</v>
      </c>
      <c r="U277">
        <f ca="1"/>
        <v>0</v>
      </c>
      <c r="V277">
        <f ca="1"/>
        <v>0</v>
      </c>
      <c r="W277">
        <f ca="1"/>
        <v>0</v>
      </c>
      <c r="X277">
        <f ca="1"/>
        <v>0</v>
      </c>
      <c r="Y277">
        <f ca="1"/>
        <v>0.61804205347774899</v>
      </c>
      <c r="Z277">
        <f ca="1"/>
        <v>0</v>
      </c>
      <c r="AA277">
        <f ca="1"/>
        <v>0</v>
      </c>
      <c r="AB277">
        <f ca="1"/>
        <v>0.99999999865190925</v>
      </c>
      <c r="AD277" s="2">
        <f t="shared" ca="1" si="42"/>
        <v>45638</v>
      </c>
      <c r="AE277">
        <f t="shared" ca="1" si="43"/>
        <v>0</v>
      </c>
      <c r="AG277" s="63">
        <f t="shared" ca="1" si="47"/>
        <v>95.469726077620422</v>
      </c>
      <c r="AH277" s="63">
        <f t="shared" ca="1" si="48"/>
        <v>95.469726077620422</v>
      </c>
      <c r="AI277" s="3">
        <f t="shared" ca="1" si="49"/>
        <v>0</v>
      </c>
    </row>
    <row r="278" spans="7:35">
      <c r="G278" s="3">
        <f t="shared" ca="1" si="44"/>
        <v>303</v>
      </c>
      <c r="H278" s="95">
        <f t="shared" ca="1" si="46"/>
        <v>45593</v>
      </c>
      <c r="I278" s="119">
        <f ca="1">HLOOKUP($H$5,'Met Data'!$A$2:$F$368,G278,FALSE)</f>
        <v>13.9625</v>
      </c>
      <c r="J278" s="119">
        <f ca="1">HLOOKUP($H$5,'Met Data'!$H$2:$M$368,G278,FALSE)*L278</f>
        <v>3.7833333333333301</v>
      </c>
      <c r="K278" s="96">
        <f ca="1">HLOOKUP($H$5,'Met Data'!$O$2:$T$368,G278,FALSE)</f>
        <v>2.91115304555708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45639</v>
      </c>
      <c r="Q278">
        <f ca="1"/>
        <v>96.61988798352408</v>
      </c>
      <c r="R278">
        <f ca="1"/>
        <v>0</v>
      </c>
      <c r="S278">
        <f ca="1"/>
        <v>0.24033806566113469</v>
      </c>
      <c r="T278">
        <f ca="1"/>
        <v>0.90982384024252394</v>
      </c>
      <c r="U278">
        <f ca="1"/>
        <v>0</v>
      </c>
      <c r="V278">
        <f ca="1"/>
        <v>0</v>
      </c>
      <c r="W278">
        <f ca="1"/>
        <v>0</v>
      </c>
      <c r="X278">
        <f ca="1"/>
        <v>0</v>
      </c>
      <c r="Y278">
        <f ca="1"/>
        <v>0.58463290981383309</v>
      </c>
      <c r="Z278">
        <f ca="1"/>
        <v>0</v>
      </c>
      <c r="AA278">
        <f ca="1"/>
        <v>0</v>
      </c>
      <c r="AB278">
        <f ca="1"/>
        <v>0.99999999897970748</v>
      </c>
      <c r="AD278" s="2">
        <f t="shared" ca="1" si="42"/>
        <v>45639</v>
      </c>
      <c r="AE278">
        <f t="shared" ca="1" si="43"/>
        <v>0</v>
      </c>
      <c r="AG278" s="63">
        <f t="shared" ca="1" si="47"/>
        <v>96.61988798352408</v>
      </c>
      <c r="AH278" s="63">
        <f t="shared" ca="1" si="48"/>
        <v>96.61988798352408</v>
      </c>
      <c r="AI278" s="3">
        <f t="shared" ca="1" si="49"/>
        <v>0</v>
      </c>
    </row>
    <row r="279" spans="7:35">
      <c r="G279" s="3">
        <f t="shared" ca="1" si="44"/>
        <v>304</v>
      </c>
      <c r="H279" s="95">
        <f t="shared" ca="1" si="46"/>
        <v>45594</v>
      </c>
      <c r="I279" s="119">
        <f ca="1">HLOOKUP($H$5,'Met Data'!$A$2:$F$368,G279,FALSE)</f>
        <v>13.045833333333301</v>
      </c>
      <c r="J279" s="119">
        <f ca="1">HLOOKUP($H$5,'Met Data'!$H$2:$M$368,G279,FALSE)*L279</f>
        <v>0.39999999999999902</v>
      </c>
      <c r="K279" s="96">
        <f ca="1">HLOOKUP($H$5,'Met Data'!$O$2:$T$368,G279,FALSE)</f>
        <v>3.19138361024571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45640</v>
      </c>
      <c r="Q279">
        <f ca="1"/>
        <v>97.777686190170655</v>
      </c>
      <c r="R279">
        <f ca="1"/>
        <v>0</v>
      </c>
      <c r="S279">
        <f ca="1"/>
        <v>0.24035491836288259</v>
      </c>
      <c r="T279">
        <f ca="1"/>
        <v>0.91744328828368549</v>
      </c>
      <c r="U279">
        <f ca="1"/>
        <v>0</v>
      </c>
      <c r="V279">
        <f ca="1"/>
        <v>0</v>
      </c>
      <c r="W279">
        <f ca="1"/>
        <v>0</v>
      </c>
      <c r="X279">
        <f ca="1"/>
        <v>0</v>
      </c>
      <c r="Y279">
        <f ca="1"/>
        <v>0.61721900151291365</v>
      </c>
      <c r="Z279">
        <f ca="1"/>
        <v>0</v>
      </c>
      <c r="AA279">
        <f ca="1"/>
        <v>0</v>
      </c>
      <c r="AB279">
        <f ca="1"/>
        <v>0.99999999922196414</v>
      </c>
      <c r="AD279" s="2">
        <f t="shared" ca="1" si="42"/>
        <v>45640</v>
      </c>
      <c r="AE279">
        <f t="shared" ca="1" si="43"/>
        <v>0</v>
      </c>
      <c r="AG279" s="63">
        <f t="shared" ca="1" si="47"/>
        <v>97.777686190170655</v>
      </c>
      <c r="AH279" s="63">
        <f t="shared" ca="1" si="48"/>
        <v>97.777686190170655</v>
      </c>
      <c r="AI279" s="3">
        <f t="shared" ca="1" si="49"/>
        <v>0</v>
      </c>
    </row>
    <row r="280" spans="7:35">
      <c r="G280" s="3">
        <f t="shared" ca="1" si="44"/>
        <v>305</v>
      </c>
      <c r="H280" s="95">
        <f t="shared" ca="1" si="46"/>
        <v>45595</v>
      </c>
      <c r="I280" s="119">
        <f ca="1">HLOOKUP($H$5,'Met Data'!$A$2:$F$368,G280,FALSE)</f>
        <v>12.6166666666666</v>
      </c>
      <c r="J280" s="119">
        <f ca="1">HLOOKUP($H$5,'Met Data'!$H$2:$M$368,G280,FALSE)*L280</f>
        <v>3.4666666666666601</v>
      </c>
      <c r="K280" s="96">
        <f ca="1">HLOOKUP($H$5,'Met Data'!$O$2:$T$368,G280,FALSE)</f>
        <v>3.1814806222099299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45641</v>
      </c>
      <c r="Q280">
        <f ca="1"/>
        <v>98.97788406486012</v>
      </c>
      <c r="R280">
        <f ca="1"/>
        <v>0</v>
      </c>
      <c r="S280">
        <f ca="1"/>
        <v>0.24746794646969761</v>
      </c>
      <c r="T280">
        <f ca="1"/>
        <v>0.95272992821976965</v>
      </c>
      <c r="U280">
        <f ca="1"/>
        <v>0</v>
      </c>
      <c r="V280">
        <f ca="1"/>
        <v>0</v>
      </c>
      <c r="W280">
        <f ca="1"/>
        <v>0</v>
      </c>
      <c r="X280">
        <f ca="1"/>
        <v>0</v>
      </c>
      <c r="Y280">
        <f ca="1"/>
        <v>0.58512673096421663</v>
      </c>
      <c r="Z280">
        <f ca="1"/>
        <v>0</v>
      </c>
      <c r="AA280">
        <f ca="1"/>
        <v>0</v>
      </c>
      <c r="AB280">
        <f ca="1"/>
        <v>0.99999999941694639</v>
      </c>
      <c r="AD280" s="2">
        <f t="shared" ca="1" si="42"/>
        <v>45641</v>
      </c>
      <c r="AE280">
        <f t="shared" ca="1" si="43"/>
        <v>0</v>
      </c>
      <c r="AG280" s="63">
        <f t="shared" ca="1" si="47"/>
        <v>98.97788406486012</v>
      </c>
      <c r="AH280" s="63">
        <f t="shared" ca="1" si="48"/>
        <v>98.97788406486012</v>
      </c>
      <c r="AI280" s="3">
        <f t="shared" ca="1" si="49"/>
        <v>0</v>
      </c>
    </row>
    <row r="281" spans="7:35">
      <c r="G281" s="3">
        <f t="shared" ca="1" si="44"/>
        <v>306</v>
      </c>
      <c r="H281" s="95">
        <f t="shared" ca="1" si="46"/>
        <v>45596</v>
      </c>
      <c r="I281" s="119">
        <f ca="1">HLOOKUP($H$5,'Met Data'!$A$2:$F$368,G281,FALSE)</f>
        <v>12.4791666666666</v>
      </c>
      <c r="J281" s="119">
        <f ca="1">HLOOKUP($H$5,'Met Data'!$H$2:$M$368,G281,FALSE)*L281</f>
        <v>2.68333333333333</v>
      </c>
      <c r="K281" s="96">
        <f ca="1">HLOOKUP($H$5,'Met Data'!$O$2:$T$368,G281,FALSE)</f>
        <v>3.1007141373476301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45642</v>
      </c>
      <c r="Q281">
        <f ca="1"/>
        <v>100.21059662505907</v>
      </c>
      <c r="R281">
        <f ca="1"/>
        <v>0</v>
      </c>
      <c r="S281">
        <f ca="1"/>
        <v>0.2523649711447149</v>
      </c>
      <c r="T281">
        <f ca="1"/>
        <v>0.98034758905423147</v>
      </c>
      <c r="U281">
        <f ca="1"/>
        <v>0</v>
      </c>
      <c r="V281">
        <f ca="1"/>
        <v>0</v>
      </c>
      <c r="W281">
        <f ca="1"/>
        <v>0</v>
      </c>
      <c r="X281">
        <f ca="1"/>
        <v>0</v>
      </c>
      <c r="Y281">
        <f ca="1"/>
        <v>0.6065523294543359</v>
      </c>
      <c r="Z281">
        <f ca="1"/>
        <v>0</v>
      </c>
      <c r="AA281">
        <f ca="1"/>
        <v>0</v>
      </c>
      <c r="AB281">
        <f ca="1"/>
        <v>0.99999999956306462</v>
      </c>
      <c r="AD281" s="2">
        <f t="shared" ca="1" si="42"/>
        <v>45642</v>
      </c>
      <c r="AE281">
        <f t="shared" ca="1" si="43"/>
        <v>0</v>
      </c>
      <c r="AG281" s="63">
        <f t="shared" ca="1" si="47"/>
        <v>100.21059662505907</v>
      </c>
      <c r="AH281" s="63">
        <f t="shared" ca="1" si="48"/>
        <v>100.21059662505907</v>
      </c>
      <c r="AI281" s="3">
        <f t="shared" ca="1" si="49"/>
        <v>0</v>
      </c>
    </row>
    <row r="282" spans="7:35">
      <c r="G282" s="3">
        <f t="shared" ca="1" si="44"/>
        <v>307</v>
      </c>
      <c r="H282" s="95">
        <f t="shared" ca="1" si="46"/>
        <v>45597</v>
      </c>
      <c r="I282" s="119">
        <f ca="1">HLOOKUP($H$5,'Met Data'!$A$2:$F$368,G282,FALSE)</f>
        <v>13.3125</v>
      </c>
      <c r="J282" s="119">
        <f ca="1">HLOOKUP($H$5,'Met Data'!$H$2:$M$368,G282,FALSE)*L282</f>
        <v>1.68333333333333</v>
      </c>
      <c r="K282" s="96">
        <f ca="1">HLOOKUP($H$5,'Met Data'!$O$2:$T$368,G282,FALSE)</f>
        <v>3.50405600149278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45643</v>
      </c>
      <c r="Q282">
        <f ca="1"/>
        <v>101.42032139533725</v>
      </c>
      <c r="R282">
        <f ca="1"/>
        <v>0</v>
      </c>
      <c r="S282">
        <f ca="1"/>
        <v>0.24586214734888756</v>
      </c>
      <c r="T282">
        <f ca="1"/>
        <v>0.96386262292929747</v>
      </c>
      <c r="U282">
        <f ca="1"/>
        <v>0</v>
      </c>
      <c r="V282">
        <f ca="1"/>
        <v>0</v>
      </c>
      <c r="W282">
        <f ca="1"/>
        <v>0</v>
      </c>
      <c r="X282">
        <f ca="1"/>
        <v>0</v>
      </c>
      <c r="Y282">
        <f ca="1"/>
        <v>0.56904524464411121</v>
      </c>
      <c r="Z282">
        <f ca="1"/>
        <v>0</v>
      </c>
      <c r="AA282">
        <f ca="1"/>
        <v>0</v>
      </c>
      <c r="AB282">
        <f ca="1"/>
        <v>0.99999999967495001</v>
      </c>
      <c r="AD282" s="2">
        <f t="shared" ca="1" si="42"/>
        <v>45643</v>
      </c>
      <c r="AE282">
        <f t="shared" ca="1" si="43"/>
        <v>0</v>
      </c>
      <c r="AG282" s="63">
        <f t="shared" ca="1" si="47"/>
        <v>101.42032139533725</v>
      </c>
      <c r="AH282" s="63">
        <f t="shared" ca="1" si="48"/>
        <v>101.42032139533725</v>
      </c>
      <c r="AI282" s="3">
        <f t="shared" ca="1" si="49"/>
        <v>0</v>
      </c>
    </row>
    <row r="283" spans="7:35">
      <c r="G283" s="3">
        <f t="shared" ca="1" si="44"/>
        <v>308</v>
      </c>
      <c r="H283" s="95">
        <f t="shared" ca="1" si="46"/>
        <v>45598</v>
      </c>
      <c r="I283" s="119">
        <f ca="1">HLOOKUP($H$5,'Met Data'!$A$2:$F$368,G283,FALSE)</f>
        <v>14.35</v>
      </c>
      <c r="J283" s="119">
        <f ca="1">HLOOKUP($H$5,'Met Data'!$H$2:$M$368,G283,FALSE)*L283</f>
        <v>5.1333333333333302</v>
      </c>
      <c r="K283" s="96">
        <f ca="1">HLOOKUP($H$5,'Met Data'!$O$2:$T$368,G283,FALSE)</f>
        <v>2.61745839191309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309</v>
      </c>
      <c r="H284" s="95">
        <f t="shared" ca="1" si="46"/>
        <v>45599</v>
      </c>
      <c r="I284" s="119">
        <f ca="1">HLOOKUP($H$5,'Met Data'!$A$2:$F$368,G284,FALSE)</f>
        <v>13.875</v>
      </c>
      <c r="J284" s="119">
        <f ca="1">HLOOKUP($H$5,'Met Data'!$H$2:$M$368,G284,FALSE)*L284</f>
        <v>1.86666666666666</v>
      </c>
      <c r="K284" s="96">
        <f ca="1">HLOOKUP($H$5,'Met Data'!$O$2:$T$368,G284,FALSE)</f>
        <v>2.7392607073945601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310</v>
      </c>
      <c r="H285" s="95">
        <f t="shared" ca="1" si="46"/>
        <v>45600</v>
      </c>
      <c r="I285" s="119">
        <f ca="1">HLOOKUP($H$5,'Met Data'!$A$2:$F$368,G285,FALSE)</f>
        <v>13.316666666666601</v>
      </c>
      <c r="J285" s="119">
        <f ca="1">HLOOKUP($H$5,'Met Data'!$H$2:$M$368,G285,FALSE)*L285</f>
        <v>1.13333333333333</v>
      </c>
      <c r="K285" s="96">
        <f ca="1">HLOOKUP($H$5,'Met Data'!$O$2:$T$368,G285,FALSE)</f>
        <v>3.4135545366379101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311</v>
      </c>
      <c r="H286" s="95">
        <f t="shared" ca="1" si="46"/>
        <v>45601</v>
      </c>
      <c r="I286" s="119">
        <f ca="1">HLOOKUP($H$5,'Met Data'!$A$2:$F$368,G286,FALSE)</f>
        <v>13.1454545454545</v>
      </c>
      <c r="J286" s="119">
        <f ca="1">HLOOKUP($H$5,'Met Data'!$H$2:$M$368,G286,FALSE)*L286</f>
        <v>0.472727272727272</v>
      </c>
      <c r="K286" s="96">
        <f ca="1">HLOOKUP($H$5,'Met Data'!$O$2:$T$368,G286,FALSE)</f>
        <v>3.2963131788019302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312</v>
      </c>
      <c r="H287" s="95">
        <f t="shared" ca="1" si="46"/>
        <v>45602</v>
      </c>
      <c r="I287" s="119">
        <f ca="1">HLOOKUP($H$5,'Met Data'!$A$2:$F$368,G287,FALSE)</f>
        <v>13.4166666666666</v>
      </c>
      <c r="J287" s="119">
        <f ca="1">HLOOKUP($H$5,'Met Data'!$H$2:$M$368,G287,FALSE)*L287</f>
        <v>2.35</v>
      </c>
      <c r="K287" s="96">
        <f ca="1">HLOOKUP($H$5,'Met Data'!$O$2:$T$368,G287,FALSE)</f>
        <v>3.43315852526095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313</v>
      </c>
      <c r="H288" s="95">
        <f t="shared" ca="1" si="46"/>
        <v>45603</v>
      </c>
      <c r="I288" s="119">
        <f ca="1">HLOOKUP($H$5,'Met Data'!$A$2:$F$368,G288,FALSE)</f>
        <v>13.8708333333333</v>
      </c>
      <c r="J288" s="119">
        <f ca="1">HLOOKUP($H$5,'Met Data'!$H$2:$M$368,G288,FALSE)*L288</f>
        <v>2.86666666666666</v>
      </c>
      <c r="K288" s="96">
        <f ca="1">HLOOKUP($H$5,'Met Data'!$O$2:$T$368,G288,FALSE)</f>
        <v>3.09770464623969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314</v>
      </c>
      <c r="H289" s="95">
        <f t="shared" ca="1" si="46"/>
        <v>45604</v>
      </c>
      <c r="I289" s="119">
        <f ca="1">HLOOKUP($H$5,'Met Data'!$A$2:$F$368,G289,FALSE)</f>
        <v>14.158333333333299</v>
      </c>
      <c r="J289" s="119">
        <f ca="1">HLOOKUP($H$5,'Met Data'!$H$2:$M$368,G289,FALSE)*L289</f>
        <v>3.2166666666666601</v>
      </c>
      <c r="K289" s="96">
        <f ca="1">HLOOKUP($H$5,'Met Data'!$O$2:$T$368,G289,FALSE)</f>
        <v>3.3024968395707299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315</v>
      </c>
      <c r="H290" s="95">
        <f t="shared" ca="1" si="46"/>
        <v>45605</v>
      </c>
      <c r="I290" s="119">
        <f ca="1">HLOOKUP($H$5,'Met Data'!$A$2:$F$368,G290,FALSE)</f>
        <v>13.6666666666666</v>
      </c>
      <c r="J290" s="119">
        <f ca="1">HLOOKUP($H$5,'Met Data'!$H$2:$M$368,G290,FALSE)*L290</f>
        <v>2.0499999999999998</v>
      </c>
      <c r="K290" s="96">
        <f ca="1">HLOOKUP($H$5,'Met Data'!$O$2:$T$368,G290,FALSE)</f>
        <v>2.6586912182490101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316</v>
      </c>
      <c r="H291" s="95">
        <f t="shared" ca="1" si="46"/>
        <v>45606</v>
      </c>
      <c r="I291" s="119">
        <f ca="1">HLOOKUP($H$5,'Met Data'!$A$2:$F$368,G291,FALSE)</f>
        <v>13.8958333333333</v>
      </c>
      <c r="J291" s="119">
        <f ca="1">HLOOKUP($H$5,'Met Data'!$H$2:$M$368,G291,FALSE)*L291</f>
        <v>3.94999999999999</v>
      </c>
      <c r="K291" s="96">
        <f ca="1">HLOOKUP($H$5,'Met Data'!$O$2:$T$368,G291,FALSE)</f>
        <v>2.87577977788037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317</v>
      </c>
      <c r="H292" s="95">
        <f t="shared" ca="1" si="46"/>
        <v>45607</v>
      </c>
      <c r="I292" s="119">
        <f ca="1">HLOOKUP($H$5,'Met Data'!$A$2:$F$368,G292,FALSE)</f>
        <v>13.0625</v>
      </c>
      <c r="J292" s="119">
        <f ca="1">HLOOKUP($H$5,'Met Data'!$H$2:$M$368,G292,FALSE)*L292</f>
        <v>3.0666666666666602</v>
      </c>
      <c r="K292" s="96">
        <f ca="1">HLOOKUP($H$5,'Met Data'!$O$2:$T$368,G292,FALSE)</f>
        <v>2.8947392121826798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318</v>
      </c>
      <c r="H293" s="95">
        <f t="shared" ca="1" si="46"/>
        <v>45608</v>
      </c>
      <c r="I293" s="119">
        <f ca="1">HLOOKUP($H$5,'Met Data'!$A$2:$F$368,G293,FALSE)</f>
        <v>12.55</v>
      </c>
      <c r="J293" s="119">
        <f ca="1">HLOOKUP($H$5,'Met Data'!$H$2:$M$368,G293,FALSE)*L293</f>
        <v>1.2</v>
      </c>
      <c r="K293" s="96">
        <f ca="1">HLOOKUP($H$5,'Met Data'!$O$2:$T$368,G293,FALSE)</f>
        <v>3.2727192045008802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319</v>
      </c>
      <c r="H294" s="95">
        <f t="shared" ca="1" si="46"/>
        <v>45609</v>
      </c>
      <c r="I294" s="119">
        <f ca="1">HLOOKUP($H$5,'Met Data'!$A$2:$F$368,G294,FALSE)</f>
        <v>12.591666666666599</v>
      </c>
      <c r="J294" s="119">
        <f ca="1">HLOOKUP($H$5,'Met Data'!$H$2:$M$368,G294,FALSE)*L294</f>
        <v>1.25</v>
      </c>
      <c r="K294" s="96">
        <f ca="1">HLOOKUP($H$5,'Met Data'!$O$2:$T$368,G294,FALSE)</f>
        <v>3.2542764283054399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320</v>
      </c>
      <c r="H295" s="95">
        <f t="shared" ca="1" si="46"/>
        <v>45610</v>
      </c>
      <c r="I295" s="119">
        <f ca="1">HLOOKUP($H$5,'Met Data'!$A$2:$F$368,G295,FALSE)</f>
        <v>13.462499999999901</v>
      </c>
      <c r="J295" s="119">
        <f ca="1">HLOOKUP($H$5,'Met Data'!$H$2:$M$368,G295,FALSE)*L295</f>
        <v>2.0666666666666602</v>
      </c>
      <c r="K295" s="96">
        <f ca="1">HLOOKUP($H$5,'Met Data'!$O$2:$T$368,G295,FALSE)</f>
        <v>3.39036465144653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321</v>
      </c>
      <c r="H296" s="95">
        <f t="shared" ca="1" si="46"/>
        <v>45611</v>
      </c>
      <c r="I296" s="119">
        <f ca="1">HLOOKUP($H$5,'Met Data'!$A$2:$F$368,G296,FALSE)</f>
        <v>14.7458333333333</v>
      </c>
      <c r="J296" s="119">
        <f ca="1">HLOOKUP($H$5,'Met Data'!$H$2:$M$368,G296,FALSE)*L296</f>
        <v>5.2166666666666597</v>
      </c>
      <c r="K296" s="96">
        <f ca="1">HLOOKUP($H$5,'Met Data'!$O$2:$T$368,G296,FALSE)</f>
        <v>3.3940384004400501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322</v>
      </c>
      <c r="H297" s="95">
        <f t="shared" ca="1" si="46"/>
        <v>45612</v>
      </c>
      <c r="I297" s="119">
        <f ca="1">HLOOKUP($H$5,'Met Data'!$A$2:$F$368,G297,FALSE)</f>
        <v>14.945833333333301</v>
      </c>
      <c r="J297" s="119">
        <f ca="1">HLOOKUP($H$5,'Met Data'!$H$2:$M$368,G297,FALSE)*L297</f>
        <v>5.3333333333333304</v>
      </c>
      <c r="K297" s="96">
        <f ca="1">HLOOKUP($H$5,'Met Data'!$O$2:$T$368,G297,FALSE)</f>
        <v>2.86263659321907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323</v>
      </c>
      <c r="H298" s="95">
        <f t="shared" ca="1" si="46"/>
        <v>45613</v>
      </c>
      <c r="I298" s="119">
        <f ca="1">HLOOKUP($H$5,'Met Data'!$A$2:$F$368,G298,FALSE)</f>
        <v>14.45</v>
      </c>
      <c r="J298" s="119">
        <f ca="1">HLOOKUP($H$5,'Met Data'!$H$2:$M$368,G298,FALSE)*L298</f>
        <v>6.0833333333333304</v>
      </c>
      <c r="K298" s="96">
        <f ca="1">HLOOKUP($H$5,'Met Data'!$O$2:$T$368,G298,FALSE)</f>
        <v>3.2654882571522399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324</v>
      </c>
      <c r="H299" s="95">
        <f t="shared" ca="1" si="46"/>
        <v>45614</v>
      </c>
      <c r="I299" s="119">
        <f ca="1">HLOOKUP($H$5,'Met Data'!$A$2:$F$368,G299,FALSE)</f>
        <v>13.941666666666601</v>
      </c>
      <c r="J299" s="119">
        <f ca="1">HLOOKUP($H$5,'Met Data'!$H$2:$M$368,G299,FALSE)*L299</f>
        <v>0.98333333333333295</v>
      </c>
      <c r="K299" s="96">
        <f ca="1">HLOOKUP($H$5,'Met Data'!$O$2:$T$368,G299,FALSE)</f>
        <v>3.5976260978488002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325</v>
      </c>
      <c r="H300" s="95">
        <f t="shared" ca="1" si="46"/>
        <v>45615</v>
      </c>
      <c r="I300" s="119">
        <f ca="1">HLOOKUP($H$5,'Met Data'!$A$2:$F$368,G300,FALSE)</f>
        <v>14.1208333333333</v>
      </c>
      <c r="J300" s="119">
        <f ca="1">HLOOKUP($H$5,'Met Data'!$H$2:$M$368,G300,FALSE)*L300</f>
        <v>2.36666666666666</v>
      </c>
      <c r="K300" s="96">
        <f ca="1">HLOOKUP($H$5,'Met Data'!$O$2:$T$368,G300,FALSE)</f>
        <v>3.2574752266568199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326</v>
      </c>
      <c r="H301" s="95">
        <f t="shared" ca="1" si="46"/>
        <v>45616</v>
      </c>
      <c r="I301" s="119">
        <f ca="1">HLOOKUP($H$5,'Met Data'!$A$2:$F$368,G301,FALSE)</f>
        <v>14.2</v>
      </c>
      <c r="J301" s="119">
        <f ca="1">HLOOKUP($H$5,'Met Data'!$H$2:$M$368,G301,FALSE)*L301</f>
        <v>1.4166666666666601</v>
      </c>
      <c r="K301" s="96">
        <f ca="1">HLOOKUP($H$5,'Met Data'!$O$2:$T$368,G301,FALSE)</f>
        <v>3.2248407363783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327</v>
      </c>
      <c r="H302" s="95">
        <f t="shared" ca="1" si="46"/>
        <v>45617</v>
      </c>
      <c r="I302" s="119">
        <f ca="1">HLOOKUP($H$5,'Met Data'!$A$2:$F$368,G302,FALSE)</f>
        <v>14.2916666666666</v>
      </c>
      <c r="J302" s="119">
        <f ca="1">HLOOKUP($H$5,'Met Data'!$H$2:$M$368,G302,FALSE)*L302</f>
        <v>1.2333333333333301</v>
      </c>
      <c r="K302" s="96">
        <f ca="1">HLOOKUP($H$5,'Met Data'!$O$2:$T$368,G302,FALSE)</f>
        <v>3.2303061956604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328</v>
      </c>
      <c r="H303" s="95">
        <f t="shared" ca="1" si="46"/>
        <v>45618</v>
      </c>
      <c r="I303" s="119">
        <f ca="1">HLOOKUP($H$5,'Met Data'!$A$2:$F$368,G303,FALSE)</f>
        <v>14.8666666666666</v>
      </c>
      <c r="J303" s="119">
        <f ca="1">HLOOKUP($H$5,'Met Data'!$H$2:$M$368,G303,FALSE)*L303</f>
        <v>0.21666666666666601</v>
      </c>
      <c r="K303" s="96">
        <f ca="1">HLOOKUP($H$5,'Met Data'!$O$2:$T$368,G303,FALSE)</f>
        <v>3.8851743269165699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329</v>
      </c>
      <c r="H304" s="95">
        <f t="shared" ca="1" si="46"/>
        <v>45619</v>
      </c>
      <c r="I304" s="119">
        <f ca="1">HLOOKUP($H$5,'Met Data'!$A$2:$F$368,G304,FALSE)</f>
        <v>14.875</v>
      </c>
      <c r="J304" s="119">
        <f ca="1">HLOOKUP($H$5,'Met Data'!$H$2:$M$368,G304,FALSE)*L304</f>
        <v>1.8333333333333299</v>
      </c>
      <c r="K304" s="96">
        <f ca="1">HLOOKUP($H$5,'Met Data'!$O$2:$T$368,G304,FALSE)</f>
        <v>3.3424019609463702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330</v>
      </c>
      <c r="H305" s="95">
        <f t="shared" ca="1" si="46"/>
        <v>45620</v>
      </c>
      <c r="I305" s="119">
        <f ca="1">HLOOKUP($H$5,'Met Data'!$A$2:$F$368,G305,FALSE)</f>
        <v>15.8125</v>
      </c>
      <c r="J305" s="119">
        <f ca="1">HLOOKUP($H$5,'Met Data'!$H$2:$M$368,G305,FALSE)*L305</f>
        <v>2.0166666666666599</v>
      </c>
      <c r="K305" s="96">
        <f ca="1">HLOOKUP($H$5,'Met Data'!$O$2:$T$368,G305,FALSE)</f>
        <v>3.2688322627941302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331</v>
      </c>
      <c r="H306" s="95">
        <f t="shared" ca="1" si="46"/>
        <v>45621</v>
      </c>
      <c r="I306" s="119">
        <f ca="1">HLOOKUP($H$5,'Met Data'!$A$2:$F$368,G306,FALSE)</f>
        <v>15.945833333333301</v>
      </c>
      <c r="J306" s="119">
        <f ca="1">HLOOKUP($H$5,'Met Data'!$H$2:$M$368,G306,FALSE)*L306</f>
        <v>5.8833333333333302</v>
      </c>
      <c r="K306" s="96">
        <f ca="1">HLOOKUP($H$5,'Met Data'!$O$2:$T$368,G306,FALSE)</f>
        <v>3.26798762006384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332</v>
      </c>
      <c r="H307" s="95">
        <f t="shared" ca="1" si="46"/>
        <v>45622</v>
      </c>
      <c r="I307" s="119">
        <f ca="1">HLOOKUP($H$5,'Met Data'!$A$2:$F$368,G307,FALSE)</f>
        <v>16.279166666666601</v>
      </c>
      <c r="J307" s="119">
        <f ca="1">HLOOKUP($H$5,'Met Data'!$H$2:$M$368,G307,FALSE)*L307</f>
        <v>1.4833333333333301</v>
      </c>
      <c r="K307" s="96">
        <f ca="1">HLOOKUP($H$5,'Met Data'!$O$2:$T$368,G307,FALSE)</f>
        <v>3.19082213890132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333</v>
      </c>
      <c r="H308" s="95">
        <f t="shared" ca="1" si="46"/>
        <v>45623</v>
      </c>
      <c r="I308" s="119">
        <f ca="1">HLOOKUP($H$5,'Met Data'!$A$2:$F$368,G308,FALSE)</f>
        <v>16.070833333333301</v>
      </c>
      <c r="J308" s="119">
        <f ca="1">HLOOKUP($H$5,'Met Data'!$H$2:$M$368,G308,FALSE)*L308</f>
        <v>7.43333333333333</v>
      </c>
      <c r="K308" s="96">
        <f ca="1">HLOOKUP($H$5,'Met Data'!$O$2:$T$368,G308,FALSE)</f>
        <v>3.00999975823754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334</v>
      </c>
      <c r="H309" s="95">
        <f t="shared" ca="1" si="46"/>
        <v>45624</v>
      </c>
      <c r="I309" s="119">
        <f ca="1">HLOOKUP($H$5,'Met Data'!$A$2:$F$368,G309,FALSE)</f>
        <v>15.033333333333299</v>
      </c>
      <c r="J309" s="119">
        <f ca="1">HLOOKUP($H$5,'Met Data'!$H$2:$M$368,G309,FALSE)*L309</f>
        <v>0.66666666666666596</v>
      </c>
      <c r="K309" s="96">
        <f ca="1">HLOOKUP($H$5,'Met Data'!$O$2:$T$368,G309,FALSE)</f>
        <v>4.1701433642644803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335</v>
      </c>
      <c r="H310" s="95">
        <f t="shared" ca="1" si="46"/>
        <v>45625</v>
      </c>
      <c r="I310" s="119">
        <f ca="1">HLOOKUP($H$5,'Met Data'!$A$2:$F$368,G310,FALSE)</f>
        <v>16.1166666666666</v>
      </c>
      <c r="J310" s="119">
        <f ca="1">HLOOKUP($H$5,'Met Data'!$H$2:$M$368,G310,FALSE)*L310</f>
        <v>5.2333333333333298</v>
      </c>
      <c r="K310" s="96">
        <f ca="1">HLOOKUP($H$5,'Met Data'!$O$2:$T$368,G310,FALSE)</f>
        <v>3.7664149911337801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336</v>
      </c>
      <c r="H311" s="95">
        <f t="shared" ca="1" si="46"/>
        <v>45626</v>
      </c>
      <c r="I311" s="119">
        <f ca="1">HLOOKUP($H$5,'Met Data'!$A$2:$F$368,G311,FALSE)</f>
        <v>15.887499999999999</v>
      </c>
      <c r="J311" s="119">
        <f ca="1">HLOOKUP($H$5,'Met Data'!$H$2:$M$368,G311,FALSE)*L311</f>
        <v>6.75</v>
      </c>
      <c r="K311" s="96">
        <f ca="1">HLOOKUP($H$5,'Met Data'!$O$2:$T$368,G311,FALSE)</f>
        <v>3.2490041935251899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337</v>
      </c>
      <c r="H312" s="95">
        <f t="shared" ca="1" si="46"/>
        <v>45627</v>
      </c>
      <c r="I312" s="119">
        <f ca="1">HLOOKUP($H$5,'Met Data'!$A$2:$F$368,G312,FALSE)</f>
        <v>16.1458333333333</v>
      </c>
      <c r="J312" s="119">
        <f ca="1">HLOOKUP($H$5,'Met Data'!$H$2:$M$368,G312,FALSE)*L312</f>
        <v>1.0833333333333299</v>
      </c>
      <c r="K312" s="96">
        <f ca="1">HLOOKUP($H$5,'Met Data'!$O$2:$T$368,G312,FALSE)</f>
        <v>3.8649058322152201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338</v>
      </c>
      <c r="H313" s="95">
        <f t="shared" ca="1" si="46"/>
        <v>45628</v>
      </c>
      <c r="I313" s="119">
        <f ca="1">HLOOKUP($H$5,'Met Data'!$A$2:$F$368,G313,FALSE)</f>
        <v>16.0625</v>
      </c>
      <c r="J313" s="119">
        <f ca="1">HLOOKUP($H$5,'Met Data'!$H$2:$M$368,G313,FALSE)*L313</f>
        <v>2.2666666666666599</v>
      </c>
      <c r="K313" s="96">
        <f ca="1">HLOOKUP($H$5,'Met Data'!$O$2:$T$368,G313,FALSE)</f>
        <v>3.3633315244434101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339</v>
      </c>
      <c r="H314" s="95">
        <f t="shared" ca="1" si="46"/>
        <v>45629</v>
      </c>
      <c r="I314" s="119">
        <f ca="1">HLOOKUP($H$5,'Met Data'!$A$2:$F$368,G314,FALSE)</f>
        <v>16.591666666666601</v>
      </c>
      <c r="J314" s="119">
        <f ca="1">HLOOKUP($H$5,'Met Data'!$H$2:$M$368,G314,FALSE)*L314</f>
        <v>3.0333333333333301</v>
      </c>
      <c r="K314" s="96">
        <f ca="1">HLOOKUP($H$5,'Met Data'!$O$2:$T$368,G314,FALSE)</f>
        <v>3.8332290024095501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340</v>
      </c>
      <c r="H315" s="95">
        <f t="shared" ca="1" si="46"/>
        <v>45630</v>
      </c>
      <c r="I315" s="119">
        <f ca="1">HLOOKUP($H$5,'Met Data'!$A$2:$F$368,G315,FALSE)</f>
        <v>16.441666666666599</v>
      </c>
      <c r="J315" s="119">
        <f ca="1">HLOOKUP($H$5,'Met Data'!$H$2:$M$368,G315,FALSE)*L315</f>
        <v>1.0833333333333299</v>
      </c>
      <c r="K315" s="96">
        <f ca="1">HLOOKUP($H$5,'Met Data'!$O$2:$T$368,G315,FALSE)</f>
        <v>3.3753600087216298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341</v>
      </c>
      <c r="H316" s="95">
        <f t="shared" ca="1" si="46"/>
        <v>45631</v>
      </c>
      <c r="I316" s="119">
        <f ca="1">HLOOKUP($H$5,'Met Data'!$A$2:$F$368,G316,FALSE)</f>
        <v>16.454166666666602</v>
      </c>
      <c r="J316" s="119">
        <f ca="1">HLOOKUP($H$5,'Met Data'!$H$2:$M$368,G316,FALSE)*L316</f>
        <v>2.61666666666666</v>
      </c>
      <c r="K316" s="96">
        <f ca="1">HLOOKUP($H$5,'Met Data'!$O$2:$T$368,G316,FALSE)</f>
        <v>2.8811659068389401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342</v>
      </c>
      <c r="H317" s="95">
        <f t="shared" ca="1" si="46"/>
        <v>45632</v>
      </c>
      <c r="I317" s="119">
        <f ca="1">HLOOKUP($H$5,'Met Data'!$A$2:$F$368,G317,FALSE)</f>
        <v>15.879166666666601</v>
      </c>
      <c r="J317" s="119">
        <f ca="1">HLOOKUP($H$5,'Met Data'!$H$2:$M$368,G317,FALSE)*L317</f>
        <v>3.1</v>
      </c>
      <c r="K317" s="96">
        <f ca="1">HLOOKUP($H$5,'Met Data'!$O$2:$T$368,G317,FALSE)</f>
        <v>3.4185168625157498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343</v>
      </c>
      <c r="H318" s="95">
        <f t="shared" ca="1" si="46"/>
        <v>45633</v>
      </c>
      <c r="I318" s="119">
        <f ca="1">HLOOKUP($H$5,'Met Data'!$A$2:$F$368,G318,FALSE)</f>
        <v>15.259090909090901</v>
      </c>
      <c r="J318" s="119">
        <f ca="1">HLOOKUP($H$5,'Met Data'!$H$2:$M$368,G318,FALSE)*L318</f>
        <v>6.1090909090908996</v>
      </c>
      <c r="K318" s="96">
        <f ca="1">HLOOKUP($H$5,'Met Data'!$O$2:$T$368,G318,FALSE)</f>
        <v>2.9122766026990501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344</v>
      </c>
      <c r="H319" s="95">
        <f t="shared" ca="1" si="46"/>
        <v>45634</v>
      </c>
      <c r="I319" s="119">
        <f ca="1">HLOOKUP($H$5,'Met Data'!$A$2:$F$368,G319,FALSE)</f>
        <v>15.9125</v>
      </c>
      <c r="J319" s="119">
        <f ca="1">HLOOKUP($H$5,'Met Data'!$H$2:$M$368,G319,FALSE)*L319</f>
        <v>1.7833333333333301</v>
      </c>
      <c r="K319" s="96">
        <f ca="1">HLOOKUP($H$5,'Met Data'!$O$2:$T$368,G319,FALSE)</f>
        <v>3.7124167377990198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345</v>
      </c>
      <c r="H320" s="95">
        <f t="shared" ca="1" si="46"/>
        <v>45635</v>
      </c>
      <c r="I320" s="119">
        <f ca="1">HLOOKUP($H$5,'Met Data'!$A$2:$F$368,G320,FALSE)</f>
        <v>16.720833333333299</v>
      </c>
      <c r="J320" s="119">
        <f ca="1">HLOOKUP($H$5,'Met Data'!$H$2:$M$368,G320,FALSE)*L320</f>
        <v>6.61666666666666</v>
      </c>
      <c r="K320" s="96">
        <f ca="1">HLOOKUP($H$5,'Met Data'!$O$2:$T$368,G320,FALSE)</f>
        <v>3.19412245919293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346</v>
      </c>
      <c r="H321" s="95">
        <f t="shared" ca="1" si="46"/>
        <v>45636</v>
      </c>
      <c r="I321" s="119">
        <f ca="1">HLOOKUP($H$5,'Met Data'!$A$2:$F$368,G321,FALSE)</f>
        <v>17.529166666666601</v>
      </c>
      <c r="J321" s="119">
        <f ca="1">HLOOKUP($H$5,'Met Data'!$H$2:$M$368,G321,FALSE)*L321</f>
        <v>2.0333333333333301</v>
      </c>
      <c r="K321" s="96">
        <f ca="1">HLOOKUP($H$5,'Met Data'!$O$2:$T$368,G321,FALSE)</f>
        <v>3.0664285414958901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347</v>
      </c>
      <c r="H322" s="95">
        <f t="shared" ca="1" si="46"/>
        <v>45637</v>
      </c>
      <c r="I322" s="119">
        <f ca="1">HLOOKUP($H$5,'Met Data'!$A$2:$F$368,G322,FALSE)</f>
        <v>17.004166666666599</v>
      </c>
      <c r="J322" s="119">
        <f ca="1">HLOOKUP($H$5,'Met Data'!$H$2:$M$368,G322,FALSE)*L322</f>
        <v>2.4666666666666601</v>
      </c>
      <c r="K322" s="96">
        <f ca="1">HLOOKUP($H$5,'Met Data'!$O$2:$T$368,G322,FALSE)</f>
        <v>3.6044975025694099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348</v>
      </c>
      <c r="H323" s="95">
        <f t="shared" ca="1" si="46"/>
        <v>45638</v>
      </c>
      <c r="I323" s="119">
        <f ca="1">HLOOKUP($H$5,'Met Data'!$A$2:$F$368,G323,FALSE)</f>
        <v>16.883333333333301</v>
      </c>
      <c r="J323" s="119">
        <f ca="1">HLOOKUP($H$5,'Met Data'!$H$2:$M$368,G323,FALSE)*L323</f>
        <v>1.7333333333333301</v>
      </c>
      <c r="K323" s="96">
        <f ca="1">HLOOKUP($H$5,'Met Data'!$O$2:$T$368,G323,FALSE)</f>
        <v>4.1436131117359496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349</v>
      </c>
      <c r="H324" s="95">
        <f t="shared" ca="1" si="46"/>
        <v>45639</v>
      </c>
      <c r="I324" s="119">
        <f ca="1">HLOOKUP($H$5,'Met Data'!$A$2:$F$368,G324,FALSE)</f>
        <v>16.191666666666599</v>
      </c>
      <c r="J324" s="119">
        <f ca="1">HLOOKUP($H$5,'Met Data'!$H$2:$M$368,G324,FALSE)*L324</f>
        <v>1.5333333333333301</v>
      </c>
      <c r="K324" s="96">
        <f ca="1">HLOOKUP($H$5,'Met Data'!$O$2:$T$368,G324,FALSE)</f>
        <v>3.8138486605430502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350</v>
      </c>
      <c r="H325" s="95">
        <f t="shared" ca="1" si="46"/>
        <v>45640</v>
      </c>
      <c r="I325" s="119">
        <f ca="1">HLOOKUP($H$5,'Met Data'!$A$2:$F$368,G325,FALSE)</f>
        <v>15.754166666666601</v>
      </c>
      <c r="J325" s="119">
        <f ca="1">HLOOKUP($H$5,'Met Data'!$H$2:$M$368,G325,FALSE)*L325</f>
        <v>4.9166666666666599</v>
      </c>
      <c r="K325" s="96">
        <f ca="1">HLOOKUP($H$5,'Met Data'!$O$2:$T$368,G325,FALSE)</f>
        <v>4.2245531095694204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351</v>
      </c>
      <c r="H326" s="95">
        <f t="shared" ca="1" si="46"/>
        <v>45641</v>
      </c>
      <c r="I326" s="119">
        <f ca="1">HLOOKUP($H$5,'Met Data'!$A$2:$F$368,G326,FALSE)</f>
        <v>16.766666666666602</v>
      </c>
      <c r="J326" s="119">
        <f ca="1">HLOOKUP($H$5,'Met Data'!$H$2:$M$368,G326,FALSE)*L326</f>
        <v>1.5999999999999901</v>
      </c>
      <c r="K326" s="96">
        <f ca="1">HLOOKUP($H$5,'Met Data'!$O$2:$T$368,G326,FALSE)</f>
        <v>4.0567025040665996</v>
      </c>
      <c r="L326">
        <f t="shared" ca="1" si="40"/>
        <v>1</v>
      </c>
      <c r="N326" t="e">
        <f t="shared" ca="1" si="45"/>
        <v>#N/A</v>
      </c>
      <c r="O326" t="e">
        <f t="shared" ca="1" si="41"/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ca="1" si="42"/>
        <v>0</v>
      </c>
      <c r="AE326">
        <f t="shared" ca="1" si="43"/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ca="1" si="44"/>
        <v>352</v>
      </c>
      <c r="H327" s="95">
        <f t="shared" ca="1" si="46"/>
        <v>45642</v>
      </c>
      <c r="I327" s="119">
        <f ca="1">HLOOKUP($H$5,'Met Data'!$A$2:$F$368,G327,FALSE)</f>
        <v>16.766666666666602</v>
      </c>
      <c r="J327" s="119">
        <f ca="1">HLOOKUP($H$5,'Met Data'!$H$2:$M$368,G327,FALSE)*L327</f>
        <v>4.3166666666666602</v>
      </c>
      <c r="K327" s="96">
        <f ca="1">HLOOKUP($H$5,'Met Data'!$O$2:$T$368,G327,FALSE)</f>
        <v>3.8858032497445998</v>
      </c>
      <c r="L327">
        <f t="shared" ref="L327:L390" ca="1" si="50">IF(H327&lt;$B$32,$J$4,$J$5)</f>
        <v>1</v>
      </c>
      <c r="N327" t="e">
        <f t="shared" ca="1" si="45"/>
        <v>#N/A</v>
      </c>
      <c r="O327" t="e">
        <f t="shared" ref="O327:O390" ca="1" si="51">AND(IF(P327&gt;($P$3-1),TRUE,FALSE),IF(P327&lt;($P$4+1),TRUE,FALSE))</f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ref="AD327:AD390" ca="1" si="52">IFERROR(P327,$AD$5)</f>
        <v>0</v>
      </c>
      <c r="AE327">
        <f t="shared" ref="AE327:AE390" ca="1" si="53">IFERROR(U327,0)</f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ref="G328:G391" ca="1" si="54">H328-DATE(YEAR(H328),1,0)+1</f>
        <v>353</v>
      </c>
      <c r="H328" s="95">
        <f t="shared" ca="1" si="46"/>
        <v>45643</v>
      </c>
      <c r="I328" s="119">
        <f ca="1">HLOOKUP($H$5,'Met Data'!$A$2:$F$368,G328,FALSE)</f>
        <v>17.191666666666599</v>
      </c>
      <c r="J328" s="119">
        <f ca="1">HLOOKUP($H$5,'Met Data'!$H$2:$M$368,G328,FALSE)*L328</f>
        <v>1.25</v>
      </c>
      <c r="K328" s="96">
        <f ca="1">HLOOKUP($H$5,'Met Data'!$O$2:$T$368,G328,FALSE)</f>
        <v>3.5439221574521702</v>
      </c>
      <c r="L328">
        <f t="shared" ca="1" si="50"/>
        <v>1</v>
      </c>
      <c r="N328" t="e">
        <f t="shared" ref="N328:N391" ca="1" si="55">IF(P328&lt;$P$4,TRUE,FALSE)</f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354</v>
      </c>
      <c r="H329" s="95">
        <f t="shared" ref="H329:H392" ca="1" si="56">H328+1</f>
        <v>45644</v>
      </c>
      <c r="I329" s="119">
        <f ca="1">HLOOKUP($H$5,'Met Data'!$A$2:$F$368,G329,FALSE)</f>
        <v>16.725000000000001</v>
      </c>
      <c r="J329" s="119">
        <f ca="1">HLOOKUP($H$5,'Met Data'!$H$2:$M$368,G329,FALSE)*L329</f>
        <v>6.43333333333333</v>
      </c>
      <c r="K329" s="96">
        <f ca="1">HLOOKUP($H$5,'Met Data'!$O$2:$T$368,G329,FALSE)</f>
        <v>2.7226403112081199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355</v>
      </c>
      <c r="H330" s="95">
        <f t="shared" ca="1" si="56"/>
        <v>45645</v>
      </c>
      <c r="I330" s="119">
        <f ca="1">HLOOKUP($H$5,'Met Data'!$A$2:$F$368,G330,FALSE)</f>
        <v>15.9625</v>
      </c>
      <c r="J330" s="119">
        <f ca="1">HLOOKUP($H$5,'Met Data'!$H$2:$M$368,G330,FALSE)*L330</f>
        <v>4.3333333333333304</v>
      </c>
      <c r="K330" s="96">
        <f ca="1">HLOOKUP($H$5,'Met Data'!$O$2:$T$368,G330,FALSE)</f>
        <v>3.7253118866284498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356</v>
      </c>
      <c r="H331" s="95">
        <f t="shared" ca="1" si="56"/>
        <v>45646</v>
      </c>
      <c r="I331" s="119">
        <f ca="1">HLOOKUP($H$5,'Met Data'!$A$2:$F$368,G331,FALSE)</f>
        <v>16.074999999999999</v>
      </c>
      <c r="J331" s="119">
        <f ca="1">HLOOKUP($H$5,'Met Data'!$H$2:$M$368,G331,FALSE)*L331</f>
        <v>0.89999999999999902</v>
      </c>
      <c r="K331" s="96">
        <f ca="1">HLOOKUP($H$5,'Met Data'!$O$2:$T$368,G331,FALSE)</f>
        <v>3.69045556475041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ca="1" si="47"/>
        <v>#N/A</v>
      </c>
      <c r="AH331" s="63" t="e">
        <f t="shared" ca="1" si="48"/>
        <v>#N/A</v>
      </c>
      <c r="AI331" s="3" t="e">
        <f t="shared" ca="1" si="49"/>
        <v>#N/A</v>
      </c>
    </row>
    <row r="332" spans="7:35">
      <c r="G332" s="3">
        <f t="shared" ca="1" si="54"/>
        <v>357</v>
      </c>
      <c r="H332" s="95">
        <f t="shared" ca="1" si="56"/>
        <v>45647</v>
      </c>
      <c r="I332" s="119">
        <f ca="1">HLOOKUP($H$5,'Met Data'!$A$2:$F$368,G332,FALSE)</f>
        <v>16.1458333333333</v>
      </c>
      <c r="J332" s="119">
        <f ca="1">HLOOKUP($H$5,'Met Data'!$H$2:$M$368,G332,FALSE)*L332</f>
        <v>0.78333333333333299</v>
      </c>
      <c r="K332" s="96">
        <f ca="1">HLOOKUP($H$5,'Met Data'!$O$2:$T$368,G332,FALSE)</f>
        <v>3.66376320931905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ref="AG332:AG395" ca="1" si="57">Q331+S332+T332+U332</f>
        <v>#N/A</v>
      </c>
      <c r="AH332" s="63" t="e">
        <f t="shared" ref="AH332:AH395" ca="1" si="58">Q332+R332+X332</f>
        <v>#N/A</v>
      </c>
      <c r="AI332" s="3" t="e">
        <f t="shared" ref="AI332:AI395" ca="1" si="59">AH332-AG332</f>
        <v>#N/A</v>
      </c>
    </row>
    <row r="333" spans="7:35">
      <c r="G333" s="3">
        <f t="shared" ca="1" si="54"/>
        <v>358</v>
      </c>
      <c r="H333" s="95">
        <f t="shared" ca="1" si="56"/>
        <v>45648</v>
      </c>
      <c r="I333" s="119">
        <f ca="1">HLOOKUP($H$5,'Met Data'!$A$2:$F$368,G333,FALSE)</f>
        <v>16.820833333333301</v>
      </c>
      <c r="J333" s="119">
        <f ca="1">HLOOKUP($H$5,'Met Data'!$H$2:$M$368,G333,FALSE)*L333</f>
        <v>1.1666666666666601</v>
      </c>
      <c r="K333" s="96">
        <f ca="1">HLOOKUP($H$5,'Met Data'!$O$2:$T$368,G333,FALSE)</f>
        <v>4.2904592235930501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359</v>
      </c>
      <c r="H334" s="95">
        <f t="shared" ca="1" si="56"/>
        <v>45649</v>
      </c>
      <c r="I334" s="119">
        <f ca="1">HLOOKUP($H$5,'Met Data'!$A$2:$F$368,G334,FALSE)</f>
        <v>16.883333333333301</v>
      </c>
      <c r="J334" s="119">
        <f ca="1">HLOOKUP($H$5,'Met Data'!$H$2:$M$368,G334,FALSE)*L334</f>
        <v>4.1499999999999897</v>
      </c>
      <c r="K334" s="96">
        <f ca="1">HLOOKUP($H$5,'Met Data'!$O$2:$T$368,G334,FALSE)</f>
        <v>3.61274265774352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360</v>
      </c>
      <c r="H335" s="95">
        <f t="shared" ca="1" si="56"/>
        <v>45650</v>
      </c>
      <c r="I335" s="119">
        <f ca="1">HLOOKUP($H$5,'Met Data'!$A$2:$F$368,G335,FALSE)</f>
        <v>17.399999999999999</v>
      </c>
      <c r="J335" s="119">
        <f ca="1">HLOOKUP($H$5,'Met Data'!$H$2:$M$368,G335,FALSE)*L335</f>
        <v>5.0166666666666604</v>
      </c>
      <c r="K335" s="96">
        <f ca="1">HLOOKUP($H$5,'Met Data'!$O$2:$T$368,G335,FALSE)</f>
        <v>4.09028075025509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361</v>
      </c>
      <c r="H336" s="95">
        <f t="shared" ca="1" si="56"/>
        <v>45651</v>
      </c>
      <c r="I336" s="119">
        <f ca="1">HLOOKUP($H$5,'Met Data'!$A$2:$F$368,G336,FALSE)</f>
        <v>17.920833333333299</v>
      </c>
      <c r="J336" s="119">
        <f ca="1">HLOOKUP($H$5,'Met Data'!$H$2:$M$368,G336,FALSE)*L336</f>
        <v>0.56666666666666599</v>
      </c>
      <c r="K336" s="96">
        <f ca="1">HLOOKUP($H$5,'Met Data'!$O$2:$T$368,G336,FALSE)</f>
        <v>4.1244552423616296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362</v>
      </c>
      <c r="H337" s="95">
        <f t="shared" ca="1" si="56"/>
        <v>45652</v>
      </c>
      <c r="I337" s="119">
        <f ca="1">HLOOKUP($H$5,'Met Data'!$A$2:$F$368,G337,FALSE)</f>
        <v>17.537500000000001</v>
      </c>
      <c r="J337" s="119">
        <f ca="1">HLOOKUP($H$5,'Met Data'!$H$2:$M$368,G337,FALSE)*L337</f>
        <v>1.2833333333333301</v>
      </c>
      <c r="K337" s="96">
        <f ca="1">HLOOKUP($H$5,'Met Data'!$O$2:$T$368,G337,FALSE)</f>
        <v>4.3692883234689903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363</v>
      </c>
      <c r="H338" s="95">
        <f t="shared" ca="1" si="56"/>
        <v>45653</v>
      </c>
      <c r="I338" s="119">
        <f ca="1">HLOOKUP($H$5,'Met Data'!$A$2:$F$368,G338,FALSE)</f>
        <v>17.012499999999999</v>
      </c>
      <c r="J338" s="119">
        <f ca="1">HLOOKUP($H$5,'Met Data'!$H$2:$M$368,G338,FALSE)*L338</f>
        <v>1.5833333333333299</v>
      </c>
      <c r="K338" s="96">
        <f ca="1">HLOOKUP($H$5,'Met Data'!$O$2:$T$368,G338,FALSE)</f>
        <v>3.8686759650684999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364</v>
      </c>
      <c r="H339" s="95">
        <f t="shared" ca="1" si="56"/>
        <v>45654</v>
      </c>
      <c r="I339" s="119">
        <f ca="1">HLOOKUP($H$5,'Met Data'!$A$2:$F$368,G339,FALSE)</f>
        <v>17.1041666666666</v>
      </c>
      <c r="J339" s="119">
        <f ca="1">HLOOKUP($H$5,'Met Data'!$H$2:$M$368,G339,FALSE)*L339</f>
        <v>4.2833333333333297</v>
      </c>
      <c r="K339" s="96">
        <f ca="1">HLOOKUP($H$5,'Met Data'!$O$2:$T$368,G339,FALSE)</f>
        <v>3.65125453231978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365</v>
      </c>
      <c r="H340" s="95">
        <f t="shared" ca="1" si="56"/>
        <v>45655</v>
      </c>
      <c r="I340" s="119">
        <f ca="1">HLOOKUP($H$5,'Met Data'!$A$2:$F$368,G340,FALSE)</f>
        <v>17.0541666666666</v>
      </c>
      <c r="J340" s="119">
        <f ca="1">HLOOKUP($H$5,'Met Data'!$H$2:$M$368,G340,FALSE)*L340</f>
        <v>3.68333333333333</v>
      </c>
      <c r="K340" s="96">
        <f ca="1">HLOOKUP($H$5,'Met Data'!$O$2:$T$368,G340,FALSE)</f>
        <v>3.3111049356888498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366</v>
      </c>
      <c r="H341" s="95">
        <f t="shared" ca="1" si="56"/>
        <v>45656</v>
      </c>
      <c r="I341" s="119">
        <f ca="1">HLOOKUP($H$5,'Met Data'!$A$2:$F$368,G341,FALSE)</f>
        <v>16.6875</v>
      </c>
      <c r="J341" s="119">
        <f ca="1">HLOOKUP($H$5,'Met Data'!$H$2:$M$368,G341,FALSE)*L341</f>
        <v>4.68333333333333</v>
      </c>
      <c r="K341" s="96">
        <f ca="1">HLOOKUP($H$5,'Met Data'!$O$2:$T$368,G341,FALSE)</f>
        <v>3.7095349810249001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367</v>
      </c>
      <c r="H342" s="95">
        <f t="shared" ca="1" si="56"/>
        <v>45657</v>
      </c>
      <c r="I342" s="119">
        <f ca="1">HLOOKUP($H$5,'Met Data'!$A$2:$F$368,G342,FALSE)</f>
        <v>15.483333333333301</v>
      </c>
      <c r="J342" s="119">
        <f ca="1">HLOOKUP($H$5,'Met Data'!$H$2:$M$368,G342,FALSE)*L342</f>
        <v>0</v>
      </c>
      <c r="K342" s="96">
        <f ca="1">HLOOKUP($H$5,'Met Data'!$O$2:$T$368,G342,FALSE)</f>
        <v>5.2329405479025102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2</v>
      </c>
      <c r="H343" s="95">
        <f t="shared" ca="1" si="56"/>
        <v>45658</v>
      </c>
      <c r="I343" s="119">
        <f ca="1">HLOOKUP($H$5,'Met Data'!$A$2:$F$368,G343,FALSE)</f>
        <v>17.908333333333299</v>
      </c>
      <c r="J343" s="119">
        <f ca="1">HLOOKUP($H$5,'Met Data'!$H$2:$M$368,G343,FALSE)*L343</f>
        <v>2.5499999999999998</v>
      </c>
      <c r="K343" s="96">
        <f ca="1">HLOOKUP($H$5,'Met Data'!$O$2:$T$368,G343,FALSE)</f>
        <v>3.6545263506553698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</v>
      </c>
      <c r="H344" s="95">
        <f t="shared" ca="1" si="56"/>
        <v>45659</v>
      </c>
      <c r="I344" s="119">
        <f ca="1">HLOOKUP($H$5,'Met Data'!$A$2:$F$368,G344,FALSE)</f>
        <v>18.454166666666602</v>
      </c>
      <c r="J344" s="119">
        <f ca="1">HLOOKUP($H$5,'Met Data'!$H$2:$M$368,G344,FALSE)*L344</f>
        <v>2.3166666666666602</v>
      </c>
      <c r="K344" s="96">
        <f ca="1">HLOOKUP($H$5,'Met Data'!$O$2:$T$368,G344,FALSE)</f>
        <v>3.0374578661788201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4</v>
      </c>
      <c r="H345" s="95">
        <f t="shared" ca="1" si="56"/>
        <v>45660</v>
      </c>
      <c r="I345" s="119">
        <f ca="1">HLOOKUP($H$5,'Met Data'!$A$2:$F$368,G345,FALSE)</f>
        <v>18.4916666666666</v>
      </c>
      <c r="J345" s="119">
        <f ca="1">HLOOKUP($H$5,'Met Data'!$H$2:$M$368,G345,FALSE)*L345</f>
        <v>6.6333333333333302</v>
      </c>
      <c r="K345" s="96">
        <f ca="1">HLOOKUP($H$5,'Met Data'!$O$2:$T$368,G345,FALSE)</f>
        <v>3.5424660833564698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5</v>
      </c>
      <c r="H346" s="95">
        <f t="shared" ca="1" si="56"/>
        <v>45661</v>
      </c>
      <c r="I346" s="119">
        <f ca="1">HLOOKUP($H$5,'Met Data'!$A$2:$F$368,G346,FALSE)</f>
        <v>17</v>
      </c>
      <c r="J346" s="119">
        <f ca="1">HLOOKUP($H$5,'Met Data'!$H$2:$M$368,G346,FALSE)*L346</f>
        <v>1.93333333333333</v>
      </c>
      <c r="K346" s="96">
        <f ca="1">HLOOKUP($H$5,'Met Data'!$O$2:$T$368,G346,FALSE)</f>
        <v>4.6893309655458602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6</v>
      </c>
      <c r="H347" s="95">
        <f t="shared" ca="1" si="56"/>
        <v>45662</v>
      </c>
      <c r="I347" s="119">
        <f ca="1">HLOOKUP($H$5,'Met Data'!$A$2:$F$368,G347,FALSE)</f>
        <v>16.4166666666666</v>
      </c>
      <c r="J347" s="119">
        <f ca="1">HLOOKUP($H$5,'Met Data'!$H$2:$M$368,G347,FALSE)*L347</f>
        <v>2.9833333333333298</v>
      </c>
      <c r="K347" s="96">
        <f ca="1">HLOOKUP($H$5,'Met Data'!$O$2:$T$368,G347,FALSE)</f>
        <v>4.0957861961112103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7</v>
      </c>
      <c r="H348" s="95">
        <f t="shared" ca="1" si="56"/>
        <v>45663</v>
      </c>
      <c r="I348" s="119">
        <f ca="1">HLOOKUP($H$5,'Met Data'!$A$2:$F$368,G348,FALSE)</f>
        <v>17.629166666666599</v>
      </c>
      <c r="J348" s="119">
        <f ca="1">HLOOKUP($H$5,'Met Data'!$H$2:$M$368,G348,FALSE)*L348</f>
        <v>0.43333333333333302</v>
      </c>
      <c r="K348" s="96">
        <f ca="1">HLOOKUP($H$5,'Met Data'!$O$2:$T$368,G348,FALSE)</f>
        <v>4.0765351917680999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8</v>
      </c>
      <c r="H349" s="95">
        <f t="shared" ca="1" si="56"/>
        <v>45664</v>
      </c>
      <c r="I349" s="119">
        <f ca="1">HLOOKUP($H$5,'Met Data'!$A$2:$F$368,G349,FALSE)</f>
        <v>17.004166666666599</v>
      </c>
      <c r="J349" s="119">
        <f ca="1">HLOOKUP($H$5,'Met Data'!$H$2:$M$368,G349,FALSE)*L349</f>
        <v>2.7833333333333301</v>
      </c>
      <c r="K349" s="96">
        <f ca="1">HLOOKUP($H$5,'Met Data'!$O$2:$T$368,G349,FALSE)</f>
        <v>3.5869881049730998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9</v>
      </c>
      <c r="H350" s="95">
        <f t="shared" ca="1" si="56"/>
        <v>45665</v>
      </c>
      <c r="I350" s="119">
        <f ca="1">HLOOKUP($H$5,'Met Data'!$A$2:$F$368,G350,FALSE)</f>
        <v>17.433333333333302</v>
      </c>
      <c r="J350" s="119">
        <f ca="1">HLOOKUP($H$5,'Met Data'!$H$2:$M$368,G350,FALSE)*L350</f>
        <v>2.3833333333333302</v>
      </c>
      <c r="K350" s="96">
        <f ca="1">HLOOKUP($H$5,'Met Data'!$O$2:$T$368,G350,FALSE)</f>
        <v>4.2605807421289903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10</v>
      </c>
      <c r="H351" s="95">
        <f t="shared" ca="1" si="56"/>
        <v>45666</v>
      </c>
      <c r="I351" s="119">
        <f ca="1">HLOOKUP($H$5,'Met Data'!$A$2:$F$368,G351,FALSE)</f>
        <v>17.0208333333333</v>
      </c>
      <c r="J351" s="119">
        <f ca="1">HLOOKUP($H$5,'Met Data'!$H$2:$M$368,G351,FALSE)*L351</f>
        <v>0.3</v>
      </c>
      <c r="K351" s="96">
        <f ca="1">HLOOKUP($H$5,'Met Data'!$O$2:$T$368,G351,FALSE)</f>
        <v>4.14669035003873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11</v>
      </c>
      <c r="H352" s="95">
        <f t="shared" ca="1" si="56"/>
        <v>45667</v>
      </c>
      <c r="I352" s="119">
        <f ca="1">HLOOKUP($H$5,'Met Data'!$A$2:$F$368,G352,FALSE)</f>
        <v>17.6041666666666</v>
      </c>
      <c r="J352" s="119">
        <f ca="1">HLOOKUP($H$5,'Met Data'!$H$2:$M$368,G352,FALSE)*L352</f>
        <v>0.88333333333333297</v>
      </c>
      <c r="K352" s="96">
        <f ca="1">HLOOKUP($H$5,'Met Data'!$O$2:$T$368,G352,FALSE)</f>
        <v>3.4815515936566799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12</v>
      </c>
      <c r="H353" s="95">
        <f t="shared" ca="1" si="56"/>
        <v>45668</v>
      </c>
      <c r="I353" s="119">
        <f ca="1">HLOOKUP($H$5,'Met Data'!$A$2:$F$368,G353,FALSE)</f>
        <v>17.654166666666601</v>
      </c>
      <c r="J353" s="119">
        <f ca="1">HLOOKUP($H$5,'Met Data'!$H$2:$M$368,G353,FALSE)*L353</f>
        <v>0.33333333333333298</v>
      </c>
      <c r="K353" s="96">
        <f ca="1">HLOOKUP($H$5,'Met Data'!$O$2:$T$368,G353,FALSE)</f>
        <v>4.1035718910061201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13</v>
      </c>
      <c r="H354" s="95">
        <f t="shared" ca="1" si="56"/>
        <v>45669</v>
      </c>
      <c r="I354" s="119">
        <f ca="1">HLOOKUP($H$5,'Met Data'!$A$2:$F$368,G354,FALSE)</f>
        <v>18.175000000000001</v>
      </c>
      <c r="J354" s="119">
        <f ca="1">HLOOKUP($H$5,'Met Data'!$H$2:$M$368,G354,FALSE)*L354</f>
        <v>0.96666666666666601</v>
      </c>
      <c r="K354" s="96">
        <f ca="1">HLOOKUP($H$5,'Met Data'!$O$2:$T$368,G354,FALSE)</f>
        <v>3.7942004669494902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14</v>
      </c>
      <c r="H355" s="95">
        <f t="shared" ca="1" si="56"/>
        <v>45670</v>
      </c>
      <c r="I355" s="119">
        <f ca="1">HLOOKUP($H$5,'Met Data'!$A$2:$F$368,G355,FALSE)</f>
        <v>17.883333333333301</v>
      </c>
      <c r="J355" s="119">
        <f ca="1">HLOOKUP($H$5,'Met Data'!$H$2:$M$368,G355,FALSE)*L355</f>
        <v>3.0333333333333301</v>
      </c>
      <c r="K355" s="96">
        <f ca="1">HLOOKUP($H$5,'Met Data'!$O$2:$T$368,G355,FALSE)</f>
        <v>3.9941259720520699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15</v>
      </c>
      <c r="H356" s="95">
        <f t="shared" ca="1" si="56"/>
        <v>45671</v>
      </c>
      <c r="I356" s="119">
        <f ca="1">HLOOKUP($H$5,'Met Data'!$A$2:$F$368,G356,FALSE)</f>
        <v>17.279166666666601</v>
      </c>
      <c r="J356" s="119">
        <f ca="1">HLOOKUP($H$5,'Met Data'!$H$2:$M$368,G356,FALSE)*L356</f>
        <v>2.8833333333333302</v>
      </c>
      <c r="K356" s="96">
        <f ca="1">HLOOKUP($H$5,'Met Data'!$O$2:$T$368,G356,FALSE)</f>
        <v>4.3919546564694203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16</v>
      </c>
      <c r="H357" s="95">
        <f t="shared" ca="1" si="56"/>
        <v>45672</v>
      </c>
      <c r="I357" s="119">
        <f ca="1">HLOOKUP($H$5,'Met Data'!$A$2:$F$368,G357,FALSE)</f>
        <v>17.5208333333333</v>
      </c>
      <c r="J357" s="119">
        <f ca="1">HLOOKUP($H$5,'Met Data'!$H$2:$M$368,G357,FALSE)*L357</f>
        <v>2.5833333333333299</v>
      </c>
      <c r="K357" s="96">
        <f ca="1">HLOOKUP($H$5,'Met Data'!$O$2:$T$368,G357,FALSE)</f>
        <v>4.2128718222508397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17</v>
      </c>
      <c r="H358" s="95">
        <f t="shared" ca="1" si="56"/>
        <v>45673</v>
      </c>
      <c r="I358" s="119">
        <f ca="1">HLOOKUP($H$5,'Met Data'!$A$2:$F$368,G358,FALSE)</f>
        <v>17.970833333333299</v>
      </c>
      <c r="J358" s="119">
        <f ca="1">HLOOKUP($H$5,'Met Data'!$H$2:$M$368,G358,FALSE)*L358</f>
        <v>0.266666666666666</v>
      </c>
      <c r="K358" s="96">
        <f ca="1">HLOOKUP($H$5,'Met Data'!$O$2:$T$368,G358,FALSE)</f>
        <v>4.0252286180437302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18</v>
      </c>
      <c r="H359" s="95">
        <f t="shared" ca="1" si="56"/>
        <v>45674</v>
      </c>
      <c r="I359" s="119">
        <f ca="1">HLOOKUP($H$5,'Met Data'!$A$2:$F$368,G359,FALSE)</f>
        <v>18.2708333333333</v>
      </c>
      <c r="J359" s="119">
        <f ca="1">HLOOKUP($H$5,'Met Data'!$H$2:$M$368,G359,FALSE)*L359</f>
        <v>1.81666666666666</v>
      </c>
      <c r="K359" s="96">
        <f ca="1">HLOOKUP($H$5,'Met Data'!$O$2:$T$368,G359,FALSE)</f>
        <v>4.3125410240098896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19</v>
      </c>
      <c r="H360" s="95">
        <f t="shared" ca="1" si="56"/>
        <v>45675</v>
      </c>
      <c r="I360" s="119">
        <f ca="1">HLOOKUP($H$5,'Met Data'!$A$2:$F$368,G360,FALSE)</f>
        <v>17.954166666666602</v>
      </c>
      <c r="J360" s="119">
        <f ca="1">HLOOKUP($H$5,'Met Data'!$H$2:$M$368,G360,FALSE)*L360</f>
        <v>4.1499999999999897</v>
      </c>
      <c r="K360" s="96">
        <f ca="1">HLOOKUP($H$5,'Met Data'!$O$2:$T$368,G360,FALSE)</f>
        <v>3.9046074195490301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20</v>
      </c>
      <c r="H361" s="95">
        <f t="shared" ca="1" si="56"/>
        <v>45676</v>
      </c>
      <c r="I361" s="119">
        <f ca="1">HLOOKUP($H$5,'Met Data'!$A$2:$F$368,G361,FALSE)</f>
        <v>18.454166666666602</v>
      </c>
      <c r="J361" s="119">
        <f ca="1">HLOOKUP($H$5,'Met Data'!$H$2:$M$368,G361,FALSE)*L361</f>
        <v>2.5166666666666599</v>
      </c>
      <c r="K361" s="96">
        <f ca="1">HLOOKUP($H$5,'Met Data'!$O$2:$T$368,G361,FALSE)</f>
        <v>4.0894627552594898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21</v>
      </c>
      <c r="H362" s="95">
        <f t="shared" ca="1" si="56"/>
        <v>45677</v>
      </c>
      <c r="I362" s="119">
        <f ca="1">HLOOKUP($H$5,'Met Data'!$A$2:$F$368,G362,FALSE)</f>
        <v>18.125</v>
      </c>
      <c r="J362" s="119">
        <f ca="1">HLOOKUP($H$5,'Met Data'!$H$2:$M$368,G362,FALSE)*L362</f>
        <v>3.3333333333333299</v>
      </c>
      <c r="K362" s="96">
        <f ca="1">HLOOKUP($H$5,'Met Data'!$O$2:$T$368,G362,FALSE)</f>
        <v>4.4627747616983804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22</v>
      </c>
      <c r="H363" s="95">
        <f t="shared" ca="1" si="56"/>
        <v>45678</v>
      </c>
      <c r="I363" s="119">
        <f ca="1">HLOOKUP($H$5,'Met Data'!$A$2:$F$368,G363,FALSE)</f>
        <v>17.6791666666666</v>
      </c>
      <c r="J363" s="119">
        <f ca="1">HLOOKUP($H$5,'Met Data'!$H$2:$M$368,G363,FALSE)*L363</f>
        <v>2.4</v>
      </c>
      <c r="K363" s="96">
        <f ca="1">HLOOKUP($H$5,'Met Data'!$O$2:$T$368,G363,FALSE)</f>
        <v>3.8954755691343999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23</v>
      </c>
      <c r="H364" s="95">
        <f t="shared" ca="1" si="56"/>
        <v>45679</v>
      </c>
      <c r="I364" s="119">
        <f ca="1">HLOOKUP($H$5,'Met Data'!$A$2:$F$368,G364,FALSE)</f>
        <v>17.350000000000001</v>
      </c>
      <c r="J364" s="119">
        <f ca="1">HLOOKUP($H$5,'Met Data'!$H$2:$M$368,G364,FALSE)*L364</f>
        <v>2.6333333333333302</v>
      </c>
      <c r="K364" s="96">
        <f ca="1">HLOOKUP($H$5,'Met Data'!$O$2:$T$368,G364,FALSE)</f>
        <v>3.2997711779398098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24</v>
      </c>
      <c r="H365" s="95">
        <f t="shared" ca="1" si="56"/>
        <v>45680</v>
      </c>
      <c r="I365" s="119">
        <f ca="1">HLOOKUP($H$5,'Met Data'!$A$2:$F$368,G365,FALSE)</f>
        <v>17.504166666666599</v>
      </c>
      <c r="J365" s="119">
        <f ca="1">HLOOKUP($H$5,'Met Data'!$H$2:$M$368,G365,FALSE)*L365</f>
        <v>5.5166666666666604</v>
      </c>
      <c r="K365" s="96">
        <f ca="1">HLOOKUP($H$5,'Met Data'!$O$2:$T$368,G365,FALSE)</f>
        <v>3.46570930270954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25</v>
      </c>
      <c r="H366" s="95">
        <f t="shared" ca="1" si="56"/>
        <v>45681</v>
      </c>
      <c r="I366" s="119">
        <f ca="1">HLOOKUP($H$5,'Met Data'!$A$2:$F$368,G366,FALSE)</f>
        <v>17.713636363636301</v>
      </c>
      <c r="J366" s="119">
        <f ca="1">HLOOKUP($H$5,'Met Data'!$H$2:$M$368,G366,FALSE)*L366</f>
        <v>1.3818181818181801</v>
      </c>
      <c r="K366" s="96">
        <f ca="1">HLOOKUP($H$5,'Met Data'!$O$2:$T$368,G366,FALSE)</f>
        <v>4.0186876239346203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26</v>
      </c>
      <c r="H367" s="95">
        <f t="shared" ca="1" si="56"/>
        <v>45682</v>
      </c>
      <c r="I367" s="119">
        <f ca="1">HLOOKUP($H$5,'Met Data'!$A$2:$F$368,G367,FALSE)</f>
        <v>17.8541666666666</v>
      </c>
      <c r="J367" s="119">
        <f ca="1">HLOOKUP($H$5,'Met Data'!$H$2:$M$368,G367,FALSE)*L367</f>
        <v>0.46666666666666601</v>
      </c>
      <c r="K367" s="96">
        <f ca="1">HLOOKUP($H$5,'Met Data'!$O$2:$T$368,G367,FALSE)</f>
        <v>4.1496250953293998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27</v>
      </c>
      <c r="H368" s="95">
        <f t="shared" ca="1" si="56"/>
        <v>45683</v>
      </c>
      <c r="I368" s="119">
        <f ca="1">HLOOKUP($H$5,'Met Data'!$A$2:$F$368,G368,FALSE)</f>
        <v>18.933333333333302</v>
      </c>
      <c r="J368" s="119">
        <f ca="1">HLOOKUP($H$5,'Met Data'!$H$2:$M$368,G368,FALSE)*L368</f>
        <v>1.8</v>
      </c>
      <c r="K368" s="96">
        <f ca="1">HLOOKUP($H$5,'Met Data'!$O$2:$T$368,G368,FALSE)</f>
        <v>4.1034832888531598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28</v>
      </c>
      <c r="H369" s="95">
        <f t="shared" ca="1" si="56"/>
        <v>45684</v>
      </c>
      <c r="I369" s="119">
        <f ca="1">HLOOKUP($H$5,'Met Data'!$A$2:$F$368,G369,FALSE)</f>
        <v>18.524999999999999</v>
      </c>
      <c r="J369" s="119">
        <f ca="1">HLOOKUP($H$5,'Met Data'!$H$2:$M$368,G369,FALSE)*L369</f>
        <v>4.2166666666666597</v>
      </c>
      <c r="K369" s="96">
        <f ca="1">HLOOKUP($H$5,'Met Data'!$O$2:$T$368,G369,FALSE)</f>
        <v>3.2920480795367801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29</v>
      </c>
      <c r="H370" s="95">
        <f t="shared" ca="1" si="56"/>
        <v>45685</v>
      </c>
      <c r="I370" s="119">
        <f ca="1">HLOOKUP($H$5,'Met Data'!$A$2:$F$368,G370,FALSE)</f>
        <v>18.283333333333299</v>
      </c>
      <c r="J370" s="119">
        <f ca="1">HLOOKUP($H$5,'Met Data'!$H$2:$M$368,G370,FALSE)*L370</f>
        <v>0.96666666666666601</v>
      </c>
      <c r="K370" s="96">
        <f ca="1">HLOOKUP($H$5,'Met Data'!$O$2:$T$368,G370,FALSE)</f>
        <v>3.7580315328576899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30</v>
      </c>
      <c r="H371" s="95">
        <f t="shared" ca="1" si="56"/>
        <v>45686</v>
      </c>
      <c r="I371" s="119">
        <f ca="1">HLOOKUP($H$5,'Met Data'!$A$2:$F$368,G371,FALSE)</f>
        <v>18.95</v>
      </c>
      <c r="J371" s="119">
        <f ca="1">HLOOKUP($H$5,'Met Data'!$H$2:$M$368,G371,FALSE)*L371</f>
        <v>0.233333333333333</v>
      </c>
      <c r="K371" s="96">
        <f ca="1">HLOOKUP($H$5,'Met Data'!$O$2:$T$368,G371,FALSE)</f>
        <v>4.4825712398856101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31</v>
      </c>
      <c r="H372" s="95">
        <f t="shared" ca="1" si="56"/>
        <v>45687</v>
      </c>
      <c r="I372" s="119">
        <f ca="1">HLOOKUP($H$5,'Met Data'!$A$2:$F$368,G372,FALSE)</f>
        <v>19.070833333333301</v>
      </c>
      <c r="J372" s="119">
        <f ca="1">HLOOKUP($H$5,'Met Data'!$H$2:$M$368,G372,FALSE)*L372</f>
        <v>1.45</v>
      </c>
      <c r="K372" s="96">
        <f ca="1">HLOOKUP($H$5,'Met Data'!$O$2:$T$368,G372,FALSE)</f>
        <v>4.1485395322845697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32</v>
      </c>
      <c r="H373" s="95">
        <f t="shared" ca="1" si="56"/>
        <v>45688</v>
      </c>
      <c r="I373" s="119">
        <f ca="1">HLOOKUP($H$5,'Met Data'!$A$2:$F$368,G373,FALSE)</f>
        <v>18.716666666666601</v>
      </c>
      <c r="J373" s="119">
        <f ca="1">HLOOKUP($H$5,'Met Data'!$H$2:$M$368,G373,FALSE)*L373</f>
        <v>1.6666666666666601E-2</v>
      </c>
      <c r="K373" s="96">
        <f ca="1">HLOOKUP($H$5,'Met Data'!$O$2:$T$368,G373,FALSE)</f>
        <v>3.9002627778438899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33</v>
      </c>
      <c r="H374" s="95">
        <f t="shared" ca="1" si="56"/>
        <v>45689</v>
      </c>
      <c r="I374" s="119">
        <f ca="1">HLOOKUP($H$5,'Met Data'!$A$2:$F$368,G374,FALSE)</f>
        <v>18.720833333333299</v>
      </c>
      <c r="J374" s="119">
        <f ca="1">HLOOKUP($H$5,'Met Data'!$H$2:$M$368,G374,FALSE)*L374</f>
        <v>5.1333333333333302</v>
      </c>
      <c r="K374" s="96">
        <f ca="1">HLOOKUP($H$5,'Met Data'!$O$2:$T$368,G374,FALSE)</f>
        <v>3.3425533464765702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34</v>
      </c>
      <c r="H375" s="95">
        <f t="shared" ca="1" si="56"/>
        <v>45690</v>
      </c>
      <c r="I375" s="119">
        <f ca="1">HLOOKUP($H$5,'Met Data'!$A$2:$F$368,G375,FALSE)</f>
        <v>18.558333333333302</v>
      </c>
      <c r="J375" s="119">
        <f ca="1">HLOOKUP($H$5,'Met Data'!$H$2:$M$368,G375,FALSE)*L375</f>
        <v>5.1666666666666599</v>
      </c>
      <c r="K375" s="96">
        <f ca="1">HLOOKUP($H$5,'Met Data'!$O$2:$T$368,G375,FALSE)</f>
        <v>3.37031285883524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35</v>
      </c>
      <c r="H376" s="95">
        <f t="shared" ca="1" si="56"/>
        <v>45691</v>
      </c>
      <c r="I376" s="119">
        <f ca="1">HLOOKUP($H$5,'Met Data'!$A$2:$F$368,G376,FALSE)</f>
        <v>18.841666666666601</v>
      </c>
      <c r="J376" s="119">
        <f ca="1">HLOOKUP($H$5,'Met Data'!$H$2:$M$368,G376,FALSE)*L376</f>
        <v>0.483333333333333</v>
      </c>
      <c r="K376" s="96">
        <f ca="1">HLOOKUP($H$5,'Met Data'!$O$2:$T$368,G376,FALSE)</f>
        <v>4.5373745966907704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36</v>
      </c>
      <c r="H377" s="95">
        <f t="shared" ca="1" si="56"/>
        <v>45692</v>
      </c>
      <c r="I377" s="119">
        <f ca="1">HLOOKUP($H$5,'Met Data'!$A$2:$F$368,G377,FALSE)</f>
        <v>18.441666666666599</v>
      </c>
      <c r="J377" s="119">
        <f ca="1">HLOOKUP($H$5,'Met Data'!$H$2:$M$368,G377,FALSE)*L377</f>
        <v>4.8</v>
      </c>
      <c r="K377" s="96">
        <f ca="1">HLOOKUP($H$5,'Met Data'!$O$2:$T$368,G377,FALSE)</f>
        <v>3.5125215918157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37</v>
      </c>
      <c r="H378" s="95">
        <f t="shared" ca="1" si="56"/>
        <v>45693</v>
      </c>
      <c r="I378" s="119">
        <f ca="1">HLOOKUP($H$5,'Met Data'!$A$2:$F$368,G378,FALSE)</f>
        <v>17.975000000000001</v>
      </c>
      <c r="J378" s="119">
        <f ca="1">HLOOKUP($H$5,'Met Data'!$H$2:$M$368,G378,FALSE)*L378</f>
        <v>2.0166666666666599</v>
      </c>
      <c r="K378" s="96">
        <f ca="1">HLOOKUP($H$5,'Met Data'!$O$2:$T$368,G378,FALSE)</f>
        <v>3.7922889429532498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38</v>
      </c>
      <c r="H379" s="95">
        <f t="shared" ca="1" si="56"/>
        <v>45694</v>
      </c>
      <c r="I379" s="119">
        <f ca="1">HLOOKUP($H$5,'Met Data'!$A$2:$F$368,G379,FALSE)</f>
        <v>17.383333333333301</v>
      </c>
      <c r="J379" s="119">
        <f ca="1">HLOOKUP($H$5,'Met Data'!$H$2:$M$368,G379,FALSE)*L379</f>
        <v>0.15</v>
      </c>
      <c r="K379" s="96">
        <f ca="1">HLOOKUP($H$5,'Met Data'!$O$2:$T$368,G379,FALSE)</f>
        <v>3.67022287265541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39</v>
      </c>
      <c r="H380" s="95">
        <f t="shared" ca="1" si="56"/>
        <v>45695</v>
      </c>
      <c r="I380" s="119">
        <f ca="1">HLOOKUP($H$5,'Met Data'!$A$2:$F$368,G380,FALSE)</f>
        <v>17.0416666666666</v>
      </c>
      <c r="J380" s="119">
        <f ca="1">HLOOKUP($H$5,'Met Data'!$H$2:$M$368,G380,FALSE)*L380</f>
        <v>3.0166666666666599</v>
      </c>
      <c r="K380" s="96">
        <f ca="1">HLOOKUP($H$5,'Met Data'!$O$2:$T$368,G380,FALSE)</f>
        <v>3.8754357428809398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40</v>
      </c>
      <c r="H381" s="95">
        <f t="shared" ca="1" si="56"/>
        <v>45696</v>
      </c>
      <c r="I381" s="119">
        <f ca="1">HLOOKUP($H$5,'Met Data'!$A$2:$F$368,G381,FALSE)</f>
        <v>17.483333333333299</v>
      </c>
      <c r="J381" s="119">
        <f ca="1">HLOOKUP($H$5,'Met Data'!$H$2:$M$368,G381,FALSE)*L381</f>
        <v>2.69999999999999</v>
      </c>
      <c r="K381" s="96">
        <f ca="1">HLOOKUP($H$5,'Met Data'!$O$2:$T$368,G381,FALSE)</f>
        <v>3.8024866154372199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41</v>
      </c>
      <c r="H382" s="95">
        <f t="shared" ca="1" si="56"/>
        <v>45697</v>
      </c>
      <c r="I382" s="119">
        <f ca="1">HLOOKUP($H$5,'Met Data'!$A$2:$F$368,G382,FALSE)</f>
        <v>17.5625</v>
      </c>
      <c r="J382" s="119">
        <f ca="1">HLOOKUP($H$5,'Met Data'!$H$2:$M$368,G382,FALSE)*L382</f>
        <v>0.51666666666666605</v>
      </c>
      <c r="K382" s="96">
        <f ca="1">HLOOKUP($H$5,'Met Data'!$O$2:$T$368,G382,FALSE)</f>
        <v>3.9226252937625699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42</v>
      </c>
      <c r="H383" s="95">
        <f t="shared" ca="1" si="56"/>
        <v>45698</v>
      </c>
      <c r="I383" s="119">
        <f ca="1">HLOOKUP($H$5,'Met Data'!$A$2:$F$368,G383,FALSE)</f>
        <v>17.7083333333333</v>
      </c>
      <c r="J383" s="119">
        <f ca="1">HLOOKUP($H$5,'Met Data'!$H$2:$M$368,G383,FALSE)*L383</f>
        <v>2.7333333333333298</v>
      </c>
      <c r="K383" s="96">
        <f ca="1">HLOOKUP($H$5,'Met Data'!$O$2:$T$368,G383,FALSE)</f>
        <v>3.6312925833969301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43</v>
      </c>
      <c r="H384" s="95">
        <f t="shared" ca="1" si="56"/>
        <v>45699</v>
      </c>
      <c r="I384" s="119">
        <f ca="1">HLOOKUP($H$5,'Met Data'!$A$2:$F$368,G384,FALSE)</f>
        <v>17.654166666666601</v>
      </c>
      <c r="J384" s="119">
        <f ca="1">HLOOKUP($H$5,'Met Data'!$H$2:$M$368,G384,FALSE)*L384</f>
        <v>5.3166666666666602</v>
      </c>
      <c r="K384" s="96">
        <f ca="1">HLOOKUP($H$5,'Met Data'!$O$2:$T$368,G384,FALSE)</f>
        <v>3.7825096271499201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44</v>
      </c>
      <c r="H385" s="95">
        <f t="shared" ca="1" si="56"/>
        <v>45700</v>
      </c>
      <c r="I385" s="119">
        <f ca="1">HLOOKUP($H$5,'Met Data'!$A$2:$F$368,G385,FALSE)</f>
        <v>18.245833333333302</v>
      </c>
      <c r="J385" s="119">
        <f ca="1">HLOOKUP($H$5,'Met Data'!$H$2:$M$368,G385,FALSE)*L385</f>
        <v>1.8</v>
      </c>
      <c r="K385" s="96">
        <f ca="1">HLOOKUP($H$5,'Met Data'!$O$2:$T$368,G385,FALSE)</f>
        <v>3.5345089397679601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45</v>
      </c>
      <c r="H386" s="95">
        <f t="shared" ca="1" si="56"/>
        <v>45701</v>
      </c>
      <c r="I386" s="119">
        <f ca="1">HLOOKUP($H$5,'Met Data'!$A$2:$F$368,G386,FALSE)</f>
        <v>18.674999999999901</v>
      </c>
      <c r="J386" s="119">
        <f ca="1">HLOOKUP($H$5,'Met Data'!$H$2:$M$368,G386,FALSE)*L386</f>
        <v>0.44999999999999901</v>
      </c>
      <c r="K386" s="96">
        <f ca="1">HLOOKUP($H$5,'Met Data'!$O$2:$T$368,G386,FALSE)</f>
        <v>3.2860966338213999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46</v>
      </c>
      <c r="H387" s="95">
        <f t="shared" ca="1" si="56"/>
        <v>45702</v>
      </c>
      <c r="I387" s="119">
        <f ca="1">HLOOKUP($H$5,'Met Data'!$A$2:$F$368,G387,FALSE)</f>
        <v>18.670833333333299</v>
      </c>
      <c r="J387" s="119">
        <f ca="1">HLOOKUP($H$5,'Met Data'!$H$2:$M$368,G387,FALSE)*L387</f>
        <v>1.13333333333333</v>
      </c>
      <c r="K387" s="96">
        <f ca="1">HLOOKUP($H$5,'Met Data'!$O$2:$T$368,G387,FALSE)</f>
        <v>3.8932908527116399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47</v>
      </c>
      <c r="H388" s="95">
        <f t="shared" ca="1" si="56"/>
        <v>45703</v>
      </c>
      <c r="I388" s="119">
        <f ca="1">HLOOKUP($H$5,'Met Data'!$A$2:$F$368,G388,FALSE)</f>
        <v>18.1666666666666</v>
      </c>
      <c r="J388" s="119">
        <f ca="1">HLOOKUP($H$5,'Met Data'!$H$2:$M$368,G388,FALSE)*L388</f>
        <v>1.7333333333333301</v>
      </c>
      <c r="K388" s="96">
        <f ca="1">HLOOKUP($H$5,'Met Data'!$O$2:$T$368,G388,FALSE)</f>
        <v>3.7918051722380999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48</v>
      </c>
      <c r="H389" s="95">
        <f t="shared" ca="1" si="56"/>
        <v>45704</v>
      </c>
      <c r="I389" s="119">
        <f ca="1">HLOOKUP($H$5,'Met Data'!$A$2:$F$368,G389,FALSE)</f>
        <v>17.879166666666599</v>
      </c>
      <c r="J389" s="119">
        <f ca="1">HLOOKUP($H$5,'Met Data'!$H$2:$M$368,G389,FALSE)*L389</f>
        <v>0.73333333333333295</v>
      </c>
      <c r="K389" s="96">
        <f ca="1">HLOOKUP($H$5,'Met Data'!$O$2:$T$368,G389,FALSE)</f>
        <v>3.8813294167315999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49</v>
      </c>
      <c r="H390" s="95">
        <f t="shared" ca="1" si="56"/>
        <v>45705</v>
      </c>
      <c r="I390" s="119">
        <f ca="1">HLOOKUP($H$5,'Met Data'!$A$2:$F$368,G390,FALSE)</f>
        <v>18.2083333333333</v>
      </c>
      <c r="J390" s="119">
        <f ca="1">HLOOKUP($H$5,'Met Data'!$H$2:$M$368,G390,FALSE)*L390</f>
        <v>2.8833333333333302</v>
      </c>
      <c r="K390" s="96">
        <f ca="1">HLOOKUP($H$5,'Met Data'!$O$2:$T$368,G390,FALSE)</f>
        <v>3.5062121478789399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ca="1" si="54"/>
        <v>50</v>
      </c>
      <c r="H391" s="95">
        <f t="shared" ca="1" si="56"/>
        <v>45706</v>
      </c>
      <c r="I391" s="119">
        <f ca="1">HLOOKUP($H$5,'Met Data'!$A$2:$F$368,G391,FALSE)</f>
        <v>18.529166666666601</v>
      </c>
      <c r="J391" s="119">
        <f ca="1">HLOOKUP($H$5,'Met Data'!$H$2:$M$368,G391,FALSE)*L391</f>
        <v>2.85</v>
      </c>
      <c r="K391" s="96">
        <f ca="1">HLOOKUP($H$5,'Met Data'!$O$2:$T$368,G391,FALSE)</f>
        <v>3.5342235016405201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ca="1" si="64">H392-DATE(YEAR(H392),1,0)+1</f>
        <v>51</v>
      </c>
      <c r="H392" s="95">
        <f t="shared" ca="1" si="56"/>
        <v>45707</v>
      </c>
      <c r="I392" s="119">
        <f ca="1">HLOOKUP($H$5,'Met Data'!$A$2:$F$368,G392,FALSE)</f>
        <v>18.925000000000001</v>
      </c>
      <c r="J392" s="119">
        <f ca="1">HLOOKUP($H$5,'Met Data'!$H$2:$M$368,G392,FALSE)*L392</f>
        <v>3.86666666666666</v>
      </c>
      <c r="K392" s="96">
        <f ca="1">HLOOKUP($H$5,'Met Data'!$O$2:$T$368,G392,FALSE)</f>
        <v>3.6338116563958698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52</v>
      </c>
      <c r="H393" s="95">
        <f t="shared" ref="H393:H456" ca="1" si="66">H392+1</f>
        <v>45708</v>
      </c>
      <c r="I393" s="119">
        <f ca="1">HLOOKUP($H$5,'Met Data'!$A$2:$F$368,G393,FALSE)</f>
        <v>19.195833333333301</v>
      </c>
      <c r="J393" s="119">
        <f ca="1">HLOOKUP($H$5,'Met Data'!$H$2:$M$368,G393,FALSE)*L393</f>
        <v>1.18333333333333</v>
      </c>
      <c r="K393" s="96">
        <f ca="1">HLOOKUP($H$5,'Met Data'!$O$2:$T$368,G393,FALSE)</f>
        <v>3.7477053916930299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53</v>
      </c>
      <c r="H394" s="95">
        <f t="shared" ca="1" si="66"/>
        <v>45709</v>
      </c>
      <c r="I394" s="119">
        <f ca="1">HLOOKUP($H$5,'Met Data'!$A$2:$F$368,G394,FALSE)</f>
        <v>18.945833333333301</v>
      </c>
      <c r="J394" s="119">
        <f ca="1">HLOOKUP($H$5,'Met Data'!$H$2:$M$368,G394,FALSE)*L394</f>
        <v>1.3333333333333299</v>
      </c>
      <c r="K394" s="96">
        <f ca="1">HLOOKUP($H$5,'Met Data'!$O$2:$T$368,G394,FALSE)</f>
        <v>3.7395681594102799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54</v>
      </c>
      <c r="H395" s="95">
        <f t="shared" ca="1" si="66"/>
        <v>45710</v>
      </c>
      <c r="I395" s="119">
        <f ca="1">HLOOKUP($H$5,'Met Data'!$A$2:$F$368,G395,FALSE)</f>
        <v>18.912499999999898</v>
      </c>
      <c r="J395" s="119">
        <f ca="1">HLOOKUP($H$5,'Met Data'!$H$2:$M$368,G395,FALSE)*L395</f>
        <v>6.18333333333333</v>
      </c>
      <c r="K395" s="96">
        <f ca="1">HLOOKUP($H$5,'Met Data'!$O$2:$T$368,G395,FALSE)</f>
        <v>3.0629444033618198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ca="1" si="64"/>
        <v>55</v>
      </c>
      <c r="H396" s="95">
        <f t="shared" ca="1" si="66"/>
        <v>45711</v>
      </c>
      <c r="I396" s="119">
        <f ca="1">HLOOKUP($H$5,'Met Data'!$A$2:$F$368,G396,FALSE)</f>
        <v>17.745833333333302</v>
      </c>
      <c r="J396" s="119">
        <f ca="1">HLOOKUP($H$5,'Met Data'!$H$2:$M$368,G396,FALSE)*L396</f>
        <v>0.7</v>
      </c>
      <c r="K396" s="96">
        <f ca="1">HLOOKUP($H$5,'Met Data'!$O$2:$T$368,G396,FALSE)</f>
        <v>3.7397228058893299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ca="1" si="64"/>
        <v>56</v>
      </c>
      <c r="H397" s="95">
        <f t="shared" ca="1" si="66"/>
        <v>45712</v>
      </c>
      <c r="I397" s="119">
        <f ca="1">HLOOKUP($H$5,'Met Data'!$A$2:$F$368,G397,FALSE)</f>
        <v>16.945833333333301</v>
      </c>
      <c r="J397" s="119">
        <f ca="1">HLOOKUP($H$5,'Met Data'!$H$2:$M$368,G397,FALSE)*L397</f>
        <v>1.5999999999999901</v>
      </c>
      <c r="K397" s="96">
        <f ca="1">HLOOKUP($H$5,'Met Data'!$O$2:$T$368,G397,FALSE)</f>
        <v>3.5683594386422701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57</v>
      </c>
      <c r="H398" s="95">
        <f t="shared" ca="1" si="66"/>
        <v>45713</v>
      </c>
      <c r="I398" s="119">
        <f ca="1">HLOOKUP($H$5,'Met Data'!$A$2:$F$368,G398,FALSE)</f>
        <v>17.495833333333302</v>
      </c>
      <c r="J398" s="119">
        <f ca="1">HLOOKUP($H$5,'Met Data'!$H$2:$M$368,G398,FALSE)*L398</f>
        <v>0.86666666666666603</v>
      </c>
      <c r="K398" s="96">
        <f ca="1">HLOOKUP($H$5,'Met Data'!$O$2:$T$368,G398,FALSE)</f>
        <v>3.5556810366886502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58</v>
      </c>
      <c r="H399" s="95">
        <f t="shared" ca="1" si="66"/>
        <v>45714</v>
      </c>
      <c r="I399" s="119">
        <f ca="1">HLOOKUP($H$5,'Met Data'!$A$2:$F$368,G399,FALSE)</f>
        <v>16.954166666666602</v>
      </c>
      <c r="J399" s="119">
        <f ca="1">HLOOKUP($H$5,'Met Data'!$H$2:$M$368,G399,FALSE)*L399</f>
        <v>0.93333333333333302</v>
      </c>
      <c r="K399" s="96">
        <f ca="1">HLOOKUP($H$5,'Met Data'!$O$2:$T$368,G399,FALSE)</f>
        <v>3.6102637976598602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59</v>
      </c>
      <c r="H400" s="95">
        <f t="shared" ca="1" si="66"/>
        <v>45715</v>
      </c>
      <c r="I400" s="119">
        <f ca="1">HLOOKUP($H$5,'Met Data'!$A$2:$F$368,G400,FALSE)</f>
        <v>16.829166666666602</v>
      </c>
      <c r="J400" s="119">
        <f ca="1">HLOOKUP($H$5,'Met Data'!$H$2:$M$368,G400,FALSE)*L400</f>
        <v>0.41666666666666602</v>
      </c>
      <c r="K400" s="96">
        <f ca="1">HLOOKUP($H$5,'Met Data'!$O$2:$T$368,G400,FALSE)</f>
        <v>3.6752740997587301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60</v>
      </c>
      <c r="H401" s="95">
        <f t="shared" ca="1" si="66"/>
        <v>45716</v>
      </c>
      <c r="I401" s="119">
        <f ca="1">HLOOKUP($H$5,'Met Data'!$A$2:$F$368,G401,FALSE)</f>
        <v>17.512499999999999</v>
      </c>
      <c r="J401" s="119">
        <f ca="1">HLOOKUP($H$5,'Met Data'!$H$2:$M$368,G401,FALSE)*L401</f>
        <v>0.38333333333333303</v>
      </c>
      <c r="K401" s="96">
        <f ca="1">HLOOKUP($H$5,'Met Data'!$O$2:$T$368,G401,FALSE)</f>
        <v>3.6973328494211302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61</v>
      </c>
      <c r="H402" s="95">
        <f t="shared" ca="1" si="66"/>
        <v>45717</v>
      </c>
      <c r="I402" s="119">
        <f ca="1">HLOOKUP($H$5,'Met Data'!$A$2:$F$368,G402,FALSE)</f>
        <v>17.1166666666666</v>
      </c>
      <c r="J402" s="119">
        <f ca="1">HLOOKUP($H$5,'Met Data'!$H$2:$M$368,G402,FALSE)*L402</f>
        <v>2.3166666666666602</v>
      </c>
      <c r="K402" s="96">
        <f ca="1">HLOOKUP($H$5,'Met Data'!$O$2:$T$368,G402,FALSE)</f>
        <v>3.5365052642272401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62</v>
      </c>
      <c r="H403" s="95">
        <f t="shared" ca="1" si="66"/>
        <v>45718</v>
      </c>
      <c r="I403" s="119">
        <f ca="1">HLOOKUP($H$5,'Met Data'!$A$2:$F$368,G403,FALSE)</f>
        <v>17.037500000000001</v>
      </c>
      <c r="J403" s="119">
        <f ca="1">HLOOKUP($H$5,'Met Data'!$H$2:$M$368,G403,FALSE)*L403</f>
        <v>2.18333333333333</v>
      </c>
      <c r="K403" s="96">
        <f ca="1">HLOOKUP($H$5,'Met Data'!$O$2:$T$368,G403,FALSE)</f>
        <v>3.0680063753167199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63</v>
      </c>
      <c r="H404" s="95">
        <f t="shared" ca="1" si="66"/>
        <v>45719</v>
      </c>
      <c r="I404" s="119">
        <f ca="1">HLOOKUP($H$5,'Met Data'!$A$2:$F$368,G404,FALSE)</f>
        <v>17.204166666666602</v>
      </c>
      <c r="J404" s="119">
        <f ca="1">HLOOKUP($H$5,'Met Data'!$H$2:$M$368,G404,FALSE)*L404</f>
        <v>0.61666666666666603</v>
      </c>
      <c r="K404" s="96">
        <f ca="1">HLOOKUP($H$5,'Met Data'!$O$2:$T$368,G404,FALSE)</f>
        <v>3.2161744467378801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64</v>
      </c>
      <c r="H405" s="95">
        <f t="shared" ca="1" si="66"/>
        <v>45720</v>
      </c>
      <c r="I405" s="119">
        <f ca="1">HLOOKUP($H$5,'Met Data'!$A$2:$F$368,G405,FALSE)</f>
        <v>16.720833333333299</v>
      </c>
      <c r="J405" s="119">
        <f ca="1">HLOOKUP($H$5,'Met Data'!$H$2:$M$368,G405,FALSE)*L405</f>
        <v>2.93333333333333</v>
      </c>
      <c r="K405" s="96">
        <f ca="1">HLOOKUP($H$5,'Met Data'!$O$2:$T$368,G405,FALSE)</f>
        <v>2.8476580172568502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65</v>
      </c>
      <c r="H406" s="95">
        <f t="shared" ca="1" si="66"/>
        <v>45721</v>
      </c>
      <c r="I406" s="119">
        <f ca="1">HLOOKUP($H$5,'Met Data'!$A$2:$F$368,G406,FALSE)</f>
        <v>17.05</v>
      </c>
      <c r="J406" s="119">
        <f ca="1">HLOOKUP($H$5,'Met Data'!$H$2:$M$368,G406,FALSE)*L406</f>
        <v>3.5</v>
      </c>
      <c r="K406" s="96">
        <f ca="1">HLOOKUP($H$5,'Met Data'!$O$2:$T$368,G406,FALSE)</f>
        <v>3.0856400612975601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66</v>
      </c>
      <c r="H407" s="95">
        <f t="shared" ca="1" si="66"/>
        <v>45722</v>
      </c>
      <c r="I407" s="119">
        <f ca="1">HLOOKUP($H$5,'Met Data'!$A$2:$F$368,G407,FALSE)</f>
        <v>16.5625</v>
      </c>
      <c r="J407" s="119">
        <f ca="1">HLOOKUP($H$5,'Met Data'!$H$2:$M$368,G407,FALSE)*L407</f>
        <v>1.9166666666666601</v>
      </c>
      <c r="K407" s="96">
        <f ca="1">HLOOKUP($H$5,'Met Data'!$O$2:$T$368,G407,FALSE)</f>
        <v>2.4477007585282702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67</v>
      </c>
      <c r="H408" s="95">
        <f t="shared" ca="1" si="66"/>
        <v>45723</v>
      </c>
      <c r="I408" s="119">
        <f ca="1">HLOOKUP($H$5,'Met Data'!$A$2:$F$368,G408,FALSE)</f>
        <v>16.349999999999898</v>
      </c>
      <c r="J408" s="119">
        <f ca="1">HLOOKUP($H$5,'Met Data'!$H$2:$M$368,G408,FALSE)*L408</f>
        <v>5.4</v>
      </c>
      <c r="K408" s="96">
        <f ca="1">HLOOKUP($H$5,'Met Data'!$O$2:$T$368,G408,FALSE)</f>
        <v>3.2051572713162999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68</v>
      </c>
      <c r="H409" s="95">
        <f t="shared" ca="1" si="66"/>
        <v>45724</v>
      </c>
      <c r="I409" s="119">
        <f ca="1">HLOOKUP($H$5,'Met Data'!$A$2:$F$368,G409,FALSE)</f>
        <v>16.404166666666601</v>
      </c>
      <c r="J409" s="119">
        <f ca="1">HLOOKUP($H$5,'Met Data'!$H$2:$M$368,G409,FALSE)*L409</f>
        <v>1.7666666666666599</v>
      </c>
      <c r="K409" s="96">
        <f ca="1">HLOOKUP($H$5,'Met Data'!$O$2:$T$368,G409,FALSE)</f>
        <v>3.3473688975414899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69</v>
      </c>
      <c r="H410" s="95">
        <f t="shared" ca="1" si="66"/>
        <v>45725</v>
      </c>
      <c r="I410" s="119">
        <f ca="1">HLOOKUP($H$5,'Met Data'!$A$2:$F$368,G410,FALSE)</f>
        <v>16.174999999999901</v>
      </c>
      <c r="J410" s="119">
        <f ca="1">HLOOKUP($H$5,'Met Data'!$H$2:$M$368,G410,FALSE)*L410</f>
        <v>0.54999999999999905</v>
      </c>
      <c r="K410" s="96">
        <f ca="1">HLOOKUP($H$5,'Met Data'!$O$2:$T$368,G410,FALSE)</f>
        <v>3.3552920602916099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70</v>
      </c>
      <c r="H411" s="95">
        <f t="shared" ca="1" si="66"/>
        <v>45726</v>
      </c>
      <c r="I411" s="119">
        <f ca="1">HLOOKUP($H$5,'Met Data'!$A$2:$F$368,G411,FALSE)</f>
        <v>16.625</v>
      </c>
      <c r="J411" s="119">
        <f ca="1">HLOOKUP($H$5,'Met Data'!$H$2:$M$368,G411,FALSE)*L411</f>
        <v>2.0666666666666602</v>
      </c>
      <c r="K411" s="96">
        <f ca="1">HLOOKUP($H$5,'Met Data'!$O$2:$T$368,G411,FALSE)</f>
        <v>3.2920876744510998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71</v>
      </c>
      <c r="H412" s="95">
        <f t="shared" ca="1" si="66"/>
        <v>45727</v>
      </c>
      <c r="I412" s="119">
        <f ca="1">HLOOKUP($H$5,'Met Data'!$A$2:$F$368,G412,FALSE)</f>
        <v>16.266666666666602</v>
      </c>
      <c r="J412" s="119">
        <f ca="1">HLOOKUP($H$5,'Met Data'!$H$2:$M$368,G412,FALSE)*L412</f>
        <v>3.44999999999999</v>
      </c>
      <c r="K412" s="96">
        <f ca="1">HLOOKUP($H$5,'Met Data'!$O$2:$T$368,G412,FALSE)</f>
        <v>2.5592177640993499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72</v>
      </c>
      <c r="H413" s="95">
        <f t="shared" ca="1" si="66"/>
        <v>45728</v>
      </c>
      <c r="I413" s="119">
        <f ca="1">HLOOKUP($H$5,'Met Data'!$A$2:$F$368,G413,FALSE)</f>
        <v>16.404166666666601</v>
      </c>
      <c r="J413" s="119">
        <f ca="1">HLOOKUP($H$5,'Met Data'!$H$2:$M$368,G413,FALSE)*L413</f>
        <v>1.5833333333333299</v>
      </c>
      <c r="K413" s="96">
        <f ca="1">HLOOKUP($H$5,'Met Data'!$O$2:$T$368,G413,FALSE)</f>
        <v>2.85115032224514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73</v>
      </c>
      <c r="H414" s="95">
        <f t="shared" ca="1" si="66"/>
        <v>45729</v>
      </c>
      <c r="I414" s="119">
        <f ca="1">HLOOKUP($H$5,'Met Data'!$A$2:$F$368,G414,FALSE)</f>
        <v>15.324999999999999</v>
      </c>
      <c r="J414" s="119">
        <f ca="1">HLOOKUP($H$5,'Met Data'!$H$2:$M$368,G414,FALSE)*L414</f>
        <v>1.38333333333333</v>
      </c>
      <c r="K414" s="96">
        <f ca="1">HLOOKUP($H$5,'Met Data'!$O$2:$T$368,G414,FALSE)</f>
        <v>2.7545575054438101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74</v>
      </c>
      <c r="H415" s="95">
        <f t="shared" ca="1" si="66"/>
        <v>45730</v>
      </c>
      <c r="I415" s="119">
        <f ca="1">HLOOKUP($H$5,'Met Data'!$A$2:$F$368,G415,FALSE)</f>
        <v>15.8333333333333</v>
      </c>
      <c r="J415" s="119">
        <f ca="1">HLOOKUP($H$5,'Met Data'!$H$2:$M$368,G415,FALSE)*L415</f>
        <v>0.483333333333333</v>
      </c>
      <c r="K415" s="96">
        <f ca="1">HLOOKUP($H$5,'Met Data'!$O$2:$T$368,G415,FALSE)</f>
        <v>2.9925841251346701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75</v>
      </c>
      <c r="H416" s="95">
        <f t="shared" ca="1" si="66"/>
        <v>45731</v>
      </c>
      <c r="I416" s="119">
        <f ca="1">HLOOKUP($H$5,'Met Data'!$A$2:$F$368,G416,FALSE)</f>
        <v>16.966666666666601</v>
      </c>
      <c r="J416" s="119">
        <f ca="1">HLOOKUP($H$5,'Met Data'!$H$2:$M$368,G416,FALSE)*L416</f>
        <v>0.31666666666666599</v>
      </c>
      <c r="K416" s="96">
        <f ca="1">HLOOKUP($H$5,'Met Data'!$O$2:$T$368,G416,FALSE)</f>
        <v>2.9125814341448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76</v>
      </c>
      <c r="H417" s="95">
        <f t="shared" ca="1" si="66"/>
        <v>45732</v>
      </c>
      <c r="I417" s="119">
        <f ca="1">HLOOKUP($H$5,'Met Data'!$A$2:$F$368,G417,FALSE)</f>
        <v>17.766666666666602</v>
      </c>
      <c r="J417" s="119">
        <f ca="1">HLOOKUP($H$5,'Met Data'!$H$2:$M$368,G417,FALSE)*L417</f>
        <v>2.25</v>
      </c>
      <c r="K417" s="96">
        <f ca="1">HLOOKUP($H$5,'Met Data'!$O$2:$T$368,G417,FALSE)</f>
        <v>2.3685635659939601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77</v>
      </c>
      <c r="H418" s="95">
        <f t="shared" ca="1" si="66"/>
        <v>45733</v>
      </c>
      <c r="I418" s="119">
        <f ca="1">HLOOKUP($H$5,'Met Data'!$A$2:$F$368,G418,FALSE)</f>
        <v>16.100000000000001</v>
      </c>
      <c r="J418" s="119">
        <f ca="1">HLOOKUP($H$5,'Met Data'!$H$2:$M$368,G418,FALSE)*L418</f>
        <v>1.4</v>
      </c>
      <c r="K418" s="96">
        <f ca="1">HLOOKUP($H$5,'Met Data'!$O$2:$T$368,G418,FALSE)</f>
        <v>2.7759280674014901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78</v>
      </c>
      <c r="H419" s="95">
        <f t="shared" ca="1" si="66"/>
        <v>45734</v>
      </c>
      <c r="I419" s="119">
        <f ca="1">HLOOKUP($H$5,'Met Data'!$A$2:$F$368,G419,FALSE)</f>
        <v>15.379166666666601</v>
      </c>
      <c r="J419" s="119">
        <f ca="1">HLOOKUP($H$5,'Met Data'!$H$2:$M$368,G419,FALSE)*L419</f>
        <v>3.68333333333333</v>
      </c>
      <c r="K419" s="96">
        <f ca="1">HLOOKUP($H$5,'Met Data'!$O$2:$T$368,G419,FALSE)</f>
        <v>2.7162290778951999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79</v>
      </c>
      <c r="H420" s="95">
        <f t="shared" ca="1" si="66"/>
        <v>45735</v>
      </c>
      <c r="I420" s="119">
        <f ca="1">HLOOKUP($H$5,'Met Data'!$A$2:$F$368,G420,FALSE)</f>
        <v>15.858333333333301</v>
      </c>
      <c r="J420" s="119">
        <f ca="1">HLOOKUP($H$5,'Met Data'!$H$2:$M$368,G420,FALSE)*L420</f>
        <v>0.85</v>
      </c>
      <c r="K420" s="96">
        <f ca="1">HLOOKUP($H$5,'Met Data'!$O$2:$T$368,G420,FALSE)</f>
        <v>2.8216063312721902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80</v>
      </c>
      <c r="H421" s="95">
        <f t="shared" ca="1" si="66"/>
        <v>45736</v>
      </c>
      <c r="I421" s="119">
        <f ca="1">HLOOKUP($H$5,'Met Data'!$A$2:$F$368,G421,FALSE)</f>
        <v>16.216666666666601</v>
      </c>
      <c r="J421" s="119">
        <f ca="1">HLOOKUP($H$5,'Met Data'!$H$2:$M$368,G421,FALSE)*L421</f>
        <v>8.3333333333333301E-2</v>
      </c>
      <c r="K421" s="96">
        <f ca="1">HLOOKUP($H$5,'Met Data'!$O$2:$T$368,G421,FALSE)</f>
        <v>2.7500481593686201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81</v>
      </c>
      <c r="H422" s="95">
        <f t="shared" ca="1" si="66"/>
        <v>45737</v>
      </c>
      <c r="I422" s="119">
        <f ca="1">HLOOKUP($H$5,'Met Data'!$A$2:$F$368,G422,FALSE)</f>
        <v>16.483333333333299</v>
      </c>
      <c r="J422" s="119">
        <f ca="1">HLOOKUP($H$5,'Met Data'!$H$2:$M$368,G422,FALSE)*L422</f>
        <v>1.11666666666666</v>
      </c>
      <c r="K422" s="96">
        <f ca="1">HLOOKUP($H$5,'Met Data'!$O$2:$T$368,G422,FALSE)</f>
        <v>2.6292753041097501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82</v>
      </c>
      <c r="H423" s="95">
        <f t="shared" ca="1" si="66"/>
        <v>45738</v>
      </c>
      <c r="I423" s="119">
        <f ca="1">HLOOKUP($H$5,'Met Data'!$A$2:$F$368,G423,FALSE)</f>
        <v>16.6791666666666</v>
      </c>
      <c r="J423" s="119">
        <f ca="1">HLOOKUP($H$5,'Met Data'!$H$2:$M$368,G423,FALSE)*L423</f>
        <v>1.63333333333333</v>
      </c>
      <c r="K423" s="96">
        <f ca="1">HLOOKUP($H$5,'Met Data'!$O$2:$T$368,G423,FALSE)</f>
        <v>2.3413673129625598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83</v>
      </c>
      <c r="H424" s="95">
        <f t="shared" ca="1" si="66"/>
        <v>45739</v>
      </c>
      <c r="I424" s="119">
        <f ca="1">HLOOKUP($H$5,'Met Data'!$A$2:$F$368,G424,FALSE)</f>
        <v>16.8</v>
      </c>
      <c r="J424" s="119">
        <f ca="1">HLOOKUP($H$5,'Met Data'!$H$2:$M$368,G424,FALSE)*L424</f>
        <v>2.2833333333333301</v>
      </c>
      <c r="K424" s="96">
        <f ca="1">HLOOKUP($H$5,'Met Data'!$O$2:$T$368,G424,FALSE)</f>
        <v>2.7038604411954998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84</v>
      </c>
      <c r="H425" s="95">
        <f t="shared" ca="1" si="66"/>
        <v>45740</v>
      </c>
      <c r="I425" s="119">
        <f ca="1">HLOOKUP($H$5,'Met Data'!$A$2:$F$368,G425,FALSE)</f>
        <v>16.237500000000001</v>
      </c>
      <c r="J425" s="119">
        <f ca="1">HLOOKUP($H$5,'Met Data'!$H$2:$M$368,G425,FALSE)*L425</f>
        <v>3.7833333333333301</v>
      </c>
      <c r="K425" s="96">
        <f ca="1">HLOOKUP($H$5,'Met Data'!$O$2:$T$368,G425,FALSE)</f>
        <v>2.1387131538714801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85</v>
      </c>
      <c r="H426" s="95">
        <f t="shared" ca="1" si="66"/>
        <v>45741</v>
      </c>
      <c r="I426" s="119">
        <f ca="1">HLOOKUP($H$5,'Met Data'!$A$2:$F$368,G426,FALSE)</f>
        <v>16.875</v>
      </c>
      <c r="J426" s="119">
        <f ca="1">HLOOKUP($H$5,'Met Data'!$H$2:$M$368,G426,FALSE)*L426</f>
        <v>2.9</v>
      </c>
      <c r="K426" s="96">
        <f ca="1">HLOOKUP($H$5,'Met Data'!$O$2:$T$368,G426,FALSE)</f>
        <v>2.4308063740099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86</v>
      </c>
      <c r="H427" s="95">
        <f t="shared" ca="1" si="66"/>
        <v>45742</v>
      </c>
      <c r="I427" s="119">
        <f ca="1">HLOOKUP($H$5,'Met Data'!$A$2:$F$368,G427,FALSE)</f>
        <v>17.024999999999999</v>
      </c>
      <c r="J427" s="119">
        <f ca="1">HLOOKUP($H$5,'Met Data'!$H$2:$M$368,G427,FALSE)*L427</f>
        <v>3.7333333333333298</v>
      </c>
      <c r="K427" s="96">
        <f ca="1">HLOOKUP($H$5,'Met Data'!$O$2:$T$368,G427,FALSE)</f>
        <v>2.3866525377963699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87</v>
      </c>
      <c r="H428" s="95">
        <f t="shared" ca="1" si="66"/>
        <v>45743</v>
      </c>
      <c r="I428" s="119">
        <f ca="1">HLOOKUP($H$5,'Met Data'!$A$2:$F$368,G428,FALSE)</f>
        <v>17.3</v>
      </c>
      <c r="J428" s="119">
        <f ca="1">HLOOKUP($H$5,'Met Data'!$H$2:$M$368,G428,FALSE)*L428</f>
        <v>1.93333333333333</v>
      </c>
      <c r="K428" s="96">
        <f ca="1">HLOOKUP($H$5,'Met Data'!$O$2:$T$368,G428,FALSE)</f>
        <v>2.6501779961824399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88</v>
      </c>
      <c r="H429" s="95">
        <f t="shared" ca="1" si="66"/>
        <v>45744</v>
      </c>
      <c r="I429" s="119">
        <f ca="1">HLOOKUP($H$5,'Met Data'!$A$2:$F$368,G429,FALSE)</f>
        <v>15.983333333333301</v>
      </c>
      <c r="J429" s="119">
        <f ca="1">HLOOKUP($H$5,'Met Data'!$H$2:$M$368,G429,FALSE)*L429</f>
        <v>1.2166666666666599</v>
      </c>
      <c r="K429" s="96">
        <f ca="1">HLOOKUP($H$5,'Met Data'!$O$2:$T$368,G429,FALSE)</f>
        <v>2.2352735074469998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89</v>
      </c>
      <c r="H430" s="95">
        <f t="shared" ca="1" si="66"/>
        <v>45745</v>
      </c>
      <c r="I430" s="119">
        <f ca="1">HLOOKUP($H$5,'Met Data'!$A$2:$F$368,G430,FALSE)</f>
        <v>16.404166666666601</v>
      </c>
      <c r="J430" s="119">
        <f ca="1">HLOOKUP($H$5,'Met Data'!$H$2:$M$368,G430,FALSE)*L430</f>
        <v>2.3333333333333299</v>
      </c>
      <c r="K430" s="96">
        <f ca="1">HLOOKUP($H$5,'Met Data'!$O$2:$T$368,G430,FALSE)</f>
        <v>2.3461969045698901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90</v>
      </c>
      <c r="H431" s="95">
        <f t="shared" ca="1" si="66"/>
        <v>45746</v>
      </c>
      <c r="I431" s="119">
        <f ca="1">HLOOKUP($H$5,'Met Data'!$A$2:$F$368,G431,FALSE)</f>
        <v>16.629166666666599</v>
      </c>
      <c r="J431" s="119">
        <f ca="1">HLOOKUP($H$5,'Met Data'!$H$2:$M$368,G431,FALSE)*L431</f>
        <v>2.2333333333333298</v>
      </c>
      <c r="K431" s="96">
        <f ca="1">HLOOKUP($H$5,'Met Data'!$O$2:$T$368,G431,FALSE)</f>
        <v>2.5330458314755799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91</v>
      </c>
      <c r="H432" s="95">
        <f t="shared" ca="1" si="66"/>
        <v>45747</v>
      </c>
      <c r="I432" s="119">
        <f ca="1">HLOOKUP($H$5,'Met Data'!$A$2:$F$368,G432,FALSE)</f>
        <v>16.112499999999901</v>
      </c>
      <c r="J432" s="119">
        <f ca="1">HLOOKUP($H$5,'Met Data'!$H$2:$M$368,G432,FALSE)*L432</f>
        <v>2.0833333333333299</v>
      </c>
      <c r="K432" s="96">
        <f ca="1">HLOOKUP($H$5,'Met Data'!$O$2:$T$368,G432,FALSE)</f>
        <v>2.4661161715906501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92</v>
      </c>
      <c r="H433" s="95">
        <f t="shared" ca="1" si="66"/>
        <v>45748</v>
      </c>
      <c r="I433" s="119">
        <f ca="1">HLOOKUP($H$5,'Met Data'!$A$2:$F$368,G433,FALSE)</f>
        <v>15.862500000000001</v>
      </c>
      <c r="J433" s="119">
        <f ca="1">HLOOKUP($H$5,'Met Data'!$H$2:$M$368,G433,FALSE)*L433</f>
        <v>1.3333333333333299</v>
      </c>
      <c r="K433" s="96">
        <f ca="1">HLOOKUP($H$5,'Met Data'!$O$2:$T$368,G433,FALSE)</f>
        <v>2.3173978620084501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93</v>
      </c>
      <c r="H434" s="95">
        <f t="shared" ca="1" si="66"/>
        <v>45749</v>
      </c>
      <c r="I434" s="119">
        <f ca="1">HLOOKUP($H$5,'Met Data'!$A$2:$F$368,G434,FALSE)</f>
        <v>15.299999999999899</v>
      </c>
      <c r="J434" s="119">
        <f ca="1">HLOOKUP($H$5,'Met Data'!$H$2:$M$368,G434,FALSE)*L434</f>
        <v>0.36666666666666597</v>
      </c>
      <c r="K434" s="96">
        <f ca="1">HLOOKUP($H$5,'Met Data'!$O$2:$T$368,G434,FALSE)</f>
        <v>2.1311275850035698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94</v>
      </c>
      <c r="H435" s="95">
        <f t="shared" ca="1" si="66"/>
        <v>45750</v>
      </c>
      <c r="I435" s="119">
        <f ca="1">HLOOKUP($H$5,'Met Data'!$A$2:$F$368,G435,FALSE)</f>
        <v>16.266666666666602</v>
      </c>
      <c r="J435" s="119">
        <f ca="1">HLOOKUP($H$5,'Met Data'!$H$2:$M$368,G435,FALSE)*L435</f>
        <v>4.36666666666666</v>
      </c>
      <c r="K435" s="96">
        <f ca="1">HLOOKUP($H$5,'Met Data'!$O$2:$T$368,G435,FALSE)</f>
        <v>2.1942415542804201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95</v>
      </c>
      <c r="H436" s="95">
        <f t="shared" ca="1" si="66"/>
        <v>45751</v>
      </c>
      <c r="I436" s="119">
        <f ca="1">HLOOKUP($H$5,'Met Data'!$A$2:$F$368,G436,FALSE)</f>
        <v>16.008333333333301</v>
      </c>
      <c r="J436" s="119">
        <f ca="1">HLOOKUP($H$5,'Met Data'!$H$2:$M$368,G436,FALSE)*L436</f>
        <v>5.5833333333333304</v>
      </c>
      <c r="K436" s="96">
        <f ca="1">HLOOKUP($H$5,'Met Data'!$O$2:$T$368,G436,FALSE)</f>
        <v>2.18875214188912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96</v>
      </c>
      <c r="H437" s="95">
        <f t="shared" ca="1" si="66"/>
        <v>45752</v>
      </c>
      <c r="I437" s="119">
        <f ca="1">HLOOKUP($H$5,'Met Data'!$A$2:$F$368,G437,FALSE)</f>
        <v>14.8083333333333</v>
      </c>
      <c r="J437" s="119">
        <f ca="1">HLOOKUP($H$5,'Met Data'!$H$2:$M$368,G437,FALSE)*L437</f>
        <v>3.93333333333333</v>
      </c>
      <c r="K437" s="96">
        <f ca="1">HLOOKUP($H$5,'Met Data'!$O$2:$T$368,G437,FALSE)</f>
        <v>2.25899576438928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97</v>
      </c>
      <c r="H438" s="95">
        <f t="shared" ca="1" si="66"/>
        <v>45753</v>
      </c>
      <c r="I438" s="119">
        <f ca="1">HLOOKUP($H$5,'Met Data'!$A$2:$F$368,G438,FALSE)</f>
        <v>14.283333333333299</v>
      </c>
      <c r="J438" s="119">
        <f ca="1">HLOOKUP($H$5,'Met Data'!$H$2:$M$368,G438,FALSE)*L438</f>
        <v>1.2666666666666599</v>
      </c>
      <c r="K438" s="96">
        <f ca="1">HLOOKUP($H$5,'Met Data'!$O$2:$T$368,G438,FALSE)</f>
        <v>2.2952223200603901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98</v>
      </c>
      <c r="H439" s="95">
        <f t="shared" ca="1" si="66"/>
        <v>45754</v>
      </c>
      <c r="I439" s="119">
        <f ca="1">HLOOKUP($H$5,'Met Data'!$A$2:$F$368,G439,FALSE)</f>
        <v>13.258333333333301</v>
      </c>
      <c r="J439" s="119">
        <f ca="1">HLOOKUP($H$5,'Met Data'!$H$2:$M$368,G439,FALSE)*L439</f>
        <v>1.18333333333333</v>
      </c>
      <c r="K439" s="96">
        <f ca="1">HLOOKUP($H$5,'Met Data'!$O$2:$T$368,G439,FALSE)</f>
        <v>1.94562323949851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99</v>
      </c>
      <c r="H440" s="95">
        <f t="shared" ca="1" si="66"/>
        <v>45755</v>
      </c>
      <c r="I440" s="119">
        <f ca="1">HLOOKUP($H$5,'Met Data'!$A$2:$F$368,G440,FALSE)</f>
        <v>13.8666666666666</v>
      </c>
      <c r="J440" s="119">
        <f ca="1">HLOOKUP($H$5,'Met Data'!$H$2:$M$368,G440,FALSE)*L440</f>
        <v>4.7333333333333298</v>
      </c>
      <c r="K440" s="96">
        <f ca="1">HLOOKUP($H$5,'Met Data'!$O$2:$T$368,G440,FALSE)</f>
        <v>1.65226329552866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100</v>
      </c>
      <c r="H441" s="95">
        <f t="shared" ca="1" si="66"/>
        <v>45756</v>
      </c>
      <c r="I441" s="119">
        <f ca="1">HLOOKUP($H$5,'Met Data'!$A$2:$F$368,G441,FALSE)</f>
        <v>14.404166666666599</v>
      </c>
      <c r="J441" s="119">
        <f ca="1">HLOOKUP($H$5,'Met Data'!$H$2:$M$368,G441,FALSE)*L441</f>
        <v>4.3166666666666602</v>
      </c>
      <c r="K441" s="96">
        <f ca="1">HLOOKUP($H$5,'Met Data'!$O$2:$T$368,G441,FALSE)</f>
        <v>1.8668252234765801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101</v>
      </c>
      <c r="H442" s="95">
        <f t="shared" ca="1" si="66"/>
        <v>45757</v>
      </c>
      <c r="I442" s="119">
        <f ca="1">HLOOKUP($H$5,'Met Data'!$A$2:$F$368,G442,FALSE)</f>
        <v>14.5416666666666</v>
      </c>
      <c r="J442" s="119">
        <f ca="1">HLOOKUP($H$5,'Met Data'!$H$2:$M$368,G442,FALSE)*L442</f>
        <v>4.43333333333333</v>
      </c>
      <c r="K442" s="96">
        <f ca="1">HLOOKUP($H$5,'Met Data'!$O$2:$T$368,G442,FALSE)</f>
        <v>1.97301093095216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102</v>
      </c>
      <c r="H443" s="95">
        <f t="shared" ca="1" si="66"/>
        <v>45758</v>
      </c>
      <c r="I443" s="119">
        <f ca="1">HLOOKUP($H$5,'Met Data'!$A$2:$F$368,G443,FALSE)</f>
        <v>14.279166666666599</v>
      </c>
      <c r="J443" s="119">
        <f ca="1">HLOOKUP($H$5,'Met Data'!$H$2:$M$368,G443,FALSE)*L443</f>
        <v>1.3333333333333299</v>
      </c>
      <c r="K443" s="96">
        <f ca="1">HLOOKUP($H$5,'Met Data'!$O$2:$T$368,G443,FALSE)</f>
        <v>1.63836682585681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103</v>
      </c>
      <c r="H444" s="95">
        <f t="shared" ca="1" si="66"/>
        <v>45759</v>
      </c>
      <c r="I444" s="119">
        <f ca="1">HLOOKUP($H$5,'Met Data'!$A$2:$F$368,G444,FALSE)</f>
        <v>15.1666666666666</v>
      </c>
      <c r="J444" s="119">
        <f ca="1">HLOOKUP($H$5,'Met Data'!$H$2:$M$368,G444,FALSE)*L444</f>
        <v>3.7833333333333301</v>
      </c>
      <c r="K444" s="96">
        <f ca="1">HLOOKUP($H$5,'Met Data'!$O$2:$T$368,G444,FALSE)</f>
        <v>1.8936832301932101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104</v>
      </c>
      <c r="H445" s="95">
        <f t="shared" ca="1" si="66"/>
        <v>45760</v>
      </c>
      <c r="I445" s="119">
        <f ca="1">HLOOKUP($H$5,'Met Data'!$A$2:$F$368,G445,FALSE)</f>
        <v>14.675000000000001</v>
      </c>
      <c r="J445" s="119">
        <f ca="1">HLOOKUP($H$5,'Met Data'!$H$2:$M$368,G445,FALSE)*L445</f>
        <v>4.5166666666666604</v>
      </c>
      <c r="K445" s="96">
        <f ca="1">HLOOKUP($H$5,'Met Data'!$O$2:$T$368,G445,FALSE)</f>
        <v>1.6971366028359001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105</v>
      </c>
      <c r="H446" s="95">
        <f t="shared" ca="1" si="66"/>
        <v>45761</v>
      </c>
      <c r="I446" s="119">
        <f ca="1">HLOOKUP($H$5,'Met Data'!$A$2:$F$368,G446,FALSE)</f>
        <v>13.504166666666601</v>
      </c>
      <c r="J446" s="119">
        <f ca="1">HLOOKUP($H$5,'Met Data'!$H$2:$M$368,G446,FALSE)*L446</f>
        <v>4.5</v>
      </c>
      <c r="K446" s="96">
        <f ca="1">HLOOKUP($H$5,'Met Data'!$O$2:$T$368,G446,FALSE)</f>
        <v>1.6970685904410301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106</v>
      </c>
      <c r="H447" s="95">
        <f t="shared" ca="1" si="66"/>
        <v>45762</v>
      </c>
      <c r="I447" s="119">
        <f ca="1">HLOOKUP($H$5,'Met Data'!$A$2:$F$368,G447,FALSE)</f>
        <v>13.779166666666599</v>
      </c>
      <c r="J447" s="119">
        <f ca="1">HLOOKUP($H$5,'Met Data'!$H$2:$M$368,G447,FALSE)*L447</f>
        <v>0.9</v>
      </c>
      <c r="K447" s="96">
        <f ca="1">HLOOKUP($H$5,'Met Data'!$O$2:$T$368,G447,FALSE)</f>
        <v>2.0649391337631702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107</v>
      </c>
      <c r="H448" s="95">
        <f t="shared" ca="1" si="66"/>
        <v>45763</v>
      </c>
      <c r="I448" s="119">
        <f ca="1">HLOOKUP($H$5,'Met Data'!$A$2:$F$368,G448,FALSE)</f>
        <v>13.920833333333301</v>
      </c>
      <c r="J448" s="119">
        <f ca="1">HLOOKUP($H$5,'Met Data'!$H$2:$M$368,G448,FALSE)*L448</f>
        <v>7.6</v>
      </c>
      <c r="K448" s="96">
        <f ca="1">HLOOKUP($H$5,'Met Data'!$O$2:$T$368,G448,FALSE)</f>
        <v>1.7084212444020199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108</v>
      </c>
      <c r="H449" s="95">
        <f t="shared" ca="1" si="66"/>
        <v>45764</v>
      </c>
      <c r="I449" s="119">
        <f ca="1">HLOOKUP($H$5,'Met Data'!$A$2:$F$368,G449,FALSE)</f>
        <v>13.6416666666666</v>
      </c>
      <c r="J449" s="119">
        <f ca="1">HLOOKUP($H$5,'Met Data'!$H$2:$M$368,G449,FALSE)*L449</f>
        <v>3.44999999999999</v>
      </c>
      <c r="K449" s="96">
        <f ca="1">HLOOKUP($H$5,'Met Data'!$O$2:$T$368,G449,FALSE)</f>
        <v>1.46996077972592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109</v>
      </c>
      <c r="H450" s="95">
        <f t="shared" ca="1" si="66"/>
        <v>45765</v>
      </c>
      <c r="I450" s="119">
        <f ca="1">HLOOKUP($H$5,'Met Data'!$A$2:$F$368,G450,FALSE)</f>
        <v>13.6833333333333</v>
      </c>
      <c r="J450" s="119">
        <f ca="1">HLOOKUP($H$5,'Met Data'!$H$2:$M$368,G450,FALSE)*L450</f>
        <v>2.4166666666666599</v>
      </c>
      <c r="K450" s="96">
        <f ca="1">HLOOKUP($H$5,'Met Data'!$O$2:$T$368,G450,FALSE)</f>
        <v>1.64274717869015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110</v>
      </c>
      <c r="H451" s="95">
        <f t="shared" ca="1" si="66"/>
        <v>45766</v>
      </c>
      <c r="I451" s="119">
        <f ca="1">HLOOKUP($H$5,'Met Data'!$A$2:$F$368,G451,FALSE)</f>
        <v>12.945833333333301</v>
      </c>
      <c r="J451" s="119">
        <f ca="1">HLOOKUP($H$5,'Met Data'!$H$2:$M$368,G451,FALSE)*L451</f>
        <v>1.5999999999999901</v>
      </c>
      <c r="K451" s="96">
        <f ca="1">HLOOKUP($H$5,'Met Data'!$O$2:$T$368,G451,FALSE)</f>
        <v>1.70342846945819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111</v>
      </c>
      <c r="H452" s="95">
        <f t="shared" ca="1" si="66"/>
        <v>45767</v>
      </c>
      <c r="I452" s="119">
        <f ca="1">HLOOKUP($H$5,'Met Data'!$A$2:$F$368,G452,FALSE)</f>
        <v>14.2875</v>
      </c>
      <c r="J452" s="119">
        <f ca="1">HLOOKUP($H$5,'Met Data'!$H$2:$M$368,G452,FALSE)*L452</f>
        <v>1.1499999999999999</v>
      </c>
      <c r="K452" s="96">
        <f ca="1">HLOOKUP($H$5,'Met Data'!$O$2:$T$368,G452,FALSE)</f>
        <v>1.68674688590323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112</v>
      </c>
      <c r="H453" s="95">
        <f t="shared" ca="1" si="66"/>
        <v>45768</v>
      </c>
      <c r="I453" s="119">
        <f ca="1">HLOOKUP($H$5,'Met Data'!$A$2:$F$368,G453,FALSE)</f>
        <v>14.275</v>
      </c>
      <c r="J453" s="119">
        <f ca="1">HLOOKUP($H$5,'Met Data'!$H$2:$M$368,G453,FALSE)*L453</f>
        <v>2.0833333333333299</v>
      </c>
      <c r="K453" s="96">
        <f ca="1">HLOOKUP($H$5,'Met Data'!$O$2:$T$368,G453,FALSE)</f>
        <v>1.5152419322458901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113</v>
      </c>
      <c r="H454" s="95">
        <f t="shared" ca="1" si="66"/>
        <v>45769</v>
      </c>
      <c r="I454" s="119">
        <f ca="1">HLOOKUP($H$5,'Met Data'!$A$2:$F$368,G454,FALSE)</f>
        <v>13.595833333333299</v>
      </c>
      <c r="J454" s="119">
        <f ca="1">HLOOKUP($H$5,'Met Data'!$H$2:$M$368,G454,FALSE)*L454</f>
        <v>0.76666666666666605</v>
      </c>
      <c r="K454" s="96">
        <f ca="1">HLOOKUP($H$5,'Met Data'!$O$2:$T$368,G454,FALSE)</f>
        <v>1.65518894118648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ca="1" si="64"/>
        <v>114</v>
      </c>
      <c r="H455" s="95">
        <f t="shared" ca="1" si="66"/>
        <v>45770</v>
      </c>
      <c r="I455" s="119">
        <f ca="1">HLOOKUP($H$5,'Met Data'!$A$2:$F$368,G455,FALSE)</f>
        <v>13.9125</v>
      </c>
      <c r="J455" s="119">
        <f ca="1">HLOOKUP($H$5,'Met Data'!$H$2:$M$368,G455,FALSE)*L455</f>
        <v>0.3</v>
      </c>
      <c r="K455" s="96">
        <f ca="1">HLOOKUP($H$5,'Met Data'!$O$2:$T$368,G455,FALSE)</f>
        <v>1.66585763602601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ca="1" si="74">H456-DATE(YEAR(H456),1,0)+1</f>
        <v>115</v>
      </c>
      <c r="H456" s="95">
        <f t="shared" ca="1" si="66"/>
        <v>45771</v>
      </c>
      <c r="I456" s="119">
        <f ca="1">HLOOKUP($H$5,'Met Data'!$A$2:$F$368,G456,FALSE)</f>
        <v>14.820833333333301</v>
      </c>
      <c r="J456" s="119">
        <f ca="1">HLOOKUP($H$5,'Met Data'!$H$2:$M$368,G456,FALSE)*L456</f>
        <v>2.5333333333333301</v>
      </c>
      <c r="K456" s="96">
        <f ca="1">HLOOKUP($H$5,'Met Data'!$O$2:$T$368,G456,FALSE)</f>
        <v>1.5754379638326901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116</v>
      </c>
      <c r="H457" s="95">
        <f t="shared" ref="H457:H520" ca="1" si="76">H456+1</f>
        <v>45772</v>
      </c>
      <c r="I457" s="119">
        <f ca="1">HLOOKUP($H$5,'Met Data'!$A$2:$F$368,G457,FALSE)</f>
        <v>14.4166666666666</v>
      </c>
      <c r="J457" s="119">
        <f ca="1">HLOOKUP($H$5,'Met Data'!$H$2:$M$368,G457,FALSE)*L457</f>
        <v>7.3833333333333302</v>
      </c>
      <c r="K457" s="96">
        <f ca="1">HLOOKUP($H$5,'Met Data'!$O$2:$T$368,G457,FALSE)</f>
        <v>1.4622003711311999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117</v>
      </c>
      <c r="H458" s="95">
        <f t="shared" ca="1" si="76"/>
        <v>45773</v>
      </c>
      <c r="I458" s="119">
        <f ca="1">HLOOKUP($H$5,'Met Data'!$A$2:$F$368,G458,FALSE)</f>
        <v>13.9375</v>
      </c>
      <c r="J458" s="119">
        <f ca="1">HLOOKUP($H$5,'Met Data'!$H$2:$M$368,G458,FALSE)*L458</f>
        <v>0.7</v>
      </c>
      <c r="K458" s="96">
        <f ca="1">HLOOKUP($H$5,'Met Data'!$O$2:$T$368,G458,FALSE)</f>
        <v>1.4965322621758601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118</v>
      </c>
      <c r="H459" s="95">
        <f t="shared" ca="1" si="76"/>
        <v>45774</v>
      </c>
      <c r="I459" s="119">
        <f ca="1">HLOOKUP($H$5,'Met Data'!$A$2:$F$368,G459,FALSE)</f>
        <v>14.8045454545454</v>
      </c>
      <c r="J459" s="119">
        <f ca="1">HLOOKUP($H$5,'Met Data'!$H$2:$M$368,G459,FALSE)*L459</f>
        <v>4.5818181818181802</v>
      </c>
      <c r="K459" s="96">
        <f ca="1">HLOOKUP($H$5,'Met Data'!$O$2:$T$368,G459,FALSE)</f>
        <v>1.5702581753512701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ca="1" si="74"/>
        <v>119</v>
      </c>
      <c r="H460" s="95">
        <f t="shared" ca="1" si="76"/>
        <v>45775</v>
      </c>
      <c r="I460" s="119">
        <f ca="1">HLOOKUP($H$5,'Met Data'!$A$2:$F$368,G460,FALSE)</f>
        <v>14.1090909090909</v>
      </c>
      <c r="J460" s="119">
        <f ca="1">HLOOKUP($H$5,'Met Data'!$H$2:$M$368,G460,FALSE)*L460</f>
        <v>5.5454545454545396</v>
      </c>
      <c r="K460" s="96">
        <f ca="1">HLOOKUP($H$5,'Met Data'!$O$2:$T$368,G460,FALSE)</f>
        <v>1.27231342308323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ca="1" si="74"/>
        <v>120</v>
      </c>
      <c r="H461" s="95">
        <f t="shared" ca="1" si="76"/>
        <v>45776</v>
      </c>
      <c r="I461" s="119">
        <f ca="1">HLOOKUP($H$5,'Met Data'!$A$2:$F$368,G461,FALSE)</f>
        <v>13.8375</v>
      </c>
      <c r="J461" s="119">
        <f ca="1">HLOOKUP($H$5,'Met Data'!$H$2:$M$368,G461,FALSE)*L461</f>
        <v>4.68333333333333</v>
      </c>
      <c r="K461" s="96">
        <f ca="1">HLOOKUP($H$5,'Met Data'!$O$2:$T$368,G461,FALSE)</f>
        <v>1.5077932055652401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121</v>
      </c>
      <c r="H462" s="95">
        <f t="shared" ca="1" si="76"/>
        <v>45777</v>
      </c>
      <c r="I462" s="119">
        <f ca="1">HLOOKUP($H$5,'Met Data'!$A$2:$F$368,G462,FALSE)</f>
        <v>13.6458333333333</v>
      </c>
      <c r="J462" s="119">
        <f ca="1">HLOOKUP($H$5,'Met Data'!$H$2:$M$368,G462,FALSE)*L462</f>
        <v>5.3999999999999897</v>
      </c>
      <c r="K462" s="96">
        <f ca="1">HLOOKUP($H$5,'Met Data'!$O$2:$T$368,G462,FALSE)</f>
        <v>1.60300410285803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122</v>
      </c>
      <c r="H463" s="95">
        <f t="shared" ca="1" si="76"/>
        <v>45778</v>
      </c>
      <c r="I463" s="119">
        <f ca="1">HLOOKUP($H$5,'Met Data'!$A$2:$F$368,G463,FALSE)</f>
        <v>11.883333333333301</v>
      </c>
      <c r="J463" s="119">
        <f ca="1">HLOOKUP($H$5,'Met Data'!$H$2:$M$368,G463,FALSE)*L463</f>
        <v>0.25</v>
      </c>
      <c r="K463" s="96">
        <f ca="1">HLOOKUP($H$5,'Met Data'!$O$2:$T$368,G463,FALSE)</f>
        <v>1.67837953393642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123</v>
      </c>
      <c r="H464" s="95">
        <f t="shared" ca="1" si="76"/>
        <v>45779</v>
      </c>
      <c r="I464" s="119">
        <f ca="1">HLOOKUP($H$5,'Met Data'!$A$2:$F$368,G464,FALSE)</f>
        <v>11.8541666666666</v>
      </c>
      <c r="J464" s="119">
        <f ca="1">HLOOKUP($H$5,'Met Data'!$H$2:$M$368,G464,FALSE)*L464</f>
        <v>0.133333333333333</v>
      </c>
      <c r="K464" s="96">
        <f ca="1">HLOOKUP($H$5,'Met Data'!$O$2:$T$368,G464,FALSE)</f>
        <v>1.44561782365903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124</v>
      </c>
      <c r="H465" s="95">
        <f t="shared" ca="1" si="76"/>
        <v>45780</v>
      </c>
      <c r="I465" s="119">
        <f ca="1">HLOOKUP($H$5,'Met Data'!$A$2:$F$368,G465,FALSE)</f>
        <v>13.0875</v>
      </c>
      <c r="J465" s="119">
        <f ca="1">HLOOKUP($H$5,'Met Data'!$H$2:$M$368,G465,FALSE)*L465</f>
        <v>2.1333333333333302</v>
      </c>
      <c r="K465" s="96">
        <f ca="1">HLOOKUP($H$5,'Met Data'!$O$2:$T$368,G465,FALSE)</f>
        <v>1.4319782957140901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125</v>
      </c>
      <c r="H466" s="95">
        <f t="shared" ca="1" si="76"/>
        <v>45781</v>
      </c>
      <c r="I466" s="119">
        <f ca="1">HLOOKUP($H$5,'Met Data'!$A$2:$F$368,G466,FALSE)</f>
        <v>13.137499999999999</v>
      </c>
      <c r="J466" s="119">
        <f ca="1">HLOOKUP($H$5,'Met Data'!$H$2:$M$368,G466,FALSE)*L466</f>
        <v>3</v>
      </c>
      <c r="K466" s="96">
        <f ca="1">HLOOKUP($H$5,'Met Data'!$O$2:$T$368,G466,FALSE)</f>
        <v>1.16413167388704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126</v>
      </c>
      <c r="H467" s="95">
        <f t="shared" ca="1" si="76"/>
        <v>45782</v>
      </c>
      <c r="I467" s="119">
        <f ca="1">HLOOKUP($H$5,'Met Data'!$A$2:$F$368,G467,FALSE)</f>
        <v>13.591666666666599</v>
      </c>
      <c r="J467" s="119">
        <f ca="1">HLOOKUP($H$5,'Met Data'!$H$2:$M$368,G467,FALSE)*L467</f>
        <v>4.8499999999999996</v>
      </c>
      <c r="K467" s="96">
        <f ca="1">HLOOKUP($H$5,'Met Data'!$O$2:$T$368,G467,FALSE)</f>
        <v>1.3049016144750001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127</v>
      </c>
      <c r="H468" s="95">
        <f t="shared" ca="1" si="76"/>
        <v>45783</v>
      </c>
      <c r="I468" s="119">
        <f ca="1">HLOOKUP($H$5,'Met Data'!$A$2:$F$368,G468,FALSE)</f>
        <v>13.2708333333333</v>
      </c>
      <c r="J468" s="119">
        <f ca="1">HLOOKUP($H$5,'Met Data'!$H$2:$M$368,G468,FALSE)*L468</f>
        <v>2.36666666666666</v>
      </c>
      <c r="K468" s="96">
        <f ca="1">HLOOKUP($H$5,'Met Data'!$O$2:$T$368,G468,FALSE)</f>
        <v>1.29751787384439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128</v>
      </c>
      <c r="H469" s="95">
        <f t="shared" ca="1" si="76"/>
        <v>45784</v>
      </c>
      <c r="I469" s="119">
        <f ca="1">HLOOKUP($H$5,'Met Data'!$A$2:$F$368,G469,FALSE)</f>
        <v>12.6791666666666</v>
      </c>
      <c r="J469" s="119">
        <f ca="1">HLOOKUP($H$5,'Met Data'!$H$2:$M$368,G469,FALSE)*L469</f>
        <v>5.4166666666666599</v>
      </c>
      <c r="K469" s="96">
        <f ca="1">HLOOKUP($H$5,'Met Data'!$O$2:$T$368,G469,FALSE)</f>
        <v>1.3071916611718599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129</v>
      </c>
      <c r="H470" s="95">
        <f t="shared" ca="1" si="76"/>
        <v>45785</v>
      </c>
      <c r="I470" s="119">
        <f ca="1">HLOOKUP($H$5,'Met Data'!$A$2:$F$368,G470,FALSE)</f>
        <v>12.799999999999899</v>
      </c>
      <c r="J470" s="119">
        <f ca="1">HLOOKUP($H$5,'Met Data'!$H$2:$M$368,G470,FALSE)*L470</f>
        <v>2.1666666666666599</v>
      </c>
      <c r="K470" s="96">
        <f ca="1">HLOOKUP($H$5,'Met Data'!$O$2:$T$368,G470,FALSE)</f>
        <v>1.27112414081248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130</v>
      </c>
      <c r="H471" s="95">
        <f t="shared" ca="1" si="76"/>
        <v>45786</v>
      </c>
      <c r="I471" s="119">
        <f ca="1">HLOOKUP($H$5,'Met Data'!$A$2:$F$368,G471,FALSE)</f>
        <v>14.1</v>
      </c>
      <c r="J471" s="119">
        <f ca="1">HLOOKUP($H$5,'Met Data'!$H$2:$M$368,G471,FALSE)*L471</f>
        <v>1.2333333333333301</v>
      </c>
      <c r="K471" s="96">
        <f ca="1">HLOOKUP($H$5,'Met Data'!$O$2:$T$368,G471,FALSE)</f>
        <v>1.3593529897032299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131</v>
      </c>
      <c r="H472" s="95">
        <f t="shared" ca="1" si="76"/>
        <v>45787</v>
      </c>
      <c r="I472" s="119">
        <f ca="1">HLOOKUP($H$5,'Met Data'!$A$2:$F$368,G472,FALSE)</f>
        <v>13.7416666666666</v>
      </c>
      <c r="J472" s="119">
        <f ca="1">HLOOKUP($H$5,'Met Data'!$H$2:$M$368,G472,FALSE)*L472</f>
        <v>1.56666666666666</v>
      </c>
      <c r="K472" s="96">
        <f ca="1">HLOOKUP($H$5,'Met Data'!$O$2:$T$368,G472,FALSE)</f>
        <v>1.1980493949464299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132</v>
      </c>
      <c r="H473" s="95">
        <f t="shared" ca="1" si="76"/>
        <v>45788</v>
      </c>
      <c r="I473" s="119">
        <f ca="1">HLOOKUP($H$5,'Met Data'!$A$2:$F$368,G473,FALSE)</f>
        <v>13.1</v>
      </c>
      <c r="J473" s="119">
        <f ca="1">HLOOKUP($H$5,'Met Data'!$H$2:$M$368,G473,FALSE)*L473</f>
        <v>3.7166666666666601</v>
      </c>
      <c r="K473" s="96">
        <f ca="1">HLOOKUP($H$5,'Met Data'!$O$2:$T$368,G473,FALSE)</f>
        <v>1.0818629782871001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133</v>
      </c>
      <c r="H474" s="95">
        <f t="shared" ca="1" si="76"/>
        <v>45789</v>
      </c>
      <c r="I474" s="119">
        <f ca="1">HLOOKUP($H$5,'Met Data'!$A$2:$F$368,G474,FALSE)</f>
        <v>13.566666666666601</v>
      </c>
      <c r="J474" s="119">
        <f ca="1">HLOOKUP($H$5,'Met Data'!$H$2:$M$368,G474,FALSE)*L474</f>
        <v>5.86666666666666</v>
      </c>
      <c r="K474" s="96">
        <f ca="1">HLOOKUP($H$5,'Met Data'!$O$2:$T$368,G474,FALSE)</f>
        <v>0.93360919947406795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134</v>
      </c>
      <c r="H475" s="95">
        <f t="shared" ca="1" si="76"/>
        <v>45790</v>
      </c>
      <c r="I475" s="119">
        <f ca="1">HLOOKUP($H$5,'Met Data'!$A$2:$F$368,G475,FALSE)</f>
        <v>12.887499999999999</v>
      </c>
      <c r="J475" s="119">
        <f ca="1">HLOOKUP($H$5,'Met Data'!$H$2:$M$368,G475,FALSE)*L475</f>
        <v>5.1666666666666599</v>
      </c>
      <c r="K475" s="96">
        <f ca="1">HLOOKUP($H$5,'Met Data'!$O$2:$T$368,G475,FALSE)</f>
        <v>1.3361527471355901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135</v>
      </c>
      <c r="H476" s="95">
        <f t="shared" ca="1" si="76"/>
        <v>45791</v>
      </c>
      <c r="I476" s="119">
        <f ca="1">HLOOKUP($H$5,'Met Data'!$A$2:$F$368,G476,FALSE)</f>
        <v>13</v>
      </c>
      <c r="J476" s="119">
        <f ca="1">HLOOKUP($H$5,'Met Data'!$H$2:$M$368,G476,FALSE)*L476</f>
        <v>4.86666666666666</v>
      </c>
      <c r="K476" s="96">
        <f ca="1">HLOOKUP($H$5,'Met Data'!$O$2:$T$368,G476,FALSE)</f>
        <v>1.1907632624443201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136</v>
      </c>
      <c r="H477" s="95">
        <f t="shared" ca="1" si="76"/>
        <v>45792</v>
      </c>
      <c r="I477" s="119">
        <f ca="1">HLOOKUP($H$5,'Met Data'!$A$2:$F$368,G477,FALSE)</f>
        <v>13.470833333333299</v>
      </c>
      <c r="J477" s="119">
        <f ca="1">HLOOKUP($H$5,'Met Data'!$H$2:$M$368,G477,FALSE)*L477</f>
        <v>8.7833333333333297</v>
      </c>
      <c r="K477" s="96">
        <f ca="1">HLOOKUP($H$5,'Met Data'!$O$2:$T$368,G477,FALSE)</f>
        <v>1.16840876605303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137</v>
      </c>
      <c r="H478" s="95">
        <f t="shared" ca="1" si="76"/>
        <v>45793</v>
      </c>
      <c r="I478" s="119">
        <f ca="1">HLOOKUP($H$5,'Met Data'!$A$2:$F$368,G478,FALSE)</f>
        <v>12.8666666666666</v>
      </c>
      <c r="J478" s="119">
        <f ca="1">HLOOKUP($H$5,'Met Data'!$H$2:$M$368,G478,FALSE)*L478</f>
        <v>4.86666666666666</v>
      </c>
      <c r="K478" s="96">
        <f ca="1">HLOOKUP($H$5,'Met Data'!$O$2:$T$368,G478,FALSE)</f>
        <v>1.23845839693481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138</v>
      </c>
      <c r="H479" s="95">
        <f t="shared" ca="1" si="76"/>
        <v>45794</v>
      </c>
      <c r="I479" s="119">
        <f ca="1">HLOOKUP($H$5,'Met Data'!$A$2:$F$368,G479,FALSE)</f>
        <v>12.237499999999899</v>
      </c>
      <c r="J479" s="119">
        <f ca="1">HLOOKUP($H$5,'Met Data'!$H$2:$M$368,G479,FALSE)*L479</f>
        <v>3.7166666666666601</v>
      </c>
      <c r="K479" s="96">
        <f ca="1">HLOOKUP($H$5,'Met Data'!$O$2:$T$368,G479,FALSE)</f>
        <v>1.3074898165915401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139</v>
      </c>
      <c r="H480" s="95">
        <f t="shared" ca="1" si="76"/>
        <v>45795</v>
      </c>
      <c r="I480" s="119">
        <f ca="1">HLOOKUP($H$5,'Met Data'!$A$2:$F$368,G480,FALSE)</f>
        <v>11.595833333333299</v>
      </c>
      <c r="J480" s="119">
        <f ca="1">HLOOKUP($H$5,'Met Data'!$H$2:$M$368,G480,FALSE)*L480</f>
        <v>2.61666666666666</v>
      </c>
      <c r="K480" s="96">
        <f ca="1">HLOOKUP($H$5,'Met Data'!$O$2:$T$368,G480,FALSE)</f>
        <v>1.3321153360432201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140</v>
      </c>
      <c r="H481" s="95">
        <f t="shared" ca="1" si="76"/>
        <v>45796</v>
      </c>
      <c r="I481" s="119">
        <f ca="1">HLOOKUP($H$5,'Met Data'!$A$2:$F$368,G481,FALSE)</f>
        <v>11.904166666666599</v>
      </c>
      <c r="J481" s="119">
        <f ca="1">HLOOKUP($H$5,'Met Data'!$H$2:$M$368,G481,FALSE)*L481</f>
        <v>2.35</v>
      </c>
      <c r="K481" s="96">
        <f ca="1">HLOOKUP($H$5,'Met Data'!$O$2:$T$368,G481,FALSE)</f>
        <v>1.2961776408629699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141</v>
      </c>
      <c r="H482" s="95">
        <f t="shared" ca="1" si="76"/>
        <v>45797</v>
      </c>
      <c r="I482" s="119">
        <f ca="1">HLOOKUP($H$5,'Met Data'!$A$2:$F$368,G482,FALSE)</f>
        <v>11.762499999999999</v>
      </c>
      <c r="J482" s="119">
        <f ca="1">HLOOKUP($H$5,'Met Data'!$H$2:$M$368,G482,FALSE)*L482</f>
        <v>0.31666666666666599</v>
      </c>
      <c r="K482" s="96">
        <f ca="1">HLOOKUP($H$5,'Met Data'!$O$2:$T$368,G482,FALSE)</f>
        <v>1.26598619456247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142</v>
      </c>
      <c r="H483" s="95">
        <f t="shared" ca="1" si="76"/>
        <v>45798</v>
      </c>
      <c r="I483" s="119">
        <f ca="1">HLOOKUP($H$5,'Met Data'!$A$2:$F$368,G483,FALSE)</f>
        <v>11.612500000000001</v>
      </c>
      <c r="J483" s="119">
        <f ca="1">HLOOKUP($H$5,'Met Data'!$H$2:$M$368,G483,FALSE)*L483</f>
        <v>2</v>
      </c>
      <c r="K483" s="96">
        <f ca="1">HLOOKUP($H$5,'Met Data'!$O$2:$T$368,G483,FALSE)</f>
        <v>1.0607063970516699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143</v>
      </c>
      <c r="H484" s="95">
        <f t="shared" ca="1" si="76"/>
        <v>45799</v>
      </c>
      <c r="I484" s="119">
        <f ca="1">HLOOKUP($H$5,'Met Data'!$A$2:$F$368,G484,FALSE)</f>
        <v>10.174999999999899</v>
      </c>
      <c r="J484" s="119">
        <f ca="1">HLOOKUP($H$5,'Met Data'!$H$2:$M$368,G484,FALSE)*L484</f>
        <v>2.93333333333333</v>
      </c>
      <c r="K484" s="96">
        <f ca="1">HLOOKUP($H$5,'Met Data'!$O$2:$T$368,G484,FALSE)</f>
        <v>1.10734547072848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144</v>
      </c>
      <c r="H485" s="95">
        <f t="shared" ca="1" si="76"/>
        <v>45800</v>
      </c>
      <c r="I485" s="119">
        <f ca="1">HLOOKUP($H$5,'Met Data'!$A$2:$F$368,G485,FALSE)</f>
        <v>10.7416666666666</v>
      </c>
      <c r="J485" s="119">
        <f ca="1">HLOOKUP($H$5,'Met Data'!$H$2:$M$368,G485,FALSE)*L485</f>
        <v>2.8</v>
      </c>
      <c r="K485" s="96">
        <f ca="1">HLOOKUP($H$5,'Met Data'!$O$2:$T$368,G485,FALSE)</f>
        <v>0.94921082080766905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145</v>
      </c>
      <c r="H486" s="95">
        <f t="shared" ca="1" si="76"/>
        <v>45801</v>
      </c>
      <c r="I486" s="119">
        <f ca="1">HLOOKUP($H$5,'Met Data'!$A$2:$F$368,G486,FALSE)</f>
        <v>10.983333333333301</v>
      </c>
      <c r="J486" s="119">
        <f ca="1">HLOOKUP($H$5,'Met Data'!$H$2:$M$368,G486,FALSE)*L486</f>
        <v>5.61666666666666</v>
      </c>
      <c r="K486" s="96">
        <f ca="1">HLOOKUP($H$5,'Met Data'!$O$2:$T$368,G486,FALSE)</f>
        <v>0.95593712910075901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146</v>
      </c>
      <c r="H487" s="95">
        <f t="shared" ca="1" si="76"/>
        <v>45802</v>
      </c>
      <c r="I487" s="119">
        <f ca="1">HLOOKUP($H$5,'Met Data'!$A$2:$F$368,G487,FALSE)</f>
        <v>10.7666666666666</v>
      </c>
      <c r="J487" s="119">
        <f ca="1">HLOOKUP($H$5,'Met Data'!$H$2:$M$368,G487,FALSE)*L487</f>
        <v>3.1666666666666599</v>
      </c>
      <c r="K487" s="96">
        <f ca="1">HLOOKUP($H$5,'Met Data'!$O$2:$T$368,G487,FALSE)</f>
        <v>0.98597820560947502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147</v>
      </c>
      <c r="H488" s="95">
        <f t="shared" ca="1" si="76"/>
        <v>45803</v>
      </c>
      <c r="I488" s="119">
        <f ca="1">HLOOKUP($H$5,'Met Data'!$A$2:$F$368,G488,FALSE)</f>
        <v>11.1833333333333</v>
      </c>
      <c r="J488" s="119">
        <f ca="1">HLOOKUP($H$5,'Met Data'!$H$2:$M$368,G488,FALSE)*L488</f>
        <v>6.1499999999999897</v>
      </c>
      <c r="K488" s="96">
        <f ca="1">HLOOKUP($H$5,'Met Data'!$O$2:$T$368,G488,FALSE)</f>
        <v>1.02530679052105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148</v>
      </c>
      <c r="H489" s="95">
        <f t="shared" ca="1" si="76"/>
        <v>45804</v>
      </c>
      <c r="I489" s="119">
        <f ca="1">HLOOKUP($H$5,'Met Data'!$A$2:$F$368,G489,FALSE)</f>
        <v>10.566666666666601</v>
      </c>
      <c r="J489" s="119">
        <f ca="1">HLOOKUP($H$5,'Met Data'!$H$2:$M$368,G489,FALSE)*L489</f>
        <v>2.7666666666666599</v>
      </c>
      <c r="K489" s="96">
        <f ca="1">HLOOKUP($H$5,'Met Data'!$O$2:$T$368,G489,FALSE)</f>
        <v>1.05508542906727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149</v>
      </c>
      <c r="H490" s="95">
        <f t="shared" ca="1" si="76"/>
        <v>45805</v>
      </c>
      <c r="I490" s="119">
        <f ca="1">HLOOKUP($H$5,'Met Data'!$A$2:$F$368,G490,FALSE)</f>
        <v>10.283333333333299</v>
      </c>
      <c r="J490" s="119">
        <f ca="1">HLOOKUP($H$5,'Met Data'!$H$2:$M$368,G490,FALSE)*L490</f>
        <v>2.7333333333333298</v>
      </c>
      <c r="K490" s="96">
        <f ca="1">HLOOKUP($H$5,'Met Data'!$O$2:$T$368,G490,FALSE)</f>
        <v>0.96273544691676505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150</v>
      </c>
      <c r="H491" s="95">
        <f t="shared" ca="1" si="76"/>
        <v>45806</v>
      </c>
      <c r="I491" s="119">
        <f ca="1">HLOOKUP($H$5,'Met Data'!$A$2:$F$368,G491,FALSE)</f>
        <v>10.8</v>
      </c>
      <c r="J491" s="119">
        <f ca="1">HLOOKUP($H$5,'Met Data'!$H$2:$M$368,G491,FALSE)*L491</f>
        <v>3.2333333333333298</v>
      </c>
      <c r="K491" s="96">
        <f ca="1">HLOOKUP($H$5,'Met Data'!$O$2:$T$368,G491,FALSE)</f>
        <v>1.08816831727148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151</v>
      </c>
      <c r="H492" s="95">
        <f t="shared" ca="1" si="76"/>
        <v>45807</v>
      </c>
      <c r="I492" s="119">
        <f ca="1">HLOOKUP($H$5,'Met Data'!$A$2:$F$368,G492,FALSE)</f>
        <v>9.6624999999999996</v>
      </c>
      <c r="J492" s="119">
        <f ca="1">HLOOKUP($H$5,'Met Data'!$H$2:$M$368,G492,FALSE)*L492</f>
        <v>1.88333333333333</v>
      </c>
      <c r="K492" s="96">
        <f ca="1">HLOOKUP($H$5,'Met Data'!$O$2:$T$368,G492,FALSE)</f>
        <v>1.0187040175234601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152</v>
      </c>
      <c r="H493" s="95">
        <f t="shared" ca="1" si="76"/>
        <v>45808</v>
      </c>
      <c r="I493" s="119">
        <f ca="1">HLOOKUP($H$5,'Met Data'!$A$2:$F$368,G493,FALSE)</f>
        <v>9.7166666666666597</v>
      </c>
      <c r="J493" s="119">
        <f ca="1">HLOOKUP($H$5,'Met Data'!$H$2:$M$368,G493,FALSE)*L493</f>
        <v>4.7</v>
      </c>
      <c r="K493" s="96">
        <f ca="1">HLOOKUP($H$5,'Met Data'!$O$2:$T$368,G493,FALSE)</f>
        <v>1.10197006718848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153</v>
      </c>
      <c r="H494" s="95">
        <f t="shared" ca="1" si="76"/>
        <v>45809</v>
      </c>
      <c r="I494" s="119">
        <f ca="1">HLOOKUP($H$5,'Met Data'!$A$2:$F$368,G494,FALSE)</f>
        <v>10.004166666666601</v>
      </c>
      <c r="J494" s="119">
        <f ca="1">HLOOKUP($H$5,'Met Data'!$H$2:$M$368,G494,FALSE)*L494</f>
        <v>2.5</v>
      </c>
      <c r="K494" s="96">
        <f ca="1">HLOOKUP($H$5,'Met Data'!$O$2:$T$368,G494,FALSE)</f>
        <v>1.1690097853574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ca="1" si="74"/>
        <v>154</v>
      </c>
      <c r="H495" s="95">
        <f t="shared" ca="1" si="76"/>
        <v>45810</v>
      </c>
      <c r="I495" s="119">
        <f ca="1">HLOOKUP($H$5,'Met Data'!$A$2:$F$368,G495,FALSE)</f>
        <v>9.99583333333333</v>
      </c>
      <c r="J495" s="119">
        <f ca="1">HLOOKUP($H$5,'Met Data'!$H$2:$M$368,G495,FALSE)*L495</f>
        <v>2.7833333333333301</v>
      </c>
      <c r="K495" s="96">
        <f ca="1">HLOOKUP($H$5,'Met Data'!$O$2:$T$368,G495,FALSE)</f>
        <v>1.0280895768516001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ca="1" si="74"/>
        <v>155</v>
      </c>
      <c r="H496" s="97">
        <f t="shared" ca="1" si="76"/>
        <v>45811</v>
      </c>
      <c r="I496" s="121">
        <f ca="1">HLOOKUP($H$5,'Met Data'!$A$2:$F$368,G496,FALSE)</f>
        <v>9.8999999999999897</v>
      </c>
      <c r="J496" s="119">
        <f ca="1">HLOOKUP($H$5,'Met Data'!$H$2:$M$368,G496,FALSE)*L496</f>
        <v>1.7833333333333301</v>
      </c>
      <c r="K496" s="98">
        <f ca="1">HLOOKUP($H$5,'Met Data'!$O$2:$T$368,G496,FALSE)</f>
        <v>0.97110296937720297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ca="1" si="80">H497-DATE(YEAR(H497),1,0)+1</f>
        <v>156</v>
      </c>
      <c r="H497" s="97">
        <f t="shared" ca="1" si="76"/>
        <v>45812</v>
      </c>
      <c r="I497" s="121">
        <f ca="1">HLOOKUP($H$5,'Met Data'!$A$2:$F$368,G497,FALSE)</f>
        <v>10.95</v>
      </c>
      <c r="J497" s="119">
        <f ca="1">HLOOKUP($H$5,'Met Data'!$H$2:$M$368,G497,FALSE)*L497</f>
        <v>2.44999999999999</v>
      </c>
      <c r="K497" s="98">
        <f ca="1">HLOOKUP($H$5,'Met Data'!$O$2:$T$368,G497,FALSE)</f>
        <v>0.960770877493487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ca="1" si="80"/>
        <v>157</v>
      </c>
      <c r="H498" s="97">
        <f t="shared" ca="1" si="76"/>
        <v>45813</v>
      </c>
      <c r="I498" s="121">
        <f ca="1">HLOOKUP($H$5,'Met Data'!$A$2:$F$368,G498,FALSE)</f>
        <v>10.6875</v>
      </c>
      <c r="J498" s="119">
        <f ca="1">HLOOKUP($H$5,'Met Data'!$H$2:$M$368,G498,FALSE)*L498</f>
        <v>4.1333333333333302</v>
      </c>
      <c r="K498" s="98">
        <f ca="1">HLOOKUP($H$5,'Met Data'!$O$2:$T$368,G498,FALSE)</f>
        <v>0.84332690198160198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158</v>
      </c>
      <c r="H499" s="97">
        <f t="shared" ca="1" si="76"/>
        <v>45814</v>
      </c>
      <c r="I499" s="121">
        <f ca="1">HLOOKUP($H$5,'Met Data'!$A$2:$F$368,G499,FALSE)</f>
        <v>10.5625</v>
      </c>
      <c r="J499" s="119">
        <f ca="1">HLOOKUP($H$5,'Met Data'!$H$2:$M$368,G499,FALSE)*L499</f>
        <v>5.3</v>
      </c>
      <c r="K499" s="98">
        <f ca="1">HLOOKUP($H$5,'Met Data'!$O$2:$T$368,G499,FALSE)</f>
        <v>0.93242759876210701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159</v>
      </c>
      <c r="H500" s="97">
        <f t="shared" ca="1" si="76"/>
        <v>45815</v>
      </c>
      <c r="I500" s="121">
        <f ca="1">HLOOKUP($H$5,'Met Data'!$A$2:$F$368,G500,FALSE)</f>
        <v>10.4625</v>
      </c>
      <c r="J500" s="119">
        <f ca="1">HLOOKUP($H$5,'Met Data'!$H$2:$M$368,G500,FALSE)*L500</f>
        <v>2.44999999999999</v>
      </c>
      <c r="K500" s="98">
        <f ca="1">HLOOKUP($H$5,'Met Data'!$O$2:$T$368,G500,FALSE)</f>
        <v>0.99912564942381998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160</v>
      </c>
      <c r="H501" s="97">
        <f t="shared" ca="1" si="76"/>
        <v>45816</v>
      </c>
      <c r="I501" s="121">
        <f ca="1">HLOOKUP($H$5,'Met Data'!$A$2:$F$368,G501,FALSE)</f>
        <v>9.5875000000000004</v>
      </c>
      <c r="J501" s="119">
        <f ca="1">HLOOKUP($H$5,'Met Data'!$H$2:$M$368,G501,FALSE)*L501</f>
        <v>1.7333333333333301</v>
      </c>
      <c r="K501" s="98">
        <f ca="1">HLOOKUP($H$5,'Met Data'!$O$2:$T$368,G501,FALSE)</f>
        <v>1.0839051549829499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161</v>
      </c>
      <c r="H502" s="97">
        <f t="shared" ca="1" si="76"/>
        <v>45817</v>
      </c>
      <c r="I502" s="121">
        <f ca="1">HLOOKUP($H$5,'Met Data'!$A$2:$F$368,G502,FALSE)</f>
        <v>9.4875000000000007</v>
      </c>
      <c r="J502" s="119">
        <f ca="1">HLOOKUP($H$5,'Met Data'!$H$2:$M$368,G502,FALSE)*L502</f>
        <v>1.55</v>
      </c>
      <c r="K502" s="98">
        <f ca="1">HLOOKUP($H$5,'Met Data'!$O$2:$T$368,G502,FALSE)</f>
        <v>0.94567596592895498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162</v>
      </c>
      <c r="H503" s="97">
        <f t="shared" ca="1" si="76"/>
        <v>45818</v>
      </c>
      <c r="I503" s="121">
        <f ca="1">HLOOKUP($H$5,'Met Data'!$A$2:$F$368,G503,FALSE)</f>
        <v>10.9</v>
      </c>
      <c r="J503" s="119">
        <f ca="1">HLOOKUP($H$5,'Met Data'!$H$2:$M$368,G503,FALSE)*L503</f>
        <v>4.8363636363636298</v>
      </c>
      <c r="K503" s="98">
        <f ca="1">HLOOKUP($H$5,'Met Data'!$O$2:$T$368,G503,FALSE)</f>
        <v>0.77149259834587403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163</v>
      </c>
      <c r="H504" s="97">
        <f t="shared" ca="1" si="76"/>
        <v>45819</v>
      </c>
      <c r="I504" s="121">
        <f ca="1">HLOOKUP($H$5,'Met Data'!$A$2:$F$368,G504,FALSE)</f>
        <v>10.8954545454545</v>
      </c>
      <c r="J504" s="119">
        <f ca="1">HLOOKUP($H$5,'Met Data'!$H$2:$M$368,G504,FALSE)*L504</f>
        <v>7.1454545454545402</v>
      </c>
      <c r="K504" s="98">
        <f ca="1">HLOOKUP($H$5,'Met Data'!$O$2:$T$368,G504,FALSE)</f>
        <v>0.76887644299908198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164</v>
      </c>
      <c r="H505" s="97">
        <f t="shared" ca="1" si="76"/>
        <v>45820</v>
      </c>
      <c r="I505" s="121">
        <f ca="1">HLOOKUP($H$5,'Met Data'!$A$2:$F$368,G505,FALSE)</f>
        <v>11.8375</v>
      </c>
      <c r="J505" s="119">
        <f ca="1">HLOOKUP($H$5,'Met Data'!$H$2:$M$368,G505,FALSE)*L505</f>
        <v>0.88333333333333297</v>
      </c>
      <c r="K505" s="98">
        <f ca="1">HLOOKUP($H$5,'Met Data'!$O$2:$T$368,G505,FALSE)</f>
        <v>0.886573255907814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165</v>
      </c>
      <c r="H506" s="97">
        <f t="shared" ca="1" si="76"/>
        <v>45821</v>
      </c>
      <c r="I506" s="121">
        <f ca="1">HLOOKUP($H$5,'Met Data'!$A$2:$F$368,G506,FALSE)</f>
        <v>10.4916666666666</v>
      </c>
      <c r="J506" s="119">
        <f ca="1">HLOOKUP($H$5,'Met Data'!$H$2:$M$368,G506,FALSE)*L506</f>
        <v>5.3166666666666602</v>
      </c>
      <c r="K506" s="98">
        <f ca="1">HLOOKUP($H$5,'Met Data'!$O$2:$T$368,G506,FALSE)</f>
        <v>0.75300621765048603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166</v>
      </c>
      <c r="H507" s="97">
        <f t="shared" ca="1" si="76"/>
        <v>45822</v>
      </c>
      <c r="I507" s="121">
        <f ca="1">HLOOKUP($H$5,'Met Data'!$A$2:$F$368,G507,FALSE)</f>
        <v>10.133333333333301</v>
      </c>
      <c r="J507" s="119">
        <f ca="1">HLOOKUP($H$5,'Met Data'!$H$2:$M$368,G507,FALSE)*L507</f>
        <v>1.2</v>
      </c>
      <c r="K507" s="98">
        <f ca="1">HLOOKUP($H$5,'Met Data'!$O$2:$T$368,G507,FALSE)</f>
        <v>1.0949815777606999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167</v>
      </c>
      <c r="H508" s="97">
        <f t="shared" ca="1" si="76"/>
        <v>45823</v>
      </c>
      <c r="I508" s="121">
        <f ca="1">HLOOKUP($H$5,'Met Data'!$A$2:$F$368,G508,FALSE)</f>
        <v>9.0291666666666597</v>
      </c>
      <c r="J508" s="119">
        <f ca="1">HLOOKUP($H$5,'Met Data'!$H$2:$M$368,G508,FALSE)*L508</f>
        <v>2.0499999999999998</v>
      </c>
      <c r="K508" s="98">
        <f ca="1">HLOOKUP($H$5,'Met Data'!$O$2:$T$368,G508,FALSE)</f>
        <v>0.76363291076582096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168</v>
      </c>
      <c r="H509" s="97">
        <f t="shared" ca="1" si="76"/>
        <v>45824</v>
      </c>
      <c r="I509" s="121">
        <f ca="1">HLOOKUP($H$5,'Met Data'!$A$2:$F$368,G509,FALSE)</f>
        <v>10.125</v>
      </c>
      <c r="J509" s="119">
        <f ca="1">HLOOKUP($H$5,'Met Data'!$H$2:$M$368,G509,FALSE)*L509</f>
        <v>2.68333333333333</v>
      </c>
      <c r="K509" s="98">
        <f ca="1">HLOOKUP($H$5,'Met Data'!$O$2:$T$368,G509,FALSE)</f>
        <v>0.84633721178312304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169</v>
      </c>
      <c r="H510" s="97">
        <f t="shared" ca="1" si="76"/>
        <v>45825</v>
      </c>
      <c r="I510" s="121">
        <f ca="1">HLOOKUP($H$5,'Met Data'!$A$2:$F$368,G510,FALSE)</f>
        <v>10.2291666666666</v>
      </c>
      <c r="J510" s="119">
        <f ca="1">HLOOKUP($H$5,'Met Data'!$H$2:$M$368,G510,FALSE)*L510</f>
        <v>2.5333333333333301</v>
      </c>
      <c r="K510" s="98">
        <f ca="1">HLOOKUP($H$5,'Met Data'!$O$2:$T$368,G510,FALSE)</f>
        <v>0.91611783655738799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170</v>
      </c>
      <c r="H511" s="97">
        <f t="shared" ca="1" si="76"/>
        <v>45826</v>
      </c>
      <c r="I511" s="121">
        <f ca="1">HLOOKUP($H$5,'Met Data'!$A$2:$F$368,G511,FALSE)</f>
        <v>10.316666666666601</v>
      </c>
      <c r="J511" s="119">
        <f ca="1">HLOOKUP($H$5,'Met Data'!$H$2:$M$368,G511,FALSE)*L511</f>
        <v>5.5</v>
      </c>
      <c r="K511" s="98">
        <f ca="1">HLOOKUP($H$5,'Met Data'!$O$2:$T$368,G511,FALSE)</f>
        <v>0.749895043982166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171</v>
      </c>
      <c r="H512" s="97">
        <f t="shared" ca="1" si="76"/>
        <v>45827</v>
      </c>
      <c r="I512" s="121">
        <f ca="1">HLOOKUP($H$5,'Met Data'!$A$2:$F$368,G512,FALSE)</f>
        <v>10.6666666666666</v>
      </c>
      <c r="J512" s="119">
        <f ca="1">HLOOKUP($H$5,'Met Data'!$H$2:$M$368,G512,FALSE)*L512</f>
        <v>11.883333333333301</v>
      </c>
      <c r="K512" s="98">
        <f ca="1">HLOOKUP($H$5,'Met Data'!$O$2:$T$368,G512,FALSE)</f>
        <v>0.72031723210574305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172</v>
      </c>
      <c r="H513" s="97">
        <f t="shared" ca="1" si="76"/>
        <v>45828</v>
      </c>
      <c r="I513" s="121">
        <f ca="1">HLOOKUP($H$5,'Met Data'!$A$2:$F$368,G513,FALSE)</f>
        <v>10.6181818181818</v>
      </c>
      <c r="J513" s="119">
        <f ca="1">HLOOKUP($H$5,'Met Data'!$H$2:$M$368,G513,FALSE)*L513</f>
        <v>9.0181818181818105</v>
      </c>
      <c r="K513" s="98">
        <f ca="1">HLOOKUP($H$5,'Met Data'!$O$2:$T$368,G513,FALSE)</f>
        <v>0.829345309973199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173</v>
      </c>
      <c r="H514" s="97">
        <f t="shared" ca="1" si="76"/>
        <v>45829</v>
      </c>
      <c r="I514" s="121">
        <f ca="1">HLOOKUP($H$5,'Met Data'!$A$2:$F$368,G514,FALSE)</f>
        <v>10.0318181818181</v>
      </c>
      <c r="J514" s="119">
        <f ca="1">HLOOKUP($H$5,'Met Data'!$H$2:$M$368,G514,FALSE)*L514</f>
        <v>1.9090909090909001</v>
      </c>
      <c r="K514" s="98">
        <f ca="1">HLOOKUP($H$5,'Met Data'!$O$2:$T$368,G514,FALSE)</f>
        <v>0.90574236110997597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174</v>
      </c>
      <c r="H515" s="97">
        <f t="shared" ca="1" si="76"/>
        <v>45830</v>
      </c>
      <c r="I515" s="121">
        <f ca="1">HLOOKUP($H$5,'Met Data'!$A$2:$F$368,G515,FALSE)</f>
        <v>8.9727272727272709</v>
      </c>
      <c r="J515" s="119">
        <f ca="1">HLOOKUP($H$5,'Met Data'!$H$2:$M$368,G515,FALSE)*L515</f>
        <v>1.9636363636363601</v>
      </c>
      <c r="K515" s="98">
        <f ca="1">HLOOKUP($H$5,'Met Data'!$O$2:$T$368,G515,FALSE)</f>
        <v>0.89904843691310898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175</v>
      </c>
      <c r="H516" s="97">
        <f t="shared" ca="1" si="76"/>
        <v>45831</v>
      </c>
      <c r="I516" s="121">
        <f ca="1">HLOOKUP($H$5,'Met Data'!$A$2:$F$368,G516,FALSE)</f>
        <v>9.0227272727272698</v>
      </c>
      <c r="J516" s="119">
        <f ca="1">HLOOKUP($H$5,'Met Data'!$H$2:$M$368,G516,FALSE)*L516</f>
        <v>3.0181818181818101</v>
      </c>
      <c r="K516" s="98">
        <f ca="1">HLOOKUP($H$5,'Met Data'!$O$2:$T$368,G516,FALSE)</f>
        <v>0.82913615112138495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176</v>
      </c>
      <c r="H517" s="97">
        <f t="shared" ca="1" si="76"/>
        <v>45832</v>
      </c>
      <c r="I517" s="121">
        <f ca="1">HLOOKUP($H$5,'Met Data'!$A$2:$F$368,G517,FALSE)</f>
        <v>10.3590909090909</v>
      </c>
      <c r="J517" s="119">
        <f ca="1">HLOOKUP($H$5,'Met Data'!$H$2:$M$368,G517,FALSE)*L517</f>
        <v>3.7454545454545398</v>
      </c>
      <c r="K517" s="98">
        <f ca="1">HLOOKUP($H$5,'Met Data'!$O$2:$T$368,G517,FALSE)</f>
        <v>0.88746237543267503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177</v>
      </c>
      <c r="H518" s="97">
        <f t="shared" ca="1" si="76"/>
        <v>45833</v>
      </c>
      <c r="I518" s="121">
        <f ca="1">HLOOKUP($H$5,'Met Data'!$A$2:$F$368,G518,FALSE)</f>
        <v>9.5090909090909097</v>
      </c>
      <c r="J518" s="119">
        <f ca="1">HLOOKUP($H$5,'Met Data'!$H$2:$M$368,G518,FALSE)*L518</f>
        <v>3.1090909090909</v>
      </c>
      <c r="K518" s="98">
        <f ca="1">HLOOKUP($H$5,'Met Data'!$O$2:$T$368,G518,FALSE)</f>
        <v>0.97866599470650895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178</v>
      </c>
      <c r="H519" s="97">
        <f t="shared" ca="1" si="76"/>
        <v>45834</v>
      </c>
      <c r="I519" s="121">
        <f ca="1">HLOOKUP($H$5,'Met Data'!$A$2:$F$368,G519,FALSE)</f>
        <v>9.1272727272727199</v>
      </c>
      <c r="J519" s="119">
        <f ca="1">HLOOKUP($H$5,'Met Data'!$H$2:$M$368,G519,FALSE)*L519</f>
        <v>1.25454545454545</v>
      </c>
      <c r="K519" s="98">
        <f ca="1">HLOOKUP($H$5,'Met Data'!$O$2:$T$368,G519,FALSE)</f>
        <v>1.0040569739087299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179</v>
      </c>
      <c r="H520" s="97">
        <f t="shared" ca="1" si="76"/>
        <v>45835</v>
      </c>
      <c r="I520" s="121">
        <f ca="1">HLOOKUP($H$5,'Met Data'!$A$2:$F$368,G520,FALSE)</f>
        <v>8.7727272727272698</v>
      </c>
      <c r="J520" s="119">
        <f ca="1">HLOOKUP($H$5,'Met Data'!$H$2:$M$368,G520,FALSE)*L520</f>
        <v>2.9818181818181801</v>
      </c>
      <c r="K520" s="98">
        <f ca="1">HLOOKUP($H$5,'Met Data'!$O$2:$T$368,G520,FALSE)</f>
        <v>0.89055521132494797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180</v>
      </c>
      <c r="H521" s="97">
        <f t="shared" ref="H521:H584" ca="1" si="89">H520+1</f>
        <v>45836</v>
      </c>
      <c r="I521" s="121">
        <f ca="1">HLOOKUP($H$5,'Met Data'!$A$2:$F$368,G521,FALSE)</f>
        <v>8.8363636363636306</v>
      </c>
      <c r="J521" s="119">
        <f ca="1">HLOOKUP($H$5,'Met Data'!$H$2:$M$368,G521,FALSE)*L521</f>
        <v>0.90909090909090895</v>
      </c>
      <c r="K521" s="98">
        <f ca="1">HLOOKUP($H$5,'Met Data'!$O$2:$T$368,G521,FALSE)</f>
        <v>0.949335994975394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181</v>
      </c>
      <c r="H522" s="97">
        <f t="shared" ca="1" si="89"/>
        <v>45837</v>
      </c>
      <c r="I522" s="121">
        <f ca="1">HLOOKUP($H$5,'Met Data'!$A$2:$F$368,G522,FALSE)</f>
        <v>8.7136363636363594</v>
      </c>
      <c r="J522" s="119">
        <f ca="1">HLOOKUP($H$5,'Met Data'!$H$2:$M$368,G522,FALSE)*L522</f>
        <v>1.7833333333333301</v>
      </c>
      <c r="K522" s="98">
        <f ca="1">HLOOKUP($H$5,'Met Data'!$O$2:$T$368,G522,FALSE)</f>
        <v>0.92539172734817898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182</v>
      </c>
      <c r="H523" s="97">
        <f t="shared" ca="1" si="89"/>
        <v>45838</v>
      </c>
      <c r="I523" s="121">
        <f ca="1">HLOOKUP($H$5,'Met Data'!$A$2:$F$368,G523,FALSE)</f>
        <v>8.5291666666666597</v>
      </c>
      <c r="J523" s="119">
        <f ca="1">HLOOKUP($H$5,'Met Data'!$H$2:$M$368,G523,FALSE)*L523</f>
        <v>2.5833333333333299</v>
      </c>
      <c r="K523" s="98">
        <f ca="1">HLOOKUP($H$5,'Met Data'!$O$2:$T$368,G523,FALSE)</f>
        <v>0.82623977006466498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183</v>
      </c>
      <c r="H524" s="97">
        <f t="shared" ca="1" si="89"/>
        <v>45839</v>
      </c>
      <c r="I524" s="121">
        <f ca="1">HLOOKUP($H$5,'Met Data'!$A$2:$F$368,G524,FALSE)</f>
        <v>8.8208333333333293</v>
      </c>
      <c r="J524" s="119">
        <f ca="1">HLOOKUP($H$5,'Met Data'!$H$2:$M$368,G524,FALSE)*L524</f>
        <v>2.1333333333333302</v>
      </c>
      <c r="K524" s="98">
        <f ca="1">HLOOKUP($H$5,'Met Data'!$O$2:$T$368,G524,FALSE)</f>
        <v>0.80690048817841498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184</v>
      </c>
      <c r="H525" s="97">
        <f t="shared" ca="1" si="89"/>
        <v>45840</v>
      </c>
      <c r="I525" s="121">
        <f ca="1">HLOOKUP($H$5,'Met Data'!$A$2:$F$368,G525,FALSE)</f>
        <v>8.2249999999999996</v>
      </c>
      <c r="J525" s="119">
        <f ca="1">HLOOKUP($H$5,'Met Data'!$H$2:$M$368,G525,FALSE)*L525</f>
        <v>0.83333333333333304</v>
      </c>
      <c r="K525" s="98">
        <f ca="1">HLOOKUP($H$5,'Met Data'!$O$2:$T$368,G525,FALSE)</f>
        <v>1.0149186441071101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185</v>
      </c>
      <c r="H526" s="97">
        <f t="shared" ca="1" si="89"/>
        <v>45841</v>
      </c>
      <c r="I526" s="121">
        <f ca="1">HLOOKUP($H$5,'Met Data'!$A$2:$F$368,G526,FALSE)</f>
        <v>8.8333333333333304</v>
      </c>
      <c r="J526" s="119">
        <f ca="1">HLOOKUP($H$5,'Met Data'!$H$2:$M$368,G526,FALSE)*L526</f>
        <v>3.5666666666666602</v>
      </c>
      <c r="K526" s="98">
        <f ca="1">HLOOKUP($H$5,'Met Data'!$O$2:$T$368,G526,FALSE)</f>
        <v>0.89125379504041602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186</v>
      </c>
      <c r="H527" s="97">
        <f t="shared" ca="1" si="89"/>
        <v>45842</v>
      </c>
      <c r="I527" s="121">
        <f ca="1">HLOOKUP($H$5,'Met Data'!$A$2:$F$368,G527,FALSE)</f>
        <v>8.6</v>
      </c>
      <c r="J527" s="119">
        <f ca="1">HLOOKUP($H$5,'Met Data'!$H$2:$M$368,G527,FALSE)*L527</f>
        <v>0.73333333333333295</v>
      </c>
      <c r="K527" s="98">
        <f ca="1">HLOOKUP($H$5,'Met Data'!$O$2:$T$368,G527,FALSE)</f>
        <v>0.87224086772784204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187</v>
      </c>
      <c r="H528" s="97">
        <f t="shared" ca="1" si="89"/>
        <v>45843</v>
      </c>
      <c r="I528" s="121">
        <f ca="1">HLOOKUP($H$5,'Met Data'!$A$2:$F$368,G528,FALSE)</f>
        <v>9.4</v>
      </c>
      <c r="J528" s="119">
        <f ca="1">HLOOKUP($H$5,'Met Data'!$H$2:$M$368,G528,FALSE)*L528</f>
        <v>9.9999999999999895E-2</v>
      </c>
      <c r="K528" s="98">
        <f ca="1">HLOOKUP($H$5,'Met Data'!$O$2:$T$368,G528,FALSE)</f>
        <v>0.96939333533810901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188</v>
      </c>
      <c r="H529" s="97">
        <f t="shared" ca="1" si="89"/>
        <v>45844</v>
      </c>
      <c r="I529" s="121">
        <f ca="1">HLOOKUP($H$5,'Met Data'!$A$2:$F$368,G529,FALSE)</f>
        <v>9.12083333333333</v>
      </c>
      <c r="J529" s="119">
        <f ca="1">HLOOKUP($H$5,'Met Data'!$H$2:$M$368,G529,FALSE)*L529</f>
        <v>2.18333333333333</v>
      </c>
      <c r="K529" s="98">
        <f ca="1">HLOOKUP($H$5,'Met Data'!$O$2:$T$368,G529,FALSE)</f>
        <v>0.851628840058262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189</v>
      </c>
      <c r="H530" s="97">
        <f t="shared" ca="1" si="89"/>
        <v>45845</v>
      </c>
      <c r="I530" s="121">
        <f ca="1">HLOOKUP($H$5,'Met Data'!$A$2:$F$368,G530,FALSE)</f>
        <v>9.6583333333333297</v>
      </c>
      <c r="J530" s="119">
        <f ca="1">HLOOKUP($H$5,'Met Data'!$H$2:$M$368,G530,FALSE)*L530</f>
        <v>4.5666666666666602</v>
      </c>
      <c r="K530" s="98">
        <f ca="1">HLOOKUP($H$5,'Met Data'!$O$2:$T$368,G530,FALSE)</f>
        <v>0.80851868655974801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190</v>
      </c>
      <c r="H531" s="97">
        <f t="shared" ca="1" si="89"/>
        <v>45846</v>
      </c>
      <c r="I531" s="121">
        <f ca="1">HLOOKUP($H$5,'Met Data'!$A$2:$F$368,G531,FALSE)</f>
        <v>8.5291666666666597</v>
      </c>
      <c r="J531" s="119">
        <f ca="1">HLOOKUP($H$5,'Met Data'!$H$2:$M$368,G531,FALSE)*L531</f>
        <v>3.7833333333333301</v>
      </c>
      <c r="K531" s="98">
        <f ca="1">HLOOKUP($H$5,'Met Data'!$O$2:$T$368,G531,FALSE)</f>
        <v>1.09493770994468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191</v>
      </c>
      <c r="H532" s="97">
        <f t="shared" ca="1" si="89"/>
        <v>45847</v>
      </c>
      <c r="I532" s="121">
        <f ca="1">HLOOKUP($H$5,'Met Data'!$A$2:$F$368,G532,FALSE)</f>
        <v>8.1583333333333297</v>
      </c>
      <c r="J532" s="119">
        <f ca="1">HLOOKUP($H$5,'Met Data'!$H$2:$M$368,G532,FALSE)*L532</f>
        <v>4.18333333333333</v>
      </c>
      <c r="K532" s="98">
        <f ca="1">HLOOKUP($H$5,'Met Data'!$O$2:$T$368,G532,FALSE)</f>
        <v>0.89025740200721304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192</v>
      </c>
      <c r="H533" s="97">
        <f t="shared" ca="1" si="89"/>
        <v>45848</v>
      </c>
      <c r="I533" s="121">
        <f ca="1">HLOOKUP($H$5,'Met Data'!$A$2:$F$368,G533,FALSE)</f>
        <v>8.24166666666666</v>
      </c>
      <c r="J533" s="119">
        <f ca="1">HLOOKUP($H$5,'Met Data'!$H$2:$M$368,G533,FALSE)*L533</f>
        <v>2.2666666666666599</v>
      </c>
      <c r="K533" s="98">
        <f ca="1">HLOOKUP($H$5,'Met Data'!$O$2:$T$368,G533,FALSE)</f>
        <v>1.06467045295546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193</v>
      </c>
      <c r="H534" s="97">
        <f t="shared" ca="1" si="89"/>
        <v>45849</v>
      </c>
      <c r="I534" s="121">
        <f ca="1">HLOOKUP($H$5,'Met Data'!$A$2:$F$368,G534,FALSE)</f>
        <v>8.0333333333333297</v>
      </c>
      <c r="J534" s="119">
        <f ca="1">HLOOKUP($H$5,'Met Data'!$H$2:$M$368,G534,FALSE)*L534</f>
        <v>4.6500000000000004</v>
      </c>
      <c r="K534" s="98">
        <f ca="1">HLOOKUP($H$5,'Met Data'!$O$2:$T$368,G534,FALSE)</f>
        <v>1.03430816091664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194</v>
      </c>
      <c r="H535" s="97">
        <f t="shared" ca="1" si="89"/>
        <v>45850</v>
      </c>
      <c r="I535" s="121">
        <f ca="1">HLOOKUP($H$5,'Met Data'!$A$2:$F$368,G535,FALSE)</f>
        <v>8.37083333333333</v>
      </c>
      <c r="J535" s="119">
        <f ca="1">HLOOKUP($H$5,'Met Data'!$H$2:$M$368,G535,FALSE)*L535</f>
        <v>1.61666666666666</v>
      </c>
      <c r="K535" s="98">
        <f ca="1">HLOOKUP($H$5,'Met Data'!$O$2:$T$368,G535,FALSE)</f>
        <v>1.0039262064680501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195</v>
      </c>
      <c r="H536" s="97">
        <f t="shared" ca="1" si="89"/>
        <v>45851</v>
      </c>
      <c r="I536" s="121">
        <f ca="1">HLOOKUP($H$5,'Met Data'!$A$2:$F$368,G536,FALSE)</f>
        <v>8.0916666666666597</v>
      </c>
      <c r="J536" s="119">
        <f ca="1">HLOOKUP($H$5,'Met Data'!$H$2:$M$368,G536,FALSE)*L536</f>
        <v>5.0666666666666602</v>
      </c>
      <c r="K536" s="98">
        <f ca="1">HLOOKUP($H$5,'Met Data'!$O$2:$T$368,G536,FALSE)</f>
        <v>0.87492032925951801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196</v>
      </c>
      <c r="H537" s="97">
        <f t="shared" ca="1" si="89"/>
        <v>45852</v>
      </c>
      <c r="I537" s="121">
        <f ca="1">HLOOKUP($H$5,'Met Data'!$A$2:$F$368,G537,FALSE)</f>
        <v>7.9156250000000004</v>
      </c>
      <c r="J537" s="119">
        <f ca="1">HLOOKUP($H$5,'Met Data'!$H$2:$M$368,G537,FALSE)*L537</f>
        <v>4.1666666666666599</v>
      </c>
      <c r="K537" s="98">
        <f ca="1">HLOOKUP($H$5,'Met Data'!$O$2:$T$368,G537,FALSE)</f>
        <v>0.80250527716076203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197</v>
      </c>
      <c r="H538" s="97">
        <f t="shared" ca="1" si="89"/>
        <v>45853</v>
      </c>
      <c r="I538" s="121">
        <f ca="1">HLOOKUP($H$5,'Met Data'!$A$2:$F$368,G538,FALSE)</f>
        <v>8.8590909090909093</v>
      </c>
      <c r="J538" s="119">
        <f ca="1">HLOOKUP($H$5,'Met Data'!$H$2:$M$368,G538,FALSE)*L538</f>
        <v>2.0666666666666602</v>
      </c>
      <c r="K538" s="98">
        <f ca="1">HLOOKUP($H$5,'Met Data'!$O$2:$T$368,G538,FALSE)</f>
        <v>0.97822362204517799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198</v>
      </c>
      <c r="H539" s="97">
        <f t="shared" ca="1" si="89"/>
        <v>45854</v>
      </c>
      <c r="I539" s="121">
        <f ca="1">HLOOKUP($H$5,'Met Data'!$A$2:$F$368,G539,FALSE)</f>
        <v>8.8590909090909093</v>
      </c>
      <c r="J539" s="119">
        <f ca="1">HLOOKUP($H$5,'Met Data'!$H$2:$M$368,G539,FALSE)*L539</f>
        <v>6.0666666666666602</v>
      </c>
      <c r="K539" s="98">
        <f ca="1">HLOOKUP($H$5,'Met Data'!$O$2:$T$368,G539,FALSE)</f>
        <v>0.78802331007485205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199</v>
      </c>
      <c r="H540" s="97">
        <f t="shared" ca="1" si="89"/>
        <v>45855</v>
      </c>
      <c r="I540" s="121">
        <f ca="1">HLOOKUP($H$5,'Met Data'!$A$2:$F$368,G540,FALSE)</f>
        <v>9.5909090909090899</v>
      </c>
      <c r="J540" s="119">
        <f ca="1">HLOOKUP($H$5,'Met Data'!$H$2:$M$368,G540,FALSE)*L540</f>
        <v>4.5999999999999996</v>
      </c>
      <c r="K540" s="98">
        <f ca="1">HLOOKUP($H$5,'Met Data'!$O$2:$T$368,G540,FALSE)</f>
        <v>0.944748845250029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200</v>
      </c>
      <c r="H541" s="97">
        <f t="shared" ca="1" si="89"/>
        <v>45856</v>
      </c>
      <c r="I541" s="121">
        <f ca="1">HLOOKUP($H$5,'Met Data'!$A$2:$F$368,G541,FALSE)</f>
        <v>8.8450000000000006</v>
      </c>
      <c r="J541" s="119">
        <f ca="1">HLOOKUP($H$5,'Met Data'!$H$2:$M$368,G541,FALSE)*L541</f>
        <v>1.1000000000000001</v>
      </c>
      <c r="K541" s="98">
        <f ca="1">HLOOKUP($H$5,'Met Data'!$O$2:$T$368,G541,FALSE)</f>
        <v>1.0240187106181899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201</v>
      </c>
      <c r="H542" s="97">
        <f t="shared" ca="1" si="89"/>
        <v>45857</v>
      </c>
      <c r="I542" s="121">
        <f ca="1">HLOOKUP($H$5,'Met Data'!$A$2:$F$368,G542,FALSE)</f>
        <v>8.99166666666666</v>
      </c>
      <c r="J542" s="119">
        <f ca="1">HLOOKUP($H$5,'Met Data'!$H$2:$M$368,G542,FALSE)*L542</f>
        <v>1.3499999999999901</v>
      </c>
      <c r="K542" s="98">
        <f ca="1">HLOOKUP($H$5,'Met Data'!$O$2:$T$368,G542,FALSE)</f>
        <v>1.16174529470798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202</v>
      </c>
      <c r="H543" s="97">
        <f t="shared" ca="1" si="89"/>
        <v>45858</v>
      </c>
      <c r="I543" s="121">
        <f ca="1">HLOOKUP($H$5,'Met Data'!$A$2:$F$368,G543,FALSE)</f>
        <v>9.5</v>
      </c>
      <c r="J543" s="119">
        <f ca="1">HLOOKUP($H$5,'Met Data'!$H$2:$M$368,G543,FALSE)*L543</f>
        <v>2.75</v>
      </c>
      <c r="K543" s="98">
        <f ca="1">HLOOKUP($H$5,'Met Data'!$O$2:$T$368,G543,FALSE)</f>
        <v>0.94669865516537999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203</v>
      </c>
      <c r="H544" s="97">
        <f t="shared" ca="1" si="89"/>
        <v>45859</v>
      </c>
      <c r="I544" s="121">
        <f ca="1">HLOOKUP($H$5,'Met Data'!$A$2:$F$368,G544,FALSE)</f>
        <v>9.8333333333333304</v>
      </c>
      <c r="J544" s="119">
        <f ca="1">HLOOKUP($H$5,'Met Data'!$H$2:$M$368,G544,FALSE)*L544</f>
        <v>3.6333333333333302</v>
      </c>
      <c r="K544" s="98">
        <f ca="1">HLOOKUP($H$5,'Met Data'!$O$2:$T$368,G544,FALSE)</f>
        <v>1.0815395194790001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204</v>
      </c>
      <c r="H545" s="97">
        <f t="shared" ca="1" si="89"/>
        <v>45860</v>
      </c>
      <c r="I545" s="121">
        <f ca="1">HLOOKUP($H$5,'Met Data'!$A$2:$F$368,G545,FALSE)</f>
        <v>10.029166666666599</v>
      </c>
      <c r="J545" s="119">
        <f ca="1">HLOOKUP($H$5,'Met Data'!$H$2:$M$368,G545,FALSE)*L545</f>
        <v>4.68333333333333</v>
      </c>
      <c r="K545" s="98">
        <f ca="1">HLOOKUP($H$5,'Met Data'!$O$2:$T$368,G545,FALSE)</f>
        <v>1.0771273773513399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205</v>
      </c>
      <c r="H546" s="97">
        <f t="shared" ca="1" si="89"/>
        <v>45861</v>
      </c>
      <c r="I546" s="121">
        <f ca="1">HLOOKUP($H$5,'Met Data'!$A$2:$F$368,G546,FALSE)</f>
        <v>9.4250000000000007</v>
      </c>
      <c r="J546" s="119">
        <f ca="1">HLOOKUP($H$5,'Met Data'!$H$2:$M$368,G546,FALSE)*L546</f>
        <v>5.2666666666666604</v>
      </c>
      <c r="K546" s="98">
        <f ca="1">HLOOKUP($H$5,'Met Data'!$O$2:$T$368,G546,FALSE)</f>
        <v>0.87955885998233896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206</v>
      </c>
      <c r="H547" s="97">
        <f t="shared" ca="1" si="89"/>
        <v>45862</v>
      </c>
      <c r="I547" s="121">
        <f ca="1">HLOOKUP($H$5,'Met Data'!$A$2:$F$368,G547,FALSE)</f>
        <v>9.4</v>
      </c>
      <c r="J547" s="119">
        <f ca="1">HLOOKUP($H$5,'Met Data'!$H$2:$M$368,G547,FALSE)*L547</f>
        <v>2.0499999999999998</v>
      </c>
      <c r="K547" s="98">
        <f ca="1">HLOOKUP($H$5,'Met Data'!$O$2:$T$368,G547,FALSE)</f>
        <v>0.953998897248024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207</v>
      </c>
      <c r="H548" s="97">
        <f t="shared" ca="1" si="89"/>
        <v>45863</v>
      </c>
      <c r="I548" s="121">
        <f ca="1">HLOOKUP($H$5,'Met Data'!$A$2:$F$368,G548,FALSE)</f>
        <v>8.92916666666666</v>
      </c>
      <c r="J548" s="119">
        <f ca="1">HLOOKUP($H$5,'Met Data'!$H$2:$M$368,G548,FALSE)*L548</f>
        <v>1.1499999999999999</v>
      </c>
      <c r="K548" s="98">
        <f ca="1">HLOOKUP($H$5,'Met Data'!$O$2:$T$368,G548,FALSE)</f>
        <v>1.2467505566806001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208</v>
      </c>
      <c r="H549" s="97">
        <f t="shared" ca="1" si="89"/>
        <v>45864</v>
      </c>
      <c r="I549" s="121">
        <f ca="1">HLOOKUP($H$5,'Met Data'!$A$2:$F$368,G549,FALSE)</f>
        <v>8.7624999999999993</v>
      </c>
      <c r="J549" s="119">
        <f ca="1">HLOOKUP($H$5,'Met Data'!$H$2:$M$368,G549,FALSE)*L549</f>
        <v>0.45</v>
      </c>
      <c r="K549" s="98">
        <f ca="1">HLOOKUP($H$5,'Met Data'!$O$2:$T$368,G549,FALSE)</f>
        <v>1.3150067848265401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209</v>
      </c>
      <c r="H550" s="97">
        <f t="shared" ca="1" si="89"/>
        <v>45865</v>
      </c>
      <c r="I550" s="121">
        <f ca="1">HLOOKUP($H$5,'Met Data'!$A$2:$F$368,G550,FALSE)</f>
        <v>9.3333333333333304</v>
      </c>
      <c r="J550" s="119">
        <f ca="1">HLOOKUP($H$5,'Met Data'!$H$2:$M$368,G550,FALSE)*L550</f>
        <v>2.0166666666666599</v>
      </c>
      <c r="K550" s="98">
        <f ca="1">HLOOKUP($H$5,'Met Data'!$O$2:$T$368,G550,FALSE)</f>
        <v>1.11956275252086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210</v>
      </c>
      <c r="H551" s="97">
        <f t="shared" ca="1" si="89"/>
        <v>45866</v>
      </c>
      <c r="I551" s="121">
        <f ca="1">HLOOKUP($H$5,'Met Data'!$A$2:$F$368,G551,FALSE)</f>
        <v>8.9875000000000007</v>
      </c>
      <c r="J551" s="119">
        <f ca="1">HLOOKUP($H$5,'Met Data'!$H$2:$M$368,G551,FALSE)*L551</f>
        <v>1.2666666666666599</v>
      </c>
      <c r="K551" s="98">
        <f ca="1">HLOOKUP($H$5,'Met Data'!$O$2:$T$368,G551,FALSE)</f>
        <v>1.28515382274214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211</v>
      </c>
      <c r="H552" s="97">
        <f t="shared" ca="1" si="89"/>
        <v>45867</v>
      </c>
      <c r="I552" s="121">
        <f ca="1">HLOOKUP($H$5,'Met Data'!$A$2:$F$368,G552,FALSE)</f>
        <v>9.0374999999999996</v>
      </c>
      <c r="J552" s="119">
        <f ca="1">HLOOKUP($H$5,'Met Data'!$H$2:$M$368,G552,FALSE)*L552</f>
        <v>2.7999999999999901</v>
      </c>
      <c r="K552" s="98">
        <f ca="1">HLOOKUP($H$5,'Met Data'!$O$2:$T$368,G552,FALSE)</f>
        <v>1.1959337492079301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212</v>
      </c>
      <c r="H553" s="97">
        <f t="shared" ca="1" si="89"/>
        <v>45868</v>
      </c>
      <c r="I553" s="121">
        <f ca="1">HLOOKUP($H$5,'Met Data'!$A$2:$F$368,G553,FALSE)</f>
        <v>8.17916666666666</v>
      </c>
      <c r="J553" s="119">
        <f ca="1">HLOOKUP($H$5,'Met Data'!$H$2:$M$368,G553,FALSE)*L553</f>
        <v>1.55</v>
      </c>
      <c r="K553" s="98">
        <f ca="1">HLOOKUP($H$5,'Met Data'!$O$2:$T$368,G553,FALSE)</f>
        <v>1.3658842309244701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213</v>
      </c>
      <c r="H554" s="97">
        <f t="shared" ca="1" si="89"/>
        <v>45869</v>
      </c>
      <c r="I554" s="121">
        <f ca="1">HLOOKUP($H$5,'Met Data'!$A$2:$F$368,G554,FALSE)</f>
        <v>8.75</v>
      </c>
      <c r="J554" s="119">
        <f ca="1">HLOOKUP($H$5,'Met Data'!$H$2:$M$368,G554,FALSE)*L554</f>
        <v>2.44999999999999</v>
      </c>
      <c r="K554" s="98">
        <f ca="1">HLOOKUP($H$5,'Met Data'!$O$2:$T$368,G554,FALSE)</f>
        <v>0.89818915942500899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214</v>
      </c>
      <c r="H555" s="97">
        <f t="shared" ca="1" si="89"/>
        <v>45870</v>
      </c>
      <c r="I555" s="121">
        <f ca="1">HLOOKUP($H$5,'Met Data'!$A$2:$F$368,G555,FALSE)</f>
        <v>10.3375</v>
      </c>
      <c r="J555" s="119">
        <f ca="1">HLOOKUP($H$5,'Met Data'!$H$2:$M$368,G555,FALSE)*L555</f>
        <v>5.2666666666666604</v>
      </c>
      <c r="K555" s="98">
        <f ca="1">HLOOKUP($H$5,'Met Data'!$O$2:$T$368,G555,FALSE)</f>
        <v>0.94454335980482496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215</v>
      </c>
      <c r="H556" s="97">
        <f t="shared" ca="1" si="89"/>
        <v>45871</v>
      </c>
      <c r="I556" s="121">
        <f ca="1">HLOOKUP($H$5,'Met Data'!$A$2:$F$368,G556,FALSE)</f>
        <v>10.595454545454499</v>
      </c>
      <c r="J556" s="119">
        <f ca="1">HLOOKUP($H$5,'Met Data'!$H$2:$M$368,G556,FALSE)*L556</f>
        <v>4.4166666666666599</v>
      </c>
      <c r="K556" s="98">
        <f ca="1">HLOOKUP($H$5,'Met Data'!$O$2:$T$368,G556,FALSE)</f>
        <v>1.0832642567801201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216</v>
      </c>
      <c r="H557" s="97">
        <f t="shared" ca="1" si="89"/>
        <v>45872</v>
      </c>
      <c r="I557" s="121">
        <f ca="1">HLOOKUP($H$5,'Met Data'!$A$2:$F$368,G557,FALSE)</f>
        <v>10.1041666666666</v>
      </c>
      <c r="J557" s="119">
        <f ca="1">HLOOKUP($H$5,'Met Data'!$H$2:$M$368,G557,FALSE)*L557</f>
        <v>2.0833333333333299</v>
      </c>
      <c r="K557" s="98">
        <f ca="1">HLOOKUP($H$5,'Met Data'!$O$2:$T$368,G557,FALSE)</f>
        <v>1.39183263100002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217</v>
      </c>
      <c r="H558" s="97">
        <f t="shared" ca="1" si="89"/>
        <v>45873</v>
      </c>
      <c r="I558" s="121">
        <f ca="1">HLOOKUP($H$5,'Met Data'!$A$2:$F$368,G558,FALSE)</f>
        <v>10.1833333333333</v>
      </c>
      <c r="J558" s="119">
        <f ca="1">HLOOKUP($H$5,'Met Data'!$H$2:$M$368,G558,FALSE)*L558</f>
        <v>5.9833333333333298</v>
      </c>
      <c r="K558" s="98">
        <f ca="1">HLOOKUP($H$5,'Met Data'!$O$2:$T$368,G558,FALSE)</f>
        <v>1.0301492818772899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218</v>
      </c>
      <c r="H559" s="97">
        <f t="shared" ca="1" si="89"/>
        <v>45874</v>
      </c>
      <c r="I559" s="121">
        <f ca="1">HLOOKUP($H$5,'Met Data'!$A$2:$F$368,G559,FALSE)</f>
        <v>9.7708333333333304</v>
      </c>
      <c r="J559" s="119">
        <f ca="1">HLOOKUP($H$5,'Met Data'!$H$2:$M$368,G559,FALSE)*L559</f>
        <v>2.9833333333333298</v>
      </c>
      <c r="K559" s="98">
        <f ca="1">HLOOKUP($H$5,'Met Data'!$O$2:$T$368,G559,FALSE)</f>
        <v>1.3432284560273799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ca="1" si="80"/>
        <v>219</v>
      </c>
      <c r="H560" s="97">
        <f t="shared" ca="1" si="89"/>
        <v>45875</v>
      </c>
      <c r="I560" s="121">
        <f ca="1">HLOOKUP($H$5,'Met Data'!$A$2:$F$368,G560,FALSE)</f>
        <v>9.8791666666666593</v>
      </c>
      <c r="J560" s="119">
        <f ca="1">HLOOKUP($H$5,'Met Data'!$H$2:$M$368,G560,FALSE)*L560</f>
        <v>4.4833333333333298</v>
      </c>
      <c r="K560" s="98">
        <f ca="1">HLOOKUP($H$5,'Met Data'!$O$2:$T$368,G560,FALSE)</f>
        <v>1.0259838566514501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ca="1" si="90">H561-DATE(YEAR(H561),1,0)+1</f>
        <v>220</v>
      </c>
      <c r="H561" s="97">
        <f t="shared" ca="1" si="89"/>
        <v>45876</v>
      </c>
      <c r="I561" s="121">
        <f ca="1">HLOOKUP($H$5,'Met Data'!$A$2:$F$368,G561,FALSE)</f>
        <v>9.9874999999999901</v>
      </c>
      <c r="J561" s="119">
        <f ca="1">HLOOKUP($H$5,'Met Data'!$H$2:$M$368,G561,FALSE)*L561</f>
        <v>2.2000000000000002</v>
      </c>
      <c r="K561" s="98">
        <f ca="1">HLOOKUP($H$5,'Met Data'!$O$2:$T$368,G561,FALSE)</f>
        <v>1.1029484647982599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ca="1" si="90"/>
        <v>221</v>
      </c>
      <c r="H562" s="97">
        <f t="shared" ca="1" si="89"/>
        <v>45877</v>
      </c>
      <c r="I562" s="121">
        <f ca="1">HLOOKUP($H$5,'Met Data'!$A$2:$F$368,G562,FALSE)</f>
        <v>9.4625000000000004</v>
      </c>
      <c r="J562" s="119">
        <f ca="1">HLOOKUP($H$5,'Met Data'!$H$2:$M$368,G562,FALSE)*L562</f>
        <v>3.61666666666666</v>
      </c>
      <c r="K562" s="98">
        <f ca="1">HLOOKUP($H$5,'Met Data'!$O$2:$T$368,G562,FALSE)</f>
        <v>1.10790183862933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222</v>
      </c>
      <c r="H563" s="97">
        <f t="shared" ca="1" si="89"/>
        <v>45878</v>
      </c>
      <c r="I563" s="121">
        <f ca="1">HLOOKUP($H$5,'Met Data'!$A$2:$F$368,G563,FALSE)</f>
        <v>8.42916666666666</v>
      </c>
      <c r="J563" s="119">
        <f ca="1">HLOOKUP($H$5,'Met Data'!$H$2:$M$368,G563,FALSE)*L563</f>
        <v>3.4</v>
      </c>
      <c r="K563" s="98">
        <f ca="1">HLOOKUP($H$5,'Met Data'!$O$2:$T$368,G563,FALSE)</f>
        <v>1.32402542664303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223</v>
      </c>
      <c r="H564" s="97">
        <f t="shared" ca="1" si="89"/>
        <v>45879</v>
      </c>
      <c r="I564" s="121">
        <f ca="1">HLOOKUP($H$5,'Met Data'!$A$2:$F$368,G564,FALSE)</f>
        <v>7.8416666666666597</v>
      </c>
      <c r="J564" s="119">
        <f ca="1">HLOOKUP($H$5,'Met Data'!$H$2:$M$368,G564,FALSE)*L564</f>
        <v>1.38333333333333</v>
      </c>
      <c r="K564" s="98">
        <f ca="1">HLOOKUP($H$5,'Met Data'!$O$2:$T$368,G564,FALSE)</f>
        <v>1.2882274194230801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224</v>
      </c>
      <c r="H565" s="97">
        <f t="shared" ca="1" si="89"/>
        <v>45880</v>
      </c>
      <c r="I565" s="121">
        <f ca="1">HLOOKUP($H$5,'Met Data'!$A$2:$F$368,G565,FALSE)</f>
        <v>8.7916666666666607</v>
      </c>
      <c r="J565" s="119">
        <f ca="1">HLOOKUP($H$5,'Met Data'!$H$2:$M$368,G565,FALSE)*L565</f>
        <v>4.7</v>
      </c>
      <c r="K565" s="98">
        <f ca="1">HLOOKUP($H$5,'Met Data'!$O$2:$T$368,G565,FALSE)</f>
        <v>1.2700812995642401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225</v>
      </c>
      <c r="H566" s="97">
        <f t="shared" ca="1" si="89"/>
        <v>45881</v>
      </c>
      <c r="I566" s="121">
        <f ca="1">HLOOKUP($H$5,'Met Data'!$A$2:$F$368,G566,FALSE)</f>
        <v>9.2041666666666604</v>
      </c>
      <c r="J566" s="119">
        <f ca="1">HLOOKUP($H$5,'Met Data'!$H$2:$M$368,G566,FALSE)*L566</f>
        <v>4.9666666666666597</v>
      </c>
      <c r="K566" s="98">
        <f ca="1">HLOOKUP($H$5,'Met Data'!$O$2:$T$368,G566,FALSE)</f>
        <v>1.216678160996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226</v>
      </c>
      <c r="H567" s="97">
        <f t="shared" ca="1" si="89"/>
        <v>45882</v>
      </c>
      <c r="I567" s="121">
        <f ca="1">HLOOKUP($H$5,'Met Data'!$A$2:$F$368,G567,FALSE)</f>
        <v>9.49583333333333</v>
      </c>
      <c r="J567" s="119">
        <f ca="1">HLOOKUP($H$5,'Met Data'!$H$2:$M$368,G567,FALSE)*L567</f>
        <v>3.11666666666666</v>
      </c>
      <c r="K567" s="98">
        <f ca="1">HLOOKUP($H$5,'Met Data'!$O$2:$T$368,G567,FALSE)</f>
        <v>1.2041756804414001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227</v>
      </c>
      <c r="H568" s="97">
        <f t="shared" ca="1" si="89"/>
        <v>45883</v>
      </c>
      <c r="I568" s="121">
        <f ca="1">HLOOKUP($H$5,'Met Data'!$A$2:$F$368,G568,FALSE)</f>
        <v>9.7791666666666597</v>
      </c>
      <c r="J568" s="119">
        <f ca="1">HLOOKUP($H$5,'Met Data'!$H$2:$M$368,G568,FALSE)*L568</f>
        <v>6.7</v>
      </c>
      <c r="K568" s="98">
        <f ca="1">HLOOKUP($H$5,'Met Data'!$O$2:$T$368,G568,FALSE)</f>
        <v>1.1357294741412001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228</v>
      </c>
      <c r="H569" s="97">
        <f t="shared" ca="1" si="89"/>
        <v>45884</v>
      </c>
      <c r="I569" s="121">
        <f ca="1">HLOOKUP($H$5,'Met Data'!$A$2:$F$368,G569,FALSE)</f>
        <v>9.4375</v>
      </c>
      <c r="J569" s="119">
        <f ca="1">HLOOKUP($H$5,'Met Data'!$H$2:$M$368,G569,FALSE)*L569</f>
        <v>3.2833333333333301</v>
      </c>
      <c r="K569" s="98">
        <f ca="1">HLOOKUP($H$5,'Met Data'!$O$2:$T$368,G569,FALSE)</f>
        <v>1.2410385498851699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229</v>
      </c>
      <c r="H570" s="97">
        <f t="shared" ca="1" si="89"/>
        <v>45885</v>
      </c>
      <c r="I570" s="121">
        <f ca="1">HLOOKUP($H$5,'Met Data'!$A$2:$F$368,G570,FALSE)</f>
        <v>9.6999999999999993</v>
      </c>
      <c r="J570" s="119">
        <f ca="1">HLOOKUP($H$5,'Met Data'!$H$2:$M$368,G570,FALSE)*L570</f>
        <v>1.5999999999999901</v>
      </c>
      <c r="K570" s="98">
        <f ca="1">HLOOKUP($H$5,'Met Data'!$O$2:$T$368,G570,FALSE)</f>
        <v>1.30158376837533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230</v>
      </c>
      <c r="H571" s="97">
        <f t="shared" ca="1" si="89"/>
        <v>45886</v>
      </c>
      <c r="I571" s="121">
        <f ca="1">HLOOKUP($H$5,'Met Data'!$A$2:$F$368,G571,FALSE)</f>
        <v>9.61666666666666</v>
      </c>
      <c r="J571" s="119">
        <f ca="1">HLOOKUP($H$5,'Met Data'!$H$2:$M$368,G571,FALSE)*L571</f>
        <v>6.5999999999999899</v>
      </c>
      <c r="K571" s="98">
        <f ca="1">HLOOKUP($H$5,'Met Data'!$O$2:$T$368,G571,FALSE)</f>
        <v>1.3713845776081399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231</v>
      </c>
      <c r="H572" s="97">
        <f t="shared" ca="1" si="89"/>
        <v>45887</v>
      </c>
      <c r="I572" s="121">
        <f ca="1">HLOOKUP($H$5,'Met Data'!$A$2:$F$368,G572,FALSE)</f>
        <v>8.8333333333333304</v>
      </c>
      <c r="J572" s="119">
        <f ca="1">HLOOKUP($H$5,'Met Data'!$H$2:$M$368,G572,FALSE)*L572</f>
        <v>3.3</v>
      </c>
      <c r="K572" s="98">
        <f ca="1">HLOOKUP($H$5,'Met Data'!$O$2:$T$368,G572,FALSE)</f>
        <v>1.38797998518043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232</v>
      </c>
      <c r="H573" s="97">
        <f t="shared" ca="1" si="89"/>
        <v>45888</v>
      </c>
      <c r="I573" s="121">
        <f ca="1">HLOOKUP($H$5,'Met Data'!$A$2:$F$368,G573,FALSE)</f>
        <v>9.4833333333333307</v>
      </c>
      <c r="J573" s="119">
        <f ca="1">HLOOKUP($H$5,'Met Data'!$H$2:$M$368,G573,FALSE)*L573</f>
        <v>2.1333333333333302</v>
      </c>
      <c r="K573" s="98">
        <f ca="1">HLOOKUP($H$5,'Met Data'!$O$2:$T$368,G573,FALSE)</f>
        <v>1.56092628574794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233</v>
      </c>
      <c r="H574" s="97">
        <f t="shared" ca="1" si="89"/>
        <v>45889</v>
      </c>
      <c r="I574" s="121">
        <f ca="1">HLOOKUP($H$5,'Met Data'!$A$2:$F$368,G574,FALSE)</f>
        <v>9.2583333333333293</v>
      </c>
      <c r="J574" s="119">
        <f ca="1">HLOOKUP($H$5,'Met Data'!$H$2:$M$368,G574,FALSE)*L574</f>
        <v>3.65</v>
      </c>
      <c r="K574" s="98">
        <f ca="1">HLOOKUP($H$5,'Met Data'!$O$2:$T$368,G574,FALSE)</f>
        <v>1.4422774750484899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234</v>
      </c>
      <c r="H575" s="97">
        <f t="shared" ca="1" si="89"/>
        <v>45890</v>
      </c>
      <c r="I575" s="121">
        <f ca="1">HLOOKUP($H$5,'Met Data'!$A$2:$F$368,G575,FALSE)</f>
        <v>9.7708333333333304</v>
      </c>
      <c r="J575" s="119">
        <f ca="1">HLOOKUP($H$5,'Met Data'!$H$2:$M$368,G575,FALSE)*L575</f>
        <v>2.36666666666666</v>
      </c>
      <c r="K575" s="98">
        <f ca="1">HLOOKUP($H$5,'Met Data'!$O$2:$T$368,G575,FALSE)</f>
        <v>1.70464821639982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235</v>
      </c>
      <c r="H576" s="97">
        <f t="shared" ca="1" si="89"/>
        <v>45891</v>
      </c>
      <c r="I576" s="121">
        <f ca="1">HLOOKUP($H$5,'Met Data'!$A$2:$F$368,G576,FALSE)</f>
        <v>9.5208333333333304</v>
      </c>
      <c r="J576" s="119">
        <f ca="1">HLOOKUP($H$5,'Met Data'!$H$2:$M$368,G576,FALSE)*L576</f>
        <v>4.4666666666666597</v>
      </c>
      <c r="K576" s="98">
        <f ca="1">HLOOKUP($H$5,'Met Data'!$O$2:$T$368,G576,FALSE)</f>
        <v>1.6762831823304301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236</v>
      </c>
      <c r="H577" s="97">
        <f t="shared" ca="1" si="89"/>
        <v>45892</v>
      </c>
      <c r="I577" s="121">
        <f ca="1">HLOOKUP($H$5,'Met Data'!$A$2:$F$368,G577,FALSE)</f>
        <v>9.5791666666666604</v>
      </c>
      <c r="J577" s="119">
        <f ca="1">HLOOKUP($H$5,'Met Data'!$H$2:$M$368,G577,FALSE)*L577</f>
        <v>1.4833333333333301</v>
      </c>
      <c r="K577" s="98">
        <f ca="1">HLOOKUP($H$5,'Met Data'!$O$2:$T$368,G577,FALSE)</f>
        <v>1.44273965203753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237</v>
      </c>
      <c r="H578" s="97">
        <f t="shared" ca="1" si="89"/>
        <v>45893</v>
      </c>
      <c r="I578" s="121">
        <f ca="1">HLOOKUP($H$5,'Met Data'!$A$2:$F$368,G578,FALSE)</f>
        <v>9.8874999999999993</v>
      </c>
      <c r="J578" s="119">
        <f ca="1">HLOOKUP($H$5,'Met Data'!$H$2:$M$368,G578,FALSE)*L578</f>
        <v>0.56666666666666599</v>
      </c>
      <c r="K578" s="98">
        <f ca="1">HLOOKUP($H$5,'Met Data'!$O$2:$T$368,G578,FALSE)</f>
        <v>1.7386735184612501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238</v>
      </c>
      <c r="H579" s="97">
        <f t="shared" ca="1" si="89"/>
        <v>45894</v>
      </c>
      <c r="I579" s="121">
        <f ca="1">HLOOKUP($H$5,'Met Data'!$A$2:$F$368,G579,FALSE)</f>
        <v>9.7208333333333297</v>
      </c>
      <c r="J579" s="119">
        <f ca="1">HLOOKUP($H$5,'Met Data'!$H$2:$M$368,G579,FALSE)*L579</f>
        <v>2.4666666666666601</v>
      </c>
      <c r="K579" s="98">
        <f ca="1">HLOOKUP($H$5,'Met Data'!$O$2:$T$368,G579,FALSE)</f>
        <v>1.45538034550647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239</v>
      </c>
      <c r="H580" s="97">
        <f t="shared" ca="1" si="89"/>
        <v>45895</v>
      </c>
      <c r="I580" s="121">
        <f ca="1">HLOOKUP($H$5,'Met Data'!$A$2:$F$368,G580,FALSE)</f>
        <v>10.716666666666599</v>
      </c>
      <c r="J580" s="119">
        <f ca="1">HLOOKUP($H$5,'Met Data'!$H$2:$M$368,G580,FALSE)*L580</f>
        <v>3.0666666666666602</v>
      </c>
      <c r="K580" s="98">
        <f ca="1">HLOOKUP($H$5,'Met Data'!$O$2:$T$368,G580,FALSE)</f>
        <v>1.4899612238642299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240</v>
      </c>
      <c r="H581" s="97">
        <f t="shared" ca="1" si="89"/>
        <v>45896</v>
      </c>
      <c r="I581" s="121">
        <f ca="1">HLOOKUP($H$5,'Met Data'!$A$2:$F$368,G581,FALSE)</f>
        <v>10.754166666666601</v>
      </c>
      <c r="J581" s="119">
        <f ca="1">HLOOKUP($H$5,'Met Data'!$H$2:$M$368,G581,FALSE)*L581</f>
        <v>1.0333333333333301</v>
      </c>
      <c r="K581" s="98">
        <f ca="1">HLOOKUP($H$5,'Met Data'!$O$2:$T$368,G581,FALSE)</f>
        <v>1.6543487023337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241</v>
      </c>
      <c r="H582" s="97">
        <f t="shared" ca="1" si="89"/>
        <v>45897</v>
      </c>
      <c r="I582" s="121">
        <f ca="1">HLOOKUP($H$5,'Met Data'!$A$2:$F$368,G582,FALSE)</f>
        <v>11.0833333333333</v>
      </c>
      <c r="J582" s="119">
        <f ca="1">HLOOKUP($H$5,'Met Data'!$H$2:$M$368,G582,FALSE)*L582</f>
        <v>1.9</v>
      </c>
      <c r="K582" s="98">
        <f ca="1">HLOOKUP($H$5,'Met Data'!$O$2:$T$368,G582,FALSE)</f>
        <v>1.6425180639822501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242</v>
      </c>
      <c r="H583" s="97">
        <f t="shared" ca="1" si="89"/>
        <v>45898</v>
      </c>
      <c r="I583" s="121">
        <f ca="1">HLOOKUP($H$5,'Met Data'!$A$2:$F$368,G583,FALSE)</f>
        <v>10.5791666666666</v>
      </c>
      <c r="J583" s="119">
        <f ca="1">HLOOKUP($H$5,'Met Data'!$H$2:$M$368,G583,FALSE)*L583</f>
        <v>3.0166666666666599</v>
      </c>
      <c r="K583" s="98">
        <f ca="1">HLOOKUP($H$5,'Met Data'!$O$2:$T$368,G583,FALSE)</f>
        <v>1.5065040723285099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243</v>
      </c>
      <c r="H584" s="97">
        <f t="shared" ca="1" si="89"/>
        <v>45899</v>
      </c>
      <c r="I584" s="121">
        <f ca="1">HLOOKUP($H$5,'Met Data'!$A$2:$F$368,G584,FALSE)</f>
        <v>11.1208333333333</v>
      </c>
      <c r="J584" s="119">
        <f ca="1">HLOOKUP($H$5,'Met Data'!$H$2:$M$368,G584,FALSE)*L584</f>
        <v>1.56666666666666</v>
      </c>
      <c r="K584" s="98">
        <f ca="1">HLOOKUP($H$5,'Met Data'!$O$2:$T$368,G584,FALSE)</f>
        <v>1.7782422370636499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244</v>
      </c>
      <c r="H585" s="97">
        <f t="shared" ref="H585:H648" ca="1" si="99">H584+1</f>
        <v>45900</v>
      </c>
      <c r="I585" s="121">
        <f ca="1">HLOOKUP($H$5,'Met Data'!$A$2:$F$368,G585,FALSE)</f>
        <v>10.6666666666666</v>
      </c>
      <c r="J585" s="119">
        <f ca="1">HLOOKUP($H$5,'Met Data'!$H$2:$M$368,G585,FALSE)*L585</f>
        <v>1.7333333333333301</v>
      </c>
      <c r="K585" s="98">
        <f ca="1">HLOOKUP($H$5,'Met Data'!$O$2:$T$368,G585,FALSE)</f>
        <v>1.8075127039194601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245</v>
      </c>
      <c r="H586" s="97">
        <f t="shared" ca="1" si="99"/>
        <v>45901</v>
      </c>
      <c r="I586" s="121">
        <f ca="1">HLOOKUP($H$5,'Met Data'!$A$2:$F$368,G586,FALSE)</f>
        <v>10.1208333333333</v>
      </c>
      <c r="J586" s="119">
        <f ca="1">HLOOKUP($H$5,'Met Data'!$H$2:$M$368,G586,FALSE)*L586</f>
        <v>0.8</v>
      </c>
      <c r="K586" s="98">
        <f ca="1">HLOOKUP($H$5,'Met Data'!$O$2:$T$368,G586,FALSE)</f>
        <v>1.80445161149383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246</v>
      </c>
      <c r="H587" s="97">
        <f t="shared" ca="1" si="99"/>
        <v>45902</v>
      </c>
      <c r="I587" s="121">
        <f ca="1">HLOOKUP($H$5,'Met Data'!$A$2:$F$368,G587,FALSE)</f>
        <v>9.6624999999999996</v>
      </c>
      <c r="J587" s="119">
        <f ca="1">HLOOKUP($H$5,'Met Data'!$H$2:$M$368,G587,FALSE)*L587</f>
        <v>3.0833333333333299</v>
      </c>
      <c r="K587" s="98">
        <f ca="1">HLOOKUP($H$5,'Met Data'!$O$2:$T$368,G587,FALSE)</f>
        <v>1.4517482623371101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247</v>
      </c>
      <c r="H588" s="97">
        <f t="shared" ca="1" si="99"/>
        <v>45903</v>
      </c>
      <c r="I588" s="121">
        <f ca="1">HLOOKUP($H$5,'Met Data'!$A$2:$F$368,G588,FALSE)</f>
        <v>9.7541666666666593</v>
      </c>
      <c r="J588" s="119">
        <f ca="1">HLOOKUP($H$5,'Met Data'!$H$2:$M$368,G588,FALSE)*L588</f>
        <v>1.0833333333333299</v>
      </c>
      <c r="K588" s="98">
        <f ca="1">HLOOKUP($H$5,'Met Data'!$O$2:$T$368,G588,FALSE)</f>
        <v>1.75831978881469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248</v>
      </c>
      <c r="H589" s="97">
        <f t="shared" ca="1" si="99"/>
        <v>45904</v>
      </c>
      <c r="I589" s="121">
        <f ca="1">HLOOKUP($H$5,'Met Data'!$A$2:$F$368,G589,FALSE)</f>
        <v>10.0583333333333</v>
      </c>
      <c r="J589" s="119">
        <f ca="1">HLOOKUP($H$5,'Met Data'!$H$2:$M$368,G589,FALSE)*L589</f>
        <v>2.44999999999999</v>
      </c>
      <c r="K589" s="98">
        <f ca="1">HLOOKUP($H$5,'Met Data'!$O$2:$T$368,G589,FALSE)</f>
        <v>1.8005069619965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249</v>
      </c>
      <c r="H590" s="97">
        <f t="shared" ca="1" si="99"/>
        <v>45905</v>
      </c>
      <c r="I590" s="121">
        <f ca="1">HLOOKUP($H$5,'Met Data'!$A$2:$F$368,G590,FALSE)</f>
        <v>9.7750000000000004</v>
      </c>
      <c r="J590" s="119">
        <f ca="1">HLOOKUP($H$5,'Met Data'!$H$2:$M$368,G590,FALSE)*L590</f>
        <v>3.2</v>
      </c>
      <c r="K590" s="98">
        <f ca="1">HLOOKUP($H$5,'Met Data'!$O$2:$T$368,G590,FALSE)</f>
        <v>1.49919962363172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250</v>
      </c>
      <c r="H591" s="97">
        <f t="shared" ca="1" si="99"/>
        <v>45906</v>
      </c>
      <c r="I591" s="121">
        <f ca="1">HLOOKUP($H$5,'Met Data'!$A$2:$F$368,G591,FALSE)</f>
        <v>10.3333333333333</v>
      </c>
      <c r="J591" s="119">
        <f ca="1">HLOOKUP($H$5,'Met Data'!$H$2:$M$368,G591,FALSE)*L591</f>
        <v>5.93333333333333</v>
      </c>
      <c r="K591" s="98">
        <f ca="1">HLOOKUP($H$5,'Met Data'!$O$2:$T$368,G591,FALSE)</f>
        <v>1.4735664157819599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251</v>
      </c>
      <c r="H592" s="97">
        <f t="shared" ca="1" si="99"/>
        <v>45907</v>
      </c>
      <c r="I592" s="121">
        <f ca="1">HLOOKUP($H$5,'Met Data'!$A$2:$F$368,G592,FALSE)</f>
        <v>10.7708333333333</v>
      </c>
      <c r="J592" s="119">
        <f ca="1">HLOOKUP($H$5,'Met Data'!$H$2:$M$368,G592,FALSE)*L592</f>
        <v>1.2</v>
      </c>
      <c r="K592" s="98">
        <f ca="1">HLOOKUP($H$5,'Met Data'!$O$2:$T$368,G592,FALSE)</f>
        <v>1.8170202832795099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252</v>
      </c>
      <c r="H593" s="97">
        <f t="shared" ca="1" si="99"/>
        <v>45908</v>
      </c>
      <c r="I593" s="121">
        <f ca="1">HLOOKUP($H$5,'Met Data'!$A$2:$F$368,G593,FALSE)</f>
        <v>10.5791666666666</v>
      </c>
      <c r="J593" s="119">
        <f ca="1">HLOOKUP($H$5,'Met Data'!$H$2:$M$368,G593,FALSE)*L593</f>
        <v>0.88333333333333297</v>
      </c>
      <c r="K593" s="98">
        <f ca="1">HLOOKUP($H$5,'Met Data'!$O$2:$T$368,G593,FALSE)</f>
        <v>1.8773510693625799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253</v>
      </c>
      <c r="H594" s="97">
        <f t="shared" ca="1" si="99"/>
        <v>45909</v>
      </c>
      <c r="I594" s="121">
        <f ca="1">HLOOKUP($H$5,'Met Data'!$A$2:$F$368,G594,FALSE)</f>
        <v>9.6125000000000007</v>
      </c>
      <c r="J594" s="119">
        <f ca="1">HLOOKUP($H$5,'Met Data'!$H$2:$M$368,G594,FALSE)*L594</f>
        <v>4.36666666666666</v>
      </c>
      <c r="K594" s="98">
        <f ca="1">HLOOKUP($H$5,'Met Data'!$O$2:$T$368,G594,FALSE)</f>
        <v>1.8525160666589899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254</v>
      </c>
      <c r="H595" s="97">
        <f t="shared" ca="1" si="99"/>
        <v>45910</v>
      </c>
      <c r="I595" s="121">
        <f ca="1">HLOOKUP($H$5,'Met Data'!$A$2:$F$368,G595,FALSE)</f>
        <v>10.0875</v>
      </c>
      <c r="J595" s="119">
        <f ca="1">HLOOKUP($H$5,'Met Data'!$H$2:$M$368,G595,FALSE)*L595</f>
        <v>3.44999999999999</v>
      </c>
      <c r="K595" s="98">
        <f ca="1">HLOOKUP($H$5,'Met Data'!$O$2:$T$368,G595,FALSE)</f>
        <v>1.67590206119575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255</v>
      </c>
      <c r="H596" s="97">
        <f t="shared" ca="1" si="99"/>
        <v>45911</v>
      </c>
      <c r="I596" s="121">
        <f ca="1">HLOOKUP($H$5,'Met Data'!$A$2:$F$368,G596,FALSE)</f>
        <v>10.6416666666666</v>
      </c>
      <c r="J596" s="119">
        <f ca="1">HLOOKUP($H$5,'Met Data'!$H$2:$M$368,G596,FALSE)*L596</f>
        <v>6.4666666666666597</v>
      </c>
      <c r="K596" s="98">
        <f ca="1">HLOOKUP($H$5,'Met Data'!$O$2:$T$368,G596,FALSE)</f>
        <v>1.7070370554204599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256</v>
      </c>
      <c r="H597" s="97">
        <f t="shared" ca="1" si="99"/>
        <v>45912</v>
      </c>
      <c r="I597" s="121">
        <f ca="1">HLOOKUP($H$5,'Met Data'!$A$2:$F$368,G597,FALSE)</f>
        <v>10.4541666666666</v>
      </c>
      <c r="J597" s="119">
        <f ca="1">HLOOKUP($H$5,'Met Data'!$H$2:$M$368,G597,FALSE)*L597</f>
        <v>2.0166666666666599</v>
      </c>
      <c r="K597" s="98">
        <f ca="1">HLOOKUP($H$5,'Met Data'!$O$2:$T$368,G597,FALSE)</f>
        <v>1.9219866027073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257</v>
      </c>
      <c r="H598" s="97">
        <f t="shared" ca="1" si="99"/>
        <v>45913</v>
      </c>
      <c r="I598" s="121">
        <f ca="1">HLOOKUP($H$5,'Met Data'!$A$2:$F$368,G598,FALSE)</f>
        <v>11.216666666666599</v>
      </c>
      <c r="J598" s="119">
        <f ca="1">HLOOKUP($H$5,'Met Data'!$H$2:$M$368,G598,FALSE)*L598</f>
        <v>1.4833333333333301</v>
      </c>
      <c r="K598" s="98">
        <f ca="1">HLOOKUP($H$5,'Met Data'!$O$2:$T$368,G598,FALSE)</f>
        <v>1.86072433418519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258</v>
      </c>
      <c r="H599" s="97">
        <f t="shared" ca="1" si="99"/>
        <v>45914</v>
      </c>
      <c r="I599" s="121">
        <f ca="1">HLOOKUP($H$5,'Met Data'!$A$2:$F$368,G599,FALSE)</f>
        <v>11.1</v>
      </c>
      <c r="J599" s="119">
        <f ca="1">HLOOKUP($H$5,'Met Data'!$H$2:$M$368,G599,FALSE)*L599</f>
        <v>2.4166666666666599</v>
      </c>
      <c r="K599" s="98">
        <f ca="1">HLOOKUP($H$5,'Met Data'!$O$2:$T$368,G599,FALSE)</f>
        <v>1.6515892534407901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259</v>
      </c>
      <c r="H600" s="97">
        <f t="shared" ca="1" si="99"/>
        <v>45915</v>
      </c>
      <c r="I600" s="121">
        <f ca="1">HLOOKUP($H$5,'Met Data'!$A$2:$F$368,G600,FALSE)</f>
        <v>11.3708333333333</v>
      </c>
      <c r="J600" s="119">
        <f ca="1">HLOOKUP($H$5,'Met Data'!$H$2:$M$368,G600,FALSE)*L600</f>
        <v>1.3</v>
      </c>
      <c r="K600" s="98">
        <f ca="1">HLOOKUP($H$5,'Met Data'!$O$2:$T$368,G600,FALSE)</f>
        <v>1.8040111781852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260</v>
      </c>
      <c r="H601" s="97">
        <f t="shared" ca="1" si="99"/>
        <v>45916</v>
      </c>
      <c r="I601" s="121">
        <f ca="1">HLOOKUP($H$5,'Met Data'!$A$2:$F$368,G601,FALSE)</f>
        <v>11.2916666666666</v>
      </c>
      <c r="J601" s="119">
        <f ca="1">HLOOKUP($H$5,'Met Data'!$H$2:$M$368,G601,FALSE)*L601</f>
        <v>2.6</v>
      </c>
      <c r="K601" s="98">
        <f ca="1">HLOOKUP($H$5,'Met Data'!$O$2:$T$368,G601,FALSE)</f>
        <v>1.8880733064353601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261</v>
      </c>
      <c r="H602" s="97">
        <f t="shared" ca="1" si="99"/>
        <v>45917</v>
      </c>
      <c r="I602" s="121">
        <f ca="1">HLOOKUP($H$5,'Met Data'!$A$2:$F$368,G602,FALSE)</f>
        <v>12.2125</v>
      </c>
      <c r="J602" s="119">
        <f ca="1">HLOOKUP($H$5,'Met Data'!$H$2:$M$368,G602,FALSE)*L602</f>
        <v>4.5999999999999996</v>
      </c>
      <c r="K602" s="98">
        <f ca="1">HLOOKUP($H$5,'Met Data'!$O$2:$T$368,G602,FALSE)</f>
        <v>2.0382752192881299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262</v>
      </c>
      <c r="H603" s="97">
        <f t="shared" ca="1" si="99"/>
        <v>45918</v>
      </c>
      <c r="I603" s="121">
        <f ca="1">HLOOKUP($H$5,'Met Data'!$A$2:$F$368,G603,FALSE)</f>
        <v>11.35</v>
      </c>
      <c r="J603" s="119">
        <f ca="1">HLOOKUP($H$5,'Met Data'!$H$2:$M$368,G603,FALSE)*L603</f>
        <v>3.93333333333333</v>
      </c>
      <c r="K603" s="98">
        <f ca="1">HLOOKUP($H$5,'Met Data'!$O$2:$T$368,G603,FALSE)</f>
        <v>2.00744960029109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263</v>
      </c>
      <c r="H604" s="97">
        <f t="shared" ca="1" si="99"/>
        <v>45919</v>
      </c>
      <c r="I604" s="121">
        <f ca="1">HLOOKUP($H$5,'Met Data'!$A$2:$F$368,G604,FALSE)</f>
        <v>10.504166666666601</v>
      </c>
      <c r="J604" s="119">
        <f ca="1">HLOOKUP($H$5,'Met Data'!$H$2:$M$368,G604,FALSE)*L604</f>
        <v>8.7333333333333307</v>
      </c>
      <c r="K604" s="98">
        <f ca="1">HLOOKUP($H$5,'Met Data'!$O$2:$T$368,G604,FALSE)</f>
        <v>1.9387559167362001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264</v>
      </c>
      <c r="H605" s="97">
        <f t="shared" ca="1" si="99"/>
        <v>45920</v>
      </c>
      <c r="I605" s="121">
        <f ca="1">HLOOKUP($H$5,'Met Data'!$A$2:$F$368,G605,FALSE)</f>
        <v>10.387499999999999</v>
      </c>
      <c r="J605" s="119">
        <f ca="1">HLOOKUP($H$5,'Met Data'!$H$2:$M$368,G605,FALSE)*L605</f>
        <v>3.85</v>
      </c>
      <c r="K605" s="98">
        <f ca="1">HLOOKUP($H$5,'Met Data'!$O$2:$T$368,G605,FALSE)</f>
        <v>2.0861830094945102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265</v>
      </c>
      <c r="H606" s="97">
        <f t="shared" ca="1" si="99"/>
        <v>45921</v>
      </c>
      <c r="I606" s="121">
        <f ca="1">HLOOKUP($H$5,'Met Data'!$A$2:$F$368,G606,FALSE)</f>
        <v>9.85</v>
      </c>
      <c r="J606" s="119">
        <f ca="1">HLOOKUP($H$5,'Met Data'!$H$2:$M$368,G606,FALSE)*L606</f>
        <v>1.7999999999999901</v>
      </c>
      <c r="K606" s="98">
        <f ca="1">HLOOKUP($H$5,'Met Data'!$O$2:$T$368,G606,FALSE)</f>
        <v>2.1398164486974101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266</v>
      </c>
      <c r="H607" s="97">
        <f t="shared" ca="1" si="99"/>
        <v>45922</v>
      </c>
      <c r="I607" s="121">
        <f ca="1">HLOOKUP($H$5,'Met Data'!$A$2:$F$368,G607,FALSE)</f>
        <v>10.158333333333299</v>
      </c>
      <c r="J607" s="119">
        <f ca="1">HLOOKUP($H$5,'Met Data'!$H$2:$M$368,G607,FALSE)*L607</f>
        <v>3.93333333333333</v>
      </c>
      <c r="K607" s="98">
        <f ca="1">HLOOKUP($H$5,'Met Data'!$O$2:$T$368,G607,FALSE)</f>
        <v>2.31412085445224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267</v>
      </c>
      <c r="H608" s="97">
        <f t="shared" ca="1" si="99"/>
        <v>45923</v>
      </c>
      <c r="I608" s="121">
        <f ca="1">HLOOKUP($H$5,'Met Data'!$A$2:$F$368,G608,FALSE)</f>
        <v>10.9625</v>
      </c>
      <c r="J608" s="119">
        <f ca="1">HLOOKUP($H$5,'Met Data'!$H$2:$M$368,G608,FALSE)*L608</f>
        <v>1.86666666666666</v>
      </c>
      <c r="K608" s="98">
        <f ca="1">HLOOKUP($H$5,'Met Data'!$O$2:$T$368,G608,FALSE)</f>
        <v>2.2059606634486699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268</v>
      </c>
      <c r="H609" s="97">
        <f t="shared" ca="1" si="99"/>
        <v>45924</v>
      </c>
      <c r="I609" s="121">
        <f ca="1">HLOOKUP($H$5,'Met Data'!$A$2:$F$368,G609,FALSE)</f>
        <v>11.6458333333333</v>
      </c>
      <c r="J609" s="119">
        <f ca="1">HLOOKUP($H$5,'Met Data'!$H$2:$M$368,G609,FALSE)*L609</f>
        <v>5.5166666666666604</v>
      </c>
      <c r="K609" s="98">
        <f ca="1">HLOOKUP($H$5,'Met Data'!$O$2:$T$368,G609,FALSE)</f>
        <v>1.6755097599300399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269</v>
      </c>
      <c r="H610" s="97">
        <f t="shared" ca="1" si="99"/>
        <v>45925</v>
      </c>
      <c r="I610" s="121">
        <f ca="1">HLOOKUP($H$5,'Met Data'!$A$2:$F$368,G610,FALSE)</f>
        <v>12.112500000000001</v>
      </c>
      <c r="J610" s="119">
        <f ca="1">HLOOKUP($H$5,'Met Data'!$H$2:$M$368,G610,FALSE)*L610</f>
        <v>1.56666666666666</v>
      </c>
      <c r="K610" s="98">
        <f ca="1">HLOOKUP($H$5,'Met Data'!$O$2:$T$368,G610,FALSE)</f>
        <v>2.1669648664524801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270</v>
      </c>
      <c r="H611" s="97">
        <f t="shared" ca="1" si="99"/>
        <v>45926</v>
      </c>
      <c r="I611" s="121">
        <f ca="1">HLOOKUP($H$5,'Met Data'!$A$2:$F$368,G611,FALSE)</f>
        <v>11.6875</v>
      </c>
      <c r="J611" s="119">
        <f ca="1">HLOOKUP($H$5,'Met Data'!$H$2:$M$368,G611,FALSE)*L611</f>
        <v>1.0833333333333299</v>
      </c>
      <c r="K611" s="98">
        <f ca="1">HLOOKUP($H$5,'Met Data'!$O$2:$T$368,G611,FALSE)</f>
        <v>2.2423317945335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271</v>
      </c>
      <c r="H612" s="97">
        <f t="shared" ca="1" si="99"/>
        <v>45927</v>
      </c>
      <c r="I612" s="121">
        <f ca="1">HLOOKUP($H$5,'Met Data'!$A$2:$F$368,G612,FALSE)</f>
        <v>12.0541666666666</v>
      </c>
      <c r="J612" s="119">
        <f ca="1">HLOOKUP($H$5,'Met Data'!$H$2:$M$368,G612,FALSE)*L612</f>
        <v>1.05</v>
      </c>
      <c r="K612" s="98">
        <f ca="1">HLOOKUP($H$5,'Met Data'!$O$2:$T$368,G612,FALSE)</f>
        <v>2.4484809787012698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272</v>
      </c>
      <c r="H613" s="97">
        <f t="shared" ca="1" si="99"/>
        <v>45928</v>
      </c>
      <c r="I613" s="121">
        <f ca="1">HLOOKUP($H$5,'Met Data'!$A$2:$F$368,G613,FALSE)</f>
        <v>12.3291666666666</v>
      </c>
      <c r="J613" s="119">
        <f ca="1">HLOOKUP($H$5,'Met Data'!$H$2:$M$368,G613,FALSE)*L613</f>
        <v>5.1499999999999897</v>
      </c>
      <c r="K613" s="98">
        <f ca="1">HLOOKUP($H$5,'Met Data'!$O$2:$T$368,G613,FALSE)</f>
        <v>2.13295390564413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273</v>
      </c>
      <c r="H614" s="97">
        <f t="shared" ca="1" si="99"/>
        <v>45929</v>
      </c>
      <c r="I614" s="121">
        <f ca="1">HLOOKUP($H$5,'Met Data'!$A$2:$F$368,G614,FALSE)</f>
        <v>12.65</v>
      </c>
      <c r="J614" s="119">
        <f ca="1">HLOOKUP($H$5,'Met Data'!$H$2:$M$368,G614,FALSE)*L614</f>
        <v>2.15</v>
      </c>
      <c r="K614" s="98">
        <f ca="1">HLOOKUP($H$5,'Met Data'!$O$2:$T$368,G614,FALSE)</f>
        <v>2.3067555107961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274</v>
      </c>
      <c r="H615" s="97">
        <f t="shared" ca="1" si="99"/>
        <v>45930</v>
      </c>
      <c r="I615" s="121">
        <f ca="1">HLOOKUP($H$5,'Met Data'!$A$2:$F$368,G615,FALSE)</f>
        <v>12.5208333333333</v>
      </c>
      <c r="J615" s="119">
        <f ca="1">HLOOKUP($H$5,'Met Data'!$H$2:$M$368,G615,FALSE)*L615</f>
        <v>5.61666666666666</v>
      </c>
      <c r="K615" s="98">
        <f ca="1">HLOOKUP($H$5,'Met Data'!$O$2:$T$368,G615,FALSE)</f>
        <v>2.4465918649770302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275</v>
      </c>
      <c r="H616" s="97">
        <f t="shared" ca="1" si="99"/>
        <v>45931</v>
      </c>
      <c r="I616" s="121">
        <f ca="1">HLOOKUP($H$5,'Met Data'!$A$2:$F$368,G616,FALSE)</f>
        <v>11.65</v>
      </c>
      <c r="J616" s="119">
        <f ca="1">HLOOKUP($H$5,'Met Data'!$H$2:$M$368,G616,FALSE)*L616</f>
        <v>2.35</v>
      </c>
      <c r="K616" s="98">
        <f ca="1">HLOOKUP($H$5,'Met Data'!$O$2:$T$368,G616,FALSE)</f>
        <v>2.46735033441291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276</v>
      </c>
      <c r="H617" s="97">
        <f t="shared" ca="1" si="99"/>
        <v>45932</v>
      </c>
      <c r="I617" s="121">
        <f ca="1">HLOOKUP($H$5,'Met Data'!$A$2:$F$368,G617,FALSE)</f>
        <v>12.0166666666666</v>
      </c>
      <c r="J617" s="119">
        <f ca="1">HLOOKUP($H$5,'Met Data'!$H$2:$M$368,G617,FALSE)*L617</f>
        <v>2.2833333333333301</v>
      </c>
      <c r="K617" s="98">
        <f ca="1">HLOOKUP($H$5,'Met Data'!$O$2:$T$368,G617,FALSE)</f>
        <v>2.1199025888480301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277</v>
      </c>
      <c r="H618" s="97">
        <f t="shared" ca="1" si="99"/>
        <v>45933</v>
      </c>
      <c r="I618" s="121">
        <f ca="1">HLOOKUP($H$5,'Met Data'!$A$2:$F$368,G618,FALSE)</f>
        <v>12.941666666666601</v>
      </c>
      <c r="J618" s="119">
        <f ca="1">HLOOKUP($H$5,'Met Data'!$H$2:$M$368,G618,FALSE)*L618</f>
        <v>4.2666666666666604</v>
      </c>
      <c r="K618" s="98">
        <f ca="1">HLOOKUP($H$5,'Met Data'!$O$2:$T$368,G618,FALSE)</f>
        <v>2.6275875550097898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278</v>
      </c>
      <c r="H619" s="97">
        <f t="shared" ca="1" si="99"/>
        <v>45934</v>
      </c>
      <c r="I619" s="121">
        <f ca="1">HLOOKUP($H$5,'Met Data'!$A$2:$F$368,G619,FALSE)</f>
        <v>11.95</v>
      </c>
      <c r="J619" s="119">
        <f ca="1">HLOOKUP($H$5,'Met Data'!$H$2:$M$368,G619,FALSE)*L619</f>
        <v>1.13333333333333</v>
      </c>
      <c r="K619" s="98">
        <f ca="1">HLOOKUP($H$5,'Met Data'!$O$2:$T$368,G619,FALSE)</f>
        <v>2.2251605523882798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279</v>
      </c>
      <c r="H620" s="97">
        <f t="shared" ca="1" si="99"/>
        <v>45935</v>
      </c>
      <c r="I620" s="121">
        <f ca="1">HLOOKUP($H$5,'Met Data'!$A$2:$F$368,G620,FALSE)</f>
        <v>11.8958333333333</v>
      </c>
      <c r="J620" s="119">
        <f ca="1">HLOOKUP($H$5,'Met Data'!$H$2:$M$368,G620,FALSE)*L620</f>
        <v>2.0666666666666602</v>
      </c>
      <c r="K620" s="98">
        <f ca="1">HLOOKUP($H$5,'Met Data'!$O$2:$T$368,G620,FALSE)</f>
        <v>2.2142725820580198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280</v>
      </c>
      <c r="H621" s="97">
        <f t="shared" ca="1" si="99"/>
        <v>45936</v>
      </c>
      <c r="I621" s="121">
        <f ca="1">HLOOKUP($H$5,'Met Data'!$A$2:$F$368,G621,FALSE)</f>
        <v>11.8333333333333</v>
      </c>
      <c r="J621" s="119">
        <f ca="1">HLOOKUP($H$5,'Met Data'!$H$2:$M$368,G621,FALSE)*L621</f>
        <v>1.43333333333333</v>
      </c>
      <c r="K621" s="98">
        <f ca="1">HLOOKUP($H$5,'Met Data'!$O$2:$T$368,G621,FALSE)</f>
        <v>2.5217662070296001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281</v>
      </c>
      <c r="H622" s="97">
        <f t="shared" ca="1" si="99"/>
        <v>45937</v>
      </c>
      <c r="I622" s="121">
        <f ca="1">HLOOKUP($H$5,'Met Data'!$A$2:$F$368,G622,FALSE)</f>
        <v>12.133333333333301</v>
      </c>
      <c r="J622" s="119">
        <f ca="1">HLOOKUP($H$5,'Met Data'!$H$2:$M$368,G622,FALSE)*L622</f>
        <v>1.5</v>
      </c>
      <c r="K622" s="98">
        <f ca="1">HLOOKUP($H$5,'Met Data'!$O$2:$T$368,G622,FALSE)</f>
        <v>2.4929362431341402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282</v>
      </c>
      <c r="H623" s="97">
        <f t="shared" ca="1" si="99"/>
        <v>45938</v>
      </c>
      <c r="I623" s="121">
        <f ca="1">HLOOKUP($H$5,'Met Data'!$A$2:$F$368,G623,FALSE)</f>
        <v>11.8708333333333</v>
      </c>
      <c r="J623" s="119">
        <f ca="1">HLOOKUP($H$5,'Met Data'!$H$2:$M$368,G623,FALSE)*L623</f>
        <v>4.18333333333333</v>
      </c>
      <c r="K623" s="98">
        <f ca="1">HLOOKUP($H$5,'Met Data'!$O$2:$T$368,G623,FALSE)</f>
        <v>2.0932595279969002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ca="1" si="90"/>
        <v>283</v>
      </c>
      <c r="H624" s="97">
        <f t="shared" ca="1" si="99"/>
        <v>45939</v>
      </c>
      <c r="I624" s="121">
        <f ca="1">HLOOKUP($H$5,'Met Data'!$A$2:$F$368,G624,FALSE)</f>
        <v>11.529166666666599</v>
      </c>
      <c r="J624" s="119">
        <f ca="1">HLOOKUP($H$5,'Met Data'!$H$2:$M$368,G624,FALSE)*L624</f>
        <v>2.2166666666666601</v>
      </c>
      <c r="K624" s="98">
        <f ca="1">HLOOKUP($H$5,'Met Data'!$O$2:$T$368,G624,FALSE)</f>
        <v>2.3166472445358202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ca="1" si="100">H625-DATE(YEAR(H625),1,0)+1</f>
        <v>284</v>
      </c>
      <c r="H625" s="97">
        <f t="shared" ca="1" si="99"/>
        <v>45940</v>
      </c>
      <c r="I625" s="121">
        <f ca="1">HLOOKUP($H$5,'Met Data'!$A$2:$F$368,G625,FALSE)</f>
        <v>11.316666666666601</v>
      </c>
      <c r="J625" s="119">
        <f ca="1">HLOOKUP($H$5,'Met Data'!$H$2:$M$368,G625,FALSE)*L625</f>
        <v>2.9833333333333298</v>
      </c>
      <c r="K625" s="98">
        <f ca="1">HLOOKUP($H$5,'Met Data'!$O$2:$T$368,G625,FALSE)</f>
        <v>2.57259273420483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ca="1" si="100"/>
        <v>285</v>
      </c>
      <c r="H626" s="97">
        <f t="shared" ca="1" si="99"/>
        <v>45941</v>
      </c>
      <c r="I626" s="121">
        <f ca="1">HLOOKUP($H$5,'Met Data'!$A$2:$F$368,G626,FALSE)</f>
        <v>12.466666666666599</v>
      </c>
      <c r="J626" s="119">
        <f ca="1">HLOOKUP($H$5,'Met Data'!$H$2:$M$368,G626,FALSE)*L626</f>
        <v>3.5333333333333301</v>
      </c>
      <c r="K626" s="98">
        <f ca="1">HLOOKUP($H$5,'Met Data'!$O$2:$T$368,G626,FALSE)</f>
        <v>2.44735536591925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286</v>
      </c>
      <c r="H627" s="97">
        <f t="shared" ca="1" si="99"/>
        <v>45942</v>
      </c>
      <c r="I627" s="121">
        <f ca="1">HLOOKUP($H$5,'Met Data'!$A$2:$F$368,G627,FALSE)</f>
        <v>12.566666666666601</v>
      </c>
      <c r="J627" s="119">
        <f ca="1">HLOOKUP($H$5,'Met Data'!$H$2:$M$368,G627,FALSE)*L627</f>
        <v>1.88333333333333</v>
      </c>
      <c r="K627" s="98">
        <f ca="1">HLOOKUP($H$5,'Met Data'!$O$2:$T$368,G627,FALSE)</f>
        <v>2.6706436990123898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287</v>
      </c>
      <c r="H628" s="97">
        <f t="shared" ca="1" si="99"/>
        <v>45943</v>
      </c>
      <c r="I628" s="121">
        <f ca="1">HLOOKUP($H$5,'Met Data'!$A$2:$F$368,G628,FALSE)</f>
        <v>12.133333333333301</v>
      </c>
      <c r="J628" s="119">
        <f ca="1">HLOOKUP($H$5,'Met Data'!$H$2:$M$368,G628,FALSE)*L628</f>
        <v>2.6666666666666599</v>
      </c>
      <c r="K628" s="98">
        <f ca="1">HLOOKUP($H$5,'Met Data'!$O$2:$T$368,G628,FALSE)</f>
        <v>1.9257972512671799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288</v>
      </c>
      <c r="H629" s="97">
        <f t="shared" ca="1" si="99"/>
        <v>45944</v>
      </c>
      <c r="I629" s="121">
        <f ca="1">HLOOKUP($H$5,'Met Data'!$A$2:$F$368,G629,FALSE)</f>
        <v>12.762499999999999</v>
      </c>
      <c r="J629" s="119">
        <f ca="1">HLOOKUP($H$5,'Met Data'!$H$2:$M$368,G629,FALSE)*L629</f>
        <v>3.6333333333333302</v>
      </c>
      <c r="K629" s="98">
        <f ca="1">HLOOKUP($H$5,'Met Data'!$O$2:$T$368,G629,FALSE)</f>
        <v>2.2182002807721002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289</v>
      </c>
      <c r="H630" s="97">
        <f t="shared" ca="1" si="99"/>
        <v>45945</v>
      </c>
      <c r="I630" s="121">
        <f ca="1">HLOOKUP($H$5,'Met Data'!$A$2:$F$368,G630,FALSE)</f>
        <v>12.675000000000001</v>
      </c>
      <c r="J630" s="119">
        <f ca="1">HLOOKUP($H$5,'Met Data'!$H$2:$M$368,G630,FALSE)*L630</f>
        <v>4.2166666666666597</v>
      </c>
      <c r="K630" s="98">
        <f ca="1">HLOOKUP($H$5,'Met Data'!$O$2:$T$368,G630,FALSE)</f>
        <v>2.3809243707544998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290</v>
      </c>
      <c r="H631" s="97">
        <f t="shared" ca="1" si="99"/>
        <v>45946</v>
      </c>
      <c r="I631" s="121">
        <f ca="1">HLOOKUP($H$5,'Met Data'!$A$2:$F$368,G631,FALSE)</f>
        <v>12.3041666666666</v>
      </c>
      <c r="J631" s="119">
        <f ca="1">HLOOKUP($H$5,'Met Data'!$H$2:$M$368,G631,FALSE)*L631</f>
        <v>1.4666666666666599</v>
      </c>
      <c r="K631" s="98">
        <f ca="1">HLOOKUP($H$5,'Met Data'!$O$2:$T$368,G631,FALSE)</f>
        <v>2.7800377367024298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291</v>
      </c>
      <c r="H632" s="97">
        <f t="shared" ca="1" si="99"/>
        <v>45947</v>
      </c>
      <c r="I632" s="121">
        <f ca="1">HLOOKUP($H$5,'Met Data'!$A$2:$F$368,G632,FALSE)</f>
        <v>12.987499999999899</v>
      </c>
      <c r="J632" s="119">
        <f ca="1">HLOOKUP($H$5,'Met Data'!$H$2:$M$368,G632,FALSE)*L632</f>
        <v>2.75</v>
      </c>
      <c r="K632" s="98">
        <f ca="1">HLOOKUP($H$5,'Met Data'!$O$2:$T$368,G632,FALSE)</f>
        <v>2.65151934906442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292</v>
      </c>
      <c r="H633" s="97">
        <f t="shared" ca="1" si="99"/>
        <v>45948</v>
      </c>
      <c r="I633" s="121">
        <f ca="1">HLOOKUP($H$5,'Met Data'!$A$2:$F$368,G633,FALSE)</f>
        <v>12.7416666666666</v>
      </c>
      <c r="J633" s="119">
        <f ca="1">HLOOKUP($H$5,'Met Data'!$H$2:$M$368,G633,FALSE)*L633</f>
        <v>3.0666666666666602</v>
      </c>
      <c r="K633" s="98">
        <f ca="1">HLOOKUP($H$5,'Met Data'!$O$2:$T$368,G633,FALSE)</f>
        <v>2.2346438003254501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293</v>
      </c>
      <c r="H634" s="97">
        <f t="shared" ca="1" si="99"/>
        <v>45949</v>
      </c>
      <c r="I634" s="121">
        <f ca="1">HLOOKUP($H$5,'Met Data'!$A$2:$F$368,G634,FALSE)</f>
        <v>12.154166666666599</v>
      </c>
      <c r="J634" s="119">
        <f ca="1">HLOOKUP($H$5,'Met Data'!$H$2:$M$368,G634,FALSE)*L634</f>
        <v>1.1000000000000001</v>
      </c>
      <c r="K634" s="98">
        <f ca="1">HLOOKUP($H$5,'Met Data'!$O$2:$T$368,G634,FALSE)</f>
        <v>2.9905003990183601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294</v>
      </c>
      <c r="H635" s="97">
        <f t="shared" ca="1" si="99"/>
        <v>45950</v>
      </c>
      <c r="I635" s="121">
        <f ca="1">HLOOKUP($H$5,'Met Data'!$A$2:$F$368,G635,FALSE)</f>
        <v>12.6666666666666</v>
      </c>
      <c r="J635" s="119">
        <f ca="1">HLOOKUP($H$5,'Met Data'!$H$2:$M$368,G635,FALSE)*L635</f>
        <v>1.13333333333333</v>
      </c>
      <c r="K635" s="98">
        <f ca="1">HLOOKUP($H$5,'Met Data'!$O$2:$T$368,G635,FALSE)</f>
        <v>2.7134262355768599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295</v>
      </c>
      <c r="H636" s="97">
        <f t="shared" ca="1" si="99"/>
        <v>45951</v>
      </c>
      <c r="I636" s="121">
        <f ca="1">HLOOKUP($H$5,'Met Data'!$A$2:$F$368,G636,FALSE)</f>
        <v>12.4916666666666</v>
      </c>
      <c r="J636" s="119">
        <f ca="1">HLOOKUP($H$5,'Met Data'!$H$2:$M$368,G636,FALSE)*L636</f>
        <v>0.51666666666666605</v>
      </c>
      <c r="K636" s="98">
        <f ca="1">HLOOKUP($H$5,'Met Data'!$O$2:$T$368,G636,FALSE)</f>
        <v>2.2874725559703002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296</v>
      </c>
      <c r="H637" s="97">
        <f t="shared" ca="1" si="99"/>
        <v>45952</v>
      </c>
      <c r="I637" s="121">
        <f ca="1">HLOOKUP($H$5,'Met Data'!$A$2:$F$368,G637,FALSE)</f>
        <v>12.925000000000001</v>
      </c>
      <c r="J637" s="119">
        <f ca="1">HLOOKUP($H$5,'Met Data'!$H$2:$M$368,G637,FALSE)*L637</f>
        <v>3.7166666666666601</v>
      </c>
      <c r="K637" s="98">
        <f ca="1">HLOOKUP($H$5,'Met Data'!$O$2:$T$368,G637,FALSE)</f>
        <v>2.31884542682567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297</v>
      </c>
      <c r="H638" s="97">
        <f t="shared" ca="1" si="99"/>
        <v>45953</v>
      </c>
      <c r="I638" s="121">
        <f ca="1">HLOOKUP($H$5,'Met Data'!$A$2:$F$368,G638,FALSE)</f>
        <v>12.2291666666666</v>
      </c>
      <c r="J638" s="119">
        <f ca="1">HLOOKUP($H$5,'Met Data'!$H$2:$M$368,G638,FALSE)*L638</f>
        <v>2.8333333333333299</v>
      </c>
      <c r="K638" s="98">
        <f ca="1">HLOOKUP($H$5,'Met Data'!$O$2:$T$368,G638,FALSE)</f>
        <v>2.7150999093147798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298</v>
      </c>
      <c r="H639" s="97">
        <f t="shared" ca="1" si="99"/>
        <v>45954</v>
      </c>
      <c r="I639" s="121">
        <f ca="1">HLOOKUP($H$5,'Met Data'!$A$2:$F$368,G639,FALSE)</f>
        <v>12.2708333333333</v>
      </c>
      <c r="J639" s="119">
        <f ca="1">HLOOKUP($H$5,'Met Data'!$H$2:$M$368,G639,FALSE)*L639</f>
        <v>0.85</v>
      </c>
      <c r="K639" s="98">
        <f ca="1">HLOOKUP($H$5,'Met Data'!$O$2:$T$368,G639,FALSE)</f>
        <v>2.95103134032406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299</v>
      </c>
      <c r="H640" s="97">
        <f t="shared" ca="1" si="99"/>
        <v>45955</v>
      </c>
      <c r="I640" s="121">
        <f ca="1">HLOOKUP($H$5,'Met Data'!$A$2:$F$368,G640,FALSE)</f>
        <v>12.858333333333301</v>
      </c>
      <c r="J640" s="119">
        <f ca="1">HLOOKUP($H$5,'Met Data'!$H$2:$M$368,G640,FALSE)*L640</f>
        <v>1.0333333333333301</v>
      </c>
      <c r="K640" s="98">
        <f ca="1">HLOOKUP($H$5,'Met Data'!$O$2:$T$368,G640,FALSE)</f>
        <v>2.6842724832832401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300</v>
      </c>
      <c r="H641" s="97">
        <f t="shared" ca="1" si="99"/>
        <v>45956</v>
      </c>
      <c r="I641" s="121">
        <f ca="1">HLOOKUP($H$5,'Met Data'!$A$2:$F$368,G641,FALSE)</f>
        <v>13.7708333333333</v>
      </c>
      <c r="J641" s="119">
        <f ca="1">HLOOKUP($H$5,'Met Data'!$H$2:$M$368,G641,FALSE)*L641</f>
        <v>3.5166666666666599</v>
      </c>
      <c r="K641" s="98">
        <f ca="1">HLOOKUP($H$5,'Met Data'!$O$2:$T$368,G641,FALSE)</f>
        <v>2.91343955355575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301</v>
      </c>
      <c r="H642" s="97">
        <f t="shared" ca="1" si="99"/>
        <v>45957</v>
      </c>
      <c r="I642" s="121">
        <f ca="1">HLOOKUP($H$5,'Met Data'!$A$2:$F$368,G642,FALSE)</f>
        <v>13.899999999999901</v>
      </c>
      <c r="J642" s="119">
        <f ca="1">HLOOKUP($H$5,'Met Data'!$H$2:$M$368,G642,FALSE)*L642</f>
        <v>4.75</v>
      </c>
      <c r="K642" s="98">
        <f ca="1">HLOOKUP($H$5,'Met Data'!$O$2:$T$368,G642,FALSE)</f>
        <v>2.4549016141153701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302</v>
      </c>
      <c r="H643" s="97">
        <f t="shared" ca="1" si="99"/>
        <v>45958</v>
      </c>
      <c r="I643" s="121">
        <f ca="1">HLOOKUP($H$5,'Met Data'!$A$2:$F$368,G643,FALSE)</f>
        <v>13.425000000000001</v>
      </c>
      <c r="J643" s="119">
        <f ca="1">HLOOKUP($H$5,'Met Data'!$H$2:$M$368,G643,FALSE)*L643</f>
        <v>5.6333333333333302</v>
      </c>
      <c r="K643" s="98">
        <f ca="1">HLOOKUP($H$5,'Met Data'!$O$2:$T$368,G643,FALSE)</f>
        <v>2.5803220554406501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303</v>
      </c>
      <c r="H644" s="97">
        <f t="shared" ca="1" si="99"/>
        <v>45959</v>
      </c>
      <c r="I644" s="121">
        <f ca="1">HLOOKUP($H$5,'Met Data'!$A$2:$F$368,G644,FALSE)</f>
        <v>13.9625</v>
      </c>
      <c r="J644" s="119">
        <f ca="1">HLOOKUP($H$5,'Met Data'!$H$2:$M$368,G644,FALSE)*L644</f>
        <v>3.7833333333333301</v>
      </c>
      <c r="K644" s="98">
        <f ca="1">HLOOKUP($H$5,'Met Data'!$O$2:$T$368,G644,FALSE)</f>
        <v>2.91115304555708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304</v>
      </c>
      <c r="H645" s="97">
        <f t="shared" ca="1" si="99"/>
        <v>45960</v>
      </c>
      <c r="I645" s="121">
        <f ca="1">HLOOKUP($H$5,'Met Data'!$A$2:$F$368,G645,FALSE)</f>
        <v>13.045833333333301</v>
      </c>
      <c r="J645" s="119">
        <f ca="1">HLOOKUP($H$5,'Met Data'!$H$2:$M$368,G645,FALSE)*L645</f>
        <v>0.39999999999999902</v>
      </c>
      <c r="K645" s="98">
        <f ca="1">HLOOKUP($H$5,'Met Data'!$O$2:$T$368,G645,FALSE)</f>
        <v>3.19138361024571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305</v>
      </c>
      <c r="H646" s="97">
        <f t="shared" ca="1" si="99"/>
        <v>45961</v>
      </c>
      <c r="I646" s="121">
        <f ca="1">HLOOKUP($H$5,'Met Data'!$A$2:$F$368,G646,FALSE)</f>
        <v>12.6166666666666</v>
      </c>
      <c r="J646" s="119">
        <f ca="1">HLOOKUP($H$5,'Met Data'!$H$2:$M$368,G646,FALSE)*L646</f>
        <v>3.4666666666666601</v>
      </c>
      <c r="K646" s="98">
        <f ca="1">HLOOKUP($H$5,'Met Data'!$O$2:$T$368,G646,FALSE)</f>
        <v>3.1814806222099299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306</v>
      </c>
      <c r="H647" s="97">
        <f t="shared" ca="1" si="99"/>
        <v>45962</v>
      </c>
      <c r="I647" s="121">
        <f ca="1">HLOOKUP($H$5,'Met Data'!$A$2:$F$368,G647,FALSE)</f>
        <v>12.4791666666666</v>
      </c>
      <c r="J647" s="119">
        <f ca="1">HLOOKUP($H$5,'Met Data'!$H$2:$M$368,G647,FALSE)*L647</f>
        <v>2.68333333333333</v>
      </c>
      <c r="K647" s="98">
        <f ca="1">HLOOKUP($H$5,'Met Data'!$O$2:$T$368,G647,FALSE)</f>
        <v>3.1007141373476301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307</v>
      </c>
      <c r="H648" s="97">
        <f t="shared" ca="1" si="99"/>
        <v>45963</v>
      </c>
      <c r="I648" s="121">
        <f ca="1">HLOOKUP($H$5,'Met Data'!$A$2:$F$368,G648,FALSE)</f>
        <v>13.3125</v>
      </c>
      <c r="J648" s="119">
        <f ca="1">HLOOKUP($H$5,'Met Data'!$H$2:$M$368,G648,FALSE)*L648</f>
        <v>1.68333333333333</v>
      </c>
      <c r="K648" s="98">
        <f ca="1">HLOOKUP($H$5,'Met Data'!$O$2:$T$368,G648,FALSE)</f>
        <v>3.50405600149278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308</v>
      </c>
      <c r="H649" s="97">
        <f t="shared" ref="H649:H712" ca="1" si="109">H648+1</f>
        <v>45964</v>
      </c>
      <c r="I649" s="121">
        <f ca="1">HLOOKUP($H$5,'Met Data'!$A$2:$F$368,G649,FALSE)</f>
        <v>14.35</v>
      </c>
      <c r="J649" s="119">
        <f ca="1">HLOOKUP($H$5,'Met Data'!$H$2:$M$368,G649,FALSE)*L649</f>
        <v>5.1333333333333302</v>
      </c>
      <c r="K649" s="98">
        <f ca="1">HLOOKUP($H$5,'Met Data'!$O$2:$T$368,G649,FALSE)</f>
        <v>2.61745839191309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309</v>
      </c>
      <c r="H650" s="97">
        <f t="shared" ca="1" si="109"/>
        <v>45965</v>
      </c>
      <c r="I650" s="121">
        <f ca="1">HLOOKUP($H$5,'Met Data'!$A$2:$F$368,G650,FALSE)</f>
        <v>13.875</v>
      </c>
      <c r="J650" s="119">
        <f ca="1">HLOOKUP($H$5,'Met Data'!$H$2:$M$368,G650,FALSE)*L650</f>
        <v>1.86666666666666</v>
      </c>
      <c r="K650" s="98">
        <f ca="1">HLOOKUP($H$5,'Met Data'!$O$2:$T$368,G650,FALSE)</f>
        <v>2.7392607073945601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310</v>
      </c>
      <c r="H651" s="97">
        <f t="shared" ca="1" si="109"/>
        <v>45966</v>
      </c>
      <c r="I651" s="121">
        <f ca="1">HLOOKUP($H$5,'Met Data'!$A$2:$F$368,G651,FALSE)</f>
        <v>13.316666666666601</v>
      </c>
      <c r="J651" s="119">
        <f ca="1">HLOOKUP($H$5,'Met Data'!$H$2:$M$368,G651,FALSE)*L651</f>
        <v>1.13333333333333</v>
      </c>
      <c r="K651" s="98">
        <f ca="1">HLOOKUP($H$5,'Met Data'!$O$2:$T$368,G651,FALSE)</f>
        <v>3.4135545366379101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311</v>
      </c>
      <c r="H652" s="97">
        <f t="shared" ca="1" si="109"/>
        <v>45967</v>
      </c>
      <c r="I652" s="121">
        <f ca="1">HLOOKUP($H$5,'Met Data'!$A$2:$F$368,G652,FALSE)</f>
        <v>13.1454545454545</v>
      </c>
      <c r="J652" s="119">
        <f ca="1">HLOOKUP($H$5,'Met Data'!$H$2:$M$368,G652,FALSE)*L652</f>
        <v>0.472727272727272</v>
      </c>
      <c r="K652" s="98">
        <f ca="1">HLOOKUP($H$5,'Met Data'!$O$2:$T$368,G652,FALSE)</f>
        <v>3.2963131788019302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312</v>
      </c>
      <c r="H653" s="97">
        <f t="shared" ca="1" si="109"/>
        <v>45968</v>
      </c>
      <c r="I653" s="121">
        <f ca="1">HLOOKUP($H$5,'Met Data'!$A$2:$F$368,G653,FALSE)</f>
        <v>13.4166666666666</v>
      </c>
      <c r="J653" s="119">
        <f ca="1">HLOOKUP($H$5,'Met Data'!$H$2:$M$368,G653,FALSE)*L653</f>
        <v>2.35</v>
      </c>
      <c r="K653" s="98">
        <f ca="1">HLOOKUP($H$5,'Met Data'!$O$2:$T$368,G653,FALSE)</f>
        <v>3.43315852526095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313</v>
      </c>
      <c r="H654" s="97">
        <f t="shared" ca="1" si="109"/>
        <v>45969</v>
      </c>
      <c r="I654" s="121">
        <f ca="1">HLOOKUP($H$5,'Met Data'!$A$2:$F$368,G654,FALSE)</f>
        <v>13.8708333333333</v>
      </c>
      <c r="J654" s="119">
        <f ca="1">HLOOKUP($H$5,'Met Data'!$H$2:$M$368,G654,FALSE)*L654</f>
        <v>2.86666666666666</v>
      </c>
      <c r="K654" s="98">
        <f ca="1">HLOOKUP($H$5,'Met Data'!$O$2:$T$368,G654,FALSE)</f>
        <v>3.09770464623969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314</v>
      </c>
      <c r="H655" s="97">
        <f t="shared" ca="1" si="109"/>
        <v>45970</v>
      </c>
      <c r="I655" s="121">
        <f ca="1">HLOOKUP($H$5,'Met Data'!$A$2:$F$368,G655,FALSE)</f>
        <v>14.158333333333299</v>
      </c>
      <c r="J655" s="119">
        <f ca="1">HLOOKUP($H$5,'Met Data'!$H$2:$M$368,G655,FALSE)*L655</f>
        <v>3.2166666666666601</v>
      </c>
      <c r="K655" s="98">
        <f ca="1">HLOOKUP($H$5,'Met Data'!$O$2:$T$368,G655,FALSE)</f>
        <v>3.3024968395707299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315</v>
      </c>
      <c r="H656" s="97">
        <f t="shared" ca="1" si="109"/>
        <v>45971</v>
      </c>
      <c r="I656" s="121">
        <f ca="1">HLOOKUP($H$5,'Met Data'!$A$2:$F$368,G656,FALSE)</f>
        <v>13.6666666666666</v>
      </c>
      <c r="J656" s="119">
        <f ca="1">HLOOKUP($H$5,'Met Data'!$H$2:$M$368,G656,FALSE)*L656</f>
        <v>2.0499999999999998</v>
      </c>
      <c r="K656" s="98">
        <f ca="1">HLOOKUP($H$5,'Met Data'!$O$2:$T$368,G656,FALSE)</f>
        <v>2.6586912182490101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316</v>
      </c>
      <c r="H657" s="97">
        <f t="shared" ca="1" si="109"/>
        <v>45972</v>
      </c>
      <c r="I657" s="121">
        <f ca="1">HLOOKUP($H$5,'Met Data'!$A$2:$F$368,G657,FALSE)</f>
        <v>13.8958333333333</v>
      </c>
      <c r="J657" s="119">
        <f ca="1">HLOOKUP($H$5,'Met Data'!$H$2:$M$368,G657,FALSE)*L657</f>
        <v>3.94999999999999</v>
      </c>
      <c r="K657" s="98">
        <f ca="1">HLOOKUP($H$5,'Met Data'!$O$2:$T$368,G657,FALSE)</f>
        <v>2.87577977788037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317</v>
      </c>
      <c r="H658" s="97">
        <f t="shared" ca="1" si="109"/>
        <v>45973</v>
      </c>
      <c r="I658" s="121">
        <f ca="1">HLOOKUP($H$5,'Met Data'!$A$2:$F$368,G658,FALSE)</f>
        <v>13.0625</v>
      </c>
      <c r="J658" s="119">
        <f ca="1">HLOOKUP($H$5,'Met Data'!$H$2:$M$368,G658,FALSE)*L658</f>
        <v>3.0666666666666602</v>
      </c>
      <c r="K658" s="98">
        <f ca="1">HLOOKUP($H$5,'Met Data'!$O$2:$T$368,G658,FALSE)</f>
        <v>2.8947392121826798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318</v>
      </c>
      <c r="H659" s="97">
        <f t="shared" ca="1" si="109"/>
        <v>45974</v>
      </c>
      <c r="I659" s="121">
        <f ca="1">HLOOKUP($H$5,'Met Data'!$A$2:$F$368,G659,FALSE)</f>
        <v>12.55</v>
      </c>
      <c r="J659" s="119">
        <f ca="1">HLOOKUP($H$5,'Met Data'!$H$2:$M$368,G659,FALSE)*L659</f>
        <v>1.2</v>
      </c>
      <c r="K659" s="98">
        <f ca="1">HLOOKUP($H$5,'Met Data'!$O$2:$T$368,G659,FALSE)</f>
        <v>3.2727192045008802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319</v>
      </c>
      <c r="H660" s="97">
        <f t="shared" ca="1" si="109"/>
        <v>45975</v>
      </c>
      <c r="I660" s="121">
        <f ca="1">HLOOKUP($H$5,'Met Data'!$A$2:$F$368,G660,FALSE)</f>
        <v>12.591666666666599</v>
      </c>
      <c r="J660" s="119">
        <f ca="1">HLOOKUP($H$5,'Met Data'!$H$2:$M$368,G660,FALSE)*L660</f>
        <v>1.25</v>
      </c>
      <c r="K660" s="98">
        <f ca="1">HLOOKUP($H$5,'Met Data'!$O$2:$T$368,G660,FALSE)</f>
        <v>3.2542764283054399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320</v>
      </c>
      <c r="H661" s="97">
        <f t="shared" ca="1" si="109"/>
        <v>45976</v>
      </c>
      <c r="I661" s="121">
        <f ca="1">HLOOKUP($H$5,'Met Data'!$A$2:$F$368,G661,FALSE)</f>
        <v>13.462499999999901</v>
      </c>
      <c r="J661" s="119">
        <f ca="1">HLOOKUP($H$5,'Met Data'!$H$2:$M$368,G661,FALSE)*L661</f>
        <v>2.0666666666666602</v>
      </c>
      <c r="K661" s="98">
        <f ca="1">HLOOKUP($H$5,'Met Data'!$O$2:$T$368,G661,FALSE)</f>
        <v>3.39036465144653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321</v>
      </c>
      <c r="H662" s="97">
        <f t="shared" ca="1" si="109"/>
        <v>45977</v>
      </c>
      <c r="I662" s="121">
        <f ca="1">HLOOKUP($H$5,'Met Data'!$A$2:$F$368,G662,FALSE)</f>
        <v>14.7458333333333</v>
      </c>
      <c r="J662" s="119">
        <f ca="1">HLOOKUP($H$5,'Met Data'!$H$2:$M$368,G662,FALSE)*L662</f>
        <v>5.2166666666666597</v>
      </c>
      <c r="K662" s="98">
        <f ca="1">HLOOKUP($H$5,'Met Data'!$O$2:$T$368,G662,FALSE)</f>
        <v>3.3940384004400501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322</v>
      </c>
      <c r="H663" s="97">
        <f t="shared" ca="1" si="109"/>
        <v>45978</v>
      </c>
      <c r="I663" s="121">
        <f ca="1">HLOOKUP($H$5,'Met Data'!$A$2:$F$368,G663,FALSE)</f>
        <v>14.945833333333301</v>
      </c>
      <c r="J663" s="119">
        <f ca="1">HLOOKUP($H$5,'Met Data'!$H$2:$M$368,G663,FALSE)*L663</f>
        <v>5.3333333333333304</v>
      </c>
      <c r="K663" s="98">
        <f ca="1">HLOOKUP($H$5,'Met Data'!$O$2:$T$368,G663,FALSE)</f>
        <v>2.86263659321907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323</v>
      </c>
      <c r="H664" s="97">
        <f t="shared" ca="1" si="109"/>
        <v>45979</v>
      </c>
      <c r="I664" s="121">
        <f ca="1">HLOOKUP($H$5,'Met Data'!$A$2:$F$368,G664,FALSE)</f>
        <v>14.45</v>
      </c>
      <c r="J664" s="119">
        <f ca="1">HLOOKUP($H$5,'Met Data'!$H$2:$M$368,G664,FALSE)*L664</f>
        <v>6.0833333333333304</v>
      </c>
      <c r="K664" s="98">
        <f ca="1">HLOOKUP($H$5,'Met Data'!$O$2:$T$368,G664,FALSE)</f>
        <v>3.2654882571522399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324</v>
      </c>
      <c r="H665" s="97">
        <f t="shared" ca="1" si="109"/>
        <v>45980</v>
      </c>
      <c r="I665" s="121">
        <f ca="1">HLOOKUP($H$5,'Met Data'!$A$2:$F$368,G665,FALSE)</f>
        <v>13.941666666666601</v>
      </c>
      <c r="J665" s="119">
        <f ca="1">HLOOKUP($H$5,'Met Data'!$H$2:$M$368,G665,FALSE)*L665</f>
        <v>0.98333333333333295</v>
      </c>
      <c r="K665" s="98">
        <f ca="1">HLOOKUP($H$5,'Met Data'!$O$2:$T$368,G665,FALSE)</f>
        <v>3.5976260978488002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325</v>
      </c>
      <c r="H666" s="97">
        <f t="shared" ca="1" si="109"/>
        <v>45981</v>
      </c>
      <c r="I666" s="121">
        <f ca="1">HLOOKUP($H$5,'Met Data'!$A$2:$F$368,G666,FALSE)</f>
        <v>14.1208333333333</v>
      </c>
      <c r="J666" s="119">
        <f ca="1">HLOOKUP($H$5,'Met Data'!$H$2:$M$368,G666,FALSE)*L666</f>
        <v>2.36666666666666</v>
      </c>
      <c r="K666" s="98">
        <f ca="1">HLOOKUP($H$5,'Met Data'!$O$2:$T$368,G666,FALSE)</f>
        <v>3.2574752266568199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326</v>
      </c>
      <c r="H667" s="97">
        <f t="shared" ca="1" si="109"/>
        <v>45982</v>
      </c>
      <c r="I667" s="121">
        <f ca="1">HLOOKUP($H$5,'Met Data'!$A$2:$F$368,G667,FALSE)</f>
        <v>14.2</v>
      </c>
      <c r="J667" s="119">
        <f ca="1">HLOOKUP($H$5,'Met Data'!$H$2:$M$368,G667,FALSE)*L667</f>
        <v>1.4166666666666601</v>
      </c>
      <c r="K667" s="98">
        <f ca="1">HLOOKUP($H$5,'Met Data'!$O$2:$T$368,G667,FALSE)</f>
        <v>3.2248407363783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327</v>
      </c>
      <c r="H668" s="97">
        <f t="shared" ca="1" si="109"/>
        <v>45983</v>
      </c>
      <c r="I668" s="121">
        <f ca="1">HLOOKUP($H$5,'Met Data'!$A$2:$F$368,G668,FALSE)</f>
        <v>14.2916666666666</v>
      </c>
      <c r="J668" s="119">
        <f ca="1">HLOOKUP($H$5,'Met Data'!$H$2:$M$368,G668,FALSE)*L668</f>
        <v>1.2333333333333301</v>
      </c>
      <c r="K668" s="98">
        <f ca="1">HLOOKUP($H$5,'Met Data'!$O$2:$T$368,G668,FALSE)</f>
        <v>3.2303061956604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328</v>
      </c>
      <c r="H669" s="97">
        <f t="shared" ca="1" si="109"/>
        <v>45984</v>
      </c>
      <c r="I669" s="121">
        <f ca="1">HLOOKUP($H$5,'Met Data'!$A$2:$F$368,G669,FALSE)</f>
        <v>14.8666666666666</v>
      </c>
      <c r="J669" s="119">
        <f ca="1">HLOOKUP($H$5,'Met Data'!$H$2:$M$368,G669,FALSE)*L669</f>
        <v>0.21666666666666601</v>
      </c>
      <c r="K669" s="98">
        <f ca="1">HLOOKUP($H$5,'Met Data'!$O$2:$T$368,G669,FALSE)</f>
        <v>3.8851743269165699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329</v>
      </c>
      <c r="H670" s="97">
        <f t="shared" ca="1" si="109"/>
        <v>45985</v>
      </c>
      <c r="I670" s="121">
        <f ca="1">HLOOKUP($H$5,'Met Data'!$A$2:$F$368,G670,FALSE)</f>
        <v>14.875</v>
      </c>
      <c r="J670" s="119">
        <f ca="1">HLOOKUP($H$5,'Met Data'!$H$2:$M$368,G670,FALSE)*L670</f>
        <v>1.8333333333333299</v>
      </c>
      <c r="K670" s="98">
        <f ca="1">HLOOKUP($H$5,'Met Data'!$O$2:$T$368,G670,FALSE)</f>
        <v>3.3424019609463702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330</v>
      </c>
      <c r="H671" s="97">
        <f t="shared" ca="1" si="109"/>
        <v>45986</v>
      </c>
      <c r="I671" s="121">
        <f ca="1">HLOOKUP($H$5,'Met Data'!$A$2:$F$368,G671,FALSE)</f>
        <v>15.8125</v>
      </c>
      <c r="J671" s="119">
        <f ca="1">HLOOKUP($H$5,'Met Data'!$H$2:$M$368,G671,FALSE)*L671</f>
        <v>2.0166666666666599</v>
      </c>
      <c r="K671" s="98">
        <f ca="1">HLOOKUP($H$5,'Met Data'!$O$2:$T$368,G671,FALSE)</f>
        <v>3.2688322627941302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331</v>
      </c>
      <c r="H672" s="97">
        <f t="shared" ca="1" si="109"/>
        <v>45987</v>
      </c>
      <c r="I672" s="121">
        <f ca="1">HLOOKUP($H$5,'Met Data'!$A$2:$F$368,G672,FALSE)</f>
        <v>15.945833333333301</v>
      </c>
      <c r="J672" s="119">
        <f ca="1">HLOOKUP($H$5,'Met Data'!$H$2:$M$368,G672,FALSE)*L672</f>
        <v>5.8833333333333302</v>
      </c>
      <c r="K672" s="98">
        <f ca="1">HLOOKUP($H$5,'Met Data'!$O$2:$T$368,G672,FALSE)</f>
        <v>3.26798762006384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332</v>
      </c>
      <c r="H673" s="97">
        <f t="shared" ca="1" si="109"/>
        <v>45988</v>
      </c>
      <c r="I673" s="121">
        <f ca="1">HLOOKUP($H$5,'Met Data'!$A$2:$F$368,G673,FALSE)</f>
        <v>16.279166666666601</v>
      </c>
      <c r="J673" s="119">
        <f ca="1">HLOOKUP($H$5,'Met Data'!$H$2:$M$368,G673,FALSE)*L673</f>
        <v>1.4833333333333301</v>
      </c>
      <c r="K673" s="98">
        <f ca="1">HLOOKUP($H$5,'Met Data'!$O$2:$T$368,G673,FALSE)</f>
        <v>3.19082213890132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333</v>
      </c>
      <c r="H674" s="97">
        <f t="shared" ca="1" si="109"/>
        <v>45989</v>
      </c>
      <c r="I674" s="121">
        <f ca="1">HLOOKUP($H$5,'Met Data'!$A$2:$F$368,G674,FALSE)</f>
        <v>16.070833333333301</v>
      </c>
      <c r="J674" s="119">
        <f ca="1">HLOOKUP($H$5,'Met Data'!$H$2:$M$368,G674,FALSE)*L674</f>
        <v>7.43333333333333</v>
      </c>
      <c r="K674" s="98">
        <f ca="1">HLOOKUP($H$5,'Met Data'!$O$2:$T$368,G674,FALSE)</f>
        <v>3.00999975823754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334</v>
      </c>
      <c r="H675" s="97">
        <f t="shared" ca="1" si="109"/>
        <v>45990</v>
      </c>
      <c r="I675" s="121">
        <f ca="1">HLOOKUP($H$5,'Met Data'!$A$2:$F$368,G675,FALSE)</f>
        <v>15.033333333333299</v>
      </c>
      <c r="J675" s="119">
        <f ca="1">HLOOKUP($H$5,'Met Data'!$H$2:$M$368,G675,FALSE)*L675</f>
        <v>0.66666666666666596</v>
      </c>
      <c r="K675" s="98">
        <f ca="1">HLOOKUP($H$5,'Met Data'!$O$2:$T$368,G675,FALSE)</f>
        <v>4.1701433642644803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335</v>
      </c>
      <c r="H676" s="97">
        <f t="shared" ca="1" si="109"/>
        <v>45991</v>
      </c>
      <c r="I676" s="121">
        <f ca="1">HLOOKUP($H$5,'Met Data'!$A$2:$F$368,G676,FALSE)</f>
        <v>16.1166666666666</v>
      </c>
      <c r="J676" s="119">
        <f ca="1">HLOOKUP($H$5,'Met Data'!$H$2:$M$368,G676,FALSE)*L676</f>
        <v>5.2333333333333298</v>
      </c>
      <c r="K676" s="98">
        <f ca="1">HLOOKUP($H$5,'Met Data'!$O$2:$T$368,G676,FALSE)</f>
        <v>3.7664149911337801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336</v>
      </c>
      <c r="H677" s="97">
        <f t="shared" ca="1" si="109"/>
        <v>45992</v>
      </c>
      <c r="I677" s="121">
        <f ca="1">HLOOKUP($H$5,'Met Data'!$A$2:$F$368,G677,FALSE)</f>
        <v>15.887499999999999</v>
      </c>
      <c r="J677" s="119">
        <f ca="1">HLOOKUP($H$5,'Met Data'!$H$2:$M$368,G677,FALSE)*L677</f>
        <v>6.75</v>
      </c>
      <c r="K677" s="98">
        <f ca="1">HLOOKUP($H$5,'Met Data'!$O$2:$T$368,G677,FALSE)</f>
        <v>3.2490041935251899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337</v>
      </c>
      <c r="H678" s="97">
        <f t="shared" ca="1" si="109"/>
        <v>45993</v>
      </c>
      <c r="I678" s="121">
        <f ca="1">HLOOKUP($H$5,'Met Data'!$A$2:$F$368,G678,FALSE)</f>
        <v>16.1458333333333</v>
      </c>
      <c r="J678" s="119">
        <f ca="1">HLOOKUP($H$5,'Met Data'!$H$2:$M$368,G678,FALSE)*L678</f>
        <v>1.0833333333333299</v>
      </c>
      <c r="K678" s="98">
        <f ca="1">HLOOKUP($H$5,'Met Data'!$O$2:$T$368,G678,FALSE)</f>
        <v>3.8649058322152201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338</v>
      </c>
      <c r="H679" s="97">
        <f t="shared" ca="1" si="109"/>
        <v>45994</v>
      </c>
      <c r="I679" s="121">
        <f ca="1">HLOOKUP($H$5,'Met Data'!$A$2:$F$368,G679,FALSE)</f>
        <v>16.0625</v>
      </c>
      <c r="J679" s="119">
        <f ca="1">HLOOKUP($H$5,'Met Data'!$H$2:$M$368,G679,FALSE)*L679</f>
        <v>2.2666666666666599</v>
      </c>
      <c r="K679" s="98">
        <f ca="1">HLOOKUP($H$5,'Met Data'!$O$2:$T$368,G679,FALSE)</f>
        <v>3.3633315244434101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339</v>
      </c>
      <c r="H680" s="97">
        <f t="shared" ca="1" si="109"/>
        <v>45995</v>
      </c>
      <c r="I680" s="121">
        <f ca="1">HLOOKUP($H$5,'Met Data'!$A$2:$F$368,G680,FALSE)</f>
        <v>16.591666666666601</v>
      </c>
      <c r="J680" s="119">
        <f ca="1">HLOOKUP($H$5,'Met Data'!$H$2:$M$368,G680,FALSE)*L680</f>
        <v>3.0333333333333301</v>
      </c>
      <c r="K680" s="98">
        <f ca="1">HLOOKUP($H$5,'Met Data'!$O$2:$T$368,G680,FALSE)</f>
        <v>3.8332290024095501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340</v>
      </c>
      <c r="H681" s="97">
        <f t="shared" ca="1" si="109"/>
        <v>45996</v>
      </c>
      <c r="I681" s="121">
        <f ca="1">HLOOKUP($H$5,'Met Data'!$A$2:$F$368,G681,FALSE)</f>
        <v>16.441666666666599</v>
      </c>
      <c r="J681" s="119">
        <f ca="1">HLOOKUP($H$5,'Met Data'!$H$2:$M$368,G681,FALSE)*L681</f>
        <v>1.0833333333333299</v>
      </c>
      <c r="K681" s="98">
        <f ca="1">HLOOKUP($H$5,'Met Data'!$O$2:$T$368,G681,FALSE)</f>
        <v>3.3753600087216298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341</v>
      </c>
      <c r="H682" s="97">
        <f t="shared" ca="1" si="109"/>
        <v>45997</v>
      </c>
      <c r="I682" s="121">
        <f ca="1">HLOOKUP($H$5,'Met Data'!$A$2:$F$368,G682,FALSE)</f>
        <v>16.454166666666602</v>
      </c>
      <c r="J682" s="119">
        <f ca="1">HLOOKUP($H$5,'Met Data'!$H$2:$M$368,G682,FALSE)*L682</f>
        <v>2.61666666666666</v>
      </c>
      <c r="K682" s="98">
        <f ca="1">HLOOKUP($H$5,'Met Data'!$O$2:$T$368,G682,FALSE)</f>
        <v>2.8811659068389401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342</v>
      </c>
      <c r="H683" s="97">
        <f t="shared" ca="1" si="109"/>
        <v>45998</v>
      </c>
      <c r="I683" s="121">
        <f ca="1">HLOOKUP($H$5,'Met Data'!$A$2:$F$368,G683,FALSE)</f>
        <v>15.879166666666601</v>
      </c>
      <c r="J683" s="119">
        <f ca="1">HLOOKUP($H$5,'Met Data'!$H$2:$M$368,G683,FALSE)*L683</f>
        <v>3.1</v>
      </c>
      <c r="K683" s="98">
        <f ca="1">HLOOKUP($H$5,'Met Data'!$O$2:$T$368,G683,FALSE)</f>
        <v>3.4185168625157498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343</v>
      </c>
      <c r="H684" s="97">
        <f t="shared" ca="1" si="109"/>
        <v>45999</v>
      </c>
      <c r="I684" s="121">
        <f ca="1">HLOOKUP($H$5,'Met Data'!$A$2:$F$368,G684,FALSE)</f>
        <v>15.259090909090901</v>
      </c>
      <c r="J684" s="119">
        <f ca="1">HLOOKUP($H$5,'Met Data'!$H$2:$M$368,G684,FALSE)*L684</f>
        <v>6.1090909090908996</v>
      </c>
      <c r="K684" s="98">
        <f ca="1">HLOOKUP($H$5,'Met Data'!$O$2:$T$368,G684,FALSE)</f>
        <v>2.9122766026990501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344</v>
      </c>
      <c r="H685" s="97">
        <f t="shared" ca="1" si="109"/>
        <v>46000</v>
      </c>
      <c r="I685" s="121">
        <f ca="1">HLOOKUP($H$5,'Met Data'!$A$2:$F$368,G685,FALSE)</f>
        <v>15.9125</v>
      </c>
      <c r="J685" s="119">
        <f ca="1">HLOOKUP($H$5,'Met Data'!$H$2:$M$368,G685,FALSE)*L685</f>
        <v>1.7833333333333301</v>
      </c>
      <c r="K685" s="98">
        <f ca="1">HLOOKUP($H$5,'Met Data'!$O$2:$T$368,G685,FALSE)</f>
        <v>3.7124167377990198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345</v>
      </c>
      <c r="H686" s="97">
        <f t="shared" ca="1" si="109"/>
        <v>46001</v>
      </c>
      <c r="I686" s="121">
        <f ca="1">HLOOKUP($H$5,'Met Data'!$A$2:$F$368,G686,FALSE)</f>
        <v>16.720833333333299</v>
      </c>
      <c r="J686" s="119">
        <f ca="1">HLOOKUP($H$5,'Met Data'!$H$2:$M$368,G686,FALSE)*L686</f>
        <v>6.61666666666666</v>
      </c>
      <c r="K686" s="98">
        <f ca="1">HLOOKUP($H$5,'Met Data'!$O$2:$T$368,G686,FALSE)</f>
        <v>3.19412245919293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346</v>
      </c>
      <c r="H687" s="97">
        <f t="shared" ca="1" si="109"/>
        <v>46002</v>
      </c>
      <c r="I687" s="121">
        <f ca="1">HLOOKUP($H$5,'Met Data'!$A$2:$F$368,G687,FALSE)</f>
        <v>17.529166666666601</v>
      </c>
      <c r="J687" s="119">
        <f ca="1">HLOOKUP($H$5,'Met Data'!$H$2:$M$368,G687,FALSE)*L687</f>
        <v>2.0333333333333301</v>
      </c>
      <c r="K687" s="98">
        <f ca="1">HLOOKUP($H$5,'Met Data'!$O$2:$T$368,G687,FALSE)</f>
        <v>3.0664285414958901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ca="1" si="100"/>
        <v>347</v>
      </c>
      <c r="H688" s="97">
        <f t="shared" ca="1" si="109"/>
        <v>46003</v>
      </c>
      <c r="I688" s="121">
        <f ca="1">HLOOKUP($H$5,'Met Data'!$A$2:$F$368,G688,FALSE)</f>
        <v>17.004166666666599</v>
      </c>
      <c r="J688" s="119">
        <f ca="1">HLOOKUP($H$5,'Met Data'!$H$2:$M$368,G688,FALSE)*L688</f>
        <v>2.4666666666666601</v>
      </c>
      <c r="K688" s="98">
        <f ca="1">HLOOKUP($H$5,'Met Data'!$O$2:$T$368,G688,FALSE)</f>
        <v>3.6044975025694099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ca="1" si="110">H689-DATE(YEAR(H689),1,0)+1</f>
        <v>348</v>
      </c>
      <c r="H689" s="97">
        <f t="shared" ca="1" si="109"/>
        <v>46004</v>
      </c>
      <c r="I689" s="121">
        <f ca="1">HLOOKUP($H$5,'Met Data'!$A$2:$F$368,G689,FALSE)</f>
        <v>16.883333333333301</v>
      </c>
      <c r="J689" s="119">
        <f ca="1">HLOOKUP($H$5,'Met Data'!$H$2:$M$368,G689,FALSE)*L689</f>
        <v>1.7333333333333301</v>
      </c>
      <c r="K689" s="98">
        <f ca="1">HLOOKUP($H$5,'Met Data'!$O$2:$T$368,G689,FALSE)</f>
        <v>4.1436131117359496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ca="1" si="110"/>
        <v>349</v>
      </c>
      <c r="H690" s="97">
        <f t="shared" ca="1" si="109"/>
        <v>46005</v>
      </c>
      <c r="I690" s="121">
        <f ca="1">HLOOKUP($H$5,'Met Data'!$A$2:$F$368,G690,FALSE)</f>
        <v>16.191666666666599</v>
      </c>
      <c r="J690" s="119">
        <f ca="1">HLOOKUP($H$5,'Met Data'!$H$2:$M$368,G690,FALSE)*L690</f>
        <v>1.5333333333333301</v>
      </c>
      <c r="K690" s="98">
        <f ca="1">HLOOKUP($H$5,'Met Data'!$O$2:$T$368,G690,FALSE)</f>
        <v>3.8138486605430502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350</v>
      </c>
      <c r="H691" s="97">
        <f t="shared" ca="1" si="109"/>
        <v>46006</v>
      </c>
      <c r="I691" s="121">
        <f ca="1">HLOOKUP($H$5,'Met Data'!$A$2:$F$368,G691,FALSE)</f>
        <v>15.754166666666601</v>
      </c>
      <c r="J691" s="119">
        <f ca="1">HLOOKUP($H$5,'Met Data'!$H$2:$M$368,G691,FALSE)*L691</f>
        <v>4.9166666666666599</v>
      </c>
      <c r="K691" s="98">
        <f ca="1">HLOOKUP($H$5,'Met Data'!$O$2:$T$368,G691,FALSE)</f>
        <v>4.2245531095694204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351</v>
      </c>
      <c r="H692" s="97">
        <f t="shared" ca="1" si="109"/>
        <v>46007</v>
      </c>
      <c r="I692" s="121">
        <f ca="1">HLOOKUP($H$5,'Met Data'!$A$2:$F$368,G692,FALSE)</f>
        <v>16.766666666666602</v>
      </c>
      <c r="J692" s="119">
        <f ca="1">HLOOKUP($H$5,'Met Data'!$H$2:$M$368,G692,FALSE)*L692</f>
        <v>1.5999999999999901</v>
      </c>
      <c r="K692" s="98">
        <f ca="1">HLOOKUP($H$5,'Met Data'!$O$2:$T$368,G692,FALSE)</f>
        <v>4.0567025040665996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352</v>
      </c>
      <c r="H693" s="97">
        <f t="shared" ca="1" si="109"/>
        <v>46008</v>
      </c>
      <c r="I693" s="121">
        <f ca="1">HLOOKUP($H$5,'Met Data'!$A$2:$F$368,G693,FALSE)</f>
        <v>16.766666666666602</v>
      </c>
      <c r="J693" s="119">
        <f ca="1">HLOOKUP($H$5,'Met Data'!$H$2:$M$368,G693,FALSE)*L693</f>
        <v>4.3166666666666602</v>
      </c>
      <c r="K693" s="98">
        <f ca="1">HLOOKUP($H$5,'Met Data'!$O$2:$T$368,G693,FALSE)</f>
        <v>3.8858032497445998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353</v>
      </c>
      <c r="H694" s="97">
        <f t="shared" ca="1" si="109"/>
        <v>46009</v>
      </c>
      <c r="I694" s="121">
        <f ca="1">HLOOKUP($H$5,'Met Data'!$A$2:$F$368,G694,FALSE)</f>
        <v>17.191666666666599</v>
      </c>
      <c r="J694" s="119">
        <f ca="1">HLOOKUP($H$5,'Met Data'!$H$2:$M$368,G694,FALSE)*L694</f>
        <v>1.25</v>
      </c>
      <c r="K694" s="98">
        <f ca="1">HLOOKUP($H$5,'Met Data'!$O$2:$T$368,G694,FALSE)</f>
        <v>3.5439221574521702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354</v>
      </c>
      <c r="H695" s="97">
        <f t="shared" ca="1" si="109"/>
        <v>46010</v>
      </c>
      <c r="I695" s="121">
        <f ca="1">HLOOKUP($H$5,'Met Data'!$A$2:$F$368,G695,FALSE)</f>
        <v>16.725000000000001</v>
      </c>
      <c r="J695" s="119">
        <f ca="1">HLOOKUP($H$5,'Met Data'!$H$2:$M$368,G695,FALSE)*L695</f>
        <v>6.43333333333333</v>
      </c>
      <c r="K695" s="98">
        <f ca="1">HLOOKUP($H$5,'Met Data'!$O$2:$T$368,G695,FALSE)</f>
        <v>2.7226403112081199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355</v>
      </c>
      <c r="H696" s="97">
        <f t="shared" ca="1" si="109"/>
        <v>46011</v>
      </c>
      <c r="I696" s="121">
        <f ca="1">HLOOKUP($H$5,'Met Data'!$A$2:$F$368,G696,FALSE)</f>
        <v>15.9625</v>
      </c>
      <c r="J696" s="119">
        <f ca="1">HLOOKUP($H$5,'Met Data'!$H$2:$M$368,G696,FALSE)*L696</f>
        <v>4.3333333333333304</v>
      </c>
      <c r="K696" s="98">
        <f ca="1">HLOOKUP($H$5,'Met Data'!$O$2:$T$368,G696,FALSE)</f>
        <v>3.7253118866284498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356</v>
      </c>
      <c r="H697" s="97">
        <f t="shared" ca="1" si="109"/>
        <v>46012</v>
      </c>
      <c r="I697" s="121">
        <f ca="1">HLOOKUP($H$5,'Met Data'!$A$2:$F$368,G697,FALSE)</f>
        <v>16.074999999999999</v>
      </c>
      <c r="J697" s="119">
        <f ca="1">HLOOKUP($H$5,'Met Data'!$H$2:$M$368,G697,FALSE)*L697</f>
        <v>0.89999999999999902</v>
      </c>
      <c r="K697" s="98">
        <f ca="1">HLOOKUP($H$5,'Met Data'!$O$2:$T$368,G697,FALSE)</f>
        <v>3.69045556475041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357</v>
      </c>
      <c r="H698" s="97">
        <f t="shared" ca="1" si="109"/>
        <v>46013</v>
      </c>
      <c r="I698" s="121">
        <f ca="1">HLOOKUP($H$5,'Met Data'!$A$2:$F$368,G698,FALSE)</f>
        <v>16.1458333333333</v>
      </c>
      <c r="J698" s="119">
        <f ca="1">HLOOKUP($H$5,'Met Data'!$H$2:$M$368,G698,FALSE)*L698</f>
        <v>0.78333333333333299</v>
      </c>
      <c r="K698" s="98">
        <f ca="1">HLOOKUP($H$5,'Met Data'!$O$2:$T$368,G698,FALSE)</f>
        <v>3.66376320931905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358</v>
      </c>
      <c r="H699" s="97">
        <f t="shared" ca="1" si="109"/>
        <v>46014</v>
      </c>
      <c r="I699" s="121">
        <f ca="1">HLOOKUP($H$5,'Met Data'!$A$2:$F$368,G699,FALSE)</f>
        <v>16.820833333333301</v>
      </c>
      <c r="J699" s="119">
        <f ca="1">HLOOKUP($H$5,'Met Data'!$H$2:$M$368,G699,FALSE)*L699</f>
        <v>1.1666666666666601</v>
      </c>
      <c r="K699" s="98">
        <f ca="1">HLOOKUP($H$5,'Met Data'!$O$2:$T$368,G699,FALSE)</f>
        <v>4.2904592235930501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359</v>
      </c>
      <c r="H700" s="97">
        <f t="shared" ca="1" si="109"/>
        <v>46015</v>
      </c>
      <c r="I700" s="121">
        <f ca="1">HLOOKUP($H$5,'Met Data'!$A$2:$F$368,G700,FALSE)</f>
        <v>16.883333333333301</v>
      </c>
      <c r="J700" s="119">
        <f ca="1">HLOOKUP($H$5,'Met Data'!$H$2:$M$368,G700,FALSE)*L700</f>
        <v>4.1499999999999897</v>
      </c>
      <c r="K700" s="98">
        <f ca="1">HLOOKUP($H$5,'Met Data'!$O$2:$T$368,G700,FALSE)</f>
        <v>3.61274265774352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360</v>
      </c>
      <c r="H701" s="97">
        <f t="shared" ca="1" si="109"/>
        <v>46016</v>
      </c>
      <c r="I701" s="121">
        <f ca="1">HLOOKUP($H$5,'Met Data'!$A$2:$F$368,G701,FALSE)</f>
        <v>17.399999999999999</v>
      </c>
      <c r="J701" s="119">
        <f ca="1">HLOOKUP($H$5,'Met Data'!$H$2:$M$368,G701,FALSE)*L701</f>
        <v>5.0166666666666604</v>
      </c>
      <c r="K701" s="98">
        <f ca="1">HLOOKUP($H$5,'Met Data'!$O$2:$T$368,G701,FALSE)</f>
        <v>4.09028075025509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361</v>
      </c>
      <c r="H702" s="97">
        <f t="shared" ca="1" si="109"/>
        <v>46017</v>
      </c>
      <c r="I702" s="121">
        <f ca="1">HLOOKUP($H$5,'Met Data'!$A$2:$F$368,G702,FALSE)</f>
        <v>17.920833333333299</v>
      </c>
      <c r="J702" s="119">
        <f ca="1">HLOOKUP($H$5,'Met Data'!$H$2:$M$368,G702,FALSE)*L702</f>
        <v>0.56666666666666599</v>
      </c>
      <c r="K702" s="98">
        <f ca="1">HLOOKUP($H$5,'Met Data'!$O$2:$T$368,G702,FALSE)</f>
        <v>4.1244552423616296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362</v>
      </c>
      <c r="H703" s="97">
        <f t="shared" ca="1" si="109"/>
        <v>46018</v>
      </c>
      <c r="I703" s="121">
        <f ca="1">HLOOKUP($H$5,'Met Data'!$A$2:$F$368,G703,FALSE)</f>
        <v>17.537500000000001</v>
      </c>
      <c r="J703" s="119">
        <f ca="1">HLOOKUP($H$5,'Met Data'!$H$2:$M$368,G703,FALSE)*L703</f>
        <v>1.2833333333333301</v>
      </c>
      <c r="K703" s="98">
        <f ca="1">HLOOKUP($H$5,'Met Data'!$O$2:$T$368,G703,FALSE)</f>
        <v>4.3692883234689903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363</v>
      </c>
      <c r="H704" s="97">
        <f t="shared" ca="1" si="109"/>
        <v>46019</v>
      </c>
      <c r="I704" s="121">
        <f ca="1">HLOOKUP($H$5,'Met Data'!$A$2:$F$368,G704,FALSE)</f>
        <v>17.012499999999999</v>
      </c>
      <c r="J704" s="119">
        <f ca="1">HLOOKUP($H$5,'Met Data'!$H$2:$M$368,G704,FALSE)*L704</f>
        <v>1.5833333333333299</v>
      </c>
      <c r="K704" s="98">
        <f ca="1">HLOOKUP($H$5,'Met Data'!$O$2:$T$368,G704,FALSE)</f>
        <v>3.8686759650684999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364</v>
      </c>
      <c r="H705" s="97">
        <f t="shared" ca="1" si="109"/>
        <v>46020</v>
      </c>
      <c r="I705" s="121">
        <f ca="1">HLOOKUP($H$5,'Met Data'!$A$2:$F$368,G705,FALSE)</f>
        <v>17.1041666666666</v>
      </c>
      <c r="J705" s="119">
        <f ca="1">HLOOKUP($H$5,'Met Data'!$H$2:$M$368,G705,FALSE)*L705</f>
        <v>4.2833333333333297</v>
      </c>
      <c r="K705" s="98">
        <f ca="1">HLOOKUP($H$5,'Met Data'!$O$2:$T$368,G705,FALSE)</f>
        <v>3.65125453231978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365</v>
      </c>
      <c r="H706" s="97">
        <f t="shared" ca="1" si="109"/>
        <v>46021</v>
      </c>
      <c r="I706" s="121">
        <f ca="1">HLOOKUP($H$5,'Met Data'!$A$2:$F$368,G706,FALSE)</f>
        <v>17.0541666666666</v>
      </c>
      <c r="J706" s="119">
        <f ca="1">HLOOKUP($H$5,'Met Data'!$H$2:$M$368,G706,FALSE)*L706</f>
        <v>3.68333333333333</v>
      </c>
      <c r="K706" s="98">
        <f ca="1">HLOOKUP($H$5,'Met Data'!$O$2:$T$368,G706,FALSE)</f>
        <v>3.3111049356888498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366</v>
      </c>
      <c r="H707" s="97">
        <f t="shared" ca="1" si="109"/>
        <v>46022</v>
      </c>
      <c r="I707" s="121">
        <f ca="1">HLOOKUP($H$5,'Met Data'!$A$2:$F$368,G707,FALSE)</f>
        <v>16.6875</v>
      </c>
      <c r="J707" s="119">
        <f ca="1">HLOOKUP($H$5,'Met Data'!$H$2:$M$368,G707,FALSE)*L707</f>
        <v>4.68333333333333</v>
      </c>
      <c r="K707" s="98">
        <f ca="1">HLOOKUP($H$5,'Met Data'!$O$2:$T$368,G707,FALSE)</f>
        <v>3.7095349810249001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2</v>
      </c>
      <c r="H708" s="97">
        <f t="shared" ca="1" si="109"/>
        <v>46023</v>
      </c>
      <c r="I708" s="121">
        <f ca="1">HLOOKUP($H$5,'Met Data'!$A$2:$F$368,G708,FALSE)</f>
        <v>17.908333333333299</v>
      </c>
      <c r="J708" s="119">
        <f ca="1">HLOOKUP($H$5,'Met Data'!$H$2:$M$368,G708,FALSE)*L708</f>
        <v>2.5499999999999998</v>
      </c>
      <c r="K708" s="98">
        <f ca="1">HLOOKUP($H$5,'Met Data'!$O$2:$T$368,G708,FALSE)</f>
        <v>3.6545263506553698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</v>
      </c>
      <c r="H709" s="97">
        <f t="shared" ca="1" si="109"/>
        <v>46024</v>
      </c>
      <c r="I709" s="121">
        <f ca="1">HLOOKUP($H$5,'Met Data'!$A$2:$F$368,G709,FALSE)</f>
        <v>18.454166666666602</v>
      </c>
      <c r="J709" s="119">
        <f ca="1">HLOOKUP($H$5,'Met Data'!$H$2:$M$368,G709,FALSE)*L709</f>
        <v>2.3166666666666602</v>
      </c>
      <c r="K709" s="98">
        <f ca="1">HLOOKUP($H$5,'Met Data'!$O$2:$T$368,G709,FALSE)</f>
        <v>3.0374578661788201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4</v>
      </c>
      <c r="H710" s="97">
        <f t="shared" ca="1" si="109"/>
        <v>46025</v>
      </c>
      <c r="I710" s="121">
        <f ca="1">HLOOKUP($H$5,'Met Data'!$A$2:$F$368,G710,FALSE)</f>
        <v>18.4916666666666</v>
      </c>
      <c r="J710" s="119">
        <f ca="1">HLOOKUP($H$5,'Met Data'!$H$2:$M$368,G710,FALSE)*L710</f>
        <v>6.6333333333333302</v>
      </c>
      <c r="K710" s="98">
        <f ca="1">HLOOKUP($H$5,'Met Data'!$O$2:$T$368,G710,FALSE)</f>
        <v>3.5424660833564698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5</v>
      </c>
      <c r="H711" s="97">
        <f t="shared" ca="1" si="109"/>
        <v>46026</v>
      </c>
      <c r="I711" s="121">
        <f ca="1">HLOOKUP($H$5,'Met Data'!$A$2:$F$368,G711,FALSE)</f>
        <v>17</v>
      </c>
      <c r="J711" s="119">
        <f ca="1">HLOOKUP($H$5,'Met Data'!$H$2:$M$368,G711,FALSE)*L711</f>
        <v>1.93333333333333</v>
      </c>
      <c r="K711" s="98">
        <f ca="1">HLOOKUP($H$5,'Met Data'!$O$2:$T$368,G711,FALSE)</f>
        <v>4.6893309655458602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6</v>
      </c>
      <c r="H712" s="97">
        <f t="shared" ca="1" si="109"/>
        <v>46027</v>
      </c>
      <c r="I712" s="121">
        <f ca="1">HLOOKUP($H$5,'Met Data'!$A$2:$F$368,G712,FALSE)</f>
        <v>16.4166666666666</v>
      </c>
      <c r="J712" s="119">
        <f ca="1">HLOOKUP($H$5,'Met Data'!$H$2:$M$368,G712,FALSE)*L712</f>
        <v>2.9833333333333298</v>
      </c>
      <c r="K712" s="98">
        <f ca="1">HLOOKUP($H$5,'Met Data'!$O$2:$T$368,G712,FALSE)</f>
        <v>4.0957861961112103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7</v>
      </c>
      <c r="H713" s="97">
        <f t="shared" ref="H713:H776" ca="1" si="119">H712+1</f>
        <v>46028</v>
      </c>
      <c r="I713" s="121">
        <f ca="1">HLOOKUP($H$5,'Met Data'!$A$2:$F$368,G713,FALSE)</f>
        <v>17.629166666666599</v>
      </c>
      <c r="J713" s="119">
        <f ca="1">HLOOKUP($H$5,'Met Data'!$H$2:$M$368,G713,FALSE)*L713</f>
        <v>0.43333333333333302</v>
      </c>
      <c r="K713" s="98">
        <f ca="1">HLOOKUP($H$5,'Met Data'!$O$2:$T$368,G713,FALSE)</f>
        <v>4.0765351917680999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8</v>
      </c>
      <c r="H714" s="97">
        <f t="shared" ca="1" si="119"/>
        <v>46029</v>
      </c>
      <c r="I714" s="121">
        <f ca="1">HLOOKUP($H$5,'Met Data'!$A$2:$F$368,G714,FALSE)</f>
        <v>17.004166666666599</v>
      </c>
      <c r="J714" s="119">
        <f ca="1">HLOOKUP($H$5,'Met Data'!$H$2:$M$368,G714,FALSE)*L714</f>
        <v>2.7833333333333301</v>
      </c>
      <c r="K714" s="98">
        <f ca="1">HLOOKUP($H$5,'Met Data'!$O$2:$T$368,G714,FALSE)</f>
        <v>3.5869881049730998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9</v>
      </c>
      <c r="H715" s="97">
        <f t="shared" ca="1" si="119"/>
        <v>46030</v>
      </c>
      <c r="I715" s="121">
        <f ca="1">HLOOKUP($H$5,'Met Data'!$A$2:$F$368,G715,FALSE)</f>
        <v>17.433333333333302</v>
      </c>
      <c r="J715" s="119">
        <f ca="1">HLOOKUP($H$5,'Met Data'!$H$2:$M$368,G715,FALSE)*L715</f>
        <v>2.3833333333333302</v>
      </c>
      <c r="K715" s="98">
        <f ca="1">HLOOKUP($H$5,'Met Data'!$O$2:$T$368,G715,FALSE)</f>
        <v>4.2605807421289903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10</v>
      </c>
      <c r="H716" s="97">
        <f t="shared" ca="1" si="119"/>
        <v>46031</v>
      </c>
      <c r="I716" s="121">
        <f ca="1">HLOOKUP($H$5,'Met Data'!$A$2:$F$368,G716,FALSE)</f>
        <v>17.0208333333333</v>
      </c>
      <c r="J716" s="119">
        <f ca="1">HLOOKUP($H$5,'Met Data'!$H$2:$M$368,G716,FALSE)*L716</f>
        <v>0.3</v>
      </c>
      <c r="K716" s="98">
        <f ca="1">HLOOKUP($H$5,'Met Data'!$O$2:$T$368,G716,FALSE)</f>
        <v>4.14669035003873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11</v>
      </c>
      <c r="H717" s="97">
        <f t="shared" ca="1" si="119"/>
        <v>46032</v>
      </c>
      <c r="I717" s="121">
        <f ca="1">HLOOKUP($H$5,'Met Data'!$A$2:$F$368,G717,FALSE)</f>
        <v>17.6041666666666</v>
      </c>
      <c r="J717" s="119">
        <f ca="1">HLOOKUP($H$5,'Met Data'!$H$2:$M$368,G717,FALSE)*L717</f>
        <v>0.88333333333333297</v>
      </c>
      <c r="K717" s="98">
        <f ca="1">HLOOKUP($H$5,'Met Data'!$O$2:$T$368,G717,FALSE)</f>
        <v>3.4815515936566799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12</v>
      </c>
      <c r="H718" s="97">
        <f t="shared" ca="1" si="119"/>
        <v>46033</v>
      </c>
      <c r="I718" s="121">
        <f ca="1">HLOOKUP($H$5,'Met Data'!$A$2:$F$368,G718,FALSE)</f>
        <v>17.654166666666601</v>
      </c>
      <c r="J718" s="119">
        <f ca="1">HLOOKUP($H$5,'Met Data'!$H$2:$M$368,G718,FALSE)*L718</f>
        <v>0.33333333333333298</v>
      </c>
      <c r="K718" s="98">
        <f ca="1">HLOOKUP($H$5,'Met Data'!$O$2:$T$368,G718,FALSE)</f>
        <v>4.1035718910061201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13</v>
      </c>
      <c r="H719" s="97">
        <f t="shared" ca="1" si="119"/>
        <v>46034</v>
      </c>
      <c r="I719" s="121">
        <f ca="1">HLOOKUP($H$5,'Met Data'!$A$2:$F$368,G719,FALSE)</f>
        <v>18.175000000000001</v>
      </c>
      <c r="J719" s="119">
        <f ca="1">HLOOKUP($H$5,'Met Data'!$H$2:$M$368,G719,FALSE)*L719</f>
        <v>0.96666666666666601</v>
      </c>
      <c r="K719" s="98">
        <f ca="1">HLOOKUP($H$5,'Met Data'!$O$2:$T$368,G719,FALSE)</f>
        <v>3.7942004669494902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14</v>
      </c>
      <c r="H720" s="97">
        <f t="shared" ca="1" si="119"/>
        <v>46035</v>
      </c>
      <c r="I720" s="121">
        <f ca="1">HLOOKUP($H$5,'Met Data'!$A$2:$F$368,G720,FALSE)</f>
        <v>17.883333333333301</v>
      </c>
      <c r="J720" s="119">
        <f ca="1">HLOOKUP($H$5,'Met Data'!$H$2:$M$368,G720,FALSE)*L720</f>
        <v>3.0333333333333301</v>
      </c>
      <c r="K720" s="98">
        <f ca="1">HLOOKUP($H$5,'Met Data'!$O$2:$T$368,G720,FALSE)</f>
        <v>3.9941259720520699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15</v>
      </c>
      <c r="H721" s="97">
        <f t="shared" ca="1" si="119"/>
        <v>46036</v>
      </c>
      <c r="I721" s="121">
        <f ca="1">HLOOKUP($H$5,'Met Data'!$A$2:$F$368,G721,FALSE)</f>
        <v>17.279166666666601</v>
      </c>
      <c r="J721" s="119">
        <f ca="1">HLOOKUP($H$5,'Met Data'!$H$2:$M$368,G721,FALSE)*L721</f>
        <v>2.8833333333333302</v>
      </c>
      <c r="K721" s="98">
        <f ca="1">HLOOKUP($H$5,'Met Data'!$O$2:$T$368,G721,FALSE)</f>
        <v>4.3919546564694203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16</v>
      </c>
      <c r="H722" s="97">
        <f t="shared" ca="1" si="119"/>
        <v>46037</v>
      </c>
      <c r="I722" s="121">
        <f ca="1">HLOOKUP($H$5,'Met Data'!$A$2:$F$368,G722,FALSE)</f>
        <v>17.5208333333333</v>
      </c>
      <c r="J722" s="119">
        <f ca="1">HLOOKUP($H$5,'Met Data'!$H$2:$M$368,G722,FALSE)*L722</f>
        <v>2.5833333333333299</v>
      </c>
      <c r="K722" s="98">
        <f ca="1">HLOOKUP($H$5,'Met Data'!$O$2:$T$368,G722,FALSE)</f>
        <v>4.2128718222508397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17</v>
      </c>
      <c r="H723" s="97">
        <f t="shared" ca="1" si="119"/>
        <v>46038</v>
      </c>
      <c r="I723" s="121">
        <f ca="1">HLOOKUP($H$5,'Met Data'!$A$2:$F$368,G723,FALSE)</f>
        <v>17.970833333333299</v>
      </c>
      <c r="J723" s="119">
        <f ca="1">HLOOKUP($H$5,'Met Data'!$H$2:$M$368,G723,FALSE)*L723</f>
        <v>0.266666666666666</v>
      </c>
      <c r="K723" s="98">
        <f ca="1">HLOOKUP($H$5,'Met Data'!$O$2:$T$368,G723,FALSE)</f>
        <v>4.0252286180437302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18</v>
      </c>
      <c r="H724" s="97">
        <f t="shared" ca="1" si="119"/>
        <v>46039</v>
      </c>
      <c r="I724" s="121">
        <f ca="1">HLOOKUP($H$5,'Met Data'!$A$2:$F$368,G724,FALSE)</f>
        <v>18.2708333333333</v>
      </c>
      <c r="J724" s="119">
        <f ca="1">HLOOKUP($H$5,'Met Data'!$H$2:$M$368,G724,FALSE)*L724</f>
        <v>1.81666666666666</v>
      </c>
      <c r="K724" s="98">
        <f ca="1">HLOOKUP($H$5,'Met Data'!$O$2:$T$368,G724,FALSE)</f>
        <v>4.3125410240098896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19</v>
      </c>
      <c r="H725" s="97">
        <f t="shared" ca="1" si="119"/>
        <v>46040</v>
      </c>
      <c r="I725" s="121">
        <f ca="1">HLOOKUP($H$5,'Met Data'!$A$2:$F$368,G725,FALSE)</f>
        <v>17.954166666666602</v>
      </c>
      <c r="J725" s="119">
        <f ca="1">HLOOKUP($H$5,'Met Data'!$H$2:$M$368,G725,FALSE)*L725</f>
        <v>4.1499999999999897</v>
      </c>
      <c r="K725" s="98">
        <f ca="1">HLOOKUP($H$5,'Met Data'!$O$2:$T$368,G725,FALSE)</f>
        <v>3.9046074195490301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20</v>
      </c>
      <c r="H726" s="97">
        <f t="shared" ca="1" si="119"/>
        <v>46041</v>
      </c>
      <c r="I726" s="121">
        <f ca="1">HLOOKUP($H$5,'Met Data'!$A$2:$F$368,G726,FALSE)</f>
        <v>18.454166666666602</v>
      </c>
      <c r="J726" s="119">
        <f ca="1">HLOOKUP($H$5,'Met Data'!$H$2:$M$368,G726,FALSE)*L726</f>
        <v>2.5166666666666599</v>
      </c>
      <c r="K726" s="98">
        <f ca="1">HLOOKUP($H$5,'Met Data'!$O$2:$T$368,G726,FALSE)</f>
        <v>4.0894627552594898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21</v>
      </c>
      <c r="H727" s="97">
        <f t="shared" ca="1" si="119"/>
        <v>46042</v>
      </c>
      <c r="I727" s="121">
        <f ca="1">HLOOKUP($H$5,'Met Data'!$A$2:$F$368,G727,FALSE)</f>
        <v>18.125</v>
      </c>
      <c r="J727" s="119">
        <f ca="1">HLOOKUP($H$5,'Met Data'!$H$2:$M$368,G727,FALSE)*L727</f>
        <v>3.3333333333333299</v>
      </c>
      <c r="K727" s="98">
        <f ca="1">HLOOKUP($H$5,'Met Data'!$O$2:$T$368,G727,FALSE)</f>
        <v>4.4627747616983804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22</v>
      </c>
      <c r="H728" s="97">
        <f t="shared" ca="1" si="119"/>
        <v>46043</v>
      </c>
      <c r="I728" s="121">
        <f ca="1">HLOOKUP($H$5,'Met Data'!$A$2:$F$368,G728,FALSE)</f>
        <v>17.6791666666666</v>
      </c>
      <c r="J728" s="119">
        <f ca="1">HLOOKUP($H$5,'Met Data'!$H$2:$M$368,G728,FALSE)*L728</f>
        <v>2.4</v>
      </c>
      <c r="K728" s="98">
        <f ca="1">HLOOKUP($H$5,'Met Data'!$O$2:$T$368,G728,FALSE)</f>
        <v>3.8954755691343999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23</v>
      </c>
      <c r="H729" s="97">
        <f t="shared" ca="1" si="119"/>
        <v>46044</v>
      </c>
      <c r="I729" s="121">
        <f ca="1">HLOOKUP($H$5,'Met Data'!$A$2:$F$368,G729,FALSE)</f>
        <v>17.350000000000001</v>
      </c>
      <c r="J729" s="119">
        <f ca="1">HLOOKUP($H$5,'Met Data'!$H$2:$M$368,G729,FALSE)*L729</f>
        <v>2.6333333333333302</v>
      </c>
      <c r="K729" s="98">
        <f ca="1">HLOOKUP($H$5,'Met Data'!$O$2:$T$368,G729,FALSE)</f>
        <v>3.2997711779398098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24</v>
      </c>
      <c r="H730" s="97">
        <f t="shared" ca="1" si="119"/>
        <v>46045</v>
      </c>
      <c r="I730" s="121">
        <f ca="1">HLOOKUP($H$5,'Met Data'!$A$2:$F$368,G730,FALSE)</f>
        <v>17.504166666666599</v>
      </c>
      <c r="J730" s="119">
        <f ca="1">HLOOKUP($H$5,'Met Data'!$H$2:$M$368,G730,FALSE)*L730</f>
        <v>5.5166666666666604</v>
      </c>
      <c r="K730" s="98">
        <f ca="1">HLOOKUP($H$5,'Met Data'!$O$2:$T$368,G730,FALSE)</f>
        <v>3.46570930270954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25</v>
      </c>
      <c r="H731" s="97">
        <f t="shared" ca="1" si="119"/>
        <v>46046</v>
      </c>
      <c r="I731" s="121">
        <f ca="1">HLOOKUP($H$5,'Met Data'!$A$2:$F$368,G731,FALSE)</f>
        <v>17.713636363636301</v>
      </c>
      <c r="J731" s="119">
        <f ca="1">HLOOKUP($H$5,'Met Data'!$H$2:$M$368,G731,FALSE)*L731</f>
        <v>1.3818181818181801</v>
      </c>
      <c r="K731" s="98">
        <f ca="1">HLOOKUP($H$5,'Met Data'!$O$2:$T$368,G731,FALSE)</f>
        <v>4.0186876239346203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26</v>
      </c>
      <c r="H732" s="97">
        <f t="shared" ca="1" si="119"/>
        <v>46047</v>
      </c>
      <c r="I732" s="121">
        <f ca="1">HLOOKUP($H$5,'Met Data'!$A$2:$F$368,G732,FALSE)</f>
        <v>17.8541666666666</v>
      </c>
      <c r="J732" s="119">
        <f ca="1">HLOOKUP($H$5,'Met Data'!$H$2:$M$368,G732,FALSE)*L732</f>
        <v>0.46666666666666601</v>
      </c>
      <c r="K732" s="98">
        <f ca="1">HLOOKUP($H$5,'Met Data'!$O$2:$T$368,G732,FALSE)</f>
        <v>4.1496250953293998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27</v>
      </c>
      <c r="H733" s="97">
        <f t="shared" ca="1" si="119"/>
        <v>46048</v>
      </c>
      <c r="I733" s="121">
        <f ca="1">HLOOKUP($H$5,'Met Data'!$A$2:$F$368,G733,FALSE)</f>
        <v>18.933333333333302</v>
      </c>
      <c r="J733" s="119">
        <f ca="1">HLOOKUP($H$5,'Met Data'!$H$2:$M$368,G733,FALSE)*L733</f>
        <v>1.8</v>
      </c>
      <c r="K733" s="98">
        <f ca="1">HLOOKUP($H$5,'Met Data'!$O$2:$T$368,G733,FALSE)</f>
        <v>4.1034832888531598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28</v>
      </c>
      <c r="H734" s="97">
        <f t="shared" ca="1" si="119"/>
        <v>46049</v>
      </c>
      <c r="I734" s="121">
        <f ca="1">HLOOKUP($H$5,'Met Data'!$A$2:$F$368,G734,FALSE)</f>
        <v>18.524999999999999</v>
      </c>
      <c r="J734" s="119">
        <f ca="1">HLOOKUP($H$5,'Met Data'!$H$2:$M$368,G734,FALSE)*L734</f>
        <v>4.2166666666666597</v>
      </c>
      <c r="K734" s="98">
        <f ca="1">HLOOKUP($H$5,'Met Data'!$O$2:$T$368,G734,FALSE)</f>
        <v>3.2920480795367801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29</v>
      </c>
      <c r="H735" s="97">
        <f t="shared" ca="1" si="119"/>
        <v>46050</v>
      </c>
      <c r="I735" s="121">
        <f ca="1">HLOOKUP($H$5,'Met Data'!$A$2:$F$368,G735,FALSE)</f>
        <v>18.283333333333299</v>
      </c>
      <c r="J735" s="119">
        <f ca="1">HLOOKUP($H$5,'Met Data'!$H$2:$M$368,G735,FALSE)*L735</f>
        <v>0.96666666666666601</v>
      </c>
      <c r="K735" s="98">
        <f ca="1">HLOOKUP($H$5,'Met Data'!$O$2:$T$368,G735,FALSE)</f>
        <v>3.7580315328576899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30</v>
      </c>
      <c r="H736" s="97">
        <f t="shared" ca="1" si="119"/>
        <v>46051</v>
      </c>
      <c r="I736" s="121">
        <f ca="1">HLOOKUP($H$5,'Met Data'!$A$2:$F$368,G736,FALSE)</f>
        <v>18.95</v>
      </c>
      <c r="J736" s="119">
        <f ca="1">HLOOKUP($H$5,'Met Data'!$H$2:$M$368,G736,FALSE)*L736</f>
        <v>0.233333333333333</v>
      </c>
      <c r="K736" s="98">
        <f ca="1">HLOOKUP($H$5,'Met Data'!$O$2:$T$368,G736,FALSE)</f>
        <v>4.4825712398856101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31</v>
      </c>
      <c r="H737" s="97">
        <f t="shared" ca="1" si="119"/>
        <v>46052</v>
      </c>
      <c r="I737" s="121">
        <f ca="1">HLOOKUP($H$5,'Met Data'!$A$2:$F$368,G737,FALSE)</f>
        <v>19.070833333333301</v>
      </c>
      <c r="J737" s="119">
        <f ca="1">HLOOKUP($H$5,'Met Data'!$H$2:$M$368,G737,FALSE)*L737</f>
        <v>1.45</v>
      </c>
      <c r="K737" s="98">
        <f ca="1">HLOOKUP($H$5,'Met Data'!$O$2:$T$368,G737,FALSE)</f>
        <v>4.1485395322845697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32</v>
      </c>
      <c r="H738" s="97">
        <f t="shared" ca="1" si="119"/>
        <v>46053</v>
      </c>
      <c r="I738" s="121">
        <f ca="1">HLOOKUP($H$5,'Met Data'!$A$2:$F$368,G738,FALSE)</f>
        <v>18.716666666666601</v>
      </c>
      <c r="J738" s="119">
        <f ca="1">HLOOKUP($H$5,'Met Data'!$H$2:$M$368,G738,FALSE)*L738</f>
        <v>1.6666666666666601E-2</v>
      </c>
      <c r="K738" s="98">
        <f ca="1">HLOOKUP($H$5,'Met Data'!$O$2:$T$368,G738,FALSE)</f>
        <v>3.9002627778438899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33</v>
      </c>
      <c r="H739" s="97">
        <f t="shared" ca="1" si="119"/>
        <v>46054</v>
      </c>
      <c r="I739" s="121">
        <f ca="1">HLOOKUP($H$5,'Met Data'!$A$2:$F$368,G739,FALSE)</f>
        <v>18.720833333333299</v>
      </c>
      <c r="J739" s="119">
        <f ca="1">HLOOKUP($H$5,'Met Data'!$H$2:$M$368,G739,FALSE)*L739</f>
        <v>5.1333333333333302</v>
      </c>
      <c r="K739" s="98">
        <f ca="1">HLOOKUP($H$5,'Met Data'!$O$2:$T$368,G739,FALSE)</f>
        <v>3.3425533464765702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34</v>
      </c>
      <c r="H740" s="97">
        <f t="shared" ca="1" si="119"/>
        <v>46055</v>
      </c>
      <c r="I740" s="121">
        <f ca="1">HLOOKUP($H$5,'Met Data'!$A$2:$F$368,G740,FALSE)</f>
        <v>18.558333333333302</v>
      </c>
      <c r="J740" s="119">
        <f ca="1">HLOOKUP($H$5,'Met Data'!$H$2:$M$368,G740,FALSE)*L740</f>
        <v>5.1666666666666599</v>
      </c>
      <c r="K740" s="98">
        <f ca="1">HLOOKUP($H$5,'Met Data'!$O$2:$T$368,G740,FALSE)</f>
        <v>3.37031285883524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35</v>
      </c>
      <c r="H741" s="97">
        <f t="shared" ca="1" si="119"/>
        <v>46056</v>
      </c>
      <c r="I741" s="121">
        <f ca="1">HLOOKUP($H$5,'Met Data'!$A$2:$F$368,G741,FALSE)</f>
        <v>18.841666666666601</v>
      </c>
      <c r="J741" s="119">
        <f ca="1">HLOOKUP($H$5,'Met Data'!$H$2:$M$368,G741,FALSE)*L741</f>
        <v>0.483333333333333</v>
      </c>
      <c r="K741" s="98">
        <f ca="1">HLOOKUP($H$5,'Met Data'!$O$2:$T$368,G741,FALSE)</f>
        <v>4.5373745966907704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36</v>
      </c>
      <c r="H742" s="97">
        <f t="shared" ca="1" si="119"/>
        <v>46057</v>
      </c>
      <c r="I742" s="121">
        <f ca="1">HLOOKUP($H$5,'Met Data'!$A$2:$F$368,G742,FALSE)</f>
        <v>18.441666666666599</v>
      </c>
      <c r="J742" s="119">
        <f ca="1">HLOOKUP($H$5,'Met Data'!$H$2:$M$368,G742,FALSE)*L742</f>
        <v>4.8</v>
      </c>
      <c r="K742" s="98">
        <f ca="1">HLOOKUP($H$5,'Met Data'!$O$2:$T$368,G742,FALSE)</f>
        <v>3.5125215918157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37</v>
      </c>
      <c r="H743" s="97">
        <f t="shared" ca="1" si="119"/>
        <v>46058</v>
      </c>
      <c r="I743" s="121">
        <f ca="1">HLOOKUP($H$5,'Met Data'!$A$2:$F$368,G743,FALSE)</f>
        <v>17.975000000000001</v>
      </c>
      <c r="J743" s="119">
        <f ca="1">HLOOKUP($H$5,'Met Data'!$H$2:$M$368,G743,FALSE)*L743</f>
        <v>2.0166666666666599</v>
      </c>
      <c r="K743" s="98">
        <f ca="1">HLOOKUP($H$5,'Met Data'!$O$2:$T$368,G743,FALSE)</f>
        <v>3.7922889429532498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38</v>
      </c>
      <c r="H744" s="97">
        <f t="shared" ca="1" si="119"/>
        <v>46059</v>
      </c>
      <c r="I744" s="121">
        <f ca="1">HLOOKUP($H$5,'Met Data'!$A$2:$F$368,G744,FALSE)</f>
        <v>17.383333333333301</v>
      </c>
      <c r="J744" s="119">
        <f ca="1">HLOOKUP($H$5,'Met Data'!$H$2:$M$368,G744,FALSE)*L744</f>
        <v>0.15</v>
      </c>
      <c r="K744" s="98">
        <f ca="1">HLOOKUP($H$5,'Met Data'!$O$2:$T$368,G744,FALSE)</f>
        <v>3.67022287265541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39</v>
      </c>
      <c r="H745" s="97">
        <f t="shared" ca="1" si="119"/>
        <v>46060</v>
      </c>
      <c r="I745" s="121">
        <f ca="1">HLOOKUP($H$5,'Met Data'!$A$2:$F$368,G745,FALSE)</f>
        <v>17.0416666666666</v>
      </c>
      <c r="J745" s="119">
        <f ca="1">HLOOKUP($H$5,'Met Data'!$H$2:$M$368,G745,FALSE)*L745</f>
        <v>3.0166666666666599</v>
      </c>
      <c r="K745" s="98">
        <f ca="1">HLOOKUP($H$5,'Met Data'!$O$2:$T$368,G745,FALSE)</f>
        <v>3.8754357428809398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40</v>
      </c>
      <c r="H746" s="97">
        <f t="shared" ca="1" si="119"/>
        <v>46061</v>
      </c>
      <c r="I746" s="121">
        <f ca="1">HLOOKUP($H$5,'Met Data'!$A$2:$F$368,G746,FALSE)</f>
        <v>17.483333333333299</v>
      </c>
      <c r="J746" s="119">
        <f ca="1">HLOOKUP($H$5,'Met Data'!$H$2:$M$368,G746,FALSE)*L746</f>
        <v>2.69999999999999</v>
      </c>
      <c r="K746" s="98">
        <f ca="1">HLOOKUP($H$5,'Met Data'!$O$2:$T$368,G746,FALSE)</f>
        <v>3.8024866154372199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41</v>
      </c>
      <c r="H747" s="97">
        <f t="shared" ca="1" si="119"/>
        <v>46062</v>
      </c>
      <c r="I747" s="121">
        <f ca="1">HLOOKUP($H$5,'Met Data'!$A$2:$F$368,G747,FALSE)</f>
        <v>17.5625</v>
      </c>
      <c r="J747" s="119">
        <f ca="1">HLOOKUP($H$5,'Met Data'!$H$2:$M$368,G747,FALSE)*L747</f>
        <v>0.51666666666666605</v>
      </c>
      <c r="K747" s="98">
        <f ca="1">HLOOKUP($H$5,'Met Data'!$O$2:$T$368,G747,FALSE)</f>
        <v>3.9226252937625699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42</v>
      </c>
      <c r="H748" s="97">
        <f t="shared" ca="1" si="119"/>
        <v>46063</v>
      </c>
      <c r="I748" s="121">
        <f ca="1">HLOOKUP($H$5,'Met Data'!$A$2:$F$368,G748,FALSE)</f>
        <v>17.7083333333333</v>
      </c>
      <c r="J748" s="119">
        <f ca="1">HLOOKUP($H$5,'Met Data'!$H$2:$M$368,G748,FALSE)*L748</f>
        <v>2.7333333333333298</v>
      </c>
      <c r="K748" s="98">
        <f ca="1">HLOOKUP($H$5,'Met Data'!$O$2:$T$368,G748,FALSE)</f>
        <v>3.6312925833969301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43</v>
      </c>
      <c r="H749" s="97">
        <f t="shared" ca="1" si="119"/>
        <v>46064</v>
      </c>
      <c r="I749" s="121">
        <f ca="1">HLOOKUP($H$5,'Met Data'!$A$2:$F$368,G749,FALSE)</f>
        <v>17.654166666666601</v>
      </c>
      <c r="J749" s="119">
        <f ca="1">HLOOKUP($H$5,'Met Data'!$H$2:$M$368,G749,FALSE)*L749</f>
        <v>5.3166666666666602</v>
      </c>
      <c r="K749" s="98">
        <f ca="1">HLOOKUP($H$5,'Met Data'!$O$2:$T$368,G749,FALSE)</f>
        <v>3.7825096271499201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44</v>
      </c>
      <c r="H750" s="97">
        <f t="shared" ca="1" si="119"/>
        <v>46065</v>
      </c>
      <c r="I750" s="121">
        <f ca="1">HLOOKUP($H$5,'Met Data'!$A$2:$F$368,G750,FALSE)</f>
        <v>18.245833333333302</v>
      </c>
      <c r="J750" s="119">
        <f ca="1">HLOOKUP($H$5,'Met Data'!$H$2:$M$368,G750,FALSE)*L750</f>
        <v>1.8</v>
      </c>
      <c r="K750" s="98">
        <f ca="1">HLOOKUP($H$5,'Met Data'!$O$2:$T$368,G750,FALSE)</f>
        <v>3.5345089397679601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45</v>
      </c>
      <c r="H751" s="97">
        <f t="shared" ca="1" si="119"/>
        <v>46066</v>
      </c>
      <c r="I751" s="121">
        <f ca="1">HLOOKUP($H$5,'Met Data'!$A$2:$F$368,G751,FALSE)</f>
        <v>18.674999999999901</v>
      </c>
      <c r="J751" s="119">
        <f ca="1">HLOOKUP($H$5,'Met Data'!$H$2:$M$368,G751,FALSE)*L751</f>
        <v>0.44999999999999901</v>
      </c>
      <c r="K751" s="98">
        <f ca="1">HLOOKUP($H$5,'Met Data'!$O$2:$T$368,G751,FALSE)</f>
        <v>3.2860966338213999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ca="1" si="110"/>
        <v>46</v>
      </c>
      <c r="H752" s="97">
        <f t="shared" ca="1" si="119"/>
        <v>46067</v>
      </c>
      <c r="I752" s="121">
        <f ca="1">HLOOKUP($H$5,'Met Data'!$A$2:$F$368,G752,FALSE)</f>
        <v>18.670833333333299</v>
      </c>
      <c r="J752" s="119">
        <f ca="1">HLOOKUP($H$5,'Met Data'!$H$2:$M$368,G752,FALSE)*L752</f>
        <v>1.13333333333333</v>
      </c>
      <c r="K752" s="98">
        <f ca="1">HLOOKUP($H$5,'Met Data'!$O$2:$T$368,G752,FALSE)</f>
        <v>3.8932908527116399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ca="1" si="120">H753-DATE(YEAR(H753),1,0)+1</f>
        <v>47</v>
      </c>
      <c r="H753" s="97">
        <f t="shared" ca="1" si="119"/>
        <v>46068</v>
      </c>
      <c r="I753" s="121">
        <f ca="1">HLOOKUP($H$5,'Met Data'!$A$2:$F$368,G753,FALSE)</f>
        <v>18.1666666666666</v>
      </c>
      <c r="J753" s="119">
        <f ca="1">HLOOKUP($H$5,'Met Data'!$H$2:$M$368,G753,FALSE)*L753</f>
        <v>1.7333333333333301</v>
      </c>
      <c r="K753" s="98">
        <f ca="1">HLOOKUP($H$5,'Met Data'!$O$2:$T$368,G753,FALSE)</f>
        <v>3.7918051722380999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ca="1" si="120"/>
        <v>48</v>
      </c>
      <c r="H754" s="97">
        <f t="shared" ca="1" si="119"/>
        <v>46069</v>
      </c>
      <c r="I754" s="121">
        <f ca="1">HLOOKUP($H$5,'Met Data'!$A$2:$F$368,G754,FALSE)</f>
        <v>17.879166666666599</v>
      </c>
      <c r="J754" s="119">
        <f ca="1">HLOOKUP($H$5,'Met Data'!$H$2:$M$368,G754,FALSE)*L754</f>
        <v>0.73333333333333295</v>
      </c>
      <c r="K754" s="98">
        <f ca="1">HLOOKUP($H$5,'Met Data'!$O$2:$T$368,G754,FALSE)</f>
        <v>3.8813294167315999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49</v>
      </c>
      <c r="H755" s="97">
        <f t="shared" ca="1" si="119"/>
        <v>46070</v>
      </c>
      <c r="I755" s="121">
        <f ca="1">HLOOKUP($H$5,'Met Data'!$A$2:$F$368,G755,FALSE)</f>
        <v>18.2083333333333</v>
      </c>
      <c r="J755" s="119">
        <f ca="1">HLOOKUP($H$5,'Met Data'!$H$2:$M$368,G755,FALSE)*L755</f>
        <v>2.8833333333333302</v>
      </c>
      <c r="K755" s="98">
        <f ca="1">HLOOKUP($H$5,'Met Data'!$O$2:$T$368,G755,FALSE)</f>
        <v>3.5062121478789399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50</v>
      </c>
      <c r="H756" s="97">
        <f t="shared" ca="1" si="119"/>
        <v>46071</v>
      </c>
      <c r="I756" s="121">
        <f ca="1">HLOOKUP($H$5,'Met Data'!$A$2:$F$368,G756,FALSE)</f>
        <v>18.529166666666601</v>
      </c>
      <c r="J756" s="119">
        <f ca="1">HLOOKUP($H$5,'Met Data'!$H$2:$M$368,G756,FALSE)*L756</f>
        <v>2.85</v>
      </c>
      <c r="K756" s="98">
        <f ca="1">HLOOKUP($H$5,'Met Data'!$O$2:$T$368,G756,FALSE)</f>
        <v>3.5342235016405201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51</v>
      </c>
      <c r="H757" s="97">
        <f t="shared" ca="1" si="119"/>
        <v>46072</v>
      </c>
      <c r="I757" s="121">
        <f ca="1">HLOOKUP($H$5,'Met Data'!$A$2:$F$368,G757,FALSE)</f>
        <v>18.925000000000001</v>
      </c>
      <c r="J757" s="119">
        <f ca="1">HLOOKUP($H$5,'Met Data'!$H$2:$M$368,G757,FALSE)*L757</f>
        <v>3.86666666666666</v>
      </c>
      <c r="K757" s="98">
        <f ca="1">HLOOKUP($H$5,'Met Data'!$O$2:$T$368,G757,FALSE)</f>
        <v>3.6338116563958698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52</v>
      </c>
      <c r="H758" s="97">
        <f t="shared" ca="1" si="119"/>
        <v>46073</v>
      </c>
      <c r="I758" s="121">
        <f ca="1">HLOOKUP($H$5,'Met Data'!$A$2:$F$368,G758,FALSE)</f>
        <v>19.195833333333301</v>
      </c>
      <c r="J758" s="119">
        <f ca="1">HLOOKUP($H$5,'Met Data'!$H$2:$M$368,G758,FALSE)*L758</f>
        <v>1.18333333333333</v>
      </c>
      <c r="K758" s="98">
        <f ca="1">HLOOKUP($H$5,'Met Data'!$O$2:$T$368,G758,FALSE)</f>
        <v>3.7477053916930299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53</v>
      </c>
      <c r="H759" s="97">
        <f t="shared" ca="1" si="119"/>
        <v>46074</v>
      </c>
      <c r="I759" s="121">
        <f ca="1">HLOOKUP($H$5,'Met Data'!$A$2:$F$368,G759,FALSE)</f>
        <v>18.945833333333301</v>
      </c>
      <c r="J759" s="119">
        <f ca="1">HLOOKUP($H$5,'Met Data'!$H$2:$M$368,G759,FALSE)*L759</f>
        <v>1.3333333333333299</v>
      </c>
      <c r="K759" s="98">
        <f ca="1">HLOOKUP($H$5,'Met Data'!$O$2:$T$368,G759,FALSE)</f>
        <v>3.7395681594102799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54</v>
      </c>
      <c r="H760" s="97">
        <f t="shared" ca="1" si="119"/>
        <v>46075</v>
      </c>
      <c r="I760" s="121">
        <f ca="1">HLOOKUP($H$5,'Met Data'!$A$2:$F$368,G760,FALSE)</f>
        <v>18.912499999999898</v>
      </c>
      <c r="J760" s="119">
        <f ca="1">HLOOKUP($H$5,'Met Data'!$H$2:$M$368,G760,FALSE)*L760</f>
        <v>6.18333333333333</v>
      </c>
      <c r="K760" s="98">
        <f ca="1">HLOOKUP($H$5,'Met Data'!$O$2:$T$368,G760,FALSE)</f>
        <v>3.0629444033618198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55</v>
      </c>
      <c r="H761" s="97">
        <f t="shared" ca="1" si="119"/>
        <v>46076</v>
      </c>
      <c r="I761" s="121">
        <f ca="1">HLOOKUP($H$5,'Met Data'!$A$2:$F$368,G761,FALSE)</f>
        <v>17.745833333333302</v>
      </c>
      <c r="J761" s="119">
        <f ca="1">HLOOKUP($H$5,'Met Data'!$H$2:$M$368,G761,FALSE)*L761</f>
        <v>0.7</v>
      </c>
      <c r="K761" s="98">
        <f ca="1">HLOOKUP($H$5,'Met Data'!$O$2:$T$368,G761,FALSE)</f>
        <v>3.7397228058893299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56</v>
      </c>
      <c r="H762" s="97">
        <f t="shared" ca="1" si="119"/>
        <v>46077</v>
      </c>
      <c r="I762" s="121">
        <f ca="1">HLOOKUP($H$5,'Met Data'!$A$2:$F$368,G762,FALSE)</f>
        <v>16.945833333333301</v>
      </c>
      <c r="J762" s="119">
        <f ca="1">HLOOKUP($H$5,'Met Data'!$H$2:$M$368,G762,FALSE)*L762</f>
        <v>1.5999999999999901</v>
      </c>
      <c r="K762" s="98">
        <f ca="1">HLOOKUP($H$5,'Met Data'!$O$2:$T$368,G762,FALSE)</f>
        <v>3.5683594386422701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57</v>
      </c>
      <c r="H763" s="97">
        <f t="shared" ca="1" si="119"/>
        <v>46078</v>
      </c>
      <c r="I763" s="121">
        <f ca="1">HLOOKUP($H$5,'Met Data'!$A$2:$F$368,G763,FALSE)</f>
        <v>17.495833333333302</v>
      </c>
      <c r="J763" s="119">
        <f ca="1">HLOOKUP($H$5,'Met Data'!$H$2:$M$368,G763,FALSE)*L763</f>
        <v>0.86666666666666603</v>
      </c>
      <c r="K763" s="98">
        <f ca="1">HLOOKUP($H$5,'Met Data'!$O$2:$T$368,G763,FALSE)</f>
        <v>3.5556810366886502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58</v>
      </c>
      <c r="H764" s="97">
        <f t="shared" ca="1" si="119"/>
        <v>46079</v>
      </c>
      <c r="I764" s="121">
        <f ca="1">HLOOKUP($H$5,'Met Data'!$A$2:$F$368,G764,FALSE)</f>
        <v>16.954166666666602</v>
      </c>
      <c r="J764" s="119">
        <f ca="1">HLOOKUP($H$5,'Met Data'!$H$2:$M$368,G764,FALSE)*L764</f>
        <v>0.93333333333333302</v>
      </c>
      <c r="K764" s="98">
        <f ca="1">HLOOKUP($H$5,'Met Data'!$O$2:$T$368,G764,FALSE)</f>
        <v>3.6102637976598602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59</v>
      </c>
      <c r="H765" s="97">
        <f t="shared" ca="1" si="119"/>
        <v>46080</v>
      </c>
      <c r="I765" s="121">
        <f ca="1">HLOOKUP($H$5,'Met Data'!$A$2:$F$368,G765,FALSE)</f>
        <v>16.829166666666602</v>
      </c>
      <c r="J765" s="119">
        <f ca="1">HLOOKUP($H$5,'Met Data'!$H$2:$M$368,G765,FALSE)*L765</f>
        <v>0.41666666666666602</v>
      </c>
      <c r="K765" s="98">
        <f ca="1">HLOOKUP($H$5,'Met Data'!$O$2:$T$368,G765,FALSE)</f>
        <v>3.6752740997587301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60</v>
      </c>
      <c r="H766" s="97">
        <f t="shared" ca="1" si="119"/>
        <v>46081</v>
      </c>
      <c r="I766" s="121">
        <f ca="1">HLOOKUP($H$5,'Met Data'!$A$2:$F$368,G766,FALSE)</f>
        <v>17.512499999999999</v>
      </c>
      <c r="J766" s="119">
        <f ca="1">HLOOKUP($H$5,'Met Data'!$H$2:$M$368,G766,FALSE)*L766</f>
        <v>0.38333333333333303</v>
      </c>
      <c r="K766" s="98">
        <f ca="1">HLOOKUP($H$5,'Met Data'!$O$2:$T$368,G766,FALSE)</f>
        <v>3.6973328494211302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61</v>
      </c>
      <c r="H767" s="97">
        <f t="shared" ca="1" si="119"/>
        <v>46082</v>
      </c>
      <c r="I767" s="121">
        <f ca="1">HLOOKUP($H$5,'Met Data'!$A$2:$F$368,G767,FALSE)</f>
        <v>17.1166666666666</v>
      </c>
      <c r="J767" s="119">
        <f ca="1">HLOOKUP($H$5,'Met Data'!$H$2:$M$368,G767,FALSE)*L767</f>
        <v>2.3166666666666602</v>
      </c>
      <c r="K767" s="98">
        <f ca="1">HLOOKUP($H$5,'Met Data'!$O$2:$T$368,G767,FALSE)</f>
        <v>3.5365052642272401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62</v>
      </c>
      <c r="H768" s="97">
        <f t="shared" ca="1" si="119"/>
        <v>46083</v>
      </c>
      <c r="I768" s="121">
        <f ca="1">HLOOKUP($H$5,'Met Data'!$A$2:$F$368,G768,FALSE)</f>
        <v>17.037500000000001</v>
      </c>
      <c r="J768" s="119">
        <f ca="1">HLOOKUP($H$5,'Met Data'!$H$2:$M$368,G768,FALSE)*L768</f>
        <v>2.18333333333333</v>
      </c>
      <c r="K768" s="98">
        <f ca="1">HLOOKUP($H$5,'Met Data'!$O$2:$T$368,G768,FALSE)</f>
        <v>3.0680063753167199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63</v>
      </c>
      <c r="H769" s="97">
        <f t="shared" ca="1" si="119"/>
        <v>46084</v>
      </c>
      <c r="I769" s="121">
        <f ca="1">HLOOKUP($H$5,'Met Data'!$A$2:$F$368,G769,FALSE)</f>
        <v>17.204166666666602</v>
      </c>
      <c r="J769" s="119">
        <f ca="1">HLOOKUP($H$5,'Met Data'!$H$2:$M$368,G769,FALSE)*L769</f>
        <v>0.61666666666666603</v>
      </c>
      <c r="K769" s="98">
        <f ca="1">HLOOKUP($H$5,'Met Data'!$O$2:$T$368,G769,FALSE)</f>
        <v>3.2161744467378801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64</v>
      </c>
      <c r="H770" s="97">
        <f t="shared" ca="1" si="119"/>
        <v>46085</v>
      </c>
      <c r="I770" s="121">
        <f ca="1">HLOOKUP($H$5,'Met Data'!$A$2:$F$368,G770,FALSE)</f>
        <v>16.720833333333299</v>
      </c>
      <c r="J770" s="119">
        <f ca="1">HLOOKUP($H$5,'Met Data'!$H$2:$M$368,G770,FALSE)*L770</f>
        <v>2.93333333333333</v>
      </c>
      <c r="K770" s="98">
        <f ca="1">HLOOKUP($H$5,'Met Data'!$O$2:$T$368,G770,FALSE)</f>
        <v>2.8476580172568502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65</v>
      </c>
      <c r="H771" s="97">
        <f t="shared" ca="1" si="119"/>
        <v>46086</v>
      </c>
      <c r="I771" s="121">
        <f ca="1">HLOOKUP($H$5,'Met Data'!$A$2:$F$368,G771,FALSE)</f>
        <v>17.05</v>
      </c>
      <c r="J771" s="119">
        <f ca="1">HLOOKUP($H$5,'Met Data'!$H$2:$M$368,G771,FALSE)*L771</f>
        <v>3.5</v>
      </c>
      <c r="K771" s="98">
        <f ca="1">HLOOKUP($H$5,'Met Data'!$O$2:$T$368,G771,FALSE)</f>
        <v>3.0856400612975601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66</v>
      </c>
      <c r="H772" s="97">
        <f t="shared" ca="1" si="119"/>
        <v>46087</v>
      </c>
      <c r="I772" s="121">
        <f ca="1">HLOOKUP($H$5,'Met Data'!$A$2:$F$368,G772,FALSE)</f>
        <v>16.5625</v>
      </c>
      <c r="J772" s="119">
        <f ca="1">HLOOKUP($H$5,'Met Data'!$H$2:$M$368,G772,FALSE)*L772</f>
        <v>1.9166666666666601</v>
      </c>
      <c r="K772" s="98">
        <f ca="1">HLOOKUP($H$5,'Met Data'!$O$2:$T$368,G772,FALSE)</f>
        <v>2.4477007585282702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67</v>
      </c>
      <c r="H773" s="97">
        <f t="shared" ca="1" si="119"/>
        <v>46088</v>
      </c>
      <c r="I773" s="121">
        <f ca="1">HLOOKUP($H$5,'Met Data'!$A$2:$F$368,G773,FALSE)</f>
        <v>16.349999999999898</v>
      </c>
      <c r="J773" s="119">
        <f ca="1">HLOOKUP($H$5,'Met Data'!$H$2:$M$368,G773,FALSE)*L773</f>
        <v>5.4</v>
      </c>
      <c r="K773" s="98">
        <f ca="1">HLOOKUP($H$5,'Met Data'!$O$2:$T$368,G773,FALSE)</f>
        <v>3.2051572713162999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68</v>
      </c>
      <c r="H774" s="97">
        <f t="shared" ca="1" si="119"/>
        <v>46089</v>
      </c>
      <c r="I774" s="121">
        <f ca="1">HLOOKUP($H$5,'Met Data'!$A$2:$F$368,G774,FALSE)</f>
        <v>16.404166666666601</v>
      </c>
      <c r="J774" s="119">
        <f ca="1">HLOOKUP($H$5,'Met Data'!$H$2:$M$368,G774,FALSE)*L774</f>
        <v>1.7666666666666599</v>
      </c>
      <c r="K774" s="98">
        <f ca="1">HLOOKUP($H$5,'Met Data'!$O$2:$T$368,G774,FALSE)</f>
        <v>3.3473688975414899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69</v>
      </c>
      <c r="H775" s="97">
        <f t="shared" ca="1" si="119"/>
        <v>46090</v>
      </c>
      <c r="I775" s="121">
        <f ca="1">HLOOKUP($H$5,'Met Data'!$A$2:$F$368,G775,FALSE)</f>
        <v>16.174999999999901</v>
      </c>
      <c r="J775" s="119">
        <f ca="1">HLOOKUP($H$5,'Met Data'!$H$2:$M$368,G775,FALSE)*L775</f>
        <v>0.54999999999999905</v>
      </c>
      <c r="K775" s="98">
        <f ca="1">HLOOKUP($H$5,'Met Data'!$O$2:$T$368,G775,FALSE)</f>
        <v>3.3552920602916099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70</v>
      </c>
      <c r="H776" s="97">
        <f t="shared" ca="1" si="119"/>
        <v>46091</v>
      </c>
      <c r="I776" s="121">
        <f ca="1">HLOOKUP($H$5,'Met Data'!$A$2:$F$368,G776,FALSE)</f>
        <v>16.625</v>
      </c>
      <c r="J776" s="119">
        <f ca="1">HLOOKUP($H$5,'Met Data'!$H$2:$M$368,G776,FALSE)*L776</f>
        <v>2.0666666666666602</v>
      </c>
      <c r="K776" s="98">
        <f ca="1">HLOOKUP($H$5,'Met Data'!$O$2:$T$368,G776,FALSE)</f>
        <v>3.2920876744510998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71</v>
      </c>
      <c r="H777" s="97">
        <f t="shared" ref="H777:H840" ca="1" si="129">H776+1</f>
        <v>46092</v>
      </c>
      <c r="I777" s="121">
        <f ca="1">HLOOKUP($H$5,'Met Data'!$A$2:$F$368,G777,FALSE)</f>
        <v>16.266666666666602</v>
      </c>
      <c r="J777" s="119">
        <f ca="1">HLOOKUP($H$5,'Met Data'!$H$2:$M$368,G777,FALSE)*L777</f>
        <v>3.44999999999999</v>
      </c>
      <c r="K777" s="98">
        <f ca="1">HLOOKUP($H$5,'Met Data'!$O$2:$T$368,G777,FALSE)</f>
        <v>2.5592177640993499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72</v>
      </c>
      <c r="H778" s="97">
        <f t="shared" ca="1" si="129"/>
        <v>46093</v>
      </c>
      <c r="I778" s="121">
        <f ca="1">HLOOKUP($H$5,'Met Data'!$A$2:$F$368,G778,FALSE)</f>
        <v>16.404166666666601</v>
      </c>
      <c r="J778" s="119">
        <f ca="1">HLOOKUP($H$5,'Met Data'!$H$2:$M$368,G778,FALSE)*L778</f>
        <v>1.5833333333333299</v>
      </c>
      <c r="K778" s="98">
        <f ca="1">HLOOKUP($H$5,'Met Data'!$O$2:$T$368,G778,FALSE)</f>
        <v>2.85115032224514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73</v>
      </c>
      <c r="H779" s="97">
        <f t="shared" ca="1" si="129"/>
        <v>46094</v>
      </c>
      <c r="I779" s="121">
        <f ca="1">HLOOKUP($H$5,'Met Data'!$A$2:$F$368,G779,FALSE)</f>
        <v>15.324999999999999</v>
      </c>
      <c r="J779" s="119">
        <f ca="1">HLOOKUP($H$5,'Met Data'!$H$2:$M$368,G779,FALSE)*L779</f>
        <v>1.38333333333333</v>
      </c>
      <c r="K779" s="98">
        <f ca="1">HLOOKUP($H$5,'Met Data'!$O$2:$T$368,G779,FALSE)</f>
        <v>2.7545575054438101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74</v>
      </c>
      <c r="H780" s="97">
        <f t="shared" ca="1" si="129"/>
        <v>46095</v>
      </c>
      <c r="I780" s="121">
        <f ca="1">HLOOKUP($H$5,'Met Data'!$A$2:$F$368,G780,FALSE)</f>
        <v>15.8333333333333</v>
      </c>
      <c r="J780" s="119">
        <f ca="1">HLOOKUP($H$5,'Met Data'!$H$2:$M$368,G780,FALSE)*L780</f>
        <v>0.483333333333333</v>
      </c>
      <c r="K780" s="98">
        <f ca="1">HLOOKUP($H$5,'Met Data'!$O$2:$T$368,G780,FALSE)</f>
        <v>2.9925841251346701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75</v>
      </c>
      <c r="H781" s="97">
        <f t="shared" ca="1" si="129"/>
        <v>46096</v>
      </c>
      <c r="I781" s="121">
        <f ca="1">HLOOKUP($H$5,'Met Data'!$A$2:$F$368,G781,FALSE)</f>
        <v>16.966666666666601</v>
      </c>
      <c r="J781" s="119">
        <f ca="1">HLOOKUP($H$5,'Met Data'!$H$2:$M$368,G781,FALSE)*L781</f>
        <v>0.31666666666666599</v>
      </c>
      <c r="K781" s="98">
        <f ca="1">HLOOKUP($H$5,'Met Data'!$O$2:$T$368,G781,FALSE)</f>
        <v>2.9125814341448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76</v>
      </c>
      <c r="H782" s="97">
        <f t="shared" ca="1" si="129"/>
        <v>46097</v>
      </c>
      <c r="I782" s="121">
        <f ca="1">HLOOKUP($H$5,'Met Data'!$A$2:$F$368,G782,FALSE)</f>
        <v>17.766666666666602</v>
      </c>
      <c r="J782" s="119">
        <f ca="1">HLOOKUP($H$5,'Met Data'!$H$2:$M$368,G782,FALSE)*L782</f>
        <v>2.25</v>
      </c>
      <c r="K782" s="98">
        <f ca="1">HLOOKUP($H$5,'Met Data'!$O$2:$T$368,G782,FALSE)</f>
        <v>2.3685635659939601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77</v>
      </c>
      <c r="H783" s="97">
        <f t="shared" ca="1" si="129"/>
        <v>46098</v>
      </c>
      <c r="I783" s="121">
        <f ca="1">HLOOKUP($H$5,'Met Data'!$A$2:$F$368,G783,FALSE)</f>
        <v>16.100000000000001</v>
      </c>
      <c r="J783" s="119">
        <f ca="1">HLOOKUP($H$5,'Met Data'!$H$2:$M$368,G783,FALSE)*L783</f>
        <v>1.4</v>
      </c>
      <c r="K783" s="98">
        <f ca="1">HLOOKUP($H$5,'Met Data'!$O$2:$T$368,G783,FALSE)</f>
        <v>2.7759280674014901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78</v>
      </c>
      <c r="H784" s="97">
        <f t="shared" ca="1" si="129"/>
        <v>46099</v>
      </c>
      <c r="I784" s="121">
        <f ca="1">HLOOKUP($H$5,'Met Data'!$A$2:$F$368,G784,FALSE)</f>
        <v>15.379166666666601</v>
      </c>
      <c r="J784" s="119">
        <f ca="1">HLOOKUP($H$5,'Met Data'!$H$2:$M$368,G784,FALSE)*L784</f>
        <v>3.68333333333333</v>
      </c>
      <c r="K784" s="98">
        <f ca="1">HLOOKUP($H$5,'Met Data'!$O$2:$T$368,G784,FALSE)</f>
        <v>2.7162290778951999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79</v>
      </c>
      <c r="H785" s="97">
        <f t="shared" ca="1" si="129"/>
        <v>46100</v>
      </c>
      <c r="I785" s="121">
        <f ca="1">HLOOKUP($H$5,'Met Data'!$A$2:$F$368,G785,FALSE)</f>
        <v>15.858333333333301</v>
      </c>
      <c r="J785" s="119">
        <f ca="1">HLOOKUP($H$5,'Met Data'!$H$2:$M$368,G785,FALSE)*L785</f>
        <v>0.85</v>
      </c>
      <c r="K785" s="98">
        <f ca="1">HLOOKUP($H$5,'Met Data'!$O$2:$T$368,G785,FALSE)</f>
        <v>2.8216063312721902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80</v>
      </c>
      <c r="H786" s="97">
        <f t="shared" ca="1" si="129"/>
        <v>46101</v>
      </c>
      <c r="I786" s="121">
        <f ca="1">HLOOKUP($H$5,'Met Data'!$A$2:$F$368,G786,FALSE)</f>
        <v>16.216666666666601</v>
      </c>
      <c r="J786" s="119">
        <f ca="1">HLOOKUP($H$5,'Met Data'!$H$2:$M$368,G786,FALSE)*L786</f>
        <v>8.3333333333333301E-2</v>
      </c>
      <c r="K786" s="98">
        <f ca="1">HLOOKUP($H$5,'Met Data'!$O$2:$T$368,G786,FALSE)</f>
        <v>2.7500481593686201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81</v>
      </c>
      <c r="H787" s="97">
        <f t="shared" ca="1" si="129"/>
        <v>46102</v>
      </c>
      <c r="I787" s="121">
        <f ca="1">HLOOKUP($H$5,'Met Data'!$A$2:$F$368,G787,FALSE)</f>
        <v>16.483333333333299</v>
      </c>
      <c r="J787" s="119">
        <f ca="1">HLOOKUP($H$5,'Met Data'!$H$2:$M$368,G787,FALSE)*L787</f>
        <v>1.11666666666666</v>
      </c>
      <c r="K787" s="98">
        <f ca="1">HLOOKUP($H$5,'Met Data'!$O$2:$T$368,G787,FALSE)</f>
        <v>2.6292753041097501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82</v>
      </c>
      <c r="H788" s="97">
        <f t="shared" ca="1" si="129"/>
        <v>46103</v>
      </c>
      <c r="I788" s="121">
        <f ca="1">HLOOKUP($H$5,'Met Data'!$A$2:$F$368,G788,FALSE)</f>
        <v>16.6791666666666</v>
      </c>
      <c r="J788" s="119">
        <f ca="1">HLOOKUP($H$5,'Met Data'!$H$2:$M$368,G788,FALSE)*L788</f>
        <v>1.63333333333333</v>
      </c>
      <c r="K788" s="98">
        <f ca="1">HLOOKUP($H$5,'Met Data'!$O$2:$T$368,G788,FALSE)</f>
        <v>2.3413673129625598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83</v>
      </c>
      <c r="H789" s="97">
        <f t="shared" ca="1" si="129"/>
        <v>46104</v>
      </c>
      <c r="I789" s="121">
        <f ca="1">HLOOKUP($H$5,'Met Data'!$A$2:$F$368,G789,FALSE)</f>
        <v>16.8</v>
      </c>
      <c r="J789" s="119">
        <f ca="1">HLOOKUP($H$5,'Met Data'!$H$2:$M$368,G789,FALSE)*L789</f>
        <v>2.2833333333333301</v>
      </c>
      <c r="K789" s="98">
        <f ca="1">HLOOKUP($H$5,'Met Data'!$O$2:$T$368,G789,FALSE)</f>
        <v>2.7038604411954998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84</v>
      </c>
      <c r="H790" s="97">
        <f t="shared" ca="1" si="129"/>
        <v>46105</v>
      </c>
      <c r="I790" s="121">
        <f ca="1">HLOOKUP($H$5,'Met Data'!$A$2:$F$368,G790,FALSE)</f>
        <v>16.237500000000001</v>
      </c>
      <c r="J790" s="119">
        <f ca="1">HLOOKUP($H$5,'Met Data'!$H$2:$M$368,G790,FALSE)*L790</f>
        <v>3.7833333333333301</v>
      </c>
      <c r="K790" s="98">
        <f ca="1">HLOOKUP($H$5,'Met Data'!$O$2:$T$368,G790,FALSE)</f>
        <v>2.1387131538714801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85</v>
      </c>
      <c r="H791" s="97">
        <f t="shared" ca="1" si="129"/>
        <v>46106</v>
      </c>
      <c r="I791" s="121">
        <f ca="1">HLOOKUP($H$5,'Met Data'!$A$2:$F$368,G791,FALSE)</f>
        <v>16.875</v>
      </c>
      <c r="J791" s="119">
        <f ca="1">HLOOKUP($H$5,'Met Data'!$H$2:$M$368,G791,FALSE)*L791</f>
        <v>2.9</v>
      </c>
      <c r="K791" s="98">
        <f ca="1">HLOOKUP($H$5,'Met Data'!$O$2:$T$368,G791,FALSE)</f>
        <v>2.4308063740099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86</v>
      </c>
      <c r="H792" s="97">
        <f t="shared" ca="1" si="129"/>
        <v>46107</v>
      </c>
      <c r="I792" s="121">
        <f ca="1">HLOOKUP($H$5,'Met Data'!$A$2:$F$368,G792,FALSE)</f>
        <v>17.024999999999999</v>
      </c>
      <c r="J792" s="119">
        <f ca="1">HLOOKUP($H$5,'Met Data'!$H$2:$M$368,G792,FALSE)*L792</f>
        <v>3.7333333333333298</v>
      </c>
      <c r="K792" s="98">
        <f ca="1">HLOOKUP($H$5,'Met Data'!$O$2:$T$368,G792,FALSE)</f>
        <v>2.3866525377963699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87</v>
      </c>
      <c r="H793" s="97">
        <f t="shared" ca="1" si="129"/>
        <v>46108</v>
      </c>
      <c r="I793" s="121">
        <f ca="1">HLOOKUP($H$5,'Met Data'!$A$2:$F$368,G793,FALSE)</f>
        <v>17.3</v>
      </c>
      <c r="J793" s="119">
        <f ca="1">HLOOKUP($H$5,'Met Data'!$H$2:$M$368,G793,FALSE)*L793</f>
        <v>1.93333333333333</v>
      </c>
      <c r="K793" s="98">
        <f ca="1">HLOOKUP($H$5,'Met Data'!$O$2:$T$368,G793,FALSE)</f>
        <v>2.6501779961824399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88</v>
      </c>
      <c r="H794" s="97">
        <f t="shared" ca="1" si="129"/>
        <v>46109</v>
      </c>
      <c r="I794" s="121">
        <f ca="1">HLOOKUP($H$5,'Met Data'!$A$2:$F$368,G794,FALSE)</f>
        <v>15.983333333333301</v>
      </c>
      <c r="J794" s="119">
        <f ca="1">HLOOKUP($H$5,'Met Data'!$H$2:$M$368,G794,FALSE)*L794</f>
        <v>1.2166666666666599</v>
      </c>
      <c r="K794" s="98">
        <f ca="1">HLOOKUP($H$5,'Met Data'!$O$2:$T$368,G794,FALSE)</f>
        <v>2.2352735074469998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89</v>
      </c>
      <c r="H795" s="97">
        <f t="shared" ca="1" si="129"/>
        <v>46110</v>
      </c>
      <c r="I795" s="121">
        <f ca="1">HLOOKUP($H$5,'Met Data'!$A$2:$F$368,G795,FALSE)</f>
        <v>16.404166666666601</v>
      </c>
      <c r="J795" s="119">
        <f ca="1">HLOOKUP($H$5,'Met Data'!$H$2:$M$368,G795,FALSE)*L795</f>
        <v>2.3333333333333299</v>
      </c>
      <c r="K795" s="98">
        <f ca="1">HLOOKUP($H$5,'Met Data'!$O$2:$T$368,G795,FALSE)</f>
        <v>2.3461969045698901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90</v>
      </c>
      <c r="H796" s="97">
        <f t="shared" ca="1" si="129"/>
        <v>46111</v>
      </c>
      <c r="I796" s="121">
        <f ca="1">HLOOKUP($H$5,'Met Data'!$A$2:$F$368,G796,FALSE)</f>
        <v>16.629166666666599</v>
      </c>
      <c r="J796" s="119">
        <f ca="1">HLOOKUP($H$5,'Met Data'!$H$2:$M$368,G796,FALSE)*L796</f>
        <v>2.2333333333333298</v>
      </c>
      <c r="K796" s="98">
        <f ca="1">HLOOKUP($H$5,'Met Data'!$O$2:$T$368,G796,FALSE)</f>
        <v>2.5330458314755799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91</v>
      </c>
      <c r="H797" s="97">
        <f t="shared" ca="1" si="129"/>
        <v>46112</v>
      </c>
      <c r="I797" s="121">
        <f ca="1">HLOOKUP($H$5,'Met Data'!$A$2:$F$368,G797,FALSE)</f>
        <v>16.112499999999901</v>
      </c>
      <c r="J797" s="119">
        <f ca="1">HLOOKUP($H$5,'Met Data'!$H$2:$M$368,G797,FALSE)*L797</f>
        <v>2.0833333333333299</v>
      </c>
      <c r="K797" s="98">
        <f ca="1">HLOOKUP($H$5,'Met Data'!$O$2:$T$368,G797,FALSE)</f>
        <v>2.4661161715906501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92</v>
      </c>
      <c r="H798" s="97">
        <f t="shared" ca="1" si="129"/>
        <v>46113</v>
      </c>
      <c r="I798" s="121">
        <f ca="1">HLOOKUP($H$5,'Met Data'!$A$2:$F$368,G798,FALSE)</f>
        <v>15.862500000000001</v>
      </c>
      <c r="J798" s="119">
        <f ca="1">HLOOKUP($H$5,'Met Data'!$H$2:$M$368,G798,FALSE)*L798</f>
        <v>1.3333333333333299</v>
      </c>
      <c r="K798" s="98">
        <f ca="1">HLOOKUP($H$5,'Met Data'!$O$2:$T$368,G798,FALSE)</f>
        <v>2.3173978620084501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93</v>
      </c>
      <c r="H799" s="97">
        <f t="shared" ca="1" si="129"/>
        <v>46114</v>
      </c>
      <c r="I799" s="121">
        <f ca="1">HLOOKUP($H$5,'Met Data'!$A$2:$F$368,G799,FALSE)</f>
        <v>15.299999999999899</v>
      </c>
      <c r="J799" s="119">
        <f ca="1">HLOOKUP($H$5,'Met Data'!$H$2:$M$368,G799,FALSE)*L799</f>
        <v>0.36666666666666597</v>
      </c>
      <c r="K799" s="98">
        <f ca="1">HLOOKUP($H$5,'Met Data'!$O$2:$T$368,G799,FALSE)</f>
        <v>2.1311275850035698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94</v>
      </c>
      <c r="H800" s="97">
        <f t="shared" ca="1" si="129"/>
        <v>46115</v>
      </c>
      <c r="I800" s="121">
        <f ca="1">HLOOKUP($H$5,'Met Data'!$A$2:$F$368,G800,FALSE)</f>
        <v>16.266666666666602</v>
      </c>
      <c r="J800" s="119">
        <f ca="1">HLOOKUP($H$5,'Met Data'!$H$2:$M$368,G800,FALSE)*L800</f>
        <v>4.36666666666666</v>
      </c>
      <c r="K800" s="98">
        <f ca="1">HLOOKUP($H$5,'Met Data'!$O$2:$T$368,G800,FALSE)</f>
        <v>2.1942415542804201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95</v>
      </c>
      <c r="H801" s="97">
        <f t="shared" ca="1" si="129"/>
        <v>46116</v>
      </c>
      <c r="I801" s="121">
        <f ca="1">HLOOKUP($H$5,'Met Data'!$A$2:$F$368,G801,FALSE)</f>
        <v>16.008333333333301</v>
      </c>
      <c r="J801" s="119">
        <f ca="1">HLOOKUP($H$5,'Met Data'!$H$2:$M$368,G801,FALSE)*L801</f>
        <v>5.5833333333333304</v>
      </c>
      <c r="K801" s="98">
        <f ca="1">HLOOKUP($H$5,'Met Data'!$O$2:$T$368,G801,FALSE)</f>
        <v>2.18875214188912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96</v>
      </c>
      <c r="H802" s="97">
        <f t="shared" ca="1" si="129"/>
        <v>46117</v>
      </c>
      <c r="I802" s="121">
        <f ca="1">HLOOKUP($H$5,'Met Data'!$A$2:$F$368,G802,FALSE)</f>
        <v>14.8083333333333</v>
      </c>
      <c r="J802" s="119">
        <f ca="1">HLOOKUP($H$5,'Met Data'!$H$2:$M$368,G802,FALSE)*L802</f>
        <v>3.93333333333333</v>
      </c>
      <c r="K802" s="98">
        <f ca="1">HLOOKUP($H$5,'Met Data'!$O$2:$T$368,G802,FALSE)</f>
        <v>2.25899576438928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97</v>
      </c>
      <c r="H803" s="97">
        <f t="shared" ca="1" si="129"/>
        <v>46118</v>
      </c>
      <c r="I803" s="121">
        <f ca="1">HLOOKUP($H$5,'Met Data'!$A$2:$F$368,G803,FALSE)</f>
        <v>14.283333333333299</v>
      </c>
      <c r="J803" s="119">
        <f ca="1">HLOOKUP($H$5,'Met Data'!$H$2:$M$368,G803,FALSE)*L803</f>
        <v>1.2666666666666599</v>
      </c>
      <c r="K803" s="98">
        <f ca="1">HLOOKUP($H$5,'Met Data'!$O$2:$T$368,G803,FALSE)</f>
        <v>2.2952223200603901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98</v>
      </c>
      <c r="H804" s="97">
        <f t="shared" ca="1" si="129"/>
        <v>46119</v>
      </c>
      <c r="I804" s="121">
        <f ca="1">HLOOKUP($H$5,'Met Data'!$A$2:$F$368,G804,FALSE)</f>
        <v>13.258333333333301</v>
      </c>
      <c r="J804" s="119">
        <f ca="1">HLOOKUP($H$5,'Met Data'!$H$2:$M$368,G804,FALSE)*L804</f>
        <v>1.18333333333333</v>
      </c>
      <c r="K804" s="98">
        <f ca="1">HLOOKUP($H$5,'Met Data'!$O$2:$T$368,G804,FALSE)</f>
        <v>1.94562323949851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99</v>
      </c>
      <c r="H805" s="97">
        <f t="shared" ca="1" si="129"/>
        <v>46120</v>
      </c>
      <c r="I805" s="121">
        <f ca="1">HLOOKUP($H$5,'Met Data'!$A$2:$F$368,G805,FALSE)</f>
        <v>13.8666666666666</v>
      </c>
      <c r="J805" s="119">
        <f ca="1">HLOOKUP($H$5,'Met Data'!$H$2:$M$368,G805,FALSE)*L805</f>
        <v>4.7333333333333298</v>
      </c>
      <c r="K805" s="98">
        <f ca="1">HLOOKUP($H$5,'Met Data'!$O$2:$T$368,G805,FALSE)</f>
        <v>1.65226329552866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100</v>
      </c>
      <c r="H806" s="97">
        <f t="shared" ca="1" si="129"/>
        <v>46121</v>
      </c>
      <c r="I806" s="121">
        <f ca="1">HLOOKUP($H$5,'Met Data'!$A$2:$F$368,G806,FALSE)</f>
        <v>14.404166666666599</v>
      </c>
      <c r="J806" s="119">
        <f ca="1">HLOOKUP($H$5,'Met Data'!$H$2:$M$368,G806,FALSE)*L806</f>
        <v>4.3166666666666602</v>
      </c>
      <c r="K806" s="98">
        <f ca="1">HLOOKUP($H$5,'Met Data'!$O$2:$T$368,G806,FALSE)</f>
        <v>1.8668252234765801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101</v>
      </c>
      <c r="H807" s="97">
        <f t="shared" ca="1" si="129"/>
        <v>46122</v>
      </c>
      <c r="I807" s="121">
        <f ca="1">HLOOKUP($H$5,'Met Data'!$A$2:$F$368,G807,FALSE)</f>
        <v>14.5416666666666</v>
      </c>
      <c r="J807" s="119">
        <f ca="1">HLOOKUP($H$5,'Met Data'!$H$2:$M$368,G807,FALSE)*L807</f>
        <v>4.43333333333333</v>
      </c>
      <c r="K807" s="98">
        <f ca="1">HLOOKUP($H$5,'Met Data'!$O$2:$T$368,G807,FALSE)</f>
        <v>1.97301093095216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102</v>
      </c>
      <c r="H808" s="97">
        <f t="shared" ca="1" si="129"/>
        <v>46123</v>
      </c>
      <c r="I808" s="121">
        <f ca="1">HLOOKUP($H$5,'Met Data'!$A$2:$F$368,G808,FALSE)</f>
        <v>14.279166666666599</v>
      </c>
      <c r="J808" s="119">
        <f ca="1">HLOOKUP($H$5,'Met Data'!$H$2:$M$368,G808,FALSE)*L808</f>
        <v>1.3333333333333299</v>
      </c>
      <c r="K808" s="98">
        <f ca="1">HLOOKUP($H$5,'Met Data'!$O$2:$T$368,G808,FALSE)</f>
        <v>1.63836682585681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103</v>
      </c>
      <c r="H809" s="97">
        <f t="shared" ca="1" si="129"/>
        <v>46124</v>
      </c>
      <c r="I809" s="121">
        <f ca="1">HLOOKUP($H$5,'Met Data'!$A$2:$F$368,G809,FALSE)</f>
        <v>15.1666666666666</v>
      </c>
      <c r="J809" s="119">
        <f ca="1">HLOOKUP($H$5,'Met Data'!$H$2:$M$368,G809,FALSE)*L809</f>
        <v>3.7833333333333301</v>
      </c>
      <c r="K809" s="98">
        <f ca="1">HLOOKUP($H$5,'Met Data'!$O$2:$T$368,G809,FALSE)</f>
        <v>1.8936832301932101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104</v>
      </c>
      <c r="H810" s="97">
        <f t="shared" ca="1" si="129"/>
        <v>46125</v>
      </c>
      <c r="I810" s="121">
        <f ca="1">HLOOKUP($H$5,'Met Data'!$A$2:$F$368,G810,FALSE)</f>
        <v>14.675000000000001</v>
      </c>
      <c r="J810" s="119">
        <f ca="1">HLOOKUP($H$5,'Met Data'!$H$2:$M$368,G810,FALSE)*L810</f>
        <v>4.5166666666666604</v>
      </c>
      <c r="K810" s="98">
        <f ca="1">HLOOKUP($H$5,'Met Data'!$O$2:$T$368,G810,FALSE)</f>
        <v>1.6971366028359001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105</v>
      </c>
      <c r="H811" s="97">
        <f t="shared" ca="1" si="129"/>
        <v>46126</v>
      </c>
      <c r="I811" s="121">
        <f ca="1">HLOOKUP($H$5,'Met Data'!$A$2:$F$368,G811,FALSE)</f>
        <v>13.504166666666601</v>
      </c>
      <c r="J811" s="119">
        <f ca="1">HLOOKUP($H$5,'Met Data'!$H$2:$M$368,G811,FALSE)*L811</f>
        <v>4.5</v>
      </c>
      <c r="K811" s="98">
        <f ca="1">HLOOKUP($H$5,'Met Data'!$O$2:$T$368,G811,FALSE)</f>
        <v>1.6970685904410301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106</v>
      </c>
      <c r="H812" s="97">
        <f t="shared" ca="1" si="129"/>
        <v>46127</v>
      </c>
      <c r="I812" s="121">
        <f ca="1">HLOOKUP($H$5,'Met Data'!$A$2:$F$368,G812,FALSE)</f>
        <v>13.779166666666599</v>
      </c>
      <c r="J812" s="119">
        <f ca="1">HLOOKUP($H$5,'Met Data'!$H$2:$M$368,G812,FALSE)*L812</f>
        <v>0.9</v>
      </c>
      <c r="K812" s="98">
        <f ca="1">HLOOKUP($H$5,'Met Data'!$O$2:$T$368,G812,FALSE)</f>
        <v>2.0649391337631702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107</v>
      </c>
      <c r="H813" s="97">
        <f t="shared" ca="1" si="129"/>
        <v>46128</v>
      </c>
      <c r="I813" s="121">
        <f ca="1">HLOOKUP($H$5,'Met Data'!$A$2:$F$368,G813,FALSE)</f>
        <v>13.920833333333301</v>
      </c>
      <c r="J813" s="119">
        <f ca="1">HLOOKUP($H$5,'Met Data'!$H$2:$M$368,G813,FALSE)*L813</f>
        <v>7.6</v>
      </c>
      <c r="K813" s="98">
        <f ca="1">HLOOKUP($H$5,'Met Data'!$O$2:$T$368,G813,FALSE)</f>
        <v>1.7084212444020199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108</v>
      </c>
      <c r="H814" s="97">
        <f t="shared" ca="1" si="129"/>
        <v>46129</v>
      </c>
      <c r="I814" s="121">
        <f ca="1">HLOOKUP($H$5,'Met Data'!$A$2:$F$368,G814,FALSE)</f>
        <v>13.6416666666666</v>
      </c>
      <c r="J814" s="119">
        <f ca="1">HLOOKUP($H$5,'Met Data'!$H$2:$M$368,G814,FALSE)*L814</f>
        <v>3.44999999999999</v>
      </c>
      <c r="K814" s="98">
        <f ca="1">HLOOKUP($H$5,'Met Data'!$O$2:$T$368,G814,FALSE)</f>
        <v>1.46996077972592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109</v>
      </c>
      <c r="H815" s="97">
        <f t="shared" ca="1" si="129"/>
        <v>46130</v>
      </c>
      <c r="I815" s="121">
        <f ca="1">HLOOKUP($H$5,'Met Data'!$A$2:$F$368,G815,FALSE)</f>
        <v>13.6833333333333</v>
      </c>
      <c r="J815" s="119">
        <f ca="1">HLOOKUP($H$5,'Met Data'!$H$2:$M$368,G815,FALSE)*L815</f>
        <v>2.4166666666666599</v>
      </c>
      <c r="K815" s="98">
        <f ca="1">HLOOKUP($H$5,'Met Data'!$O$2:$T$368,G815,FALSE)</f>
        <v>1.64274717869015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ca="1" si="120"/>
        <v>110</v>
      </c>
      <c r="H816" s="97">
        <f t="shared" ca="1" si="129"/>
        <v>46131</v>
      </c>
      <c r="I816" s="121">
        <f ca="1">HLOOKUP($H$5,'Met Data'!$A$2:$F$368,G816,FALSE)</f>
        <v>12.945833333333301</v>
      </c>
      <c r="J816" s="119">
        <f ca="1">HLOOKUP($H$5,'Met Data'!$H$2:$M$368,G816,FALSE)*L816</f>
        <v>1.5999999999999901</v>
      </c>
      <c r="K816" s="98">
        <f ca="1">HLOOKUP($H$5,'Met Data'!$O$2:$T$368,G816,FALSE)</f>
        <v>1.70342846945819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ca="1" si="130">H817-DATE(YEAR(H817),1,0)+1</f>
        <v>111</v>
      </c>
      <c r="H817" s="97">
        <f t="shared" ca="1" si="129"/>
        <v>46132</v>
      </c>
      <c r="I817" s="121">
        <f ca="1">HLOOKUP($H$5,'Met Data'!$A$2:$F$368,G817,FALSE)</f>
        <v>14.2875</v>
      </c>
      <c r="J817" s="119">
        <f ca="1">HLOOKUP($H$5,'Met Data'!$H$2:$M$368,G817,FALSE)*L817</f>
        <v>1.1499999999999999</v>
      </c>
      <c r="K817" s="98">
        <f ca="1">HLOOKUP($H$5,'Met Data'!$O$2:$T$368,G817,FALSE)</f>
        <v>1.68674688590323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ca="1" si="130"/>
        <v>112</v>
      </c>
      <c r="H818" s="97">
        <f t="shared" ca="1" si="129"/>
        <v>46133</v>
      </c>
      <c r="I818" s="121">
        <f ca="1">HLOOKUP($H$5,'Met Data'!$A$2:$F$368,G818,FALSE)</f>
        <v>14.275</v>
      </c>
      <c r="J818" s="119">
        <f ca="1">HLOOKUP($H$5,'Met Data'!$H$2:$M$368,G818,FALSE)*L818</f>
        <v>2.0833333333333299</v>
      </c>
      <c r="K818" s="98">
        <f ca="1">HLOOKUP($H$5,'Met Data'!$O$2:$T$368,G818,FALSE)</f>
        <v>1.5152419322458901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113</v>
      </c>
      <c r="H819" s="97">
        <f t="shared" ca="1" si="129"/>
        <v>46134</v>
      </c>
      <c r="I819" s="121">
        <f ca="1">HLOOKUP($H$5,'Met Data'!$A$2:$F$368,G819,FALSE)</f>
        <v>13.595833333333299</v>
      </c>
      <c r="J819" s="119">
        <f ca="1">HLOOKUP($H$5,'Met Data'!$H$2:$M$368,G819,FALSE)*L819</f>
        <v>0.76666666666666605</v>
      </c>
      <c r="K819" s="98">
        <f ca="1">HLOOKUP($H$5,'Met Data'!$O$2:$T$368,G819,FALSE)</f>
        <v>1.65518894118648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114</v>
      </c>
      <c r="H820" s="97">
        <f t="shared" ca="1" si="129"/>
        <v>46135</v>
      </c>
      <c r="I820" s="121">
        <f ca="1">HLOOKUP($H$5,'Met Data'!$A$2:$F$368,G820,FALSE)</f>
        <v>13.9125</v>
      </c>
      <c r="J820" s="119">
        <f ca="1">HLOOKUP($H$5,'Met Data'!$H$2:$M$368,G820,FALSE)*L820</f>
        <v>0.3</v>
      </c>
      <c r="K820" s="98">
        <f ca="1">HLOOKUP($H$5,'Met Data'!$O$2:$T$368,G820,FALSE)</f>
        <v>1.66585763602601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115</v>
      </c>
      <c r="H821" s="97">
        <f t="shared" ca="1" si="129"/>
        <v>46136</v>
      </c>
      <c r="I821" s="121">
        <f ca="1">HLOOKUP($H$5,'Met Data'!$A$2:$F$368,G821,FALSE)</f>
        <v>14.820833333333301</v>
      </c>
      <c r="J821" s="119">
        <f ca="1">HLOOKUP($H$5,'Met Data'!$H$2:$M$368,G821,FALSE)*L821</f>
        <v>2.5333333333333301</v>
      </c>
      <c r="K821" s="98">
        <f ca="1">HLOOKUP($H$5,'Met Data'!$O$2:$T$368,G821,FALSE)</f>
        <v>1.5754379638326901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116</v>
      </c>
      <c r="H822" s="97">
        <f t="shared" ca="1" si="129"/>
        <v>46137</v>
      </c>
      <c r="I822" s="121">
        <f ca="1">HLOOKUP($H$5,'Met Data'!$A$2:$F$368,G822,FALSE)</f>
        <v>14.4166666666666</v>
      </c>
      <c r="J822" s="119">
        <f ca="1">HLOOKUP($H$5,'Met Data'!$H$2:$M$368,G822,FALSE)*L822</f>
        <v>7.3833333333333302</v>
      </c>
      <c r="K822" s="98">
        <f ca="1">HLOOKUP($H$5,'Met Data'!$O$2:$T$368,G822,FALSE)</f>
        <v>1.4622003711311999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117</v>
      </c>
      <c r="H823" s="97">
        <f t="shared" ca="1" si="129"/>
        <v>46138</v>
      </c>
      <c r="I823" s="121">
        <f ca="1">HLOOKUP($H$5,'Met Data'!$A$2:$F$368,G823,FALSE)</f>
        <v>13.9375</v>
      </c>
      <c r="J823" s="119">
        <f ca="1">HLOOKUP($H$5,'Met Data'!$H$2:$M$368,G823,FALSE)*L823</f>
        <v>0.7</v>
      </c>
      <c r="K823" s="98">
        <f ca="1">HLOOKUP($H$5,'Met Data'!$O$2:$T$368,G823,FALSE)</f>
        <v>1.4965322621758601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118</v>
      </c>
      <c r="H824" s="97">
        <f t="shared" ca="1" si="129"/>
        <v>46139</v>
      </c>
      <c r="I824" s="121">
        <f ca="1">HLOOKUP($H$5,'Met Data'!$A$2:$F$368,G824,FALSE)</f>
        <v>14.8045454545454</v>
      </c>
      <c r="J824" s="119">
        <f ca="1">HLOOKUP($H$5,'Met Data'!$H$2:$M$368,G824,FALSE)*L824</f>
        <v>4.5818181818181802</v>
      </c>
      <c r="K824" s="98">
        <f ca="1">HLOOKUP($H$5,'Met Data'!$O$2:$T$368,G824,FALSE)</f>
        <v>1.5702581753512701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119</v>
      </c>
      <c r="H825" s="97">
        <f t="shared" ca="1" si="129"/>
        <v>46140</v>
      </c>
      <c r="I825" s="121">
        <f ca="1">HLOOKUP($H$5,'Met Data'!$A$2:$F$368,G825,FALSE)</f>
        <v>14.1090909090909</v>
      </c>
      <c r="J825" s="119">
        <f ca="1">HLOOKUP($H$5,'Met Data'!$H$2:$M$368,G825,FALSE)*L825</f>
        <v>5.5454545454545396</v>
      </c>
      <c r="K825" s="98">
        <f ca="1">HLOOKUP($H$5,'Met Data'!$O$2:$T$368,G825,FALSE)</f>
        <v>1.27231342308323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120</v>
      </c>
      <c r="H826" s="97">
        <f t="shared" ca="1" si="129"/>
        <v>46141</v>
      </c>
      <c r="I826" s="121">
        <f ca="1">HLOOKUP($H$5,'Met Data'!$A$2:$F$368,G826,FALSE)</f>
        <v>13.8375</v>
      </c>
      <c r="J826" s="119">
        <f ca="1">HLOOKUP($H$5,'Met Data'!$H$2:$M$368,G826,FALSE)*L826</f>
        <v>4.68333333333333</v>
      </c>
      <c r="K826" s="98">
        <f ca="1">HLOOKUP($H$5,'Met Data'!$O$2:$T$368,G826,FALSE)</f>
        <v>1.5077932055652401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121</v>
      </c>
      <c r="H827" s="97">
        <f t="shared" ca="1" si="129"/>
        <v>46142</v>
      </c>
      <c r="I827" s="121">
        <f ca="1">HLOOKUP($H$5,'Met Data'!$A$2:$F$368,G827,FALSE)</f>
        <v>13.6458333333333</v>
      </c>
      <c r="J827" s="119">
        <f ca="1">HLOOKUP($H$5,'Met Data'!$H$2:$M$368,G827,FALSE)*L827</f>
        <v>5.3999999999999897</v>
      </c>
      <c r="K827" s="98">
        <f ca="1">HLOOKUP($H$5,'Met Data'!$O$2:$T$368,G827,FALSE)</f>
        <v>1.60300410285803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122</v>
      </c>
      <c r="H828" s="97">
        <f t="shared" ca="1" si="129"/>
        <v>46143</v>
      </c>
      <c r="I828" s="121">
        <f ca="1">HLOOKUP($H$5,'Met Data'!$A$2:$F$368,G828,FALSE)</f>
        <v>11.883333333333301</v>
      </c>
      <c r="J828" s="119">
        <f ca="1">HLOOKUP($H$5,'Met Data'!$H$2:$M$368,G828,FALSE)*L828</f>
        <v>0.25</v>
      </c>
      <c r="K828" s="98">
        <f ca="1">HLOOKUP($H$5,'Met Data'!$O$2:$T$368,G828,FALSE)</f>
        <v>1.67837953393642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123</v>
      </c>
      <c r="H829" s="97">
        <f t="shared" ca="1" si="129"/>
        <v>46144</v>
      </c>
      <c r="I829" s="121">
        <f ca="1">HLOOKUP($H$5,'Met Data'!$A$2:$F$368,G829,FALSE)</f>
        <v>11.8541666666666</v>
      </c>
      <c r="J829" s="119">
        <f ca="1">HLOOKUP($H$5,'Met Data'!$H$2:$M$368,G829,FALSE)*L829</f>
        <v>0.133333333333333</v>
      </c>
      <c r="K829" s="98">
        <f ca="1">HLOOKUP($H$5,'Met Data'!$O$2:$T$368,G829,FALSE)</f>
        <v>1.44561782365903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124</v>
      </c>
      <c r="H830" s="97">
        <f t="shared" ca="1" si="129"/>
        <v>46145</v>
      </c>
      <c r="I830" s="121">
        <f ca="1">HLOOKUP($H$5,'Met Data'!$A$2:$F$368,G830,FALSE)</f>
        <v>13.0875</v>
      </c>
      <c r="J830" s="119">
        <f ca="1">HLOOKUP($H$5,'Met Data'!$H$2:$M$368,G830,FALSE)*L830</f>
        <v>2.1333333333333302</v>
      </c>
      <c r="K830" s="98">
        <f ca="1">HLOOKUP($H$5,'Met Data'!$O$2:$T$368,G830,FALSE)</f>
        <v>1.4319782957140901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125</v>
      </c>
      <c r="H831" s="97">
        <f t="shared" ca="1" si="129"/>
        <v>46146</v>
      </c>
      <c r="I831" s="121">
        <f ca="1">HLOOKUP($H$5,'Met Data'!$A$2:$F$368,G831,FALSE)</f>
        <v>13.137499999999999</v>
      </c>
      <c r="J831" s="119">
        <f ca="1">HLOOKUP($H$5,'Met Data'!$H$2:$M$368,G831,FALSE)*L831</f>
        <v>3</v>
      </c>
      <c r="K831" s="98">
        <f ca="1">HLOOKUP($H$5,'Met Data'!$O$2:$T$368,G831,FALSE)</f>
        <v>1.16413167388704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126</v>
      </c>
      <c r="H832" s="97">
        <f t="shared" ca="1" si="129"/>
        <v>46147</v>
      </c>
      <c r="I832" s="121">
        <f ca="1">HLOOKUP($H$5,'Met Data'!$A$2:$F$368,G832,FALSE)</f>
        <v>13.591666666666599</v>
      </c>
      <c r="J832" s="119">
        <f ca="1">HLOOKUP($H$5,'Met Data'!$H$2:$M$368,G832,FALSE)*L832</f>
        <v>4.8499999999999996</v>
      </c>
      <c r="K832" s="98">
        <f ca="1">HLOOKUP($H$5,'Met Data'!$O$2:$T$368,G832,FALSE)</f>
        <v>1.3049016144750001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127</v>
      </c>
      <c r="H833" s="97">
        <f t="shared" ca="1" si="129"/>
        <v>46148</v>
      </c>
      <c r="I833" s="121">
        <f ca="1">HLOOKUP($H$5,'Met Data'!$A$2:$F$368,G833,FALSE)</f>
        <v>13.2708333333333</v>
      </c>
      <c r="J833" s="119">
        <f ca="1">HLOOKUP($H$5,'Met Data'!$H$2:$M$368,G833,FALSE)*L833</f>
        <v>2.36666666666666</v>
      </c>
      <c r="K833" s="98">
        <f ca="1">HLOOKUP($H$5,'Met Data'!$O$2:$T$368,G833,FALSE)</f>
        <v>1.29751787384439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128</v>
      </c>
      <c r="H834" s="97">
        <f t="shared" ca="1" si="129"/>
        <v>46149</v>
      </c>
      <c r="I834" s="121">
        <f ca="1">HLOOKUP($H$5,'Met Data'!$A$2:$F$368,G834,FALSE)</f>
        <v>12.6791666666666</v>
      </c>
      <c r="J834" s="119">
        <f ca="1">HLOOKUP($H$5,'Met Data'!$H$2:$M$368,G834,FALSE)*L834</f>
        <v>5.4166666666666599</v>
      </c>
      <c r="K834" s="98">
        <f ca="1">HLOOKUP($H$5,'Met Data'!$O$2:$T$368,G834,FALSE)</f>
        <v>1.3071916611718599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129</v>
      </c>
      <c r="H835" s="97">
        <f t="shared" ca="1" si="129"/>
        <v>46150</v>
      </c>
      <c r="I835" s="121">
        <f ca="1">HLOOKUP($H$5,'Met Data'!$A$2:$F$368,G835,FALSE)</f>
        <v>12.799999999999899</v>
      </c>
      <c r="J835" s="119">
        <f ca="1">HLOOKUP($H$5,'Met Data'!$H$2:$M$368,G835,FALSE)*L835</f>
        <v>2.1666666666666599</v>
      </c>
      <c r="K835" s="98">
        <f ca="1">HLOOKUP($H$5,'Met Data'!$O$2:$T$368,G835,FALSE)</f>
        <v>1.27112414081248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130</v>
      </c>
      <c r="H836" s="97">
        <f t="shared" ca="1" si="129"/>
        <v>46151</v>
      </c>
      <c r="I836" s="121">
        <f ca="1">HLOOKUP($H$5,'Met Data'!$A$2:$F$368,G836,FALSE)</f>
        <v>14.1</v>
      </c>
      <c r="J836" s="119">
        <f ca="1">HLOOKUP($H$5,'Met Data'!$H$2:$M$368,G836,FALSE)*L836</f>
        <v>1.2333333333333301</v>
      </c>
      <c r="K836" s="98">
        <f ca="1">HLOOKUP($H$5,'Met Data'!$O$2:$T$368,G836,FALSE)</f>
        <v>1.3593529897032299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131</v>
      </c>
      <c r="H837" s="97">
        <f t="shared" ca="1" si="129"/>
        <v>46152</v>
      </c>
      <c r="I837" s="121">
        <f ca="1">HLOOKUP($H$5,'Met Data'!$A$2:$F$368,G837,FALSE)</f>
        <v>13.7416666666666</v>
      </c>
      <c r="J837" s="119">
        <f ca="1">HLOOKUP($H$5,'Met Data'!$H$2:$M$368,G837,FALSE)*L837</f>
        <v>1.56666666666666</v>
      </c>
      <c r="K837" s="98">
        <f ca="1">HLOOKUP($H$5,'Met Data'!$O$2:$T$368,G837,FALSE)</f>
        <v>1.1980493949464299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132</v>
      </c>
      <c r="H838" s="97">
        <f t="shared" ca="1" si="129"/>
        <v>46153</v>
      </c>
      <c r="I838" s="121">
        <f ca="1">HLOOKUP($H$5,'Met Data'!$A$2:$F$368,G838,FALSE)</f>
        <v>13.1</v>
      </c>
      <c r="J838" s="119">
        <f ca="1">HLOOKUP($H$5,'Met Data'!$H$2:$M$368,G838,FALSE)*L838</f>
        <v>3.7166666666666601</v>
      </c>
      <c r="K838" s="98">
        <f ca="1">HLOOKUP($H$5,'Met Data'!$O$2:$T$368,G838,FALSE)</f>
        <v>1.0818629782871001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133</v>
      </c>
      <c r="H839" s="97">
        <f t="shared" ca="1" si="129"/>
        <v>46154</v>
      </c>
      <c r="I839" s="121">
        <f ca="1">HLOOKUP($H$5,'Met Data'!$A$2:$F$368,G839,FALSE)</f>
        <v>13.566666666666601</v>
      </c>
      <c r="J839" s="119">
        <f ca="1">HLOOKUP($H$5,'Met Data'!$H$2:$M$368,G839,FALSE)*L839</f>
        <v>5.86666666666666</v>
      </c>
      <c r="K839" s="98">
        <f ca="1">HLOOKUP($H$5,'Met Data'!$O$2:$T$368,G839,FALSE)</f>
        <v>0.93360919947406795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134</v>
      </c>
      <c r="H840" s="97">
        <f t="shared" ca="1" si="129"/>
        <v>46155</v>
      </c>
      <c r="I840" s="121">
        <f ca="1">HLOOKUP($H$5,'Met Data'!$A$2:$F$368,G840,FALSE)</f>
        <v>12.887499999999999</v>
      </c>
      <c r="J840" s="119">
        <f ca="1">HLOOKUP($H$5,'Met Data'!$H$2:$M$368,G840,FALSE)*L840</f>
        <v>5.1666666666666599</v>
      </c>
      <c r="K840" s="98">
        <f ca="1">HLOOKUP($H$5,'Met Data'!$O$2:$T$368,G840,FALSE)</f>
        <v>1.3361527471355901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135</v>
      </c>
      <c r="H841" s="97">
        <f t="shared" ref="H841:H904" ca="1" si="139">H840+1</f>
        <v>46156</v>
      </c>
      <c r="I841" s="121">
        <f ca="1">HLOOKUP($H$5,'Met Data'!$A$2:$F$368,G841,FALSE)</f>
        <v>13</v>
      </c>
      <c r="J841" s="119">
        <f ca="1">HLOOKUP($H$5,'Met Data'!$H$2:$M$368,G841,FALSE)*L841</f>
        <v>4.86666666666666</v>
      </c>
      <c r="K841" s="98">
        <f ca="1">HLOOKUP($H$5,'Met Data'!$O$2:$T$368,G841,FALSE)</f>
        <v>1.1907632624443201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136</v>
      </c>
      <c r="H842" s="97">
        <f t="shared" ca="1" si="139"/>
        <v>46157</v>
      </c>
      <c r="I842" s="121">
        <f ca="1">HLOOKUP($H$5,'Met Data'!$A$2:$F$368,G842,FALSE)</f>
        <v>13.470833333333299</v>
      </c>
      <c r="J842" s="119">
        <f ca="1">HLOOKUP($H$5,'Met Data'!$H$2:$M$368,G842,FALSE)*L842</f>
        <v>8.7833333333333297</v>
      </c>
      <c r="K842" s="98">
        <f ca="1">HLOOKUP($H$5,'Met Data'!$O$2:$T$368,G842,FALSE)</f>
        <v>1.16840876605303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137</v>
      </c>
      <c r="H843" s="97">
        <f t="shared" ca="1" si="139"/>
        <v>46158</v>
      </c>
      <c r="I843" s="121">
        <f ca="1">HLOOKUP($H$5,'Met Data'!$A$2:$F$368,G843,FALSE)</f>
        <v>12.8666666666666</v>
      </c>
      <c r="J843" s="119">
        <f ca="1">HLOOKUP($H$5,'Met Data'!$H$2:$M$368,G843,FALSE)*L843</f>
        <v>4.86666666666666</v>
      </c>
      <c r="K843" s="98">
        <f ca="1">HLOOKUP($H$5,'Met Data'!$O$2:$T$368,G843,FALSE)</f>
        <v>1.23845839693481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138</v>
      </c>
      <c r="H844" s="97">
        <f t="shared" ca="1" si="139"/>
        <v>46159</v>
      </c>
      <c r="I844" s="121">
        <f ca="1">HLOOKUP($H$5,'Met Data'!$A$2:$F$368,G844,FALSE)</f>
        <v>12.237499999999899</v>
      </c>
      <c r="J844" s="119">
        <f ca="1">HLOOKUP($H$5,'Met Data'!$H$2:$M$368,G844,FALSE)*L844</f>
        <v>3.7166666666666601</v>
      </c>
      <c r="K844" s="98">
        <f ca="1">HLOOKUP($H$5,'Met Data'!$O$2:$T$368,G844,FALSE)</f>
        <v>1.3074898165915401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139</v>
      </c>
      <c r="H845" s="97">
        <f t="shared" ca="1" si="139"/>
        <v>46160</v>
      </c>
      <c r="I845" s="121">
        <f ca="1">HLOOKUP($H$5,'Met Data'!$A$2:$F$368,G845,FALSE)</f>
        <v>11.595833333333299</v>
      </c>
      <c r="J845" s="119">
        <f ca="1">HLOOKUP($H$5,'Met Data'!$H$2:$M$368,G845,FALSE)*L845</f>
        <v>2.61666666666666</v>
      </c>
      <c r="K845" s="98">
        <f ca="1">HLOOKUP($H$5,'Met Data'!$O$2:$T$368,G845,FALSE)</f>
        <v>1.3321153360432201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140</v>
      </c>
      <c r="H846" s="97">
        <f t="shared" ca="1" si="139"/>
        <v>46161</v>
      </c>
      <c r="I846" s="121">
        <f ca="1">HLOOKUP($H$5,'Met Data'!$A$2:$F$368,G846,FALSE)</f>
        <v>11.904166666666599</v>
      </c>
      <c r="J846" s="119">
        <f ca="1">HLOOKUP($H$5,'Met Data'!$H$2:$M$368,G846,FALSE)*L846</f>
        <v>2.35</v>
      </c>
      <c r="K846" s="98">
        <f ca="1">HLOOKUP($H$5,'Met Data'!$O$2:$T$368,G846,FALSE)</f>
        <v>1.2961776408629699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141</v>
      </c>
      <c r="H847" s="97">
        <f t="shared" ca="1" si="139"/>
        <v>46162</v>
      </c>
      <c r="I847" s="121">
        <f ca="1">HLOOKUP($H$5,'Met Data'!$A$2:$F$368,G847,FALSE)</f>
        <v>11.762499999999999</v>
      </c>
      <c r="J847" s="119">
        <f ca="1">HLOOKUP($H$5,'Met Data'!$H$2:$M$368,G847,FALSE)*L847</f>
        <v>0.31666666666666599</v>
      </c>
      <c r="K847" s="98">
        <f ca="1">HLOOKUP($H$5,'Met Data'!$O$2:$T$368,G847,FALSE)</f>
        <v>1.26598619456247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142</v>
      </c>
      <c r="H848" s="97">
        <f t="shared" ca="1" si="139"/>
        <v>46163</v>
      </c>
      <c r="I848" s="121">
        <f ca="1">HLOOKUP($H$5,'Met Data'!$A$2:$F$368,G848,FALSE)</f>
        <v>11.612500000000001</v>
      </c>
      <c r="J848" s="119">
        <f ca="1">HLOOKUP($H$5,'Met Data'!$H$2:$M$368,G848,FALSE)*L848</f>
        <v>2</v>
      </c>
      <c r="K848" s="98">
        <f ca="1">HLOOKUP($H$5,'Met Data'!$O$2:$T$368,G848,FALSE)</f>
        <v>1.0607063970516699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143</v>
      </c>
      <c r="H849" s="97">
        <f t="shared" ca="1" si="139"/>
        <v>46164</v>
      </c>
      <c r="I849" s="121">
        <f ca="1">HLOOKUP($H$5,'Met Data'!$A$2:$F$368,G849,FALSE)</f>
        <v>10.174999999999899</v>
      </c>
      <c r="J849" s="119">
        <f ca="1">HLOOKUP($H$5,'Met Data'!$H$2:$M$368,G849,FALSE)*L849</f>
        <v>2.93333333333333</v>
      </c>
      <c r="K849" s="98">
        <f ca="1">HLOOKUP($H$5,'Met Data'!$O$2:$T$368,G849,FALSE)</f>
        <v>1.10734547072848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144</v>
      </c>
      <c r="H850" s="97">
        <f t="shared" ca="1" si="139"/>
        <v>46165</v>
      </c>
      <c r="I850" s="121">
        <f ca="1">HLOOKUP($H$5,'Met Data'!$A$2:$F$368,G850,FALSE)</f>
        <v>10.7416666666666</v>
      </c>
      <c r="J850" s="119">
        <f ca="1">HLOOKUP($H$5,'Met Data'!$H$2:$M$368,G850,FALSE)*L850</f>
        <v>2.8</v>
      </c>
      <c r="K850" s="98">
        <f ca="1">HLOOKUP($H$5,'Met Data'!$O$2:$T$368,G850,FALSE)</f>
        <v>0.94921082080766905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145</v>
      </c>
      <c r="H851" s="97">
        <f t="shared" ca="1" si="139"/>
        <v>46166</v>
      </c>
      <c r="I851" s="121">
        <f ca="1">HLOOKUP($H$5,'Met Data'!$A$2:$F$368,G851,FALSE)</f>
        <v>10.983333333333301</v>
      </c>
      <c r="J851" s="119">
        <f ca="1">HLOOKUP($H$5,'Met Data'!$H$2:$M$368,G851,FALSE)*L851</f>
        <v>5.61666666666666</v>
      </c>
      <c r="K851" s="98">
        <f ca="1">HLOOKUP($H$5,'Met Data'!$O$2:$T$368,G851,FALSE)</f>
        <v>0.95593712910075901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146</v>
      </c>
      <c r="H852" s="97">
        <f t="shared" ca="1" si="139"/>
        <v>46167</v>
      </c>
      <c r="I852" s="121">
        <f ca="1">HLOOKUP($H$5,'Met Data'!$A$2:$F$368,G852,FALSE)</f>
        <v>10.7666666666666</v>
      </c>
      <c r="J852" s="119">
        <f ca="1">HLOOKUP($H$5,'Met Data'!$H$2:$M$368,G852,FALSE)*L852</f>
        <v>3.1666666666666599</v>
      </c>
      <c r="K852" s="98">
        <f ca="1">HLOOKUP($H$5,'Met Data'!$O$2:$T$368,G852,FALSE)</f>
        <v>0.98597820560947502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147</v>
      </c>
      <c r="H853" s="97">
        <f t="shared" ca="1" si="139"/>
        <v>46168</v>
      </c>
      <c r="I853" s="121">
        <f ca="1">HLOOKUP($H$5,'Met Data'!$A$2:$F$368,G853,FALSE)</f>
        <v>11.1833333333333</v>
      </c>
      <c r="J853" s="119">
        <f ca="1">HLOOKUP($H$5,'Met Data'!$H$2:$M$368,G853,FALSE)*L853</f>
        <v>6.1499999999999897</v>
      </c>
      <c r="K853" s="98">
        <f ca="1">HLOOKUP($H$5,'Met Data'!$O$2:$T$368,G853,FALSE)</f>
        <v>1.02530679052105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148</v>
      </c>
      <c r="H854" s="97">
        <f t="shared" ca="1" si="139"/>
        <v>46169</v>
      </c>
      <c r="I854" s="121">
        <f ca="1">HLOOKUP($H$5,'Met Data'!$A$2:$F$368,G854,FALSE)</f>
        <v>10.566666666666601</v>
      </c>
      <c r="J854" s="119">
        <f ca="1">HLOOKUP($H$5,'Met Data'!$H$2:$M$368,G854,FALSE)*L854</f>
        <v>2.7666666666666599</v>
      </c>
      <c r="K854" s="98">
        <f ca="1">HLOOKUP($H$5,'Met Data'!$O$2:$T$368,G854,FALSE)</f>
        <v>1.05508542906727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149</v>
      </c>
      <c r="H855" s="97">
        <f t="shared" ca="1" si="139"/>
        <v>46170</v>
      </c>
      <c r="I855" s="121">
        <f ca="1">HLOOKUP($H$5,'Met Data'!$A$2:$F$368,G855,FALSE)</f>
        <v>10.283333333333299</v>
      </c>
      <c r="J855" s="119">
        <f ca="1">HLOOKUP($H$5,'Met Data'!$H$2:$M$368,G855,FALSE)*L855</f>
        <v>2.7333333333333298</v>
      </c>
      <c r="K855" s="98">
        <f ca="1">HLOOKUP($H$5,'Met Data'!$O$2:$T$368,G855,FALSE)</f>
        <v>0.96273544691676505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150</v>
      </c>
      <c r="H856" s="97">
        <f t="shared" ca="1" si="139"/>
        <v>46171</v>
      </c>
      <c r="I856" s="121">
        <f ca="1">HLOOKUP($H$5,'Met Data'!$A$2:$F$368,G856,FALSE)</f>
        <v>10.8</v>
      </c>
      <c r="J856" s="119">
        <f ca="1">HLOOKUP($H$5,'Met Data'!$H$2:$M$368,G856,FALSE)*L856</f>
        <v>3.2333333333333298</v>
      </c>
      <c r="K856" s="98">
        <f ca="1">HLOOKUP($H$5,'Met Data'!$O$2:$T$368,G856,FALSE)</f>
        <v>1.08816831727148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151</v>
      </c>
      <c r="H857" s="97">
        <f t="shared" ca="1" si="139"/>
        <v>46172</v>
      </c>
      <c r="I857" s="121">
        <f ca="1">HLOOKUP($H$5,'Met Data'!$A$2:$F$368,G857,FALSE)</f>
        <v>9.6624999999999996</v>
      </c>
      <c r="J857" s="119">
        <f ca="1">HLOOKUP($H$5,'Met Data'!$H$2:$M$368,G857,FALSE)*L857</f>
        <v>1.88333333333333</v>
      </c>
      <c r="K857" s="98">
        <f ca="1">HLOOKUP($H$5,'Met Data'!$O$2:$T$368,G857,FALSE)</f>
        <v>1.0187040175234601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152</v>
      </c>
      <c r="H858" s="97">
        <f t="shared" ca="1" si="139"/>
        <v>46173</v>
      </c>
      <c r="I858" s="121">
        <f ca="1">HLOOKUP($H$5,'Met Data'!$A$2:$F$368,G858,FALSE)</f>
        <v>9.7166666666666597</v>
      </c>
      <c r="J858" s="119">
        <f ca="1">HLOOKUP($H$5,'Met Data'!$H$2:$M$368,G858,FALSE)*L858</f>
        <v>4.7</v>
      </c>
      <c r="K858" s="98">
        <f ca="1">HLOOKUP($H$5,'Met Data'!$O$2:$T$368,G858,FALSE)</f>
        <v>1.10197006718848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153</v>
      </c>
      <c r="H859" s="97">
        <f t="shared" ca="1" si="139"/>
        <v>46174</v>
      </c>
      <c r="I859" s="121">
        <f ca="1">HLOOKUP($H$5,'Met Data'!$A$2:$F$368,G859,FALSE)</f>
        <v>10.004166666666601</v>
      </c>
      <c r="J859" s="119">
        <f ca="1">HLOOKUP($H$5,'Met Data'!$H$2:$M$368,G859,FALSE)*L859</f>
        <v>2.5</v>
      </c>
      <c r="K859" s="98">
        <f ca="1">HLOOKUP($H$5,'Met Data'!$O$2:$T$368,G859,FALSE)</f>
        <v>1.1690097853574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154</v>
      </c>
      <c r="H860" s="97">
        <f t="shared" ca="1" si="139"/>
        <v>46175</v>
      </c>
      <c r="I860" s="121">
        <f ca="1">HLOOKUP($H$5,'Met Data'!$A$2:$F$368,G860,FALSE)</f>
        <v>9.99583333333333</v>
      </c>
      <c r="J860" s="119">
        <f ca="1">HLOOKUP($H$5,'Met Data'!$H$2:$M$368,G860,FALSE)*L860</f>
        <v>2.7833333333333301</v>
      </c>
      <c r="K860" s="98">
        <f ca="1">HLOOKUP($H$5,'Met Data'!$O$2:$T$368,G860,FALSE)</f>
        <v>1.0280895768516001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155</v>
      </c>
      <c r="H861" s="97">
        <f t="shared" ca="1" si="139"/>
        <v>46176</v>
      </c>
      <c r="I861" s="121">
        <f ca="1">HLOOKUP($H$5,'Met Data'!$A$2:$F$368,G861,FALSE)</f>
        <v>9.8999999999999897</v>
      </c>
      <c r="J861" s="119">
        <f ca="1">HLOOKUP($H$5,'Met Data'!$H$2:$M$368,G861,FALSE)*L861</f>
        <v>1.7833333333333301</v>
      </c>
      <c r="K861" s="98">
        <f ca="1">HLOOKUP($H$5,'Met Data'!$O$2:$T$368,G861,FALSE)</f>
        <v>0.97110296937720297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156</v>
      </c>
      <c r="H862" s="97">
        <f t="shared" ca="1" si="139"/>
        <v>46177</v>
      </c>
      <c r="I862" s="121">
        <f ca="1">HLOOKUP($H$5,'Met Data'!$A$2:$F$368,G862,FALSE)</f>
        <v>10.95</v>
      </c>
      <c r="J862" s="119">
        <f ca="1">HLOOKUP($H$5,'Met Data'!$H$2:$M$368,G862,FALSE)*L862</f>
        <v>2.44999999999999</v>
      </c>
      <c r="K862" s="98">
        <f ca="1">HLOOKUP($H$5,'Met Data'!$O$2:$T$368,G862,FALSE)</f>
        <v>0.960770877493487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157</v>
      </c>
      <c r="H863" s="97">
        <f t="shared" ca="1" si="139"/>
        <v>46178</v>
      </c>
      <c r="I863" s="121">
        <f ca="1">HLOOKUP($H$5,'Met Data'!$A$2:$F$368,G863,FALSE)</f>
        <v>10.6875</v>
      </c>
      <c r="J863" s="119">
        <f ca="1">HLOOKUP($H$5,'Met Data'!$H$2:$M$368,G863,FALSE)*L863</f>
        <v>4.1333333333333302</v>
      </c>
      <c r="K863" s="98">
        <f ca="1">HLOOKUP($H$5,'Met Data'!$O$2:$T$368,G863,FALSE)</f>
        <v>0.84332690198160198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158</v>
      </c>
      <c r="H864" s="97">
        <f t="shared" ca="1" si="139"/>
        <v>46179</v>
      </c>
      <c r="I864" s="121">
        <f ca="1">HLOOKUP($H$5,'Met Data'!$A$2:$F$368,G864,FALSE)</f>
        <v>10.5625</v>
      </c>
      <c r="J864" s="119">
        <f ca="1">HLOOKUP($H$5,'Met Data'!$H$2:$M$368,G864,FALSE)*L864</f>
        <v>5.3</v>
      </c>
      <c r="K864" s="98">
        <f ca="1">HLOOKUP($H$5,'Met Data'!$O$2:$T$368,G864,FALSE)</f>
        <v>0.93242759876210701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159</v>
      </c>
      <c r="H865" s="97">
        <f t="shared" ca="1" si="139"/>
        <v>46180</v>
      </c>
      <c r="I865" s="121">
        <f ca="1">HLOOKUP($H$5,'Met Data'!$A$2:$F$368,G865,FALSE)</f>
        <v>10.4625</v>
      </c>
      <c r="J865" s="119">
        <f ca="1">HLOOKUP($H$5,'Met Data'!$H$2:$M$368,G865,FALSE)*L865</f>
        <v>2.44999999999999</v>
      </c>
      <c r="K865" s="98">
        <f ca="1">HLOOKUP($H$5,'Met Data'!$O$2:$T$368,G865,FALSE)</f>
        <v>0.99912564942381998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160</v>
      </c>
      <c r="H866" s="97">
        <f t="shared" ca="1" si="139"/>
        <v>46181</v>
      </c>
      <c r="I866" s="121">
        <f ca="1">HLOOKUP($H$5,'Met Data'!$A$2:$F$368,G866,FALSE)</f>
        <v>9.5875000000000004</v>
      </c>
      <c r="J866" s="119">
        <f ca="1">HLOOKUP($H$5,'Met Data'!$H$2:$M$368,G866,FALSE)*L866</f>
        <v>1.7333333333333301</v>
      </c>
      <c r="K866" s="98">
        <f ca="1">HLOOKUP($H$5,'Met Data'!$O$2:$T$368,G866,FALSE)</f>
        <v>1.0839051549829499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161</v>
      </c>
      <c r="H867" s="97">
        <f t="shared" ca="1" si="139"/>
        <v>46182</v>
      </c>
      <c r="I867" s="121">
        <f ca="1">HLOOKUP($H$5,'Met Data'!$A$2:$F$368,G867,FALSE)</f>
        <v>9.4875000000000007</v>
      </c>
      <c r="J867" s="119">
        <f ca="1">HLOOKUP($H$5,'Met Data'!$H$2:$M$368,G867,FALSE)*L867</f>
        <v>1.55</v>
      </c>
      <c r="K867" s="98">
        <f ca="1">HLOOKUP($H$5,'Met Data'!$O$2:$T$368,G867,FALSE)</f>
        <v>0.94567596592895498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162</v>
      </c>
      <c r="H868" s="97">
        <f t="shared" ca="1" si="139"/>
        <v>46183</v>
      </c>
      <c r="I868" s="121">
        <f ca="1">HLOOKUP($H$5,'Met Data'!$A$2:$F$368,G868,FALSE)</f>
        <v>10.9</v>
      </c>
      <c r="J868" s="119">
        <f ca="1">HLOOKUP($H$5,'Met Data'!$H$2:$M$368,G868,FALSE)*L868</f>
        <v>4.8363636363636298</v>
      </c>
      <c r="K868" s="98">
        <f ca="1">HLOOKUP($H$5,'Met Data'!$O$2:$T$368,G868,FALSE)</f>
        <v>0.77149259834587403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163</v>
      </c>
      <c r="H869" s="97">
        <f t="shared" ca="1" si="139"/>
        <v>46184</v>
      </c>
      <c r="I869" s="121">
        <f ca="1">HLOOKUP($H$5,'Met Data'!$A$2:$F$368,G869,FALSE)</f>
        <v>10.8954545454545</v>
      </c>
      <c r="J869" s="119">
        <f ca="1">HLOOKUP($H$5,'Met Data'!$H$2:$M$368,G869,FALSE)*L869</f>
        <v>7.1454545454545402</v>
      </c>
      <c r="K869" s="98">
        <f ca="1">HLOOKUP($H$5,'Met Data'!$O$2:$T$368,G869,FALSE)</f>
        <v>0.76887644299908198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164</v>
      </c>
      <c r="H870" s="97">
        <f t="shared" ca="1" si="139"/>
        <v>46185</v>
      </c>
      <c r="I870" s="121">
        <f ca="1">HLOOKUP($H$5,'Met Data'!$A$2:$F$368,G870,FALSE)</f>
        <v>11.8375</v>
      </c>
      <c r="J870" s="119">
        <f ca="1">HLOOKUP($H$5,'Met Data'!$H$2:$M$368,G870,FALSE)*L870</f>
        <v>0.88333333333333297</v>
      </c>
      <c r="K870" s="98">
        <f ca="1">HLOOKUP($H$5,'Met Data'!$O$2:$T$368,G870,FALSE)</f>
        <v>0.886573255907814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165</v>
      </c>
      <c r="H871" s="97">
        <f t="shared" ca="1" si="139"/>
        <v>46186</v>
      </c>
      <c r="I871" s="121">
        <f ca="1">HLOOKUP($H$5,'Met Data'!$A$2:$F$368,G871,FALSE)</f>
        <v>10.4916666666666</v>
      </c>
      <c r="J871" s="119">
        <f ca="1">HLOOKUP($H$5,'Met Data'!$H$2:$M$368,G871,FALSE)*L871</f>
        <v>5.3166666666666602</v>
      </c>
      <c r="K871" s="98">
        <f ca="1">HLOOKUP($H$5,'Met Data'!$O$2:$T$368,G871,FALSE)</f>
        <v>0.75300621765048603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166</v>
      </c>
      <c r="H872" s="97">
        <f t="shared" ca="1" si="139"/>
        <v>46187</v>
      </c>
      <c r="I872" s="121">
        <f ca="1">HLOOKUP($H$5,'Met Data'!$A$2:$F$368,G872,FALSE)</f>
        <v>10.133333333333301</v>
      </c>
      <c r="J872" s="119">
        <f ca="1">HLOOKUP($H$5,'Met Data'!$H$2:$M$368,G872,FALSE)*L872</f>
        <v>1.2</v>
      </c>
      <c r="K872" s="98">
        <f ca="1">HLOOKUP($H$5,'Met Data'!$O$2:$T$368,G872,FALSE)</f>
        <v>1.0949815777606999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167</v>
      </c>
      <c r="H873" s="97">
        <f t="shared" ca="1" si="139"/>
        <v>46188</v>
      </c>
      <c r="I873" s="121">
        <f ca="1">HLOOKUP($H$5,'Met Data'!$A$2:$F$368,G873,FALSE)</f>
        <v>9.0291666666666597</v>
      </c>
      <c r="J873" s="119">
        <f ca="1">HLOOKUP($H$5,'Met Data'!$H$2:$M$368,G873,FALSE)*L873</f>
        <v>2.0499999999999998</v>
      </c>
      <c r="K873" s="98">
        <f ca="1">HLOOKUP($H$5,'Met Data'!$O$2:$T$368,G873,FALSE)</f>
        <v>0.76363291076582096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168</v>
      </c>
      <c r="H874" s="97">
        <f t="shared" ca="1" si="139"/>
        <v>46189</v>
      </c>
      <c r="I874" s="121">
        <f ca="1">HLOOKUP($H$5,'Met Data'!$A$2:$F$368,G874,FALSE)</f>
        <v>10.125</v>
      </c>
      <c r="J874" s="119">
        <f ca="1">HLOOKUP($H$5,'Met Data'!$H$2:$M$368,G874,FALSE)*L874</f>
        <v>2.68333333333333</v>
      </c>
      <c r="K874" s="98">
        <f ca="1">HLOOKUP($H$5,'Met Data'!$O$2:$T$368,G874,FALSE)</f>
        <v>0.84633721178312304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169</v>
      </c>
      <c r="H875" s="97">
        <f t="shared" ca="1" si="139"/>
        <v>46190</v>
      </c>
      <c r="I875" s="121">
        <f ca="1">HLOOKUP($H$5,'Met Data'!$A$2:$F$368,G875,FALSE)</f>
        <v>10.2291666666666</v>
      </c>
      <c r="J875" s="119">
        <f ca="1">HLOOKUP($H$5,'Met Data'!$H$2:$M$368,G875,FALSE)*L875</f>
        <v>2.5333333333333301</v>
      </c>
      <c r="K875" s="98">
        <f ca="1">HLOOKUP($H$5,'Met Data'!$O$2:$T$368,G875,FALSE)</f>
        <v>0.91611783655738799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170</v>
      </c>
      <c r="H876" s="97">
        <f t="shared" ca="1" si="139"/>
        <v>46191</v>
      </c>
      <c r="I876" s="121">
        <f ca="1">HLOOKUP($H$5,'Met Data'!$A$2:$F$368,G876,FALSE)</f>
        <v>10.316666666666601</v>
      </c>
      <c r="J876" s="119">
        <f ca="1">HLOOKUP($H$5,'Met Data'!$H$2:$M$368,G876,FALSE)*L876</f>
        <v>5.5</v>
      </c>
      <c r="K876" s="98">
        <f ca="1">HLOOKUP($H$5,'Met Data'!$O$2:$T$368,G876,FALSE)</f>
        <v>0.749895043982166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171</v>
      </c>
      <c r="H877" s="97">
        <f t="shared" ca="1" si="139"/>
        <v>46192</v>
      </c>
      <c r="I877" s="121">
        <f ca="1">HLOOKUP($H$5,'Met Data'!$A$2:$F$368,G877,FALSE)</f>
        <v>10.6666666666666</v>
      </c>
      <c r="J877" s="119">
        <f ca="1">HLOOKUP($H$5,'Met Data'!$H$2:$M$368,G877,FALSE)*L877</f>
        <v>11.883333333333301</v>
      </c>
      <c r="K877" s="98">
        <f ca="1">HLOOKUP($H$5,'Met Data'!$O$2:$T$368,G877,FALSE)</f>
        <v>0.72031723210574305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172</v>
      </c>
      <c r="H878" s="97">
        <f t="shared" ca="1" si="139"/>
        <v>46193</v>
      </c>
      <c r="I878" s="121">
        <f ca="1">HLOOKUP($H$5,'Met Data'!$A$2:$F$368,G878,FALSE)</f>
        <v>10.6181818181818</v>
      </c>
      <c r="J878" s="119">
        <f ca="1">HLOOKUP($H$5,'Met Data'!$H$2:$M$368,G878,FALSE)*L878</f>
        <v>9.0181818181818105</v>
      </c>
      <c r="K878" s="98">
        <f ca="1">HLOOKUP($H$5,'Met Data'!$O$2:$T$368,G878,FALSE)</f>
        <v>0.829345309973199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173</v>
      </c>
      <c r="H879" s="97">
        <f t="shared" ca="1" si="139"/>
        <v>46194</v>
      </c>
      <c r="I879" s="121">
        <f ca="1">HLOOKUP($H$5,'Met Data'!$A$2:$F$368,G879,FALSE)</f>
        <v>10.0318181818181</v>
      </c>
      <c r="J879" s="119">
        <f ca="1">HLOOKUP($H$5,'Met Data'!$H$2:$M$368,G879,FALSE)*L879</f>
        <v>1.9090909090909001</v>
      </c>
      <c r="K879" s="98">
        <f ca="1">HLOOKUP($H$5,'Met Data'!$O$2:$T$368,G879,FALSE)</f>
        <v>0.90574236110997597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ca="1" si="130"/>
        <v>174</v>
      </c>
      <c r="H880" s="97">
        <f t="shared" ca="1" si="139"/>
        <v>46195</v>
      </c>
      <c r="I880" s="121">
        <f ca="1">HLOOKUP($H$5,'Met Data'!$A$2:$F$368,G880,FALSE)</f>
        <v>8.9727272727272709</v>
      </c>
      <c r="J880" s="119">
        <f ca="1">HLOOKUP($H$5,'Met Data'!$H$2:$M$368,G880,FALSE)*L880</f>
        <v>1.9636363636363601</v>
      </c>
      <c r="K880" s="98">
        <f ca="1">HLOOKUP($H$5,'Met Data'!$O$2:$T$368,G880,FALSE)</f>
        <v>0.89904843691310898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ca="1" si="140">H881-DATE(YEAR(H881),1,0)+1</f>
        <v>175</v>
      </c>
      <c r="H881" s="97">
        <f t="shared" ca="1" si="139"/>
        <v>46196</v>
      </c>
      <c r="I881" s="121">
        <f ca="1">HLOOKUP($H$5,'Met Data'!$A$2:$F$368,G881,FALSE)</f>
        <v>9.0227272727272698</v>
      </c>
      <c r="J881" s="119">
        <f ca="1">HLOOKUP($H$5,'Met Data'!$H$2:$M$368,G881,FALSE)*L881</f>
        <v>3.0181818181818101</v>
      </c>
      <c r="K881" s="98">
        <f ca="1">HLOOKUP($H$5,'Met Data'!$O$2:$T$368,G881,FALSE)</f>
        <v>0.82913615112138495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ca="1" si="140"/>
        <v>176</v>
      </c>
      <c r="H882" s="97">
        <f t="shared" ca="1" si="139"/>
        <v>46197</v>
      </c>
      <c r="I882" s="121">
        <f ca="1">HLOOKUP($H$5,'Met Data'!$A$2:$F$368,G882,FALSE)</f>
        <v>10.3590909090909</v>
      </c>
      <c r="J882" s="119">
        <f ca="1">HLOOKUP($H$5,'Met Data'!$H$2:$M$368,G882,FALSE)*L882</f>
        <v>3.7454545454545398</v>
      </c>
      <c r="K882" s="98">
        <f ca="1">HLOOKUP($H$5,'Met Data'!$O$2:$T$368,G882,FALSE)</f>
        <v>0.88746237543267503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177</v>
      </c>
      <c r="H883" s="97">
        <f t="shared" ca="1" si="139"/>
        <v>46198</v>
      </c>
      <c r="I883" s="121">
        <f ca="1">HLOOKUP($H$5,'Met Data'!$A$2:$F$368,G883,FALSE)</f>
        <v>9.5090909090909097</v>
      </c>
      <c r="J883" s="119">
        <f ca="1">HLOOKUP($H$5,'Met Data'!$H$2:$M$368,G883,FALSE)*L883</f>
        <v>3.1090909090909</v>
      </c>
      <c r="K883" s="98">
        <f ca="1">HLOOKUP($H$5,'Met Data'!$O$2:$T$368,G883,FALSE)</f>
        <v>0.97866599470650895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178</v>
      </c>
      <c r="H884" s="97">
        <f t="shared" ca="1" si="139"/>
        <v>46199</v>
      </c>
      <c r="I884" s="121">
        <f ca="1">HLOOKUP($H$5,'Met Data'!$A$2:$F$368,G884,FALSE)</f>
        <v>9.1272727272727199</v>
      </c>
      <c r="J884" s="119">
        <f ca="1">HLOOKUP($H$5,'Met Data'!$H$2:$M$368,G884,FALSE)*L884</f>
        <v>1.25454545454545</v>
      </c>
      <c r="K884" s="98">
        <f ca="1">HLOOKUP($H$5,'Met Data'!$O$2:$T$368,G884,FALSE)</f>
        <v>1.0040569739087299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179</v>
      </c>
      <c r="H885" s="97">
        <f t="shared" ca="1" si="139"/>
        <v>46200</v>
      </c>
      <c r="I885" s="121">
        <f ca="1">HLOOKUP($H$5,'Met Data'!$A$2:$F$368,G885,FALSE)</f>
        <v>8.7727272727272698</v>
      </c>
      <c r="J885" s="119">
        <f ca="1">HLOOKUP($H$5,'Met Data'!$H$2:$M$368,G885,FALSE)*L885</f>
        <v>2.9818181818181801</v>
      </c>
      <c r="K885" s="98">
        <f ca="1">HLOOKUP($H$5,'Met Data'!$O$2:$T$368,G885,FALSE)</f>
        <v>0.89055521132494797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180</v>
      </c>
      <c r="H886" s="97">
        <f t="shared" ca="1" si="139"/>
        <v>46201</v>
      </c>
      <c r="I886" s="121">
        <f ca="1">HLOOKUP($H$5,'Met Data'!$A$2:$F$368,G886,FALSE)</f>
        <v>8.8363636363636306</v>
      </c>
      <c r="J886" s="119">
        <f ca="1">HLOOKUP($H$5,'Met Data'!$H$2:$M$368,G886,FALSE)*L886</f>
        <v>0.90909090909090895</v>
      </c>
      <c r="K886" s="98">
        <f ca="1">HLOOKUP($H$5,'Met Data'!$O$2:$T$368,G886,FALSE)</f>
        <v>0.949335994975394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181</v>
      </c>
      <c r="H887" s="97">
        <f t="shared" ca="1" si="139"/>
        <v>46202</v>
      </c>
      <c r="I887" s="121">
        <f ca="1">HLOOKUP($H$5,'Met Data'!$A$2:$F$368,G887,FALSE)</f>
        <v>8.7136363636363594</v>
      </c>
      <c r="J887" s="119">
        <f ca="1">HLOOKUP($H$5,'Met Data'!$H$2:$M$368,G887,FALSE)*L887</f>
        <v>1.7833333333333301</v>
      </c>
      <c r="K887" s="98">
        <f ca="1">HLOOKUP($H$5,'Met Data'!$O$2:$T$368,G887,FALSE)</f>
        <v>0.92539172734817898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182</v>
      </c>
      <c r="H888" s="97">
        <f t="shared" ca="1" si="139"/>
        <v>46203</v>
      </c>
      <c r="I888" s="121">
        <f ca="1">HLOOKUP($H$5,'Met Data'!$A$2:$F$368,G888,FALSE)</f>
        <v>8.5291666666666597</v>
      </c>
      <c r="J888" s="119">
        <f ca="1">HLOOKUP($H$5,'Met Data'!$H$2:$M$368,G888,FALSE)*L888</f>
        <v>2.5833333333333299</v>
      </c>
      <c r="K888" s="98">
        <f ca="1">HLOOKUP($H$5,'Met Data'!$O$2:$T$368,G888,FALSE)</f>
        <v>0.82623977006466498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183</v>
      </c>
      <c r="H889" s="97">
        <f t="shared" ca="1" si="139"/>
        <v>46204</v>
      </c>
      <c r="I889" s="121">
        <f ca="1">HLOOKUP($H$5,'Met Data'!$A$2:$F$368,G889,FALSE)</f>
        <v>8.8208333333333293</v>
      </c>
      <c r="J889" s="119">
        <f ca="1">HLOOKUP($H$5,'Met Data'!$H$2:$M$368,G889,FALSE)*L889</f>
        <v>2.1333333333333302</v>
      </c>
      <c r="K889" s="98">
        <f ca="1">HLOOKUP($H$5,'Met Data'!$O$2:$T$368,G889,FALSE)</f>
        <v>0.80690048817841498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184</v>
      </c>
      <c r="H890" s="97">
        <f t="shared" ca="1" si="139"/>
        <v>46205</v>
      </c>
      <c r="I890" s="121">
        <f ca="1">HLOOKUP($H$5,'Met Data'!$A$2:$F$368,G890,FALSE)</f>
        <v>8.2249999999999996</v>
      </c>
      <c r="J890" s="119">
        <f ca="1">HLOOKUP($H$5,'Met Data'!$H$2:$M$368,G890,FALSE)*L890</f>
        <v>0.83333333333333304</v>
      </c>
      <c r="K890" s="98">
        <f ca="1">HLOOKUP($H$5,'Met Data'!$O$2:$T$368,G890,FALSE)</f>
        <v>1.0149186441071101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185</v>
      </c>
      <c r="H891" s="97">
        <f t="shared" ca="1" si="139"/>
        <v>46206</v>
      </c>
      <c r="I891" s="121">
        <f ca="1">HLOOKUP($H$5,'Met Data'!$A$2:$F$368,G891,FALSE)</f>
        <v>8.8333333333333304</v>
      </c>
      <c r="J891" s="119">
        <f ca="1">HLOOKUP($H$5,'Met Data'!$H$2:$M$368,G891,FALSE)*L891</f>
        <v>3.5666666666666602</v>
      </c>
      <c r="K891" s="98">
        <f ca="1">HLOOKUP($H$5,'Met Data'!$O$2:$T$368,G891,FALSE)</f>
        <v>0.89125379504041602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186</v>
      </c>
      <c r="H892" s="97">
        <f t="shared" ca="1" si="139"/>
        <v>46207</v>
      </c>
      <c r="I892" s="121">
        <f ca="1">HLOOKUP($H$5,'Met Data'!$A$2:$F$368,G892,FALSE)</f>
        <v>8.6</v>
      </c>
      <c r="J892" s="119">
        <f ca="1">HLOOKUP($H$5,'Met Data'!$H$2:$M$368,G892,FALSE)*L892</f>
        <v>0.73333333333333295</v>
      </c>
      <c r="K892" s="98">
        <f ca="1">HLOOKUP($H$5,'Met Data'!$O$2:$T$368,G892,FALSE)</f>
        <v>0.87224086772784204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187</v>
      </c>
      <c r="H893" s="97">
        <f t="shared" ca="1" si="139"/>
        <v>46208</v>
      </c>
      <c r="I893" s="121">
        <f ca="1">HLOOKUP($H$5,'Met Data'!$A$2:$F$368,G893,FALSE)</f>
        <v>9.4</v>
      </c>
      <c r="J893" s="119">
        <f ca="1">HLOOKUP($H$5,'Met Data'!$H$2:$M$368,G893,FALSE)*L893</f>
        <v>9.9999999999999895E-2</v>
      </c>
      <c r="K893" s="98">
        <f ca="1">HLOOKUP($H$5,'Met Data'!$O$2:$T$368,G893,FALSE)</f>
        <v>0.96939333533810901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188</v>
      </c>
      <c r="H894" s="97">
        <f t="shared" ca="1" si="139"/>
        <v>46209</v>
      </c>
      <c r="I894" s="121">
        <f ca="1">HLOOKUP($H$5,'Met Data'!$A$2:$F$368,G894,FALSE)</f>
        <v>9.12083333333333</v>
      </c>
      <c r="J894" s="119">
        <f ca="1">HLOOKUP($H$5,'Met Data'!$H$2:$M$368,G894,FALSE)*L894</f>
        <v>2.18333333333333</v>
      </c>
      <c r="K894" s="98">
        <f ca="1">HLOOKUP($H$5,'Met Data'!$O$2:$T$368,G894,FALSE)</f>
        <v>0.851628840058262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189</v>
      </c>
      <c r="H895" s="97">
        <f t="shared" ca="1" si="139"/>
        <v>46210</v>
      </c>
      <c r="I895" s="121">
        <f ca="1">HLOOKUP($H$5,'Met Data'!$A$2:$F$368,G895,FALSE)</f>
        <v>9.6583333333333297</v>
      </c>
      <c r="J895" s="119">
        <f ca="1">HLOOKUP($H$5,'Met Data'!$H$2:$M$368,G895,FALSE)*L895</f>
        <v>4.5666666666666602</v>
      </c>
      <c r="K895" s="98">
        <f ca="1">HLOOKUP($H$5,'Met Data'!$O$2:$T$368,G895,FALSE)</f>
        <v>0.80851868655974801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190</v>
      </c>
      <c r="H896" s="97">
        <f t="shared" ca="1" si="139"/>
        <v>46211</v>
      </c>
      <c r="I896" s="121">
        <f ca="1">HLOOKUP($H$5,'Met Data'!$A$2:$F$368,G896,FALSE)</f>
        <v>8.5291666666666597</v>
      </c>
      <c r="J896" s="119">
        <f ca="1">HLOOKUP($H$5,'Met Data'!$H$2:$M$368,G896,FALSE)*L896</f>
        <v>3.7833333333333301</v>
      </c>
      <c r="K896" s="98">
        <f ca="1">HLOOKUP($H$5,'Met Data'!$O$2:$T$368,G896,FALSE)</f>
        <v>1.09493770994468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191</v>
      </c>
      <c r="H897" s="97">
        <f t="shared" ca="1" si="139"/>
        <v>46212</v>
      </c>
      <c r="I897" s="121">
        <f ca="1">HLOOKUP($H$5,'Met Data'!$A$2:$F$368,G897,FALSE)</f>
        <v>8.1583333333333297</v>
      </c>
      <c r="J897" s="119">
        <f ca="1">HLOOKUP($H$5,'Met Data'!$H$2:$M$368,G897,FALSE)*L897</f>
        <v>4.18333333333333</v>
      </c>
      <c r="K897" s="98">
        <f ca="1">HLOOKUP($H$5,'Met Data'!$O$2:$T$368,G897,FALSE)</f>
        <v>0.89025740200721304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192</v>
      </c>
      <c r="H898" s="97">
        <f t="shared" ca="1" si="139"/>
        <v>46213</v>
      </c>
      <c r="I898" s="121">
        <f ca="1">HLOOKUP($H$5,'Met Data'!$A$2:$F$368,G898,FALSE)</f>
        <v>8.24166666666666</v>
      </c>
      <c r="J898" s="119">
        <f ca="1">HLOOKUP($H$5,'Met Data'!$H$2:$M$368,G898,FALSE)*L898</f>
        <v>2.2666666666666599</v>
      </c>
      <c r="K898" s="98">
        <f ca="1">HLOOKUP($H$5,'Met Data'!$O$2:$T$368,G898,FALSE)</f>
        <v>1.06467045295546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193</v>
      </c>
      <c r="H899" s="97">
        <f t="shared" ca="1" si="139"/>
        <v>46214</v>
      </c>
      <c r="I899" s="121">
        <f ca="1">HLOOKUP($H$5,'Met Data'!$A$2:$F$368,G899,FALSE)</f>
        <v>8.0333333333333297</v>
      </c>
      <c r="J899" s="119">
        <f ca="1">HLOOKUP($H$5,'Met Data'!$H$2:$M$368,G899,FALSE)*L899</f>
        <v>4.6500000000000004</v>
      </c>
      <c r="K899" s="98">
        <f ca="1">HLOOKUP($H$5,'Met Data'!$O$2:$T$368,G899,FALSE)</f>
        <v>1.03430816091664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194</v>
      </c>
      <c r="H900" s="97">
        <f t="shared" ca="1" si="139"/>
        <v>46215</v>
      </c>
      <c r="I900" s="121">
        <f ca="1">HLOOKUP($H$5,'Met Data'!$A$2:$F$368,G900,FALSE)</f>
        <v>8.37083333333333</v>
      </c>
      <c r="J900" s="119">
        <f ca="1">HLOOKUP($H$5,'Met Data'!$H$2:$M$368,G900,FALSE)*L900</f>
        <v>1.61666666666666</v>
      </c>
      <c r="K900" s="98">
        <f ca="1">HLOOKUP($H$5,'Met Data'!$O$2:$T$368,G900,FALSE)</f>
        <v>1.0039262064680501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195</v>
      </c>
      <c r="H901" s="97">
        <f t="shared" ca="1" si="139"/>
        <v>46216</v>
      </c>
      <c r="I901" s="121">
        <f ca="1">HLOOKUP($H$5,'Met Data'!$A$2:$F$368,G901,FALSE)</f>
        <v>8.0916666666666597</v>
      </c>
      <c r="J901" s="119">
        <f ca="1">HLOOKUP($H$5,'Met Data'!$H$2:$M$368,G901,FALSE)*L901</f>
        <v>5.0666666666666602</v>
      </c>
      <c r="K901" s="98">
        <f ca="1">HLOOKUP($H$5,'Met Data'!$O$2:$T$368,G901,FALSE)</f>
        <v>0.87492032925951801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196</v>
      </c>
      <c r="H902" s="97">
        <f t="shared" ca="1" si="139"/>
        <v>46217</v>
      </c>
      <c r="I902" s="121">
        <f ca="1">HLOOKUP($H$5,'Met Data'!$A$2:$F$368,G902,FALSE)</f>
        <v>7.9156250000000004</v>
      </c>
      <c r="J902" s="119">
        <f ca="1">HLOOKUP($H$5,'Met Data'!$H$2:$M$368,G902,FALSE)*L902</f>
        <v>4.1666666666666599</v>
      </c>
      <c r="K902" s="98">
        <f ca="1">HLOOKUP($H$5,'Met Data'!$O$2:$T$368,G902,FALSE)</f>
        <v>0.80250527716076203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197</v>
      </c>
      <c r="H903" s="97">
        <f t="shared" ca="1" si="139"/>
        <v>46218</v>
      </c>
      <c r="I903" s="121">
        <f ca="1">HLOOKUP($H$5,'Met Data'!$A$2:$F$368,G903,FALSE)</f>
        <v>8.8590909090909093</v>
      </c>
      <c r="J903" s="119">
        <f ca="1">HLOOKUP($H$5,'Met Data'!$H$2:$M$368,G903,FALSE)*L903</f>
        <v>2.0666666666666602</v>
      </c>
      <c r="K903" s="98">
        <f ca="1">HLOOKUP($H$5,'Met Data'!$O$2:$T$368,G903,FALSE)</f>
        <v>0.97822362204517799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198</v>
      </c>
      <c r="H904" s="97">
        <f t="shared" ca="1" si="139"/>
        <v>46219</v>
      </c>
      <c r="I904" s="121">
        <f ca="1">HLOOKUP($H$5,'Met Data'!$A$2:$F$368,G904,FALSE)</f>
        <v>8.8590909090909093</v>
      </c>
      <c r="J904" s="119">
        <f ca="1">HLOOKUP($H$5,'Met Data'!$H$2:$M$368,G904,FALSE)*L904</f>
        <v>6.0666666666666602</v>
      </c>
      <c r="K904" s="98">
        <f ca="1">HLOOKUP($H$5,'Met Data'!$O$2:$T$368,G904,FALSE)</f>
        <v>0.78802331007485205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199</v>
      </c>
      <c r="H905" s="97">
        <f t="shared" ref="H905:H968" ca="1" si="149">H904+1</f>
        <v>46220</v>
      </c>
      <c r="I905" s="121">
        <f ca="1">HLOOKUP($H$5,'Met Data'!$A$2:$F$368,G905,FALSE)</f>
        <v>9.5909090909090899</v>
      </c>
      <c r="J905" s="119">
        <f ca="1">HLOOKUP($H$5,'Met Data'!$H$2:$M$368,G905,FALSE)*L905</f>
        <v>4.5999999999999996</v>
      </c>
      <c r="K905" s="98">
        <f ca="1">HLOOKUP($H$5,'Met Data'!$O$2:$T$368,G905,FALSE)</f>
        <v>0.944748845250029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200</v>
      </c>
      <c r="H906" s="97">
        <f t="shared" ca="1" si="149"/>
        <v>46221</v>
      </c>
      <c r="I906" s="121">
        <f ca="1">HLOOKUP($H$5,'Met Data'!$A$2:$F$368,G906,FALSE)</f>
        <v>8.8450000000000006</v>
      </c>
      <c r="J906" s="119">
        <f ca="1">HLOOKUP($H$5,'Met Data'!$H$2:$M$368,G906,FALSE)*L906</f>
        <v>1.1000000000000001</v>
      </c>
      <c r="K906" s="98">
        <f ca="1">HLOOKUP($H$5,'Met Data'!$O$2:$T$368,G906,FALSE)</f>
        <v>1.0240187106181899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201</v>
      </c>
      <c r="H907" s="97">
        <f t="shared" ca="1" si="149"/>
        <v>46222</v>
      </c>
      <c r="I907" s="121">
        <f ca="1">HLOOKUP($H$5,'Met Data'!$A$2:$F$368,G907,FALSE)</f>
        <v>8.99166666666666</v>
      </c>
      <c r="J907" s="119">
        <f ca="1">HLOOKUP($H$5,'Met Data'!$H$2:$M$368,G907,FALSE)*L907</f>
        <v>1.3499999999999901</v>
      </c>
      <c r="K907" s="98">
        <f ca="1">HLOOKUP($H$5,'Met Data'!$O$2:$T$368,G907,FALSE)</f>
        <v>1.16174529470798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202</v>
      </c>
      <c r="H908" s="97">
        <f t="shared" ca="1" si="149"/>
        <v>46223</v>
      </c>
      <c r="I908" s="121">
        <f ca="1">HLOOKUP($H$5,'Met Data'!$A$2:$F$368,G908,FALSE)</f>
        <v>9.5</v>
      </c>
      <c r="J908" s="119">
        <f ca="1">HLOOKUP($H$5,'Met Data'!$H$2:$M$368,G908,FALSE)*L908</f>
        <v>2.75</v>
      </c>
      <c r="K908" s="98">
        <f ca="1">HLOOKUP($H$5,'Met Data'!$O$2:$T$368,G908,FALSE)</f>
        <v>0.94669865516537999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203</v>
      </c>
      <c r="H909" s="97">
        <f t="shared" ca="1" si="149"/>
        <v>46224</v>
      </c>
      <c r="I909" s="121">
        <f ca="1">HLOOKUP($H$5,'Met Data'!$A$2:$F$368,G909,FALSE)</f>
        <v>9.8333333333333304</v>
      </c>
      <c r="J909" s="119">
        <f ca="1">HLOOKUP($H$5,'Met Data'!$H$2:$M$368,G909,FALSE)*L909</f>
        <v>3.6333333333333302</v>
      </c>
      <c r="K909" s="98">
        <f ca="1">HLOOKUP($H$5,'Met Data'!$O$2:$T$368,G909,FALSE)</f>
        <v>1.0815395194790001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204</v>
      </c>
      <c r="H910" s="97">
        <f t="shared" ca="1" si="149"/>
        <v>46225</v>
      </c>
      <c r="I910" s="121">
        <f ca="1">HLOOKUP($H$5,'Met Data'!$A$2:$F$368,G910,FALSE)</f>
        <v>10.029166666666599</v>
      </c>
      <c r="J910" s="119">
        <f ca="1">HLOOKUP($H$5,'Met Data'!$H$2:$M$368,G910,FALSE)*L910</f>
        <v>4.68333333333333</v>
      </c>
      <c r="K910" s="98">
        <f ca="1">HLOOKUP($H$5,'Met Data'!$O$2:$T$368,G910,FALSE)</f>
        <v>1.0771273773513399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205</v>
      </c>
      <c r="H911" s="97">
        <f t="shared" ca="1" si="149"/>
        <v>46226</v>
      </c>
      <c r="I911" s="121">
        <f ca="1">HLOOKUP($H$5,'Met Data'!$A$2:$F$368,G911,FALSE)</f>
        <v>9.4250000000000007</v>
      </c>
      <c r="J911" s="119">
        <f ca="1">HLOOKUP($H$5,'Met Data'!$H$2:$M$368,G911,FALSE)*L911</f>
        <v>5.2666666666666604</v>
      </c>
      <c r="K911" s="98">
        <f ca="1">HLOOKUP($H$5,'Met Data'!$O$2:$T$368,G911,FALSE)</f>
        <v>0.87955885998233896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206</v>
      </c>
      <c r="H912" s="97">
        <f t="shared" ca="1" si="149"/>
        <v>46227</v>
      </c>
      <c r="I912" s="121">
        <f ca="1">HLOOKUP($H$5,'Met Data'!$A$2:$F$368,G912,FALSE)</f>
        <v>9.4</v>
      </c>
      <c r="J912" s="119">
        <f ca="1">HLOOKUP($H$5,'Met Data'!$H$2:$M$368,G912,FALSE)*L912</f>
        <v>2.0499999999999998</v>
      </c>
      <c r="K912" s="98">
        <f ca="1">HLOOKUP($H$5,'Met Data'!$O$2:$T$368,G912,FALSE)</f>
        <v>0.953998897248024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207</v>
      </c>
      <c r="H913" s="97">
        <f t="shared" ca="1" si="149"/>
        <v>46228</v>
      </c>
      <c r="I913" s="121">
        <f ca="1">HLOOKUP($H$5,'Met Data'!$A$2:$F$368,G913,FALSE)</f>
        <v>8.92916666666666</v>
      </c>
      <c r="J913" s="119">
        <f ca="1">HLOOKUP($H$5,'Met Data'!$H$2:$M$368,G913,FALSE)*L913</f>
        <v>1.1499999999999999</v>
      </c>
      <c r="K913" s="98">
        <f ca="1">HLOOKUP($H$5,'Met Data'!$O$2:$T$368,G913,FALSE)</f>
        <v>1.2467505566806001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208</v>
      </c>
      <c r="H914" s="97">
        <f t="shared" ca="1" si="149"/>
        <v>46229</v>
      </c>
      <c r="I914" s="121">
        <f ca="1">HLOOKUP($H$5,'Met Data'!$A$2:$F$368,G914,FALSE)</f>
        <v>8.7624999999999993</v>
      </c>
      <c r="J914" s="119">
        <f ca="1">HLOOKUP($H$5,'Met Data'!$H$2:$M$368,G914,FALSE)*L914</f>
        <v>0.45</v>
      </c>
      <c r="K914" s="98">
        <f ca="1">HLOOKUP($H$5,'Met Data'!$O$2:$T$368,G914,FALSE)</f>
        <v>1.3150067848265401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209</v>
      </c>
      <c r="H915" s="97">
        <f t="shared" ca="1" si="149"/>
        <v>46230</v>
      </c>
      <c r="I915" s="121">
        <f ca="1">HLOOKUP($H$5,'Met Data'!$A$2:$F$368,G915,FALSE)</f>
        <v>9.3333333333333304</v>
      </c>
      <c r="J915" s="119">
        <f ca="1">HLOOKUP($H$5,'Met Data'!$H$2:$M$368,G915,FALSE)*L915</f>
        <v>2.0166666666666599</v>
      </c>
      <c r="K915" s="98">
        <f ca="1">HLOOKUP($H$5,'Met Data'!$O$2:$T$368,G915,FALSE)</f>
        <v>1.11956275252086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210</v>
      </c>
      <c r="H916" s="97">
        <f t="shared" ca="1" si="149"/>
        <v>46231</v>
      </c>
      <c r="I916" s="121">
        <f ca="1">HLOOKUP($H$5,'Met Data'!$A$2:$F$368,G916,FALSE)</f>
        <v>8.9875000000000007</v>
      </c>
      <c r="J916" s="119">
        <f ca="1">HLOOKUP($H$5,'Met Data'!$H$2:$M$368,G916,FALSE)*L916</f>
        <v>1.2666666666666599</v>
      </c>
      <c r="K916" s="98">
        <f ca="1">HLOOKUP($H$5,'Met Data'!$O$2:$T$368,G916,FALSE)</f>
        <v>1.28515382274214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211</v>
      </c>
      <c r="H917" s="97">
        <f t="shared" ca="1" si="149"/>
        <v>46232</v>
      </c>
      <c r="I917" s="121">
        <f ca="1">HLOOKUP($H$5,'Met Data'!$A$2:$F$368,G917,FALSE)</f>
        <v>9.0374999999999996</v>
      </c>
      <c r="J917" s="119">
        <f ca="1">HLOOKUP($H$5,'Met Data'!$H$2:$M$368,G917,FALSE)*L917</f>
        <v>2.7999999999999901</v>
      </c>
      <c r="K917" s="98">
        <f ca="1">HLOOKUP($H$5,'Met Data'!$O$2:$T$368,G917,FALSE)</f>
        <v>1.1959337492079301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212</v>
      </c>
      <c r="H918" s="97">
        <f t="shared" ca="1" si="149"/>
        <v>46233</v>
      </c>
      <c r="I918" s="121">
        <f ca="1">HLOOKUP($H$5,'Met Data'!$A$2:$F$368,G918,FALSE)</f>
        <v>8.17916666666666</v>
      </c>
      <c r="J918" s="119">
        <f ca="1">HLOOKUP($H$5,'Met Data'!$H$2:$M$368,G918,FALSE)*L918</f>
        <v>1.55</v>
      </c>
      <c r="K918" s="98">
        <f ca="1">HLOOKUP($H$5,'Met Data'!$O$2:$T$368,G918,FALSE)</f>
        <v>1.3658842309244701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213</v>
      </c>
      <c r="H919" s="97">
        <f t="shared" ca="1" si="149"/>
        <v>46234</v>
      </c>
      <c r="I919" s="121">
        <f ca="1">HLOOKUP($H$5,'Met Data'!$A$2:$F$368,G919,FALSE)</f>
        <v>8.75</v>
      </c>
      <c r="J919" s="119">
        <f ca="1">HLOOKUP($H$5,'Met Data'!$H$2:$M$368,G919,FALSE)*L919</f>
        <v>2.44999999999999</v>
      </c>
      <c r="K919" s="98">
        <f ca="1">HLOOKUP($H$5,'Met Data'!$O$2:$T$368,G919,FALSE)</f>
        <v>0.89818915942500899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214</v>
      </c>
      <c r="H920" s="97">
        <f t="shared" ca="1" si="149"/>
        <v>46235</v>
      </c>
      <c r="I920" s="121">
        <f ca="1">HLOOKUP($H$5,'Met Data'!$A$2:$F$368,G920,FALSE)</f>
        <v>10.3375</v>
      </c>
      <c r="J920" s="119">
        <f ca="1">HLOOKUP($H$5,'Met Data'!$H$2:$M$368,G920,FALSE)*L920</f>
        <v>5.2666666666666604</v>
      </c>
      <c r="K920" s="98">
        <f ca="1">HLOOKUP($H$5,'Met Data'!$O$2:$T$368,G920,FALSE)</f>
        <v>0.94454335980482496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215</v>
      </c>
      <c r="H921" s="97">
        <f t="shared" ca="1" si="149"/>
        <v>46236</v>
      </c>
      <c r="I921" s="121">
        <f ca="1">HLOOKUP($H$5,'Met Data'!$A$2:$F$368,G921,FALSE)</f>
        <v>10.595454545454499</v>
      </c>
      <c r="J921" s="119">
        <f ca="1">HLOOKUP($H$5,'Met Data'!$H$2:$M$368,G921,FALSE)*L921</f>
        <v>4.4166666666666599</v>
      </c>
      <c r="K921" s="98">
        <f ca="1">HLOOKUP($H$5,'Met Data'!$O$2:$T$368,G921,FALSE)</f>
        <v>1.0832642567801201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216</v>
      </c>
      <c r="H922" s="97">
        <f t="shared" ca="1" si="149"/>
        <v>46237</v>
      </c>
      <c r="I922" s="121">
        <f ca="1">HLOOKUP($H$5,'Met Data'!$A$2:$F$368,G922,FALSE)</f>
        <v>10.1041666666666</v>
      </c>
      <c r="J922" s="119">
        <f ca="1">HLOOKUP($H$5,'Met Data'!$H$2:$M$368,G922,FALSE)*L922</f>
        <v>2.0833333333333299</v>
      </c>
      <c r="K922" s="98">
        <f ca="1">HLOOKUP($H$5,'Met Data'!$O$2:$T$368,G922,FALSE)</f>
        <v>1.39183263100002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217</v>
      </c>
      <c r="H923" s="97">
        <f t="shared" ca="1" si="149"/>
        <v>46238</v>
      </c>
      <c r="I923" s="121">
        <f ca="1">HLOOKUP($H$5,'Met Data'!$A$2:$F$368,G923,FALSE)</f>
        <v>10.1833333333333</v>
      </c>
      <c r="J923" s="119">
        <f ca="1">HLOOKUP($H$5,'Met Data'!$H$2:$M$368,G923,FALSE)*L923</f>
        <v>5.9833333333333298</v>
      </c>
      <c r="K923" s="98">
        <f ca="1">HLOOKUP($H$5,'Met Data'!$O$2:$T$368,G923,FALSE)</f>
        <v>1.0301492818772899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218</v>
      </c>
      <c r="H924" s="97">
        <f t="shared" ca="1" si="149"/>
        <v>46239</v>
      </c>
      <c r="I924" s="121">
        <f ca="1">HLOOKUP($H$5,'Met Data'!$A$2:$F$368,G924,FALSE)</f>
        <v>9.7708333333333304</v>
      </c>
      <c r="J924" s="119">
        <f ca="1">HLOOKUP($H$5,'Met Data'!$H$2:$M$368,G924,FALSE)*L924</f>
        <v>2.9833333333333298</v>
      </c>
      <c r="K924" s="98">
        <f ca="1">HLOOKUP($H$5,'Met Data'!$O$2:$T$368,G924,FALSE)</f>
        <v>1.3432284560273799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219</v>
      </c>
      <c r="H925" s="97">
        <f t="shared" ca="1" si="149"/>
        <v>46240</v>
      </c>
      <c r="I925" s="121">
        <f ca="1">HLOOKUP($H$5,'Met Data'!$A$2:$F$368,G925,FALSE)</f>
        <v>9.8791666666666593</v>
      </c>
      <c r="J925" s="119">
        <f ca="1">HLOOKUP($H$5,'Met Data'!$H$2:$M$368,G925,FALSE)*L925</f>
        <v>4.4833333333333298</v>
      </c>
      <c r="K925" s="98">
        <f ca="1">HLOOKUP($H$5,'Met Data'!$O$2:$T$368,G925,FALSE)</f>
        <v>1.0259838566514501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220</v>
      </c>
      <c r="H926" s="97">
        <f t="shared" ca="1" si="149"/>
        <v>46241</v>
      </c>
      <c r="I926" s="121">
        <f ca="1">HLOOKUP($H$5,'Met Data'!$A$2:$F$368,G926,FALSE)</f>
        <v>9.9874999999999901</v>
      </c>
      <c r="J926" s="119">
        <f ca="1">HLOOKUP($H$5,'Met Data'!$H$2:$M$368,G926,FALSE)*L926</f>
        <v>2.2000000000000002</v>
      </c>
      <c r="K926" s="98">
        <f ca="1">HLOOKUP($H$5,'Met Data'!$O$2:$T$368,G926,FALSE)</f>
        <v>1.1029484647982599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221</v>
      </c>
      <c r="H927" s="97">
        <f t="shared" ca="1" si="149"/>
        <v>46242</v>
      </c>
      <c r="I927" s="121">
        <f ca="1">HLOOKUP($H$5,'Met Data'!$A$2:$F$368,G927,FALSE)</f>
        <v>9.4625000000000004</v>
      </c>
      <c r="J927" s="119">
        <f ca="1">HLOOKUP($H$5,'Met Data'!$H$2:$M$368,G927,FALSE)*L927</f>
        <v>3.61666666666666</v>
      </c>
      <c r="K927" s="98">
        <f ca="1">HLOOKUP($H$5,'Met Data'!$O$2:$T$368,G927,FALSE)</f>
        <v>1.10790183862933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222</v>
      </c>
      <c r="H928" s="97">
        <f t="shared" ca="1" si="149"/>
        <v>46243</v>
      </c>
      <c r="I928" s="121">
        <f ca="1">HLOOKUP($H$5,'Met Data'!$A$2:$F$368,G928,FALSE)</f>
        <v>8.42916666666666</v>
      </c>
      <c r="J928" s="119">
        <f ca="1">HLOOKUP($H$5,'Met Data'!$H$2:$M$368,G928,FALSE)*L928</f>
        <v>3.4</v>
      </c>
      <c r="K928" s="98">
        <f ca="1">HLOOKUP($H$5,'Met Data'!$O$2:$T$368,G928,FALSE)</f>
        <v>1.32402542664303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223</v>
      </c>
      <c r="H929" s="97">
        <f t="shared" ca="1" si="149"/>
        <v>46244</v>
      </c>
      <c r="I929" s="121">
        <f ca="1">HLOOKUP($H$5,'Met Data'!$A$2:$F$368,G929,FALSE)</f>
        <v>7.8416666666666597</v>
      </c>
      <c r="J929" s="119">
        <f ca="1">HLOOKUP($H$5,'Met Data'!$H$2:$M$368,G929,FALSE)*L929</f>
        <v>1.38333333333333</v>
      </c>
      <c r="K929" s="98">
        <f ca="1">HLOOKUP($H$5,'Met Data'!$O$2:$T$368,G929,FALSE)</f>
        <v>1.2882274194230801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224</v>
      </c>
      <c r="H930" s="97">
        <f t="shared" ca="1" si="149"/>
        <v>46245</v>
      </c>
      <c r="I930" s="121">
        <f ca="1">HLOOKUP($H$5,'Met Data'!$A$2:$F$368,G930,FALSE)</f>
        <v>8.7916666666666607</v>
      </c>
      <c r="J930" s="119">
        <f ca="1">HLOOKUP($H$5,'Met Data'!$H$2:$M$368,G930,FALSE)*L930</f>
        <v>4.7</v>
      </c>
      <c r="K930" s="98">
        <f ca="1">HLOOKUP($H$5,'Met Data'!$O$2:$T$368,G930,FALSE)</f>
        <v>1.2700812995642401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225</v>
      </c>
      <c r="H931" s="97">
        <f t="shared" ca="1" si="149"/>
        <v>46246</v>
      </c>
      <c r="I931" s="121">
        <f ca="1">HLOOKUP($H$5,'Met Data'!$A$2:$F$368,G931,FALSE)</f>
        <v>9.2041666666666604</v>
      </c>
      <c r="J931" s="119">
        <f ca="1">HLOOKUP($H$5,'Met Data'!$H$2:$M$368,G931,FALSE)*L931</f>
        <v>4.9666666666666597</v>
      </c>
      <c r="K931" s="98">
        <f ca="1">HLOOKUP($H$5,'Met Data'!$O$2:$T$368,G931,FALSE)</f>
        <v>1.216678160996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226</v>
      </c>
      <c r="H932" s="97">
        <f t="shared" ca="1" si="149"/>
        <v>46247</v>
      </c>
      <c r="I932" s="121">
        <f ca="1">HLOOKUP($H$5,'Met Data'!$A$2:$F$368,G932,FALSE)</f>
        <v>9.49583333333333</v>
      </c>
      <c r="J932" s="119">
        <f ca="1">HLOOKUP($H$5,'Met Data'!$H$2:$M$368,G932,FALSE)*L932</f>
        <v>3.11666666666666</v>
      </c>
      <c r="K932" s="98">
        <f ca="1">HLOOKUP($H$5,'Met Data'!$O$2:$T$368,G932,FALSE)</f>
        <v>1.2041756804414001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227</v>
      </c>
      <c r="H933" s="97">
        <f t="shared" ca="1" si="149"/>
        <v>46248</v>
      </c>
      <c r="I933" s="121">
        <f ca="1">HLOOKUP($H$5,'Met Data'!$A$2:$F$368,G933,FALSE)</f>
        <v>9.7791666666666597</v>
      </c>
      <c r="J933" s="119">
        <f ca="1">HLOOKUP($H$5,'Met Data'!$H$2:$M$368,G933,FALSE)*L933</f>
        <v>6.7</v>
      </c>
      <c r="K933" s="98">
        <f ca="1">HLOOKUP($H$5,'Met Data'!$O$2:$T$368,G933,FALSE)</f>
        <v>1.1357294741412001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228</v>
      </c>
      <c r="H934" s="97">
        <f t="shared" ca="1" si="149"/>
        <v>46249</v>
      </c>
      <c r="I934" s="121">
        <f ca="1">HLOOKUP($H$5,'Met Data'!$A$2:$F$368,G934,FALSE)</f>
        <v>9.4375</v>
      </c>
      <c r="J934" s="119">
        <f ca="1">HLOOKUP($H$5,'Met Data'!$H$2:$M$368,G934,FALSE)*L934</f>
        <v>3.2833333333333301</v>
      </c>
      <c r="K934" s="98">
        <f ca="1">HLOOKUP($H$5,'Met Data'!$O$2:$T$368,G934,FALSE)</f>
        <v>1.2410385498851699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229</v>
      </c>
      <c r="H935" s="97">
        <f t="shared" ca="1" si="149"/>
        <v>46250</v>
      </c>
      <c r="I935" s="121">
        <f ca="1">HLOOKUP($H$5,'Met Data'!$A$2:$F$368,G935,FALSE)</f>
        <v>9.6999999999999993</v>
      </c>
      <c r="J935" s="119">
        <f ca="1">HLOOKUP($H$5,'Met Data'!$H$2:$M$368,G935,FALSE)*L935</f>
        <v>1.5999999999999901</v>
      </c>
      <c r="K935" s="98">
        <f ca="1">HLOOKUP($H$5,'Met Data'!$O$2:$T$368,G935,FALSE)</f>
        <v>1.30158376837533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230</v>
      </c>
      <c r="H936" s="97">
        <f t="shared" ca="1" si="149"/>
        <v>46251</v>
      </c>
      <c r="I936" s="121">
        <f ca="1">HLOOKUP($H$5,'Met Data'!$A$2:$F$368,G936,FALSE)</f>
        <v>9.61666666666666</v>
      </c>
      <c r="J936" s="119">
        <f ca="1">HLOOKUP($H$5,'Met Data'!$H$2:$M$368,G936,FALSE)*L936</f>
        <v>6.5999999999999899</v>
      </c>
      <c r="K936" s="98">
        <f ca="1">HLOOKUP($H$5,'Met Data'!$O$2:$T$368,G936,FALSE)</f>
        <v>1.3713845776081399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231</v>
      </c>
      <c r="H937" s="97">
        <f t="shared" ca="1" si="149"/>
        <v>46252</v>
      </c>
      <c r="I937" s="121">
        <f ca="1">HLOOKUP($H$5,'Met Data'!$A$2:$F$368,G937,FALSE)</f>
        <v>8.8333333333333304</v>
      </c>
      <c r="J937" s="119">
        <f ca="1">HLOOKUP($H$5,'Met Data'!$H$2:$M$368,G937,FALSE)*L937</f>
        <v>3.3</v>
      </c>
      <c r="K937" s="98">
        <f ca="1">HLOOKUP($H$5,'Met Data'!$O$2:$T$368,G937,FALSE)</f>
        <v>1.38797998518043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232</v>
      </c>
      <c r="H938" s="97">
        <f t="shared" ca="1" si="149"/>
        <v>46253</v>
      </c>
      <c r="I938" s="121">
        <f ca="1">HLOOKUP($H$5,'Met Data'!$A$2:$F$368,G938,FALSE)</f>
        <v>9.4833333333333307</v>
      </c>
      <c r="J938" s="119">
        <f ca="1">HLOOKUP($H$5,'Met Data'!$H$2:$M$368,G938,FALSE)*L938</f>
        <v>2.1333333333333302</v>
      </c>
      <c r="K938" s="98">
        <f ca="1">HLOOKUP($H$5,'Met Data'!$O$2:$T$368,G938,FALSE)</f>
        <v>1.56092628574794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233</v>
      </c>
      <c r="H939" s="97">
        <f t="shared" ca="1" si="149"/>
        <v>46254</v>
      </c>
      <c r="I939" s="121">
        <f ca="1">HLOOKUP($H$5,'Met Data'!$A$2:$F$368,G939,FALSE)</f>
        <v>9.2583333333333293</v>
      </c>
      <c r="J939" s="119">
        <f ca="1">HLOOKUP($H$5,'Met Data'!$H$2:$M$368,G939,FALSE)*L939</f>
        <v>3.65</v>
      </c>
      <c r="K939" s="98">
        <f ca="1">HLOOKUP($H$5,'Met Data'!$O$2:$T$368,G939,FALSE)</f>
        <v>1.4422774750484899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234</v>
      </c>
      <c r="H940" s="97">
        <f t="shared" ca="1" si="149"/>
        <v>46255</v>
      </c>
      <c r="I940" s="121">
        <f ca="1">HLOOKUP($H$5,'Met Data'!$A$2:$F$368,G940,FALSE)</f>
        <v>9.7708333333333304</v>
      </c>
      <c r="J940" s="119">
        <f ca="1">HLOOKUP($H$5,'Met Data'!$H$2:$M$368,G940,FALSE)*L940</f>
        <v>2.36666666666666</v>
      </c>
      <c r="K940" s="98">
        <f ca="1">HLOOKUP($H$5,'Met Data'!$O$2:$T$368,G940,FALSE)</f>
        <v>1.70464821639982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235</v>
      </c>
      <c r="H941" s="97">
        <f t="shared" ca="1" si="149"/>
        <v>46256</v>
      </c>
      <c r="I941" s="121">
        <f ca="1">HLOOKUP($H$5,'Met Data'!$A$2:$F$368,G941,FALSE)</f>
        <v>9.5208333333333304</v>
      </c>
      <c r="J941" s="119">
        <f ca="1">HLOOKUP($H$5,'Met Data'!$H$2:$M$368,G941,FALSE)*L941</f>
        <v>4.4666666666666597</v>
      </c>
      <c r="K941" s="98">
        <f ca="1">HLOOKUP($H$5,'Met Data'!$O$2:$T$368,G941,FALSE)</f>
        <v>1.6762831823304301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236</v>
      </c>
      <c r="H942" s="97">
        <f t="shared" ca="1" si="149"/>
        <v>46257</v>
      </c>
      <c r="I942" s="121">
        <f ca="1">HLOOKUP($H$5,'Met Data'!$A$2:$F$368,G942,FALSE)</f>
        <v>9.5791666666666604</v>
      </c>
      <c r="J942" s="119">
        <f ca="1">HLOOKUP($H$5,'Met Data'!$H$2:$M$368,G942,FALSE)*L942</f>
        <v>1.4833333333333301</v>
      </c>
      <c r="K942" s="98">
        <f ca="1">HLOOKUP($H$5,'Met Data'!$O$2:$T$368,G942,FALSE)</f>
        <v>1.44273965203753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237</v>
      </c>
      <c r="H943" s="97">
        <f t="shared" ca="1" si="149"/>
        <v>46258</v>
      </c>
      <c r="I943" s="121">
        <f ca="1">HLOOKUP($H$5,'Met Data'!$A$2:$F$368,G943,FALSE)</f>
        <v>9.8874999999999993</v>
      </c>
      <c r="J943" s="119">
        <f ca="1">HLOOKUP($H$5,'Met Data'!$H$2:$M$368,G943,FALSE)*L943</f>
        <v>0.56666666666666599</v>
      </c>
      <c r="K943" s="98">
        <f ca="1">HLOOKUP($H$5,'Met Data'!$O$2:$T$368,G943,FALSE)</f>
        <v>1.7386735184612501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ca="1" si="140"/>
        <v>238</v>
      </c>
      <c r="H944" s="97">
        <f t="shared" ca="1" si="149"/>
        <v>46259</v>
      </c>
      <c r="I944" s="121">
        <f ca="1">HLOOKUP($H$5,'Met Data'!$A$2:$F$368,G944,FALSE)</f>
        <v>9.7208333333333297</v>
      </c>
      <c r="J944" s="119">
        <f ca="1">HLOOKUP($H$5,'Met Data'!$H$2:$M$368,G944,FALSE)*L944</f>
        <v>2.4666666666666601</v>
      </c>
      <c r="K944" s="98">
        <f ca="1">HLOOKUP($H$5,'Met Data'!$O$2:$T$368,G944,FALSE)</f>
        <v>1.45538034550647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ca="1" si="150">H945-DATE(YEAR(H945),1,0)+1</f>
        <v>239</v>
      </c>
      <c r="H945" s="97">
        <f t="shared" ca="1" si="149"/>
        <v>46260</v>
      </c>
      <c r="I945" s="121">
        <f ca="1">HLOOKUP($H$5,'Met Data'!$A$2:$F$368,G945,FALSE)</f>
        <v>10.716666666666599</v>
      </c>
      <c r="J945" s="119">
        <f ca="1">HLOOKUP($H$5,'Met Data'!$H$2:$M$368,G945,FALSE)*L945</f>
        <v>3.0666666666666602</v>
      </c>
      <c r="K945" s="98">
        <f ca="1">HLOOKUP($H$5,'Met Data'!$O$2:$T$368,G945,FALSE)</f>
        <v>1.4899612238642299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ca="1" si="150"/>
        <v>240</v>
      </c>
      <c r="H946" s="97">
        <f t="shared" ca="1" si="149"/>
        <v>46261</v>
      </c>
      <c r="I946" s="121">
        <f ca="1">HLOOKUP($H$5,'Met Data'!$A$2:$F$368,G946,FALSE)</f>
        <v>10.754166666666601</v>
      </c>
      <c r="J946" s="119">
        <f ca="1">HLOOKUP($H$5,'Met Data'!$H$2:$M$368,G946,FALSE)*L946</f>
        <v>1.0333333333333301</v>
      </c>
      <c r="K946" s="98">
        <f ca="1">HLOOKUP($H$5,'Met Data'!$O$2:$T$368,G946,FALSE)</f>
        <v>1.6543487023337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241</v>
      </c>
      <c r="H947" s="97">
        <f t="shared" ca="1" si="149"/>
        <v>46262</v>
      </c>
      <c r="I947" s="121">
        <f ca="1">HLOOKUP($H$5,'Met Data'!$A$2:$F$368,G947,FALSE)</f>
        <v>11.0833333333333</v>
      </c>
      <c r="J947" s="119">
        <f ca="1">HLOOKUP($H$5,'Met Data'!$H$2:$M$368,G947,FALSE)*L947</f>
        <v>1.9</v>
      </c>
      <c r="K947" s="98">
        <f ca="1">HLOOKUP($H$5,'Met Data'!$O$2:$T$368,G947,FALSE)</f>
        <v>1.6425180639822501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242</v>
      </c>
      <c r="H948" s="97">
        <f t="shared" ca="1" si="149"/>
        <v>46263</v>
      </c>
      <c r="I948" s="121">
        <f ca="1">HLOOKUP($H$5,'Met Data'!$A$2:$F$368,G948,FALSE)</f>
        <v>10.5791666666666</v>
      </c>
      <c r="J948" s="119">
        <f ca="1">HLOOKUP($H$5,'Met Data'!$H$2:$M$368,G948,FALSE)*L948</f>
        <v>3.0166666666666599</v>
      </c>
      <c r="K948" s="98">
        <f ca="1">HLOOKUP($H$5,'Met Data'!$O$2:$T$368,G948,FALSE)</f>
        <v>1.5065040723285099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243</v>
      </c>
      <c r="H949" s="97">
        <f t="shared" ca="1" si="149"/>
        <v>46264</v>
      </c>
      <c r="I949" s="121">
        <f ca="1">HLOOKUP($H$5,'Met Data'!$A$2:$F$368,G949,FALSE)</f>
        <v>11.1208333333333</v>
      </c>
      <c r="J949" s="119">
        <f ca="1">HLOOKUP($H$5,'Met Data'!$H$2:$M$368,G949,FALSE)*L949</f>
        <v>1.56666666666666</v>
      </c>
      <c r="K949" s="98">
        <f ca="1">HLOOKUP($H$5,'Met Data'!$O$2:$T$368,G949,FALSE)</f>
        <v>1.7782422370636499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244</v>
      </c>
      <c r="H950" s="97">
        <f t="shared" ca="1" si="149"/>
        <v>46265</v>
      </c>
      <c r="I950" s="121">
        <f ca="1">HLOOKUP($H$5,'Met Data'!$A$2:$F$368,G950,FALSE)</f>
        <v>10.6666666666666</v>
      </c>
      <c r="J950" s="119">
        <f ca="1">HLOOKUP($H$5,'Met Data'!$H$2:$M$368,G950,FALSE)*L950</f>
        <v>1.7333333333333301</v>
      </c>
      <c r="K950" s="98">
        <f ca="1">HLOOKUP($H$5,'Met Data'!$O$2:$T$368,G950,FALSE)</f>
        <v>1.8075127039194601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245</v>
      </c>
      <c r="H951" s="97">
        <f t="shared" ca="1" si="149"/>
        <v>46266</v>
      </c>
      <c r="I951" s="121">
        <f ca="1">HLOOKUP($H$5,'Met Data'!$A$2:$F$368,G951,FALSE)</f>
        <v>10.1208333333333</v>
      </c>
      <c r="J951" s="119">
        <f ca="1">HLOOKUP($H$5,'Met Data'!$H$2:$M$368,G951,FALSE)*L951</f>
        <v>0.8</v>
      </c>
      <c r="K951" s="98">
        <f ca="1">HLOOKUP($H$5,'Met Data'!$O$2:$T$368,G951,FALSE)</f>
        <v>1.80445161149383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246</v>
      </c>
      <c r="H952" s="97">
        <f t="shared" ca="1" si="149"/>
        <v>46267</v>
      </c>
      <c r="I952" s="121">
        <f ca="1">HLOOKUP($H$5,'Met Data'!$A$2:$F$368,G952,FALSE)</f>
        <v>9.6624999999999996</v>
      </c>
      <c r="J952" s="119">
        <f ca="1">HLOOKUP($H$5,'Met Data'!$H$2:$M$368,G952,FALSE)*L952</f>
        <v>3.0833333333333299</v>
      </c>
      <c r="K952" s="98">
        <f ca="1">HLOOKUP($H$5,'Met Data'!$O$2:$T$368,G952,FALSE)</f>
        <v>1.4517482623371101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247</v>
      </c>
      <c r="H953" s="97">
        <f t="shared" ca="1" si="149"/>
        <v>46268</v>
      </c>
      <c r="I953" s="121">
        <f ca="1">HLOOKUP($H$5,'Met Data'!$A$2:$F$368,G953,FALSE)</f>
        <v>9.7541666666666593</v>
      </c>
      <c r="J953" s="119">
        <f ca="1">HLOOKUP($H$5,'Met Data'!$H$2:$M$368,G953,FALSE)*L953</f>
        <v>1.0833333333333299</v>
      </c>
      <c r="K953" s="98">
        <f ca="1">HLOOKUP($H$5,'Met Data'!$O$2:$T$368,G953,FALSE)</f>
        <v>1.75831978881469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248</v>
      </c>
      <c r="H954" s="97">
        <f t="shared" ca="1" si="149"/>
        <v>46269</v>
      </c>
      <c r="I954" s="121">
        <f ca="1">HLOOKUP($H$5,'Met Data'!$A$2:$F$368,G954,FALSE)</f>
        <v>10.0583333333333</v>
      </c>
      <c r="J954" s="119">
        <f ca="1">HLOOKUP($H$5,'Met Data'!$H$2:$M$368,G954,FALSE)*L954</f>
        <v>2.44999999999999</v>
      </c>
      <c r="K954" s="98">
        <f ca="1">HLOOKUP($H$5,'Met Data'!$O$2:$T$368,G954,FALSE)</f>
        <v>1.8005069619965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249</v>
      </c>
      <c r="H955" s="97">
        <f t="shared" ca="1" si="149"/>
        <v>46270</v>
      </c>
      <c r="I955" s="121">
        <f ca="1">HLOOKUP($H$5,'Met Data'!$A$2:$F$368,G955,FALSE)</f>
        <v>9.7750000000000004</v>
      </c>
      <c r="J955" s="119">
        <f ca="1">HLOOKUP($H$5,'Met Data'!$H$2:$M$368,G955,FALSE)*L955</f>
        <v>3.2</v>
      </c>
      <c r="K955" s="98">
        <f ca="1">HLOOKUP($H$5,'Met Data'!$O$2:$T$368,G955,FALSE)</f>
        <v>1.49919962363172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250</v>
      </c>
      <c r="H956" s="97">
        <f t="shared" ca="1" si="149"/>
        <v>46271</v>
      </c>
      <c r="I956" s="121">
        <f ca="1">HLOOKUP($H$5,'Met Data'!$A$2:$F$368,G956,FALSE)</f>
        <v>10.3333333333333</v>
      </c>
      <c r="J956" s="119">
        <f ca="1">HLOOKUP($H$5,'Met Data'!$H$2:$M$368,G956,FALSE)*L956</f>
        <v>5.93333333333333</v>
      </c>
      <c r="K956" s="98">
        <f ca="1">HLOOKUP($H$5,'Met Data'!$O$2:$T$368,G956,FALSE)</f>
        <v>1.4735664157819599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251</v>
      </c>
      <c r="H957" s="97">
        <f t="shared" ca="1" si="149"/>
        <v>46272</v>
      </c>
      <c r="I957" s="121">
        <f ca="1">HLOOKUP($H$5,'Met Data'!$A$2:$F$368,G957,FALSE)</f>
        <v>10.7708333333333</v>
      </c>
      <c r="J957" s="119">
        <f ca="1">HLOOKUP($H$5,'Met Data'!$H$2:$M$368,G957,FALSE)*L957</f>
        <v>1.2</v>
      </c>
      <c r="K957" s="98">
        <f ca="1">HLOOKUP($H$5,'Met Data'!$O$2:$T$368,G957,FALSE)</f>
        <v>1.8170202832795099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252</v>
      </c>
      <c r="H958" s="97">
        <f t="shared" ca="1" si="149"/>
        <v>46273</v>
      </c>
      <c r="I958" s="121">
        <f ca="1">HLOOKUP($H$5,'Met Data'!$A$2:$F$368,G958,FALSE)</f>
        <v>10.5791666666666</v>
      </c>
      <c r="J958" s="119">
        <f ca="1">HLOOKUP($H$5,'Met Data'!$H$2:$M$368,G958,FALSE)*L958</f>
        <v>0.88333333333333297</v>
      </c>
      <c r="K958" s="98">
        <f ca="1">HLOOKUP($H$5,'Met Data'!$O$2:$T$368,G958,FALSE)</f>
        <v>1.8773510693625799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253</v>
      </c>
      <c r="H959" s="97">
        <f t="shared" ca="1" si="149"/>
        <v>46274</v>
      </c>
      <c r="I959" s="121">
        <f ca="1">HLOOKUP($H$5,'Met Data'!$A$2:$F$368,G959,FALSE)</f>
        <v>9.6125000000000007</v>
      </c>
      <c r="J959" s="119">
        <f ca="1">HLOOKUP($H$5,'Met Data'!$H$2:$M$368,G959,FALSE)*L959</f>
        <v>4.36666666666666</v>
      </c>
      <c r="K959" s="98">
        <f ca="1">HLOOKUP($H$5,'Met Data'!$O$2:$T$368,G959,FALSE)</f>
        <v>1.8525160666589899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254</v>
      </c>
      <c r="H960" s="97">
        <f t="shared" ca="1" si="149"/>
        <v>46275</v>
      </c>
      <c r="I960" s="121">
        <f ca="1">HLOOKUP($H$5,'Met Data'!$A$2:$F$368,G960,FALSE)</f>
        <v>10.0875</v>
      </c>
      <c r="J960" s="119">
        <f ca="1">HLOOKUP($H$5,'Met Data'!$H$2:$M$368,G960,FALSE)*L960</f>
        <v>3.44999999999999</v>
      </c>
      <c r="K960" s="98">
        <f ca="1">HLOOKUP($H$5,'Met Data'!$O$2:$T$368,G960,FALSE)</f>
        <v>1.67590206119575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255</v>
      </c>
      <c r="H961" s="97">
        <f t="shared" ca="1" si="149"/>
        <v>46276</v>
      </c>
      <c r="I961" s="121">
        <f ca="1">HLOOKUP($H$5,'Met Data'!$A$2:$F$368,G961,FALSE)</f>
        <v>10.6416666666666</v>
      </c>
      <c r="J961" s="119">
        <f ca="1">HLOOKUP($H$5,'Met Data'!$H$2:$M$368,G961,FALSE)*L961</f>
        <v>6.4666666666666597</v>
      </c>
      <c r="K961" s="98">
        <f ca="1">HLOOKUP($H$5,'Met Data'!$O$2:$T$368,G961,FALSE)</f>
        <v>1.7070370554204599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256</v>
      </c>
      <c r="H962" s="97">
        <f t="shared" ca="1" si="149"/>
        <v>46277</v>
      </c>
      <c r="I962" s="121">
        <f ca="1">HLOOKUP($H$5,'Met Data'!$A$2:$F$368,G962,FALSE)</f>
        <v>10.4541666666666</v>
      </c>
      <c r="J962" s="119">
        <f ca="1">HLOOKUP($H$5,'Met Data'!$H$2:$M$368,G962,FALSE)*L962</f>
        <v>2.0166666666666599</v>
      </c>
      <c r="K962" s="98">
        <f ca="1">HLOOKUP($H$5,'Met Data'!$O$2:$T$368,G962,FALSE)</f>
        <v>1.9219866027073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257</v>
      </c>
      <c r="H963" s="97">
        <f t="shared" ca="1" si="149"/>
        <v>46278</v>
      </c>
      <c r="I963" s="121">
        <f ca="1">HLOOKUP($H$5,'Met Data'!$A$2:$F$368,G963,FALSE)</f>
        <v>11.216666666666599</v>
      </c>
      <c r="J963" s="119">
        <f ca="1">HLOOKUP($H$5,'Met Data'!$H$2:$M$368,G963,FALSE)*L963</f>
        <v>1.4833333333333301</v>
      </c>
      <c r="K963" s="98">
        <f ca="1">HLOOKUP($H$5,'Met Data'!$O$2:$T$368,G963,FALSE)</f>
        <v>1.86072433418519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258</v>
      </c>
      <c r="H964" s="97">
        <f t="shared" ca="1" si="149"/>
        <v>46279</v>
      </c>
      <c r="I964" s="121">
        <f ca="1">HLOOKUP($H$5,'Met Data'!$A$2:$F$368,G964,FALSE)</f>
        <v>11.1</v>
      </c>
      <c r="J964" s="119">
        <f ca="1">HLOOKUP($H$5,'Met Data'!$H$2:$M$368,G964,FALSE)*L964</f>
        <v>2.4166666666666599</v>
      </c>
      <c r="K964" s="98">
        <f ca="1">HLOOKUP($H$5,'Met Data'!$O$2:$T$368,G964,FALSE)</f>
        <v>1.6515892534407901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259</v>
      </c>
      <c r="H965" s="97">
        <f t="shared" ca="1" si="149"/>
        <v>46280</v>
      </c>
      <c r="I965" s="121">
        <f ca="1">HLOOKUP($H$5,'Met Data'!$A$2:$F$368,G965,FALSE)</f>
        <v>11.3708333333333</v>
      </c>
      <c r="J965" s="119">
        <f ca="1">HLOOKUP($H$5,'Met Data'!$H$2:$M$368,G965,FALSE)*L965</f>
        <v>1.3</v>
      </c>
      <c r="K965" s="98">
        <f ca="1">HLOOKUP($H$5,'Met Data'!$O$2:$T$368,G965,FALSE)</f>
        <v>1.8040111781852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260</v>
      </c>
      <c r="H966" s="97">
        <f t="shared" ca="1" si="149"/>
        <v>46281</v>
      </c>
      <c r="I966" s="121">
        <f ca="1">HLOOKUP($H$5,'Met Data'!$A$2:$F$368,G966,FALSE)</f>
        <v>11.2916666666666</v>
      </c>
      <c r="J966" s="119">
        <f ca="1">HLOOKUP($H$5,'Met Data'!$H$2:$M$368,G966,FALSE)*L966</f>
        <v>2.6</v>
      </c>
      <c r="K966" s="98">
        <f ca="1">HLOOKUP($H$5,'Met Data'!$O$2:$T$368,G966,FALSE)</f>
        <v>1.8880733064353601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261</v>
      </c>
      <c r="H967" s="97">
        <f t="shared" ca="1" si="149"/>
        <v>46282</v>
      </c>
      <c r="I967" s="121">
        <f ca="1">HLOOKUP($H$5,'Met Data'!$A$2:$F$368,G967,FALSE)</f>
        <v>12.2125</v>
      </c>
      <c r="J967" s="119">
        <f ca="1">HLOOKUP($H$5,'Met Data'!$H$2:$M$368,G967,FALSE)*L967</f>
        <v>4.5999999999999996</v>
      </c>
      <c r="K967" s="98">
        <f ca="1">HLOOKUP($H$5,'Met Data'!$O$2:$T$368,G967,FALSE)</f>
        <v>2.0382752192881299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262</v>
      </c>
      <c r="H968" s="97">
        <f t="shared" ca="1" si="149"/>
        <v>46283</v>
      </c>
      <c r="I968" s="121">
        <f ca="1">HLOOKUP($H$5,'Met Data'!$A$2:$F$368,G968,FALSE)</f>
        <v>11.35</v>
      </c>
      <c r="J968" s="119">
        <f ca="1">HLOOKUP($H$5,'Met Data'!$H$2:$M$368,G968,FALSE)*L968</f>
        <v>3.93333333333333</v>
      </c>
      <c r="K968" s="98">
        <f ca="1">HLOOKUP($H$5,'Met Data'!$O$2:$T$368,G968,FALSE)</f>
        <v>2.00744960029109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263</v>
      </c>
      <c r="H969" s="97">
        <f t="shared" ref="H969:H1000" ca="1" si="159">H968+1</f>
        <v>46284</v>
      </c>
      <c r="I969" s="121">
        <f ca="1">HLOOKUP($H$5,'Met Data'!$A$2:$F$368,G969,FALSE)</f>
        <v>10.504166666666601</v>
      </c>
      <c r="J969" s="119">
        <f ca="1">HLOOKUP($H$5,'Met Data'!$H$2:$M$368,G969,FALSE)*L969</f>
        <v>8.7333333333333307</v>
      </c>
      <c r="K969" s="98">
        <f ca="1">HLOOKUP($H$5,'Met Data'!$O$2:$T$368,G969,FALSE)</f>
        <v>1.9387559167362001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264</v>
      </c>
      <c r="H970" s="97">
        <f t="shared" ca="1" si="159"/>
        <v>46285</v>
      </c>
      <c r="I970" s="121">
        <f ca="1">HLOOKUP($H$5,'Met Data'!$A$2:$F$368,G970,FALSE)</f>
        <v>10.387499999999999</v>
      </c>
      <c r="J970" s="119">
        <f ca="1">HLOOKUP($H$5,'Met Data'!$H$2:$M$368,G970,FALSE)*L970</f>
        <v>3.85</v>
      </c>
      <c r="K970" s="98">
        <f ca="1">HLOOKUP($H$5,'Met Data'!$O$2:$T$368,G970,FALSE)</f>
        <v>2.0861830094945102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265</v>
      </c>
      <c r="H971" s="97">
        <f t="shared" ca="1" si="159"/>
        <v>46286</v>
      </c>
      <c r="I971" s="121">
        <f ca="1">HLOOKUP($H$5,'Met Data'!$A$2:$F$368,G971,FALSE)</f>
        <v>9.85</v>
      </c>
      <c r="J971" s="119">
        <f ca="1">HLOOKUP($H$5,'Met Data'!$H$2:$M$368,G971,FALSE)*L971</f>
        <v>1.7999999999999901</v>
      </c>
      <c r="K971" s="98">
        <f ca="1">HLOOKUP($H$5,'Met Data'!$O$2:$T$368,G971,FALSE)</f>
        <v>2.1398164486974101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266</v>
      </c>
      <c r="H972" s="97">
        <f t="shared" ca="1" si="159"/>
        <v>46287</v>
      </c>
      <c r="I972" s="121">
        <f ca="1">HLOOKUP($H$5,'Met Data'!$A$2:$F$368,G972,FALSE)</f>
        <v>10.158333333333299</v>
      </c>
      <c r="J972" s="119">
        <f ca="1">HLOOKUP($H$5,'Met Data'!$H$2:$M$368,G972,FALSE)*L972</f>
        <v>3.93333333333333</v>
      </c>
      <c r="K972" s="98">
        <f ca="1">HLOOKUP($H$5,'Met Data'!$O$2:$T$368,G972,FALSE)</f>
        <v>2.31412085445224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267</v>
      </c>
      <c r="H973" s="97">
        <f t="shared" ca="1" si="159"/>
        <v>46288</v>
      </c>
      <c r="I973" s="121">
        <f ca="1">HLOOKUP($H$5,'Met Data'!$A$2:$F$368,G973,FALSE)</f>
        <v>10.9625</v>
      </c>
      <c r="J973" s="119">
        <f ca="1">HLOOKUP($H$5,'Met Data'!$H$2:$M$368,G973,FALSE)*L973</f>
        <v>1.86666666666666</v>
      </c>
      <c r="K973" s="98">
        <f ca="1">HLOOKUP($H$5,'Met Data'!$O$2:$T$368,G973,FALSE)</f>
        <v>2.2059606634486699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268</v>
      </c>
      <c r="H974" s="97">
        <f t="shared" ca="1" si="159"/>
        <v>46289</v>
      </c>
      <c r="I974" s="121">
        <f ca="1">HLOOKUP($H$5,'Met Data'!$A$2:$F$368,G974,FALSE)</f>
        <v>11.6458333333333</v>
      </c>
      <c r="J974" s="119">
        <f ca="1">HLOOKUP($H$5,'Met Data'!$H$2:$M$368,G974,FALSE)*L974</f>
        <v>5.5166666666666604</v>
      </c>
      <c r="K974" s="98">
        <f ca="1">HLOOKUP($H$5,'Met Data'!$O$2:$T$368,G974,FALSE)</f>
        <v>1.6755097599300399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269</v>
      </c>
      <c r="H975" s="97">
        <f t="shared" ca="1" si="159"/>
        <v>46290</v>
      </c>
      <c r="I975" s="121">
        <f ca="1">HLOOKUP($H$5,'Met Data'!$A$2:$F$368,G975,FALSE)</f>
        <v>12.112500000000001</v>
      </c>
      <c r="J975" s="119">
        <f ca="1">HLOOKUP($H$5,'Met Data'!$H$2:$M$368,G975,FALSE)*L975</f>
        <v>1.56666666666666</v>
      </c>
      <c r="K975" s="98">
        <f ca="1">HLOOKUP($H$5,'Met Data'!$O$2:$T$368,G975,FALSE)</f>
        <v>2.1669648664524801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270</v>
      </c>
      <c r="H976" s="97">
        <f t="shared" ca="1" si="159"/>
        <v>46291</v>
      </c>
      <c r="I976" s="121">
        <f ca="1">HLOOKUP($H$5,'Met Data'!$A$2:$F$368,G976,FALSE)</f>
        <v>11.6875</v>
      </c>
      <c r="J976" s="119">
        <f ca="1">HLOOKUP($H$5,'Met Data'!$H$2:$M$368,G976,FALSE)*L976</f>
        <v>1.0833333333333299</v>
      </c>
      <c r="K976" s="98">
        <f ca="1">HLOOKUP($H$5,'Met Data'!$O$2:$T$368,G976,FALSE)</f>
        <v>2.2423317945335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271</v>
      </c>
      <c r="H977" s="97">
        <f t="shared" ca="1" si="159"/>
        <v>46292</v>
      </c>
      <c r="I977" s="121">
        <f ca="1">HLOOKUP($H$5,'Met Data'!$A$2:$F$368,G977,FALSE)</f>
        <v>12.0541666666666</v>
      </c>
      <c r="J977" s="119">
        <f ca="1">HLOOKUP($H$5,'Met Data'!$H$2:$M$368,G977,FALSE)*L977</f>
        <v>1.05</v>
      </c>
      <c r="K977" s="98">
        <f ca="1">HLOOKUP($H$5,'Met Data'!$O$2:$T$368,G977,FALSE)</f>
        <v>2.4484809787012698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272</v>
      </c>
      <c r="H978" s="97">
        <f t="shared" ca="1" si="159"/>
        <v>46293</v>
      </c>
      <c r="I978" s="121">
        <f ca="1">HLOOKUP($H$5,'Met Data'!$A$2:$F$368,G978,FALSE)</f>
        <v>12.3291666666666</v>
      </c>
      <c r="J978" s="119">
        <f ca="1">HLOOKUP($H$5,'Met Data'!$H$2:$M$368,G978,FALSE)*L978</f>
        <v>5.1499999999999897</v>
      </c>
      <c r="K978" s="98">
        <f ca="1">HLOOKUP($H$5,'Met Data'!$O$2:$T$368,G978,FALSE)</f>
        <v>2.13295390564413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273</v>
      </c>
      <c r="H979" s="97">
        <f t="shared" ca="1" si="159"/>
        <v>46294</v>
      </c>
      <c r="I979" s="121">
        <f ca="1">HLOOKUP($H$5,'Met Data'!$A$2:$F$368,G979,FALSE)</f>
        <v>12.65</v>
      </c>
      <c r="J979" s="119">
        <f ca="1">HLOOKUP($H$5,'Met Data'!$H$2:$M$368,G979,FALSE)*L979</f>
        <v>2.15</v>
      </c>
      <c r="K979" s="98">
        <f ca="1">HLOOKUP($H$5,'Met Data'!$O$2:$T$368,G979,FALSE)</f>
        <v>2.3067555107961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274</v>
      </c>
      <c r="H980" s="97">
        <f t="shared" ca="1" si="159"/>
        <v>46295</v>
      </c>
      <c r="I980" s="121">
        <f ca="1">HLOOKUP($H$5,'Met Data'!$A$2:$F$368,G980,FALSE)</f>
        <v>12.5208333333333</v>
      </c>
      <c r="J980" s="119">
        <f ca="1">HLOOKUP($H$5,'Met Data'!$H$2:$M$368,G980,FALSE)*L980</f>
        <v>5.61666666666666</v>
      </c>
      <c r="K980" s="98">
        <f ca="1">HLOOKUP($H$5,'Met Data'!$O$2:$T$368,G980,FALSE)</f>
        <v>2.4465918649770302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275</v>
      </c>
      <c r="H981" s="97">
        <f t="shared" ca="1" si="159"/>
        <v>46296</v>
      </c>
      <c r="I981" s="121">
        <f ca="1">HLOOKUP($H$5,'Met Data'!$A$2:$F$368,G981,FALSE)</f>
        <v>11.65</v>
      </c>
      <c r="J981" s="119">
        <f ca="1">HLOOKUP($H$5,'Met Data'!$H$2:$M$368,G981,FALSE)*L981</f>
        <v>2.35</v>
      </c>
      <c r="K981" s="98">
        <f ca="1">HLOOKUP($H$5,'Met Data'!$O$2:$T$368,G981,FALSE)</f>
        <v>2.46735033441291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276</v>
      </c>
      <c r="H982" s="97">
        <f t="shared" ca="1" si="159"/>
        <v>46297</v>
      </c>
      <c r="I982" s="121">
        <f ca="1">HLOOKUP($H$5,'Met Data'!$A$2:$F$368,G982,FALSE)</f>
        <v>12.0166666666666</v>
      </c>
      <c r="J982" s="119">
        <f ca="1">HLOOKUP($H$5,'Met Data'!$H$2:$M$368,G982,FALSE)*L982</f>
        <v>2.2833333333333301</v>
      </c>
      <c r="K982" s="98">
        <f ca="1">HLOOKUP($H$5,'Met Data'!$O$2:$T$368,G982,FALSE)</f>
        <v>2.1199025888480301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277</v>
      </c>
      <c r="H983" s="97">
        <f t="shared" ca="1" si="159"/>
        <v>46298</v>
      </c>
      <c r="I983" s="121">
        <f ca="1">HLOOKUP($H$5,'Met Data'!$A$2:$F$368,G983,FALSE)</f>
        <v>12.941666666666601</v>
      </c>
      <c r="J983" s="119">
        <f ca="1">HLOOKUP($H$5,'Met Data'!$H$2:$M$368,G983,FALSE)*L983</f>
        <v>4.2666666666666604</v>
      </c>
      <c r="K983" s="98">
        <f ca="1">HLOOKUP($H$5,'Met Data'!$O$2:$T$368,G983,FALSE)</f>
        <v>2.6275875550097898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278</v>
      </c>
      <c r="H984" s="97">
        <f t="shared" ca="1" si="159"/>
        <v>46299</v>
      </c>
      <c r="I984" s="121">
        <f ca="1">HLOOKUP($H$5,'Met Data'!$A$2:$F$368,G984,FALSE)</f>
        <v>11.95</v>
      </c>
      <c r="J984" s="119">
        <f ca="1">HLOOKUP($H$5,'Met Data'!$H$2:$M$368,G984,FALSE)*L984</f>
        <v>1.13333333333333</v>
      </c>
      <c r="K984" s="98">
        <f ca="1">HLOOKUP($H$5,'Met Data'!$O$2:$T$368,G984,FALSE)</f>
        <v>2.2251605523882798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279</v>
      </c>
      <c r="H985" s="97">
        <f t="shared" ca="1" si="159"/>
        <v>46300</v>
      </c>
      <c r="I985" s="121">
        <f ca="1">HLOOKUP($H$5,'Met Data'!$A$2:$F$368,G985,FALSE)</f>
        <v>11.8958333333333</v>
      </c>
      <c r="J985" s="119">
        <f ca="1">HLOOKUP($H$5,'Met Data'!$H$2:$M$368,G985,FALSE)*L985</f>
        <v>2.0666666666666602</v>
      </c>
      <c r="K985" s="98">
        <f ca="1">HLOOKUP($H$5,'Met Data'!$O$2:$T$368,G985,FALSE)</f>
        <v>2.2142725820580198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280</v>
      </c>
      <c r="H986" s="97">
        <f t="shared" ca="1" si="159"/>
        <v>46301</v>
      </c>
      <c r="I986" s="121">
        <f ca="1">HLOOKUP($H$5,'Met Data'!$A$2:$F$368,G986,FALSE)</f>
        <v>11.8333333333333</v>
      </c>
      <c r="J986" s="119">
        <f ca="1">HLOOKUP($H$5,'Met Data'!$H$2:$M$368,G986,FALSE)*L986</f>
        <v>1.43333333333333</v>
      </c>
      <c r="K986" s="98">
        <f ca="1">HLOOKUP($H$5,'Met Data'!$O$2:$T$368,G986,FALSE)</f>
        <v>2.5217662070296001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281</v>
      </c>
      <c r="H987" s="97">
        <f t="shared" ca="1" si="159"/>
        <v>46302</v>
      </c>
      <c r="I987" s="121">
        <f ca="1">HLOOKUP($H$5,'Met Data'!$A$2:$F$368,G987,FALSE)</f>
        <v>12.133333333333301</v>
      </c>
      <c r="J987" s="119">
        <f ca="1">HLOOKUP($H$5,'Met Data'!$H$2:$M$368,G987,FALSE)*L987</f>
        <v>1.5</v>
      </c>
      <c r="K987" s="98">
        <f ca="1">HLOOKUP($H$5,'Met Data'!$O$2:$T$368,G987,FALSE)</f>
        <v>2.4929362431341402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282</v>
      </c>
      <c r="H988" s="97">
        <f t="shared" ca="1" si="159"/>
        <v>46303</v>
      </c>
      <c r="I988" s="121">
        <f ca="1">HLOOKUP($H$5,'Met Data'!$A$2:$F$368,G988,FALSE)</f>
        <v>11.8708333333333</v>
      </c>
      <c r="J988" s="119">
        <f ca="1">HLOOKUP($H$5,'Met Data'!$H$2:$M$368,G988,FALSE)*L988</f>
        <v>4.18333333333333</v>
      </c>
      <c r="K988" s="98">
        <f ca="1">HLOOKUP($H$5,'Met Data'!$O$2:$T$368,G988,FALSE)</f>
        <v>2.0932595279969002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283</v>
      </c>
      <c r="H989" s="97">
        <f t="shared" ca="1" si="159"/>
        <v>46304</v>
      </c>
      <c r="I989" s="121">
        <f ca="1">HLOOKUP($H$5,'Met Data'!$A$2:$F$368,G989,FALSE)</f>
        <v>11.529166666666599</v>
      </c>
      <c r="J989" s="119">
        <f ca="1">HLOOKUP($H$5,'Met Data'!$H$2:$M$368,G989,FALSE)*L989</f>
        <v>2.2166666666666601</v>
      </c>
      <c r="K989" s="98">
        <f ca="1">HLOOKUP($H$5,'Met Data'!$O$2:$T$368,G989,FALSE)</f>
        <v>2.3166472445358202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284</v>
      </c>
      <c r="H990" s="97">
        <f t="shared" ca="1" si="159"/>
        <v>46305</v>
      </c>
      <c r="I990" s="121">
        <f ca="1">HLOOKUP($H$5,'Met Data'!$A$2:$F$368,G990,FALSE)</f>
        <v>11.316666666666601</v>
      </c>
      <c r="J990" s="119">
        <f ca="1">HLOOKUP($H$5,'Met Data'!$H$2:$M$368,G990,FALSE)*L990</f>
        <v>2.9833333333333298</v>
      </c>
      <c r="K990" s="98">
        <f ca="1">HLOOKUP($H$5,'Met Data'!$O$2:$T$368,G990,FALSE)</f>
        <v>2.57259273420483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285</v>
      </c>
      <c r="H991" s="97">
        <f t="shared" ca="1" si="159"/>
        <v>46306</v>
      </c>
      <c r="I991" s="121">
        <f ca="1">HLOOKUP($H$5,'Met Data'!$A$2:$F$368,G991,FALSE)</f>
        <v>12.466666666666599</v>
      </c>
      <c r="J991" s="119">
        <f ca="1">HLOOKUP($H$5,'Met Data'!$H$2:$M$368,G991,FALSE)*L991</f>
        <v>3.5333333333333301</v>
      </c>
      <c r="K991" s="98">
        <f ca="1">HLOOKUP($H$5,'Met Data'!$O$2:$T$368,G991,FALSE)</f>
        <v>2.44735536591925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286</v>
      </c>
      <c r="H992" s="97">
        <f t="shared" ca="1" si="159"/>
        <v>46307</v>
      </c>
      <c r="I992" s="121">
        <f ca="1">HLOOKUP($H$5,'Met Data'!$A$2:$F$368,G992,FALSE)</f>
        <v>12.566666666666601</v>
      </c>
      <c r="J992" s="119">
        <f ca="1">HLOOKUP($H$5,'Met Data'!$H$2:$M$368,G992,FALSE)*L992</f>
        <v>1.88333333333333</v>
      </c>
      <c r="K992" s="98">
        <f ca="1">HLOOKUP($H$5,'Met Data'!$O$2:$T$368,G992,FALSE)</f>
        <v>2.6706436990123898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287</v>
      </c>
      <c r="H993" s="97">
        <f t="shared" ca="1" si="159"/>
        <v>46308</v>
      </c>
      <c r="I993" s="121">
        <f ca="1">HLOOKUP($H$5,'Met Data'!$A$2:$F$368,G993,FALSE)</f>
        <v>12.133333333333301</v>
      </c>
      <c r="J993" s="119">
        <f ca="1">HLOOKUP($H$5,'Met Data'!$H$2:$M$368,G993,FALSE)*L993</f>
        <v>2.6666666666666599</v>
      </c>
      <c r="K993" s="98">
        <f ca="1">HLOOKUP($H$5,'Met Data'!$O$2:$T$368,G993,FALSE)</f>
        <v>1.9257972512671799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288</v>
      </c>
      <c r="H994" s="97">
        <f t="shared" ca="1" si="159"/>
        <v>46309</v>
      </c>
      <c r="I994" s="121">
        <f ca="1">HLOOKUP($H$5,'Met Data'!$A$2:$F$368,G994,FALSE)</f>
        <v>12.762499999999999</v>
      </c>
      <c r="J994" s="119">
        <f ca="1">HLOOKUP($H$5,'Met Data'!$H$2:$M$368,G994,FALSE)*L994</f>
        <v>3.6333333333333302</v>
      </c>
      <c r="K994" s="98">
        <f ca="1">HLOOKUP($H$5,'Met Data'!$O$2:$T$368,G994,FALSE)</f>
        <v>2.2182002807721002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289</v>
      </c>
      <c r="H995" s="97">
        <f t="shared" ca="1" si="159"/>
        <v>46310</v>
      </c>
      <c r="I995" s="121">
        <f ca="1">HLOOKUP($H$5,'Met Data'!$A$2:$F$368,G995,FALSE)</f>
        <v>12.675000000000001</v>
      </c>
      <c r="J995" s="119">
        <f ca="1">HLOOKUP($H$5,'Met Data'!$H$2:$M$368,G995,FALSE)*L995</f>
        <v>4.2166666666666597</v>
      </c>
      <c r="K995" s="98">
        <f ca="1">HLOOKUP($H$5,'Met Data'!$O$2:$T$368,G995,FALSE)</f>
        <v>2.3809243707544998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290</v>
      </c>
      <c r="H996" s="97">
        <f t="shared" ca="1" si="159"/>
        <v>46311</v>
      </c>
      <c r="I996" s="121">
        <f ca="1">HLOOKUP($H$5,'Met Data'!$A$2:$F$368,G996,FALSE)</f>
        <v>12.3041666666666</v>
      </c>
      <c r="J996" s="119">
        <f ca="1">HLOOKUP($H$5,'Met Data'!$H$2:$M$368,G996,FALSE)*L996</f>
        <v>1.4666666666666599</v>
      </c>
      <c r="K996" s="98">
        <f ca="1">HLOOKUP($H$5,'Met Data'!$O$2:$T$368,G996,FALSE)</f>
        <v>2.7800377367024298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291</v>
      </c>
      <c r="H997" s="97">
        <f t="shared" ca="1" si="159"/>
        <v>46312</v>
      </c>
      <c r="I997" s="121">
        <f ca="1">HLOOKUP($H$5,'Met Data'!$A$2:$F$368,G997,FALSE)</f>
        <v>12.987499999999899</v>
      </c>
      <c r="J997" s="119">
        <f ca="1">HLOOKUP($H$5,'Met Data'!$H$2:$M$368,G997,FALSE)*L997</f>
        <v>2.75</v>
      </c>
      <c r="K997" s="98">
        <f ca="1">HLOOKUP($H$5,'Met Data'!$O$2:$T$368,G997,FALSE)</f>
        <v>2.65151934906442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292</v>
      </c>
      <c r="H998" s="97">
        <f t="shared" ca="1" si="159"/>
        <v>46313</v>
      </c>
      <c r="I998" s="121">
        <f ca="1">HLOOKUP($H$5,'Met Data'!$A$2:$F$368,G998,FALSE)</f>
        <v>12.7416666666666</v>
      </c>
      <c r="J998" s="119">
        <f ca="1">HLOOKUP($H$5,'Met Data'!$H$2:$M$368,G998,FALSE)*L998</f>
        <v>3.0666666666666602</v>
      </c>
      <c r="K998" s="98">
        <f ca="1">HLOOKUP($H$5,'Met Data'!$O$2:$T$368,G998,FALSE)</f>
        <v>2.2346438003254501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293</v>
      </c>
      <c r="H999" s="97">
        <f t="shared" ca="1" si="159"/>
        <v>46314</v>
      </c>
      <c r="I999" s="121">
        <f ca="1">HLOOKUP($H$5,'Met Data'!$A$2:$F$368,G999,FALSE)</f>
        <v>12.154166666666599</v>
      </c>
      <c r="J999" s="119">
        <f ca="1">HLOOKUP($H$5,'Met Data'!$H$2:$M$368,G999,FALSE)*L999</f>
        <v>1.1000000000000001</v>
      </c>
      <c r="K999" s="98">
        <f ca="1">HLOOKUP($H$5,'Met Data'!$O$2:$T$368,G999,FALSE)</f>
        <v>2.9905003990183601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ca="1" si="150"/>
        <v>294</v>
      </c>
      <c r="H1000" s="97">
        <f t="shared" ca="1" si="159"/>
        <v>46315</v>
      </c>
      <c r="I1000" s="121">
        <f ca="1">HLOOKUP($H$5,'Met Data'!$A$2:$F$368,G1000,FALSE)</f>
        <v>12.6666666666666</v>
      </c>
      <c r="J1000" s="119">
        <f ca="1">HLOOKUP($H$5,'Met Data'!$H$2:$M$368,G1000,FALSE)*L1000</f>
        <v>1.13333333333333</v>
      </c>
      <c r="K1000" s="98">
        <f ca="1">HLOOKUP($H$5,'Met Data'!$O$2:$T$368,G1000,FALSE)</f>
        <v>2.7134262355768599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8" sqref="AP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221</v>
      </c>
      <c r="AJ6" t="s">
        <v>223</v>
      </c>
      <c r="AM6" s="126" t="s">
        <v>244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4" t="s">
        <v>245</v>
      </c>
      <c r="AN7">
        <v>15</v>
      </c>
      <c r="AP7" t="s">
        <v>258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4" t="s">
        <v>246</v>
      </c>
      <c r="AN8">
        <v>17</v>
      </c>
      <c r="AP8" t="s">
        <v>233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4" t="s">
        <v>247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4" t="s">
        <v>248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4" t="s">
        <v>249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4" t="s">
        <v>250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4" t="s">
        <v>251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252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253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2024-03-31T21:10:28Z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